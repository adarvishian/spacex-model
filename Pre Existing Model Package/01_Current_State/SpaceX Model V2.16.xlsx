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vladsaigau/Downloads/"/>
    </mc:Choice>
  </mc:AlternateContent>
  <xr:revisionPtr revIDLastSave="0" documentId="8_{CA57C853-C19B-334F-901E-BD12BEA930FC}" xr6:coauthVersionLast="47" xr6:coauthVersionMax="47" xr10:uidLastSave="{00000000-0000-0000-0000-000000000000}"/>
  <bookViews>
    <workbookView xWindow="-17160" yWindow="-28800" windowWidth="68800" windowHeight="28800" activeTab="4" xr2:uid="{4D946CD7-067E-B34C-B721-4CB40338DE99}"/>
  </bookViews>
  <sheets>
    <sheet name="Assumptions" sheetId="1" r:id="rId1"/>
    <sheet name="Allocator" sheetId="2" r:id="rId2"/>
    <sheet name="Launch Capacity" sheetId="3" r:id="rId3"/>
    <sheet name="Customer Launch" sheetId="4" r:id="rId4"/>
    <sheet name="Starlink" sheetId="5" r:id="rId5"/>
    <sheet name="Starlink Capacity" sheetId="6" r:id="rId6"/>
    <sheet name="ODC" sheetId="7" r:id="rId7"/>
    <sheet name="AI Stack" sheetId="8" r:id="rId8"/>
    <sheet name="Lunar Mars" sheetId="9" r:id="rId9"/>
    <sheet name="Group P&amp;L" sheetId="10" r:id="rId10"/>
    <sheet name="OpEx" sheetId="11" r:id="rId11"/>
    <sheet name="CapEx" sheetId="12" r:id="rId12"/>
    <sheet name="Valuation" sheetId="13" r:id="rId13"/>
    <sheet name="Demand Curves" sheetId="15" r:id="rId14"/>
    <sheet name="Claude Log" sheetId="14" r:id="rId15"/>
  </sheets>
  <calcPr calcId="191029"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8" i="10" l="1" a="1"/>
  <c r="D28" i="10"/>
  <c r="AF122" i="9"/>
  <c r="AF121" i="9"/>
  <c r="AF120" i="9"/>
  <c r="AE122" i="9"/>
  <c r="AE121" i="9"/>
  <c r="AE120" i="9"/>
  <c r="AC36" i="10"/>
  <c r="AC36" i="10" a="1"/>
  <c r="AB36" i="10"/>
  <c r="AB36" i="10" a="1"/>
  <c r="AA36" i="10"/>
  <c r="AA36" i="10" a="1"/>
  <c r="Z36" i="10"/>
  <c r="Z36" i="10" a="1"/>
  <c r="Y36" i="10"/>
  <c r="Y36" i="10" a="1"/>
  <c r="X36" i="10"/>
  <c r="X36" i="10" a="1"/>
  <c r="W36" i="10"/>
  <c r="W36" i="10" a="1"/>
  <c r="V36" i="10"/>
  <c r="V36" i="10" a="1"/>
  <c r="U36" i="10"/>
  <c r="U36" i="10" a="1"/>
  <c r="T36" i="10"/>
  <c r="T36" i="10" a="1"/>
  <c r="S36" i="10"/>
  <c r="S36" i="10" a="1"/>
  <c r="R36" i="10"/>
  <c r="R36" i="10" a="1"/>
  <c r="Q36" i="10"/>
  <c r="Q36" i="10" a="1"/>
  <c r="P36" i="10"/>
  <c r="P36" i="10" a="1"/>
  <c r="O36" i="10"/>
  <c r="O36" i="10" a="1"/>
  <c r="N36" i="10"/>
  <c r="N36" i="10" a="1"/>
  <c r="M36" i="10"/>
  <c r="M36" i="10" a="1"/>
  <c r="L36" i="10"/>
  <c r="L36" i="10" a="1"/>
  <c r="K36" i="10"/>
  <c r="K36" i="10" a="1"/>
  <c r="J36" i="10"/>
  <c r="J36" i="10" a="1"/>
  <c r="I36" i="10"/>
  <c r="I36" i="10" a="1"/>
  <c r="H36" i="10"/>
  <c r="H36" i="10" a="1"/>
  <c r="G36" i="10"/>
  <c r="G36" i="10" a="1"/>
  <c r="F36" i="10"/>
  <c r="F36" i="10" a="1"/>
  <c r="E36" i="10"/>
  <c r="E36" i="10" a="1"/>
  <c r="AC28" i="10"/>
  <c r="AC28" i="10" a="1"/>
  <c r="AB28" i="10"/>
  <c r="AB28" i="10" a="1"/>
  <c r="AA28" i="10"/>
  <c r="AA28" i="10" a="1"/>
  <c r="Z28" i="10"/>
  <c r="Z28" i="10" a="1"/>
  <c r="Y28" i="10"/>
  <c r="Y28" i="10" a="1"/>
  <c r="X28" i="10"/>
  <c r="X28" i="10" a="1"/>
  <c r="W28" i="10"/>
  <c r="W28" i="10" a="1"/>
  <c r="V28" i="10"/>
  <c r="V28" i="10" a="1"/>
  <c r="U28" i="10"/>
  <c r="U28" i="10" a="1"/>
  <c r="T28" i="10"/>
  <c r="T28" i="10" a="1"/>
  <c r="S28" i="10"/>
  <c r="S28" i="10" a="1"/>
  <c r="R28" i="10"/>
  <c r="R28" i="10" a="1"/>
  <c r="Q28" i="10"/>
  <c r="Q28" i="10" a="1"/>
  <c r="P28" i="10"/>
  <c r="P28" i="10" a="1"/>
  <c r="O28" i="10"/>
  <c r="O28" i="10" a="1"/>
  <c r="N28" i="10"/>
  <c r="N28" i="10" a="1"/>
  <c r="M28" i="10"/>
  <c r="M28" i="10" a="1"/>
  <c r="L28" i="10"/>
  <c r="L28" i="10" a="1"/>
  <c r="K28" i="10"/>
  <c r="K28" i="10" a="1"/>
  <c r="J28" i="10"/>
  <c r="J28" i="10" a="1"/>
  <c r="I28" i="10"/>
  <c r="I28" i="10" a="1"/>
  <c r="H28" i="10"/>
  <c r="H28" i="10" a="1"/>
  <c r="G28" i="10"/>
  <c r="G28" i="10" a="1"/>
  <c r="F28" i="10"/>
  <c r="F28" i="10" a="1"/>
  <c r="E28" i="10"/>
  <c r="E28" i="10" a="1"/>
  <c r="D36" i="10" a="1"/>
  <c r="D36" i="10"/>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E5" i="2"/>
  <c r="AE4" i="2"/>
  <c r="AE3" i="2"/>
  <c r="AE2" i="2"/>
  <c r="AC37" i="5" a="1"/>
  <c r="AC37" i="5" s="1"/>
  <c r="AB37" i="5" a="1"/>
  <c r="AB37" i="5" s="1"/>
  <c r="AA37" i="5" a="1"/>
  <c r="AA37" i="5" s="1"/>
  <c r="Z37" i="5" a="1"/>
  <c r="Z37" i="5" s="1"/>
  <c r="Y37" i="5" a="1"/>
  <c r="Y37" i="5" s="1"/>
  <c r="X37" i="5" a="1"/>
  <c r="X37" i="5" s="1"/>
  <c r="W37" i="5" a="1"/>
  <c r="W37" i="5" s="1"/>
  <c r="V37" i="5" a="1"/>
  <c r="V37" i="5" s="1"/>
  <c r="U37" i="5" a="1"/>
  <c r="U37" i="5" s="1"/>
  <c r="T37" i="5" a="1"/>
  <c r="T37" i="5" s="1"/>
  <c r="S37" i="5" a="1"/>
  <c r="S37" i="5" s="1"/>
  <c r="R37" i="5" a="1"/>
  <c r="R37" i="5" s="1"/>
  <c r="Q37" i="5" a="1"/>
  <c r="Q37" i="5" s="1"/>
  <c r="P37" i="5" a="1"/>
  <c r="P37" i="5" s="1"/>
  <c r="O37" i="5" a="1"/>
  <c r="O37" i="5" s="1"/>
  <c r="N37" i="5" a="1"/>
  <c r="N37" i="5" s="1"/>
  <c r="M37" i="5" a="1"/>
  <c r="M37" i="5" s="1"/>
  <c r="L37" i="5" a="1"/>
  <c r="L37" i="5" s="1"/>
  <c r="K37" i="5" a="1"/>
  <c r="K37" i="5" s="1"/>
  <c r="J37" i="5" a="1"/>
  <c r="J37" i="5" s="1"/>
  <c r="I37" i="5" a="1"/>
  <c r="I37" i="5" s="1"/>
  <c r="H37" i="5" a="1"/>
  <c r="H37" i="5" s="1"/>
  <c r="G37" i="5" a="1"/>
  <c r="G37" i="5" s="1"/>
  <c r="AC33" i="5" a="1"/>
  <c r="AC33" i="5" s="1"/>
  <c r="AB33" i="5" a="1"/>
  <c r="AB33" i="5" s="1"/>
  <c r="AA33" i="5" a="1"/>
  <c r="AA33" i="5" s="1"/>
  <c r="Z33" i="5" a="1"/>
  <c r="Z33" i="5" s="1"/>
  <c r="Y33" i="5" a="1"/>
  <c r="Y33" i="5" s="1"/>
  <c r="X33" i="5" a="1"/>
  <c r="X33" i="5" s="1"/>
  <c r="W33" i="5" a="1"/>
  <c r="W33" i="5" s="1"/>
  <c r="V33" i="5" a="1"/>
  <c r="V33" i="5" s="1"/>
  <c r="U33" i="5" a="1"/>
  <c r="U33" i="5" s="1"/>
  <c r="T33" i="5" a="1"/>
  <c r="T33" i="5" s="1"/>
  <c r="S33" i="5" a="1"/>
  <c r="S33" i="5" s="1"/>
  <c r="R33" i="5" a="1"/>
  <c r="R33" i="5" s="1"/>
  <c r="Q33" i="5" a="1"/>
  <c r="Q33" i="5" s="1"/>
  <c r="P33" i="5" a="1"/>
  <c r="P33" i="5" s="1"/>
  <c r="O33" i="5" a="1"/>
  <c r="O33" i="5" s="1"/>
  <c r="N33" i="5" a="1"/>
  <c r="N33" i="5" s="1"/>
  <c r="M33" i="5" a="1"/>
  <c r="M33" i="5" s="1"/>
  <c r="L33" i="5" a="1"/>
  <c r="L33" i="5" s="1"/>
  <c r="K33" i="5" a="1"/>
  <c r="K33" i="5" s="1"/>
  <c r="J33" i="5" a="1"/>
  <c r="J33" i="5" s="1"/>
  <c r="I33" i="5" a="1"/>
  <c r="I33" i="5" s="1"/>
  <c r="H33" i="5" a="1"/>
  <c r="H33" i="5" s="1"/>
  <c r="G33" i="5" a="1"/>
  <c r="G33" i="5" s="1"/>
  <c r="D37" i="5"/>
  <c r="D33" i="5"/>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AC119" i="2" a="1"/>
  <c r="AC119" i="2" s="1"/>
  <c r="AB119" i="2" a="1"/>
  <c r="AB119" i="2" s="1"/>
  <c r="AA119" i="2" a="1"/>
  <c r="AA119" i="2" s="1"/>
  <c r="Z119" i="2" a="1"/>
  <c r="Z119" i="2" s="1"/>
  <c r="Y119" i="2" a="1"/>
  <c r="Y119" i="2" s="1"/>
  <c r="X119" i="2" a="1"/>
  <c r="X119" i="2" s="1"/>
  <c r="W119" i="2" a="1"/>
  <c r="W119" i="2" s="1"/>
  <c r="V119" i="2" a="1"/>
  <c r="V119" i="2" s="1"/>
  <c r="U119" i="2" a="1"/>
  <c r="U119" i="2" s="1"/>
  <c r="T119" i="2" a="1"/>
  <c r="T119" i="2" s="1"/>
  <c r="S119" i="2" a="1"/>
  <c r="S119" i="2" s="1"/>
  <c r="R119" i="2" a="1"/>
  <c r="R119" i="2" s="1"/>
  <c r="Q119" i="2" a="1"/>
  <c r="Q119" i="2" s="1"/>
  <c r="P119" i="2" a="1"/>
  <c r="P119" i="2" s="1"/>
  <c r="O119" i="2" a="1"/>
  <c r="O119" i="2" s="1"/>
  <c r="N119" i="2" a="1"/>
  <c r="N119" i="2" s="1"/>
  <c r="M119" i="2" a="1"/>
  <c r="M119" i="2" s="1"/>
  <c r="L119" i="2" a="1"/>
  <c r="L119" i="2" s="1"/>
  <c r="K119" i="2" a="1"/>
  <c r="K119" i="2" s="1"/>
  <c r="J119" i="2" a="1"/>
  <c r="J119" i="2" s="1"/>
  <c r="I119" i="2" a="1"/>
  <c r="I119" i="2" s="1"/>
  <c r="H119" i="2" a="1"/>
  <c r="H119" i="2" s="1"/>
  <c r="G119" i="2" a="1"/>
  <c r="G119" i="2" s="1"/>
  <c r="F119" i="2" a="1"/>
  <c r="F119" i="2" s="1"/>
  <c r="E119" i="2" a="1"/>
  <c r="E119" i="2" s="1"/>
  <c r="D120" i="2"/>
  <c r="D119" i="2" a="1"/>
  <c r="D119" i="2" s="1"/>
  <c r="AC73" i="2" a="1"/>
  <c r="AC73" i="2" s="1"/>
  <c r="AB73" i="2" a="1"/>
  <c r="AB73" i="2" s="1"/>
  <c r="AA73" i="2" a="1"/>
  <c r="AA73" i="2" s="1"/>
  <c r="Z73" i="2" a="1"/>
  <c r="Z73" i="2" s="1"/>
  <c r="Y73" i="2" a="1"/>
  <c r="Y73" i="2" s="1"/>
  <c r="X73" i="2" a="1"/>
  <c r="X73" i="2" s="1"/>
  <c r="W73" i="2" a="1"/>
  <c r="W73" i="2" s="1"/>
  <c r="V73" i="2" a="1"/>
  <c r="V73" i="2" s="1"/>
  <c r="U73" i="2" a="1"/>
  <c r="U73" i="2" s="1"/>
  <c r="T73" i="2" a="1"/>
  <c r="T73" i="2" s="1"/>
  <c r="S73" i="2" a="1"/>
  <c r="S73" i="2" s="1"/>
  <c r="R73" i="2" a="1"/>
  <c r="R73" i="2" s="1"/>
  <c r="Q73" i="2" a="1"/>
  <c r="Q73" i="2" s="1"/>
  <c r="P73" i="2" a="1"/>
  <c r="P73" i="2" s="1"/>
  <c r="O73" i="2" a="1"/>
  <c r="O73" i="2" s="1"/>
  <c r="N73" i="2" a="1"/>
  <c r="N73" i="2" s="1"/>
  <c r="M73" i="2" a="1"/>
  <c r="M73" i="2" s="1"/>
  <c r="L73" i="2" a="1"/>
  <c r="L73" i="2" s="1"/>
  <c r="K73" i="2" a="1"/>
  <c r="K73" i="2" s="1"/>
  <c r="J73" i="2" a="1"/>
  <c r="J73" i="2" s="1"/>
  <c r="I73" i="2" a="1"/>
  <c r="I73" i="2" s="1"/>
  <c r="H73" i="2" a="1"/>
  <c r="H73" i="2" s="1"/>
  <c r="G73" i="2" a="1"/>
  <c r="G73" i="2" s="1"/>
  <c r="F73" i="2" a="1"/>
  <c r="F73" i="2" s="1"/>
  <c r="E73" i="2" a="1"/>
  <c r="E73" i="2" s="1"/>
  <c r="AC72" i="2" a="1"/>
  <c r="AC72" i="2" s="1"/>
  <c r="AB72" i="2" a="1"/>
  <c r="AB72" i="2" s="1"/>
  <c r="AA72" i="2" a="1"/>
  <c r="AA72" i="2" s="1"/>
  <c r="Z72" i="2" a="1"/>
  <c r="Z72" i="2" s="1"/>
  <c r="Y72" i="2" a="1"/>
  <c r="Y72" i="2" s="1"/>
  <c r="X72" i="2" a="1"/>
  <c r="X72" i="2" s="1"/>
  <c r="W72" i="2" a="1"/>
  <c r="W72" i="2" s="1"/>
  <c r="V72" i="2" a="1"/>
  <c r="V72" i="2" s="1"/>
  <c r="U72" i="2" a="1"/>
  <c r="U72" i="2" s="1"/>
  <c r="T72" i="2" a="1"/>
  <c r="T72" i="2" s="1"/>
  <c r="S72" i="2" a="1"/>
  <c r="S72" i="2" s="1"/>
  <c r="R72" i="2" a="1"/>
  <c r="R72" i="2" s="1"/>
  <c r="Q72" i="2" a="1"/>
  <c r="Q72" i="2" s="1"/>
  <c r="P72" i="2" a="1"/>
  <c r="P72" i="2" s="1"/>
  <c r="O72" i="2" a="1"/>
  <c r="O72" i="2" s="1"/>
  <c r="N72" i="2" a="1"/>
  <c r="N72" i="2" s="1"/>
  <c r="M72" i="2" a="1"/>
  <c r="M72" i="2" s="1"/>
  <c r="L72" i="2" a="1"/>
  <c r="L72" i="2" s="1"/>
  <c r="K72" i="2" a="1"/>
  <c r="K72" i="2" s="1"/>
  <c r="J72" i="2" a="1"/>
  <c r="J72" i="2" s="1"/>
  <c r="I72" i="2" a="1"/>
  <c r="I72" i="2" s="1"/>
  <c r="H72" i="2" a="1"/>
  <c r="H72" i="2" s="1"/>
  <c r="G72" i="2" a="1"/>
  <c r="G72" i="2" s="1"/>
  <c r="F72" i="2" a="1"/>
  <c r="F72" i="2" s="1"/>
  <c r="E72" i="2" a="1"/>
  <c r="E72" i="2" s="1"/>
  <c r="AC53" i="2" a="1"/>
  <c r="AC53" i="2" s="1"/>
  <c r="AB53" i="2" a="1"/>
  <c r="AB53" i="2" s="1"/>
  <c r="AA53" i="2" a="1"/>
  <c r="AA53" i="2" s="1"/>
  <c r="Z53" i="2" a="1"/>
  <c r="Z53" i="2" s="1"/>
  <c r="Y53" i="2" a="1"/>
  <c r="Y53" i="2" s="1"/>
  <c r="X53" i="2" a="1"/>
  <c r="X53" i="2" s="1"/>
  <c r="W53" i="2" a="1"/>
  <c r="W53" i="2" s="1"/>
  <c r="V53" i="2" a="1"/>
  <c r="V53" i="2" s="1"/>
  <c r="U53" i="2" a="1"/>
  <c r="U53" i="2" s="1"/>
  <c r="T53" i="2" a="1"/>
  <c r="T53" i="2" s="1"/>
  <c r="S53" i="2" a="1"/>
  <c r="S53" i="2" s="1"/>
  <c r="R53" i="2" a="1"/>
  <c r="R53" i="2" s="1"/>
  <c r="Q53" i="2" a="1"/>
  <c r="Q53" i="2" s="1"/>
  <c r="P53" i="2" a="1"/>
  <c r="P53" i="2" s="1"/>
  <c r="O53" i="2" a="1"/>
  <c r="O53" i="2" s="1"/>
  <c r="N53" i="2" a="1"/>
  <c r="N53" i="2" s="1"/>
  <c r="M53" i="2" a="1"/>
  <c r="M53" i="2" s="1"/>
  <c r="L53" i="2" a="1"/>
  <c r="L53" i="2" s="1"/>
  <c r="K53" i="2" a="1"/>
  <c r="K53" i="2" s="1"/>
  <c r="J53" i="2" a="1"/>
  <c r="J53" i="2" s="1"/>
  <c r="I53" i="2" a="1"/>
  <c r="I53" i="2" s="1"/>
  <c r="H53" i="2" a="1"/>
  <c r="H53" i="2" s="1"/>
  <c r="G53" i="2" a="1"/>
  <c r="G53" i="2" s="1"/>
  <c r="AC48" i="2" a="1"/>
  <c r="AC48" i="2" s="1"/>
  <c r="AB48" i="2" a="1"/>
  <c r="AB48" i="2" s="1"/>
  <c r="AA48" i="2" a="1"/>
  <c r="AA48" i="2" s="1"/>
  <c r="Z48" i="2" a="1"/>
  <c r="Z48" i="2" s="1"/>
  <c r="Y48" i="2" a="1"/>
  <c r="Y48" i="2" s="1"/>
  <c r="X48" i="2" a="1"/>
  <c r="X48" i="2" s="1"/>
  <c r="W48" i="2" a="1"/>
  <c r="W48" i="2" s="1"/>
  <c r="V48" i="2" a="1"/>
  <c r="V48" i="2" s="1"/>
  <c r="U48" i="2" a="1"/>
  <c r="U48" i="2" s="1"/>
  <c r="T48" i="2" a="1"/>
  <c r="T48" i="2" s="1"/>
  <c r="S48" i="2" a="1"/>
  <c r="S48" i="2" s="1"/>
  <c r="R48" i="2" a="1"/>
  <c r="R48" i="2" s="1"/>
  <c r="Q48" i="2" a="1"/>
  <c r="Q48" i="2" s="1"/>
  <c r="P48" i="2" a="1"/>
  <c r="P48" i="2" s="1"/>
  <c r="O48" i="2" a="1"/>
  <c r="O48" i="2" s="1"/>
  <c r="N48" i="2" a="1"/>
  <c r="N48" i="2" s="1"/>
  <c r="M48" i="2" a="1"/>
  <c r="M48" i="2" s="1"/>
  <c r="L48" i="2" a="1"/>
  <c r="L48" i="2" s="1"/>
  <c r="K48" i="2" a="1"/>
  <c r="K48" i="2" s="1"/>
  <c r="J48" i="2" a="1"/>
  <c r="J48" i="2" s="1"/>
  <c r="I48" i="2" a="1"/>
  <c r="I48" i="2" s="1"/>
  <c r="H48" i="2" a="1"/>
  <c r="H48" i="2" s="1"/>
  <c r="G48" i="2" a="1"/>
  <c r="G48" i="2" s="1"/>
  <c r="D73" i="2" a="1"/>
  <c r="D73" i="2" s="1"/>
  <c r="D72" i="2" a="1"/>
  <c r="D72" i="2" s="1"/>
  <c r="P121" i="2" l="1"/>
  <c r="Z121" i="2"/>
  <c r="G121" i="2"/>
  <c r="T121" i="2"/>
  <c r="E121" i="2"/>
  <c r="Y121" i="2"/>
  <c r="L74" i="2"/>
  <c r="S121" i="2"/>
  <c r="AC121" i="2"/>
  <c r="X74" i="2"/>
  <c r="O121" i="2"/>
  <c r="Q121" i="2"/>
  <c r="AA121" i="2"/>
  <c r="W74" i="2"/>
  <c r="R121" i="2"/>
  <c r="AB121" i="2"/>
  <c r="K121" i="2"/>
  <c r="V121" i="2"/>
  <c r="U121" i="2"/>
  <c r="J121" i="2"/>
  <c r="D121" i="2"/>
  <c r="L121" i="2"/>
  <c r="F121" i="2"/>
  <c r="H121" i="2"/>
  <c r="I121" i="2"/>
  <c r="X121" i="2"/>
  <c r="M121" i="2"/>
  <c r="W121" i="2"/>
  <c r="N121" i="2"/>
  <c r="P74" i="2"/>
  <c r="H74" i="2"/>
  <c r="T74" i="2"/>
  <c r="S74" i="2"/>
  <c r="J74" i="2"/>
  <c r="Y74" i="2"/>
  <c r="D74" i="2"/>
  <c r="K74" i="2"/>
  <c r="R74" i="2"/>
  <c r="Z74" i="2"/>
  <c r="F74" i="2"/>
  <c r="U74" i="2"/>
  <c r="G74" i="2"/>
  <c r="AC74" i="2"/>
  <c r="O74" i="2"/>
  <c r="E74" i="2"/>
  <c r="M74" i="2"/>
  <c r="N74" i="2"/>
  <c r="V74" i="2"/>
  <c r="I74" i="2"/>
  <c r="AA74" i="2"/>
  <c r="Q74" i="2"/>
  <c r="AB74" i="2"/>
  <c r="AC121" i="5" a="1"/>
  <c r="AC121" i="5" s="1"/>
  <c r="AB121" i="5" a="1"/>
  <c r="AB121" i="5" s="1"/>
  <c r="AA121" i="5" a="1"/>
  <c r="AA121" i="5" s="1"/>
  <c r="Z121" i="5" a="1"/>
  <c r="Z121" i="5" s="1"/>
  <c r="Y121" i="5" a="1"/>
  <c r="Y121" i="5" s="1"/>
  <c r="X121" i="5" a="1"/>
  <c r="X121" i="5" s="1"/>
  <c r="W121" i="5" a="1"/>
  <c r="W121" i="5" s="1"/>
  <c r="V121" i="5" a="1"/>
  <c r="V121" i="5" s="1"/>
  <c r="U121" i="5" a="1"/>
  <c r="U121" i="5" s="1"/>
  <c r="T121" i="5" a="1"/>
  <c r="T121" i="5" s="1"/>
  <c r="S121" i="5" a="1"/>
  <c r="S121" i="5" s="1"/>
  <c r="R121" i="5" a="1"/>
  <c r="R121" i="5" s="1"/>
  <c r="Q121" i="5" a="1"/>
  <c r="Q121" i="5" s="1"/>
  <c r="P121" i="5" a="1"/>
  <c r="P121" i="5" s="1"/>
  <c r="O121" i="5" a="1"/>
  <c r="O121" i="5" s="1"/>
  <c r="N121" i="5" a="1"/>
  <c r="N121" i="5" s="1"/>
  <c r="M121" i="5" a="1"/>
  <c r="M121" i="5" s="1"/>
  <c r="L121" i="5" a="1"/>
  <c r="L121" i="5" s="1"/>
  <c r="K121" i="5" a="1"/>
  <c r="K121" i="5" s="1"/>
  <c r="J121" i="5" a="1"/>
  <c r="J121" i="5" s="1"/>
  <c r="I121" i="5" a="1"/>
  <c r="I121" i="5" s="1"/>
  <c r="H121" i="5" a="1"/>
  <c r="H121" i="5" s="1"/>
  <c r="G121" i="5" a="1"/>
  <c r="G121" i="5" s="1"/>
  <c r="F121" i="5" a="1"/>
  <c r="F121" i="5" s="1"/>
  <c r="E121" i="5" a="1"/>
  <c r="E121" i="5" s="1"/>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E171" i="2" l="1"/>
  <c r="F171" i="2"/>
  <c r="G171" i="2"/>
  <c r="H171" i="2"/>
  <c r="I171" i="2"/>
  <c r="J171" i="2"/>
  <c r="K171" i="2"/>
  <c r="L171" i="2"/>
  <c r="M171" i="2"/>
  <c r="N171" i="2"/>
  <c r="O171" i="2"/>
  <c r="P171" i="2"/>
  <c r="Q171" i="2"/>
  <c r="R171" i="2"/>
  <c r="S171" i="2"/>
  <c r="T171" i="2"/>
  <c r="U171" i="2"/>
  <c r="V171" i="2"/>
  <c r="W171" i="2"/>
  <c r="X171" i="2"/>
  <c r="Y171" i="2"/>
  <c r="Z171" i="2"/>
  <c r="AA171" i="2"/>
  <c r="AB171" i="2"/>
  <c r="AC171" i="2"/>
  <c r="D171" i="2"/>
  <c r="E170" i="2" a="1"/>
  <c r="E170" i="2" s="1"/>
  <c r="F170" i="2" a="1"/>
  <c r="F170" i="2" s="1"/>
  <c r="G170" i="2" a="1"/>
  <c r="G170" i="2" s="1"/>
  <c r="H170" i="2" a="1"/>
  <c r="H170" i="2" s="1"/>
  <c r="I170" i="2" a="1"/>
  <c r="I170" i="2" s="1"/>
  <c r="J170" i="2" a="1"/>
  <c r="J170" i="2" s="1"/>
  <c r="K170" i="2" a="1"/>
  <c r="K170" i="2" s="1"/>
  <c r="L170" i="2" a="1"/>
  <c r="L170" i="2" s="1"/>
  <c r="M170" i="2" a="1"/>
  <c r="M170" i="2" s="1"/>
  <c r="N170" i="2" a="1"/>
  <c r="N170" i="2" s="1"/>
  <c r="O170" i="2" a="1"/>
  <c r="O170" i="2" s="1"/>
  <c r="P170" i="2" a="1"/>
  <c r="P170" i="2" s="1"/>
  <c r="Q170" i="2" a="1"/>
  <c r="Q170" i="2" s="1"/>
  <c r="R170" i="2" a="1"/>
  <c r="R170" i="2" s="1"/>
  <c r="S170" i="2" a="1"/>
  <c r="S170" i="2" s="1"/>
  <c r="T170" i="2" a="1"/>
  <c r="T170" i="2" s="1"/>
  <c r="U170" i="2" a="1"/>
  <c r="U170" i="2" s="1"/>
  <c r="V170" i="2" a="1"/>
  <c r="V170" i="2" s="1"/>
  <c r="W170" i="2" a="1"/>
  <c r="W170" i="2" s="1"/>
  <c r="X170" i="2" a="1"/>
  <c r="X170" i="2" s="1"/>
  <c r="Y170" i="2" a="1"/>
  <c r="Y170" i="2" s="1"/>
  <c r="Z170" i="2" a="1"/>
  <c r="Z170" i="2" s="1"/>
  <c r="AA170" i="2" a="1"/>
  <c r="AA170" i="2" s="1"/>
  <c r="AB170" i="2" a="1"/>
  <c r="AB170" i="2" s="1"/>
  <c r="AC170" i="2" a="1"/>
  <c r="AC170" i="2" s="1"/>
  <c r="D170" i="2" a="1"/>
  <c r="D170" i="2" s="1"/>
  <c r="E169" i="2" a="1"/>
  <c r="E169" i="2" s="1"/>
  <c r="F169" i="2" a="1"/>
  <c r="F169" i="2" s="1"/>
  <c r="G169" i="2" a="1"/>
  <c r="G169" i="2" s="1"/>
  <c r="H169" i="2" a="1"/>
  <c r="H169" i="2" s="1"/>
  <c r="I169" i="2" a="1"/>
  <c r="I169" i="2" s="1"/>
  <c r="J169" i="2" a="1"/>
  <c r="J169" i="2" s="1"/>
  <c r="K169" i="2" a="1"/>
  <c r="K169" i="2" s="1"/>
  <c r="L169" i="2" a="1"/>
  <c r="L169" i="2" s="1"/>
  <c r="M169" i="2" a="1"/>
  <c r="M169" i="2" s="1"/>
  <c r="N169" i="2" a="1"/>
  <c r="N169" i="2" s="1"/>
  <c r="O169" i="2" a="1"/>
  <c r="O169" i="2" s="1"/>
  <c r="P169" i="2" a="1"/>
  <c r="P169" i="2" s="1"/>
  <c r="Q169" i="2" a="1"/>
  <c r="Q169" i="2" s="1"/>
  <c r="R169" i="2" a="1"/>
  <c r="R169" i="2" s="1"/>
  <c r="S169" i="2" a="1"/>
  <c r="S169" i="2" s="1"/>
  <c r="T169" i="2" a="1"/>
  <c r="T169" i="2" s="1"/>
  <c r="U169" i="2" a="1"/>
  <c r="U169" i="2" s="1"/>
  <c r="V169" i="2" a="1"/>
  <c r="V169" i="2" s="1"/>
  <c r="W169" i="2" a="1"/>
  <c r="W169" i="2" s="1"/>
  <c r="X169" i="2" a="1"/>
  <c r="X169" i="2" s="1"/>
  <c r="Y169" i="2" a="1"/>
  <c r="Y169" i="2" s="1"/>
  <c r="Z169" i="2" a="1"/>
  <c r="Z169" i="2" s="1"/>
  <c r="AA169" i="2" a="1"/>
  <c r="AA169" i="2" s="1"/>
  <c r="AB169" i="2" a="1"/>
  <c r="AB169" i="2" s="1"/>
  <c r="AC169" i="2" a="1"/>
  <c r="AC169" i="2" s="1"/>
  <c r="D169" i="2" a="1"/>
  <c r="D169" i="2" s="1"/>
  <c r="E168" i="2" a="1"/>
  <c r="E168" i="2" s="1"/>
  <c r="F168" i="2" a="1"/>
  <c r="F168" i="2" s="1"/>
  <c r="G168" i="2" a="1"/>
  <c r="G168" i="2" s="1"/>
  <c r="H168" i="2" a="1"/>
  <c r="H168" i="2" s="1"/>
  <c r="I168" i="2" a="1"/>
  <c r="I168" i="2" s="1"/>
  <c r="J168" i="2" a="1"/>
  <c r="J168" i="2" s="1"/>
  <c r="K168" i="2" a="1"/>
  <c r="K168" i="2" s="1"/>
  <c r="L168" i="2" a="1"/>
  <c r="L168" i="2" s="1"/>
  <c r="M168" i="2" a="1"/>
  <c r="M168" i="2" s="1"/>
  <c r="N168" i="2" a="1"/>
  <c r="N168" i="2" s="1"/>
  <c r="O168" i="2" a="1"/>
  <c r="O168" i="2" s="1"/>
  <c r="P168" i="2" a="1"/>
  <c r="P168" i="2" s="1"/>
  <c r="Q168" i="2" a="1"/>
  <c r="Q168" i="2" s="1"/>
  <c r="R168" i="2" a="1"/>
  <c r="R168" i="2" s="1"/>
  <c r="S168" i="2" a="1"/>
  <c r="S168" i="2" s="1"/>
  <c r="T168" i="2" a="1"/>
  <c r="T168" i="2" s="1"/>
  <c r="U168" i="2" a="1"/>
  <c r="U168" i="2" s="1"/>
  <c r="V168" i="2" a="1"/>
  <c r="V168" i="2" s="1"/>
  <c r="W168" i="2" a="1"/>
  <c r="W168" i="2" s="1"/>
  <c r="X168" i="2" a="1"/>
  <c r="X168" i="2" s="1"/>
  <c r="Y168" i="2" a="1"/>
  <c r="Y168" i="2" s="1"/>
  <c r="Z168" i="2" a="1"/>
  <c r="Z168" i="2" s="1"/>
  <c r="AA168" i="2" a="1"/>
  <c r="AA168" i="2" s="1"/>
  <c r="AB168" i="2" a="1"/>
  <c r="AB168" i="2" s="1"/>
  <c r="AC168" i="2" a="1"/>
  <c r="AC168" i="2" s="1"/>
  <c r="D168" i="2" a="1"/>
  <c r="D168" i="2" s="1"/>
  <c r="D146" i="2"/>
  <c r="AB147" i="2" s="1" a="1"/>
  <c r="AB147" i="2" s="1"/>
  <c r="D86" i="2"/>
  <c r="D10" i="2" a="1"/>
  <c r="D10" i="2" s="1"/>
  <c r="E9" i="2"/>
  <c r="F9" i="2"/>
  <c r="G9" i="2"/>
  <c r="H9" i="2"/>
  <c r="I9" i="2"/>
  <c r="J9" i="2"/>
  <c r="K9" i="2"/>
  <c r="L9" i="2"/>
  <c r="M9" i="2"/>
  <c r="N9" i="2"/>
  <c r="O9" i="2"/>
  <c r="P9" i="2"/>
  <c r="Q9" i="2"/>
  <c r="R9" i="2"/>
  <c r="S9" i="2"/>
  <c r="T9" i="2"/>
  <c r="U9" i="2"/>
  <c r="V9" i="2"/>
  <c r="W9" i="2"/>
  <c r="X9" i="2"/>
  <c r="Y9" i="2"/>
  <c r="Z9" i="2"/>
  <c r="AA9" i="2"/>
  <c r="AB9" i="2"/>
  <c r="AC9" i="2"/>
  <c r="D9" i="2"/>
  <c r="F8" i="2"/>
  <c r="G8" i="2"/>
  <c r="H8" i="2"/>
  <c r="I8" i="2"/>
  <c r="J8" i="2"/>
  <c r="K8" i="2"/>
  <c r="L8" i="2"/>
  <c r="M8" i="2"/>
  <c r="N8" i="2"/>
  <c r="O8" i="2"/>
  <c r="P8" i="2"/>
  <c r="Q8" i="2"/>
  <c r="R8" i="2"/>
  <c r="S8" i="2"/>
  <c r="T8" i="2"/>
  <c r="U8" i="2"/>
  <c r="V8" i="2"/>
  <c r="W8" i="2"/>
  <c r="X8" i="2"/>
  <c r="Y8" i="2"/>
  <c r="Z8" i="2"/>
  <c r="AA8" i="2"/>
  <c r="AB8" i="2"/>
  <c r="AC8" i="2"/>
  <c r="E8" i="2"/>
  <c r="D8" i="2"/>
  <c r="D34" i="2" a="1"/>
  <c r="D34" i="2" s="1"/>
  <c r="D123" i="10"/>
  <c r="D122" i="10"/>
  <c r="D120" i="10"/>
  <c r="D118" i="10"/>
  <c r="D116" i="10"/>
  <c r="D114" i="10"/>
  <c r="D112" i="10"/>
  <c r="E44" i="10" a="1"/>
  <c r="E44" i="10" s="1"/>
  <c r="E107" i="10" s="1" a="1"/>
  <c r="E107" i="10" s="1"/>
  <c r="F44" i="10" a="1"/>
  <c r="F44" i="10" s="1"/>
  <c r="F107" i="10" s="1" a="1"/>
  <c r="F107" i="10" s="1"/>
  <c r="G44" i="10" a="1"/>
  <c r="G44" i="10" s="1"/>
  <c r="G107" i="10" s="1" a="1"/>
  <c r="G107" i="10" s="1"/>
  <c r="H44" i="10" a="1"/>
  <c r="H44" i="10" s="1"/>
  <c r="H107" i="10" s="1" a="1"/>
  <c r="H107" i="10" s="1"/>
  <c r="I44" i="10" a="1"/>
  <c r="I44" i="10" s="1"/>
  <c r="I107" i="10" s="1" a="1"/>
  <c r="I107" i="10" s="1"/>
  <c r="J44" i="10" a="1"/>
  <c r="J44" i="10" s="1"/>
  <c r="J107" i="10" s="1" a="1"/>
  <c r="J107" i="10" s="1"/>
  <c r="K44" i="10" a="1"/>
  <c r="K44" i="10" s="1"/>
  <c r="K107" i="10" s="1" a="1"/>
  <c r="K107" i="10" s="1"/>
  <c r="L44" i="10" a="1"/>
  <c r="L44" i="10" s="1"/>
  <c r="L107" i="10" s="1" a="1"/>
  <c r="L107" i="10" s="1"/>
  <c r="M44" i="10" a="1"/>
  <c r="M44" i="10" s="1"/>
  <c r="M107" i="10" s="1" a="1"/>
  <c r="M107" i="10" s="1"/>
  <c r="N44" i="10" a="1"/>
  <c r="N44" i="10" s="1"/>
  <c r="N107" i="10" s="1" a="1"/>
  <c r="N107" i="10" s="1"/>
  <c r="O44" i="10" a="1"/>
  <c r="O44" i="10" s="1"/>
  <c r="O107" i="10" s="1" a="1"/>
  <c r="O107" i="10" s="1"/>
  <c r="P44" i="10" a="1"/>
  <c r="P44" i="10" s="1"/>
  <c r="P107" i="10" s="1" a="1"/>
  <c r="P107" i="10" s="1"/>
  <c r="Q44" i="10" a="1"/>
  <c r="Q44" i="10" s="1"/>
  <c r="Q107" i="10" s="1" a="1"/>
  <c r="Q107" i="10" s="1"/>
  <c r="R44" i="10" a="1"/>
  <c r="R44" i="10" s="1"/>
  <c r="R107" i="10" s="1" a="1"/>
  <c r="R107" i="10" s="1"/>
  <c r="S44" i="10" a="1"/>
  <c r="S44" i="10" s="1"/>
  <c r="S107" i="10" s="1" a="1"/>
  <c r="S107" i="10" s="1"/>
  <c r="T44" i="10" a="1"/>
  <c r="T44" i="10" s="1"/>
  <c r="T107" i="10" s="1" a="1"/>
  <c r="T107" i="10" s="1"/>
  <c r="U44" i="10" a="1"/>
  <c r="U44" i="10" s="1"/>
  <c r="U107" i="10" s="1" a="1"/>
  <c r="U107" i="10" s="1"/>
  <c r="V44" i="10" a="1"/>
  <c r="V44" i="10" s="1"/>
  <c r="V107" i="10" s="1" a="1"/>
  <c r="V107" i="10" s="1"/>
  <c r="W44" i="10" a="1"/>
  <c r="W44" i="10" s="1"/>
  <c r="W107" i="10" s="1" a="1"/>
  <c r="W107" i="10" s="1"/>
  <c r="X44" i="10" a="1"/>
  <c r="X44" i="10" s="1"/>
  <c r="X107" i="10" s="1" a="1"/>
  <c r="X107" i="10" s="1"/>
  <c r="Y44" i="10" a="1"/>
  <c r="Y44" i="10" s="1"/>
  <c r="Y107" i="10" s="1" a="1"/>
  <c r="Y107" i="10" s="1"/>
  <c r="Z44" i="10" a="1"/>
  <c r="Z44" i="10" s="1"/>
  <c r="Z107" i="10" s="1" a="1"/>
  <c r="Z107" i="10" s="1"/>
  <c r="AA44" i="10" a="1"/>
  <c r="AA44" i="10" s="1"/>
  <c r="AA107" i="10" s="1" a="1"/>
  <c r="AA107" i="10" s="1"/>
  <c r="AB44" i="10" a="1"/>
  <c r="AB44" i="10" s="1"/>
  <c r="AB107" i="10" s="1" a="1"/>
  <c r="AB107" i="10" s="1"/>
  <c r="AC44" i="10" a="1"/>
  <c r="AC44" i="10" s="1"/>
  <c r="AC107" i="10" s="1" a="1"/>
  <c r="AC107" i="10" s="1"/>
  <c r="D44" i="10" a="1"/>
  <c r="D44" i="10" s="1"/>
  <c r="D107" i="10" s="1" a="1"/>
  <c r="D107" i="10" s="1"/>
  <c r="E43" i="10" a="1"/>
  <c r="E43" i="10" s="1"/>
  <c r="F43" i="10" a="1"/>
  <c r="F43" i="10" s="1"/>
  <c r="G43" i="10" a="1"/>
  <c r="G43" i="10" s="1"/>
  <c r="H43" i="10" a="1"/>
  <c r="H43" i="10" s="1"/>
  <c r="I43" i="10" a="1"/>
  <c r="I43" i="10" s="1"/>
  <c r="J43" i="10" a="1"/>
  <c r="J43" i="10" s="1"/>
  <c r="K43" i="10" a="1"/>
  <c r="K43" i="10" s="1"/>
  <c r="L43" i="10" a="1"/>
  <c r="L43" i="10" s="1"/>
  <c r="M43" i="10" a="1"/>
  <c r="M43" i="10" s="1"/>
  <c r="N43" i="10" a="1"/>
  <c r="N43" i="10" s="1"/>
  <c r="O43" i="10" a="1"/>
  <c r="O43" i="10" s="1"/>
  <c r="P43" i="10" a="1"/>
  <c r="P43" i="10" s="1"/>
  <c r="Q43" i="10" a="1"/>
  <c r="Q43" i="10" s="1"/>
  <c r="R43" i="10" a="1"/>
  <c r="R43" i="10" s="1"/>
  <c r="S43" i="10" a="1"/>
  <c r="S43" i="10" s="1"/>
  <c r="T43" i="10" a="1"/>
  <c r="T43" i="10" s="1"/>
  <c r="U43" i="10" a="1"/>
  <c r="U43" i="10" s="1"/>
  <c r="V43" i="10" a="1"/>
  <c r="V43" i="10" s="1"/>
  <c r="W43" i="10" a="1"/>
  <c r="W43" i="10" s="1"/>
  <c r="X43" i="10" a="1"/>
  <c r="X43" i="10" s="1"/>
  <c r="Y43" i="10" a="1"/>
  <c r="Y43" i="10" s="1"/>
  <c r="Z43" i="10" a="1"/>
  <c r="Z43" i="10" s="1"/>
  <c r="AA43" i="10" a="1"/>
  <c r="AA43" i="10" s="1"/>
  <c r="AB43" i="10" a="1"/>
  <c r="AB43" i="10" s="1"/>
  <c r="AC43" i="10" a="1"/>
  <c r="AC43" i="10" s="1"/>
  <c r="D43" i="10" a="1"/>
  <c r="D43" i="10" s="1"/>
  <c r="A11" i="14"/>
  <c r="AC39" i="12" a="1"/>
  <c r="AC39" i="12" s="1"/>
  <c r="AC20" i="2" s="1" a="1"/>
  <c r="AC20" i="2" s="1"/>
  <c r="AB39" i="12" a="1"/>
  <c r="AB39" i="12" s="1"/>
  <c r="AB20" i="2" s="1" a="1"/>
  <c r="AB20" i="2" s="1"/>
  <c r="AA39" i="12" a="1"/>
  <c r="AA39" i="12" s="1"/>
  <c r="AA20" i="2" s="1" a="1"/>
  <c r="AA20" i="2" s="1"/>
  <c r="Z39" i="12" a="1"/>
  <c r="Z39" i="12" s="1"/>
  <c r="Z20" i="2" s="1" a="1"/>
  <c r="Z20" i="2" s="1"/>
  <c r="Y39" i="12" a="1"/>
  <c r="Y39" i="12" s="1"/>
  <c r="Y20" i="2" s="1" a="1"/>
  <c r="Y20" i="2" s="1"/>
  <c r="X39" i="12" a="1"/>
  <c r="X39" i="12" s="1"/>
  <c r="X20" i="2" s="1" a="1"/>
  <c r="X20" i="2" s="1"/>
  <c r="W39" i="12" a="1"/>
  <c r="W39" i="12" s="1"/>
  <c r="W20" i="2" s="1" a="1"/>
  <c r="W20" i="2" s="1"/>
  <c r="V39" i="12" a="1"/>
  <c r="V39" i="12" s="1"/>
  <c r="V20" i="2" s="1" a="1"/>
  <c r="V20" i="2" s="1"/>
  <c r="U39" i="12" a="1"/>
  <c r="U39" i="12" s="1"/>
  <c r="U20" i="2" s="1" a="1"/>
  <c r="U20" i="2" s="1"/>
  <c r="T39" i="12" a="1"/>
  <c r="T39" i="12" s="1"/>
  <c r="T20" i="2" s="1" a="1"/>
  <c r="T20" i="2" s="1"/>
  <c r="S39" i="12" a="1"/>
  <c r="S39" i="12" s="1"/>
  <c r="S20" i="2" s="1" a="1"/>
  <c r="S20" i="2" s="1"/>
  <c r="R39" i="12" a="1"/>
  <c r="R39" i="12" s="1"/>
  <c r="R20" i="2" s="1" a="1"/>
  <c r="R20" i="2" s="1"/>
  <c r="Q39" i="12" a="1"/>
  <c r="Q39" i="12" s="1"/>
  <c r="Q20" i="2" s="1" a="1"/>
  <c r="Q20" i="2" s="1"/>
  <c r="P39" i="12" a="1"/>
  <c r="P39" i="12" s="1"/>
  <c r="P20" i="2" s="1" a="1"/>
  <c r="P20" i="2" s="1"/>
  <c r="O39" i="12" a="1"/>
  <c r="O39" i="12" s="1"/>
  <c r="O20" i="2" s="1" a="1"/>
  <c r="O20" i="2" s="1"/>
  <c r="N39" i="12" a="1"/>
  <c r="N39" i="12" s="1"/>
  <c r="N20" i="2" s="1" a="1"/>
  <c r="N20" i="2" s="1"/>
  <c r="M39" i="12" a="1"/>
  <c r="M39" i="12" s="1"/>
  <c r="M20" i="2" s="1" a="1"/>
  <c r="M20" i="2" s="1"/>
  <c r="L39" i="12" a="1"/>
  <c r="L39" i="12" s="1"/>
  <c r="L20" i="2" s="1" a="1"/>
  <c r="L20" i="2" s="1"/>
  <c r="K39" i="12" a="1"/>
  <c r="K39" i="12" s="1"/>
  <c r="K20" i="2" s="1" a="1"/>
  <c r="K20" i="2" s="1"/>
  <c r="J39" i="12" a="1"/>
  <c r="J39" i="12" s="1"/>
  <c r="J20" i="2" s="1" a="1"/>
  <c r="J20" i="2" s="1"/>
  <c r="I39" i="12" a="1"/>
  <c r="I39" i="12" s="1"/>
  <c r="I20" i="2" s="1" a="1"/>
  <c r="I20" i="2" s="1"/>
  <c r="H39" i="12" a="1"/>
  <c r="H39" i="12" s="1"/>
  <c r="H20" i="2" s="1" a="1"/>
  <c r="H20" i="2" s="1"/>
  <c r="G39" i="12" a="1"/>
  <c r="G39" i="12" s="1"/>
  <c r="G20" i="2" s="1" a="1"/>
  <c r="G20" i="2" s="1"/>
  <c r="F39" i="12" a="1"/>
  <c r="F39" i="12" s="1"/>
  <c r="F20" i="2" s="1" a="1"/>
  <c r="F20" i="2" s="1"/>
  <c r="E39" i="12" a="1"/>
  <c r="E39" i="12" s="1"/>
  <c r="E20" i="2" s="1" a="1"/>
  <c r="E20" i="2" s="1"/>
  <c r="D39" i="12" a="1"/>
  <c r="D39" i="12" s="1"/>
  <c r="D40" i="12" s="1"/>
  <c r="AC23"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D30" i="12" s="1"/>
  <c r="AC22"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D29" i="12" s="1"/>
  <c r="AC21"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D28" i="12" s="1"/>
  <c r="D33" i="12" s="1"/>
  <c r="AC20"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D27" i="12" s="1"/>
  <c r="AC14" i="12" a="1"/>
  <c r="AC14" i="12" s="1"/>
  <c r="AB14" i="12" a="1"/>
  <c r="AB14" i="12" s="1"/>
  <c r="AA14" i="12" a="1"/>
  <c r="AA14" i="12" s="1"/>
  <c r="Z14" i="12" a="1"/>
  <c r="Z14" i="12" s="1"/>
  <c r="Y14" i="12" a="1"/>
  <c r="Y14" i="12" s="1"/>
  <c r="X14" i="12" a="1"/>
  <c r="X14" i="12" s="1"/>
  <c r="W14" i="12" a="1"/>
  <c r="W14" i="12" s="1"/>
  <c r="V14" i="12" a="1"/>
  <c r="V14" i="12" s="1"/>
  <c r="U14" i="12" a="1"/>
  <c r="U14" i="12" s="1"/>
  <c r="T14" i="12" a="1"/>
  <c r="T14" i="12" s="1"/>
  <c r="S14" i="12" a="1"/>
  <c r="S14" i="12" s="1"/>
  <c r="R14" i="12" a="1"/>
  <c r="R14" i="12" s="1"/>
  <c r="Q14" i="12" a="1"/>
  <c r="Q14" i="12" s="1"/>
  <c r="P14" i="12" a="1"/>
  <c r="P14" i="12" s="1"/>
  <c r="O14" i="12" a="1"/>
  <c r="O14" i="12" s="1"/>
  <c r="N14" i="12" a="1"/>
  <c r="N14" i="12" s="1"/>
  <c r="M14" i="12" a="1"/>
  <c r="M14" i="12" s="1"/>
  <c r="L14" i="12" a="1"/>
  <c r="L14" i="12" s="1"/>
  <c r="K14" i="12" a="1"/>
  <c r="K14" i="12" s="1"/>
  <c r="J14" i="12" a="1"/>
  <c r="J14" i="12" s="1"/>
  <c r="I14" i="12" a="1"/>
  <c r="I14" i="12" s="1"/>
  <c r="H14" i="12" a="1"/>
  <c r="H14" i="12" s="1"/>
  <c r="G14" i="12" a="1"/>
  <c r="G14" i="12" s="1"/>
  <c r="F14" i="12" a="1"/>
  <c r="F14" i="12" s="1"/>
  <c r="E14" i="12" a="1"/>
  <c r="E14" i="12" s="1"/>
  <c r="D14" i="12" a="1"/>
  <c r="D14" i="12" s="1"/>
  <c r="AC45" i="11"/>
  <c r="AB45" i="11"/>
  <c r="AA45" i="11"/>
  <c r="Z45" i="11"/>
  <c r="Y45" i="11"/>
  <c r="X45" i="11"/>
  <c r="W45" i="11"/>
  <c r="V45" i="11"/>
  <c r="U45" i="11"/>
  <c r="T45" i="11"/>
  <c r="S45" i="11"/>
  <c r="R45" i="11"/>
  <c r="Q45" i="11"/>
  <c r="P45" i="11"/>
  <c r="O45" i="11"/>
  <c r="N45" i="11"/>
  <c r="M45" i="11"/>
  <c r="L45" i="11"/>
  <c r="K45" i="11"/>
  <c r="J45" i="11"/>
  <c r="I45" i="11"/>
  <c r="H45" i="11"/>
  <c r="G45" i="11"/>
  <c r="F45" i="11"/>
  <c r="E45" i="11"/>
  <c r="D45" i="11"/>
  <c r="AC42" i="11"/>
  <c r="AB42" i="11"/>
  <c r="AA42" i="11"/>
  <c r="Z42" i="11"/>
  <c r="Y42" i="11"/>
  <c r="X42" i="11"/>
  <c r="W42" i="11"/>
  <c r="V42" i="11"/>
  <c r="U42" i="11"/>
  <c r="T42" i="11"/>
  <c r="S42" i="11"/>
  <c r="R42" i="11"/>
  <c r="Q42" i="11"/>
  <c r="P42" i="11"/>
  <c r="O42" i="11"/>
  <c r="N42" i="11"/>
  <c r="M42" i="11"/>
  <c r="L42" i="11"/>
  <c r="K42" i="11"/>
  <c r="J42" i="11"/>
  <c r="I42" i="11"/>
  <c r="H42" i="11"/>
  <c r="G42" i="11"/>
  <c r="F42" i="11"/>
  <c r="E42" i="11"/>
  <c r="D42" i="11"/>
  <c r="AC35" i="11" a="1"/>
  <c r="AC35" i="11" s="1"/>
  <c r="AB35" i="11" a="1"/>
  <c r="AB35" i="11" s="1"/>
  <c r="AA35" i="11" a="1"/>
  <c r="AA35" i="11" s="1"/>
  <c r="Z35" i="11" a="1"/>
  <c r="Z35" i="11" s="1"/>
  <c r="Y35" i="11" a="1"/>
  <c r="Y35" i="11" s="1"/>
  <c r="X35" i="11" a="1"/>
  <c r="X35" i="11" s="1"/>
  <c r="W35" i="11" a="1"/>
  <c r="W35" i="11" s="1"/>
  <c r="V35" i="11" a="1"/>
  <c r="V35" i="11" s="1"/>
  <c r="U35" i="11" a="1"/>
  <c r="U35" i="11" s="1"/>
  <c r="T35" i="11" a="1"/>
  <c r="T35" i="11" s="1"/>
  <c r="S35" i="11" a="1"/>
  <c r="S35" i="11" s="1"/>
  <c r="R35" i="11" a="1"/>
  <c r="R35" i="11" s="1"/>
  <c r="Q35" i="11" a="1"/>
  <c r="Q35" i="11" s="1"/>
  <c r="P35" i="11" a="1"/>
  <c r="P35" i="11" s="1"/>
  <c r="O35" i="11" a="1"/>
  <c r="O35" i="11" s="1"/>
  <c r="N35" i="11" a="1"/>
  <c r="N35" i="11" s="1"/>
  <c r="M35" i="11" a="1"/>
  <c r="M35" i="11" s="1"/>
  <c r="L35" i="11" a="1"/>
  <c r="L35" i="11" s="1"/>
  <c r="K35" i="11" a="1"/>
  <c r="K35" i="11" s="1"/>
  <c r="J35" i="11" a="1"/>
  <c r="J35" i="11" s="1"/>
  <c r="I35" i="11" a="1"/>
  <c r="I35" i="11" s="1"/>
  <c r="H35" i="11" a="1"/>
  <c r="H35" i="11" s="1"/>
  <c r="G35" i="11" a="1"/>
  <c r="G35" i="11" s="1"/>
  <c r="F35" i="11" a="1"/>
  <c r="F35" i="11" s="1"/>
  <c r="E35" i="11" a="1"/>
  <c r="E35" i="11" s="1"/>
  <c r="D35" i="11" a="1"/>
  <c r="D35" i="11" s="1"/>
  <c r="AC31" i="11" a="1"/>
  <c r="AC31" i="11" s="1"/>
  <c r="AB31" i="11" a="1"/>
  <c r="AB31" i="11" s="1"/>
  <c r="AA31" i="11" a="1"/>
  <c r="AA31" i="11" s="1"/>
  <c r="Z31" i="11" a="1"/>
  <c r="Z31" i="11" s="1"/>
  <c r="Y31" i="11" a="1"/>
  <c r="Y31" i="11" s="1"/>
  <c r="X31" i="11" a="1"/>
  <c r="X31" i="11" s="1"/>
  <c r="W31" i="11" a="1"/>
  <c r="W31" i="11" s="1"/>
  <c r="V31" i="11" a="1"/>
  <c r="V31" i="11" s="1"/>
  <c r="U31" i="11" a="1"/>
  <c r="U31" i="11" s="1"/>
  <c r="T31" i="11" a="1"/>
  <c r="T31" i="11" s="1"/>
  <c r="S31" i="11" a="1"/>
  <c r="S31" i="11" s="1"/>
  <c r="R31" i="11" a="1"/>
  <c r="R31" i="11" s="1"/>
  <c r="Q31" i="11" a="1"/>
  <c r="Q31" i="11" s="1"/>
  <c r="P31" i="11" a="1"/>
  <c r="P31" i="11" s="1"/>
  <c r="O31" i="11" a="1"/>
  <c r="O31" i="11" s="1"/>
  <c r="N31" i="11" a="1"/>
  <c r="N31" i="11" s="1"/>
  <c r="M31" i="11" a="1"/>
  <c r="M31" i="11" s="1"/>
  <c r="L31" i="11" a="1"/>
  <c r="L31" i="11" s="1"/>
  <c r="K31" i="11" a="1"/>
  <c r="K31" i="11" s="1"/>
  <c r="J31" i="11" a="1"/>
  <c r="J31" i="11" s="1"/>
  <c r="I31" i="11" a="1"/>
  <c r="I31" i="11" s="1"/>
  <c r="H31" i="11" a="1"/>
  <c r="H31" i="11" s="1"/>
  <c r="G31" i="11" a="1"/>
  <c r="G31" i="11" s="1"/>
  <c r="F31" i="11" a="1"/>
  <c r="F31" i="11" s="1"/>
  <c r="E31" i="11" a="1"/>
  <c r="E31" i="11" s="1"/>
  <c r="D31" i="11" a="1"/>
  <c r="D31" i="11" s="1"/>
  <c r="AC30" i="11" a="1"/>
  <c r="AC30" i="11" s="1"/>
  <c r="AB30" i="11" a="1"/>
  <c r="AB30" i="11" s="1"/>
  <c r="AA30" i="11" a="1"/>
  <c r="AA30" i="11" s="1"/>
  <c r="Z30" i="11" a="1"/>
  <c r="Z30" i="11" s="1"/>
  <c r="Y30" i="11" a="1"/>
  <c r="Y30" i="11" s="1"/>
  <c r="X30" i="11" a="1"/>
  <c r="X30" i="11" s="1"/>
  <c r="W30" i="11" a="1"/>
  <c r="W30" i="11" s="1"/>
  <c r="V30" i="11" a="1"/>
  <c r="V30" i="11" s="1"/>
  <c r="U30" i="11" a="1"/>
  <c r="U30" i="11" s="1"/>
  <c r="T30" i="11" a="1"/>
  <c r="T30" i="11" s="1"/>
  <c r="S30" i="11" a="1"/>
  <c r="S30" i="11" s="1"/>
  <c r="R30" i="11" a="1"/>
  <c r="R30" i="11" s="1"/>
  <c r="Q30" i="11" a="1"/>
  <c r="Q30" i="11" s="1"/>
  <c r="P30" i="11" a="1"/>
  <c r="P30" i="11" s="1"/>
  <c r="O30" i="11" a="1"/>
  <c r="O30" i="11" s="1"/>
  <c r="N30" i="11" a="1"/>
  <c r="N30" i="11" s="1"/>
  <c r="M30" i="11" a="1"/>
  <c r="M30" i="11" s="1"/>
  <c r="L30" i="11" a="1"/>
  <c r="L30" i="11" s="1"/>
  <c r="K30" i="11" a="1"/>
  <c r="K30" i="11" s="1"/>
  <c r="J30" i="11" a="1"/>
  <c r="J30" i="11" s="1"/>
  <c r="I30" i="11" a="1"/>
  <c r="I30" i="11" s="1"/>
  <c r="H30" i="11" a="1"/>
  <c r="H30" i="11" s="1"/>
  <c r="G30" i="11" a="1"/>
  <c r="G30" i="11" s="1"/>
  <c r="F30" i="11" a="1"/>
  <c r="F30" i="11" s="1"/>
  <c r="E30" i="11" a="1"/>
  <c r="E30" i="11" s="1"/>
  <c r="D30" i="11" a="1"/>
  <c r="D30" i="11" s="1"/>
  <c r="AC29" i="11"/>
  <c r="AB29" i="11"/>
  <c r="AA29" i="11"/>
  <c r="Z29" i="11"/>
  <c r="Y29" i="11"/>
  <c r="X29" i="11"/>
  <c r="W29" i="11"/>
  <c r="V29" i="11"/>
  <c r="U29" i="11"/>
  <c r="T29" i="11"/>
  <c r="S29" i="11"/>
  <c r="R29" i="11"/>
  <c r="Q29" i="11"/>
  <c r="P29" i="11"/>
  <c r="O29" i="11"/>
  <c r="N29" i="11"/>
  <c r="M29" i="11"/>
  <c r="L29" i="11"/>
  <c r="K29" i="11"/>
  <c r="J29" i="11"/>
  <c r="I29" i="11"/>
  <c r="H29" i="11"/>
  <c r="G29" i="11"/>
  <c r="F29" i="11"/>
  <c r="E29" i="11"/>
  <c r="D29" i="11"/>
  <c r="AC25" i="11" a="1"/>
  <c r="AC25" i="11" s="1"/>
  <c r="AB25" i="11" a="1"/>
  <c r="AB25" i="11" s="1"/>
  <c r="AA25" i="11" a="1"/>
  <c r="AA25" i="11" s="1"/>
  <c r="Z25" i="11" a="1"/>
  <c r="Z25" i="11" s="1"/>
  <c r="Y25" i="11" a="1"/>
  <c r="Y25" i="11" s="1"/>
  <c r="X25" i="11" a="1"/>
  <c r="X25" i="11" s="1"/>
  <c r="W25" i="11" a="1"/>
  <c r="W25" i="11" s="1"/>
  <c r="V25" i="11" a="1"/>
  <c r="V25" i="11" s="1"/>
  <c r="U25" i="11" a="1"/>
  <c r="U25" i="11" s="1"/>
  <c r="T25" i="11" a="1"/>
  <c r="T25" i="11" s="1"/>
  <c r="S25" i="11" a="1"/>
  <c r="S25" i="11" s="1"/>
  <c r="R25" i="11" a="1"/>
  <c r="R25" i="11" s="1"/>
  <c r="Q25" i="11" a="1"/>
  <c r="Q25" i="11" s="1"/>
  <c r="P25" i="11" a="1"/>
  <c r="P25" i="11" s="1"/>
  <c r="O25" i="11" a="1"/>
  <c r="O25" i="11" s="1"/>
  <c r="N25" i="11" a="1"/>
  <c r="N25" i="11" s="1"/>
  <c r="M25" i="11" a="1"/>
  <c r="M25" i="11" s="1"/>
  <c r="L25" i="11" a="1"/>
  <c r="L25" i="11" s="1"/>
  <c r="K25" i="11" a="1"/>
  <c r="K25" i="11" s="1"/>
  <c r="J25" i="11" a="1"/>
  <c r="J25" i="11" s="1"/>
  <c r="I25" i="11" a="1"/>
  <c r="I25" i="11" s="1"/>
  <c r="H25" i="11" a="1"/>
  <c r="H25" i="11" s="1"/>
  <c r="G25" i="11" a="1"/>
  <c r="G25" i="11" s="1"/>
  <c r="F25" i="11" a="1"/>
  <c r="F25" i="11" s="1"/>
  <c r="E25" i="11" a="1"/>
  <c r="E25" i="11" s="1"/>
  <c r="D25" i="11" a="1"/>
  <c r="D25" i="11" s="1"/>
  <c r="AC23" i="11"/>
  <c r="AB23" i="11"/>
  <c r="AA23" i="11"/>
  <c r="Z23" i="11"/>
  <c r="Y23" i="11"/>
  <c r="X23" i="11"/>
  <c r="W23" i="11"/>
  <c r="V23" i="11"/>
  <c r="U23" i="11"/>
  <c r="T23" i="11"/>
  <c r="S23" i="11"/>
  <c r="R23" i="11"/>
  <c r="Q23" i="11"/>
  <c r="P23" i="11"/>
  <c r="O23" i="11"/>
  <c r="N23" i="11"/>
  <c r="M23" i="11"/>
  <c r="L23" i="11"/>
  <c r="K23" i="11"/>
  <c r="J23" i="11"/>
  <c r="I23" i="11"/>
  <c r="H23" i="11"/>
  <c r="G23" i="11"/>
  <c r="F23" i="11"/>
  <c r="E23" i="11"/>
  <c r="D23"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AC11" i="11"/>
  <c r="AB11" i="11"/>
  <c r="AA11" i="11"/>
  <c r="Z11" i="11"/>
  <c r="Y11" i="11"/>
  <c r="X11" i="11"/>
  <c r="W11" i="11"/>
  <c r="V11" i="11"/>
  <c r="U11" i="11"/>
  <c r="T11" i="11"/>
  <c r="S11" i="11"/>
  <c r="R11" i="11"/>
  <c r="Q11" i="11"/>
  <c r="P11" i="11"/>
  <c r="O11" i="11"/>
  <c r="N11" i="11"/>
  <c r="M11" i="11"/>
  <c r="L11" i="11"/>
  <c r="K11" i="11"/>
  <c r="J11" i="11"/>
  <c r="I11" i="11"/>
  <c r="H11" i="11"/>
  <c r="G11" i="11"/>
  <c r="F11" i="11"/>
  <c r="E11" i="11"/>
  <c r="D11" i="11"/>
  <c r="B342" i="1"/>
  <c r="A9" i="14"/>
  <c r="D209" i="9"/>
  <c r="E209" i="9"/>
  <c r="F209" i="9"/>
  <c r="G209" i="9"/>
  <c r="H209" i="9"/>
  <c r="I209" i="9"/>
  <c r="J209" i="9"/>
  <c r="K209" i="9"/>
  <c r="L209" i="9"/>
  <c r="M209" i="9"/>
  <c r="N209" i="9"/>
  <c r="O209" i="9"/>
  <c r="P209" i="9"/>
  <c r="Q209" i="9"/>
  <c r="R209" i="9"/>
  <c r="S209" i="9"/>
  <c r="T209" i="9"/>
  <c r="U209" i="9"/>
  <c r="V209" i="9"/>
  <c r="W209" i="9"/>
  <c r="X209" i="9"/>
  <c r="Y209" i="9"/>
  <c r="Z209" i="9"/>
  <c r="AA209" i="9"/>
  <c r="AB209" i="9"/>
  <c r="AC209" i="9"/>
  <c r="D208" i="9"/>
  <c r="E208" i="9"/>
  <c r="F208" i="9"/>
  <c r="G208" i="9"/>
  <c r="H208" i="9"/>
  <c r="I208" i="9"/>
  <c r="J208" i="9"/>
  <c r="K208" i="9"/>
  <c r="L208" i="9"/>
  <c r="M208" i="9"/>
  <c r="N208" i="9"/>
  <c r="O208" i="9"/>
  <c r="P208" i="9"/>
  <c r="Q208" i="9"/>
  <c r="R208" i="9"/>
  <c r="S208" i="9"/>
  <c r="T208" i="9"/>
  <c r="U208" i="9"/>
  <c r="V208" i="9"/>
  <c r="W208" i="9"/>
  <c r="X208" i="9"/>
  <c r="Y208" i="9"/>
  <c r="Z208" i="9"/>
  <c r="AA208" i="9"/>
  <c r="AB208" i="9"/>
  <c r="AC208"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D118" i="9" a="1"/>
  <c r="D118" i="9" s="1"/>
  <c r="D117" i="9" a="1"/>
  <c r="D117" i="9" s="1"/>
  <c r="D113" i="9"/>
  <c r="D201" i="9" s="1"/>
  <c r="E113" i="9"/>
  <c r="E201" i="9" s="1"/>
  <c r="F113" i="9"/>
  <c r="F201" i="9" s="1"/>
  <c r="G113" i="9"/>
  <c r="G201" i="9" s="1"/>
  <c r="H113" i="9"/>
  <c r="H201" i="9" s="1"/>
  <c r="I113" i="9"/>
  <c r="I201" i="9" s="1"/>
  <c r="J113" i="9"/>
  <c r="J201" i="9" s="1"/>
  <c r="K113" i="9"/>
  <c r="K201" i="9" s="1"/>
  <c r="L113" i="9"/>
  <c r="L201" i="9" s="1"/>
  <c r="M113" i="9"/>
  <c r="M201" i="9" s="1"/>
  <c r="N113" i="9"/>
  <c r="N201" i="9" s="1"/>
  <c r="O113" i="9"/>
  <c r="O201" i="9" s="1"/>
  <c r="P113" i="9"/>
  <c r="P201" i="9" s="1"/>
  <c r="Q113" i="9"/>
  <c r="Q201" i="9" s="1"/>
  <c r="R113" i="9"/>
  <c r="R201" i="9" s="1"/>
  <c r="S113" i="9"/>
  <c r="S201" i="9" s="1"/>
  <c r="T113" i="9"/>
  <c r="T201" i="9" s="1"/>
  <c r="U113" i="9"/>
  <c r="U201" i="9" s="1"/>
  <c r="V113" i="9"/>
  <c r="V201" i="9" s="1"/>
  <c r="W113" i="9"/>
  <c r="W201" i="9" s="1"/>
  <c r="X113" i="9"/>
  <c r="X201" i="9" s="1"/>
  <c r="Y113" i="9"/>
  <c r="Y201" i="9" s="1"/>
  <c r="Z113" i="9"/>
  <c r="Z201" i="9" s="1"/>
  <c r="AA113" i="9"/>
  <c r="AA201" i="9" s="1"/>
  <c r="AB113" i="9"/>
  <c r="AB201" i="9" s="1"/>
  <c r="AC113" i="9"/>
  <c r="AC201" i="9" s="1"/>
  <c r="D83" i="9"/>
  <c r="E83" i="9"/>
  <c r="F83" i="9"/>
  <c r="G83" i="9"/>
  <c r="H83" i="9"/>
  <c r="I83" i="9"/>
  <c r="J83" i="9"/>
  <c r="K83" i="9"/>
  <c r="L83" i="9"/>
  <c r="M83" i="9"/>
  <c r="N83" i="9"/>
  <c r="O83" i="9"/>
  <c r="P83" i="9"/>
  <c r="Q83" i="9"/>
  <c r="R83" i="9"/>
  <c r="S83" i="9"/>
  <c r="T83" i="9"/>
  <c r="U83" i="9"/>
  <c r="V83" i="9"/>
  <c r="W83" i="9"/>
  <c r="X83" i="9"/>
  <c r="Y83" i="9"/>
  <c r="Z83" i="9"/>
  <c r="AA83" i="9"/>
  <c r="AB83" i="9"/>
  <c r="AC83" i="9"/>
  <c r="D63" i="9"/>
  <c r="H65" i="9" s="1"/>
  <c r="E63" i="9"/>
  <c r="F63" i="9"/>
  <c r="G63" i="9"/>
  <c r="H63" i="9"/>
  <c r="I63" i="9"/>
  <c r="J63" i="9"/>
  <c r="K63" i="9"/>
  <c r="L63" i="9"/>
  <c r="M63" i="9"/>
  <c r="N63" i="9"/>
  <c r="O63" i="9"/>
  <c r="P63" i="9"/>
  <c r="Q63" i="9"/>
  <c r="R63" i="9"/>
  <c r="S63" i="9"/>
  <c r="T63" i="9"/>
  <c r="U63" i="9"/>
  <c r="V63" i="9"/>
  <c r="W63" i="9"/>
  <c r="X63" i="9"/>
  <c r="Y63" i="9"/>
  <c r="Z63" i="9"/>
  <c r="AA63" i="9"/>
  <c r="AB63" i="9"/>
  <c r="AC63" i="9"/>
  <c r="D62" i="9"/>
  <c r="E62" i="9"/>
  <c r="F62" i="9"/>
  <c r="G62" i="9"/>
  <c r="H62" i="9"/>
  <c r="I62" i="9"/>
  <c r="J62" i="9"/>
  <c r="K62" i="9"/>
  <c r="L62" i="9"/>
  <c r="M62" i="9"/>
  <c r="N62" i="9"/>
  <c r="O62" i="9"/>
  <c r="P62" i="9"/>
  <c r="Q62" i="9"/>
  <c r="R62" i="9"/>
  <c r="S62" i="9"/>
  <c r="T62" i="9"/>
  <c r="U62" i="9"/>
  <c r="V62" i="9"/>
  <c r="W62" i="9"/>
  <c r="X62" i="9"/>
  <c r="Y62" i="9"/>
  <c r="Z62" i="9"/>
  <c r="AA62" i="9"/>
  <c r="AB62" i="9"/>
  <c r="AC62" i="9"/>
  <c r="D61" i="9"/>
  <c r="E61" i="9"/>
  <c r="F61" i="9"/>
  <c r="G61" i="9"/>
  <c r="H61" i="9"/>
  <c r="I61" i="9"/>
  <c r="J61" i="9"/>
  <c r="K61" i="9"/>
  <c r="L61" i="9"/>
  <c r="M61" i="9"/>
  <c r="N61" i="9"/>
  <c r="O61" i="9"/>
  <c r="P61" i="9"/>
  <c r="Q61" i="9"/>
  <c r="R61" i="9"/>
  <c r="S61" i="9"/>
  <c r="T61" i="9"/>
  <c r="U61" i="9"/>
  <c r="V61" i="9"/>
  <c r="W61" i="9"/>
  <c r="X61" i="9"/>
  <c r="Y61" i="9"/>
  <c r="Z61" i="9"/>
  <c r="AA61" i="9"/>
  <c r="AB61" i="9"/>
  <c r="AC61" i="9"/>
  <c r="D60" i="9"/>
  <c r="E60" i="9"/>
  <c r="F60" i="9"/>
  <c r="G60" i="9"/>
  <c r="H60" i="9"/>
  <c r="I60" i="9"/>
  <c r="J60" i="9"/>
  <c r="K60" i="9"/>
  <c r="L60" i="9"/>
  <c r="M60" i="9"/>
  <c r="N60" i="9"/>
  <c r="O60" i="9"/>
  <c r="P60" i="9"/>
  <c r="Q60" i="9"/>
  <c r="R60" i="9"/>
  <c r="S60" i="9"/>
  <c r="T60" i="9"/>
  <c r="U60" i="9"/>
  <c r="V60" i="9"/>
  <c r="W60" i="9"/>
  <c r="X60" i="9"/>
  <c r="Y60" i="9"/>
  <c r="Z60" i="9"/>
  <c r="AA60" i="9"/>
  <c r="AB60" i="9"/>
  <c r="AC60" i="9"/>
  <c r="D59" i="9"/>
  <c r="G72" i="9" s="1" a="1"/>
  <c r="G72" i="9" s="1"/>
  <c r="E59" i="9"/>
  <c r="F59" i="9"/>
  <c r="G59" i="9"/>
  <c r="H59" i="9"/>
  <c r="I59" i="9"/>
  <c r="J59" i="9"/>
  <c r="K59" i="9"/>
  <c r="L59" i="9"/>
  <c r="M59" i="9"/>
  <c r="N59" i="9"/>
  <c r="O59" i="9"/>
  <c r="P59" i="9"/>
  <c r="Q59" i="9"/>
  <c r="R59" i="9"/>
  <c r="S59" i="9"/>
  <c r="T59" i="9"/>
  <c r="U59" i="9"/>
  <c r="V59" i="9"/>
  <c r="W59" i="9"/>
  <c r="X59" i="9"/>
  <c r="Y59" i="9"/>
  <c r="Z59" i="9"/>
  <c r="AA59" i="9"/>
  <c r="AB59" i="9"/>
  <c r="AC59" i="9"/>
  <c r="D58" i="9"/>
  <c r="E58" i="9"/>
  <c r="F58" i="9"/>
  <c r="G58" i="9"/>
  <c r="H58" i="9"/>
  <c r="I58" i="9"/>
  <c r="J58" i="9"/>
  <c r="K58" i="9"/>
  <c r="L58" i="9"/>
  <c r="M58" i="9"/>
  <c r="N58" i="9"/>
  <c r="O58" i="9"/>
  <c r="P58" i="9"/>
  <c r="Q58" i="9"/>
  <c r="R58" i="9"/>
  <c r="S58" i="9"/>
  <c r="T58" i="9"/>
  <c r="U58" i="9"/>
  <c r="V58" i="9"/>
  <c r="W58" i="9"/>
  <c r="X58" i="9"/>
  <c r="Y58" i="9"/>
  <c r="Z58" i="9"/>
  <c r="AA58" i="9"/>
  <c r="AB58" i="9"/>
  <c r="AC58" i="9"/>
  <c r="D48" i="9"/>
  <c r="E48" i="9"/>
  <c r="F48" i="9"/>
  <c r="G48" i="9"/>
  <c r="H48" i="9"/>
  <c r="I48" i="9"/>
  <c r="J48" i="9"/>
  <c r="K48" i="9"/>
  <c r="L48" i="9"/>
  <c r="M48" i="9"/>
  <c r="N48" i="9"/>
  <c r="O48" i="9"/>
  <c r="P48" i="9"/>
  <c r="Q48" i="9"/>
  <c r="R48" i="9"/>
  <c r="S48" i="9"/>
  <c r="T48" i="9"/>
  <c r="U48" i="9"/>
  <c r="V48" i="9"/>
  <c r="W48" i="9"/>
  <c r="X48" i="9"/>
  <c r="Y48" i="9"/>
  <c r="Z48" i="9"/>
  <c r="AA48" i="9"/>
  <c r="AB48" i="9"/>
  <c r="AC48" i="9"/>
  <c r="D41" i="9" a="1"/>
  <c r="D41" i="9" s="1"/>
  <c r="E41" i="9" a="1"/>
  <c r="E41" i="9" s="1"/>
  <c r="F41" i="9" a="1"/>
  <c r="F41" i="9" s="1"/>
  <c r="G41" i="9" a="1"/>
  <c r="G41" i="9" s="1"/>
  <c r="H41" i="9" a="1"/>
  <c r="H41" i="9" s="1"/>
  <c r="I41" i="9" a="1"/>
  <c r="I41" i="9" s="1"/>
  <c r="J41" i="9" a="1"/>
  <c r="J41" i="9" s="1"/>
  <c r="K41" i="9" a="1"/>
  <c r="K41" i="9" s="1"/>
  <c r="L41" i="9" a="1"/>
  <c r="L41" i="9" s="1"/>
  <c r="M41" i="9" a="1"/>
  <c r="M41" i="9" s="1"/>
  <c r="N41" i="9" a="1"/>
  <c r="N41" i="9" s="1"/>
  <c r="O41" i="9" a="1"/>
  <c r="O41" i="9" s="1"/>
  <c r="P41" i="9" a="1"/>
  <c r="P41" i="9" s="1"/>
  <c r="Q41" i="9" a="1"/>
  <c r="Q41" i="9" s="1"/>
  <c r="R41" i="9" a="1"/>
  <c r="R41" i="9" s="1"/>
  <c r="S41" i="9" a="1"/>
  <c r="S41" i="9" s="1"/>
  <c r="T41" i="9" a="1"/>
  <c r="T41" i="9" s="1"/>
  <c r="U41" i="9" a="1"/>
  <c r="U41" i="9" s="1"/>
  <c r="V41" i="9" a="1"/>
  <c r="V41" i="9" s="1"/>
  <c r="W41" i="9" a="1"/>
  <c r="W41" i="9" s="1"/>
  <c r="X41" i="9" a="1"/>
  <c r="X41" i="9" s="1"/>
  <c r="Y41" i="9" a="1"/>
  <c r="Y41" i="9" s="1"/>
  <c r="Z41" i="9" a="1"/>
  <c r="Z41" i="9" s="1"/>
  <c r="AA41" i="9" a="1"/>
  <c r="AA41" i="9" s="1"/>
  <c r="AB41" i="9" a="1"/>
  <c r="AB41" i="9" s="1"/>
  <c r="AC41" i="9" a="1"/>
  <c r="AC41" i="9" s="1"/>
  <c r="D38" i="9"/>
  <c r="D136" i="9" s="1" a="1"/>
  <c r="D136" i="9" s="1"/>
  <c r="E38" i="9"/>
  <c r="F38" i="9"/>
  <c r="D33" i="9" a="1"/>
  <c r="D33" i="9" s="1"/>
  <c r="E33" i="9" a="1"/>
  <c r="E33" i="9" s="1"/>
  <c r="F33" i="9" a="1"/>
  <c r="F33" i="9" s="1"/>
  <c r="G33" i="9" a="1"/>
  <c r="G33" i="9" s="1"/>
  <c r="H33" i="9" a="1"/>
  <c r="H33" i="9" s="1"/>
  <c r="I33" i="9" a="1"/>
  <c r="I33" i="9" s="1"/>
  <c r="J33" i="9" a="1"/>
  <c r="J33" i="9" s="1"/>
  <c r="K33" i="9" a="1"/>
  <c r="K33" i="9" s="1"/>
  <c r="L33" i="9" a="1"/>
  <c r="L33" i="9" s="1"/>
  <c r="M33" i="9" a="1"/>
  <c r="M33" i="9" s="1"/>
  <c r="N33" i="9" a="1"/>
  <c r="N33" i="9" s="1"/>
  <c r="O33" i="9" a="1"/>
  <c r="O33" i="9" s="1"/>
  <c r="P33" i="9" a="1"/>
  <c r="P33" i="9" s="1"/>
  <c r="Q33" i="9" a="1"/>
  <c r="Q33" i="9" s="1"/>
  <c r="R33" i="9" a="1"/>
  <c r="R33" i="9" s="1"/>
  <c r="S33" i="9" a="1"/>
  <c r="S33" i="9" s="1"/>
  <c r="T33" i="9" a="1"/>
  <c r="T33" i="9" s="1"/>
  <c r="U33" i="9" a="1"/>
  <c r="U33" i="9" s="1"/>
  <c r="V33" i="9" a="1"/>
  <c r="V33" i="9" s="1"/>
  <c r="W33" i="9" a="1"/>
  <c r="W33" i="9" s="1"/>
  <c r="X33" i="9" a="1"/>
  <c r="X33" i="9" s="1"/>
  <c r="Y33" i="9" a="1"/>
  <c r="Y33" i="9" s="1"/>
  <c r="Z33" i="9" a="1"/>
  <c r="Z33" i="9" s="1"/>
  <c r="AA33" i="9" a="1"/>
  <c r="AA33" i="9" s="1"/>
  <c r="AB33" i="9" a="1"/>
  <c r="AB33" i="9" s="1"/>
  <c r="AC33" i="9" a="1"/>
  <c r="AC33" i="9" s="1"/>
  <c r="D30" i="9"/>
  <c r="D135" i="9" s="1" a="1"/>
  <c r="D135" i="9" s="1"/>
  <c r="E30" i="9"/>
  <c r="F30" i="9"/>
  <c r="D23" i="9" a="1"/>
  <c r="D23" i="9" s="1"/>
  <c r="E23" i="9" a="1"/>
  <c r="E23" i="9" s="1"/>
  <c r="F23" i="9" a="1"/>
  <c r="F23" i="9" s="1"/>
  <c r="G23" i="9" a="1"/>
  <c r="G23" i="9" s="1"/>
  <c r="H23" i="9" a="1"/>
  <c r="H23" i="9" s="1"/>
  <c r="I23" i="9" a="1"/>
  <c r="I23" i="9" s="1"/>
  <c r="J23" i="9" a="1"/>
  <c r="J23" i="9" s="1"/>
  <c r="K23" i="9" a="1"/>
  <c r="K23" i="9" s="1"/>
  <c r="L23" i="9" a="1"/>
  <c r="L23" i="9" s="1"/>
  <c r="M23" i="9" a="1"/>
  <c r="M23" i="9" s="1"/>
  <c r="N23" i="9" a="1"/>
  <c r="N23" i="9" s="1"/>
  <c r="O23" i="9" a="1"/>
  <c r="O23" i="9" s="1"/>
  <c r="P23" i="9" a="1"/>
  <c r="P23" i="9" s="1"/>
  <c r="Q23" i="9" a="1"/>
  <c r="Q23" i="9" s="1"/>
  <c r="R23" i="9" a="1"/>
  <c r="R23" i="9" s="1"/>
  <c r="S23" i="9" a="1"/>
  <c r="S23" i="9" s="1"/>
  <c r="T23" i="9" a="1"/>
  <c r="T23" i="9" s="1"/>
  <c r="U23" i="9" a="1"/>
  <c r="U23" i="9" s="1"/>
  <c r="V23" i="9" a="1"/>
  <c r="V23" i="9" s="1"/>
  <c r="W23" i="9" a="1"/>
  <c r="W23" i="9" s="1"/>
  <c r="X23" i="9" a="1"/>
  <c r="X23" i="9" s="1"/>
  <c r="Y23" i="9" a="1"/>
  <c r="Y23" i="9" s="1"/>
  <c r="Z23" i="9" a="1"/>
  <c r="Z23" i="9" s="1"/>
  <c r="AA23" i="9" a="1"/>
  <c r="AA23" i="9" s="1"/>
  <c r="AB23" i="9" a="1"/>
  <c r="AB23" i="9" s="1"/>
  <c r="AC23" i="9" a="1"/>
  <c r="AC23" i="9" s="1"/>
  <c r="D22" i="9"/>
  <c r="E22" i="9"/>
  <c r="F22" i="9"/>
  <c r="G22" i="9"/>
  <c r="H22" i="9"/>
  <c r="I22" i="9"/>
  <c r="J22" i="9"/>
  <c r="K22" i="9"/>
  <c r="L22" i="9"/>
  <c r="M22" i="9"/>
  <c r="N22" i="9"/>
  <c r="O22" i="9"/>
  <c r="P22" i="9"/>
  <c r="Q22" i="9"/>
  <c r="R22" i="9"/>
  <c r="S22" i="9"/>
  <c r="T22" i="9"/>
  <c r="U22" i="9"/>
  <c r="V22" i="9"/>
  <c r="W22" i="9"/>
  <c r="X22" i="9"/>
  <c r="Y22" i="9"/>
  <c r="Z22" i="9"/>
  <c r="AA22" i="9"/>
  <c r="AB22" i="9"/>
  <c r="AC22" i="9"/>
  <c r="D21" i="9"/>
  <c r="E21" i="9"/>
  <c r="F21" i="9"/>
  <c r="G21" i="9"/>
  <c r="H21" i="9"/>
  <c r="I21" i="9"/>
  <c r="J21" i="9"/>
  <c r="K21" i="9"/>
  <c r="L21" i="9"/>
  <c r="M21" i="9"/>
  <c r="N21" i="9"/>
  <c r="O21" i="9"/>
  <c r="P21" i="9"/>
  <c r="Q21" i="9"/>
  <c r="R21" i="9"/>
  <c r="S21" i="9"/>
  <c r="T21" i="9"/>
  <c r="U21" i="9"/>
  <c r="V21" i="9"/>
  <c r="W21" i="9"/>
  <c r="X21" i="9"/>
  <c r="Y21" i="9"/>
  <c r="Z21" i="9"/>
  <c r="AA21" i="9"/>
  <c r="AB21" i="9"/>
  <c r="AC21" i="9"/>
  <c r="D20" i="9"/>
  <c r="E20" i="9"/>
  <c r="F20" i="9"/>
  <c r="G20" i="9"/>
  <c r="H20" i="9"/>
  <c r="I20" i="9"/>
  <c r="J20" i="9"/>
  <c r="K20" i="9"/>
  <c r="L20" i="9"/>
  <c r="M20" i="9"/>
  <c r="N20" i="9"/>
  <c r="O20" i="9"/>
  <c r="P20" i="9"/>
  <c r="Q20" i="9"/>
  <c r="R20" i="9"/>
  <c r="S20" i="9"/>
  <c r="T20" i="9"/>
  <c r="U20" i="9"/>
  <c r="V20" i="9"/>
  <c r="W20" i="9"/>
  <c r="X20" i="9"/>
  <c r="Y20" i="9"/>
  <c r="Z20" i="9"/>
  <c r="AA20" i="9"/>
  <c r="AB20" i="9"/>
  <c r="AC20" i="9"/>
  <c r="D19" i="9"/>
  <c r="E19" i="9"/>
  <c r="F19" i="9"/>
  <c r="G19" i="9"/>
  <c r="H19" i="9"/>
  <c r="I19" i="9"/>
  <c r="J19" i="9"/>
  <c r="K19" i="9"/>
  <c r="L19" i="9"/>
  <c r="M19" i="9"/>
  <c r="N19" i="9"/>
  <c r="O19" i="9"/>
  <c r="P19" i="9"/>
  <c r="Q19" i="9"/>
  <c r="R19" i="9"/>
  <c r="S19" i="9"/>
  <c r="T19" i="9"/>
  <c r="U19" i="9"/>
  <c r="V19" i="9"/>
  <c r="W19" i="9"/>
  <c r="X19" i="9"/>
  <c r="Y19" i="9"/>
  <c r="Z19" i="9"/>
  <c r="AA19" i="9"/>
  <c r="AB19" i="9"/>
  <c r="AC19" i="9"/>
  <c r="D18" i="9" a="1"/>
  <c r="D18" i="9" s="1"/>
  <c r="E18" i="9" a="1"/>
  <c r="E18" i="9" s="1"/>
  <c r="F18" i="9" a="1"/>
  <c r="F18" i="9" s="1"/>
  <c r="G18" i="9" a="1"/>
  <c r="G18" i="9" s="1"/>
  <c r="H18" i="9" a="1"/>
  <c r="H18" i="9" s="1"/>
  <c r="I18" i="9" a="1"/>
  <c r="I18" i="9" s="1"/>
  <c r="J18" i="9" a="1"/>
  <c r="J18" i="9" s="1"/>
  <c r="K18" i="9" a="1"/>
  <c r="K18" i="9" s="1"/>
  <c r="L18" i="9" a="1"/>
  <c r="L18" i="9" s="1"/>
  <c r="M18" i="9" a="1"/>
  <c r="M18" i="9" s="1"/>
  <c r="N18" i="9" a="1"/>
  <c r="N18" i="9" s="1"/>
  <c r="O18" i="9" a="1"/>
  <c r="O18" i="9" s="1"/>
  <c r="P18" i="9" a="1"/>
  <c r="P18" i="9" s="1"/>
  <c r="Q18" i="9" a="1"/>
  <c r="Q18" i="9" s="1"/>
  <c r="R18" i="9" a="1"/>
  <c r="R18" i="9" s="1"/>
  <c r="S18" i="9" a="1"/>
  <c r="S18" i="9" s="1"/>
  <c r="T18" i="9" a="1"/>
  <c r="T18" i="9" s="1"/>
  <c r="U18" i="9" a="1"/>
  <c r="U18" i="9" s="1"/>
  <c r="V18" i="9" a="1"/>
  <c r="V18" i="9" s="1"/>
  <c r="W18" i="9" a="1"/>
  <c r="W18" i="9" s="1"/>
  <c r="X18" i="9" a="1"/>
  <c r="X18" i="9" s="1"/>
  <c r="Y18" i="9" a="1"/>
  <c r="Y18" i="9" s="1"/>
  <c r="Z18" i="9" a="1"/>
  <c r="Z18" i="9" s="1"/>
  <c r="AA18" i="9" a="1"/>
  <c r="AA18" i="9" s="1"/>
  <c r="AB18" i="9" a="1"/>
  <c r="AB18" i="9" s="1"/>
  <c r="AC18" i="9" a="1"/>
  <c r="AC18" i="9" s="1"/>
  <c r="D36" i="2" a="1"/>
  <c r="D36" i="2" s="1"/>
  <c r="D13" i="9" s="1" a="1"/>
  <c r="D13" i="9" s="1"/>
  <c r="E36" i="2" a="1"/>
  <c r="E36" i="2" s="1"/>
  <c r="E13" i="9" s="1" a="1"/>
  <c r="E13" i="9" s="1"/>
  <c r="F36" i="2" a="1"/>
  <c r="F36" i="2" s="1"/>
  <c r="F13" i="9" s="1" a="1"/>
  <c r="F13" i="9" s="1"/>
  <c r="G36" i="2" a="1"/>
  <c r="G36" i="2" s="1"/>
  <c r="G13" i="9" s="1" a="1"/>
  <c r="G13" i="9" s="1"/>
  <c r="H36" i="2" a="1"/>
  <c r="H36" i="2" s="1"/>
  <c r="H13" i="9" s="1" a="1"/>
  <c r="H13" i="9" s="1"/>
  <c r="I36" i="2" a="1"/>
  <c r="I36" i="2" s="1"/>
  <c r="I13" i="9" s="1" a="1"/>
  <c r="I13" i="9" s="1"/>
  <c r="J36" i="2" a="1"/>
  <c r="J36" i="2" s="1"/>
  <c r="J13" i="9" s="1" a="1"/>
  <c r="J13" i="9" s="1"/>
  <c r="K36" i="2" a="1"/>
  <c r="K36" i="2" s="1"/>
  <c r="K13" i="9" s="1" a="1"/>
  <c r="K13" i="9" s="1"/>
  <c r="L36" i="2" a="1"/>
  <c r="L36" i="2" s="1"/>
  <c r="L13" i="9" s="1" a="1"/>
  <c r="L13" i="9" s="1"/>
  <c r="M36" i="2" a="1"/>
  <c r="M36" i="2" s="1"/>
  <c r="M13" i="9" s="1" a="1"/>
  <c r="M13" i="9" s="1"/>
  <c r="N36" i="2" a="1"/>
  <c r="N36" i="2" s="1"/>
  <c r="N13" i="9" s="1" a="1"/>
  <c r="N13" i="9" s="1"/>
  <c r="O36" i="2" a="1"/>
  <c r="O36" i="2" s="1"/>
  <c r="O13" i="9" s="1" a="1"/>
  <c r="O13" i="9" s="1"/>
  <c r="P36" i="2" a="1"/>
  <c r="P36" i="2" s="1"/>
  <c r="P13" i="9" s="1" a="1"/>
  <c r="P13" i="9" s="1"/>
  <c r="Q36" i="2" a="1"/>
  <c r="Q36" i="2" s="1"/>
  <c r="Q13" i="9" s="1" a="1"/>
  <c r="Q13" i="9" s="1"/>
  <c r="R36" i="2" a="1"/>
  <c r="R36" i="2" s="1"/>
  <c r="R13" i="9" s="1" a="1"/>
  <c r="R13" i="9" s="1"/>
  <c r="S36" i="2" a="1"/>
  <c r="S36" i="2" s="1"/>
  <c r="S13" i="9" s="1" a="1"/>
  <c r="S13" i="9" s="1"/>
  <c r="T36" i="2" a="1"/>
  <c r="T36" i="2" s="1"/>
  <c r="T13" i="9" s="1" a="1"/>
  <c r="T13" i="9" s="1"/>
  <c r="U36" i="2" a="1"/>
  <c r="U36" i="2" s="1"/>
  <c r="U13" i="9" s="1" a="1"/>
  <c r="U13" i="9" s="1"/>
  <c r="V36" i="2" a="1"/>
  <c r="V36" i="2" s="1"/>
  <c r="V13" i="9" s="1" a="1"/>
  <c r="V13" i="9" s="1"/>
  <c r="W36" i="2" a="1"/>
  <c r="W36" i="2" s="1"/>
  <c r="W13" i="9" s="1" a="1"/>
  <c r="W13" i="9" s="1"/>
  <c r="X36" i="2" a="1"/>
  <c r="X36" i="2" s="1"/>
  <c r="X13" i="9" s="1" a="1"/>
  <c r="X13" i="9" s="1"/>
  <c r="Y36" i="2" a="1"/>
  <c r="Y36" i="2" s="1"/>
  <c r="Y13" i="9" s="1" a="1"/>
  <c r="Y13" i="9" s="1"/>
  <c r="Z36" i="2" a="1"/>
  <c r="Z36" i="2" s="1"/>
  <c r="Z13" i="9" s="1" a="1"/>
  <c r="Z13" i="9" s="1"/>
  <c r="AA36" i="2" a="1"/>
  <c r="AA36" i="2" s="1"/>
  <c r="AA13" i="9" s="1" a="1"/>
  <c r="AA13" i="9" s="1"/>
  <c r="AB36" i="2" a="1"/>
  <c r="AB36" i="2" s="1"/>
  <c r="AB13" i="9" s="1" a="1"/>
  <c r="AB13" i="9" s="1"/>
  <c r="AC36" i="2" a="1"/>
  <c r="AC36" i="2" s="1"/>
  <c r="AC13" i="9" s="1" a="1"/>
  <c r="AC13" i="9" s="1"/>
  <c r="D33" i="2"/>
  <c r="E33" i="2"/>
  <c r="F33" i="2"/>
  <c r="G33" i="2"/>
  <c r="H33" i="2"/>
  <c r="I33" i="2"/>
  <c r="J33" i="2"/>
  <c r="K33" i="2"/>
  <c r="L33" i="2"/>
  <c r="M33" i="2"/>
  <c r="N33" i="2"/>
  <c r="O33" i="2"/>
  <c r="P33" i="2"/>
  <c r="Q33" i="2"/>
  <c r="R33" i="2"/>
  <c r="S33" i="2"/>
  <c r="T33" i="2"/>
  <c r="U33" i="2"/>
  <c r="V33" i="2"/>
  <c r="W33" i="2"/>
  <c r="X33" i="2"/>
  <c r="Y33" i="2"/>
  <c r="Z33" i="2"/>
  <c r="AA33" i="2"/>
  <c r="AB33" i="2"/>
  <c r="AC33" i="2"/>
  <c r="D32" i="2"/>
  <c r="E32" i="2"/>
  <c r="F32" i="2"/>
  <c r="G32" i="2"/>
  <c r="H32" i="2"/>
  <c r="I32" i="2"/>
  <c r="J32" i="2"/>
  <c r="K32" i="2"/>
  <c r="L32" i="2"/>
  <c r="M32" i="2"/>
  <c r="N32" i="2"/>
  <c r="O32" i="2"/>
  <c r="P32" i="2"/>
  <c r="Q32" i="2"/>
  <c r="R32" i="2"/>
  <c r="S32" i="2"/>
  <c r="T32" i="2"/>
  <c r="U32" i="2"/>
  <c r="V32" i="2"/>
  <c r="W32" i="2"/>
  <c r="X32" i="2"/>
  <c r="Y32" i="2"/>
  <c r="Z32" i="2"/>
  <c r="AA32" i="2"/>
  <c r="AB32" i="2"/>
  <c r="AC32" i="2"/>
  <c r="E227" i="1"/>
  <c r="E37" i="2" s="1" a="1"/>
  <c r="E37" i="2" s="1"/>
  <c r="E14" i="9" s="1" a="1"/>
  <c r="E14" i="9" s="1"/>
  <c r="F227" i="1"/>
  <c r="F37" i="2" s="1" a="1"/>
  <c r="F37" i="2" s="1"/>
  <c r="F14" i="9" s="1" a="1"/>
  <c r="F14" i="9" s="1"/>
  <c r="G227" i="1"/>
  <c r="G37" i="2" s="1" a="1"/>
  <c r="G37" i="2" s="1"/>
  <c r="G14" i="9" s="1" a="1"/>
  <c r="G14" i="9" s="1"/>
  <c r="H227" i="1"/>
  <c r="H37" i="2" s="1" a="1"/>
  <c r="H37" i="2" s="1"/>
  <c r="H14" i="9" s="1" a="1"/>
  <c r="H14" i="9" s="1"/>
  <c r="I227" i="1"/>
  <c r="I37" i="2" s="1" a="1"/>
  <c r="I37" i="2" s="1"/>
  <c r="I14" i="9" s="1" a="1"/>
  <c r="I14" i="9" s="1"/>
  <c r="J227" i="1"/>
  <c r="J37" i="2" s="1" a="1"/>
  <c r="J37" i="2" s="1"/>
  <c r="J14" i="9" s="1" a="1"/>
  <c r="J14" i="9" s="1"/>
  <c r="K227" i="1"/>
  <c r="K37" i="2" s="1" a="1"/>
  <c r="K37" i="2" s="1"/>
  <c r="K14" i="9" s="1" a="1"/>
  <c r="K14" i="9" s="1"/>
  <c r="L227" i="1"/>
  <c r="L37" i="2" s="1" a="1"/>
  <c r="L37" i="2" s="1"/>
  <c r="L14" i="9" s="1" a="1"/>
  <c r="L14" i="9" s="1"/>
  <c r="M227" i="1"/>
  <c r="M37" i="2" s="1" a="1"/>
  <c r="M37" i="2" s="1"/>
  <c r="M14" i="9" s="1" a="1"/>
  <c r="M14" i="9" s="1"/>
  <c r="N227" i="1"/>
  <c r="N37" i="2" s="1" a="1"/>
  <c r="N37" i="2" s="1"/>
  <c r="N14" i="9" s="1" a="1"/>
  <c r="N14" i="9" s="1"/>
  <c r="O227" i="1"/>
  <c r="O37" i="2" s="1" a="1"/>
  <c r="O37" i="2" s="1"/>
  <c r="O14" i="9" s="1" a="1"/>
  <c r="O14" i="9" s="1"/>
  <c r="P227" i="1"/>
  <c r="P37" i="2" s="1" a="1"/>
  <c r="P37" i="2" s="1"/>
  <c r="P14" i="9" s="1" a="1"/>
  <c r="P14" i="9" s="1"/>
  <c r="Q227" i="1"/>
  <c r="Q37" i="2" s="1" a="1"/>
  <c r="Q37" i="2" s="1"/>
  <c r="Q14" i="9" s="1" a="1"/>
  <c r="Q14" i="9" s="1"/>
  <c r="R227" i="1"/>
  <c r="R37" i="2" s="1" a="1"/>
  <c r="R37" i="2" s="1"/>
  <c r="R14" i="9" s="1" a="1"/>
  <c r="R14" i="9" s="1"/>
  <c r="S227" i="1"/>
  <c r="S37" i="2" s="1" a="1"/>
  <c r="S37" i="2" s="1"/>
  <c r="S14" i="9" s="1" a="1"/>
  <c r="S14" i="9" s="1"/>
  <c r="T227" i="1"/>
  <c r="T37" i="2" s="1" a="1"/>
  <c r="T37" i="2" s="1"/>
  <c r="T14" i="9" s="1" a="1"/>
  <c r="T14" i="9" s="1"/>
  <c r="U227" i="1"/>
  <c r="U37" i="2" s="1" a="1"/>
  <c r="U37" i="2" s="1"/>
  <c r="U14" i="9" s="1" a="1"/>
  <c r="U14" i="9" s="1"/>
  <c r="V227" i="1"/>
  <c r="V37" i="2" s="1" a="1"/>
  <c r="V37" i="2" s="1"/>
  <c r="V14" i="9" s="1" a="1"/>
  <c r="V14" i="9" s="1"/>
  <c r="W227" i="1"/>
  <c r="W37" i="2" s="1" a="1"/>
  <c r="W37" i="2" s="1"/>
  <c r="W14" i="9" s="1" a="1"/>
  <c r="W14" i="9" s="1"/>
  <c r="X227" i="1"/>
  <c r="X37" i="2" s="1" a="1"/>
  <c r="X37" i="2" s="1"/>
  <c r="X14" i="9" s="1" a="1"/>
  <c r="X14" i="9" s="1"/>
  <c r="Y227" i="1"/>
  <c r="Y37" i="2" s="1" a="1"/>
  <c r="Y37" i="2" s="1"/>
  <c r="Y14" i="9" s="1" a="1"/>
  <c r="Y14" i="9" s="1"/>
  <c r="Z227" i="1"/>
  <c r="Z37" i="2" s="1" a="1"/>
  <c r="Z37" i="2" s="1"/>
  <c r="Z14" i="9" s="1" a="1"/>
  <c r="Z14" i="9" s="1"/>
  <c r="AA227" i="1"/>
  <c r="AA37" i="2" s="1" a="1"/>
  <c r="AA37" i="2" s="1"/>
  <c r="AA14" i="9" s="1" a="1"/>
  <c r="AA14" i="9" s="1"/>
  <c r="AB227" i="1"/>
  <c r="AB37" i="2" s="1" a="1"/>
  <c r="AB37" i="2" s="1"/>
  <c r="AB14" i="9" s="1" a="1"/>
  <c r="AB14" i="9" s="1"/>
  <c r="AC227" i="1"/>
  <c r="AC37" i="2" s="1" a="1"/>
  <c r="AC37" i="2" s="1"/>
  <c r="AC14" i="9" s="1" a="1"/>
  <c r="AC14" i="9" s="1"/>
  <c r="D227" i="1"/>
  <c r="D37" i="2" s="1" a="1"/>
  <c r="D37" i="2" s="1"/>
  <c r="D14" i="9" s="1" a="1"/>
  <c r="D14" i="9" s="1"/>
  <c r="E101" i="7" a="1"/>
  <c r="E101" i="7" s="1"/>
  <c r="F101" i="7" a="1"/>
  <c r="F101" i="7" s="1"/>
  <c r="G101" i="7" a="1"/>
  <c r="G101" i="7" s="1"/>
  <c r="H101" i="7" a="1"/>
  <c r="H101" i="7" s="1"/>
  <c r="I101" i="7" a="1"/>
  <c r="I101" i="7" s="1"/>
  <c r="J101" i="7" a="1"/>
  <c r="J101" i="7" s="1"/>
  <c r="K101" i="7" a="1"/>
  <c r="K101" i="7" s="1"/>
  <c r="L101" i="7" a="1"/>
  <c r="L101" i="7" s="1"/>
  <c r="M101" i="7" a="1"/>
  <c r="M101" i="7" s="1"/>
  <c r="N101" i="7" a="1"/>
  <c r="N101" i="7" s="1"/>
  <c r="O101" i="7" a="1"/>
  <c r="O101" i="7" s="1"/>
  <c r="P101" i="7" a="1"/>
  <c r="P101" i="7" s="1"/>
  <c r="Q101" i="7" a="1"/>
  <c r="Q101" i="7" s="1"/>
  <c r="R101" i="7" a="1"/>
  <c r="R101" i="7" s="1"/>
  <c r="S101" i="7" a="1"/>
  <c r="S101" i="7" s="1"/>
  <c r="T101" i="7" a="1"/>
  <c r="T101" i="7" s="1"/>
  <c r="U101" i="7" a="1"/>
  <c r="U101" i="7" s="1"/>
  <c r="V101" i="7" a="1"/>
  <c r="V101" i="7" s="1"/>
  <c r="W101" i="7" a="1"/>
  <c r="W101" i="7" s="1"/>
  <c r="X101" i="7" a="1"/>
  <c r="X101" i="7" s="1"/>
  <c r="Y101" i="7" a="1"/>
  <c r="Y101" i="7" s="1"/>
  <c r="Z101" i="7" a="1"/>
  <c r="Z101" i="7" s="1"/>
  <c r="AA101" i="7" a="1"/>
  <c r="AA101" i="7" s="1"/>
  <c r="AB101" i="7" a="1"/>
  <c r="AB101" i="7" s="1"/>
  <c r="AC101" i="7" a="1"/>
  <c r="AC101" i="7" s="1"/>
  <c r="D101" i="7" a="1"/>
  <c r="D101" i="7" s="1"/>
  <c r="E100" i="7" a="1"/>
  <c r="E100" i="7" s="1"/>
  <c r="F100" i="7" a="1"/>
  <c r="F100" i="7" s="1"/>
  <c r="G100" i="7" a="1"/>
  <c r="G100" i="7" s="1"/>
  <c r="H100" i="7" a="1"/>
  <c r="H100" i="7" s="1"/>
  <c r="I100" i="7" a="1"/>
  <c r="I100" i="7" s="1"/>
  <c r="J100" i="7" a="1"/>
  <c r="J100" i="7" s="1"/>
  <c r="K100" i="7" a="1"/>
  <c r="K100" i="7" s="1"/>
  <c r="L100" i="7" a="1"/>
  <c r="L100" i="7" s="1"/>
  <c r="M100" i="7" a="1"/>
  <c r="M100" i="7" s="1"/>
  <c r="N100" i="7" a="1"/>
  <c r="N100" i="7" s="1"/>
  <c r="O100" i="7" a="1"/>
  <c r="O100" i="7" s="1"/>
  <c r="P100" i="7" a="1"/>
  <c r="P100" i="7" s="1"/>
  <c r="Q100" i="7" a="1"/>
  <c r="Q100" i="7" s="1"/>
  <c r="R100" i="7" a="1"/>
  <c r="R100" i="7" s="1"/>
  <c r="S100" i="7" a="1"/>
  <c r="S100" i="7" s="1"/>
  <c r="T100" i="7" a="1"/>
  <c r="T100" i="7" s="1"/>
  <c r="U100" i="7" a="1"/>
  <c r="U100" i="7" s="1"/>
  <c r="V100" i="7" a="1"/>
  <c r="V100" i="7" s="1"/>
  <c r="W100" i="7" a="1"/>
  <c r="W100" i="7" s="1"/>
  <c r="X100" i="7" a="1"/>
  <c r="X100" i="7" s="1"/>
  <c r="Y100" i="7" a="1"/>
  <c r="Y100" i="7" s="1"/>
  <c r="Z100" i="7" a="1"/>
  <c r="Z100" i="7" s="1"/>
  <c r="AA100" i="7" a="1"/>
  <c r="AA100" i="7" s="1"/>
  <c r="AB100" i="7" a="1"/>
  <c r="AB100" i="7" s="1"/>
  <c r="AC100" i="7" a="1"/>
  <c r="AC100" i="7" s="1"/>
  <c r="D100" i="7" a="1"/>
  <c r="D100" i="7" s="1"/>
  <c r="D98" i="7"/>
  <c r="D94" i="7"/>
  <c r="D93" i="7"/>
  <c r="D91" i="7"/>
  <c r="D90" i="7"/>
  <c r="D78" i="7"/>
  <c r="D77" i="7"/>
  <c r="D63" i="7"/>
  <c r="D62" i="7"/>
  <c r="D43" i="7"/>
  <c r="D40" i="7"/>
  <c r="D39" i="7"/>
  <c r="D38" i="7"/>
  <c r="D37" i="7"/>
  <c r="D36" i="7"/>
  <c r="D35" i="7"/>
  <c r="E28" i="7" a="1"/>
  <c r="E28" i="7" s="1"/>
  <c r="F28" i="7" a="1"/>
  <c r="F28" i="7" s="1"/>
  <c r="G28" i="7" a="1"/>
  <c r="G28" i="7" s="1"/>
  <c r="H28" i="7" a="1"/>
  <c r="H28" i="7" s="1"/>
  <c r="I28" i="7" a="1"/>
  <c r="I28" i="7" s="1"/>
  <c r="J28" i="7" a="1"/>
  <c r="J28" i="7" s="1"/>
  <c r="K28" i="7" a="1"/>
  <c r="K28" i="7" s="1"/>
  <c r="L28" i="7" a="1"/>
  <c r="L28" i="7" s="1"/>
  <c r="M28" i="7" a="1"/>
  <c r="M28" i="7" s="1"/>
  <c r="N28" i="7" a="1"/>
  <c r="N28" i="7" s="1"/>
  <c r="O28" i="7" a="1"/>
  <c r="O28" i="7" s="1"/>
  <c r="P28" i="7" a="1"/>
  <c r="P28" i="7" s="1"/>
  <c r="Q28" i="7" a="1"/>
  <c r="Q28" i="7" s="1"/>
  <c r="R28" i="7" a="1"/>
  <c r="R28" i="7" s="1"/>
  <c r="S28" i="7" a="1"/>
  <c r="S28" i="7" s="1"/>
  <c r="T28" i="7" a="1"/>
  <c r="T28" i="7" s="1"/>
  <c r="U28" i="7" a="1"/>
  <c r="U28" i="7" s="1"/>
  <c r="V28" i="7" a="1"/>
  <c r="V28" i="7" s="1"/>
  <c r="W28" i="7" a="1"/>
  <c r="W28" i="7" s="1"/>
  <c r="X28" i="7" a="1"/>
  <c r="X28" i="7" s="1"/>
  <c r="Y28" i="7" a="1"/>
  <c r="Y28" i="7" s="1"/>
  <c r="Z28" i="7" a="1"/>
  <c r="Z28" i="7" s="1"/>
  <c r="AA28" i="7" a="1"/>
  <c r="AA28" i="7" s="1"/>
  <c r="AB28" i="7" a="1"/>
  <c r="AB28" i="7" s="1"/>
  <c r="AC28" i="7" a="1"/>
  <c r="AC28" i="7" s="1"/>
  <c r="E27" i="7" a="1"/>
  <c r="E27" i="7" s="1"/>
  <c r="F27" i="7" a="1"/>
  <c r="F27" i="7" s="1"/>
  <c r="G27" i="7" a="1"/>
  <c r="G27" i="7" s="1"/>
  <c r="H27" i="7" a="1"/>
  <c r="H27" i="7" s="1"/>
  <c r="I27" i="7" a="1"/>
  <c r="I27" i="7" s="1"/>
  <c r="J27" i="7" a="1"/>
  <c r="J27" i="7" s="1"/>
  <c r="K27" i="7" a="1"/>
  <c r="K27" i="7" s="1"/>
  <c r="L27" i="7" a="1"/>
  <c r="L27" i="7" s="1"/>
  <c r="M27" i="7" a="1"/>
  <c r="M27" i="7" s="1"/>
  <c r="N27" i="7" a="1"/>
  <c r="N27" i="7" s="1"/>
  <c r="O27" i="7" a="1"/>
  <c r="O27" i="7" s="1"/>
  <c r="P27" i="7" a="1"/>
  <c r="P27" i="7" s="1"/>
  <c r="Q27" i="7" a="1"/>
  <c r="Q27" i="7" s="1"/>
  <c r="R27" i="7" a="1"/>
  <c r="R27" i="7" s="1"/>
  <c r="S27" i="7" a="1"/>
  <c r="S27" i="7" s="1"/>
  <c r="T27" i="7" a="1"/>
  <c r="T27" i="7" s="1"/>
  <c r="U27" i="7" a="1"/>
  <c r="U27" i="7" s="1"/>
  <c r="V27" i="7" a="1"/>
  <c r="V27" i="7" s="1"/>
  <c r="W27" i="7" a="1"/>
  <c r="W27" i="7" s="1"/>
  <c r="X27" i="7" a="1"/>
  <c r="X27" i="7" s="1"/>
  <c r="Y27" i="7" a="1"/>
  <c r="Y27" i="7" s="1"/>
  <c r="Z27" i="7" a="1"/>
  <c r="Z27" i="7" s="1"/>
  <c r="AA27" i="7" a="1"/>
  <c r="AA27" i="7" s="1"/>
  <c r="AB27" i="7" a="1"/>
  <c r="AB27" i="7" s="1"/>
  <c r="AC27" i="7" a="1"/>
  <c r="AC27" i="7" s="1"/>
  <c r="E26" i="7" a="1"/>
  <c r="E26" i="7" s="1"/>
  <c r="F26" i="7" a="1"/>
  <c r="F26" i="7" s="1"/>
  <c r="G26" i="7" a="1"/>
  <c r="G26" i="7" s="1"/>
  <c r="H26" i="7" a="1"/>
  <c r="H26" i="7" s="1"/>
  <c r="I26" i="7" a="1"/>
  <c r="I26" i="7" s="1"/>
  <c r="J26" i="7" a="1"/>
  <c r="J26" i="7" s="1"/>
  <c r="K26" i="7" a="1"/>
  <c r="K26" i="7" s="1"/>
  <c r="L26" i="7" a="1"/>
  <c r="L26" i="7" s="1"/>
  <c r="M26" i="7" a="1"/>
  <c r="M26" i="7" s="1"/>
  <c r="N26" i="7" a="1"/>
  <c r="N26" i="7" s="1"/>
  <c r="O26" i="7" a="1"/>
  <c r="O26" i="7" s="1"/>
  <c r="P26" i="7" a="1"/>
  <c r="P26" i="7" s="1"/>
  <c r="Q26" i="7" a="1"/>
  <c r="Q26" i="7" s="1"/>
  <c r="R26" i="7" a="1"/>
  <c r="R26" i="7" s="1"/>
  <c r="S26" i="7" a="1"/>
  <c r="S26" i="7" s="1"/>
  <c r="T26" i="7" a="1"/>
  <c r="T26" i="7" s="1"/>
  <c r="U26" i="7" a="1"/>
  <c r="U26" i="7" s="1"/>
  <c r="V26" i="7" a="1"/>
  <c r="V26" i="7" s="1"/>
  <c r="W26" i="7" a="1"/>
  <c r="W26" i="7" s="1"/>
  <c r="X26" i="7" a="1"/>
  <c r="X26" i="7" s="1"/>
  <c r="Y26" i="7" a="1"/>
  <c r="Y26" i="7" s="1"/>
  <c r="Z26" i="7" a="1"/>
  <c r="Z26" i="7" s="1"/>
  <c r="AA26" i="7" a="1"/>
  <c r="AA26" i="7" s="1"/>
  <c r="AB26" i="7" a="1"/>
  <c r="AB26" i="7" s="1"/>
  <c r="AC26" i="7" a="1"/>
  <c r="AC26" i="7" s="1"/>
  <c r="E25" i="7" a="1"/>
  <c r="E25" i="7" s="1"/>
  <c r="F25" i="7" a="1"/>
  <c r="F25" i="7" s="1"/>
  <c r="G25" i="7" a="1"/>
  <c r="G25" i="7" s="1"/>
  <c r="H25" i="7" a="1"/>
  <c r="H25" i="7" s="1"/>
  <c r="I25" i="7" a="1"/>
  <c r="I25" i="7" s="1"/>
  <c r="J25" i="7" a="1"/>
  <c r="J25" i="7" s="1"/>
  <c r="K25" i="7" a="1"/>
  <c r="K25" i="7" s="1"/>
  <c r="L25" i="7" a="1"/>
  <c r="L25" i="7" s="1"/>
  <c r="M25" i="7" a="1"/>
  <c r="M25" i="7" s="1"/>
  <c r="N25" i="7" a="1"/>
  <c r="N25" i="7" s="1"/>
  <c r="O25" i="7" a="1"/>
  <c r="O25" i="7" s="1"/>
  <c r="P25" i="7" a="1"/>
  <c r="P25" i="7" s="1"/>
  <c r="Q25" i="7" a="1"/>
  <c r="Q25" i="7" s="1"/>
  <c r="R25" i="7" a="1"/>
  <c r="R25" i="7" s="1"/>
  <c r="S25" i="7" a="1"/>
  <c r="S25" i="7" s="1"/>
  <c r="T25" i="7" a="1"/>
  <c r="T25" i="7" s="1"/>
  <c r="U25" i="7" a="1"/>
  <c r="U25" i="7" s="1"/>
  <c r="V25" i="7" a="1"/>
  <c r="V25" i="7" s="1"/>
  <c r="W25" i="7" a="1"/>
  <c r="W25" i="7" s="1"/>
  <c r="X25" i="7" a="1"/>
  <c r="X25" i="7" s="1"/>
  <c r="Y25" i="7" a="1"/>
  <c r="Y25" i="7" s="1"/>
  <c r="Z25" i="7" a="1"/>
  <c r="Z25" i="7" s="1"/>
  <c r="AA25" i="7" a="1"/>
  <c r="AA25" i="7" s="1"/>
  <c r="AB25" i="7" a="1"/>
  <c r="AB25" i="7" s="1"/>
  <c r="AC25" i="7" a="1"/>
  <c r="AC25" i="7" s="1"/>
  <c r="E24" i="7" a="1"/>
  <c r="E24" i="7" s="1"/>
  <c r="F24" i="7" a="1"/>
  <c r="F24" i="7" s="1"/>
  <c r="G24" i="7" a="1"/>
  <c r="G24" i="7" s="1"/>
  <c r="H24" i="7" a="1"/>
  <c r="H24" i="7" s="1"/>
  <c r="I24" i="7" a="1"/>
  <c r="I24" i="7" s="1"/>
  <c r="J24" i="7" a="1"/>
  <c r="J24" i="7" s="1"/>
  <c r="K24" i="7" a="1"/>
  <c r="K24" i="7" s="1"/>
  <c r="L24" i="7" a="1"/>
  <c r="L24" i="7" s="1"/>
  <c r="M24" i="7" a="1"/>
  <c r="M24" i="7" s="1"/>
  <c r="N24" i="7" a="1"/>
  <c r="N24" i="7" s="1"/>
  <c r="O24" i="7" a="1"/>
  <c r="O24" i="7" s="1"/>
  <c r="P24" i="7" a="1"/>
  <c r="P24" i="7" s="1"/>
  <c r="Q24" i="7" a="1"/>
  <c r="Q24" i="7" s="1"/>
  <c r="R24" i="7" a="1"/>
  <c r="R24" i="7" s="1"/>
  <c r="S24" i="7" a="1"/>
  <c r="S24" i="7" s="1"/>
  <c r="T24" i="7" a="1"/>
  <c r="T24" i="7" s="1"/>
  <c r="U24" i="7" a="1"/>
  <c r="U24" i="7" s="1"/>
  <c r="V24" i="7" a="1"/>
  <c r="V24" i="7" s="1"/>
  <c r="W24" i="7" a="1"/>
  <c r="W24" i="7" s="1"/>
  <c r="X24" i="7" a="1"/>
  <c r="X24" i="7" s="1"/>
  <c r="Y24" i="7" a="1"/>
  <c r="Y24" i="7" s="1"/>
  <c r="Z24" i="7" a="1"/>
  <c r="Z24" i="7" s="1"/>
  <c r="AA24" i="7" a="1"/>
  <c r="AA24" i="7" s="1"/>
  <c r="AB24" i="7" a="1"/>
  <c r="AB24" i="7" s="1"/>
  <c r="AC24" i="7" a="1"/>
  <c r="AC24" i="7" s="1"/>
  <c r="E23" i="7" a="1"/>
  <c r="E23" i="7" s="1"/>
  <c r="F23" i="7" a="1"/>
  <c r="F23" i="7" s="1"/>
  <c r="G23" i="7" a="1"/>
  <c r="G23" i="7" s="1"/>
  <c r="H23" i="7" a="1"/>
  <c r="H23" i="7" s="1"/>
  <c r="I23" i="7" a="1"/>
  <c r="I23" i="7" s="1"/>
  <c r="J23" i="7" a="1"/>
  <c r="J23" i="7" s="1"/>
  <c r="K23" i="7" a="1"/>
  <c r="K23" i="7" s="1"/>
  <c r="L23" i="7" a="1"/>
  <c r="L23" i="7" s="1"/>
  <c r="M23" i="7" a="1"/>
  <c r="M23" i="7" s="1"/>
  <c r="N23" i="7" a="1"/>
  <c r="N23" i="7" s="1"/>
  <c r="O23" i="7" a="1"/>
  <c r="O23" i="7" s="1"/>
  <c r="P23" i="7" a="1"/>
  <c r="P23" i="7" s="1"/>
  <c r="Q23" i="7" a="1"/>
  <c r="Q23" i="7" s="1"/>
  <c r="R23" i="7" a="1"/>
  <c r="R23" i="7" s="1"/>
  <c r="S23" i="7" a="1"/>
  <c r="S23" i="7" s="1"/>
  <c r="T23" i="7" a="1"/>
  <c r="T23" i="7" s="1"/>
  <c r="U23" i="7" a="1"/>
  <c r="U23" i="7" s="1"/>
  <c r="V23" i="7" a="1"/>
  <c r="V23" i="7" s="1"/>
  <c r="W23" i="7" a="1"/>
  <c r="W23" i="7" s="1"/>
  <c r="X23" i="7" a="1"/>
  <c r="X23" i="7" s="1"/>
  <c r="Y23" i="7" a="1"/>
  <c r="Y23" i="7" s="1"/>
  <c r="Z23" i="7" a="1"/>
  <c r="Z23" i="7" s="1"/>
  <c r="AA23" i="7" a="1"/>
  <c r="AA23" i="7" s="1"/>
  <c r="AB23" i="7" a="1"/>
  <c r="AB23" i="7" s="1"/>
  <c r="AC23" i="7" a="1"/>
  <c r="AC23" i="7" s="1"/>
  <c r="D28" i="7" a="1"/>
  <c r="D28" i="7" s="1"/>
  <c r="D27" i="7" a="1"/>
  <c r="D27" i="7" s="1"/>
  <c r="D26" i="7" a="1"/>
  <c r="D26" i="7" s="1"/>
  <c r="D25" i="7" a="1"/>
  <c r="D25" i="7" s="1"/>
  <c r="D24" i="7" a="1"/>
  <c r="D24" i="7" s="1"/>
  <c r="D23" i="7" a="1"/>
  <c r="D23" i="7" s="1"/>
  <c r="D20" i="7"/>
  <c r="F70" i="7" s="1" a="1"/>
  <c r="F70" i="7" s="1"/>
  <c r="D19" i="7"/>
  <c r="D18" i="7"/>
  <c r="D17" i="7"/>
  <c r="D34" i="7" s="1"/>
  <c r="D16" i="7"/>
  <c r="D33" i="7" s="1"/>
  <c r="D15" i="7"/>
  <c r="D14" i="7"/>
  <c r="E234" i="5"/>
  <c r="F234" i="5"/>
  <c r="G234" i="5"/>
  <c r="H234" i="5"/>
  <c r="I234" i="5"/>
  <c r="J234" i="5"/>
  <c r="K234" i="5"/>
  <c r="L234" i="5"/>
  <c r="M234" i="5"/>
  <c r="N234" i="5"/>
  <c r="O234" i="5"/>
  <c r="P234" i="5"/>
  <c r="Q234" i="5"/>
  <c r="R234" i="5"/>
  <c r="S234" i="5"/>
  <c r="T234" i="5"/>
  <c r="U234" i="5"/>
  <c r="V234" i="5"/>
  <c r="W234" i="5"/>
  <c r="X234" i="5"/>
  <c r="Y234" i="5"/>
  <c r="Z234" i="5"/>
  <c r="AA234" i="5"/>
  <c r="AB234" i="5"/>
  <c r="AC234" i="5"/>
  <c r="D234" i="5"/>
  <c r="E233" i="5"/>
  <c r="F233" i="5"/>
  <c r="G233" i="5"/>
  <c r="H233" i="5"/>
  <c r="I233" i="5"/>
  <c r="J233" i="5"/>
  <c r="K233" i="5"/>
  <c r="L233" i="5"/>
  <c r="M233" i="5"/>
  <c r="N233" i="5"/>
  <c r="O233" i="5"/>
  <c r="P233" i="5"/>
  <c r="Q233" i="5"/>
  <c r="R233" i="5"/>
  <c r="S233" i="5"/>
  <c r="T233" i="5"/>
  <c r="U233" i="5"/>
  <c r="V233" i="5"/>
  <c r="W233" i="5"/>
  <c r="X233" i="5"/>
  <c r="Y233" i="5"/>
  <c r="Z233" i="5"/>
  <c r="AA233" i="5"/>
  <c r="AB233" i="5"/>
  <c r="AC233" i="5"/>
  <c r="D233" i="5"/>
  <c r="E57" i="5" a="1"/>
  <c r="E57" i="5" s="1"/>
  <c r="F57" i="5" a="1"/>
  <c r="F57" i="5" s="1"/>
  <c r="G57" i="5" a="1"/>
  <c r="G57" i="5" s="1"/>
  <c r="H57" i="5" a="1"/>
  <c r="H57" i="5" s="1"/>
  <c r="E56" i="5" a="1"/>
  <c r="E56" i="5" s="1"/>
  <c r="F56" i="5" a="1"/>
  <c r="F56" i="5" s="1"/>
  <c r="G56" i="5" a="1"/>
  <c r="G56" i="5" s="1"/>
  <c r="H56" i="5" a="1"/>
  <c r="H56" i="5" s="1"/>
  <c r="E55" i="5" a="1"/>
  <c r="E55" i="5" s="1"/>
  <c r="F55" i="5" a="1"/>
  <c r="F55" i="5" s="1"/>
  <c r="G55" i="5" a="1"/>
  <c r="G55" i="5" s="1"/>
  <c r="H55" i="5" a="1"/>
  <c r="H55" i="5" s="1"/>
  <c r="E54" i="5" a="1"/>
  <c r="E54" i="5" s="1"/>
  <c r="F54" i="5" a="1"/>
  <c r="F54" i="5" s="1"/>
  <c r="G54" i="5" a="1"/>
  <c r="G54" i="5" s="1"/>
  <c r="H54" i="5" a="1"/>
  <c r="H54" i="5" s="1"/>
  <c r="D57" i="5" a="1"/>
  <c r="D57" i="5" s="1"/>
  <c r="D56" i="5" a="1"/>
  <c r="D56" i="5" s="1"/>
  <c r="D55" i="5" a="1"/>
  <c r="D55" i="5" s="1"/>
  <c r="D54" i="5" a="1"/>
  <c r="D54" i="5" s="1"/>
  <c r="AB229" i="5" a="1"/>
  <c r="AB229" i="5" s="1"/>
  <c r="AC229" i="5" a="1"/>
  <c r="AC229" i="5" s="1"/>
  <c r="AB224" i="5" a="1"/>
  <c r="AB224" i="5" s="1"/>
  <c r="AC224" i="5" a="1"/>
  <c r="AC224" i="5" s="1"/>
  <c r="AB219" i="5" a="1"/>
  <c r="AB219" i="5" s="1"/>
  <c r="AC219" i="5" a="1"/>
  <c r="AC219" i="5" s="1"/>
  <c r="AB214" i="5" a="1"/>
  <c r="AB214" i="5" s="1"/>
  <c r="AC214" i="5" a="1"/>
  <c r="AC214" i="5" s="1"/>
  <c r="E160" i="5" a="1"/>
  <c r="E160" i="5" s="1"/>
  <c r="F160" i="5" a="1"/>
  <c r="F160" i="5" s="1"/>
  <c r="G160" i="5" a="1"/>
  <c r="G160" i="5" s="1"/>
  <c r="H160" i="5" a="1"/>
  <c r="H160" i="5" s="1"/>
  <c r="I160" i="5" a="1"/>
  <c r="I160" i="5" s="1"/>
  <c r="J160" i="5" a="1"/>
  <c r="J160" i="5" s="1"/>
  <c r="K160" i="5" a="1"/>
  <c r="K160" i="5" s="1"/>
  <c r="L160" i="5" a="1"/>
  <c r="L160" i="5" s="1"/>
  <c r="M160" i="5" a="1"/>
  <c r="M160" i="5" s="1"/>
  <c r="N160" i="5" a="1"/>
  <c r="N160" i="5" s="1"/>
  <c r="O160" i="5" a="1"/>
  <c r="O160" i="5" s="1"/>
  <c r="P160" i="5" a="1"/>
  <c r="P160" i="5" s="1"/>
  <c r="Q160" i="5" a="1"/>
  <c r="Q160" i="5" s="1"/>
  <c r="R160" i="5" a="1"/>
  <c r="R160" i="5" s="1"/>
  <c r="S160" i="5" a="1"/>
  <c r="S160" i="5" s="1"/>
  <c r="T160" i="5" a="1"/>
  <c r="T160" i="5" s="1"/>
  <c r="U160" i="5" a="1"/>
  <c r="U160" i="5" s="1"/>
  <c r="V160" i="5" a="1"/>
  <c r="V160" i="5" s="1"/>
  <c r="W160" i="5" a="1"/>
  <c r="W160" i="5" s="1"/>
  <c r="X160" i="5" a="1"/>
  <c r="X160" i="5" s="1"/>
  <c r="Y160" i="5" a="1"/>
  <c r="Y160" i="5" s="1"/>
  <c r="Z160" i="5" a="1"/>
  <c r="Z160" i="5" s="1"/>
  <c r="AA160" i="5" a="1"/>
  <c r="AA160" i="5" s="1"/>
  <c r="AB160" i="5" a="1"/>
  <c r="AB160" i="5" s="1"/>
  <c r="AC160" i="5" a="1"/>
  <c r="AC160" i="5" s="1"/>
  <c r="E130" i="5" a="1"/>
  <c r="E130" i="5" s="1"/>
  <c r="F130" i="5" a="1"/>
  <c r="F130" i="5" s="1"/>
  <c r="G130" i="5" a="1"/>
  <c r="G130" i="5" s="1"/>
  <c r="H130" i="5" a="1"/>
  <c r="H130" i="5" s="1"/>
  <c r="I130" i="5" a="1"/>
  <c r="I130" i="5" s="1"/>
  <c r="J130" i="5" a="1"/>
  <c r="J130" i="5" s="1"/>
  <c r="K130" i="5" a="1"/>
  <c r="K130" i="5" s="1"/>
  <c r="L130" i="5" a="1"/>
  <c r="L130" i="5" s="1"/>
  <c r="M130" i="5" a="1"/>
  <c r="M130" i="5" s="1"/>
  <c r="N130" i="5" a="1"/>
  <c r="N130" i="5" s="1"/>
  <c r="O130" i="5" a="1"/>
  <c r="O130" i="5" s="1"/>
  <c r="P130" i="5" a="1"/>
  <c r="P130" i="5" s="1"/>
  <c r="Q130" i="5" a="1"/>
  <c r="Q130" i="5" s="1"/>
  <c r="R130" i="5" a="1"/>
  <c r="R130" i="5" s="1"/>
  <c r="S130" i="5" a="1"/>
  <c r="S130" i="5" s="1"/>
  <c r="T130" i="5" a="1"/>
  <c r="T130" i="5" s="1"/>
  <c r="U130" i="5" a="1"/>
  <c r="U130" i="5" s="1"/>
  <c r="V130" i="5" a="1"/>
  <c r="V130" i="5" s="1"/>
  <c r="W130" i="5" a="1"/>
  <c r="W130" i="5" s="1"/>
  <c r="X130" i="5" a="1"/>
  <c r="X130" i="5" s="1"/>
  <c r="Y130" i="5" a="1"/>
  <c r="Y130" i="5" s="1"/>
  <c r="Z130" i="5" a="1"/>
  <c r="Z130" i="5" s="1"/>
  <c r="AA130" i="5" a="1"/>
  <c r="AA130" i="5" s="1"/>
  <c r="AB130" i="5" a="1"/>
  <c r="AB130" i="5" s="1"/>
  <c r="AC130" i="5" a="1"/>
  <c r="AC130" i="5" s="1"/>
  <c r="E53" i="5"/>
  <c r="F53" i="5"/>
  <c r="G53" i="5"/>
  <c r="H53" i="5"/>
  <c r="I53" i="5"/>
  <c r="J53" i="5"/>
  <c r="K53" i="5"/>
  <c r="L53" i="5"/>
  <c r="M53" i="5"/>
  <c r="N53" i="5"/>
  <c r="O53" i="5"/>
  <c r="P53" i="5"/>
  <c r="Q53" i="5"/>
  <c r="R53" i="5"/>
  <c r="S53" i="5"/>
  <c r="T53" i="5"/>
  <c r="U53" i="5"/>
  <c r="V53" i="5"/>
  <c r="W53" i="5"/>
  <c r="X53" i="5"/>
  <c r="Y53" i="5"/>
  <c r="Z53" i="5"/>
  <c r="AA53" i="5"/>
  <c r="AB53" i="5"/>
  <c r="AC53" i="5"/>
  <c r="E52" i="5"/>
  <c r="F52" i="5"/>
  <c r="G52" i="5"/>
  <c r="H52" i="5"/>
  <c r="I52" i="5"/>
  <c r="J52" i="5"/>
  <c r="K52" i="5"/>
  <c r="L52" i="5"/>
  <c r="M52" i="5"/>
  <c r="N52" i="5"/>
  <c r="O52" i="5"/>
  <c r="P52" i="5"/>
  <c r="Q52" i="5"/>
  <c r="R52" i="5"/>
  <c r="S52" i="5"/>
  <c r="T52" i="5"/>
  <c r="U52" i="5"/>
  <c r="V52" i="5"/>
  <c r="W52" i="5"/>
  <c r="X52" i="5"/>
  <c r="Y52" i="5"/>
  <c r="Z52" i="5"/>
  <c r="AA52" i="5"/>
  <c r="AB52" i="5"/>
  <c r="AC52" i="5"/>
  <c r="L55" i="5" a="1"/>
  <c r="L55" i="5" s="1"/>
  <c r="M55" i="5" a="1"/>
  <c r="M55" i="5" s="1"/>
  <c r="N55" i="5" a="1"/>
  <c r="N55" i="5" s="1"/>
  <c r="O55" i="5" a="1"/>
  <c r="O55" i="5" s="1"/>
  <c r="K46" i="5"/>
  <c r="Q55" i="5" a="1"/>
  <c r="Q55" i="5" s="1"/>
  <c r="R55" i="5" a="1"/>
  <c r="R55" i="5" s="1"/>
  <c r="S55" i="5" a="1"/>
  <c r="S55" i="5" s="1"/>
  <c r="O46" i="5"/>
  <c r="U55" i="5" a="1"/>
  <c r="U55" i="5" s="1"/>
  <c r="V55" i="5" a="1"/>
  <c r="V55" i="5" s="1"/>
  <c r="R46" i="5"/>
  <c r="S46" i="5"/>
  <c r="T46" i="5"/>
  <c r="U46" i="5"/>
  <c r="AA55" i="5" a="1"/>
  <c r="AA55" i="5" s="1"/>
  <c r="AB55" i="5" a="1"/>
  <c r="AB55" i="5" s="1"/>
  <c r="AC55" i="5" a="1"/>
  <c r="AC55" i="5" s="1"/>
  <c r="AA46" i="5"/>
  <c r="AC46" i="5"/>
  <c r="E18" i="5"/>
  <c r="F18" i="5"/>
  <c r="G18" i="5"/>
  <c r="H18" i="5"/>
  <c r="I18" i="5"/>
  <c r="J18" i="5"/>
  <c r="K18" i="5"/>
  <c r="L18" i="5"/>
  <c r="M18" i="5"/>
  <c r="N18" i="5"/>
  <c r="O18" i="5"/>
  <c r="P18" i="5"/>
  <c r="Q18" i="5"/>
  <c r="R18" i="5"/>
  <c r="S18" i="5"/>
  <c r="T18" i="5"/>
  <c r="U18" i="5"/>
  <c r="V18" i="5"/>
  <c r="W18" i="5"/>
  <c r="X18" i="5"/>
  <c r="Y18" i="5"/>
  <c r="Z18" i="5"/>
  <c r="AA18" i="5"/>
  <c r="AB18" i="5"/>
  <c r="AC18" i="5"/>
  <c r="E16" i="5"/>
  <c r="F16" i="5"/>
  <c r="G16" i="5"/>
  <c r="H16" i="5"/>
  <c r="I16" i="5"/>
  <c r="J16" i="5"/>
  <c r="K16" i="5"/>
  <c r="L16" i="5"/>
  <c r="M16" i="5"/>
  <c r="N16" i="5"/>
  <c r="O16" i="5"/>
  <c r="P16" i="5"/>
  <c r="Q16" i="5"/>
  <c r="R16" i="5"/>
  <c r="S16" i="5"/>
  <c r="T16" i="5"/>
  <c r="U16" i="5"/>
  <c r="V16" i="5"/>
  <c r="W16" i="5"/>
  <c r="X16" i="5"/>
  <c r="Y16" i="5"/>
  <c r="Z16" i="5"/>
  <c r="AA16" i="5"/>
  <c r="AB16" i="5"/>
  <c r="AC16" i="5"/>
  <c r="E15" i="5"/>
  <c r="F15" i="5"/>
  <c r="G15" i="5"/>
  <c r="H15" i="5"/>
  <c r="I15" i="5"/>
  <c r="J15" i="5"/>
  <c r="K15" i="5"/>
  <c r="L15" i="5"/>
  <c r="M15" i="5"/>
  <c r="N15" i="5"/>
  <c r="O15" i="5"/>
  <c r="P15" i="5"/>
  <c r="Q15" i="5"/>
  <c r="R15" i="5"/>
  <c r="S15" i="5"/>
  <c r="T15" i="5"/>
  <c r="U15" i="5"/>
  <c r="V15" i="5"/>
  <c r="W15" i="5"/>
  <c r="X15" i="5"/>
  <c r="Y15" i="5"/>
  <c r="Z15" i="5"/>
  <c r="AA15" i="5"/>
  <c r="AB15" i="5"/>
  <c r="AC15" i="5"/>
  <c r="D160" i="5" a="1"/>
  <c r="D160" i="5" s="1"/>
  <c r="D130" i="5" a="1"/>
  <c r="D130" i="5" s="1"/>
  <c r="D121" i="5" a="1"/>
  <c r="D121" i="5" s="1"/>
  <c r="D106" i="5"/>
  <c r="E106" i="5" s="1"/>
  <c r="D104" i="5"/>
  <c r="E104" i="5" s="1"/>
  <c r="D83" i="5"/>
  <c r="D84" i="5" s="1"/>
  <c r="D80" i="5"/>
  <c r="D78" i="5"/>
  <c r="D79" i="5" s="1"/>
  <c r="D63" i="5"/>
  <c r="D62" i="5"/>
  <c r="D61" i="5"/>
  <c r="D60" i="5"/>
  <c r="D53" i="5"/>
  <c r="D52" i="5"/>
  <c r="D46" i="5"/>
  <c r="I54" i="5" a="1"/>
  <c r="I54" i="5" s="1"/>
  <c r="D18" i="5"/>
  <c r="D16" i="5"/>
  <c r="D15" i="5"/>
  <c r="D179" i="4"/>
  <c r="D130" i="4"/>
  <c r="AC143" i="4" a="1"/>
  <c r="AC143" i="4" s="1"/>
  <c r="AB143" i="4" a="1"/>
  <c r="AB143" i="4" s="1"/>
  <c r="D118" i="4"/>
  <c r="D119" i="4" s="1"/>
  <c r="E25" i="4"/>
  <c r="AC17" i="4" a="1"/>
  <c r="AC17" i="4" s="1"/>
  <c r="AB17" i="4" a="1"/>
  <c r="AB17" i="4" s="1"/>
  <c r="AA17" i="4" a="1"/>
  <c r="AA17" i="4" s="1"/>
  <c r="Z17" i="4" a="1"/>
  <c r="Z17" i="4" s="1"/>
  <c r="Y17" i="4" a="1"/>
  <c r="Y17" i="4" s="1"/>
  <c r="X17" i="4" a="1"/>
  <c r="X17" i="4" s="1"/>
  <c r="W17" i="4" a="1"/>
  <c r="W17" i="4" s="1"/>
  <c r="V17" i="4" a="1"/>
  <c r="V17" i="4" s="1"/>
  <c r="U17" i="4" a="1"/>
  <c r="U17" i="4" s="1"/>
  <c r="T17" i="4" a="1"/>
  <c r="T17" i="4" s="1"/>
  <c r="S17" i="4" a="1"/>
  <c r="S17" i="4" s="1"/>
  <c r="R17" i="4" a="1"/>
  <c r="R17" i="4" s="1"/>
  <c r="Q17" i="4" a="1"/>
  <c r="Q17" i="4" s="1"/>
  <c r="P17" i="4" a="1"/>
  <c r="P17" i="4" s="1"/>
  <c r="O17" i="4" a="1"/>
  <c r="O17" i="4" s="1"/>
  <c r="N17" i="4" a="1"/>
  <c r="N17" i="4" s="1"/>
  <c r="M17" i="4" a="1"/>
  <c r="M17" i="4" s="1"/>
  <c r="L17" i="4" a="1"/>
  <c r="L17" i="4" s="1"/>
  <c r="K17" i="4" a="1"/>
  <c r="K17" i="4" s="1"/>
  <c r="J17" i="4" a="1"/>
  <c r="J17" i="4" s="1"/>
  <c r="I17" i="4" a="1"/>
  <c r="I17" i="4" s="1"/>
  <c r="H17" i="4" a="1"/>
  <c r="H17" i="4" s="1"/>
  <c r="G17" i="4" a="1"/>
  <c r="G17" i="4" s="1"/>
  <c r="F17" i="4" a="1"/>
  <c r="F17" i="4" s="1"/>
  <c r="E17" i="4" a="1"/>
  <c r="E17" i="4" s="1"/>
  <c r="D17" i="4" a="1"/>
  <c r="D17" i="4" s="1"/>
  <c r="D33" i="4" s="1"/>
  <c r="D37" i="4" s="1"/>
  <c r="F16" i="4"/>
  <c r="D15" i="4"/>
  <c r="S15" i="4" s="1"/>
  <c r="D30" i="3"/>
  <c r="D38" i="3" s="1"/>
  <c r="D49" i="4" s="1" a="1"/>
  <c r="D49" i="4" s="1"/>
  <c r="AC148" i="2" l="1" a="1"/>
  <c r="AC148" i="2" s="1"/>
  <c r="AB148" i="2" a="1"/>
  <c r="AB148" i="2" s="1"/>
  <c r="AC147" i="2" a="1"/>
  <c r="AC147" i="2" s="1"/>
  <c r="AC149" i="2" a="1"/>
  <c r="AC149" i="2" s="1"/>
  <c r="AC152" i="2" a="1"/>
  <c r="AC152" i="2" s="1"/>
  <c r="AB149" i="2" a="1"/>
  <c r="AB149" i="2" s="1"/>
  <c r="AC150" i="2" a="1"/>
  <c r="AC150" i="2" s="1"/>
  <c r="AB152" i="2" a="1"/>
  <c r="AB152" i="2" s="1"/>
  <c r="AB150" i="2" a="1"/>
  <c r="AB150" i="2" s="1"/>
  <c r="D20" i="2" a="1"/>
  <c r="D20" i="2" s="1"/>
  <c r="D15" i="2"/>
  <c r="X16" i="4"/>
  <c r="M25" i="12"/>
  <c r="M19" i="2" s="1" a="1"/>
  <c r="M19" i="2" s="1"/>
  <c r="W25" i="12"/>
  <c r="W19" i="2" s="1" a="1"/>
  <c r="W19" i="2" s="1"/>
  <c r="L32" i="11"/>
  <c r="V32" i="11"/>
  <c r="N25" i="12"/>
  <c r="N19" i="2" s="1" a="1"/>
  <c r="N19" i="2" s="1"/>
  <c r="X25" i="12"/>
  <c r="X19" i="2" s="1" a="1"/>
  <c r="X19" i="2" s="1"/>
  <c r="G32" i="11"/>
  <c r="Q32" i="11"/>
  <c r="AA32" i="11"/>
  <c r="E25" i="12"/>
  <c r="E19" i="2" s="1" a="1"/>
  <c r="E19" i="2" s="1"/>
  <c r="O25" i="12"/>
  <c r="O19" i="2" s="1" a="1"/>
  <c r="O19" i="2" s="1"/>
  <c r="Y25" i="12"/>
  <c r="Y19" i="2" s="1" a="1"/>
  <c r="Y19" i="2" s="1"/>
  <c r="E32" i="11"/>
  <c r="O32" i="11"/>
  <c r="Y32" i="11"/>
  <c r="D32" i="11"/>
  <c r="N32" i="11"/>
  <c r="K32" i="11"/>
  <c r="M32" i="11"/>
  <c r="W32" i="11"/>
  <c r="I25" i="12"/>
  <c r="I19" i="2" s="1" a="1"/>
  <c r="I19" i="2" s="1"/>
  <c r="S25" i="12"/>
  <c r="S19" i="2" s="1" a="1"/>
  <c r="S19" i="2" s="1"/>
  <c r="AC25" i="12"/>
  <c r="AC19" i="2" s="1" a="1"/>
  <c r="AC19" i="2" s="1"/>
  <c r="X32" i="11"/>
  <c r="J25" i="12"/>
  <c r="J19" i="2" s="1" a="1"/>
  <c r="J19" i="2" s="1"/>
  <c r="T25" i="12"/>
  <c r="T19" i="2" s="1" a="1"/>
  <c r="T19" i="2" s="1"/>
  <c r="J32" i="11"/>
  <c r="T32" i="11"/>
  <c r="G25" i="12"/>
  <c r="G19" i="2" s="1" a="1"/>
  <c r="G19" i="2" s="1"/>
  <c r="Q25" i="12"/>
  <c r="Q19" i="2" s="1" a="1"/>
  <c r="Q19" i="2" s="1"/>
  <c r="AA25" i="12"/>
  <c r="AA19" i="2" s="1" a="1"/>
  <c r="AA19" i="2" s="1"/>
  <c r="H25" i="12"/>
  <c r="H19" i="2" s="1" a="1"/>
  <c r="H19" i="2" s="1"/>
  <c r="R25" i="12"/>
  <c r="R19" i="2" s="1" a="1"/>
  <c r="R19" i="2" s="1"/>
  <c r="AB25" i="12"/>
  <c r="AB19" i="2" s="1" a="1"/>
  <c r="AB19" i="2" s="1"/>
  <c r="L25" i="12"/>
  <c r="L19" i="2" s="1" a="1"/>
  <c r="L19" i="2" s="1"/>
  <c r="V25" i="12"/>
  <c r="V19" i="2" s="1" a="1"/>
  <c r="V19" i="2" s="1"/>
  <c r="F25" i="12"/>
  <c r="F19" i="2" s="1" a="1"/>
  <c r="F19" i="2" s="1"/>
  <c r="P25" i="12"/>
  <c r="P19" i="2" s="1" a="1"/>
  <c r="P19" i="2" s="1"/>
  <c r="Z25" i="12"/>
  <c r="Z19" i="2" s="1" a="1"/>
  <c r="Z19" i="2" s="1"/>
  <c r="D25" i="12"/>
  <c r="D19" i="2" s="1" a="1"/>
  <c r="D19" i="2" s="1"/>
  <c r="K25" i="12"/>
  <c r="K19" i="2" s="1" a="1"/>
  <c r="K19" i="2" s="1"/>
  <c r="U25" i="12"/>
  <c r="U19" i="2" s="1" a="1"/>
  <c r="U19" i="2" s="1"/>
  <c r="P32" i="11"/>
  <c r="E29" i="12"/>
  <c r="F29" i="12" s="1"/>
  <c r="H32" i="11"/>
  <c r="R32" i="11"/>
  <c r="AB32" i="11"/>
  <c r="U32" i="11"/>
  <c r="I32" i="11"/>
  <c r="S32" i="11"/>
  <c r="AC32" i="11"/>
  <c r="D35" i="12"/>
  <c r="E30" i="12"/>
  <c r="F32" i="11"/>
  <c r="Z32" i="11"/>
  <c r="E27" i="12"/>
  <c r="D32" i="12"/>
  <c r="E40" i="12"/>
  <c r="D41" i="12"/>
  <c r="D38" i="10" s="1" a="1"/>
  <c r="D38" i="10" s="1"/>
  <c r="D34" i="12"/>
  <c r="E28" i="12"/>
  <c r="E136" i="9" a="1"/>
  <c r="E136" i="9" s="1"/>
  <c r="F136" i="9" s="1" a="1"/>
  <c r="F136" i="9" s="1"/>
  <c r="F31" i="9"/>
  <c r="F49" i="9" s="1"/>
  <c r="X25" i="9" a="1"/>
  <c r="X25" i="9" s="1"/>
  <c r="X27" i="9" s="1"/>
  <c r="N25" i="9" a="1"/>
  <c r="N25" i="9" s="1"/>
  <c r="N27" i="9" s="1"/>
  <c r="D25" i="9" a="1"/>
  <c r="D25" i="9" s="1"/>
  <c r="D27" i="9" s="1"/>
  <c r="D116" i="9" s="1"/>
  <c r="V64" i="9"/>
  <c r="L64" i="9"/>
  <c r="X64" i="9"/>
  <c r="N64" i="9"/>
  <c r="D64" i="9"/>
  <c r="T64" i="9"/>
  <c r="J64" i="9"/>
  <c r="AC24" i="9" a="1"/>
  <c r="AC24" i="9" s="1"/>
  <c r="AC26" i="9" s="1"/>
  <c r="S24" i="9" a="1"/>
  <c r="S24" i="9" s="1"/>
  <c r="S26" i="9" s="1"/>
  <c r="I24" i="9" a="1"/>
  <c r="I24" i="9" s="1"/>
  <c r="I26" i="9" s="1"/>
  <c r="E135" i="9" a="1"/>
  <c r="E135" i="9" s="1"/>
  <c r="F135" i="9" s="1" a="1"/>
  <c r="F135" i="9" s="1"/>
  <c r="D128" i="9"/>
  <c r="Y64" i="9"/>
  <c r="O64" i="9"/>
  <c r="E64" i="9"/>
  <c r="D71" i="9" a="1"/>
  <c r="D71" i="9" s="1"/>
  <c r="AB24" i="9" a="1"/>
  <c r="AB24" i="9" s="1"/>
  <c r="AB26" i="9" s="1"/>
  <c r="R24" i="9" a="1"/>
  <c r="R24" i="9" s="1"/>
  <c r="R26" i="9" s="1"/>
  <c r="H24" i="9" a="1"/>
  <c r="H24" i="9" s="1"/>
  <c r="H26" i="9" s="1"/>
  <c r="W24" i="9" a="1"/>
  <c r="W24" i="9" s="1"/>
  <c r="W26" i="9" s="1"/>
  <c r="M24" i="9" a="1"/>
  <c r="M24" i="9" s="1"/>
  <c r="M26" i="9" s="1"/>
  <c r="W64" i="9"/>
  <c r="M64" i="9"/>
  <c r="AC64" i="9"/>
  <c r="S64" i="9"/>
  <c r="I64" i="9"/>
  <c r="AB64" i="9"/>
  <c r="R64" i="9"/>
  <c r="H64" i="9"/>
  <c r="H66" i="9" s="1"/>
  <c r="K64" i="9"/>
  <c r="AA64" i="9"/>
  <c r="Q64" i="9"/>
  <c r="G64" i="9"/>
  <c r="Z24" i="9" a="1"/>
  <c r="Z24" i="9" s="1"/>
  <c r="Z26" i="9" s="1"/>
  <c r="P24" i="9" a="1"/>
  <c r="P24" i="9" s="1"/>
  <c r="P26" i="9" s="1"/>
  <c r="F24" i="9" a="1"/>
  <c r="F24" i="9" s="1"/>
  <c r="F26" i="9" s="1"/>
  <c r="V25" i="9" a="1"/>
  <c r="V25" i="9" s="1"/>
  <c r="V27" i="9" s="1"/>
  <c r="Z64" i="9"/>
  <c r="P64" i="9"/>
  <c r="F64" i="9"/>
  <c r="H71" i="9" a="1"/>
  <c r="H71" i="9" s="1"/>
  <c r="E71" i="9" a="1"/>
  <c r="E71" i="9" s="1"/>
  <c r="F72" i="9" a="1"/>
  <c r="F72" i="9" s="1"/>
  <c r="L25" i="9" a="1"/>
  <c r="L25" i="9" s="1"/>
  <c r="L27" i="9" s="1"/>
  <c r="U64" i="9"/>
  <c r="E72" i="9" a="1"/>
  <c r="E72" i="9" s="1"/>
  <c r="D72" i="9" a="1"/>
  <c r="D72" i="9" s="1"/>
  <c r="X24" i="9" a="1"/>
  <c r="X24" i="9" s="1"/>
  <c r="X26" i="9" s="1"/>
  <c r="N24" i="9" a="1"/>
  <c r="N24" i="9" s="1"/>
  <c r="N26" i="9" s="1"/>
  <c r="D24" i="9" a="1"/>
  <c r="D24" i="9" s="1"/>
  <c r="D26" i="9" s="1"/>
  <c r="T25" i="9" a="1"/>
  <c r="T25" i="9" s="1"/>
  <c r="T27" i="9" s="1"/>
  <c r="J25" i="9" a="1"/>
  <c r="J25" i="9" s="1"/>
  <c r="J27" i="9" s="1"/>
  <c r="E31" i="9"/>
  <c r="F39" i="9"/>
  <c r="F50" i="9" s="1"/>
  <c r="AA65" i="9"/>
  <c r="Q65" i="9"/>
  <c r="G65" i="9"/>
  <c r="Z65" i="9"/>
  <c r="P65" i="9"/>
  <c r="F65" i="9"/>
  <c r="Y65" i="9"/>
  <c r="O65" i="9"/>
  <c r="E65" i="9"/>
  <c r="X65" i="9"/>
  <c r="N65" i="9"/>
  <c r="D65" i="9"/>
  <c r="W65" i="9"/>
  <c r="M65" i="9"/>
  <c r="V65" i="9"/>
  <c r="L65" i="9"/>
  <c r="U65" i="9"/>
  <c r="K65" i="9"/>
  <c r="T65" i="9"/>
  <c r="J65" i="9"/>
  <c r="G71" i="9" a="1"/>
  <c r="G71" i="9" s="1"/>
  <c r="H72" i="9" a="1"/>
  <c r="H72" i="9" s="1"/>
  <c r="AC65" i="9"/>
  <c r="S65" i="9"/>
  <c r="I65" i="9"/>
  <c r="AB65" i="9"/>
  <c r="R65" i="9"/>
  <c r="F71" i="9" a="1"/>
  <c r="F71" i="9" s="1"/>
  <c r="D31" i="9"/>
  <c r="T24" i="9" a="1"/>
  <c r="T24" i="9" s="1"/>
  <c r="T26" i="9" s="1"/>
  <c r="J24" i="9" a="1"/>
  <c r="J24" i="9" s="1"/>
  <c r="J26" i="9" s="1"/>
  <c r="E32" i="9"/>
  <c r="E35" i="9" s="1"/>
  <c r="E88" i="9" s="1"/>
  <c r="E39" i="9"/>
  <c r="E50" i="9" s="1"/>
  <c r="Z25" i="9" a="1"/>
  <c r="Z25" i="9" s="1"/>
  <c r="Z27" i="9" s="1"/>
  <c r="P25" i="9" a="1"/>
  <c r="P25" i="9" s="1"/>
  <c r="P27" i="9" s="1"/>
  <c r="F25" i="9" a="1"/>
  <c r="F25" i="9" s="1"/>
  <c r="F27" i="9" s="1"/>
  <c r="F116" i="9" s="1"/>
  <c r="D39" i="9"/>
  <c r="D50" i="9" s="1"/>
  <c r="AC25" i="9" a="1"/>
  <c r="AC25" i="9" s="1"/>
  <c r="AC27" i="9" s="1"/>
  <c r="S25" i="9" a="1"/>
  <c r="S25" i="9" s="1"/>
  <c r="S27" i="9" s="1"/>
  <c r="I25" i="9" a="1"/>
  <c r="I25" i="9" s="1"/>
  <c r="I27" i="9" s="1"/>
  <c r="V24" i="9" a="1"/>
  <c r="V24" i="9" s="1"/>
  <c r="V26" i="9" s="1"/>
  <c r="E34" i="9"/>
  <c r="E68" i="9" s="1"/>
  <c r="J71" i="9" s="1" a="1"/>
  <c r="J71" i="9" s="1"/>
  <c r="AA24" i="9" a="1"/>
  <c r="AA24" i="9" s="1"/>
  <c r="AA26" i="9" s="1"/>
  <c r="Q24" i="9" a="1"/>
  <c r="Q24" i="9" s="1"/>
  <c r="Q26" i="9" s="1"/>
  <c r="G24" i="9" a="1"/>
  <c r="G24" i="9" s="1"/>
  <c r="G26" i="9" s="1"/>
  <c r="W25" i="9" a="1"/>
  <c r="W25" i="9" s="1"/>
  <c r="W27" i="9" s="1"/>
  <c r="M25" i="9" a="1"/>
  <c r="M25" i="9" s="1"/>
  <c r="M27" i="9" s="1"/>
  <c r="F32" i="9"/>
  <c r="AA25" i="9" a="1"/>
  <c r="AA25" i="9" s="1"/>
  <c r="AA27" i="9" s="1"/>
  <c r="Q25" i="9" a="1"/>
  <c r="Q25" i="9" s="1"/>
  <c r="Q27" i="9" s="1"/>
  <c r="G25" i="9" a="1"/>
  <c r="G25" i="9" s="1"/>
  <c r="G27" i="9" s="1"/>
  <c r="D32" i="9"/>
  <c r="F40" i="9"/>
  <c r="Y24" i="9" a="1"/>
  <c r="Y24" i="9" s="1"/>
  <c r="Y26" i="9" s="1"/>
  <c r="O24" i="9" a="1"/>
  <c r="O24" i="9" s="1"/>
  <c r="O26" i="9" s="1"/>
  <c r="E24" i="9" a="1"/>
  <c r="E24" i="9" s="1"/>
  <c r="E26" i="9" s="1"/>
  <c r="E115" i="9" s="1"/>
  <c r="E40" i="9"/>
  <c r="AB25" i="9" a="1"/>
  <c r="AB25" i="9" s="1"/>
  <c r="AB27" i="9" s="1"/>
  <c r="R25" i="9" a="1"/>
  <c r="R25" i="9" s="1"/>
  <c r="R27" i="9" s="1"/>
  <c r="D40" i="9"/>
  <c r="Y25" i="9" a="1"/>
  <c r="Y25" i="9" s="1"/>
  <c r="Y27" i="9" s="1"/>
  <c r="O25" i="9" a="1"/>
  <c r="O25" i="9" s="1"/>
  <c r="O27" i="9" s="1"/>
  <c r="E25" i="9" a="1"/>
  <c r="E25" i="9" s="1"/>
  <c r="E27" i="9" s="1"/>
  <c r="E116" i="9" s="1"/>
  <c r="U25" i="9" a="1"/>
  <c r="U25" i="9" s="1"/>
  <c r="U27" i="9" s="1"/>
  <c r="U24" i="9" a="1"/>
  <c r="U24" i="9" s="1"/>
  <c r="U26" i="9" s="1"/>
  <c r="K25" i="9" a="1"/>
  <c r="K25" i="9" s="1"/>
  <c r="K27" i="9" s="1"/>
  <c r="K24" i="9" a="1"/>
  <c r="K24" i="9" s="1"/>
  <c r="K26" i="9" s="1"/>
  <c r="L24" i="9" a="1"/>
  <c r="L24" i="9" s="1"/>
  <c r="L26" i="9" s="1"/>
  <c r="H25" i="9" a="1"/>
  <c r="H25" i="9" s="1"/>
  <c r="H27" i="9" s="1"/>
  <c r="M153" i="7"/>
  <c r="Z152" i="7"/>
  <c r="P152" i="7"/>
  <c r="F152" i="7"/>
  <c r="V153" i="7"/>
  <c r="L153" i="7"/>
  <c r="Y152" i="7"/>
  <c r="O152" i="7"/>
  <c r="E152" i="7"/>
  <c r="U153" i="7"/>
  <c r="K153" i="7"/>
  <c r="X152" i="7"/>
  <c r="N152" i="7"/>
  <c r="D153" i="7"/>
  <c r="T153" i="7"/>
  <c r="J153" i="7"/>
  <c r="W152" i="7"/>
  <c r="M152" i="7"/>
  <c r="AC153" i="7"/>
  <c r="S153" i="7"/>
  <c r="I153" i="7"/>
  <c r="V152" i="7"/>
  <c r="L152" i="7"/>
  <c r="AB153" i="7"/>
  <c r="R153" i="7"/>
  <c r="H153" i="7"/>
  <c r="U152" i="7"/>
  <c r="K152" i="7"/>
  <c r="AA153" i="7"/>
  <c r="Q153" i="7"/>
  <c r="G153" i="7"/>
  <c r="D152" i="7"/>
  <c r="T152" i="7"/>
  <c r="J152" i="7"/>
  <c r="Z153" i="7"/>
  <c r="P153" i="7"/>
  <c r="F153" i="7"/>
  <c r="AC152" i="7"/>
  <c r="S152" i="7"/>
  <c r="I152" i="7"/>
  <c r="Y153" i="7"/>
  <c r="O153" i="7"/>
  <c r="E153" i="7"/>
  <c r="AB152" i="7"/>
  <c r="R152" i="7"/>
  <c r="H152" i="7"/>
  <c r="X153" i="7"/>
  <c r="N153" i="7"/>
  <c r="AA152" i="7"/>
  <c r="Q152" i="7"/>
  <c r="G152" i="7"/>
  <c r="W153" i="7"/>
  <c r="L92" i="7"/>
  <c r="L95" i="7" s="1"/>
  <c r="N92" i="7"/>
  <c r="N95" i="7" s="1"/>
  <c r="D92" i="7"/>
  <c r="D95" i="7" s="1"/>
  <c r="K92" i="7"/>
  <c r="K95" i="7" s="1"/>
  <c r="AB92" i="7"/>
  <c r="AB95" i="7" s="1"/>
  <c r="R92" i="7"/>
  <c r="R95" i="7" s="1"/>
  <c r="H92" i="7"/>
  <c r="H95" i="7" s="1"/>
  <c r="AC92" i="7"/>
  <c r="AC95" i="7" s="1"/>
  <c r="S92" i="7"/>
  <c r="S95" i="7" s="1"/>
  <c r="I92" i="7"/>
  <c r="I95" i="7" s="1"/>
  <c r="AA92" i="7"/>
  <c r="AA95" i="7" s="1"/>
  <c r="Q92" i="7"/>
  <c r="Q95" i="7" s="1"/>
  <c r="G92" i="7"/>
  <c r="G95" i="7" s="1"/>
  <c r="J92" i="7"/>
  <c r="J95" i="7" s="1"/>
  <c r="Z92" i="7"/>
  <c r="Z95" i="7" s="1"/>
  <c r="P92" i="7"/>
  <c r="P95" i="7" s="1"/>
  <c r="F92" i="7"/>
  <c r="F95" i="7" s="1"/>
  <c r="T92" i="7"/>
  <c r="T95" i="7" s="1"/>
  <c r="Y92" i="7"/>
  <c r="Y95" i="7" s="1"/>
  <c r="O92" i="7"/>
  <c r="O95" i="7" s="1"/>
  <c r="E92" i="7"/>
  <c r="E95" i="7" s="1"/>
  <c r="U92" i="7"/>
  <c r="U95" i="7" s="1"/>
  <c r="X92" i="7"/>
  <c r="X95" i="7" s="1"/>
  <c r="W92" i="7"/>
  <c r="W95" i="7" s="1"/>
  <c r="M92" i="7"/>
  <c r="M95" i="7" s="1"/>
  <c r="V92" i="7"/>
  <c r="V95" i="7" s="1"/>
  <c r="D70" i="7" a="1"/>
  <c r="D70" i="7" s="1"/>
  <c r="E70" i="7" a="1"/>
  <c r="E70" i="7" s="1"/>
  <c r="H70" i="7" a="1"/>
  <c r="H70" i="7" s="1"/>
  <c r="G70" i="7" a="1"/>
  <c r="G70" i="7" s="1"/>
  <c r="M29" i="7"/>
  <c r="D51" i="7"/>
  <c r="D41" i="7"/>
  <c r="V29" i="7"/>
  <c r="L29" i="7"/>
  <c r="U29" i="7"/>
  <c r="K29" i="7"/>
  <c r="D29" i="7"/>
  <c r="T29" i="7"/>
  <c r="J29" i="7"/>
  <c r="AC29" i="7"/>
  <c r="S29" i="7"/>
  <c r="I29" i="7"/>
  <c r="AB29" i="7"/>
  <c r="R29" i="7"/>
  <c r="H29" i="7"/>
  <c r="AA29" i="7"/>
  <c r="Q29" i="7"/>
  <c r="G29" i="7"/>
  <c r="Z29" i="7"/>
  <c r="P29" i="7"/>
  <c r="F29" i="7"/>
  <c r="Y29" i="7"/>
  <c r="O29" i="7"/>
  <c r="E29" i="7"/>
  <c r="X29" i="7"/>
  <c r="N29" i="7"/>
  <c r="W29" i="7"/>
  <c r="D153" i="5"/>
  <c r="D23" i="10" s="1" a="1"/>
  <c r="D23" i="10" s="1"/>
  <c r="Y55" i="5" a="1"/>
  <c r="Y55" i="5" s="1"/>
  <c r="X55" i="5" a="1"/>
  <c r="X55" i="5" s="1"/>
  <c r="W55" i="5" a="1"/>
  <c r="W55" i="5" s="1"/>
  <c r="T55" i="5" a="1"/>
  <c r="T55" i="5" s="1"/>
  <c r="I55" i="5" a="1"/>
  <c r="I55" i="5" s="1"/>
  <c r="Z55" i="5" a="1"/>
  <c r="Z55" i="5" s="1"/>
  <c r="P55" i="5" a="1"/>
  <c r="P55" i="5" s="1"/>
  <c r="D90" i="5"/>
  <c r="D216" i="5"/>
  <c r="D13" i="6" a="1"/>
  <c r="D13" i="6" s="1"/>
  <c r="D211" i="5"/>
  <c r="D65" i="5"/>
  <c r="G78" i="5"/>
  <c r="Q78" i="5"/>
  <c r="AA78" i="5"/>
  <c r="O78" i="5"/>
  <c r="Z78" i="5"/>
  <c r="K78" i="5"/>
  <c r="W78" i="5"/>
  <c r="L78" i="5"/>
  <c r="X78" i="5"/>
  <c r="M78" i="5"/>
  <c r="Y78" i="5"/>
  <c r="N78" i="5"/>
  <c r="AB78" i="5"/>
  <c r="P78" i="5"/>
  <c r="AC78" i="5"/>
  <c r="R78" i="5"/>
  <c r="F78" i="5"/>
  <c r="S78" i="5"/>
  <c r="H78" i="5"/>
  <c r="T78" i="5"/>
  <c r="I78" i="5"/>
  <c r="U78" i="5"/>
  <c r="J78" i="5"/>
  <c r="V78" i="5"/>
  <c r="E78" i="5"/>
  <c r="X46" i="5"/>
  <c r="N46" i="5"/>
  <c r="M46" i="5"/>
  <c r="O83" i="5"/>
  <c r="Y83" i="5"/>
  <c r="M83" i="5"/>
  <c r="X83" i="5"/>
  <c r="J83" i="5"/>
  <c r="V83" i="5"/>
  <c r="K83" i="5"/>
  <c r="W83" i="5"/>
  <c r="L83" i="5"/>
  <c r="Z83" i="5"/>
  <c r="N83" i="5"/>
  <c r="AA83" i="5"/>
  <c r="P83" i="5"/>
  <c r="AB83" i="5"/>
  <c r="Q83" i="5"/>
  <c r="AC83" i="5"/>
  <c r="F83" i="5"/>
  <c r="R83" i="5"/>
  <c r="G83" i="5"/>
  <c r="S83" i="5"/>
  <c r="H83" i="5"/>
  <c r="T83" i="5"/>
  <c r="I83" i="5"/>
  <c r="U83" i="5"/>
  <c r="E83" i="5"/>
  <c r="J106" i="5"/>
  <c r="T106" i="5"/>
  <c r="H106" i="5"/>
  <c r="S106" i="5"/>
  <c r="K106" i="5"/>
  <c r="V106" i="5"/>
  <c r="M106" i="5"/>
  <c r="Z106" i="5"/>
  <c r="O106" i="5"/>
  <c r="AB106" i="5"/>
  <c r="I106" i="5"/>
  <c r="X106" i="5"/>
  <c r="F106" i="5"/>
  <c r="AA106" i="5"/>
  <c r="Y106" i="5"/>
  <c r="AC106" i="5"/>
  <c r="G106" i="5"/>
  <c r="L106" i="5"/>
  <c r="N106" i="5"/>
  <c r="P106" i="5"/>
  <c r="Q106" i="5"/>
  <c r="R106" i="5"/>
  <c r="U106" i="5"/>
  <c r="W106" i="5"/>
  <c r="J46" i="5"/>
  <c r="L46" i="5"/>
  <c r="D45" i="5"/>
  <c r="D85" i="5"/>
  <c r="AB46" i="5"/>
  <c r="I46" i="5"/>
  <c r="F80" i="5"/>
  <c r="P80" i="5"/>
  <c r="Z80" i="5"/>
  <c r="I80" i="5"/>
  <c r="T80" i="5"/>
  <c r="K80" i="5"/>
  <c r="W80" i="5"/>
  <c r="L80" i="5"/>
  <c r="X80" i="5"/>
  <c r="D81" i="5"/>
  <c r="M80" i="5"/>
  <c r="Y80" i="5"/>
  <c r="N80" i="5"/>
  <c r="AA80" i="5"/>
  <c r="O80" i="5"/>
  <c r="AB80" i="5"/>
  <c r="Q80" i="5"/>
  <c r="AC80" i="5"/>
  <c r="R80" i="5"/>
  <c r="G80" i="5"/>
  <c r="S80" i="5"/>
  <c r="H80" i="5"/>
  <c r="U80" i="5"/>
  <c r="J80" i="5"/>
  <c r="V80" i="5"/>
  <c r="E80" i="5"/>
  <c r="D86" i="5"/>
  <c r="W46" i="5"/>
  <c r="H46" i="5"/>
  <c r="D88" i="5"/>
  <c r="Z46" i="5"/>
  <c r="P46" i="5"/>
  <c r="V46" i="5"/>
  <c r="O104" i="5"/>
  <c r="Y104" i="5"/>
  <c r="L104" i="5"/>
  <c r="W104" i="5"/>
  <c r="N104" i="5"/>
  <c r="Z104" i="5"/>
  <c r="J104" i="5"/>
  <c r="U104" i="5"/>
  <c r="K104" i="5"/>
  <c r="AB104" i="5"/>
  <c r="M104" i="5"/>
  <c r="AC104" i="5"/>
  <c r="I104" i="5"/>
  <c r="AA104" i="5"/>
  <c r="H104" i="5"/>
  <c r="X104" i="5"/>
  <c r="G104" i="5"/>
  <c r="V104" i="5"/>
  <c r="F104" i="5"/>
  <c r="T104" i="5"/>
  <c r="S104" i="5"/>
  <c r="Q46" i="5"/>
  <c r="G46" i="5"/>
  <c r="R104" i="5"/>
  <c r="Q104" i="5"/>
  <c r="Y46" i="5"/>
  <c r="P104" i="5"/>
  <c r="E33" i="4"/>
  <c r="E37" i="4" s="1"/>
  <c r="D180" i="4"/>
  <c r="F15" i="4"/>
  <c r="V15" i="4"/>
  <c r="I15" i="4"/>
  <c r="Z15" i="4"/>
  <c r="L15" i="4"/>
  <c r="AC15" i="4"/>
  <c r="G15" i="4"/>
  <c r="W15" i="4"/>
  <c r="J15" i="4"/>
  <c r="AA15" i="4"/>
  <c r="M15" i="4"/>
  <c r="P15" i="4"/>
  <c r="O16" i="4"/>
  <c r="T15" i="4"/>
  <c r="Q15" i="4"/>
  <c r="Y16" i="4"/>
  <c r="AC133" i="4" a="1"/>
  <c r="AC133" i="4" s="1"/>
  <c r="AC208" i="4" s="1"/>
  <c r="AC160" i="2" s="1" a="1"/>
  <c r="AC160" i="2" s="1"/>
  <c r="AB133" i="4" a="1"/>
  <c r="AB133" i="4" s="1"/>
  <c r="AB208" i="4" s="1"/>
  <c r="AB160" i="2" s="1" a="1"/>
  <c r="AB160" i="2" s="1"/>
  <c r="P16" i="4"/>
  <c r="Z16" i="4"/>
  <c r="K15" i="4"/>
  <c r="U15" i="4"/>
  <c r="G16" i="4"/>
  <c r="Q16" i="4"/>
  <c r="AA16" i="4"/>
  <c r="H16" i="4"/>
  <c r="R16" i="4"/>
  <c r="AB16" i="4"/>
  <c r="N15" i="4"/>
  <c r="X15" i="4"/>
  <c r="J16" i="4"/>
  <c r="T16" i="4"/>
  <c r="I16" i="4"/>
  <c r="S16" i="4"/>
  <c r="AC16" i="4"/>
  <c r="E15" i="4"/>
  <c r="O15" i="4"/>
  <c r="Y15" i="4"/>
  <c r="K16" i="4"/>
  <c r="U16" i="4"/>
  <c r="L16" i="4"/>
  <c r="V16" i="4"/>
  <c r="M16" i="4"/>
  <c r="W16" i="4"/>
  <c r="H15" i="4"/>
  <c r="R15" i="4"/>
  <c r="AB15" i="4"/>
  <c r="N16" i="4"/>
  <c r="D37" i="3"/>
  <c r="AB151" i="2" l="1"/>
  <c r="AB153" i="2" s="1"/>
  <c r="AC151" i="2"/>
  <c r="AC153" i="2" s="1"/>
  <c r="J66" i="9"/>
  <c r="F51" i="9"/>
  <c r="F210" i="9" s="1"/>
  <c r="V66" i="9"/>
  <c r="T66" i="9"/>
  <c r="E66" i="9"/>
  <c r="S66" i="9"/>
  <c r="L66" i="9"/>
  <c r="E34" i="12"/>
  <c r="D37" i="12"/>
  <c r="E41" i="12"/>
  <c r="E38" i="10" s="1" a="1"/>
  <c r="E38" i="10" s="1"/>
  <c r="F40" i="12"/>
  <c r="G29" i="12"/>
  <c r="F34" i="12"/>
  <c r="F27" i="12"/>
  <c r="E32" i="12"/>
  <c r="E33" i="12"/>
  <c r="F28" i="12"/>
  <c r="E35" i="12"/>
  <c r="F30" i="12"/>
  <c r="X66" i="9"/>
  <c r="Y66" i="9"/>
  <c r="M66" i="9"/>
  <c r="D66" i="9"/>
  <c r="Q66" i="9"/>
  <c r="N66" i="9"/>
  <c r="AA66" i="9"/>
  <c r="F125" i="9"/>
  <c r="W66" i="9"/>
  <c r="AB66" i="9"/>
  <c r="AC66" i="9"/>
  <c r="R66" i="9"/>
  <c r="K66" i="9"/>
  <c r="O66" i="9"/>
  <c r="U66" i="9"/>
  <c r="F66" i="9"/>
  <c r="F137" i="9"/>
  <c r="D49" i="9"/>
  <c r="D51" i="9" s="1"/>
  <c r="D210" i="9" s="1"/>
  <c r="D95" i="2" s="1" a="1"/>
  <c r="D95" i="2" s="1"/>
  <c r="D143" i="2" s="1"/>
  <c r="D137" i="9"/>
  <c r="E49" i="9"/>
  <c r="E51" i="9" s="1"/>
  <c r="E210" i="9" s="1"/>
  <c r="E95" i="2" s="1" a="1"/>
  <c r="E95" i="2" s="1"/>
  <c r="E143" i="2" s="1"/>
  <c r="E137" i="9"/>
  <c r="I66" i="9"/>
  <c r="P66" i="9"/>
  <c r="Z66" i="9"/>
  <c r="D125" i="9"/>
  <c r="D15" i="12" s="1" a="1"/>
  <c r="D15" i="12" s="1"/>
  <c r="G66" i="9"/>
  <c r="E125" i="9"/>
  <c r="E15" i="12" s="1" a="1"/>
  <c r="E15" i="12" s="1"/>
  <c r="D115" i="9"/>
  <c r="D121" i="9" s="1"/>
  <c r="D122" i="9" s="1"/>
  <c r="D202" i="9" s="1"/>
  <c r="D203" i="9" s="1"/>
  <c r="F115" i="9"/>
  <c r="D43" i="9"/>
  <c r="D89" i="9" s="1"/>
  <c r="D42" i="9"/>
  <c r="D69" i="9" s="1"/>
  <c r="F34" i="9"/>
  <c r="F68" i="9" s="1"/>
  <c r="K71" i="9" s="1" a="1"/>
  <c r="K71" i="9" s="1"/>
  <c r="F35" i="9"/>
  <c r="F88" i="9" s="1"/>
  <c r="E43" i="9"/>
  <c r="E89" i="9" s="1"/>
  <c r="E42" i="9"/>
  <c r="E69" i="9" s="1"/>
  <c r="J72" i="9" s="1" a="1"/>
  <c r="J72" i="9" s="1"/>
  <c r="F43" i="9"/>
  <c r="F89" i="9" s="1"/>
  <c r="F42" i="9"/>
  <c r="F69" i="9" s="1"/>
  <c r="K72" i="9" s="1" a="1"/>
  <c r="K72" i="9" s="1"/>
  <c r="D35" i="9"/>
  <c r="D88" i="9" s="1"/>
  <c r="D34" i="9"/>
  <c r="D68" i="9" s="1"/>
  <c r="W46" i="7"/>
  <c r="W96" i="7"/>
  <c r="W97" i="7" s="1"/>
  <c r="W99" i="7" s="1"/>
  <c r="W102" i="7" s="1"/>
  <c r="Q46" i="7"/>
  <c r="Q96" i="7"/>
  <c r="Q97" i="7" s="1"/>
  <c r="Q99" i="7" s="1"/>
  <c r="Q102" i="7" s="1"/>
  <c r="D46" i="7"/>
  <c r="D96" i="7"/>
  <c r="D97" i="7" s="1"/>
  <c r="D99" i="7" s="1"/>
  <c r="D102" i="7" s="1"/>
  <c r="N46" i="7"/>
  <c r="N96" i="7"/>
  <c r="N97" i="7" s="1"/>
  <c r="N99" i="7" s="1"/>
  <c r="N102" i="7" s="1"/>
  <c r="AA46" i="7"/>
  <c r="AA96" i="7"/>
  <c r="AA97" i="7" s="1"/>
  <c r="AA99" i="7" s="1"/>
  <c r="AA102" i="7" s="1"/>
  <c r="K46" i="7"/>
  <c r="K96" i="7"/>
  <c r="K97" i="7" s="1"/>
  <c r="K99" i="7" s="1"/>
  <c r="K102" i="7" s="1"/>
  <c r="X46" i="7"/>
  <c r="X96" i="7"/>
  <c r="X97" i="7" s="1"/>
  <c r="X99" i="7" s="1"/>
  <c r="X102" i="7" s="1"/>
  <c r="H46" i="7"/>
  <c r="H96" i="7"/>
  <c r="H97" i="7" s="1"/>
  <c r="H99" i="7" s="1"/>
  <c r="H102" i="7" s="1"/>
  <c r="U46" i="7"/>
  <c r="U96" i="7"/>
  <c r="U97" i="7" s="1"/>
  <c r="U99" i="7" s="1"/>
  <c r="U102" i="7" s="1"/>
  <c r="Z46" i="7"/>
  <c r="Z96" i="7"/>
  <c r="Z97" i="7" s="1"/>
  <c r="Z99" i="7" s="1"/>
  <c r="Z102" i="7" s="1"/>
  <c r="J46" i="7"/>
  <c r="J96" i="7"/>
  <c r="J97" i="7" s="1"/>
  <c r="J99" i="7" s="1"/>
  <c r="J102" i="7" s="1"/>
  <c r="G46" i="7"/>
  <c r="G96" i="7"/>
  <c r="G97" i="7" s="1"/>
  <c r="G99" i="7" s="1"/>
  <c r="G102" i="7" s="1"/>
  <c r="T46" i="7"/>
  <c r="T96" i="7"/>
  <c r="T97" i="7" s="1"/>
  <c r="T99" i="7" s="1"/>
  <c r="T102" i="7" s="1"/>
  <c r="M46" i="7"/>
  <c r="M96" i="7"/>
  <c r="M97" i="7" s="1"/>
  <c r="M99" i="7" s="1"/>
  <c r="M102" i="7" s="1"/>
  <c r="E46" i="7"/>
  <c r="E96" i="7"/>
  <c r="E97" i="7" s="1"/>
  <c r="E99" i="7" s="1"/>
  <c r="E102" i="7" s="1"/>
  <c r="R46" i="7"/>
  <c r="R96" i="7"/>
  <c r="R97" i="7" s="1"/>
  <c r="R99" i="7" s="1"/>
  <c r="R102" i="7" s="1"/>
  <c r="L46" i="7"/>
  <c r="L96" i="7"/>
  <c r="L97" i="7" s="1"/>
  <c r="L99" i="7" s="1"/>
  <c r="L102" i="7" s="1"/>
  <c r="O46" i="7"/>
  <c r="O96" i="7"/>
  <c r="O97" i="7" s="1"/>
  <c r="O99" i="7" s="1"/>
  <c r="O102" i="7" s="1"/>
  <c r="AB46" i="7"/>
  <c r="AB96" i="7"/>
  <c r="AB97" i="7" s="1"/>
  <c r="AB99" i="7" s="1"/>
  <c r="AB102" i="7" s="1"/>
  <c r="V46" i="7"/>
  <c r="V96" i="7"/>
  <c r="V97" i="7" s="1"/>
  <c r="V99" i="7" s="1"/>
  <c r="V102" i="7" s="1"/>
  <c r="Y46" i="7"/>
  <c r="Y96" i="7"/>
  <c r="Y97" i="7" s="1"/>
  <c r="Y99" i="7" s="1"/>
  <c r="Y102" i="7" s="1"/>
  <c r="I46" i="7"/>
  <c r="I96" i="7"/>
  <c r="I97" i="7" s="1"/>
  <c r="I99" i="7" s="1"/>
  <c r="I102" i="7" s="1"/>
  <c r="M31" i="7"/>
  <c r="F46" i="7"/>
  <c r="F96" i="7"/>
  <c r="F97" i="7" s="1"/>
  <c r="F99" i="7" s="1"/>
  <c r="F102" i="7" s="1"/>
  <c r="S46" i="7"/>
  <c r="S96" i="7"/>
  <c r="S97" i="7" s="1"/>
  <c r="S99" i="7" s="1"/>
  <c r="S102" i="7" s="1"/>
  <c r="M30" i="7"/>
  <c r="P46" i="7"/>
  <c r="P96" i="7"/>
  <c r="P97" i="7" s="1"/>
  <c r="P99" i="7" s="1"/>
  <c r="P102" i="7" s="1"/>
  <c r="AC46" i="7"/>
  <c r="AC96" i="7"/>
  <c r="AC97" i="7" s="1"/>
  <c r="AC99" i="7" s="1"/>
  <c r="AC102" i="7" s="1"/>
  <c r="D45" i="7"/>
  <c r="P31" i="7"/>
  <c r="P30" i="7"/>
  <c r="AC30" i="7"/>
  <c r="AC31" i="7"/>
  <c r="Z31" i="7"/>
  <c r="Z30" i="7"/>
  <c r="J30" i="7"/>
  <c r="J31" i="7"/>
  <c r="G31" i="7"/>
  <c r="G30" i="7"/>
  <c r="T30" i="7"/>
  <c r="T31" i="7"/>
  <c r="W30" i="7"/>
  <c r="W31" i="7"/>
  <c r="Q31" i="7"/>
  <c r="Q30" i="7"/>
  <c r="D30" i="7"/>
  <c r="D31" i="7"/>
  <c r="N30" i="7"/>
  <c r="N31" i="7"/>
  <c r="AA31" i="7"/>
  <c r="AA30" i="7"/>
  <c r="K30" i="7"/>
  <c r="K31" i="7"/>
  <c r="X30" i="7"/>
  <c r="X31" i="7"/>
  <c r="H31" i="7"/>
  <c r="H30" i="7"/>
  <c r="U30" i="7"/>
  <c r="U31" i="7"/>
  <c r="E31" i="7"/>
  <c r="E30" i="7"/>
  <c r="R31" i="7"/>
  <c r="R30" i="7"/>
  <c r="L30" i="7"/>
  <c r="L31" i="7"/>
  <c r="O31" i="7"/>
  <c r="O30" i="7"/>
  <c r="AB31" i="7"/>
  <c r="AB30" i="7"/>
  <c r="V30" i="7"/>
  <c r="V31" i="7"/>
  <c r="Y31" i="7"/>
  <c r="Y30" i="7"/>
  <c r="I30" i="7"/>
  <c r="I31" i="7"/>
  <c r="F31" i="7"/>
  <c r="F30" i="7"/>
  <c r="S30" i="7"/>
  <c r="S31" i="7"/>
  <c r="AB81" i="5"/>
  <c r="K81" i="5"/>
  <c r="S79" i="5"/>
  <c r="S211" i="5"/>
  <c r="L79" i="5"/>
  <c r="L211" i="5"/>
  <c r="F79" i="5"/>
  <c r="F211" i="5"/>
  <c r="W79" i="5"/>
  <c r="W211" i="5"/>
  <c r="O81" i="5"/>
  <c r="R79" i="5"/>
  <c r="R211" i="5"/>
  <c r="K79" i="5"/>
  <c r="K211" i="5"/>
  <c r="T81" i="5"/>
  <c r="AC79" i="5"/>
  <c r="AC211" i="5"/>
  <c r="Z79" i="5"/>
  <c r="Z211" i="5"/>
  <c r="D221" i="5"/>
  <c r="V81" i="5"/>
  <c r="AA81" i="5"/>
  <c r="O79" i="5"/>
  <c r="O211" i="5"/>
  <c r="Z81" i="5"/>
  <c r="J79" i="5"/>
  <c r="J211" i="5"/>
  <c r="Y81" i="5"/>
  <c r="N79" i="5"/>
  <c r="N211" i="5"/>
  <c r="U81" i="5"/>
  <c r="P81" i="5"/>
  <c r="P79" i="5"/>
  <c r="P211" i="5"/>
  <c r="F81" i="5"/>
  <c r="R81" i="5"/>
  <c r="I79" i="5"/>
  <c r="I211" i="5"/>
  <c r="Y79" i="5"/>
  <c r="Y211" i="5"/>
  <c r="G79" i="5"/>
  <c r="G211" i="5"/>
  <c r="E79" i="5"/>
  <c r="E211" i="5"/>
  <c r="J81" i="5"/>
  <c r="I81" i="5"/>
  <c r="N81" i="5"/>
  <c r="H81" i="5"/>
  <c r="V79" i="5"/>
  <c r="V211" i="5"/>
  <c r="S81" i="5"/>
  <c r="M81" i="5"/>
  <c r="AB79" i="5"/>
  <c r="AB211" i="5"/>
  <c r="AA79" i="5"/>
  <c r="AA211" i="5"/>
  <c r="G81" i="5"/>
  <c r="D226" i="5"/>
  <c r="U79" i="5"/>
  <c r="U211" i="5"/>
  <c r="Q79" i="5"/>
  <c r="Q211" i="5"/>
  <c r="X81" i="5"/>
  <c r="AC81" i="5"/>
  <c r="L81" i="5"/>
  <c r="T79" i="5"/>
  <c r="T211" i="5"/>
  <c r="M79" i="5"/>
  <c r="M211" i="5"/>
  <c r="E81" i="5"/>
  <c r="Q81" i="5"/>
  <c r="W81" i="5"/>
  <c r="H79" i="5"/>
  <c r="H211" i="5"/>
  <c r="X79" i="5"/>
  <c r="X211" i="5"/>
  <c r="F85" i="5"/>
  <c r="F84" i="5"/>
  <c r="F91" i="5" s="1" a="1"/>
  <c r="F91" i="5" s="1"/>
  <c r="F86" i="5"/>
  <c r="D68" i="4" a="1"/>
  <c r="D68" i="4" s="1"/>
  <c r="E85" i="5"/>
  <c r="E84" i="5"/>
  <c r="E86" i="5"/>
  <c r="G86" i="5"/>
  <c r="G85" i="5"/>
  <c r="G84" i="5"/>
  <c r="G91" i="5" s="1" a="1"/>
  <c r="G91" i="5" s="1"/>
  <c r="L86" i="5"/>
  <c r="L85" i="5"/>
  <c r="L84" i="5"/>
  <c r="L91" i="5" s="1" a="1"/>
  <c r="L91" i="5" s="1"/>
  <c r="R85" i="5"/>
  <c r="R84" i="5"/>
  <c r="R91" i="5" s="1" a="1"/>
  <c r="R91" i="5" s="1"/>
  <c r="R86" i="5"/>
  <c r="W86" i="5"/>
  <c r="W85" i="5"/>
  <c r="W84" i="5"/>
  <c r="W91" i="5" s="1" a="1"/>
  <c r="W91" i="5" s="1"/>
  <c r="V85" i="5"/>
  <c r="V84" i="5"/>
  <c r="V91" i="5" s="1" a="1"/>
  <c r="V91" i="5" s="1"/>
  <c r="V86" i="5"/>
  <c r="U86" i="5"/>
  <c r="U85" i="5"/>
  <c r="U84" i="5"/>
  <c r="U91" i="5" s="1" a="1"/>
  <c r="U91" i="5" s="1"/>
  <c r="AB86" i="5"/>
  <c r="AB85" i="5"/>
  <c r="AB84" i="5"/>
  <c r="AB91" i="5" s="1" a="1"/>
  <c r="AB91" i="5" s="1"/>
  <c r="X85" i="5"/>
  <c r="X86" i="5"/>
  <c r="X84" i="5"/>
  <c r="X91" i="5" s="1" a="1"/>
  <c r="X91" i="5" s="1"/>
  <c r="AC86" i="5"/>
  <c r="AC95" i="5" s="1" a="1"/>
  <c r="AC95" i="5" s="1"/>
  <c r="AC84" i="5"/>
  <c r="AC91" i="5" s="1" a="1"/>
  <c r="AC91" i="5" s="1"/>
  <c r="AC89" i="5" a="1"/>
  <c r="AC89" i="5" s="1"/>
  <c r="AC85" i="5"/>
  <c r="AC93" i="5" s="1" a="1"/>
  <c r="AC93" i="5" s="1"/>
  <c r="M86" i="5"/>
  <c r="M85" i="5"/>
  <c r="M84" i="5"/>
  <c r="M91" i="5" s="1" a="1"/>
  <c r="M91" i="5" s="1"/>
  <c r="T86" i="5"/>
  <c r="T85" i="5"/>
  <c r="T84" i="5"/>
  <c r="T91" i="5" s="1" a="1"/>
  <c r="T91" i="5" s="1"/>
  <c r="AA86" i="5"/>
  <c r="AA85" i="5"/>
  <c r="AA84" i="5"/>
  <c r="AA91" i="5" s="1" a="1"/>
  <c r="AA91" i="5" s="1"/>
  <c r="Y86" i="5"/>
  <c r="Y85" i="5"/>
  <c r="Y84" i="5"/>
  <c r="Y91" i="5" s="1" a="1"/>
  <c r="Y91" i="5" s="1"/>
  <c r="K86" i="5"/>
  <c r="K85" i="5"/>
  <c r="K84" i="5"/>
  <c r="K91" i="5" s="1" a="1"/>
  <c r="K91" i="5" s="1"/>
  <c r="J85" i="5"/>
  <c r="J84" i="5"/>
  <c r="J91" i="5" s="1" a="1"/>
  <c r="J91" i="5" s="1"/>
  <c r="J86" i="5"/>
  <c r="I86" i="5"/>
  <c r="I84" i="5"/>
  <c r="I91" i="5" s="1" a="1"/>
  <c r="I91" i="5" s="1"/>
  <c r="I85" i="5"/>
  <c r="H86" i="5"/>
  <c r="H85" i="5"/>
  <c r="H84" i="5"/>
  <c r="H91" i="5" s="1" a="1"/>
  <c r="H91" i="5" s="1"/>
  <c r="N85" i="5"/>
  <c r="N86" i="5"/>
  <c r="N84" i="5"/>
  <c r="N91" i="5" s="1" a="1"/>
  <c r="N91" i="5" s="1"/>
  <c r="O84" i="5"/>
  <c r="O91" i="5" s="1" a="1"/>
  <c r="O91" i="5" s="1"/>
  <c r="O85" i="5"/>
  <c r="O86" i="5"/>
  <c r="Q85" i="5"/>
  <c r="Q84" i="5"/>
  <c r="Q91" i="5" s="1" a="1"/>
  <c r="Q91" i="5" s="1"/>
  <c r="Q86" i="5"/>
  <c r="P85" i="5"/>
  <c r="P84" i="5"/>
  <c r="P91" i="5" s="1" a="1"/>
  <c r="P91" i="5" s="1"/>
  <c r="P86" i="5"/>
  <c r="S86" i="5"/>
  <c r="S84" i="5"/>
  <c r="S91" i="5" s="1" a="1"/>
  <c r="S91" i="5" s="1"/>
  <c r="S85" i="5"/>
  <c r="Z84" i="5"/>
  <c r="Z91" i="5" s="1" a="1"/>
  <c r="Z91" i="5" s="1"/>
  <c r="Z86" i="5"/>
  <c r="Z85" i="5"/>
  <c r="D140" i="4" a="1"/>
  <c r="D140" i="4" s="1"/>
  <c r="F95" i="2" l="1" a="1"/>
  <c r="F95" i="2" s="1"/>
  <c r="F143" i="2" s="1"/>
  <c r="D150" i="2" a="1"/>
  <c r="D150" i="2" s="1"/>
  <c r="D47" i="12"/>
  <c r="D37" i="10" a="1"/>
  <c r="D37" i="10" s="1"/>
  <c r="G30" i="12"/>
  <c r="F35" i="12"/>
  <c r="F15" i="12" a="1"/>
  <c r="F15" i="12" s="1"/>
  <c r="G28" i="12"/>
  <c r="F33" i="12"/>
  <c r="E37" i="12"/>
  <c r="F32" i="12"/>
  <c r="G27" i="12"/>
  <c r="H29" i="12"/>
  <c r="G34" i="12"/>
  <c r="G40" i="12"/>
  <c r="F41" i="12"/>
  <c r="F38" i="10" s="1" a="1"/>
  <c r="F38" i="10" s="1"/>
  <c r="F205" i="9"/>
  <c r="F126" i="9"/>
  <c r="F206" i="9" s="1"/>
  <c r="E126" i="9"/>
  <c r="E206" i="9" s="1"/>
  <c r="E205" i="9"/>
  <c r="D126" i="9"/>
  <c r="D206" i="9" s="1"/>
  <c r="D205" i="9"/>
  <c r="D129" i="9"/>
  <c r="D204" i="9" s="1"/>
  <c r="D123" i="9"/>
  <c r="D74" i="9" a="1"/>
  <c r="D74" i="9" s="1"/>
  <c r="I71" i="9" a="1"/>
  <c r="I71" i="9" s="1"/>
  <c r="D75" i="9" a="1"/>
  <c r="D75" i="9" s="1"/>
  <c r="I72" i="9" a="1"/>
  <c r="I72" i="9" s="1"/>
  <c r="AA149" i="7"/>
  <c r="AA150" i="7"/>
  <c r="AA148" i="7"/>
  <c r="P149" i="7"/>
  <c r="P150" i="7"/>
  <c r="P148" i="7"/>
  <c r="Q149" i="7"/>
  <c r="Q150" i="7"/>
  <c r="Q148" i="7"/>
  <c r="Y149" i="7"/>
  <c r="Y150" i="7"/>
  <c r="Y148" i="7"/>
  <c r="R149" i="7"/>
  <c r="R150" i="7"/>
  <c r="R148" i="7"/>
  <c r="J148" i="7"/>
  <c r="J149" i="7"/>
  <c r="J150" i="7"/>
  <c r="Z149" i="7"/>
  <c r="Z150" i="7"/>
  <c r="Z148" i="7"/>
  <c r="K150" i="7"/>
  <c r="K148" i="7"/>
  <c r="K149" i="7"/>
  <c r="W150" i="7"/>
  <c r="W148" i="7"/>
  <c r="W149" i="7"/>
  <c r="S148" i="7"/>
  <c r="S149" i="7"/>
  <c r="S150" i="7"/>
  <c r="V150" i="7"/>
  <c r="V148" i="7"/>
  <c r="V149" i="7"/>
  <c r="E149" i="7"/>
  <c r="E150" i="7"/>
  <c r="E148" i="7"/>
  <c r="AB149" i="7"/>
  <c r="AB150" i="7"/>
  <c r="AB148" i="7"/>
  <c r="O149" i="7"/>
  <c r="O150" i="7"/>
  <c r="O148" i="7"/>
  <c r="T148" i="7"/>
  <c r="T149" i="7"/>
  <c r="T150" i="7"/>
  <c r="H149" i="7"/>
  <c r="H150" i="7"/>
  <c r="H148" i="7"/>
  <c r="F149" i="7"/>
  <c r="F150" i="7"/>
  <c r="F148" i="7"/>
  <c r="M150" i="7"/>
  <c r="M148" i="7"/>
  <c r="M149" i="7"/>
  <c r="U150" i="7"/>
  <c r="U148" i="7"/>
  <c r="U149" i="7"/>
  <c r="N150" i="7"/>
  <c r="N148" i="7"/>
  <c r="N149" i="7"/>
  <c r="AC148" i="7"/>
  <c r="AC149" i="7"/>
  <c r="AC150" i="7"/>
  <c r="D148" i="7"/>
  <c r="D149" i="7"/>
  <c r="D150" i="7"/>
  <c r="I148" i="7"/>
  <c r="I149" i="7"/>
  <c r="I150" i="7"/>
  <c r="L150" i="7"/>
  <c r="L148" i="7"/>
  <c r="L149" i="7"/>
  <c r="G149" i="7"/>
  <c r="G150" i="7"/>
  <c r="G148" i="7"/>
  <c r="X150" i="7"/>
  <c r="X148" i="7"/>
  <c r="X149" i="7"/>
  <c r="D47" i="7"/>
  <c r="D48" i="7" s="1"/>
  <c r="F221" i="5"/>
  <c r="I221" i="5"/>
  <c r="T221" i="5"/>
  <c r="W221" i="5"/>
  <c r="Y221" i="5"/>
  <c r="V221" i="5"/>
  <c r="U90" i="5"/>
  <c r="U216" i="5"/>
  <c r="AB90" i="5"/>
  <c r="AB216" i="5"/>
  <c r="I226" i="5"/>
  <c r="Y90" i="5"/>
  <c r="Y216" i="5"/>
  <c r="F226" i="5"/>
  <c r="Y226" i="5"/>
  <c r="V226" i="5"/>
  <c r="T226" i="5"/>
  <c r="R216" i="5"/>
  <c r="R90" i="5"/>
  <c r="L90" i="5"/>
  <c r="L216" i="5"/>
  <c r="O221" i="5"/>
  <c r="J226" i="5"/>
  <c r="I90" i="5"/>
  <c r="I216" i="5"/>
  <c r="P90" i="5"/>
  <c r="P216" i="5"/>
  <c r="J90" i="5"/>
  <c r="J216" i="5"/>
  <c r="O226" i="5"/>
  <c r="S90" i="5"/>
  <c r="S216" i="5"/>
  <c r="P221" i="5"/>
  <c r="Z221" i="5"/>
  <c r="K221" i="5"/>
  <c r="H216" i="5"/>
  <c r="H90" i="5"/>
  <c r="Q221" i="5"/>
  <c r="T216" i="5"/>
  <c r="T90" i="5"/>
  <c r="H226" i="5"/>
  <c r="E216" i="5"/>
  <c r="R226" i="5"/>
  <c r="P226" i="5"/>
  <c r="Z226" i="5"/>
  <c r="Z216" i="5"/>
  <c r="Z90" i="5"/>
  <c r="K226" i="5"/>
  <c r="J221" i="5"/>
  <c r="M216" i="5"/>
  <c r="M90" i="5"/>
  <c r="W226" i="5"/>
  <c r="R221" i="5"/>
  <c r="Q226" i="5"/>
  <c r="L221" i="5"/>
  <c r="G221" i="5"/>
  <c r="N221" i="5"/>
  <c r="U221" i="5"/>
  <c r="AB221" i="5"/>
  <c r="S226" i="5"/>
  <c r="X221" i="5"/>
  <c r="H221" i="5"/>
  <c r="E221" i="5"/>
  <c r="L226" i="5"/>
  <c r="G226" i="5"/>
  <c r="M221" i="5"/>
  <c r="N226" i="5"/>
  <c r="U226" i="5"/>
  <c r="O216" i="5"/>
  <c r="O90" i="5"/>
  <c r="AC216" i="5"/>
  <c r="AC90" i="5"/>
  <c r="W216" i="5"/>
  <c r="W90" i="5"/>
  <c r="AB226" i="5"/>
  <c r="V216" i="5"/>
  <c r="V90" i="5"/>
  <c r="X226" i="5"/>
  <c r="X90" i="5"/>
  <c r="X216" i="5"/>
  <c r="E226" i="5"/>
  <c r="AC221" i="5"/>
  <c r="M226" i="5"/>
  <c r="AA221" i="5"/>
  <c r="AC226" i="5"/>
  <c r="Q90" i="5"/>
  <c r="Q216" i="5"/>
  <c r="AA90" i="5"/>
  <c r="AA216" i="5"/>
  <c r="S221" i="5"/>
  <c r="G216" i="5"/>
  <c r="G90" i="5"/>
  <c r="N90" i="5"/>
  <c r="N216" i="5"/>
  <c r="AA226" i="5"/>
  <c r="K216" i="5"/>
  <c r="K90" i="5"/>
  <c r="F216" i="5"/>
  <c r="F37" i="12" l="1"/>
  <c r="F37" i="10" s="1" a="1"/>
  <c r="F37" i="10" s="1"/>
  <c r="E47" i="12"/>
  <c r="E37" i="10" a="1"/>
  <c r="E37" i="10" s="1"/>
  <c r="I29" i="12"/>
  <c r="H34" i="12"/>
  <c r="G32" i="12"/>
  <c r="H27" i="12"/>
  <c r="H28" i="12"/>
  <c r="G33" i="12"/>
  <c r="H40" i="12"/>
  <c r="G41" i="12"/>
  <c r="G38" i="10" s="1" a="1"/>
  <c r="G38" i="10" s="1"/>
  <c r="H30" i="12"/>
  <c r="G35" i="12"/>
  <c r="E75" i="9" a="1"/>
  <c r="E75" i="9" s="1"/>
  <c r="D86" i="9"/>
  <c r="E74" i="9" a="1"/>
  <c r="E74" i="9" s="1"/>
  <c r="D85" i="9"/>
  <c r="D66" i="7"/>
  <c r="F47" i="12" l="1"/>
  <c r="I40" i="12"/>
  <c r="H41" i="12"/>
  <c r="H38" i="10" s="1" a="1"/>
  <c r="H38" i="10" s="1"/>
  <c r="I28" i="12"/>
  <c r="H33" i="12"/>
  <c r="G37" i="12"/>
  <c r="I27" i="12"/>
  <c r="H32" i="12"/>
  <c r="I30" i="12"/>
  <c r="H35" i="12"/>
  <c r="J29" i="12"/>
  <c r="I34" i="12"/>
  <c r="D91" i="9"/>
  <c r="D94" i="9" s="1" a="1"/>
  <c r="D94" i="9" s="1"/>
  <c r="D138" i="9"/>
  <c r="D92" i="9"/>
  <c r="D95" i="9" s="1" a="1"/>
  <c r="D95" i="9" s="1"/>
  <c r="D139" i="9"/>
  <c r="F74" i="9" a="1"/>
  <c r="F74" i="9" s="1"/>
  <c r="F85" i="9" s="1"/>
  <c r="E85" i="9"/>
  <c r="F75" i="9" a="1"/>
  <c r="F75" i="9" s="1"/>
  <c r="E86" i="9"/>
  <c r="G47" i="12" l="1"/>
  <c r="G37" i="10" a="1"/>
  <c r="G37" i="10" s="1"/>
  <c r="D97" i="9"/>
  <c r="H37" i="12"/>
  <c r="K29" i="12"/>
  <c r="J34" i="12"/>
  <c r="J27" i="12"/>
  <c r="I32" i="12"/>
  <c r="J28" i="12"/>
  <c r="I33" i="12"/>
  <c r="J30" i="12"/>
  <c r="I35" i="12"/>
  <c r="J40" i="12"/>
  <c r="I41" i="12"/>
  <c r="I38" i="10" s="1" a="1"/>
  <c r="I38" i="10" s="1"/>
  <c r="E118" i="9" a="1"/>
  <c r="E118" i="9" s="1"/>
  <c r="D212" i="9"/>
  <c r="E117" i="9" a="1"/>
  <c r="E117" i="9" s="1"/>
  <c r="D211" i="9"/>
  <c r="E91" i="9"/>
  <c r="E94" i="9" s="1" a="1"/>
  <c r="E94" i="9" s="1"/>
  <c r="E138" i="9"/>
  <c r="F91" i="9"/>
  <c r="F138" i="9"/>
  <c r="E92" i="9"/>
  <c r="E95" i="9" s="1" a="1"/>
  <c r="E95" i="9" s="1"/>
  <c r="E139" i="9"/>
  <c r="F86" i="9"/>
  <c r="H47" i="12" l="1"/>
  <c r="H37" i="10" a="1"/>
  <c r="H37" i="10" s="1"/>
  <c r="K40" i="12"/>
  <c r="J41" i="12"/>
  <c r="J38" i="10" s="1" a="1"/>
  <c r="J38" i="10" s="1"/>
  <c r="I37" i="12"/>
  <c r="K27" i="12"/>
  <c r="J32" i="12"/>
  <c r="K30" i="12"/>
  <c r="J35" i="12"/>
  <c r="K28" i="12"/>
  <c r="J33" i="12"/>
  <c r="L29" i="12"/>
  <c r="K34" i="12"/>
  <c r="F118" i="9" a="1"/>
  <c r="F118" i="9" s="1"/>
  <c r="E212" i="9"/>
  <c r="E128" i="9"/>
  <c r="E121" i="9"/>
  <c r="E122" i="9" s="1"/>
  <c r="F117" i="9" a="1"/>
  <c r="F117" i="9" s="1"/>
  <c r="E211" i="9"/>
  <c r="F94" i="9" a="1"/>
  <c r="F94" i="9" s="1"/>
  <c r="F92" i="9"/>
  <c r="F95" i="9" s="1" a="1"/>
  <c r="F95" i="9" s="1"/>
  <c r="F139" i="9"/>
  <c r="E97" i="9"/>
  <c r="I47" i="12" l="1"/>
  <c r="I37" i="10" a="1"/>
  <c r="I37" i="10" s="1"/>
  <c r="F121" i="9"/>
  <c r="F122" i="9" s="1"/>
  <c r="F202" i="9" s="1"/>
  <c r="F203" i="9" s="1"/>
  <c r="M29" i="12"/>
  <c r="L34" i="12"/>
  <c r="J37" i="12"/>
  <c r="L27" i="12"/>
  <c r="K32" i="12"/>
  <c r="L28" i="12"/>
  <c r="K33" i="12"/>
  <c r="L30" i="12"/>
  <c r="K35" i="12"/>
  <c r="L40" i="12"/>
  <c r="K41" i="12"/>
  <c r="K38" i="10" s="1" a="1"/>
  <c r="K38" i="10" s="1"/>
  <c r="G118" i="9" a="1"/>
  <c r="G118" i="9" s="1"/>
  <c r="F212" i="9"/>
  <c r="G117" i="9" a="1"/>
  <c r="G117" i="9" s="1"/>
  <c r="F211" i="9"/>
  <c r="F97" i="9"/>
  <c r="E202" i="9"/>
  <c r="E203" i="9" s="1"/>
  <c r="E129" i="9"/>
  <c r="E204" i="9" s="1"/>
  <c r="E123" i="9"/>
  <c r="F128" i="9"/>
  <c r="F123" i="9" l="1"/>
  <c r="J47" i="12"/>
  <c r="J37" i="10" a="1"/>
  <c r="J37" i="10" s="1"/>
  <c r="F129" i="9"/>
  <c r="F204" i="9" s="1"/>
  <c r="M28" i="12"/>
  <c r="L33" i="12"/>
  <c r="K37" i="12"/>
  <c r="M27" i="12"/>
  <c r="L32" i="12"/>
  <c r="M40" i="12"/>
  <c r="L41" i="12"/>
  <c r="L38" i="10" s="1" a="1"/>
  <c r="L38" i="10" s="1"/>
  <c r="M30" i="12"/>
  <c r="L35" i="12"/>
  <c r="N29" i="12"/>
  <c r="M34" i="12"/>
  <c r="G128" i="9"/>
  <c r="K47" i="12" l="1"/>
  <c r="K37" i="10" a="1"/>
  <c r="K37" i="10" s="1"/>
  <c r="L37" i="12"/>
  <c r="L37" i="10" s="1" a="1"/>
  <c r="L37" i="10" s="1"/>
  <c r="O29" i="12"/>
  <c r="N34" i="12"/>
  <c r="N40" i="12"/>
  <c r="M41" i="12"/>
  <c r="M38" i="10" s="1" a="1"/>
  <c r="M38" i="10" s="1"/>
  <c r="N30" i="12"/>
  <c r="M35" i="12"/>
  <c r="N27" i="12"/>
  <c r="M32" i="12"/>
  <c r="N28" i="12"/>
  <c r="M33" i="12"/>
  <c r="L47" i="12" l="1"/>
  <c r="O28" i="12"/>
  <c r="N33" i="12"/>
  <c r="M37" i="12"/>
  <c r="O40" i="12"/>
  <c r="N41" i="12"/>
  <c r="N38" i="10" s="1" a="1"/>
  <c r="N38" i="10" s="1"/>
  <c r="O30" i="12"/>
  <c r="N35" i="12"/>
  <c r="O27" i="12"/>
  <c r="N32" i="12"/>
  <c r="P29" i="12"/>
  <c r="O34" i="12"/>
  <c r="M47" i="12" l="1"/>
  <c r="M37" i="10" a="1"/>
  <c r="M37" i="10" s="1"/>
  <c r="Q29" i="12"/>
  <c r="P34" i="12"/>
  <c r="N37" i="12"/>
  <c r="P27" i="12"/>
  <c r="O32" i="12"/>
  <c r="P30" i="12"/>
  <c r="O35" i="12"/>
  <c r="P40" i="12"/>
  <c r="O41" i="12"/>
  <c r="O38" i="10" s="1" a="1"/>
  <c r="O38" i="10" s="1"/>
  <c r="P28" i="12"/>
  <c r="O33" i="12"/>
  <c r="N47" i="12" l="1"/>
  <c r="N37" i="10" a="1"/>
  <c r="N37" i="10" s="1"/>
  <c r="O37" i="12"/>
  <c r="O37" i="10" s="1" a="1"/>
  <c r="O37" i="10" s="1"/>
  <c r="Q28" i="12"/>
  <c r="P33" i="12"/>
  <c r="Q40" i="12"/>
  <c r="P41" i="12"/>
  <c r="P38" i="10" s="1" a="1"/>
  <c r="P38" i="10" s="1"/>
  <c r="O47" i="12"/>
  <c r="Q27" i="12"/>
  <c r="P32" i="12"/>
  <c r="Q30" i="12"/>
  <c r="P35" i="12"/>
  <c r="R29" i="12"/>
  <c r="Q34" i="12"/>
  <c r="P37" i="12" l="1"/>
  <c r="R27" i="12"/>
  <c r="Q32" i="12"/>
  <c r="S29" i="12"/>
  <c r="R34" i="12"/>
  <c r="R30" i="12"/>
  <c r="Q35" i="12"/>
  <c r="R40" i="12"/>
  <c r="Q41" i="12"/>
  <c r="Q38" i="10" s="1" a="1"/>
  <c r="Q38" i="10" s="1"/>
  <c r="R28" i="12"/>
  <c r="Q33" i="12"/>
  <c r="P47" i="12" l="1"/>
  <c r="P37" i="10" a="1"/>
  <c r="P37" i="10" s="1"/>
  <c r="S28" i="12"/>
  <c r="R33" i="12"/>
  <c r="T29" i="12"/>
  <c r="S34" i="12"/>
  <c r="S30" i="12"/>
  <c r="R35" i="12"/>
  <c r="Q37" i="12"/>
  <c r="S27" i="12"/>
  <c r="R32" i="12"/>
  <c r="S40" i="12"/>
  <c r="R41" i="12"/>
  <c r="R38" i="10" s="1" a="1"/>
  <c r="R38" i="10" s="1"/>
  <c r="Q47" i="12" l="1"/>
  <c r="Q37" i="10" a="1"/>
  <c r="Q37" i="10" s="1"/>
  <c r="R37" i="12"/>
  <c r="T40" i="12"/>
  <c r="S41" i="12"/>
  <c r="S38" i="10" s="1" a="1"/>
  <c r="S38" i="10" s="1"/>
  <c r="T27" i="12"/>
  <c r="S32" i="12"/>
  <c r="T30" i="12"/>
  <c r="S35" i="12"/>
  <c r="U29" i="12"/>
  <c r="T34" i="12"/>
  <c r="T28" i="12"/>
  <c r="S33" i="12"/>
  <c r="R47" i="12" l="1"/>
  <c r="R37" i="10" a="1"/>
  <c r="R37" i="10" s="1"/>
  <c r="U30" i="12"/>
  <c r="T35" i="12"/>
  <c r="S37" i="12"/>
  <c r="U28" i="12"/>
  <c r="T33" i="12"/>
  <c r="V29" i="12"/>
  <c r="U34" i="12"/>
  <c r="U27" i="12"/>
  <c r="T32" i="12"/>
  <c r="U40" i="12"/>
  <c r="T41" i="12"/>
  <c r="T38" i="10" s="1" a="1"/>
  <c r="T38" i="10" s="1"/>
  <c r="S47" i="12" l="1"/>
  <c r="S37" i="10" a="1"/>
  <c r="S37" i="10" s="1"/>
  <c r="T37" i="12"/>
  <c r="V40" i="12"/>
  <c r="U41" i="12"/>
  <c r="U38" i="10" s="1" a="1"/>
  <c r="U38" i="10" s="1"/>
  <c r="V28" i="12"/>
  <c r="U33" i="12"/>
  <c r="W29" i="12"/>
  <c r="V34" i="12"/>
  <c r="V27" i="12"/>
  <c r="U32" i="12"/>
  <c r="V30" i="12"/>
  <c r="U35" i="12"/>
  <c r="T47" i="12" l="1"/>
  <c r="T37" i="10" a="1"/>
  <c r="T37" i="10" s="1"/>
  <c r="U37" i="12"/>
  <c r="W30" i="12"/>
  <c r="V35" i="12"/>
  <c r="W27" i="12"/>
  <c r="V32" i="12"/>
  <c r="W28" i="12"/>
  <c r="V33" i="12"/>
  <c r="X29" i="12"/>
  <c r="W34" i="12"/>
  <c r="W40" i="12"/>
  <c r="V41" i="12"/>
  <c r="V38" i="10" s="1" a="1"/>
  <c r="V38" i="10" s="1"/>
  <c r="U47" i="12" l="1"/>
  <c r="U37" i="10" a="1"/>
  <c r="U37" i="10" s="1"/>
  <c r="X40" i="12"/>
  <c r="W41" i="12"/>
  <c r="W38" i="10" s="1" a="1"/>
  <c r="W38" i="10" s="1"/>
  <c r="V37" i="12"/>
  <c r="X27" i="12"/>
  <c r="W32" i="12"/>
  <c r="Y29" i="12"/>
  <c r="X34" i="12"/>
  <c r="X28" i="12"/>
  <c r="W33" i="12"/>
  <c r="X30" i="12"/>
  <c r="W35" i="12"/>
  <c r="V47" i="12" l="1"/>
  <c r="V37" i="10" a="1"/>
  <c r="V37" i="10" s="1"/>
  <c r="W37" i="12"/>
  <c r="Y30" i="12"/>
  <c r="X35" i="12"/>
  <c r="Y28" i="12"/>
  <c r="X33" i="12"/>
  <c r="Z29" i="12"/>
  <c r="Y34" i="12"/>
  <c r="Y27" i="12"/>
  <c r="X32" i="12"/>
  <c r="Y40" i="12"/>
  <c r="X41" i="12"/>
  <c r="X38" i="10" s="1" a="1"/>
  <c r="X38" i="10" s="1"/>
  <c r="W47" i="12" l="1"/>
  <c r="W37" i="10" a="1"/>
  <c r="W37" i="10" s="1"/>
  <c r="X37" i="12"/>
  <c r="Z28" i="12"/>
  <c r="Y33" i="12"/>
  <c r="Z40" i="12"/>
  <c r="Y41" i="12"/>
  <c r="Y38" i="10" s="1" a="1"/>
  <c r="Y38" i="10" s="1"/>
  <c r="Z27" i="12"/>
  <c r="Y32" i="12"/>
  <c r="AA29" i="12"/>
  <c r="Z34" i="12"/>
  <c r="Z30" i="12"/>
  <c r="Y35" i="12"/>
  <c r="X47" i="12" l="1"/>
  <c r="X37" i="10" a="1"/>
  <c r="X37" i="10" s="1"/>
  <c r="AA30" i="12"/>
  <c r="Z35" i="12"/>
  <c r="AB29" i="12"/>
  <c r="AA34" i="12"/>
  <c r="Y37" i="12"/>
  <c r="AA27" i="12"/>
  <c r="Z32" i="12"/>
  <c r="AA40" i="12"/>
  <c r="Z41" i="12"/>
  <c r="Z38" i="10" s="1" a="1"/>
  <c r="Z38" i="10" s="1"/>
  <c r="AA28" i="12"/>
  <c r="Z33" i="12"/>
  <c r="Z37" i="12" l="1"/>
  <c r="Z37" i="10" s="1" a="1"/>
  <c r="Z37" i="10" s="1"/>
  <c r="Y47" i="12"/>
  <c r="Y37" i="10" a="1"/>
  <c r="Y37" i="10" s="1"/>
  <c r="AB27" i="12"/>
  <c r="AA32" i="12"/>
  <c r="AB28" i="12"/>
  <c r="AA33" i="12"/>
  <c r="AB40" i="12"/>
  <c r="AA41" i="12"/>
  <c r="AA38" i="10" s="1" a="1"/>
  <c r="AA38" i="10" s="1"/>
  <c r="AC29" i="12"/>
  <c r="AC34" i="12" s="1"/>
  <c r="AB34" i="12"/>
  <c r="AB30" i="12"/>
  <c r="AA35" i="12"/>
  <c r="Z47" i="12" l="1"/>
  <c r="AC30" i="12"/>
  <c r="AC35" i="12" s="1"/>
  <c r="AB35" i="12"/>
  <c r="AC40" i="12"/>
  <c r="AC41" i="12" s="1"/>
  <c r="AC38" i="10" s="1" a="1"/>
  <c r="AC38" i="10" s="1"/>
  <c r="AB41" i="12"/>
  <c r="AB38" i="10" s="1" a="1"/>
  <c r="AB38" i="10" s="1"/>
  <c r="AC28" i="12"/>
  <c r="AC33" i="12" s="1"/>
  <c r="AB33" i="12"/>
  <c r="AA37" i="12"/>
  <c r="AC27" i="12"/>
  <c r="AC32" i="12" s="1"/>
  <c r="AB32" i="12"/>
  <c r="AA47" i="12" l="1"/>
  <c r="AA37" i="10" a="1"/>
  <c r="AA37" i="10" s="1"/>
  <c r="AC37" i="12"/>
  <c r="AB37" i="12"/>
  <c r="AC47" i="12" l="1"/>
  <c r="AC37" i="10" a="1"/>
  <c r="AC37" i="10" s="1"/>
  <c r="AB47" i="12"/>
  <c r="AB37" i="10" a="1"/>
  <c r="AB37" i="10" s="1"/>
  <c r="D13" i="3" l="1"/>
  <c r="D58" i="3"/>
  <c r="D60" i="3" s="1"/>
  <c r="D65" i="3" s="1"/>
  <c r="D57" i="3"/>
  <c r="D56" i="3"/>
  <c r="D55" i="3"/>
  <c r="D52" i="3"/>
  <c r="D51" i="3"/>
  <c r="D50" i="3"/>
  <c r="D49" i="3"/>
  <c r="D48" i="3"/>
  <c r="D47" i="3"/>
  <c r="D46" i="3"/>
  <c r="D45" i="3"/>
  <c r="D44" i="3"/>
  <c r="AC21" i="3" a="1"/>
  <c r="AC21" i="3" s="1"/>
  <c r="AB21" i="3" a="1"/>
  <c r="AB21" i="3" s="1"/>
  <c r="AA21" i="3" a="1"/>
  <c r="AA21" i="3" s="1"/>
  <c r="Z21" i="3" a="1"/>
  <c r="Z21" i="3" s="1"/>
  <c r="Y21" i="3" a="1"/>
  <c r="Y21" i="3" s="1"/>
  <c r="X21" i="3" a="1"/>
  <c r="X21" i="3" s="1"/>
  <c r="W21" i="3" a="1"/>
  <c r="W21" i="3" s="1"/>
  <c r="V21" i="3" a="1"/>
  <c r="V21" i="3" s="1"/>
  <c r="U21" i="3" a="1"/>
  <c r="U21" i="3" s="1"/>
  <c r="T21" i="3" a="1"/>
  <c r="T21" i="3" s="1"/>
  <c r="S21" i="3" a="1"/>
  <c r="S21" i="3" s="1"/>
  <c r="R21" i="3" a="1"/>
  <c r="R21" i="3" s="1"/>
  <c r="Q21" i="3" a="1"/>
  <c r="Q21" i="3" s="1"/>
  <c r="P21" i="3" a="1"/>
  <c r="P21" i="3" s="1"/>
  <c r="O21" i="3" a="1"/>
  <c r="O21" i="3" s="1"/>
  <c r="N21" i="3" a="1"/>
  <c r="N21" i="3" s="1"/>
  <c r="M21" i="3" a="1"/>
  <c r="M21" i="3" s="1"/>
  <c r="L21" i="3" a="1"/>
  <c r="L21" i="3" s="1"/>
  <c r="K21" i="3" a="1"/>
  <c r="K21" i="3" s="1"/>
  <c r="J21" i="3" a="1"/>
  <c r="J21" i="3" s="1"/>
  <c r="I21" i="3" a="1"/>
  <c r="I21" i="3" s="1"/>
  <c r="H21" i="3" a="1"/>
  <c r="H21" i="3" s="1"/>
  <c r="G21" i="3" a="1"/>
  <c r="G21" i="3" s="1"/>
  <c r="F21" i="3" a="1"/>
  <c r="F21" i="3" s="1"/>
  <c r="E21" i="3" a="1"/>
  <c r="E21" i="3" s="1"/>
  <c r="D21" i="3" a="1"/>
  <c r="D21" i="3" s="1"/>
  <c r="AC20" i="3" a="1"/>
  <c r="AC20" i="3" s="1"/>
  <c r="AB20" i="3" a="1"/>
  <c r="AB20" i="3" s="1"/>
  <c r="AA20" i="3" a="1"/>
  <c r="AA20" i="3" s="1"/>
  <c r="Z20" i="3" a="1"/>
  <c r="Z20" i="3" s="1"/>
  <c r="Y20" i="3" a="1"/>
  <c r="Y20" i="3" s="1"/>
  <c r="X20" i="3" a="1"/>
  <c r="X20" i="3" s="1"/>
  <c r="W20" i="3" a="1"/>
  <c r="W20" i="3" s="1"/>
  <c r="V20" i="3" a="1"/>
  <c r="V20" i="3" s="1"/>
  <c r="U20" i="3" a="1"/>
  <c r="U20" i="3" s="1"/>
  <c r="T20" i="3" a="1"/>
  <c r="T20" i="3" s="1"/>
  <c r="S20" i="3" a="1"/>
  <c r="S20" i="3" s="1"/>
  <c r="R20" i="3" a="1"/>
  <c r="R20" i="3" s="1"/>
  <c r="Q20" i="3" a="1"/>
  <c r="Q20" i="3" s="1"/>
  <c r="P20" i="3" a="1"/>
  <c r="P20" i="3" s="1"/>
  <c r="O20" i="3" a="1"/>
  <c r="O20" i="3" s="1"/>
  <c r="N20" i="3" a="1"/>
  <c r="N20" i="3" s="1"/>
  <c r="M20" i="3" a="1"/>
  <c r="M20" i="3" s="1"/>
  <c r="L20" i="3" a="1"/>
  <c r="L20" i="3" s="1"/>
  <c r="K20" i="3" a="1"/>
  <c r="K20" i="3" s="1"/>
  <c r="J20" i="3" a="1"/>
  <c r="J20" i="3" s="1"/>
  <c r="I20" i="3" a="1"/>
  <c r="I20" i="3" s="1"/>
  <c r="H20" i="3" a="1"/>
  <c r="H20" i="3" s="1"/>
  <c r="G20" i="3" a="1"/>
  <c r="G20" i="3" s="1"/>
  <c r="F20" i="3" a="1"/>
  <c r="F20" i="3" s="1"/>
  <c r="E20" i="3" a="1"/>
  <c r="E20" i="3" s="1"/>
  <c r="D20" i="3" a="1"/>
  <c r="D20" i="3" s="1"/>
  <c r="D17" i="3"/>
  <c r="D16" i="3"/>
  <c r="D15" i="3"/>
  <c r="D14" i="3"/>
  <c r="D12" i="3"/>
  <c r="D11" i="3"/>
  <c r="D9" i="3"/>
  <c r="D8" i="3"/>
  <c r="H8" i="3" l="1"/>
  <c r="R8" i="3"/>
  <c r="AB8" i="3"/>
  <c r="I8" i="3"/>
  <c r="S8" i="3"/>
  <c r="AC8" i="3"/>
  <c r="N8" i="3"/>
  <c r="X8" i="3"/>
  <c r="J8" i="3"/>
  <c r="T8" i="3"/>
  <c r="K8" i="3"/>
  <c r="U8" i="3"/>
  <c r="F8" i="3"/>
  <c r="P8" i="3"/>
  <c r="Z8" i="3"/>
  <c r="L8" i="3"/>
  <c r="V8" i="3"/>
  <c r="M8" i="3"/>
  <c r="W8" i="3"/>
  <c r="E8" i="3"/>
  <c r="O8" i="3"/>
  <c r="Y8" i="3"/>
  <c r="G8" i="3"/>
  <c r="Q8" i="3"/>
  <c r="AA8" i="3"/>
  <c r="M9" i="3"/>
  <c r="W9" i="3"/>
  <c r="N9" i="3"/>
  <c r="X9" i="3"/>
  <c r="S9" i="3"/>
  <c r="AC9" i="3"/>
  <c r="E9" i="3"/>
  <c r="O9" i="3"/>
  <c r="Y9" i="3"/>
  <c r="F9" i="3"/>
  <c r="P9" i="3"/>
  <c r="Z9" i="3"/>
  <c r="K9" i="3"/>
  <c r="U9" i="3"/>
  <c r="G9" i="3"/>
  <c r="Q9" i="3"/>
  <c r="AA9" i="3"/>
  <c r="I9" i="3"/>
  <c r="H9" i="3"/>
  <c r="R9" i="3"/>
  <c r="AB9" i="3"/>
  <c r="J9" i="3"/>
  <c r="T9" i="3"/>
  <c r="L9" i="3"/>
  <c r="V9" i="3"/>
  <c r="E41" i="5" a="1"/>
  <c r="E41" i="5" s="1"/>
  <c r="E39" i="5" a="1"/>
  <c r="E39" i="5" s="1"/>
  <c r="D41" i="5" a="1"/>
  <c r="D41" i="5" s="1"/>
  <c r="D39" i="5" a="1"/>
  <c r="D39" i="5" s="1"/>
  <c r="D105" i="2" a="1"/>
  <c r="D105" i="2" s="1"/>
  <c r="D110" i="2" a="1"/>
  <c r="D110" i="2" s="1"/>
  <c r="E105" i="2" a="1"/>
  <c r="E105" i="2" s="1"/>
  <c r="E110" i="2" a="1"/>
  <c r="E110" i="2" s="1"/>
  <c r="E58" i="2" a="1"/>
  <c r="E58" i="2" s="1"/>
  <c r="D63" i="2" a="1"/>
  <c r="D63" i="2" s="1"/>
  <c r="E63" i="2" a="1"/>
  <c r="E63" i="2" s="1"/>
  <c r="D58" i="2" a="1"/>
  <c r="D58" i="2" s="1"/>
  <c r="AB29" i="3"/>
  <c r="W29" i="3"/>
  <c r="W21" i="4" s="1" a="1"/>
  <c r="W21" i="4" s="1"/>
  <c r="D29" i="3"/>
  <c r="D21" i="4" s="1" a="1"/>
  <c r="D21" i="4" s="1"/>
  <c r="D210" i="4" s="1"/>
  <c r="D100" i="2" s="1" a="1"/>
  <c r="D100" i="2" s="1"/>
  <c r="N29" i="3"/>
  <c r="N21" i="4" s="1" a="1"/>
  <c r="N21" i="4" s="1"/>
  <c r="E29" i="3"/>
  <c r="E21" i="4" s="1" a="1"/>
  <c r="E21" i="4" s="1"/>
  <c r="E210" i="4" s="1"/>
  <c r="E100" i="2" s="1" a="1"/>
  <c r="E100" i="2" s="1"/>
  <c r="O29" i="3"/>
  <c r="O21" i="4" s="1" a="1"/>
  <c r="O21" i="4" s="1"/>
  <c r="N120" i="4" a="1"/>
  <c r="N120" i="4" s="1"/>
  <c r="N121" i="4" s="1"/>
  <c r="X120" i="4" a="1"/>
  <c r="X120" i="4" s="1"/>
  <c r="X121" i="4" s="1"/>
  <c r="O120" i="4" a="1"/>
  <c r="O120" i="4" s="1"/>
  <c r="O121" i="4" s="1"/>
  <c r="P120" i="4" a="1"/>
  <c r="P120" i="4" s="1"/>
  <c r="P121" i="4" s="1"/>
  <c r="Z120" i="4" a="1"/>
  <c r="Z120" i="4" s="1"/>
  <c r="Z121" i="4" s="1"/>
  <c r="M120" i="4" a="1"/>
  <c r="M120" i="4" s="1"/>
  <c r="M121" i="4" s="1"/>
  <c r="D120" i="4" a="1"/>
  <c r="D120" i="4" s="1"/>
  <c r="D121" i="4" s="1"/>
  <c r="D39" i="3"/>
  <c r="D41" i="3"/>
  <c r="Y120" i="4" a="1"/>
  <c r="Y120" i="4" s="1"/>
  <c r="Y121" i="4" s="1"/>
  <c r="F120" i="4" a="1"/>
  <c r="F120" i="4" s="1"/>
  <c r="F121" i="4" s="1"/>
  <c r="G120" i="4" a="1"/>
  <c r="G120" i="4" s="1"/>
  <c r="G121" i="4" s="1"/>
  <c r="Q120" i="4" a="1"/>
  <c r="Q120" i="4" s="1"/>
  <c r="Q121" i="4" s="1"/>
  <c r="AA120" i="4" a="1"/>
  <c r="AA120" i="4" s="1"/>
  <c r="AA121" i="4" s="1"/>
  <c r="R120" i="4" a="1"/>
  <c r="R120" i="4" s="1"/>
  <c r="R121" i="4" s="1"/>
  <c r="AB120" i="4" a="1"/>
  <c r="AB120" i="4" s="1"/>
  <c r="AB121" i="4" s="1"/>
  <c r="S120" i="4" a="1"/>
  <c r="S120" i="4" s="1"/>
  <c r="S121" i="4" s="1"/>
  <c r="AC120" i="4" a="1"/>
  <c r="AC120" i="4" s="1"/>
  <c r="AC121" i="4" s="1"/>
  <c r="J120" i="4" a="1"/>
  <c r="J120" i="4" s="1"/>
  <c r="J121" i="4" s="1"/>
  <c r="T120" i="4" a="1"/>
  <c r="T120" i="4" s="1"/>
  <c r="T121" i="4" s="1"/>
  <c r="T70" i="3"/>
  <c r="T35" i="4" s="1" a="1"/>
  <c r="T35" i="4" s="1"/>
  <c r="J70" i="3"/>
  <c r="J35" i="4" s="1" a="1"/>
  <c r="J35" i="4" s="1"/>
  <c r="AC70" i="3"/>
  <c r="AC35" i="4" s="1" a="1"/>
  <c r="AC35" i="4" s="1"/>
  <c r="S70" i="3"/>
  <c r="S35" i="4" s="1" a="1"/>
  <c r="S35" i="4" s="1"/>
  <c r="I70" i="3"/>
  <c r="I35" i="4" s="1" a="1"/>
  <c r="I35" i="4" s="1"/>
  <c r="AB70" i="3"/>
  <c r="AB35" i="4" s="1" a="1"/>
  <c r="AB35" i="4" s="1"/>
  <c r="R70" i="3"/>
  <c r="R35" i="4" s="1" a="1"/>
  <c r="R35" i="4" s="1"/>
  <c r="H70" i="3"/>
  <c r="H35" i="4" s="1" a="1"/>
  <c r="H35" i="4" s="1"/>
  <c r="AA70" i="3"/>
  <c r="AA35" i="4" s="1" a="1"/>
  <c r="AA35" i="4" s="1"/>
  <c r="Q70" i="3"/>
  <c r="Q35" i="4" s="1" a="1"/>
  <c r="Q35" i="4" s="1"/>
  <c r="G70" i="3"/>
  <c r="G35" i="4" s="1" a="1"/>
  <c r="G35" i="4" s="1"/>
  <c r="Z70" i="3"/>
  <c r="Z35" i="4" s="1" a="1"/>
  <c r="Z35" i="4" s="1"/>
  <c r="P70" i="3"/>
  <c r="P35" i="4" s="1" a="1"/>
  <c r="P35" i="4" s="1"/>
  <c r="F70" i="3"/>
  <c r="F35" i="4" s="1" a="1"/>
  <c r="F35" i="4" s="1"/>
  <c r="Y70" i="3"/>
  <c r="Y35" i="4" s="1" a="1"/>
  <c r="Y35" i="4" s="1"/>
  <c r="O70" i="3"/>
  <c r="O35" i="4" s="1" a="1"/>
  <c r="O35" i="4" s="1"/>
  <c r="E70" i="3"/>
  <c r="E35" i="4" s="1" a="1"/>
  <c r="E35" i="4" s="1"/>
  <c r="X70" i="3"/>
  <c r="X35" i="4" s="1" a="1"/>
  <c r="X35" i="4" s="1"/>
  <c r="N70" i="3"/>
  <c r="N35" i="4" s="1" a="1"/>
  <c r="N35" i="4" s="1"/>
  <c r="W70" i="3"/>
  <c r="W35" i="4" s="1" a="1"/>
  <c r="W35" i="4" s="1"/>
  <c r="M70" i="3"/>
  <c r="M35" i="4" s="1" a="1"/>
  <c r="M35" i="4" s="1"/>
  <c r="V70" i="3"/>
  <c r="V35" i="4" s="1" a="1"/>
  <c r="V35" i="4" s="1"/>
  <c r="L70" i="3"/>
  <c r="L35" i="4" s="1" a="1"/>
  <c r="L35" i="4" s="1"/>
  <c r="U70" i="3"/>
  <c r="U35" i="4" s="1" a="1"/>
  <c r="U35" i="4" s="1"/>
  <c r="K70" i="3"/>
  <c r="K35" i="4" s="1" a="1"/>
  <c r="K35" i="4" s="1"/>
  <c r="W120" i="4" a="1"/>
  <c r="W120" i="4" s="1"/>
  <c r="W121" i="4" s="1"/>
  <c r="E120" i="4" a="1"/>
  <c r="E120" i="4" s="1"/>
  <c r="E121" i="4" s="1"/>
  <c r="H120" i="4" a="1"/>
  <c r="H120" i="4" s="1"/>
  <c r="H121" i="4" s="1"/>
  <c r="I120" i="4" a="1"/>
  <c r="I120" i="4" s="1"/>
  <c r="I121" i="4" s="1"/>
  <c r="K120" i="4" a="1"/>
  <c r="K120" i="4" s="1"/>
  <c r="K121" i="4" s="1"/>
  <c r="U120" i="4" a="1"/>
  <c r="U120" i="4" s="1"/>
  <c r="U121" i="4" s="1"/>
  <c r="Y69" i="3"/>
  <c r="Y34" i="4" s="1" a="1"/>
  <c r="Y34" i="4" s="1"/>
  <c r="O69" i="3"/>
  <c r="O34" i="4" s="1" a="1"/>
  <c r="O34" i="4" s="1"/>
  <c r="E69" i="3"/>
  <c r="E34" i="4" s="1" a="1"/>
  <c r="E34" i="4" s="1"/>
  <c r="E131" i="4" s="1"/>
  <c r="X69" i="3"/>
  <c r="X34" i="4" s="1" a="1"/>
  <c r="X34" i="4" s="1"/>
  <c r="N69" i="3"/>
  <c r="N34" i="4" s="1" a="1"/>
  <c r="N34" i="4" s="1"/>
  <c r="W69" i="3"/>
  <c r="W34" i="4" s="1" a="1"/>
  <c r="W34" i="4" s="1"/>
  <c r="M69" i="3"/>
  <c r="M34" i="4" s="1" a="1"/>
  <c r="M34" i="4" s="1"/>
  <c r="V69" i="3"/>
  <c r="V34" i="4" s="1" a="1"/>
  <c r="V34" i="4" s="1"/>
  <c r="L69" i="3"/>
  <c r="L34" i="4" s="1" a="1"/>
  <c r="L34" i="4" s="1"/>
  <c r="U69" i="3"/>
  <c r="U34" i="4" s="1" a="1"/>
  <c r="U34" i="4" s="1"/>
  <c r="K69" i="3"/>
  <c r="K34" i="4" s="1" a="1"/>
  <c r="K34" i="4" s="1"/>
  <c r="T69" i="3"/>
  <c r="T34" i="4" s="1" a="1"/>
  <c r="T34" i="4" s="1"/>
  <c r="J69" i="3"/>
  <c r="J34" i="4" s="1" a="1"/>
  <c r="J34" i="4" s="1"/>
  <c r="AC69" i="3"/>
  <c r="AC34" i="4" s="1" a="1"/>
  <c r="AC34" i="4" s="1"/>
  <c r="S69" i="3"/>
  <c r="S34" i="4" s="1" a="1"/>
  <c r="S34" i="4" s="1"/>
  <c r="I69" i="3"/>
  <c r="I34" i="4" s="1" a="1"/>
  <c r="I34" i="4" s="1"/>
  <c r="AB69" i="3"/>
  <c r="AB34" i="4" s="1" a="1"/>
  <c r="AB34" i="4" s="1"/>
  <c r="R69" i="3"/>
  <c r="R34" i="4" s="1" a="1"/>
  <c r="R34" i="4" s="1"/>
  <c r="H69" i="3"/>
  <c r="H34" i="4" s="1" a="1"/>
  <c r="H34" i="4" s="1"/>
  <c r="AA69" i="3"/>
  <c r="AA34" i="4" s="1" a="1"/>
  <c r="AA34" i="4" s="1"/>
  <c r="Q69" i="3"/>
  <c r="Q34" i="4" s="1" a="1"/>
  <c r="Q34" i="4" s="1"/>
  <c r="G69" i="3"/>
  <c r="G34" i="4" s="1" a="1"/>
  <c r="G34" i="4" s="1"/>
  <c r="Z69" i="3"/>
  <c r="Z34" i="4" s="1" a="1"/>
  <c r="Z34" i="4" s="1"/>
  <c r="P69" i="3"/>
  <c r="P34" i="4" s="1" a="1"/>
  <c r="P34" i="4" s="1"/>
  <c r="F69" i="3"/>
  <c r="F34" i="4" s="1" a="1"/>
  <c r="F34" i="4" s="1"/>
  <c r="L120" i="4" a="1"/>
  <c r="L120" i="4" s="1"/>
  <c r="L121" i="4" s="1"/>
  <c r="V120" i="4" a="1"/>
  <c r="V120" i="4" s="1"/>
  <c r="V121" i="4" s="1"/>
  <c r="X29" i="3"/>
  <c r="X21" i="4" s="1" a="1"/>
  <c r="X21" i="4" s="1"/>
  <c r="Y29" i="3"/>
  <c r="Y21" i="4" s="1" a="1"/>
  <c r="Y21" i="4" s="1"/>
  <c r="P29" i="3"/>
  <c r="P21" i="4" s="1" a="1"/>
  <c r="P21" i="4" s="1"/>
  <c r="Z29" i="3"/>
  <c r="Z21" i="4" s="1" a="1"/>
  <c r="Z21" i="4" s="1"/>
  <c r="Y61" i="3"/>
  <c r="D69" i="3"/>
  <c r="D34" i="4" s="1" a="1"/>
  <c r="D34" i="4" s="1"/>
  <c r="D131" i="4" s="1"/>
  <c r="G61" i="3"/>
  <c r="Q61" i="3"/>
  <c r="G29" i="3"/>
  <c r="G21" i="4" s="1" a="1"/>
  <c r="G21" i="4" s="1"/>
  <c r="Q29" i="3"/>
  <c r="Q21" i="4" s="1" a="1"/>
  <c r="Q21" i="4" s="1"/>
  <c r="AA29" i="3"/>
  <c r="AA21" i="4" s="1" a="1"/>
  <c r="AA21" i="4" s="1"/>
  <c r="J29" i="3"/>
  <c r="J21" i="4" s="1" a="1"/>
  <c r="J21" i="4" s="1"/>
  <c r="U29" i="3"/>
  <c r="U21" i="4" s="1" a="1"/>
  <c r="U21" i="4" s="1"/>
  <c r="D70" i="3"/>
  <c r="Z61" i="3"/>
  <c r="K29" i="3"/>
  <c r="K21" i="4" s="1" a="1"/>
  <c r="K21" i="4" s="1"/>
  <c r="AC29" i="3"/>
  <c r="V29" i="3"/>
  <c r="V21" i="4" s="1" a="1"/>
  <c r="V21" i="4" s="1"/>
  <c r="AA61" i="3"/>
  <c r="F29" i="3"/>
  <c r="F21" i="4" s="1" a="1"/>
  <c r="F21" i="4" s="1"/>
  <c r="H29" i="3"/>
  <c r="H21" i="4" s="1" a="1"/>
  <c r="H21" i="4" s="1"/>
  <c r="I29" i="3"/>
  <c r="I21" i="4" s="1" a="1"/>
  <c r="I21" i="4" s="1"/>
  <c r="S29" i="3"/>
  <c r="S21" i="4" s="1" a="1"/>
  <c r="S21" i="4" s="1"/>
  <c r="H61" i="3"/>
  <c r="R61" i="3"/>
  <c r="AB61" i="3"/>
  <c r="R29" i="3"/>
  <c r="R21" i="4" s="1" a="1"/>
  <c r="R21" i="4" s="1"/>
  <c r="T29" i="3"/>
  <c r="T21" i="4" s="1" a="1"/>
  <c r="T21" i="4" s="1"/>
  <c r="E23" i="3"/>
  <c r="I61" i="3"/>
  <c r="S61" i="3"/>
  <c r="AC61" i="3"/>
  <c r="J61" i="3"/>
  <c r="T61" i="3"/>
  <c r="D68" i="3"/>
  <c r="L29" i="3"/>
  <c r="L21" i="4" s="1" a="1"/>
  <c r="L21" i="4" s="1"/>
  <c r="K61" i="3"/>
  <c r="U61" i="3"/>
  <c r="M29" i="3"/>
  <c r="M21" i="4" s="1" a="1"/>
  <c r="M21" i="4" s="1"/>
  <c r="L61" i="3"/>
  <c r="V61" i="3"/>
  <c r="D63" i="3"/>
  <c r="E60" i="3" s="1"/>
  <c r="E62" i="3" s="1"/>
  <c r="M61" i="3"/>
  <c r="W61" i="3"/>
  <c r="N61" i="3"/>
  <c r="X61" i="3"/>
  <c r="O61" i="3"/>
  <c r="F61" i="3"/>
  <c r="P61" i="3"/>
  <c r="E9" i="9"/>
  <c r="F9" i="9"/>
  <c r="D9" i="9"/>
  <c r="E9" i="8"/>
  <c r="F9" i="8"/>
  <c r="G9" i="8"/>
  <c r="H9" i="8"/>
  <c r="I9" i="8"/>
  <c r="J9" i="8"/>
  <c r="K9" i="8"/>
  <c r="L9" i="8"/>
  <c r="M9" i="8"/>
  <c r="N9" i="8"/>
  <c r="O9" i="8"/>
  <c r="P9" i="8"/>
  <c r="Q9" i="8"/>
  <c r="R9" i="8"/>
  <c r="S9" i="8"/>
  <c r="T9" i="8"/>
  <c r="U9" i="8"/>
  <c r="V9" i="8"/>
  <c r="W9" i="8"/>
  <c r="X9" i="8"/>
  <c r="Y9" i="8"/>
  <c r="Z9" i="8"/>
  <c r="AA9" i="8"/>
  <c r="AB9" i="8"/>
  <c r="AC9" i="8"/>
  <c r="D9" i="8"/>
  <c r="D8" i="8"/>
  <c r="D10" i="8" s="1"/>
  <c r="J56" i="5" l="1" a="1"/>
  <c r="J56" i="5" s="1"/>
  <c r="E49" i="5"/>
  <c r="E47" i="5"/>
  <c r="E62" i="5"/>
  <c r="D93" i="5" a="1"/>
  <c r="D93" i="5" s="1"/>
  <c r="D90" i="2" s="1"/>
  <c r="D10" i="5" s="1" a="1"/>
  <c r="D10" i="5" s="1"/>
  <c r="E92" i="5"/>
  <c r="J57" i="5" a="1"/>
  <c r="J57" i="5" s="1"/>
  <c r="E50" i="5"/>
  <c r="E48" i="5"/>
  <c r="E63" i="5"/>
  <c r="D95" i="5" a="1"/>
  <c r="D95" i="5" s="1"/>
  <c r="D91" i="2" s="1"/>
  <c r="D11" i="5" s="1" a="1"/>
  <c r="D11" i="5" s="1"/>
  <c r="E94" i="5"/>
  <c r="I56" i="5" a="1"/>
  <c r="I56" i="5" s="1"/>
  <c r="D47" i="5"/>
  <c r="D92" i="5"/>
  <c r="D235" i="5"/>
  <c r="D49" i="5"/>
  <c r="D210" i="5" s="1"/>
  <c r="D99" i="5"/>
  <c r="D206" i="5" s="1"/>
  <c r="D48" i="5"/>
  <c r="I57" i="5" a="1"/>
  <c r="I57" i="5" s="1"/>
  <c r="D50" i="5"/>
  <c r="D94" i="5"/>
  <c r="AC21" i="4" a="1"/>
  <c r="AC21" i="4" s="1"/>
  <c r="AC154" i="2" a="1"/>
  <c r="AC154" i="2" s="1"/>
  <c r="AB21" i="4" a="1"/>
  <c r="AB21" i="4" s="1"/>
  <c r="AB154" i="2" a="1"/>
  <c r="AB154" i="2" s="1"/>
  <c r="E132" i="4" a="1"/>
  <c r="E132" i="4" s="1"/>
  <c r="D40" i="3"/>
  <c r="D52" i="7" s="1" a="1"/>
  <c r="D52" i="7" s="1"/>
  <c r="D53" i="7" s="1"/>
  <c r="D147" i="7" s="1"/>
  <c r="D50" i="4" a="1"/>
  <c r="D50" i="4" s="1"/>
  <c r="D132" i="4" a="1"/>
  <c r="D132" i="4" s="1"/>
  <c r="D85" i="4"/>
  <c r="AC71" i="3"/>
  <c r="D35" i="4" a="1"/>
  <c r="D35" i="4" s="1"/>
  <c r="D86" i="4" s="1"/>
  <c r="M71" i="3"/>
  <c r="Z71" i="3"/>
  <c r="W71" i="3"/>
  <c r="G71" i="3"/>
  <c r="D71" i="3"/>
  <c r="Q71" i="3"/>
  <c r="N71" i="3"/>
  <c r="AA71" i="3"/>
  <c r="J71" i="3"/>
  <c r="X71" i="3"/>
  <c r="H71" i="3"/>
  <c r="T71" i="3"/>
  <c r="E71" i="3"/>
  <c r="R71" i="3"/>
  <c r="K71" i="3"/>
  <c r="O71" i="3"/>
  <c r="AB71" i="3"/>
  <c r="U71" i="3"/>
  <c r="Y71" i="3"/>
  <c r="I71" i="3"/>
  <c r="L71" i="3"/>
  <c r="F71" i="3"/>
  <c r="S71" i="3"/>
  <c r="V71" i="3"/>
  <c r="P71" i="3"/>
  <c r="E65" i="3"/>
  <c r="E68" i="3"/>
  <c r="E63" i="3"/>
  <c r="F60" i="3" s="1"/>
  <c r="E210" i="5" l="1"/>
  <c r="D17" i="5"/>
  <c r="E235" i="5"/>
  <c r="AB155" i="2"/>
  <c r="AB156" i="2" s="1" a="1"/>
  <c r="AB156" i="2" s="1"/>
  <c r="AB23" i="2" s="1"/>
  <c r="AC155" i="2"/>
  <c r="AC156" i="2" s="1" a="1"/>
  <c r="AC156" i="2" s="1"/>
  <c r="AC23" i="2" s="1"/>
  <c r="U36" i="4" a="1"/>
  <c r="U36" i="4" s="1"/>
  <c r="AA36" i="4" a="1"/>
  <c r="AA36" i="4" s="1"/>
  <c r="AC36" i="4" a="1"/>
  <c r="AC36" i="4" s="1"/>
  <c r="AB36" i="4" a="1"/>
  <c r="AB36" i="4" s="1"/>
  <c r="N36" i="4" a="1"/>
  <c r="N36" i="4" s="1"/>
  <c r="F36" i="4" a="1"/>
  <c r="F36" i="4" s="1"/>
  <c r="T36" i="4" a="1"/>
  <c r="T36" i="4" s="1"/>
  <c r="Z36" i="4" a="1"/>
  <c r="Z36" i="4" s="1"/>
  <c r="Y36" i="4" a="1"/>
  <c r="Y36" i="4" s="1"/>
  <c r="J36" i="4" a="1"/>
  <c r="J36" i="4" s="1"/>
  <c r="Q36" i="4" a="1"/>
  <c r="Q36" i="4" s="1"/>
  <c r="O36" i="4" a="1"/>
  <c r="O36" i="4" s="1"/>
  <c r="P36" i="4" a="1"/>
  <c r="P36" i="4" s="1"/>
  <c r="K36" i="4" a="1"/>
  <c r="K36" i="4" s="1"/>
  <c r="D36" i="4" a="1"/>
  <c r="D36" i="4" s="1"/>
  <c r="D156" i="5" a="1"/>
  <c r="D156" i="5" s="1"/>
  <c r="V36" i="4" a="1"/>
  <c r="V36" i="4" s="1"/>
  <c r="R36" i="4" a="1"/>
  <c r="R36" i="4" s="1"/>
  <c r="G36" i="4" a="1"/>
  <c r="G36" i="4" s="1"/>
  <c r="S36" i="4" a="1"/>
  <c r="S36" i="4" s="1"/>
  <c r="E36" i="4" a="1"/>
  <c r="E36" i="4" s="1"/>
  <c r="W36" i="4" a="1"/>
  <c r="W36" i="4" s="1"/>
  <c r="L36" i="4" a="1"/>
  <c r="L36" i="4" s="1"/>
  <c r="H36" i="4" a="1"/>
  <c r="H36" i="4" s="1"/>
  <c r="M36" i="4" a="1"/>
  <c r="M36" i="4" s="1"/>
  <c r="I36" i="4" a="1"/>
  <c r="I36" i="4" s="1"/>
  <c r="X36" i="4" a="1"/>
  <c r="X36" i="4" s="1"/>
  <c r="D18" i="4" a="1"/>
  <c r="D18" i="4" s="1"/>
  <c r="D51" i="4" a="1"/>
  <c r="D51" i="4" s="1"/>
  <c r="F68" i="3"/>
  <c r="AC44" i="12" l="1" a="1"/>
  <c r="AC44" i="12" s="1"/>
  <c r="AC25" i="3" a="1"/>
  <c r="AC25" i="3" s="1"/>
  <c r="AB44" i="12" a="1"/>
  <c r="AB44" i="12" s="1"/>
  <c r="AB25" i="3" a="1"/>
  <c r="AB25" i="3" s="1"/>
  <c r="E17" i="5"/>
  <c r="D11" i="6" a="1"/>
  <c r="D11" i="6" s="1"/>
  <c r="D103" i="5" a="1"/>
  <c r="D103" i="5" s="1"/>
  <c r="D105" i="5" s="1"/>
  <c r="D110" i="5" s="1"/>
  <c r="D48" i="4"/>
  <c r="D181" i="4" s="1"/>
  <c r="D182" i="4" s="1"/>
  <c r="L54" i="5" l="1" a="1"/>
  <c r="L54" i="5" s="1"/>
  <c r="G88" i="5"/>
  <c r="F89" i="5" a="1"/>
  <c r="F89" i="5" s="1"/>
  <c r="G45" i="5"/>
  <c r="D141" i="4" a="1"/>
  <c r="D141" i="4" s="1"/>
  <c r="D142" i="4" s="1" a="1"/>
  <c r="D142" i="4" s="1"/>
  <c r="D207" i="4" s="1"/>
  <c r="D159" i="2" s="1" a="1"/>
  <c r="D159" i="2" s="1"/>
  <c r="D52" i="4"/>
  <c r="G68" i="4" l="1" a="1"/>
  <c r="G68" i="4" s="1"/>
  <c r="M54" i="5" a="1"/>
  <c r="M54" i="5" s="1"/>
  <c r="G89" i="5" a="1"/>
  <c r="G89" i="5" s="1"/>
  <c r="H88" i="5"/>
  <c r="H45" i="5"/>
  <c r="H68" i="4" l="1" a="1"/>
  <c r="H68" i="4" s="1"/>
  <c r="N54" i="5" a="1"/>
  <c r="N54" i="5" s="1"/>
  <c r="H89" i="5" a="1"/>
  <c r="H89" i="5" s="1"/>
  <c r="I45" i="5"/>
  <c r="I88" i="5"/>
  <c r="I68" i="4" l="1" a="1"/>
  <c r="I68" i="4" s="1"/>
  <c r="O54" i="5" a="1"/>
  <c r="O54" i="5" s="1"/>
  <c r="I89" i="5" a="1"/>
  <c r="I89" i="5" s="1"/>
  <c r="J45" i="5"/>
  <c r="J88" i="5"/>
  <c r="P54" i="5" l="1" a="1"/>
  <c r="P54" i="5" s="1"/>
  <c r="J89" i="5" a="1"/>
  <c r="J89" i="5" s="1"/>
  <c r="K45" i="5"/>
  <c r="K88" i="5"/>
  <c r="J68" i="4" a="1"/>
  <c r="J68" i="4" s="1"/>
  <c r="Q54" i="5" l="1" a="1"/>
  <c r="Q54" i="5" s="1"/>
  <c r="L88" i="5"/>
  <c r="L45" i="5"/>
  <c r="K89" i="5" a="1"/>
  <c r="K89" i="5" s="1"/>
  <c r="K68" i="4" a="1"/>
  <c r="K68" i="4" s="1"/>
  <c r="R54" i="5" l="1" a="1"/>
  <c r="R54" i="5" s="1"/>
  <c r="M88" i="5"/>
  <c r="L89" i="5" a="1"/>
  <c r="L89" i="5" s="1"/>
  <c r="M45" i="5"/>
  <c r="L68" i="4" a="1"/>
  <c r="L68" i="4" s="1"/>
  <c r="M68" i="4" l="1" a="1"/>
  <c r="M68" i="4" s="1"/>
  <c r="S54" i="5" a="1"/>
  <c r="S54" i="5" s="1"/>
  <c r="N88" i="5"/>
  <c r="N45" i="5"/>
  <c r="M89" i="5" a="1"/>
  <c r="M89" i="5" s="1"/>
  <c r="T54" i="5" l="1" a="1"/>
  <c r="T54" i="5" s="1"/>
  <c r="O88" i="5"/>
  <c r="N89" i="5" a="1"/>
  <c r="N89" i="5" s="1"/>
  <c r="O45" i="5"/>
  <c r="N68" i="4" a="1"/>
  <c r="N68" i="4" s="1"/>
  <c r="O68" i="4" l="1" a="1"/>
  <c r="O68" i="4" s="1"/>
  <c r="U54" i="5" a="1"/>
  <c r="U54" i="5" s="1"/>
  <c r="O89" i="5" a="1"/>
  <c r="O89" i="5" s="1"/>
  <c r="P88" i="5"/>
  <c r="P45" i="5"/>
  <c r="P68" i="4" l="1" a="1"/>
  <c r="P68" i="4" s="1"/>
  <c r="V54" i="5" a="1"/>
  <c r="V54" i="5" s="1"/>
  <c r="P89" i="5" a="1"/>
  <c r="P89" i="5" s="1"/>
  <c r="Q88" i="5"/>
  <c r="Q45" i="5"/>
  <c r="W54" i="5" l="1" a="1"/>
  <c r="W54" i="5" s="1"/>
  <c r="Q89" i="5" a="1"/>
  <c r="Q89" i="5" s="1"/>
  <c r="R88" i="5"/>
  <c r="R45" i="5"/>
  <c r="Q68" i="4" a="1"/>
  <c r="Q68" i="4" s="1"/>
  <c r="X54" i="5" l="1" a="1"/>
  <c r="X54" i="5" s="1"/>
  <c r="R89" i="5" a="1"/>
  <c r="R89" i="5" s="1"/>
  <c r="S88" i="5"/>
  <c r="S45" i="5"/>
  <c r="R68" i="4" a="1"/>
  <c r="R68" i="4" s="1"/>
  <c r="Y54" i="5" l="1" a="1"/>
  <c r="Y54" i="5" s="1"/>
  <c r="T45" i="5"/>
  <c r="T88" i="5"/>
  <c r="S89" i="5" a="1"/>
  <c r="S89" i="5" s="1"/>
  <c r="S68" i="4" a="1"/>
  <c r="S68" i="4" s="1"/>
  <c r="T68" i="4" l="1" a="1"/>
  <c r="T68" i="4" s="1"/>
  <c r="Z54" i="5" a="1"/>
  <c r="Z54" i="5" s="1"/>
  <c r="T89" i="5" a="1"/>
  <c r="T89" i="5" s="1"/>
  <c r="U45" i="5"/>
  <c r="U88" i="5"/>
  <c r="U68" i="4" l="1" a="1"/>
  <c r="U68" i="4" s="1"/>
  <c r="AA54" i="5" a="1"/>
  <c r="AA54" i="5" s="1"/>
  <c r="U89" i="5" a="1"/>
  <c r="U89" i="5" s="1"/>
  <c r="V45" i="5"/>
  <c r="V88" i="5"/>
  <c r="AB54" i="5" l="1" a="1"/>
  <c r="AB54" i="5" s="1"/>
  <c r="W88" i="5"/>
  <c r="V89" i="5" a="1"/>
  <c r="V89" i="5" s="1"/>
  <c r="W45" i="5"/>
  <c r="V68" i="4" a="1"/>
  <c r="V68" i="4" s="1"/>
  <c r="W68" i="4" l="1" a="1"/>
  <c r="W68" i="4" s="1"/>
  <c r="AC54" i="5" a="1"/>
  <c r="AC54" i="5" s="1"/>
  <c r="W89" i="5" a="1"/>
  <c r="W89" i="5" s="1"/>
  <c r="X88" i="5"/>
  <c r="X45" i="5"/>
  <c r="Y88" i="5" l="1"/>
  <c r="X89" i="5" a="1"/>
  <c r="X89" i="5" s="1"/>
  <c r="Y45" i="5"/>
  <c r="X68" i="4" a="1"/>
  <c r="X68" i="4" s="1"/>
  <c r="Y89" i="5" l="1" a="1"/>
  <c r="Y89" i="5" s="1"/>
  <c r="Z88" i="5"/>
  <c r="Z45" i="5"/>
  <c r="Y68" i="4" a="1"/>
  <c r="Y68" i="4" s="1"/>
  <c r="Z68" i="4" l="1" a="1"/>
  <c r="Z68" i="4" s="1"/>
  <c r="Z89" i="5" a="1"/>
  <c r="Z89" i="5" s="1"/>
  <c r="AA45" i="5"/>
  <c r="AA88" i="5"/>
  <c r="AB88" i="5" l="1"/>
  <c r="AA89" i="5" a="1"/>
  <c r="AA89" i="5" s="1"/>
  <c r="AB45" i="5"/>
  <c r="AB89" i="5" a="1"/>
  <c r="AB89" i="5" s="1"/>
  <c r="AC88" i="5"/>
  <c r="AC45" i="5"/>
  <c r="AA68" i="4" a="1"/>
  <c r="AA68" i="4" s="1"/>
  <c r="AC68" i="4" l="1" a="1"/>
  <c r="AC68" i="4" s="1"/>
  <c r="AB68" i="4" a="1"/>
  <c r="AB68" i="4" s="1"/>
  <c r="D35" i="2" l="1"/>
  <c r="D12" i="9" s="1" a="1"/>
  <c r="D12" i="9" s="1"/>
  <c r="D133" i="9" s="1"/>
  <c r="D47" i="10" l="1" a="1"/>
  <c r="D47" i="10" s="1"/>
  <c r="D22" i="2"/>
  <c r="D87" i="2"/>
  <c r="D8" i="9" s="1"/>
  <c r="D10" i="9" s="1"/>
  <c r="D15" i="9"/>
  <c r="D16" i="9"/>
  <c r="D134" i="9"/>
  <c r="E83" i="2"/>
  <c r="E8" i="4" s="1"/>
  <c r="E10" i="4" s="1"/>
  <c r="F83" i="2"/>
  <c r="F8" i="4" s="1"/>
  <c r="F10" i="4" s="1"/>
  <c r="G83" i="2"/>
  <c r="G8" i="4" s="1"/>
  <c r="G10" i="4" s="1"/>
  <c r="H83" i="2"/>
  <c r="H8" i="4" s="1"/>
  <c r="H10" i="4" s="1"/>
  <c r="I83" i="2"/>
  <c r="I8" i="4" s="1"/>
  <c r="J83" i="2"/>
  <c r="K83" i="2"/>
  <c r="K8" i="4" s="1"/>
  <c r="K10" i="4" s="1"/>
  <c r="L83" i="2"/>
  <c r="L8" i="4" s="1"/>
  <c r="L10" i="4" s="1"/>
  <c r="M83" i="2"/>
  <c r="M8" i="4" s="1"/>
  <c r="M10" i="4" s="1"/>
  <c r="N83" i="2"/>
  <c r="N8" i="4" s="1"/>
  <c r="N10" i="4" s="1"/>
  <c r="O83" i="2"/>
  <c r="O8" i="4" s="1"/>
  <c r="O10" i="4" s="1"/>
  <c r="P83" i="2"/>
  <c r="P8" i="4" s="1"/>
  <c r="P10" i="4" s="1"/>
  <c r="Q83" i="2"/>
  <c r="Q8" i="4" s="1"/>
  <c r="Q10" i="4" s="1"/>
  <c r="R83" i="2"/>
  <c r="R8" i="4" s="1"/>
  <c r="R10" i="4" s="1"/>
  <c r="S83" i="2"/>
  <c r="S8" i="4" s="1"/>
  <c r="S10" i="4" s="1"/>
  <c r="T83" i="2"/>
  <c r="U83" i="2"/>
  <c r="U8" i="4" s="1"/>
  <c r="U10" i="4" s="1"/>
  <c r="V83" i="2"/>
  <c r="V8" i="4" s="1"/>
  <c r="V10" i="4" s="1"/>
  <c r="W83" i="2"/>
  <c r="W8" i="4" s="1"/>
  <c r="W10" i="4" s="1"/>
  <c r="X83" i="2"/>
  <c r="X8" i="4" s="1"/>
  <c r="X10" i="4" s="1"/>
  <c r="Y83" i="2"/>
  <c r="Y8" i="4" s="1"/>
  <c r="Y10" i="4" s="1"/>
  <c r="Z83" i="2"/>
  <c r="Z8" i="4" s="1"/>
  <c r="Z10" i="4" s="1"/>
  <c r="AA83" i="2"/>
  <c r="AA8" i="4" s="1"/>
  <c r="AA10" i="4" s="1"/>
  <c r="AB83" i="2"/>
  <c r="AB8" i="4" s="1"/>
  <c r="AB10" i="4" s="1"/>
  <c r="AC83" i="2"/>
  <c r="AC8" i="4" s="1"/>
  <c r="AC10" i="4" s="1"/>
  <c r="J8" i="4"/>
  <c r="T8" i="4"/>
  <c r="T10" i="4" s="1"/>
  <c r="I10" i="4"/>
  <c r="J10" i="4"/>
  <c r="E8" i="8"/>
  <c r="F8" i="8"/>
  <c r="G8" i="8"/>
  <c r="H8" i="8"/>
  <c r="I8" i="8"/>
  <c r="J8" i="8"/>
  <c r="K8" i="8"/>
  <c r="L8" i="8"/>
  <c r="M8" i="8"/>
  <c r="N8" i="8"/>
  <c r="O8" i="8"/>
  <c r="P8" i="8"/>
  <c r="Q8" i="8"/>
  <c r="R8" i="8"/>
  <c r="S8" i="8"/>
  <c r="T8" i="8"/>
  <c r="U8" i="8"/>
  <c r="V8" i="8"/>
  <c r="W8" i="8"/>
  <c r="X8" i="8"/>
  <c r="Y8" i="8"/>
  <c r="Z8" i="8"/>
  <c r="AA8" i="8"/>
  <c r="AB8" i="8"/>
  <c r="AC8" i="8"/>
  <c r="E10" i="8"/>
  <c r="F10" i="8"/>
  <c r="G10" i="8"/>
  <c r="H10" i="8"/>
  <c r="I10" i="8"/>
  <c r="J10" i="8"/>
  <c r="K10" i="8"/>
  <c r="L10" i="8"/>
  <c r="M10" i="8"/>
  <c r="N10" i="8"/>
  <c r="O10" i="8"/>
  <c r="P10" i="8"/>
  <c r="Q10" i="8"/>
  <c r="R10" i="8"/>
  <c r="S10" i="8"/>
  <c r="T10" i="8"/>
  <c r="U10" i="8"/>
  <c r="V10" i="8"/>
  <c r="W10" i="8"/>
  <c r="X10" i="8"/>
  <c r="Y10" i="8"/>
  <c r="Z10" i="8"/>
  <c r="AA10" i="8"/>
  <c r="AB10" i="8"/>
  <c r="AC10" i="8"/>
  <c r="E10" i="2" a="1"/>
  <c r="E10" i="2"/>
  <c r="F10" i="2" a="1"/>
  <c r="F10" i="2"/>
  <c r="G10" i="2" a="1"/>
  <c r="G10" i="2"/>
  <c r="H10" i="2" a="1"/>
  <c r="H10" i="2"/>
  <c r="I10" i="2" a="1"/>
  <c r="I10" i="2"/>
  <c r="J10" i="2" a="1"/>
  <c r="J10" i="2"/>
  <c r="K10" i="2" a="1"/>
  <c r="K10" i="2"/>
  <c r="L10" i="2" a="1"/>
  <c r="L10" i="2"/>
  <c r="M10" i="2" a="1"/>
  <c r="M10" i="2"/>
  <c r="N10" i="2" a="1"/>
  <c r="N10" i="2"/>
  <c r="O10" i="2" a="1"/>
  <c r="O10" i="2"/>
  <c r="P10" i="2" a="1"/>
  <c r="P10" i="2"/>
  <c r="Q10" i="2" a="1"/>
  <c r="Q10" i="2"/>
  <c r="R10" i="2" a="1"/>
  <c r="R10" i="2"/>
  <c r="S10" i="2" a="1"/>
  <c r="S10" i="2"/>
  <c r="T10" i="2" a="1"/>
  <c r="T10" i="2"/>
  <c r="U10" i="2" a="1"/>
  <c r="U10" i="2"/>
  <c r="V10" i="2" a="1"/>
  <c r="V10" i="2"/>
  <c r="W10" i="2" a="1"/>
  <c r="W10" i="2"/>
  <c r="X10" i="2" a="1"/>
  <c r="X10" i="2"/>
  <c r="Y10" i="2" a="1"/>
  <c r="Y10" i="2"/>
  <c r="Z10" i="2" a="1"/>
  <c r="Z10" i="2"/>
  <c r="AA10" i="2" a="1"/>
  <c r="AA10" i="2"/>
  <c r="AB10" i="2" a="1"/>
  <c r="AB10" i="2"/>
  <c r="AC10" i="2" a="1"/>
  <c r="AC10" i="2"/>
  <c r="E15" i="2"/>
  <c r="F15" i="2"/>
  <c r="G15" i="2"/>
  <c r="H15" i="2"/>
  <c r="I15" i="2"/>
  <c r="J15" i="2"/>
  <c r="K15" i="2"/>
  <c r="L15" i="2"/>
  <c r="M15" i="2"/>
  <c r="N15" i="2"/>
  <c r="O15" i="2"/>
  <c r="P15" i="2"/>
  <c r="Q15" i="2"/>
  <c r="R15" i="2"/>
  <c r="S15" i="2"/>
  <c r="T15" i="2"/>
  <c r="U15" i="2"/>
  <c r="V15" i="2"/>
  <c r="W15" i="2"/>
  <c r="X15" i="2"/>
  <c r="Y15" i="2"/>
  <c r="Z15" i="2"/>
  <c r="AA15" i="2"/>
  <c r="AB15" i="2"/>
  <c r="AC15" i="2"/>
  <c r="D18" i="2" a="1"/>
  <c r="D18" i="2"/>
  <c r="E18" i="2" a="1"/>
  <c r="E18" i="2"/>
  <c r="F18" i="2" a="1"/>
  <c r="F18" i="2"/>
  <c r="G18" i="2" a="1"/>
  <c r="G18" i="2"/>
  <c r="H18" i="2" a="1"/>
  <c r="H18" i="2"/>
  <c r="I18" i="2" a="1"/>
  <c r="I18" i="2"/>
  <c r="J18" i="2" a="1"/>
  <c r="J18" i="2"/>
  <c r="K18" i="2" a="1"/>
  <c r="K18" i="2"/>
  <c r="L18" i="2" a="1"/>
  <c r="L18" i="2"/>
  <c r="M18" i="2" a="1"/>
  <c r="M18" i="2"/>
  <c r="N18" i="2" a="1"/>
  <c r="N18" i="2"/>
  <c r="O18" i="2" a="1"/>
  <c r="O18" i="2"/>
  <c r="P18" i="2" a="1"/>
  <c r="P18" i="2"/>
  <c r="Q18" i="2" a="1"/>
  <c r="Q18" i="2"/>
  <c r="R18" i="2" a="1"/>
  <c r="R18" i="2"/>
  <c r="S18" i="2" a="1"/>
  <c r="S18" i="2"/>
  <c r="T18" i="2" a="1"/>
  <c r="T18" i="2"/>
  <c r="U18" i="2" a="1"/>
  <c r="U18" i="2"/>
  <c r="V18" i="2" a="1"/>
  <c r="V18" i="2"/>
  <c r="W18" i="2" a="1"/>
  <c r="W18" i="2"/>
  <c r="X18" i="2" a="1"/>
  <c r="X18" i="2"/>
  <c r="Y18" i="2" a="1"/>
  <c r="Y18" i="2"/>
  <c r="Z18" i="2" a="1"/>
  <c r="Z18" i="2"/>
  <c r="AA18" i="2" a="1"/>
  <c r="AA18" i="2"/>
  <c r="AB18" i="2" a="1"/>
  <c r="AB18" i="2"/>
  <c r="AC18" i="2" a="1"/>
  <c r="AC18" i="2"/>
  <c r="D21" i="2" a="1"/>
  <c r="D21" i="2"/>
  <c r="E21" i="2" a="1"/>
  <c r="E21" i="2"/>
  <c r="F21" i="2" a="1"/>
  <c r="F21" i="2"/>
  <c r="G21" i="2" a="1"/>
  <c r="G21" i="2"/>
  <c r="H21" i="2" a="1"/>
  <c r="H21" i="2"/>
  <c r="I21" i="2" a="1"/>
  <c r="I21" i="2"/>
  <c r="J21" i="2" a="1"/>
  <c r="J21" i="2"/>
  <c r="K21" i="2" a="1"/>
  <c r="K21" i="2"/>
  <c r="L21" i="2" a="1"/>
  <c r="L21" i="2"/>
  <c r="M21" i="2" a="1"/>
  <c r="M21" i="2"/>
  <c r="N21" i="2" a="1"/>
  <c r="N21" i="2"/>
  <c r="O21" i="2" a="1"/>
  <c r="O21" i="2"/>
  <c r="P21" i="2" a="1"/>
  <c r="P21" i="2"/>
  <c r="Q21" i="2" a="1"/>
  <c r="Q21" i="2"/>
  <c r="R21" i="2" a="1"/>
  <c r="R21" i="2"/>
  <c r="S21" i="2" a="1"/>
  <c r="S21" i="2"/>
  <c r="T21" i="2" a="1"/>
  <c r="T21" i="2"/>
  <c r="U21" i="2" a="1"/>
  <c r="U21" i="2"/>
  <c r="V21" i="2" a="1"/>
  <c r="V21" i="2"/>
  <c r="W21" i="2" a="1"/>
  <c r="W21" i="2"/>
  <c r="X21" i="2" a="1"/>
  <c r="X21" i="2"/>
  <c r="Y21" i="2" a="1"/>
  <c r="Y21" i="2"/>
  <c r="Z21" i="2" a="1"/>
  <c r="Z21" i="2"/>
  <c r="AA21" i="2" a="1"/>
  <c r="AA21" i="2"/>
  <c r="AB21" i="2" a="1"/>
  <c r="AB21" i="2"/>
  <c r="AC21" i="2" a="1"/>
  <c r="AC21" i="2"/>
  <c r="E22" i="2"/>
  <c r="F22" i="2"/>
  <c r="G22" i="2"/>
  <c r="H22" i="2"/>
  <c r="I22" i="2"/>
  <c r="J22" i="2"/>
  <c r="K22" i="2"/>
  <c r="L22" i="2"/>
  <c r="M22" i="2"/>
  <c r="N22" i="2"/>
  <c r="O22" i="2"/>
  <c r="P22" i="2"/>
  <c r="Q22" i="2"/>
  <c r="R22" i="2"/>
  <c r="S22" i="2"/>
  <c r="T22" i="2"/>
  <c r="U22" i="2"/>
  <c r="V22" i="2"/>
  <c r="W22" i="2"/>
  <c r="X22" i="2"/>
  <c r="Y22" i="2"/>
  <c r="Z22" i="2"/>
  <c r="AA22" i="2"/>
  <c r="AB22" i="2"/>
  <c r="AC22" i="2"/>
  <c r="D23" i="2"/>
  <c r="E23" i="2"/>
  <c r="F23" i="2"/>
  <c r="G23" i="2"/>
  <c r="H23" i="2"/>
  <c r="I23" i="2"/>
  <c r="J23" i="2"/>
  <c r="K23" i="2"/>
  <c r="L23" i="2"/>
  <c r="M23" i="2"/>
  <c r="N23" i="2"/>
  <c r="O23" i="2"/>
  <c r="P23" i="2"/>
  <c r="Q23" i="2"/>
  <c r="R23" i="2"/>
  <c r="S23" i="2"/>
  <c r="T23" i="2"/>
  <c r="U23" i="2"/>
  <c r="V23" i="2"/>
  <c r="W23" i="2"/>
  <c r="X23" i="2"/>
  <c r="Y23" i="2"/>
  <c r="Z23" i="2"/>
  <c r="AA23" i="2"/>
  <c r="D28" i="2"/>
  <c r="E28" i="2"/>
  <c r="F28" i="2"/>
  <c r="G28" i="2"/>
  <c r="H28" i="2"/>
  <c r="I28" i="2"/>
  <c r="J28" i="2"/>
  <c r="K28" i="2"/>
  <c r="L28" i="2"/>
  <c r="M28" i="2"/>
  <c r="N28" i="2"/>
  <c r="O28" i="2"/>
  <c r="P28" i="2"/>
  <c r="Q28" i="2"/>
  <c r="R28" i="2"/>
  <c r="S28" i="2"/>
  <c r="T28" i="2"/>
  <c r="U28" i="2"/>
  <c r="V28" i="2"/>
  <c r="W28" i="2"/>
  <c r="X28" i="2"/>
  <c r="Y28" i="2"/>
  <c r="Z28" i="2"/>
  <c r="AA28" i="2"/>
  <c r="AB28" i="2"/>
  <c r="AC28" i="2"/>
  <c r="D29" i="2"/>
  <c r="E29" i="2"/>
  <c r="F29" i="2"/>
  <c r="G29" i="2"/>
  <c r="H29" i="2"/>
  <c r="I29" i="2"/>
  <c r="J29" i="2"/>
  <c r="K29" i="2"/>
  <c r="L29" i="2"/>
  <c r="M29" i="2"/>
  <c r="N29" i="2"/>
  <c r="O29" i="2"/>
  <c r="P29" i="2"/>
  <c r="Q29" i="2"/>
  <c r="R29" i="2"/>
  <c r="S29" i="2"/>
  <c r="T29" i="2"/>
  <c r="U29" i="2"/>
  <c r="V29" i="2"/>
  <c r="W29" i="2"/>
  <c r="X29" i="2"/>
  <c r="Y29" i="2"/>
  <c r="Z29" i="2"/>
  <c r="AA29" i="2"/>
  <c r="AB29" i="2"/>
  <c r="AC29" i="2"/>
  <c r="E34" i="2" a="1"/>
  <c r="E34" i="2"/>
  <c r="F34" i="2" a="1"/>
  <c r="F34" i="2"/>
  <c r="G34" i="2" a="1"/>
  <c r="G34" i="2"/>
  <c r="H34" i="2" a="1"/>
  <c r="H34" i="2"/>
  <c r="I34" i="2" a="1"/>
  <c r="I34" i="2"/>
  <c r="J34" i="2" a="1"/>
  <c r="J34" i="2"/>
  <c r="K34" i="2" a="1"/>
  <c r="K34" i="2"/>
  <c r="L34" i="2" a="1"/>
  <c r="L34" i="2"/>
  <c r="M34" i="2" a="1"/>
  <c r="M34" i="2"/>
  <c r="N34" i="2" a="1"/>
  <c r="N34" i="2"/>
  <c r="O34" i="2" a="1"/>
  <c r="O34" i="2"/>
  <c r="P34" i="2" a="1"/>
  <c r="P34" i="2"/>
  <c r="Q34" i="2" a="1"/>
  <c r="Q34" i="2"/>
  <c r="R34" i="2" a="1"/>
  <c r="R34" i="2"/>
  <c r="S34" i="2" a="1"/>
  <c r="S34" i="2"/>
  <c r="T34" i="2" a="1"/>
  <c r="T34" i="2"/>
  <c r="U34" i="2" a="1"/>
  <c r="U34" i="2"/>
  <c r="V34" i="2" a="1"/>
  <c r="V34" i="2"/>
  <c r="W34" i="2" a="1"/>
  <c r="W34" i="2"/>
  <c r="X34" i="2" a="1"/>
  <c r="X34" i="2"/>
  <c r="Y34" i="2" a="1"/>
  <c r="Y34" i="2"/>
  <c r="Z34" i="2" a="1"/>
  <c r="Z34" i="2"/>
  <c r="AA34" i="2" a="1"/>
  <c r="AA34" i="2"/>
  <c r="AB34" i="2" a="1"/>
  <c r="AB34" i="2"/>
  <c r="AC34" i="2" a="1"/>
  <c r="AC34" i="2"/>
  <c r="E35" i="2"/>
  <c r="F35" i="2"/>
  <c r="G35" i="2"/>
  <c r="H35" i="2"/>
  <c r="I35" i="2"/>
  <c r="J35" i="2"/>
  <c r="K35" i="2"/>
  <c r="L35" i="2"/>
  <c r="M35" i="2"/>
  <c r="N35" i="2"/>
  <c r="O35" i="2"/>
  <c r="P35" i="2"/>
  <c r="Q35" i="2"/>
  <c r="R35" i="2"/>
  <c r="S35" i="2"/>
  <c r="T35" i="2"/>
  <c r="U35" i="2"/>
  <c r="V35" i="2"/>
  <c r="W35" i="2"/>
  <c r="X35" i="2"/>
  <c r="Y35" i="2"/>
  <c r="Z35" i="2"/>
  <c r="AA35" i="2"/>
  <c r="AB35" i="2"/>
  <c r="AC35" i="2"/>
  <c r="D42" i="2" a="1"/>
  <c r="D42" i="2"/>
  <c r="E42" i="2" a="1"/>
  <c r="E42" i="2"/>
  <c r="F42" i="2" a="1"/>
  <c r="F42" i="2"/>
  <c r="G42" i="2" a="1"/>
  <c r="G42" i="2"/>
  <c r="H42" i="2" a="1"/>
  <c r="H42" i="2"/>
  <c r="I42" i="2" a="1"/>
  <c r="I42" i="2"/>
  <c r="J42" i="2" a="1"/>
  <c r="J42" i="2"/>
  <c r="K42" i="2" a="1"/>
  <c r="K42" i="2"/>
  <c r="L42" i="2" a="1"/>
  <c r="L42" i="2"/>
  <c r="M42" i="2" a="1"/>
  <c r="M42" i="2"/>
  <c r="N42" i="2" a="1"/>
  <c r="N42" i="2"/>
  <c r="O42" i="2" a="1"/>
  <c r="O42" i="2"/>
  <c r="P42" i="2" a="1"/>
  <c r="P42" i="2"/>
  <c r="Q42" i="2" a="1"/>
  <c r="Q42" i="2"/>
  <c r="R42" i="2" a="1"/>
  <c r="R42" i="2"/>
  <c r="S42" i="2" a="1"/>
  <c r="S42" i="2"/>
  <c r="T42" i="2" a="1"/>
  <c r="T42" i="2"/>
  <c r="U42" i="2" a="1"/>
  <c r="U42" i="2"/>
  <c r="V42" i="2" a="1"/>
  <c r="V42" i="2"/>
  <c r="W42" i="2" a="1"/>
  <c r="W42" i="2"/>
  <c r="X42" i="2" a="1"/>
  <c r="X42" i="2"/>
  <c r="Y42" i="2" a="1"/>
  <c r="Y42" i="2"/>
  <c r="Z42" i="2" a="1"/>
  <c r="Z42" i="2"/>
  <c r="AA42" i="2" a="1"/>
  <c r="AA42" i="2"/>
  <c r="AB42" i="2" a="1"/>
  <c r="AB42" i="2"/>
  <c r="AC42" i="2" a="1"/>
  <c r="AC42" i="2"/>
  <c r="D43" i="2" a="1"/>
  <c r="D43" i="2"/>
  <c r="E43" i="2" a="1"/>
  <c r="E43" i="2"/>
  <c r="F43" i="2" a="1"/>
  <c r="F43" i="2"/>
  <c r="G43" i="2" a="1"/>
  <c r="G43" i="2"/>
  <c r="H43" i="2" a="1"/>
  <c r="H43" i="2"/>
  <c r="I43" i="2" a="1"/>
  <c r="I43" i="2"/>
  <c r="J43" i="2" a="1"/>
  <c r="J43" i="2"/>
  <c r="K43" i="2" a="1"/>
  <c r="K43" i="2"/>
  <c r="L43" i="2" a="1"/>
  <c r="L43" i="2"/>
  <c r="M43" i="2" a="1"/>
  <c r="M43" i="2"/>
  <c r="N43" i="2" a="1"/>
  <c r="N43" i="2"/>
  <c r="O43" i="2" a="1"/>
  <c r="O43" i="2"/>
  <c r="P43" i="2" a="1"/>
  <c r="P43" i="2"/>
  <c r="Q43" i="2" a="1"/>
  <c r="Q43" i="2"/>
  <c r="R43" i="2" a="1"/>
  <c r="R43" i="2"/>
  <c r="S43" i="2" a="1"/>
  <c r="S43" i="2"/>
  <c r="T43" i="2" a="1"/>
  <c r="T43" i="2"/>
  <c r="U43" i="2" a="1"/>
  <c r="U43" i="2"/>
  <c r="V43" i="2" a="1"/>
  <c r="V43" i="2"/>
  <c r="W43" i="2" a="1"/>
  <c r="W43" i="2"/>
  <c r="X43" i="2" a="1"/>
  <c r="X43" i="2"/>
  <c r="Y43" i="2" a="1"/>
  <c r="Y43" i="2"/>
  <c r="Z43" i="2" a="1"/>
  <c r="Z43" i="2"/>
  <c r="AA43" i="2" a="1"/>
  <c r="AA43" i="2"/>
  <c r="AB43" i="2" a="1"/>
  <c r="AB43" i="2"/>
  <c r="AC43" i="2" a="1"/>
  <c r="AC43" i="2"/>
  <c r="D44" i="2"/>
  <c r="E44" i="2"/>
  <c r="F44" i="2"/>
  <c r="G44" i="2"/>
  <c r="H44" i="2"/>
  <c r="I44" i="2"/>
  <c r="J44" i="2"/>
  <c r="K44" i="2"/>
  <c r="L44" i="2"/>
  <c r="M44" i="2"/>
  <c r="N44" i="2"/>
  <c r="O44" i="2"/>
  <c r="P44" i="2"/>
  <c r="Q44" i="2"/>
  <c r="R44" i="2"/>
  <c r="S44" i="2"/>
  <c r="T44" i="2"/>
  <c r="U44" i="2"/>
  <c r="V44" i="2"/>
  <c r="W44" i="2"/>
  <c r="X44" i="2"/>
  <c r="Y44" i="2"/>
  <c r="Z44" i="2"/>
  <c r="AA44" i="2"/>
  <c r="AB44" i="2"/>
  <c r="AC44" i="2"/>
  <c r="D45" i="2"/>
  <c r="E45" i="2"/>
  <c r="F45" i="2"/>
  <c r="G45" i="2"/>
  <c r="H45" i="2"/>
  <c r="I45" i="2"/>
  <c r="J45" i="2"/>
  <c r="K45" i="2"/>
  <c r="L45" i="2"/>
  <c r="M45" i="2"/>
  <c r="N45" i="2"/>
  <c r="O45" i="2"/>
  <c r="P45" i="2"/>
  <c r="Q45" i="2"/>
  <c r="R45" i="2"/>
  <c r="S45" i="2"/>
  <c r="T45" i="2"/>
  <c r="U45" i="2"/>
  <c r="V45" i="2"/>
  <c r="W45" i="2"/>
  <c r="X45" i="2"/>
  <c r="Y45" i="2"/>
  <c r="Z45" i="2"/>
  <c r="AA45" i="2"/>
  <c r="AB45" i="2"/>
  <c r="AC45" i="2"/>
  <c r="D47" i="2" a="1"/>
  <c r="D47" i="2"/>
  <c r="E47" i="2" a="1"/>
  <c r="E47" i="2"/>
  <c r="F47" i="2" a="1"/>
  <c r="F47" i="2"/>
  <c r="G47" i="2" a="1"/>
  <c r="G47" i="2"/>
  <c r="H47" i="2" a="1"/>
  <c r="H47" i="2"/>
  <c r="I47" i="2" a="1"/>
  <c r="I47" i="2"/>
  <c r="J47" i="2" a="1"/>
  <c r="J47" i="2"/>
  <c r="K47" i="2" a="1"/>
  <c r="K47" i="2"/>
  <c r="L47" i="2" a="1"/>
  <c r="L47" i="2"/>
  <c r="M47" i="2" a="1"/>
  <c r="M47" i="2"/>
  <c r="N47" i="2" a="1"/>
  <c r="N47" i="2"/>
  <c r="O47" i="2" a="1"/>
  <c r="O47" i="2"/>
  <c r="P47" i="2" a="1"/>
  <c r="P47" i="2"/>
  <c r="Q47" i="2" a="1"/>
  <c r="Q47" i="2"/>
  <c r="R47" i="2" a="1"/>
  <c r="R47" i="2"/>
  <c r="S47" i="2" a="1"/>
  <c r="S47" i="2"/>
  <c r="T47" i="2" a="1"/>
  <c r="T47" i="2"/>
  <c r="U47" i="2" a="1"/>
  <c r="U47" i="2"/>
  <c r="V47" i="2" a="1"/>
  <c r="V47" i="2"/>
  <c r="W47" i="2" a="1"/>
  <c r="W47" i="2"/>
  <c r="X47" i="2" a="1"/>
  <c r="X47" i="2"/>
  <c r="Y47" i="2" a="1"/>
  <c r="Y47" i="2"/>
  <c r="Z47" i="2" a="1"/>
  <c r="Z47" i="2"/>
  <c r="AA47" i="2" a="1"/>
  <c r="AA47" i="2"/>
  <c r="AB47" i="2" a="1"/>
  <c r="AB47" i="2"/>
  <c r="AC47" i="2" a="1"/>
  <c r="AC47" i="2"/>
  <c r="D48" i="2" a="1"/>
  <c r="D48" i="2"/>
  <c r="E48" i="2" a="1"/>
  <c r="E48" i="2"/>
  <c r="F48" i="2" a="1"/>
  <c r="F48" i="2"/>
  <c r="D49" i="2"/>
  <c r="E49" i="2"/>
  <c r="F49" i="2"/>
  <c r="G49" i="2"/>
  <c r="H49" i="2"/>
  <c r="I49" i="2"/>
  <c r="J49" i="2"/>
  <c r="K49" i="2"/>
  <c r="L49" i="2"/>
  <c r="M49" i="2"/>
  <c r="N49" i="2"/>
  <c r="O49" i="2"/>
  <c r="P49" i="2"/>
  <c r="Q49" i="2"/>
  <c r="R49" i="2"/>
  <c r="S49" i="2"/>
  <c r="T49" i="2"/>
  <c r="U49" i="2"/>
  <c r="V49" i="2"/>
  <c r="W49" i="2"/>
  <c r="X49" i="2"/>
  <c r="Y49" i="2"/>
  <c r="Z49" i="2"/>
  <c r="AA49" i="2"/>
  <c r="AB49" i="2"/>
  <c r="AC49" i="2"/>
  <c r="D50" i="2"/>
  <c r="E50" i="2"/>
  <c r="F50" i="2"/>
  <c r="G50" i="2"/>
  <c r="H50" i="2"/>
  <c r="I50" i="2"/>
  <c r="J50" i="2"/>
  <c r="K50" i="2"/>
  <c r="L50" i="2"/>
  <c r="M50" i="2"/>
  <c r="N50" i="2"/>
  <c r="O50" i="2"/>
  <c r="P50" i="2"/>
  <c r="Q50" i="2"/>
  <c r="R50" i="2"/>
  <c r="S50" i="2"/>
  <c r="T50" i="2"/>
  <c r="U50" i="2"/>
  <c r="V50" i="2"/>
  <c r="W50" i="2"/>
  <c r="X50" i="2"/>
  <c r="Y50" i="2"/>
  <c r="Z50" i="2"/>
  <c r="AA50" i="2"/>
  <c r="AB50" i="2"/>
  <c r="AC50" i="2"/>
  <c r="D52" i="2" a="1"/>
  <c r="D52" i="2"/>
  <c r="E52" i="2" a="1"/>
  <c r="E52" i="2"/>
  <c r="F52" i="2" a="1"/>
  <c r="F52" i="2"/>
  <c r="G52" i="2" a="1"/>
  <c r="G52" i="2"/>
  <c r="H52" i="2" a="1"/>
  <c r="H52" i="2"/>
  <c r="I52" i="2" a="1"/>
  <c r="I52" i="2"/>
  <c r="J52" i="2" a="1"/>
  <c r="J52" i="2"/>
  <c r="K52" i="2" a="1"/>
  <c r="K52" i="2"/>
  <c r="L52" i="2" a="1"/>
  <c r="L52" i="2"/>
  <c r="M52" i="2" a="1"/>
  <c r="M52" i="2"/>
  <c r="N52" i="2" a="1"/>
  <c r="N52" i="2"/>
  <c r="O52" i="2" a="1"/>
  <c r="O52" i="2"/>
  <c r="P52" i="2" a="1"/>
  <c r="P52" i="2"/>
  <c r="Q52" i="2" a="1"/>
  <c r="Q52" i="2"/>
  <c r="R52" i="2" a="1"/>
  <c r="R52" i="2"/>
  <c r="S52" i="2" a="1"/>
  <c r="S52" i="2"/>
  <c r="T52" i="2" a="1"/>
  <c r="T52" i="2"/>
  <c r="U52" i="2" a="1"/>
  <c r="U52" i="2"/>
  <c r="V52" i="2" a="1"/>
  <c r="V52" i="2"/>
  <c r="W52" i="2" a="1"/>
  <c r="W52" i="2"/>
  <c r="X52" i="2" a="1"/>
  <c r="X52" i="2"/>
  <c r="Y52" i="2" a="1"/>
  <c r="Y52" i="2"/>
  <c r="Z52" i="2" a="1"/>
  <c r="Z52" i="2"/>
  <c r="AA52" i="2" a="1"/>
  <c r="AA52" i="2"/>
  <c r="AB52" i="2" a="1"/>
  <c r="AB52" i="2"/>
  <c r="AC52" i="2" a="1"/>
  <c r="AC52" i="2"/>
  <c r="D53" i="2" a="1"/>
  <c r="D53" i="2"/>
  <c r="E53" i="2" a="1"/>
  <c r="E53" i="2"/>
  <c r="F53" i="2" a="1"/>
  <c r="F53" i="2"/>
  <c r="D54" i="2"/>
  <c r="E54" i="2"/>
  <c r="F54" i="2"/>
  <c r="G54" i="2"/>
  <c r="H54" i="2"/>
  <c r="I54" i="2"/>
  <c r="J54" i="2"/>
  <c r="K54" i="2"/>
  <c r="L54" i="2"/>
  <c r="M54" i="2"/>
  <c r="N54" i="2"/>
  <c r="O54" i="2"/>
  <c r="P54" i="2"/>
  <c r="Q54" i="2"/>
  <c r="R54" i="2"/>
  <c r="S54" i="2"/>
  <c r="T54" i="2"/>
  <c r="U54" i="2"/>
  <c r="V54" i="2"/>
  <c r="W54" i="2"/>
  <c r="X54" i="2"/>
  <c r="Y54" i="2"/>
  <c r="Z54" i="2"/>
  <c r="AA54" i="2"/>
  <c r="AB54" i="2"/>
  <c r="AC54" i="2"/>
  <c r="D55" i="2"/>
  <c r="E55" i="2"/>
  <c r="F55" i="2"/>
  <c r="G55" i="2"/>
  <c r="H55" i="2"/>
  <c r="I55" i="2"/>
  <c r="J55" i="2"/>
  <c r="K55" i="2"/>
  <c r="L55" i="2"/>
  <c r="M55" i="2"/>
  <c r="N55" i="2"/>
  <c r="O55" i="2"/>
  <c r="P55" i="2"/>
  <c r="Q55" i="2"/>
  <c r="R55" i="2"/>
  <c r="S55" i="2"/>
  <c r="T55" i="2"/>
  <c r="U55" i="2"/>
  <c r="V55" i="2"/>
  <c r="W55" i="2"/>
  <c r="X55" i="2"/>
  <c r="Y55" i="2"/>
  <c r="Z55" i="2"/>
  <c r="AA55" i="2"/>
  <c r="AB55" i="2"/>
  <c r="AC55" i="2"/>
  <c r="D57" i="2" a="1"/>
  <c r="D57" i="2"/>
  <c r="E57" i="2" a="1"/>
  <c r="E57" i="2"/>
  <c r="F57" i="2" a="1"/>
  <c r="F57" i="2"/>
  <c r="G57" i="2" a="1"/>
  <c r="G57" i="2"/>
  <c r="H57" i="2" a="1"/>
  <c r="H57" i="2"/>
  <c r="I57" i="2" a="1"/>
  <c r="I57" i="2"/>
  <c r="J57" i="2" a="1"/>
  <c r="J57" i="2"/>
  <c r="K57" i="2" a="1"/>
  <c r="K57" i="2"/>
  <c r="L57" i="2" a="1"/>
  <c r="L57" i="2"/>
  <c r="M57" i="2" a="1"/>
  <c r="M57" i="2"/>
  <c r="N57" i="2" a="1"/>
  <c r="N57" i="2"/>
  <c r="O57" i="2" a="1"/>
  <c r="O57" i="2"/>
  <c r="P57" i="2" a="1"/>
  <c r="P57" i="2"/>
  <c r="Q57" i="2" a="1"/>
  <c r="Q57" i="2"/>
  <c r="R57" i="2" a="1"/>
  <c r="R57" i="2"/>
  <c r="S57" i="2" a="1"/>
  <c r="S57" i="2"/>
  <c r="T57" i="2" a="1"/>
  <c r="T57" i="2"/>
  <c r="U57" i="2" a="1"/>
  <c r="U57" i="2"/>
  <c r="V57" i="2" a="1"/>
  <c r="V57" i="2"/>
  <c r="W57" i="2" a="1"/>
  <c r="W57" i="2"/>
  <c r="X57" i="2" a="1"/>
  <c r="X57" i="2"/>
  <c r="Y57" i="2" a="1"/>
  <c r="Y57" i="2"/>
  <c r="Z57" i="2" a="1"/>
  <c r="Z57" i="2"/>
  <c r="AA57" i="2" a="1"/>
  <c r="AA57" i="2"/>
  <c r="AB57" i="2" a="1"/>
  <c r="AB57" i="2"/>
  <c r="AC57" i="2" a="1"/>
  <c r="AC57" i="2"/>
  <c r="F58" i="2" a="1"/>
  <c r="F58" i="2"/>
  <c r="G58" i="2" a="1"/>
  <c r="G58" i="2"/>
  <c r="H58" i="2" a="1"/>
  <c r="H58" i="2"/>
  <c r="I58" i="2" a="1"/>
  <c r="I58" i="2"/>
  <c r="J58" i="2" a="1"/>
  <c r="J58" i="2"/>
  <c r="K58" i="2" a="1"/>
  <c r="K58" i="2"/>
  <c r="L58" i="2" a="1"/>
  <c r="L58" i="2"/>
  <c r="M58" i="2" a="1"/>
  <c r="M58" i="2"/>
  <c r="N58" i="2" a="1"/>
  <c r="N58" i="2"/>
  <c r="O58" i="2" a="1"/>
  <c r="O58" i="2"/>
  <c r="P58" i="2" a="1"/>
  <c r="P58" i="2"/>
  <c r="Q58" i="2" a="1"/>
  <c r="Q58" i="2"/>
  <c r="R58" i="2" a="1"/>
  <c r="R58" i="2"/>
  <c r="S58" i="2" a="1"/>
  <c r="S58" i="2"/>
  <c r="T58" i="2" a="1"/>
  <c r="T58" i="2"/>
  <c r="U58" i="2" a="1"/>
  <c r="U58" i="2"/>
  <c r="V58" i="2" a="1"/>
  <c r="V58" i="2"/>
  <c r="W58" i="2" a="1"/>
  <c r="W58" i="2"/>
  <c r="X58" i="2" a="1"/>
  <c r="X58" i="2"/>
  <c r="Y58" i="2" a="1"/>
  <c r="Y58" i="2"/>
  <c r="Z58" i="2" a="1"/>
  <c r="Z58" i="2"/>
  <c r="AA58" i="2" a="1"/>
  <c r="AA58" i="2"/>
  <c r="AB58" i="2" a="1"/>
  <c r="AB58" i="2"/>
  <c r="AC58" i="2" a="1"/>
  <c r="AC58" i="2"/>
  <c r="D59" i="2"/>
  <c r="E59" i="2"/>
  <c r="F59" i="2"/>
  <c r="G59" i="2"/>
  <c r="H59" i="2"/>
  <c r="I59" i="2"/>
  <c r="J59" i="2"/>
  <c r="K59" i="2"/>
  <c r="L59" i="2"/>
  <c r="M59" i="2"/>
  <c r="N59" i="2"/>
  <c r="O59" i="2"/>
  <c r="P59" i="2"/>
  <c r="Q59" i="2"/>
  <c r="R59" i="2"/>
  <c r="S59" i="2"/>
  <c r="T59" i="2"/>
  <c r="U59" i="2"/>
  <c r="V59" i="2"/>
  <c r="W59" i="2"/>
  <c r="X59" i="2"/>
  <c r="Y59" i="2"/>
  <c r="Z59" i="2"/>
  <c r="AA59" i="2"/>
  <c r="AB59" i="2"/>
  <c r="AC59" i="2"/>
  <c r="D60" i="2"/>
  <c r="E60" i="2"/>
  <c r="F60" i="2"/>
  <c r="G60" i="2"/>
  <c r="H60" i="2"/>
  <c r="I60" i="2"/>
  <c r="J60" i="2"/>
  <c r="K60" i="2"/>
  <c r="L60" i="2"/>
  <c r="M60" i="2"/>
  <c r="N60" i="2"/>
  <c r="O60" i="2"/>
  <c r="P60" i="2"/>
  <c r="Q60" i="2"/>
  <c r="R60" i="2"/>
  <c r="S60" i="2"/>
  <c r="T60" i="2"/>
  <c r="U60" i="2"/>
  <c r="V60" i="2"/>
  <c r="W60" i="2"/>
  <c r="X60" i="2"/>
  <c r="Y60" i="2"/>
  <c r="Z60" i="2"/>
  <c r="AA60" i="2"/>
  <c r="AB60" i="2"/>
  <c r="AC60" i="2"/>
  <c r="D62" i="2" a="1"/>
  <c r="D62" i="2"/>
  <c r="E62" i="2" a="1"/>
  <c r="E62" i="2"/>
  <c r="F62" i="2" a="1"/>
  <c r="F62" i="2"/>
  <c r="G62" i="2" a="1"/>
  <c r="G62" i="2"/>
  <c r="H62" i="2" a="1"/>
  <c r="H62" i="2"/>
  <c r="I62" i="2" a="1"/>
  <c r="I62" i="2"/>
  <c r="J62" i="2" a="1"/>
  <c r="J62" i="2"/>
  <c r="K62" i="2" a="1"/>
  <c r="K62" i="2"/>
  <c r="L62" i="2" a="1"/>
  <c r="L62" i="2"/>
  <c r="M62" i="2" a="1"/>
  <c r="M62" i="2"/>
  <c r="N62" i="2" a="1"/>
  <c r="N62" i="2"/>
  <c r="O62" i="2" a="1"/>
  <c r="O62" i="2"/>
  <c r="P62" i="2" a="1"/>
  <c r="P62" i="2"/>
  <c r="Q62" i="2" a="1"/>
  <c r="Q62" i="2"/>
  <c r="R62" i="2" a="1"/>
  <c r="R62" i="2"/>
  <c r="S62" i="2" a="1"/>
  <c r="S62" i="2"/>
  <c r="T62" i="2" a="1"/>
  <c r="T62" i="2"/>
  <c r="U62" i="2" a="1"/>
  <c r="U62" i="2"/>
  <c r="V62" i="2" a="1"/>
  <c r="V62" i="2"/>
  <c r="W62" i="2" a="1"/>
  <c r="W62" i="2"/>
  <c r="X62" i="2" a="1"/>
  <c r="X62" i="2"/>
  <c r="Y62" i="2" a="1"/>
  <c r="Y62" i="2"/>
  <c r="Z62" i="2" a="1"/>
  <c r="Z62" i="2"/>
  <c r="AA62" i="2" a="1"/>
  <c r="AA62" i="2"/>
  <c r="AB62" i="2" a="1"/>
  <c r="AB62" i="2"/>
  <c r="AC62" i="2" a="1"/>
  <c r="AC62" i="2"/>
  <c r="F63" i="2" a="1"/>
  <c r="F63" i="2"/>
  <c r="G63" i="2" a="1"/>
  <c r="G63" i="2"/>
  <c r="H63" i="2" a="1"/>
  <c r="H63" i="2"/>
  <c r="I63" i="2" a="1"/>
  <c r="I63" i="2"/>
  <c r="J63" i="2" a="1"/>
  <c r="J63" i="2"/>
  <c r="K63" i="2" a="1"/>
  <c r="K63" i="2"/>
  <c r="L63" i="2" a="1"/>
  <c r="L63" i="2"/>
  <c r="M63" i="2" a="1"/>
  <c r="M63" i="2"/>
  <c r="N63" i="2" a="1"/>
  <c r="N63" i="2"/>
  <c r="O63" i="2" a="1"/>
  <c r="O63" i="2"/>
  <c r="P63" i="2" a="1"/>
  <c r="P63" i="2"/>
  <c r="Q63" i="2" a="1"/>
  <c r="Q63" i="2"/>
  <c r="R63" i="2" a="1"/>
  <c r="R63" i="2"/>
  <c r="S63" i="2" a="1"/>
  <c r="S63" i="2"/>
  <c r="T63" i="2" a="1"/>
  <c r="T63" i="2"/>
  <c r="U63" i="2" a="1"/>
  <c r="U63" i="2"/>
  <c r="V63" i="2" a="1"/>
  <c r="V63" i="2"/>
  <c r="W63" i="2" a="1"/>
  <c r="W63" i="2"/>
  <c r="X63" i="2" a="1"/>
  <c r="X63" i="2"/>
  <c r="Y63" i="2" a="1"/>
  <c r="Y63" i="2"/>
  <c r="Z63" i="2" a="1"/>
  <c r="Z63" i="2"/>
  <c r="AA63" i="2" a="1"/>
  <c r="AA63" i="2"/>
  <c r="AB63" i="2" a="1"/>
  <c r="AB63" i="2"/>
  <c r="AC63" i="2" a="1"/>
  <c r="AC63" i="2"/>
  <c r="D64" i="2"/>
  <c r="E64" i="2"/>
  <c r="F64" i="2"/>
  <c r="G64" i="2"/>
  <c r="H64" i="2"/>
  <c r="I64" i="2"/>
  <c r="J64" i="2"/>
  <c r="K64" i="2"/>
  <c r="L64" i="2"/>
  <c r="M64" i="2"/>
  <c r="N64" i="2"/>
  <c r="O64" i="2"/>
  <c r="P64" i="2"/>
  <c r="Q64" i="2"/>
  <c r="R64" i="2"/>
  <c r="S64" i="2"/>
  <c r="T64" i="2"/>
  <c r="U64" i="2"/>
  <c r="V64" i="2"/>
  <c r="W64" i="2"/>
  <c r="X64" i="2"/>
  <c r="Y64" i="2"/>
  <c r="Z64" i="2"/>
  <c r="AA64" i="2"/>
  <c r="AB64" i="2"/>
  <c r="AC64" i="2"/>
  <c r="D65" i="2"/>
  <c r="E65" i="2"/>
  <c r="F65" i="2"/>
  <c r="G65" i="2"/>
  <c r="H65" i="2"/>
  <c r="I65" i="2"/>
  <c r="J65" i="2"/>
  <c r="K65" i="2"/>
  <c r="L65" i="2"/>
  <c r="M65" i="2"/>
  <c r="N65" i="2"/>
  <c r="O65" i="2"/>
  <c r="P65" i="2"/>
  <c r="Q65" i="2"/>
  <c r="R65" i="2"/>
  <c r="S65" i="2"/>
  <c r="T65" i="2"/>
  <c r="U65" i="2"/>
  <c r="V65" i="2"/>
  <c r="W65" i="2"/>
  <c r="X65" i="2"/>
  <c r="Y65" i="2"/>
  <c r="Z65" i="2"/>
  <c r="AA65" i="2"/>
  <c r="AB65" i="2"/>
  <c r="AC65" i="2"/>
  <c r="D67" i="2" a="1"/>
  <c r="D67" i="2"/>
  <c r="E67" i="2" a="1"/>
  <c r="E67" i="2"/>
  <c r="F67" i="2" a="1"/>
  <c r="F67" i="2"/>
  <c r="G67" i="2" a="1"/>
  <c r="G67" i="2"/>
  <c r="H67" i="2" a="1"/>
  <c r="H67" i="2"/>
  <c r="I67" i="2" a="1"/>
  <c r="I67" i="2"/>
  <c r="J67" i="2" a="1"/>
  <c r="J67" i="2"/>
  <c r="K67" i="2" a="1"/>
  <c r="K67" i="2"/>
  <c r="L67" i="2" a="1"/>
  <c r="L67" i="2"/>
  <c r="M67" i="2" a="1"/>
  <c r="M67" i="2"/>
  <c r="N67" i="2" a="1"/>
  <c r="N67" i="2"/>
  <c r="O67" i="2" a="1"/>
  <c r="O67" i="2"/>
  <c r="P67" i="2" a="1"/>
  <c r="P67" i="2"/>
  <c r="Q67" i="2" a="1"/>
  <c r="Q67" i="2"/>
  <c r="R67" i="2" a="1"/>
  <c r="R67" i="2"/>
  <c r="S67" i="2" a="1"/>
  <c r="S67" i="2"/>
  <c r="T67" i="2" a="1"/>
  <c r="T67" i="2"/>
  <c r="U67" i="2" a="1"/>
  <c r="U67" i="2"/>
  <c r="V67" i="2" a="1"/>
  <c r="V67" i="2"/>
  <c r="W67" i="2" a="1"/>
  <c r="W67" i="2"/>
  <c r="X67" i="2" a="1"/>
  <c r="X67" i="2"/>
  <c r="Y67" i="2" a="1"/>
  <c r="Y67" i="2"/>
  <c r="Z67" i="2" a="1"/>
  <c r="Z67" i="2"/>
  <c r="AA67" i="2" a="1"/>
  <c r="AA67" i="2"/>
  <c r="AB67" i="2" a="1"/>
  <c r="AB67" i="2"/>
  <c r="AC67" i="2" a="1"/>
  <c r="AC67" i="2"/>
  <c r="D68" i="2" a="1"/>
  <c r="D68" i="2"/>
  <c r="E68" i="2" a="1"/>
  <c r="E68" i="2"/>
  <c r="F68" i="2" a="1"/>
  <c r="F68" i="2"/>
  <c r="G68" i="2" a="1"/>
  <c r="G68" i="2"/>
  <c r="H68" i="2" a="1"/>
  <c r="H68" i="2"/>
  <c r="I68" i="2" a="1"/>
  <c r="I68" i="2"/>
  <c r="J68" i="2" a="1"/>
  <c r="J68" i="2"/>
  <c r="K68" i="2" a="1"/>
  <c r="K68" i="2"/>
  <c r="L68" i="2" a="1"/>
  <c r="L68" i="2"/>
  <c r="M68" i="2" a="1"/>
  <c r="M68" i="2"/>
  <c r="N68" i="2" a="1"/>
  <c r="N68" i="2"/>
  <c r="O68" i="2" a="1"/>
  <c r="O68" i="2"/>
  <c r="P68" i="2" a="1"/>
  <c r="P68" i="2"/>
  <c r="Q68" i="2" a="1"/>
  <c r="Q68" i="2"/>
  <c r="R68" i="2" a="1"/>
  <c r="R68" i="2"/>
  <c r="S68" i="2" a="1"/>
  <c r="S68" i="2"/>
  <c r="T68" i="2" a="1"/>
  <c r="T68" i="2"/>
  <c r="U68" i="2" a="1"/>
  <c r="U68" i="2"/>
  <c r="V68" i="2" a="1"/>
  <c r="V68" i="2"/>
  <c r="W68" i="2" a="1"/>
  <c r="W68" i="2"/>
  <c r="X68" i="2" a="1"/>
  <c r="X68" i="2"/>
  <c r="Y68" i="2" a="1"/>
  <c r="Y68" i="2"/>
  <c r="Z68" i="2" a="1"/>
  <c r="Z68" i="2"/>
  <c r="AA68" i="2" a="1"/>
  <c r="AA68" i="2"/>
  <c r="AB68" i="2" a="1"/>
  <c r="AB68" i="2"/>
  <c r="AC68" i="2" a="1"/>
  <c r="AC68" i="2"/>
  <c r="D69" i="2"/>
  <c r="E69" i="2"/>
  <c r="F69" i="2"/>
  <c r="G69" i="2"/>
  <c r="H69" i="2"/>
  <c r="I69" i="2"/>
  <c r="J69" i="2"/>
  <c r="K69" i="2"/>
  <c r="L69" i="2"/>
  <c r="M69" i="2"/>
  <c r="N69" i="2"/>
  <c r="O69" i="2"/>
  <c r="P69" i="2"/>
  <c r="Q69" i="2"/>
  <c r="R69" i="2"/>
  <c r="S69" i="2"/>
  <c r="T69" i="2"/>
  <c r="U69" i="2"/>
  <c r="V69" i="2"/>
  <c r="W69" i="2"/>
  <c r="X69" i="2"/>
  <c r="Y69" i="2"/>
  <c r="Z69" i="2"/>
  <c r="AA69" i="2"/>
  <c r="AB69" i="2"/>
  <c r="AC69" i="2"/>
  <c r="D70" i="2"/>
  <c r="E70" i="2"/>
  <c r="F70" i="2"/>
  <c r="G70" i="2"/>
  <c r="H70" i="2"/>
  <c r="I70" i="2"/>
  <c r="J70" i="2"/>
  <c r="K70" i="2"/>
  <c r="L70" i="2"/>
  <c r="M70" i="2"/>
  <c r="N70" i="2"/>
  <c r="O70" i="2"/>
  <c r="P70" i="2"/>
  <c r="Q70" i="2"/>
  <c r="R70" i="2"/>
  <c r="S70" i="2"/>
  <c r="T70" i="2"/>
  <c r="U70" i="2"/>
  <c r="V70" i="2"/>
  <c r="W70" i="2"/>
  <c r="X70" i="2"/>
  <c r="Y70" i="2"/>
  <c r="Z70" i="2"/>
  <c r="AA70" i="2"/>
  <c r="AB70" i="2"/>
  <c r="AC70" i="2"/>
  <c r="D75" i="2"/>
  <c r="E75" i="2"/>
  <c r="F75" i="2"/>
  <c r="G75" i="2"/>
  <c r="H75" i="2"/>
  <c r="I75" i="2"/>
  <c r="J75" i="2"/>
  <c r="K75" i="2"/>
  <c r="L75" i="2"/>
  <c r="M75" i="2"/>
  <c r="N75" i="2"/>
  <c r="O75" i="2"/>
  <c r="P75" i="2"/>
  <c r="Q75" i="2"/>
  <c r="R75" i="2"/>
  <c r="S75" i="2"/>
  <c r="T75" i="2"/>
  <c r="U75" i="2"/>
  <c r="V75" i="2"/>
  <c r="W75" i="2"/>
  <c r="X75" i="2"/>
  <c r="Y75" i="2"/>
  <c r="Z75" i="2"/>
  <c r="AA75" i="2"/>
  <c r="AB75" i="2"/>
  <c r="AC75" i="2"/>
  <c r="D80" i="2"/>
  <c r="E80" i="2"/>
  <c r="F80" i="2"/>
  <c r="G80" i="2"/>
  <c r="H80" i="2"/>
  <c r="I80" i="2"/>
  <c r="J80" i="2"/>
  <c r="K80" i="2"/>
  <c r="L80" i="2"/>
  <c r="M80" i="2"/>
  <c r="N80" i="2"/>
  <c r="O80" i="2"/>
  <c r="P80" i="2"/>
  <c r="Q80" i="2"/>
  <c r="R80" i="2"/>
  <c r="S80" i="2"/>
  <c r="T80" i="2"/>
  <c r="U80" i="2"/>
  <c r="V80" i="2"/>
  <c r="W80" i="2"/>
  <c r="X80" i="2"/>
  <c r="Y80" i="2"/>
  <c r="Z80" i="2"/>
  <c r="AA80" i="2"/>
  <c r="AB80" i="2"/>
  <c r="AC80" i="2"/>
  <c r="D83" i="2"/>
  <c r="D84" i="2"/>
  <c r="E84" i="2"/>
  <c r="F84" i="2"/>
  <c r="G84" i="2"/>
  <c r="H84" i="2"/>
  <c r="I84" i="2"/>
  <c r="J84" i="2"/>
  <c r="K84" i="2"/>
  <c r="L84" i="2"/>
  <c r="M84" i="2"/>
  <c r="N84" i="2"/>
  <c r="O84" i="2"/>
  <c r="P84" i="2"/>
  <c r="Q84" i="2"/>
  <c r="R84" i="2"/>
  <c r="S84" i="2"/>
  <c r="T84" i="2"/>
  <c r="U84" i="2"/>
  <c r="V84" i="2"/>
  <c r="W84" i="2"/>
  <c r="X84" i="2"/>
  <c r="Y84" i="2"/>
  <c r="Z84" i="2"/>
  <c r="AA84" i="2"/>
  <c r="AB84" i="2"/>
  <c r="AC84" i="2"/>
  <c r="D85" i="2"/>
  <c r="E85" i="2"/>
  <c r="F85" i="2"/>
  <c r="G85" i="2"/>
  <c r="H85" i="2"/>
  <c r="I85" i="2"/>
  <c r="J85" i="2"/>
  <c r="K85" i="2"/>
  <c r="L85" i="2"/>
  <c r="M85" i="2"/>
  <c r="N85" i="2"/>
  <c r="O85" i="2"/>
  <c r="P85" i="2"/>
  <c r="Q85" i="2"/>
  <c r="R85" i="2"/>
  <c r="S85" i="2"/>
  <c r="T85" i="2"/>
  <c r="U85" i="2"/>
  <c r="V85" i="2"/>
  <c r="W85" i="2"/>
  <c r="X85" i="2"/>
  <c r="Y85" i="2"/>
  <c r="Z85" i="2"/>
  <c r="AA85" i="2"/>
  <c r="AB85" i="2"/>
  <c r="AC85" i="2"/>
  <c r="E86" i="2"/>
  <c r="F86" i="2"/>
  <c r="G86" i="2"/>
  <c r="H86" i="2"/>
  <c r="I86" i="2"/>
  <c r="J86" i="2"/>
  <c r="K86" i="2"/>
  <c r="L86" i="2"/>
  <c r="M86" i="2"/>
  <c r="N86" i="2"/>
  <c r="O86" i="2"/>
  <c r="P86" i="2"/>
  <c r="Q86" i="2"/>
  <c r="R86" i="2"/>
  <c r="S86" i="2"/>
  <c r="T86" i="2"/>
  <c r="U86" i="2"/>
  <c r="V86" i="2"/>
  <c r="W86" i="2"/>
  <c r="X86" i="2"/>
  <c r="Y86" i="2"/>
  <c r="Z86" i="2"/>
  <c r="AA86" i="2"/>
  <c r="AB86" i="2"/>
  <c r="AC86" i="2"/>
  <c r="E87" i="2"/>
  <c r="F87" i="2"/>
  <c r="G87" i="2"/>
  <c r="H87" i="2"/>
  <c r="I87" i="2"/>
  <c r="J87" i="2"/>
  <c r="K87" i="2"/>
  <c r="L87" i="2"/>
  <c r="M87" i="2"/>
  <c r="N87" i="2"/>
  <c r="O87" i="2"/>
  <c r="P87" i="2"/>
  <c r="Q87" i="2"/>
  <c r="R87" i="2"/>
  <c r="S87" i="2"/>
  <c r="T87" i="2"/>
  <c r="U87" i="2"/>
  <c r="V87" i="2"/>
  <c r="W87" i="2"/>
  <c r="X87" i="2"/>
  <c r="Y87" i="2"/>
  <c r="Z87" i="2"/>
  <c r="AA87" i="2"/>
  <c r="AB87" i="2"/>
  <c r="AC87" i="2"/>
  <c r="D88" i="2"/>
  <c r="E88" i="2"/>
  <c r="F88" i="2"/>
  <c r="G88" i="2"/>
  <c r="H88" i="2"/>
  <c r="I88" i="2"/>
  <c r="J88" i="2"/>
  <c r="K88" i="2"/>
  <c r="L88" i="2"/>
  <c r="M88" i="2"/>
  <c r="N88" i="2"/>
  <c r="O88" i="2"/>
  <c r="P88" i="2"/>
  <c r="Q88" i="2"/>
  <c r="R88" i="2"/>
  <c r="S88" i="2"/>
  <c r="T88" i="2"/>
  <c r="U88" i="2"/>
  <c r="V88" i="2"/>
  <c r="W88" i="2"/>
  <c r="X88" i="2"/>
  <c r="Y88" i="2"/>
  <c r="Z88" i="2"/>
  <c r="AA88" i="2"/>
  <c r="AB88" i="2"/>
  <c r="AC88" i="2"/>
  <c r="D89" i="2"/>
  <c r="E89" i="2"/>
  <c r="F89" i="2"/>
  <c r="G89" i="2"/>
  <c r="H89" i="2"/>
  <c r="I89" i="2"/>
  <c r="J89" i="2"/>
  <c r="K89" i="2"/>
  <c r="L89" i="2"/>
  <c r="M89" i="2"/>
  <c r="N89" i="2"/>
  <c r="O89" i="2"/>
  <c r="P89" i="2"/>
  <c r="Q89" i="2"/>
  <c r="R89" i="2"/>
  <c r="S89" i="2"/>
  <c r="T89" i="2"/>
  <c r="U89" i="2"/>
  <c r="V89" i="2"/>
  <c r="W89" i="2"/>
  <c r="X89" i="2"/>
  <c r="Y89" i="2"/>
  <c r="Z89" i="2"/>
  <c r="AA89" i="2"/>
  <c r="AB89" i="2"/>
  <c r="AC89" i="2"/>
  <c r="E90" i="2"/>
  <c r="F90" i="2"/>
  <c r="G90" i="2"/>
  <c r="H90" i="2"/>
  <c r="I90" i="2"/>
  <c r="J90" i="2"/>
  <c r="K90" i="2"/>
  <c r="L90" i="2"/>
  <c r="M90" i="2"/>
  <c r="N90" i="2"/>
  <c r="O90" i="2"/>
  <c r="P90" i="2"/>
  <c r="Q90" i="2"/>
  <c r="R90" i="2"/>
  <c r="S90" i="2"/>
  <c r="T90" i="2"/>
  <c r="U90" i="2"/>
  <c r="V90" i="2"/>
  <c r="W90" i="2"/>
  <c r="X90" i="2"/>
  <c r="Y90" i="2"/>
  <c r="Z90" i="2"/>
  <c r="AA90" i="2"/>
  <c r="AB90" i="2"/>
  <c r="AC90" i="2"/>
  <c r="E91" i="2"/>
  <c r="F91" i="2"/>
  <c r="G91" i="2"/>
  <c r="H91" i="2"/>
  <c r="I91" i="2"/>
  <c r="J91" i="2"/>
  <c r="K91" i="2"/>
  <c r="L91" i="2"/>
  <c r="M91" i="2"/>
  <c r="N91" i="2"/>
  <c r="O91" i="2"/>
  <c r="P91" i="2"/>
  <c r="Q91" i="2"/>
  <c r="R91" i="2"/>
  <c r="S91" i="2"/>
  <c r="T91" i="2"/>
  <c r="U91" i="2"/>
  <c r="V91" i="2"/>
  <c r="W91" i="2"/>
  <c r="X91" i="2"/>
  <c r="Y91" i="2"/>
  <c r="Z91" i="2"/>
  <c r="AA91" i="2"/>
  <c r="AB91" i="2"/>
  <c r="AC91" i="2"/>
  <c r="D94" i="2" a="1"/>
  <c r="D94" i="2"/>
  <c r="E94" i="2" a="1"/>
  <c r="E94" i="2"/>
  <c r="F94" i="2" a="1"/>
  <c r="F94" i="2"/>
  <c r="G94" i="2" a="1"/>
  <c r="G94" i="2"/>
  <c r="H94" i="2" a="1"/>
  <c r="H94" i="2"/>
  <c r="I94" i="2" a="1"/>
  <c r="I94" i="2"/>
  <c r="J94" i="2" a="1"/>
  <c r="J94" i="2"/>
  <c r="K94" i="2" a="1"/>
  <c r="K94" i="2"/>
  <c r="L94" i="2" a="1"/>
  <c r="L94" i="2"/>
  <c r="M94" i="2" a="1"/>
  <c r="M94" i="2"/>
  <c r="N94" i="2" a="1"/>
  <c r="N94" i="2"/>
  <c r="O94" i="2" a="1"/>
  <c r="O94" i="2"/>
  <c r="P94" i="2" a="1"/>
  <c r="P94" i="2"/>
  <c r="Q94" i="2" a="1"/>
  <c r="Q94" i="2"/>
  <c r="R94" i="2" a="1"/>
  <c r="R94" i="2"/>
  <c r="S94" i="2" a="1"/>
  <c r="S94" i="2"/>
  <c r="T94" i="2" a="1"/>
  <c r="T94" i="2"/>
  <c r="U94" i="2" a="1"/>
  <c r="U94" i="2"/>
  <c r="V94" i="2" a="1"/>
  <c r="V94" i="2"/>
  <c r="W94" i="2" a="1"/>
  <c r="W94" i="2"/>
  <c r="X94" i="2" a="1"/>
  <c r="X94" i="2"/>
  <c r="Y94" i="2" a="1"/>
  <c r="Y94" i="2"/>
  <c r="Z94" i="2" a="1"/>
  <c r="Z94" i="2"/>
  <c r="AA94" i="2" a="1"/>
  <c r="AA94" i="2"/>
  <c r="AB94" i="2" a="1"/>
  <c r="AB94" i="2"/>
  <c r="AC94" i="2" a="1"/>
  <c r="AC94" i="2"/>
  <c r="G95" i="2" a="1"/>
  <c r="G95" i="2"/>
  <c r="H95" i="2" a="1"/>
  <c r="H95" i="2"/>
  <c r="I95" i="2" a="1"/>
  <c r="I95" i="2"/>
  <c r="J95" i="2" a="1"/>
  <c r="J95" i="2"/>
  <c r="K95" i="2" a="1"/>
  <c r="K95" i="2"/>
  <c r="L95" i="2" a="1"/>
  <c r="L95" i="2"/>
  <c r="M95" i="2" a="1"/>
  <c r="M95" i="2"/>
  <c r="N95" i="2" a="1"/>
  <c r="N95" i="2"/>
  <c r="O95" i="2" a="1"/>
  <c r="O95" i="2"/>
  <c r="P95" i="2" a="1"/>
  <c r="P95" i="2"/>
  <c r="Q95" i="2" a="1"/>
  <c r="Q95" i="2"/>
  <c r="R95" i="2" a="1"/>
  <c r="R95" i="2"/>
  <c r="S95" i="2" a="1"/>
  <c r="S95" i="2"/>
  <c r="T95" i="2" a="1"/>
  <c r="T95" i="2"/>
  <c r="U95" i="2" a="1"/>
  <c r="U95" i="2"/>
  <c r="V95" i="2" a="1"/>
  <c r="V95" i="2"/>
  <c r="W95" i="2" a="1"/>
  <c r="W95" i="2"/>
  <c r="X95" i="2" a="1"/>
  <c r="X95" i="2"/>
  <c r="Y95" i="2" a="1"/>
  <c r="Y95" i="2"/>
  <c r="Z95" i="2" a="1"/>
  <c r="Z95" i="2"/>
  <c r="AA95" i="2" a="1"/>
  <c r="AA95" i="2"/>
  <c r="AB95" i="2" a="1"/>
  <c r="AB95" i="2"/>
  <c r="AC95" i="2" a="1"/>
  <c r="AC95" i="2"/>
  <c r="D96" i="2"/>
  <c r="E96" i="2"/>
  <c r="F96" i="2"/>
  <c r="G96" i="2"/>
  <c r="H96" i="2"/>
  <c r="I96" i="2"/>
  <c r="J96" i="2"/>
  <c r="K96" i="2"/>
  <c r="L96" i="2"/>
  <c r="M96" i="2"/>
  <c r="N96" i="2"/>
  <c r="O96" i="2"/>
  <c r="P96" i="2"/>
  <c r="Q96" i="2"/>
  <c r="R96" i="2"/>
  <c r="S96" i="2"/>
  <c r="T96" i="2"/>
  <c r="U96" i="2"/>
  <c r="V96" i="2"/>
  <c r="W96" i="2"/>
  <c r="X96" i="2"/>
  <c r="Y96" i="2"/>
  <c r="Z96" i="2"/>
  <c r="AA96" i="2"/>
  <c r="AB96" i="2"/>
  <c r="AC96" i="2"/>
  <c r="D99" i="2" a="1"/>
  <c r="D99" i="2"/>
  <c r="E99" i="2" a="1"/>
  <c r="E99" i="2"/>
  <c r="F99" i="2" a="1"/>
  <c r="F99" i="2"/>
  <c r="G99" i="2" a="1"/>
  <c r="G99" i="2"/>
  <c r="H99" i="2" a="1"/>
  <c r="H99" i="2"/>
  <c r="I99" i="2" a="1"/>
  <c r="I99" i="2"/>
  <c r="J99" i="2" a="1"/>
  <c r="J99" i="2"/>
  <c r="K99" i="2" a="1"/>
  <c r="K99" i="2"/>
  <c r="L99" i="2" a="1"/>
  <c r="L99" i="2"/>
  <c r="M99" i="2" a="1"/>
  <c r="M99" i="2"/>
  <c r="N99" i="2" a="1"/>
  <c r="N99" i="2"/>
  <c r="O99" i="2" a="1"/>
  <c r="O99" i="2"/>
  <c r="P99" i="2" a="1"/>
  <c r="P99" i="2"/>
  <c r="Q99" i="2" a="1"/>
  <c r="Q99" i="2"/>
  <c r="R99" i="2" a="1"/>
  <c r="R99" i="2"/>
  <c r="S99" i="2" a="1"/>
  <c r="S99" i="2"/>
  <c r="T99" i="2" a="1"/>
  <c r="T99" i="2"/>
  <c r="U99" i="2" a="1"/>
  <c r="U99" i="2"/>
  <c r="V99" i="2" a="1"/>
  <c r="V99" i="2"/>
  <c r="W99" i="2" a="1"/>
  <c r="W99" i="2"/>
  <c r="X99" i="2" a="1"/>
  <c r="X99" i="2"/>
  <c r="Y99" i="2" a="1"/>
  <c r="Y99" i="2"/>
  <c r="Z99" i="2" a="1"/>
  <c r="Z99" i="2"/>
  <c r="AA99" i="2" a="1"/>
  <c r="AA99" i="2"/>
  <c r="AB99" i="2" a="1"/>
  <c r="AB99" i="2"/>
  <c r="AC99" i="2" a="1"/>
  <c r="AC99" i="2"/>
  <c r="F100" i="2" a="1"/>
  <c r="F100" i="2"/>
  <c r="G100" i="2" a="1"/>
  <c r="G100" i="2"/>
  <c r="H100" i="2" a="1"/>
  <c r="H100" i="2"/>
  <c r="I100" i="2" a="1"/>
  <c r="I100" i="2"/>
  <c r="J100" i="2" a="1"/>
  <c r="J100" i="2"/>
  <c r="K100" i="2" a="1"/>
  <c r="K100" i="2"/>
  <c r="L100" i="2" a="1"/>
  <c r="L100" i="2"/>
  <c r="M100" i="2" a="1"/>
  <c r="M100" i="2"/>
  <c r="N100" i="2" a="1"/>
  <c r="N100" i="2"/>
  <c r="O100" i="2" a="1"/>
  <c r="O100" i="2"/>
  <c r="P100" i="2" a="1"/>
  <c r="P100" i="2"/>
  <c r="Q100" i="2" a="1"/>
  <c r="Q100" i="2"/>
  <c r="R100" i="2" a="1"/>
  <c r="R100" i="2"/>
  <c r="S100" i="2" a="1"/>
  <c r="S100" i="2"/>
  <c r="T100" i="2" a="1"/>
  <c r="T100" i="2"/>
  <c r="U100" i="2" a="1"/>
  <c r="U100" i="2"/>
  <c r="V100" i="2" a="1"/>
  <c r="V100" i="2"/>
  <c r="W100" i="2" a="1"/>
  <c r="W100" i="2"/>
  <c r="X100" i="2" a="1"/>
  <c r="X100" i="2"/>
  <c r="Y100" i="2" a="1"/>
  <c r="Y100" i="2"/>
  <c r="Z100" i="2" a="1"/>
  <c r="Z100" i="2"/>
  <c r="AA100" i="2" a="1"/>
  <c r="AA100" i="2"/>
  <c r="AB100" i="2" a="1"/>
  <c r="AB100" i="2"/>
  <c r="AC100" i="2" a="1"/>
  <c r="AC100" i="2"/>
  <c r="D101" i="2"/>
  <c r="E101" i="2"/>
  <c r="F101" i="2"/>
  <c r="G101" i="2"/>
  <c r="H101" i="2"/>
  <c r="I101" i="2"/>
  <c r="J101" i="2"/>
  <c r="K101" i="2"/>
  <c r="L101" i="2"/>
  <c r="M101" i="2"/>
  <c r="N101" i="2"/>
  <c r="O101" i="2"/>
  <c r="P101" i="2"/>
  <c r="Q101" i="2"/>
  <c r="R101" i="2"/>
  <c r="S101" i="2"/>
  <c r="T101" i="2"/>
  <c r="U101" i="2"/>
  <c r="V101" i="2"/>
  <c r="W101" i="2"/>
  <c r="X101" i="2"/>
  <c r="Y101" i="2"/>
  <c r="Z101" i="2"/>
  <c r="AA101" i="2"/>
  <c r="AB101" i="2"/>
  <c r="AC101" i="2"/>
  <c r="D102" i="2"/>
  <c r="E102" i="2"/>
  <c r="F102" i="2"/>
  <c r="G102" i="2"/>
  <c r="H102" i="2"/>
  <c r="I102" i="2"/>
  <c r="J102" i="2"/>
  <c r="K102" i="2"/>
  <c r="L102" i="2"/>
  <c r="M102" i="2"/>
  <c r="N102" i="2"/>
  <c r="O102" i="2"/>
  <c r="P102" i="2"/>
  <c r="Q102" i="2"/>
  <c r="R102" i="2"/>
  <c r="S102" i="2"/>
  <c r="T102" i="2"/>
  <c r="U102" i="2"/>
  <c r="V102" i="2"/>
  <c r="W102" i="2"/>
  <c r="X102" i="2"/>
  <c r="Y102" i="2"/>
  <c r="Z102" i="2"/>
  <c r="AA102" i="2"/>
  <c r="AB102" i="2"/>
  <c r="AC102" i="2"/>
  <c r="D104" i="2" a="1"/>
  <c r="D104" i="2"/>
  <c r="E104" i="2" a="1"/>
  <c r="E104" i="2"/>
  <c r="F104" i="2" a="1"/>
  <c r="F104" i="2"/>
  <c r="G104" i="2" a="1"/>
  <c r="G104" i="2"/>
  <c r="H104" i="2" a="1"/>
  <c r="H104" i="2"/>
  <c r="I104" i="2" a="1"/>
  <c r="I104" i="2"/>
  <c r="J104" i="2" a="1"/>
  <c r="J104" i="2"/>
  <c r="K104" i="2" a="1"/>
  <c r="K104" i="2"/>
  <c r="L104" i="2" a="1"/>
  <c r="L104" i="2"/>
  <c r="M104" i="2" a="1"/>
  <c r="M104" i="2"/>
  <c r="N104" i="2" a="1"/>
  <c r="N104" i="2"/>
  <c r="O104" i="2" a="1"/>
  <c r="O104" i="2"/>
  <c r="P104" i="2" a="1"/>
  <c r="P104" i="2"/>
  <c r="Q104" i="2" a="1"/>
  <c r="Q104" i="2"/>
  <c r="R104" i="2" a="1"/>
  <c r="R104" i="2"/>
  <c r="S104" i="2" a="1"/>
  <c r="S104" i="2"/>
  <c r="T104" i="2" a="1"/>
  <c r="T104" i="2"/>
  <c r="U104" i="2" a="1"/>
  <c r="U104" i="2"/>
  <c r="V104" i="2" a="1"/>
  <c r="V104" i="2"/>
  <c r="W104" i="2" a="1"/>
  <c r="W104" i="2"/>
  <c r="X104" i="2" a="1"/>
  <c r="X104" i="2"/>
  <c r="Y104" i="2" a="1"/>
  <c r="Y104" i="2"/>
  <c r="Z104" i="2" a="1"/>
  <c r="Z104" i="2"/>
  <c r="AA104" i="2" a="1"/>
  <c r="AA104" i="2"/>
  <c r="AB104" i="2" a="1"/>
  <c r="AB104" i="2"/>
  <c r="AC104" i="2" a="1"/>
  <c r="AC104" i="2"/>
  <c r="F105" i="2" a="1"/>
  <c r="F105" i="2"/>
  <c r="G105" i="2" a="1"/>
  <c r="G105" i="2"/>
  <c r="H105" i="2" a="1"/>
  <c r="H105" i="2"/>
  <c r="I105" i="2" a="1"/>
  <c r="I105" i="2"/>
  <c r="J105" i="2" a="1"/>
  <c r="J105" i="2"/>
  <c r="K105" i="2" a="1"/>
  <c r="K105" i="2"/>
  <c r="L105" i="2" a="1"/>
  <c r="L105" i="2"/>
  <c r="M105" i="2" a="1"/>
  <c r="M105" i="2"/>
  <c r="N105" i="2" a="1"/>
  <c r="N105" i="2"/>
  <c r="O105" i="2" a="1"/>
  <c r="O105" i="2"/>
  <c r="P105" i="2" a="1"/>
  <c r="P105" i="2"/>
  <c r="Q105" i="2" a="1"/>
  <c r="Q105" i="2"/>
  <c r="R105" i="2" a="1"/>
  <c r="R105" i="2"/>
  <c r="S105" i="2" a="1"/>
  <c r="S105" i="2"/>
  <c r="T105" i="2" a="1"/>
  <c r="T105" i="2"/>
  <c r="U105" i="2" a="1"/>
  <c r="U105" i="2"/>
  <c r="V105" i="2" a="1"/>
  <c r="V105" i="2"/>
  <c r="W105" i="2" a="1"/>
  <c r="W105" i="2"/>
  <c r="X105" i="2" a="1"/>
  <c r="X105" i="2"/>
  <c r="Y105" i="2" a="1"/>
  <c r="Y105" i="2"/>
  <c r="Z105" i="2" a="1"/>
  <c r="Z105" i="2"/>
  <c r="AA105" i="2" a="1"/>
  <c r="AA105" i="2"/>
  <c r="AB105" i="2" a="1"/>
  <c r="AB105" i="2"/>
  <c r="AC105" i="2" a="1"/>
  <c r="AC105" i="2"/>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D109" i="2" a="1"/>
  <c r="D109" i="2"/>
  <c r="E109" i="2" a="1"/>
  <c r="E109" i="2"/>
  <c r="F109" i="2" a="1"/>
  <c r="F109" i="2"/>
  <c r="G109" i="2" a="1"/>
  <c r="G109" i="2"/>
  <c r="H109" i="2" a="1"/>
  <c r="H109" i="2"/>
  <c r="I109" i="2" a="1"/>
  <c r="I109" i="2"/>
  <c r="J109" i="2" a="1"/>
  <c r="J109" i="2"/>
  <c r="K109" i="2" a="1"/>
  <c r="K109" i="2"/>
  <c r="L109" i="2" a="1"/>
  <c r="L109" i="2"/>
  <c r="M109" i="2" a="1"/>
  <c r="M109" i="2"/>
  <c r="N109" i="2" a="1"/>
  <c r="N109" i="2"/>
  <c r="O109" i="2" a="1"/>
  <c r="O109" i="2"/>
  <c r="P109" i="2" a="1"/>
  <c r="P109" i="2"/>
  <c r="Q109" i="2" a="1"/>
  <c r="Q109" i="2"/>
  <c r="R109" i="2" a="1"/>
  <c r="R109" i="2"/>
  <c r="S109" i="2" a="1"/>
  <c r="S109" i="2"/>
  <c r="T109" i="2" a="1"/>
  <c r="T109" i="2"/>
  <c r="U109" i="2" a="1"/>
  <c r="U109" i="2"/>
  <c r="V109" i="2" a="1"/>
  <c r="V109" i="2"/>
  <c r="W109" i="2" a="1"/>
  <c r="W109" i="2"/>
  <c r="X109" i="2" a="1"/>
  <c r="X109" i="2"/>
  <c r="Y109" i="2" a="1"/>
  <c r="Y109" i="2"/>
  <c r="Z109" i="2" a="1"/>
  <c r="Z109" i="2"/>
  <c r="AA109" i="2" a="1"/>
  <c r="AA109" i="2"/>
  <c r="AB109" i="2" a="1"/>
  <c r="AB109" i="2"/>
  <c r="AC109" i="2" a="1"/>
  <c r="AC109" i="2"/>
  <c r="F110" i="2" a="1"/>
  <c r="F110" i="2"/>
  <c r="G110" i="2" a="1"/>
  <c r="G110" i="2"/>
  <c r="H110" i="2" a="1"/>
  <c r="H110" i="2"/>
  <c r="I110" i="2" a="1"/>
  <c r="I110" i="2"/>
  <c r="J110" i="2" a="1"/>
  <c r="J110" i="2"/>
  <c r="K110" i="2" a="1"/>
  <c r="K110" i="2"/>
  <c r="L110" i="2" a="1"/>
  <c r="L110" i="2"/>
  <c r="M110" i="2" a="1"/>
  <c r="M110" i="2"/>
  <c r="N110" i="2" a="1"/>
  <c r="N110" i="2"/>
  <c r="O110" i="2" a="1"/>
  <c r="O110" i="2"/>
  <c r="P110" i="2" a="1"/>
  <c r="P110" i="2"/>
  <c r="Q110" i="2" a="1"/>
  <c r="Q110" i="2"/>
  <c r="R110" i="2" a="1"/>
  <c r="R110" i="2"/>
  <c r="S110" i="2" a="1"/>
  <c r="S110" i="2"/>
  <c r="T110" i="2" a="1"/>
  <c r="T110" i="2"/>
  <c r="U110" i="2" a="1"/>
  <c r="U110" i="2"/>
  <c r="V110" i="2" a="1"/>
  <c r="V110" i="2"/>
  <c r="W110" i="2" a="1"/>
  <c r="W110" i="2"/>
  <c r="X110" i="2" a="1"/>
  <c r="X110" i="2"/>
  <c r="Y110" i="2" a="1"/>
  <c r="Y110" i="2"/>
  <c r="Z110" i="2" a="1"/>
  <c r="Z110" i="2"/>
  <c r="AA110" i="2" a="1"/>
  <c r="AA110" i="2"/>
  <c r="AB110" i="2" a="1"/>
  <c r="AB110" i="2"/>
  <c r="AC110" i="2" a="1"/>
  <c r="AC110" i="2"/>
  <c r="D111" i="2"/>
  <c r="E111" i="2"/>
  <c r="F111" i="2"/>
  <c r="G111" i="2"/>
  <c r="H111" i="2"/>
  <c r="I111" i="2"/>
  <c r="J111" i="2"/>
  <c r="K111" i="2"/>
  <c r="L111" i="2"/>
  <c r="M111" i="2"/>
  <c r="N111" i="2"/>
  <c r="O111" i="2"/>
  <c r="P111" i="2"/>
  <c r="Q111" i="2"/>
  <c r="R111" i="2"/>
  <c r="S111" i="2"/>
  <c r="T111" i="2"/>
  <c r="U111" i="2"/>
  <c r="V111" i="2"/>
  <c r="W111" i="2"/>
  <c r="X111" i="2"/>
  <c r="Y111" i="2"/>
  <c r="Z111" i="2"/>
  <c r="AA111" i="2"/>
  <c r="AB111" i="2"/>
  <c r="AC111" i="2"/>
  <c r="D112" i="2"/>
  <c r="E112" i="2"/>
  <c r="F112" i="2"/>
  <c r="G112" i="2"/>
  <c r="H112" i="2"/>
  <c r="I112" i="2"/>
  <c r="J112" i="2"/>
  <c r="K112" i="2"/>
  <c r="L112" i="2"/>
  <c r="M112" i="2"/>
  <c r="N112" i="2"/>
  <c r="O112" i="2"/>
  <c r="P112" i="2"/>
  <c r="Q112" i="2"/>
  <c r="R112" i="2"/>
  <c r="S112" i="2"/>
  <c r="T112" i="2"/>
  <c r="U112" i="2"/>
  <c r="V112" i="2"/>
  <c r="W112" i="2"/>
  <c r="X112" i="2"/>
  <c r="Y112" i="2"/>
  <c r="Z112" i="2"/>
  <c r="AA112" i="2"/>
  <c r="AB112" i="2"/>
  <c r="AC112" i="2"/>
  <c r="D114" i="2" a="1"/>
  <c r="D114" i="2"/>
  <c r="E114" i="2" a="1"/>
  <c r="E114" i="2"/>
  <c r="F114" i="2" a="1"/>
  <c r="F114" i="2"/>
  <c r="G114" i="2" a="1"/>
  <c r="G114" i="2"/>
  <c r="H114" i="2" a="1"/>
  <c r="H114" i="2"/>
  <c r="I114" i="2" a="1"/>
  <c r="I114" i="2"/>
  <c r="J114" i="2" a="1"/>
  <c r="J114" i="2"/>
  <c r="K114" i="2" a="1"/>
  <c r="K114" i="2"/>
  <c r="L114" i="2" a="1"/>
  <c r="L114" i="2"/>
  <c r="M114" i="2" a="1"/>
  <c r="M114" i="2"/>
  <c r="N114" i="2" a="1"/>
  <c r="N114" i="2"/>
  <c r="O114" i="2" a="1"/>
  <c r="O114" i="2"/>
  <c r="P114" i="2" a="1"/>
  <c r="P114" i="2"/>
  <c r="Q114" i="2" a="1"/>
  <c r="Q114" i="2"/>
  <c r="R114" i="2" a="1"/>
  <c r="R114" i="2"/>
  <c r="S114" i="2" a="1"/>
  <c r="S114" i="2"/>
  <c r="T114" i="2" a="1"/>
  <c r="T114" i="2"/>
  <c r="U114" i="2" a="1"/>
  <c r="U114" i="2"/>
  <c r="V114" i="2" a="1"/>
  <c r="V114" i="2"/>
  <c r="W114" i="2" a="1"/>
  <c r="W114" i="2"/>
  <c r="X114" i="2" a="1"/>
  <c r="X114" i="2"/>
  <c r="Y114" i="2" a="1"/>
  <c r="Y114" i="2"/>
  <c r="Z114" i="2" a="1"/>
  <c r="Z114" i="2"/>
  <c r="AA114" i="2" a="1"/>
  <c r="AA114" i="2"/>
  <c r="AB114" i="2" a="1"/>
  <c r="AB114" i="2"/>
  <c r="AC114" i="2" a="1"/>
  <c r="AC114" i="2"/>
  <c r="D115" i="2" a="1"/>
  <c r="D115" i="2"/>
  <c r="E115" i="2" a="1"/>
  <c r="E115" i="2"/>
  <c r="F115" i="2" a="1"/>
  <c r="F115" i="2"/>
  <c r="G115" i="2" a="1"/>
  <c r="G115" i="2"/>
  <c r="H115" i="2" a="1"/>
  <c r="H115" i="2"/>
  <c r="I115" i="2" a="1"/>
  <c r="I115" i="2"/>
  <c r="J115" i="2" a="1"/>
  <c r="J115" i="2"/>
  <c r="K115" i="2" a="1"/>
  <c r="K115" i="2"/>
  <c r="L115" i="2" a="1"/>
  <c r="L115" i="2"/>
  <c r="M115" i="2" a="1"/>
  <c r="M115" i="2"/>
  <c r="N115" i="2" a="1"/>
  <c r="N115" i="2"/>
  <c r="O115" i="2" a="1"/>
  <c r="O115" i="2"/>
  <c r="P115" i="2" a="1"/>
  <c r="P115" i="2"/>
  <c r="Q115" i="2" a="1"/>
  <c r="Q115" i="2"/>
  <c r="R115" i="2" a="1"/>
  <c r="R115" i="2"/>
  <c r="S115" i="2" a="1"/>
  <c r="S115" i="2"/>
  <c r="T115" i="2" a="1"/>
  <c r="T115" i="2"/>
  <c r="U115" i="2" a="1"/>
  <c r="U115" i="2"/>
  <c r="V115" i="2" a="1"/>
  <c r="V115" i="2"/>
  <c r="W115" i="2" a="1"/>
  <c r="W115" i="2"/>
  <c r="X115" i="2" a="1"/>
  <c r="X115" i="2"/>
  <c r="Y115" i="2" a="1"/>
  <c r="Y115" i="2"/>
  <c r="Z115" i="2" a="1"/>
  <c r="Z115" i="2"/>
  <c r="AA115" i="2" a="1"/>
  <c r="AA115" i="2"/>
  <c r="AB115" i="2" a="1"/>
  <c r="AB115" i="2"/>
  <c r="AC115" i="2" a="1"/>
  <c r="AC115" i="2"/>
  <c r="D116" i="2"/>
  <c r="E116" i="2"/>
  <c r="F116" i="2"/>
  <c r="G116" i="2"/>
  <c r="H116" i="2"/>
  <c r="I116" i="2"/>
  <c r="J116" i="2"/>
  <c r="K116" i="2"/>
  <c r="L116" i="2"/>
  <c r="M116" i="2"/>
  <c r="N116" i="2"/>
  <c r="O116" i="2"/>
  <c r="P116" i="2"/>
  <c r="Q116" i="2"/>
  <c r="R116" i="2"/>
  <c r="S116" i="2"/>
  <c r="T116" i="2"/>
  <c r="U116" i="2"/>
  <c r="V116" i="2"/>
  <c r="W116" i="2"/>
  <c r="X116" i="2"/>
  <c r="Y116" i="2"/>
  <c r="Z116" i="2"/>
  <c r="AA116" i="2"/>
  <c r="AB116" i="2"/>
  <c r="AC116" i="2"/>
  <c r="D117" i="2"/>
  <c r="E117" i="2"/>
  <c r="F117" i="2"/>
  <c r="G117" i="2"/>
  <c r="H117" i="2"/>
  <c r="I117" i="2"/>
  <c r="J117" i="2"/>
  <c r="K117" i="2"/>
  <c r="L117" i="2"/>
  <c r="M117" i="2"/>
  <c r="N117" i="2"/>
  <c r="O117" i="2"/>
  <c r="P117" i="2"/>
  <c r="Q117" i="2"/>
  <c r="R117" i="2"/>
  <c r="S117" i="2"/>
  <c r="T117" i="2"/>
  <c r="U117" i="2"/>
  <c r="V117" i="2"/>
  <c r="W117" i="2"/>
  <c r="X117" i="2"/>
  <c r="Y117" i="2"/>
  <c r="Z117" i="2"/>
  <c r="AA117" i="2"/>
  <c r="AB117" i="2"/>
  <c r="AC117" i="2"/>
  <c r="D122" i="2"/>
  <c r="E122" i="2"/>
  <c r="F122" i="2"/>
  <c r="G122" i="2"/>
  <c r="H122" i="2"/>
  <c r="I122" i="2"/>
  <c r="J122" i="2"/>
  <c r="K122" i="2"/>
  <c r="L122" i="2"/>
  <c r="M122" i="2"/>
  <c r="N122" i="2"/>
  <c r="O122" i="2"/>
  <c r="P122" i="2"/>
  <c r="Q122" i="2"/>
  <c r="R122" i="2"/>
  <c r="S122" i="2"/>
  <c r="T122" i="2"/>
  <c r="U122" i="2"/>
  <c r="V122" i="2"/>
  <c r="W122" i="2"/>
  <c r="X122" i="2"/>
  <c r="Y122" i="2"/>
  <c r="Z122" i="2"/>
  <c r="AA122" i="2"/>
  <c r="AB122" i="2"/>
  <c r="AC122" i="2"/>
  <c r="D134" i="2"/>
  <c r="E134" i="2"/>
  <c r="F134" i="2"/>
  <c r="G134" i="2"/>
  <c r="H134" i="2"/>
  <c r="I134" i="2"/>
  <c r="J134" i="2"/>
  <c r="K134" i="2"/>
  <c r="L134" i="2"/>
  <c r="M134" i="2"/>
  <c r="N134" i="2"/>
  <c r="O134" i="2"/>
  <c r="P134" i="2"/>
  <c r="Q134" i="2"/>
  <c r="R134" i="2"/>
  <c r="S134" i="2"/>
  <c r="T134" i="2"/>
  <c r="U134" i="2"/>
  <c r="V134" i="2"/>
  <c r="W134" i="2"/>
  <c r="X134" i="2"/>
  <c r="Y134" i="2"/>
  <c r="Z134" i="2"/>
  <c r="AA134" i="2"/>
  <c r="AB134" i="2"/>
  <c r="AC134" i="2"/>
  <c r="D137" i="2"/>
  <c r="E137" i="2"/>
  <c r="F137" i="2"/>
  <c r="G137" i="2"/>
  <c r="H137" i="2"/>
  <c r="I137" i="2"/>
  <c r="J137" i="2"/>
  <c r="K137" i="2"/>
  <c r="L137" i="2"/>
  <c r="M137" i="2"/>
  <c r="N137" i="2"/>
  <c r="O137" i="2"/>
  <c r="P137" i="2"/>
  <c r="Q137" i="2"/>
  <c r="R137" i="2"/>
  <c r="S137" i="2"/>
  <c r="T137" i="2"/>
  <c r="U137" i="2"/>
  <c r="V137" i="2"/>
  <c r="W137" i="2"/>
  <c r="X137" i="2"/>
  <c r="Y137" i="2"/>
  <c r="Z137" i="2"/>
  <c r="AA137" i="2"/>
  <c r="AB137" i="2"/>
  <c r="AC137" i="2"/>
  <c r="D138" i="2"/>
  <c r="E138" i="2"/>
  <c r="F138" i="2"/>
  <c r="G138" i="2"/>
  <c r="H138" i="2"/>
  <c r="I138" i="2"/>
  <c r="J138" i="2"/>
  <c r="K138" i="2"/>
  <c r="L138" i="2"/>
  <c r="M138" i="2"/>
  <c r="N138" i="2"/>
  <c r="O138" i="2"/>
  <c r="P138" i="2"/>
  <c r="Q138" i="2"/>
  <c r="R138" i="2"/>
  <c r="S138" i="2"/>
  <c r="T138" i="2"/>
  <c r="U138" i="2"/>
  <c r="V138" i="2"/>
  <c r="W138" i="2"/>
  <c r="X138" i="2"/>
  <c r="Y138" i="2"/>
  <c r="Z138" i="2"/>
  <c r="AA138" i="2"/>
  <c r="AB138" i="2"/>
  <c r="AC138" i="2"/>
  <c r="D139" i="2"/>
  <c r="E139" i="2"/>
  <c r="F139" i="2"/>
  <c r="G139" i="2"/>
  <c r="H139" i="2"/>
  <c r="I139" i="2"/>
  <c r="J139" i="2"/>
  <c r="K139" i="2"/>
  <c r="L139" i="2"/>
  <c r="M139" i="2"/>
  <c r="N139" i="2"/>
  <c r="O139" i="2"/>
  <c r="P139" i="2"/>
  <c r="Q139" i="2"/>
  <c r="R139" i="2"/>
  <c r="S139" i="2"/>
  <c r="T139" i="2"/>
  <c r="U139" i="2"/>
  <c r="V139" i="2"/>
  <c r="W139" i="2"/>
  <c r="X139" i="2"/>
  <c r="Y139" i="2"/>
  <c r="Z139" i="2"/>
  <c r="AA139" i="2"/>
  <c r="AB139" i="2"/>
  <c r="AC139" i="2"/>
  <c r="D140" i="2"/>
  <c r="E140" i="2"/>
  <c r="F140" i="2"/>
  <c r="G140" i="2"/>
  <c r="H140" i="2"/>
  <c r="I140" i="2"/>
  <c r="J140" i="2"/>
  <c r="K140" i="2"/>
  <c r="L140" i="2"/>
  <c r="M140" i="2"/>
  <c r="N140" i="2"/>
  <c r="O140" i="2"/>
  <c r="P140" i="2"/>
  <c r="Q140" i="2"/>
  <c r="R140" i="2"/>
  <c r="S140" i="2"/>
  <c r="T140" i="2"/>
  <c r="U140" i="2"/>
  <c r="V140" i="2"/>
  <c r="W140" i="2"/>
  <c r="X140" i="2"/>
  <c r="Y140" i="2"/>
  <c r="Z140" i="2"/>
  <c r="AA140" i="2"/>
  <c r="AB140" i="2"/>
  <c r="AC140" i="2"/>
  <c r="D141" i="2"/>
  <c r="E141" i="2"/>
  <c r="F141" i="2"/>
  <c r="G141" i="2"/>
  <c r="H141" i="2"/>
  <c r="I141" i="2"/>
  <c r="J141" i="2"/>
  <c r="K141" i="2"/>
  <c r="L141" i="2"/>
  <c r="M141" i="2"/>
  <c r="N141" i="2"/>
  <c r="O141" i="2"/>
  <c r="P141" i="2"/>
  <c r="Q141" i="2"/>
  <c r="R141" i="2"/>
  <c r="S141" i="2"/>
  <c r="T141" i="2"/>
  <c r="U141" i="2"/>
  <c r="V141" i="2"/>
  <c r="W141" i="2"/>
  <c r="X141" i="2"/>
  <c r="Y141" i="2"/>
  <c r="Z141" i="2"/>
  <c r="AA141" i="2"/>
  <c r="AB141" i="2"/>
  <c r="AC141" i="2"/>
  <c r="G143" i="2"/>
  <c r="H143" i="2"/>
  <c r="I143" i="2"/>
  <c r="J143" i="2"/>
  <c r="K143" i="2"/>
  <c r="L143" i="2"/>
  <c r="M143" i="2"/>
  <c r="N143" i="2"/>
  <c r="O143" i="2"/>
  <c r="P143" i="2"/>
  <c r="Q143" i="2"/>
  <c r="R143" i="2"/>
  <c r="S143" i="2"/>
  <c r="T143" i="2"/>
  <c r="U143" i="2"/>
  <c r="V143" i="2"/>
  <c r="W143" i="2"/>
  <c r="X143" i="2"/>
  <c r="Y143" i="2"/>
  <c r="Z143" i="2"/>
  <c r="AA143" i="2"/>
  <c r="AB143" i="2"/>
  <c r="AC143" i="2"/>
  <c r="D147" i="2" a="1"/>
  <c r="D147" i="2"/>
  <c r="E147" i="2" a="1"/>
  <c r="E147" i="2"/>
  <c r="F147" i="2" a="1"/>
  <c r="F147" i="2"/>
  <c r="G147" i="2" a="1"/>
  <c r="G147" i="2"/>
  <c r="H147" i="2" a="1"/>
  <c r="H147" i="2"/>
  <c r="I147" i="2" a="1"/>
  <c r="I147" i="2"/>
  <c r="J147" i="2" a="1"/>
  <c r="J147" i="2"/>
  <c r="K147" i="2" a="1"/>
  <c r="K147" i="2"/>
  <c r="L147" i="2" a="1"/>
  <c r="L147" i="2"/>
  <c r="M147" i="2" a="1"/>
  <c r="M147" i="2"/>
  <c r="N147" i="2" a="1"/>
  <c r="N147" i="2"/>
  <c r="O147" i="2" a="1"/>
  <c r="O147" i="2"/>
  <c r="P147" i="2" a="1"/>
  <c r="P147" i="2"/>
  <c r="Q147" i="2" a="1"/>
  <c r="Q147" i="2"/>
  <c r="R147" i="2" a="1"/>
  <c r="R147" i="2"/>
  <c r="S147" i="2" a="1"/>
  <c r="S147" i="2"/>
  <c r="T147" i="2" a="1"/>
  <c r="T147" i="2"/>
  <c r="U147" i="2" a="1"/>
  <c r="U147" i="2"/>
  <c r="V147" i="2" a="1"/>
  <c r="V147" i="2"/>
  <c r="W147" i="2" a="1"/>
  <c r="W147" i="2"/>
  <c r="X147" i="2" a="1"/>
  <c r="X147" i="2"/>
  <c r="Y147" i="2" a="1"/>
  <c r="Y147" i="2"/>
  <c r="Z147" i="2" a="1"/>
  <c r="Z147" i="2"/>
  <c r="AA147" i="2" a="1"/>
  <c r="AA147" i="2"/>
  <c r="D148" i="2" a="1"/>
  <c r="D148" i="2"/>
  <c r="E148" i="2" a="1"/>
  <c r="E148" i="2"/>
  <c r="F148" i="2" a="1"/>
  <c r="F148" i="2"/>
  <c r="G148" i="2" a="1"/>
  <c r="G148" i="2"/>
  <c r="H148" i="2" a="1"/>
  <c r="H148" i="2"/>
  <c r="I148" i="2" a="1"/>
  <c r="I148" i="2"/>
  <c r="J148" i="2" a="1"/>
  <c r="J148" i="2"/>
  <c r="K148" i="2" a="1"/>
  <c r="K148" i="2"/>
  <c r="L148" i="2" a="1"/>
  <c r="L148" i="2"/>
  <c r="M148" i="2" a="1"/>
  <c r="M148" i="2"/>
  <c r="N148" i="2" a="1"/>
  <c r="N148" i="2"/>
  <c r="O148" i="2" a="1"/>
  <c r="O148" i="2"/>
  <c r="P148" i="2" a="1"/>
  <c r="P148" i="2"/>
  <c r="Q148" i="2" a="1"/>
  <c r="Q148" i="2"/>
  <c r="R148" i="2" a="1"/>
  <c r="R148" i="2"/>
  <c r="S148" i="2" a="1"/>
  <c r="S148" i="2"/>
  <c r="T148" i="2" a="1"/>
  <c r="T148" i="2"/>
  <c r="U148" i="2" a="1"/>
  <c r="U148" i="2"/>
  <c r="V148" i="2" a="1"/>
  <c r="V148" i="2"/>
  <c r="W148" i="2" a="1"/>
  <c r="W148" i="2"/>
  <c r="X148" i="2" a="1"/>
  <c r="X148" i="2"/>
  <c r="Y148" i="2" a="1"/>
  <c r="Y148" i="2"/>
  <c r="Z148" i="2" a="1"/>
  <c r="Z148" i="2"/>
  <c r="AA148" i="2" a="1"/>
  <c r="AA148" i="2"/>
  <c r="D149" i="2" a="1"/>
  <c r="D149" i="2"/>
  <c r="E149" i="2" a="1"/>
  <c r="E149" i="2"/>
  <c r="F149" i="2" a="1"/>
  <c r="F149" i="2"/>
  <c r="G149" i="2" a="1"/>
  <c r="G149" i="2"/>
  <c r="H149" i="2" a="1"/>
  <c r="H149" i="2"/>
  <c r="I149" i="2" a="1"/>
  <c r="I149" i="2"/>
  <c r="J149" i="2" a="1"/>
  <c r="J149" i="2"/>
  <c r="K149" i="2" a="1"/>
  <c r="K149" i="2"/>
  <c r="L149" i="2" a="1"/>
  <c r="L149" i="2"/>
  <c r="M149" i="2" a="1"/>
  <c r="M149" i="2"/>
  <c r="N149" i="2" a="1"/>
  <c r="N149" i="2"/>
  <c r="O149" i="2" a="1"/>
  <c r="O149" i="2"/>
  <c r="P149" i="2" a="1"/>
  <c r="P149" i="2"/>
  <c r="Q149" i="2" a="1"/>
  <c r="Q149" i="2"/>
  <c r="R149" i="2" a="1"/>
  <c r="R149" i="2"/>
  <c r="S149" i="2" a="1"/>
  <c r="S149" i="2"/>
  <c r="T149" i="2" a="1"/>
  <c r="T149" i="2"/>
  <c r="U149" i="2" a="1"/>
  <c r="U149" i="2"/>
  <c r="V149" i="2" a="1"/>
  <c r="V149" i="2"/>
  <c r="W149" i="2" a="1"/>
  <c r="W149" i="2"/>
  <c r="X149" i="2" a="1"/>
  <c r="X149" i="2"/>
  <c r="Y149" i="2" a="1"/>
  <c r="Y149" i="2"/>
  <c r="Z149" i="2" a="1"/>
  <c r="Z149" i="2"/>
  <c r="AA149" i="2" a="1"/>
  <c r="AA149" i="2"/>
  <c r="E150" i="2" a="1"/>
  <c r="E150" i="2"/>
  <c r="F150" i="2" a="1"/>
  <c r="F150" i="2"/>
  <c r="G150" i="2" a="1"/>
  <c r="G150" i="2"/>
  <c r="H150" i="2" a="1"/>
  <c r="H150" i="2"/>
  <c r="I150" i="2" a="1"/>
  <c r="I150" i="2"/>
  <c r="J150" i="2" a="1"/>
  <c r="J150" i="2"/>
  <c r="K150" i="2" a="1"/>
  <c r="K150" i="2"/>
  <c r="L150" i="2" a="1"/>
  <c r="L150" i="2"/>
  <c r="M150" i="2" a="1"/>
  <c r="M150" i="2"/>
  <c r="N150" i="2" a="1"/>
  <c r="N150" i="2"/>
  <c r="O150" i="2" a="1"/>
  <c r="O150" i="2"/>
  <c r="P150" i="2" a="1"/>
  <c r="P150" i="2"/>
  <c r="Q150" i="2" a="1"/>
  <c r="Q150" i="2"/>
  <c r="R150" i="2" a="1"/>
  <c r="R150" i="2"/>
  <c r="S150" i="2" a="1"/>
  <c r="S150" i="2"/>
  <c r="T150" i="2" a="1"/>
  <c r="T150" i="2"/>
  <c r="U150" i="2" a="1"/>
  <c r="U150" i="2"/>
  <c r="V150" i="2" a="1"/>
  <c r="V150" i="2"/>
  <c r="W150" i="2" a="1"/>
  <c r="W150" i="2"/>
  <c r="X150" i="2" a="1"/>
  <c r="X150" i="2"/>
  <c r="Y150" i="2" a="1"/>
  <c r="Y150" i="2"/>
  <c r="Z150" i="2" a="1"/>
  <c r="Z150" i="2"/>
  <c r="AA150" i="2" a="1"/>
  <c r="AA150" i="2"/>
  <c r="D151" i="2"/>
  <c r="E151" i="2"/>
  <c r="F151" i="2"/>
  <c r="G151" i="2"/>
  <c r="H151" i="2"/>
  <c r="I151" i="2"/>
  <c r="J151" i="2"/>
  <c r="K151" i="2"/>
  <c r="L151" i="2"/>
  <c r="M151" i="2"/>
  <c r="N151" i="2"/>
  <c r="O151" i="2"/>
  <c r="P151" i="2"/>
  <c r="Q151" i="2"/>
  <c r="R151" i="2"/>
  <c r="S151" i="2"/>
  <c r="T151" i="2"/>
  <c r="U151" i="2"/>
  <c r="V151" i="2"/>
  <c r="W151" i="2"/>
  <c r="X151" i="2"/>
  <c r="Y151" i="2"/>
  <c r="Z151" i="2"/>
  <c r="AA151" i="2"/>
  <c r="D152" i="2" a="1"/>
  <c r="D152" i="2"/>
  <c r="E152" i="2" a="1"/>
  <c r="E152" i="2"/>
  <c r="F152" i="2" a="1"/>
  <c r="F152" i="2"/>
  <c r="G152" i="2" a="1"/>
  <c r="G152" i="2"/>
  <c r="H152" i="2" a="1"/>
  <c r="H152" i="2"/>
  <c r="I152" i="2" a="1"/>
  <c r="I152" i="2"/>
  <c r="J152" i="2" a="1"/>
  <c r="J152" i="2"/>
  <c r="K152" i="2" a="1"/>
  <c r="K152" i="2"/>
  <c r="L152" i="2" a="1"/>
  <c r="L152" i="2"/>
  <c r="M152" i="2" a="1"/>
  <c r="M152" i="2"/>
  <c r="N152" i="2" a="1"/>
  <c r="N152" i="2"/>
  <c r="O152" i="2" a="1"/>
  <c r="O152" i="2"/>
  <c r="P152" i="2" a="1"/>
  <c r="P152" i="2"/>
  <c r="Q152" i="2" a="1"/>
  <c r="Q152" i="2"/>
  <c r="R152" i="2" a="1"/>
  <c r="R152" i="2"/>
  <c r="S152" i="2" a="1"/>
  <c r="S152" i="2"/>
  <c r="T152" i="2" a="1"/>
  <c r="T152" i="2"/>
  <c r="U152" i="2" a="1"/>
  <c r="U152" i="2"/>
  <c r="V152" i="2" a="1"/>
  <c r="V152" i="2"/>
  <c r="W152" i="2" a="1"/>
  <c r="W152" i="2"/>
  <c r="X152" i="2" a="1"/>
  <c r="X152" i="2"/>
  <c r="Y152" i="2" a="1"/>
  <c r="Y152" i="2"/>
  <c r="Z152" i="2" a="1"/>
  <c r="Z152" i="2"/>
  <c r="AA152" i="2" a="1"/>
  <c r="AA152" i="2"/>
  <c r="D153" i="2"/>
  <c r="E153" i="2"/>
  <c r="F153" i="2"/>
  <c r="G153" i="2"/>
  <c r="H153" i="2"/>
  <c r="I153" i="2"/>
  <c r="J153" i="2"/>
  <c r="K153" i="2"/>
  <c r="L153" i="2"/>
  <c r="M153" i="2"/>
  <c r="N153" i="2"/>
  <c r="O153" i="2"/>
  <c r="P153" i="2"/>
  <c r="Q153" i="2"/>
  <c r="R153" i="2"/>
  <c r="S153" i="2"/>
  <c r="T153" i="2"/>
  <c r="U153" i="2"/>
  <c r="V153" i="2"/>
  <c r="W153" i="2"/>
  <c r="X153" i="2"/>
  <c r="Y153" i="2"/>
  <c r="Z153" i="2"/>
  <c r="AA153" i="2"/>
  <c r="D154" i="2" a="1"/>
  <c r="D154" i="2"/>
  <c r="E154" i="2" a="1"/>
  <c r="E154" i="2"/>
  <c r="F154" i="2" a="1"/>
  <c r="F154" i="2"/>
  <c r="G154" i="2" a="1"/>
  <c r="G154" i="2"/>
  <c r="H154" i="2" a="1"/>
  <c r="H154" i="2"/>
  <c r="I154" i="2" a="1"/>
  <c r="I154" i="2"/>
  <c r="J154" i="2" a="1"/>
  <c r="J154" i="2"/>
  <c r="K154" i="2" a="1"/>
  <c r="K154" i="2"/>
  <c r="L154" i="2" a="1"/>
  <c r="L154" i="2"/>
  <c r="M154" i="2" a="1"/>
  <c r="M154" i="2"/>
  <c r="N154" i="2" a="1"/>
  <c r="N154" i="2"/>
  <c r="O154" i="2" a="1"/>
  <c r="O154" i="2"/>
  <c r="P154" i="2" a="1"/>
  <c r="P154" i="2"/>
  <c r="Q154" i="2" a="1"/>
  <c r="Q154" i="2"/>
  <c r="R154" i="2" a="1"/>
  <c r="R154" i="2"/>
  <c r="S154" i="2" a="1"/>
  <c r="S154" i="2"/>
  <c r="T154" i="2" a="1"/>
  <c r="T154" i="2"/>
  <c r="U154" i="2" a="1"/>
  <c r="U154" i="2"/>
  <c r="V154" i="2" a="1"/>
  <c r="V154" i="2"/>
  <c r="W154" i="2" a="1"/>
  <c r="W154" i="2"/>
  <c r="X154" i="2" a="1"/>
  <c r="X154" i="2"/>
  <c r="Y154" i="2" a="1"/>
  <c r="Y154" i="2"/>
  <c r="Z154" i="2" a="1"/>
  <c r="Z154" i="2"/>
  <c r="AA154" i="2" a="1"/>
  <c r="AA154" i="2"/>
  <c r="D155" i="2"/>
  <c r="E155" i="2"/>
  <c r="F155" i="2"/>
  <c r="G155" i="2"/>
  <c r="H155" i="2"/>
  <c r="I155" i="2"/>
  <c r="J155" i="2"/>
  <c r="K155" i="2"/>
  <c r="L155" i="2"/>
  <c r="M155" i="2"/>
  <c r="N155" i="2"/>
  <c r="O155" i="2"/>
  <c r="P155" i="2"/>
  <c r="Q155" i="2"/>
  <c r="R155" i="2"/>
  <c r="S155" i="2"/>
  <c r="T155" i="2"/>
  <c r="U155" i="2"/>
  <c r="V155" i="2"/>
  <c r="W155" i="2"/>
  <c r="X155" i="2"/>
  <c r="Y155" i="2"/>
  <c r="Z155" i="2"/>
  <c r="AA155" i="2"/>
  <c r="D156" i="2" a="1"/>
  <c r="D156" i="2"/>
  <c r="E156" i="2" a="1"/>
  <c r="E156" i="2"/>
  <c r="F156" i="2" a="1"/>
  <c r="F156" i="2"/>
  <c r="G156" i="2" a="1"/>
  <c r="G156" i="2"/>
  <c r="H156" i="2" a="1"/>
  <c r="H156" i="2"/>
  <c r="I156" i="2" a="1"/>
  <c r="I156" i="2"/>
  <c r="J156" i="2" a="1"/>
  <c r="J156" i="2"/>
  <c r="K156" i="2" a="1"/>
  <c r="K156" i="2"/>
  <c r="L156" i="2" a="1"/>
  <c r="L156" i="2"/>
  <c r="M156" i="2" a="1"/>
  <c r="M156" i="2"/>
  <c r="N156" i="2" a="1"/>
  <c r="N156" i="2"/>
  <c r="O156" i="2" a="1"/>
  <c r="O156" i="2"/>
  <c r="P156" i="2" a="1"/>
  <c r="P156" i="2"/>
  <c r="Q156" i="2" a="1"/>
  <c r="Q156" i="2"/>
  <c r="R156" i="2" a="1"/>
  <c r="R156" i="2"/>
  <c r="S156" i="2" a="1"/>
  <c r="S156" i="2"/>
  <c r="T156" i="2" a="1"/>
  <c r="T156" i="2"/>
  <c r="U156" i="2" a="1"/>
  <c r="U156" i="2"/>
  <c r="V156" i="2" a="1"/>
  <c r="V156" i="2"/>
  <c r="W156" i="2" a="1"/>
  <c r="W156" i="2"/>
  <c r="X156" i="2" a="1"/>
  <c r="X156" i="2"/>
  <c r="Y156" i="2" a="1"/>
  <c r="Y156" i="2"/>
  <c r="Z156" i="2" a="1"/>
  <c r="Z156" i="2"/>
  <c r="AA156" i="2" a="1"/>
  <c r="AA156" i="2"/>
  <c r="E159" i="2" a="1"/>
  <c r="E159" i="2"/>
  <c r="F159" i="2" a="1"/>
  <c r="F159" i="2"/>
  <c r="G159" i="2" a="1"/>
  <c r="G159" i="2"/>
  <c r="H159" i="2" a="1"/>
  <c r="H159" i="2"/>
  <c r="I159" i="2" a="1"/>
  <c r="I159" i="2"/>
  <c r="J159" i="2" a="1"/>
  <c r="J159" i="2"/>
  <c r="K159" i="2" a="1"/>
  <c r="K159" i="2"/>
  <c r="L159" i="2" a="1"/>
  <c r="L159" i="2"/>
  <c r="M159" i="2" a="1"/>
  <c r="M159" i="2"/>
  <c r="N159" i="2" a="1"/>
  <c r="N159" i="2"/>
  <c r="O159" i="2" a="1"/>
  <c r="O159" i="2"/>
  <c r="P159" i="2" a="1"/>
  <c r="P159" i="2"/>
  <c r="Q159" i="2" a="1"/>
  <c r="Q159" i="2"/>
  <c r="R159" i="2" a="1"/>
  <c r="R159" i="2"/>
  <c r="S159" i="2" a="1"/>
  <c r="S159" i="2"/>
  <c r="T159" i="2" a="1"/>
  <c r="T159" i="2"/>
  <c r="U159" i="2" a="1"/>
  <c r="U159" i="2"/>
  <c r="V159" i="2" a="1"/>
  <c r="V159" i="2"/>
  <c r="W159" i="2" a="1"/>
  <c r="W159" i="2"/>
  <c r="X159" i="2" a="1"/>
  <c r="X159" i="2"/>
  <c r="Y159" i="2" a="1"/>
  <c r="Y159" i="2"/>
  <c r="Z159" i="2" a="1"/>
  <c r="Z159" i="2"/>
  <c r="AA159" i="2" a="1"/>
  <c r="AA159" i="2"/>
  <c r="AB159" i="2" a="1"/>
  <c r="AB159" i="2"/>
  <c r="AC159" i="2" a="1"/>
  <c r="AC159" i="2"/>
  <c r="D160" i="2" a="1"/>
  <c r="D160" i="2"/>
  <c r="E160" i="2" a="1"/>
  <c r="E160" i="2"/>
  <c r="F160" i="2" a="1"/>
  <c r="F160" i="2"/>
  <c r="G160" i="2" a="1"/>
  <c r="G160" i="2"/>
  <c r="H160" i="2" a="1"/>
  <c r="H160" i="2"/>
  <c r="I160" i="2" a="1"/>
  <c r="I160" i="2"/>
  <c r="J160" i="2" a="1"/>
  <c r="J160" i="2"/>
  <c r="K160" i="2" a="1"/>
  <c r="K160" i="2"/>
  <c r="L160" i="2" a="1"/>
  <c r="L160" i="2"/>
  <c r="M160" i="2" a="1"/>
  <c r="M160" i="2"/>
  <c r="N160" i="2" a="1"/>
  <c r="N160" i="2"/>
  <c r="O160" i="2" a="1"/>
  <c r="O160" i="2"/>
  <c r="P160" i="2" a="1"/>
  <c r="P160" i="2"/>
  <c r="Q160" i="2" a="1"/>
  <c r="Q160" i="2"/>
  <c r="R160" i="2" a="1"/>
  <c r="R160" i="2"/>
  <c r="S160" i="2" a="1"/>
  <c r="S160" i="2"/>
  <c r="T160" i="2" a="1"/>
  <c r="T160" i="2"/>
  <c r="U160" i="2" a="1"/>
  <c r="U160" i="2"/>
  <c r="V160" i="2" a="1"/>
  <c r="V160" i="2"/>
  <c r="W160" i="2" a="1"/>
  <c r="W160" i="2"/>
  <c r="X160" i="2" a="1"/>
  <c r="X160" i="2"/>
  <c r="Y160" i="2" a="1"/>
  <c r="Y160" i="2"/>
  <c r="Z160" i="2" a="1"/>
  <c r="Z160" i="2"/>
  <c r="AA160" i="2" a="1"/>
  <c r="AA160" i="2"/>
  <c r="D161" i="2" a="1"/>
  <c r="D161" i="2"/>
  <c r="E161" i="2" a="1"/>
  <c r="E161" i="2"/>
  <c r="F161" i="2" a="1"/>
  <c r="F161" i="2"/>
  <c r="G161" i="2" a="1"/>
  <c r="G161" i="2"/>
  <c r="H161" i="2" a="1"/>
  <c r="H161" i="2"/>
  <c r="I161" i="2" a="1"/>
  <c r="I161" i="2"/>
  <c r="J161" i="2" a="1"/>
  <c r="J161" i="2"/>
  <c r="K161" i="2" a="1"/>
  <c r="K161" i="2"/>
  <c r="L161" i="2" a="1"/>
  <c r="L161" i="2"/>
  <c r="M161" i="2" a="1"/>
  <c r="M161" i="2"/>
  <c r="N161" i="2" a="1"/>
  <c r="N161" i="2"/>
  <c r="O161" i="2" a="1"/>
  <c r="O161" i="2"/>
  <c r="P161" i="2" a="1"/>
  <c r="P161" i="2"/>
  <c r="Q161" i="2" a="1"/>
  <c r="Q161" i="2"/>
  <c r="R161" i="2" a="1"/>
  <c r="R161" i="2"/>
  <c r="S161" i="2" a="1"/>
  <c r="S161" i="2"/>
  <c r="T161" i="2" a="1"/>
  <c r="T161" i="2"/>
  <c r="U161" i="2" a="1"/>
  <c r="U161" i="2"/>
  <c r="V161" i="2" a="1"/>
  <c r="V161" i="2"/>
  <c r="W161" i="2" a="1"/>
  <c r="W161" i="2"/>
  <c r="X161" i="2" a="1"/>
  <c r="X161" i="2"/>
  <c r="Y161" i="2" a="1"/>
  <c r="Y161" i="2"/>
  <c r="Z161" i="2" a="1"/>
  <c r="Z161" i="2"/>
  <c r="AA161" i="2" a="1"/>
  <c r="AA161" i="2"/>
  <c r="AB161" i="2" a="1"/>
  <c r="AB161" i="2"/>
  <c r="AC161" i="2" a="1"/>
  <c r="AC161" i="2"/>
  <c r="D162" i="2" a="1"/>
  <c r="D162" i="2"/>
  <c r="E162" i="2" a="1"/>
  <c r="E162" i="2"/>
  <c r="F162" i="2" a="1"/>
  <c r="F162" i="2"/>
  <c r="G162" i="2" a="1"/>
  <c r="G162" i="2"/>
  <c r="H162" i="2" a="1"/>
  <c r="H162" i="2"/>
  <c r="I162" i="2" a="1"/>
  <c r="I162" i="2"/>
  <c r="J162" i="2" a="1"/>
  <c r="J162" i="2"/>
  <c r="K162" i="2" a="1"/>
  <c r="K162" i="2"/>
  <c r="L162" i="2" a="1"/>
  <c r="L162" i="2"/>
  <c r="M162" i="2" a="1"/>
  <c r="M162" i="2"/>
  <c r="N162" i="2" a="1"/>
  <c r="N162" i="2"/>
  <c r="O162" i="2" a="1"/>
  <c r="O162" i="2"/>
  <c r="P162" i="2" a="1"/>
  <c r="P162" i="2"/>
  <c r="Q162" i="2" a="1"/>
  <c r="Q162" i="2"/>
  <c r="R162" i="2" a="1"/>
  <c r="R162" i="2"/>
  <c r="S162" i="2" a="1"/>
  <c r="S162" i="2"/>
  <c r="T162" i="2" a="1"/>
  <c r="T162" i="2"/>
  <c r="U162" i="2" a="1"/>
  <c r="U162" i="2"/>
  <c r="V162" i="2" a="1"/>
  <c r="V162" i="2"/>
  <c r="W162" i="2" a="1"/>
  <c r="W162" i="2"/>
  <c r="X162" i="2" a="1"/>
  <c r="X162" i="2"/>
  <c r="Y162" i="2" a="1"/>
  <c r="Y162" i="2"/>
  <c r="Z162" i="2" a="1"/>
  <c r="Z162" i="2"/>
  <c r="AA162" i="2" a="1"/>
  <c r="AA162" i="2"/>
  <c r="AB162" i="2" a="1"/>
  <c r="AB162" i="2"/>
  <c r="AC162" i="2" a="1"/>
  <c r="AC162" i="2"/>
  <c r="D163" i="2" a="1"/>
  <c r="D163" i="2"/>
  <c r="E163" i="2" a="1"/>
  <c r="E163" i="2"/>
  <c r="F163" i="2" a="1"/>
  <c r="F163" i="2"/>
  <c r="G163" i="2" a="1"/>
  <c r="G163" i="2"/>
  <c r="H163" i="2" a="1"/>
  <c r="H163" i="2"/>
  <c r="I163" i="2" a="1"/>
  <c r="I163" i="2"/>
  <c r="J163" i="2" a="1"/>
  <c r="J163" i="2"/>
  <c r="K163" i="2" a="1"/>
  <c r="K163" i="2"/>
  <c r="L163" i="2" a="1"/>
  <c r="L163" i="2"/>
  <c r="M163" i="2" a="1"/>
  <c r="M163" i="2"/>
  <c r="N163" i="2" a="1"/>
  <c r="N163" i="2"/>
  <c r="O163" i="2" a="1"/>
  <c r="O163" i="2"/>
  <c r="P163" i="2" a="1"/>
  <c r="P163" i="2"/>
  <c r="Q163" i="2" a="1"/>
  <c r="Q163" i="2"/>
  <c r="R163" i="2" a="1"/>
  <c r="R163" i="2"/>
  <c r="S163" i="2" a="1"/>
  <c r="S163" i="2"/>
  <c r="T163" i="2" a="1"/>
  <c r="T163" i="2"/>
  <c r="U163" i="2" a="1"/>
  <c r="U163" i="2"/>
  <c r="V163" i="2" a="1"/>
  <c r="V163" i="2"/>
  <c r="W163" i="2" a="1"/>
  <c r="W163" i="2"/>
  <c r="X163" i="2" a="1"/>
  <c r="X163" i="2"/>
  <c r="Y163" i="2" a="1"/>
  <c r="Y163" i="2"/>
  <c r="Z163" i="2" a="1"/>
  <c r="Z163" i="2"/>
  <c r="AA163" i="2" a="1"/>
  <c r="AA163" i="2"/>
  <c r="AB163" i="2" a="1"/>
  <c r="AB163" i="2"/>
  <c r="AC163" i="2" a="1"/>
  <c r="AC163" i="2"/>
  <c r="D164" i="2" a="1"/>
  <c r="D164" i="2"/>
  <c r="E164" i="2" a="1"/>
  <c r="E164" i="2"/>
  <c r="F164" i="2" a="1"/>
  <c r="F164" i="2"/>
  <c r="G164" i="2" a="1"/>
  <c r="G164" i="2"/>
  <c r="H164" i="2" a="1"/>
  <c r="H164" i="2"/>
  <c r="I164" i="2" a="1"/>
  <c r="I164" i="2"/>
  <c r="J164" i="2" a="1"/>
  <c r="J164" i="2"/>
  <c r="K164" i="2" a="1"/>
  <c r="K164" i="2"/>
  <c r="L164" i="2" a="1"/>
  <c r="L164" i="2"/>
  <c r="M164" i="2" a="1"/>
  <c r="M164" i="2"/>
  <c r="N164" i="2" a="1"/>
  <c r="N164" i="2"/>
  <c r="O164" i="2" a="1"/>
  <c r="O164" i="2"/>
  <c r="P164" i="2" a="1"/>
  <c r="P164" i="2"/>
  <c r="Q164" i="2" a="1"/>
  <c r="Q164" i="2"/>
  <c r="R164" i="2" a="1"/>
  <c r="R164" i="2"/>
  <c r="S164" i="2" a="1"/>
  <c r="S164" i="2"/>
  <c r="T164" i="2" a="1"/>
  <c r="T164" i="2"/>
  <c r="U164" i="2" a="1"/>
  <c r="U164" i="2"/>
  <c r="V164" i="2" a="1"/>
  <c r="V164" i="2"/>
  <c r="W164" i="2" a="1"/>
  <c r="W164" i="2"/>
  <c r="X164" i="2" a="1"/>
  <c r="X164" i="2"/>
  <c r="Y164" i="2" a="1"/>
  <c r="Y164" i="2"/>
  <c r="Z164" i="2" a="1"/>
  <c r="Z164" i="2"/>
  <c r="AA164" i="2" a="1"/>
  <c r="AA164" i="2"/>
  <c r="AB164" i="2" a="1"/>
  <c r="AB164" i="2"/>
  <c r="AC164" i="2" a="1"/>
  <c r="AC164" i="2"/>
  <c r="D165" i="2" a="1"/>
  <c r="D165" i="2"/>
  <c r="E165" i="2" a="1"/>
  <c r="E165" i="2"/>
  <c r="F165" i="2" a="1"/>
  <c r="F165" i="2"/>
  <c r="G165" i="2" a="1"/>
  <c r="G165" i="2"/>
  <c r="H165" i="2" a="1"/>
  <c r="H165" i="2"/>
  <c r="I165" i="2" a="1"/>
  <c r="I165" i="2"/>
  <c r="J165" i="2" a="1"/>
  <c r="J165" i="2"/>
  <c r="K165" i="2" a="1"/>
  <c r="K165" i="2"/>
  <c r="L165" i="2" a="1"/>
  <c r="L165" i="2"/>
  <c r="M165" i="2" a="1"/>
  <c r="M165" i="2"/>
  <c r="N165" i="2" a="1"/>
  <c r="N165" i="2"/>
  <c r="O165" i="2" a="1"/>
  <c r="O165" i="2"/>
  <c r="P165" i="2" a="1"/>
  <c r="P165" i="2"/>
  <c r="Q165" i="2" a="1"/>
  <c r="Q165" i="2"/>
  <c r="R165" i="2" a="1"/>
  <c r="R165" i="2"/>
  <c r="S165" i="2" a="1"/>
  <c r="S165" i="2"/>
  <c r="T165" i="2" a="1"/>
  <c r="T165" i="2"/>
  <c r="U165" i="2" a="1"/>
  <c r="U165" i="2"/>
  <c r="V165" i="2" a="1"/>
  <c r="V165" i="2"/>
  <c r="W165" i="2" a="1"/>
  <c r="W165" i="2"/>
  <c r="X165" i="2" a="1"/>
  <c r="X165" i="2"/>
  <c r="Y165" i="2" a="1"/>
  <c r="Y165" i="2"/>
  <c r="Z165" i="2" a="1"/>
  <c r="Z165" i="2"/>
  <c r="AA165" i="2" a="1"/>
  <c r="AA165" i="2"/>
  <c r="AB165" i="2" a="1"/>
  <c r="AB165" i="2"/>
  <c r="AC165" i="2" a="1"/>
  <c r="AC165" i="2"/>
  <c r="D166" i="2" a="1"/>
  <c r="D166" i="2"/>
  <c r="E166" i="2" a="1"/>
  <c r="E166" i="2"/>
  <c r="F166" i="2" a="1"/>
  <c r="F166" i="2"/>
  <c r="G166" i="2" a="1"/>
  <c r="G166" i="2"/>
  <c r="H166" i="2" a="1"/>
  <c r="H166" i="2"/>
  <c r="I166" i="2" a="1"/>
  <c r="I166" i="2"/>
  <c r="J166" i="2" a="1"/>
  <c r="J166" i="2"/>
  <c r="K166" i="2" a="1"/>
  <c r="K166" i="2"/>
  <c r="L166" i="2" a="1"/>
  <c r="L166" i="2"/>
  <c r="M166" i="2" a="1"/>
  <c r="M166" i="2"/>
  <c r="N166" i="2" a="1"/>
  <c r="N166" i="2"/>
  <c r="O166" i="2" a="1"/>
  <c r="O166" i="2"/>
  <c r="P166" i="2" a="1"/>
  <c r="P166" i="2"/>
  <c r="Q166" i="2" a="1"/>
  <c r="Q166" i="2"/>
  <c r="R166" i="2" a="1"/>
  <c r="R166" i="2"/>
  <c r="S166" i="2" a="1"/>
  <c r="S166" i="2"/>
  <c r="T166" i="2" a="1"/>
  <c r="T166" i="2"/>
  <c r="U166" i="2" a="1"/>
  <c r="U166" i="2"/>
  <c r="V166" i="2" a="1"/>
  <c r="V166" i="2"/>
  <c r="W166" i="2" a="1"/>
  <c r="W166" i="2"/>
  <c r="X166" i="2" a="1"/>
  <c r="X166" i="2"/>
  <c r="Y166" i="2" a="1"/>
  <c r="Y166" i="2"/>
  <c r="Z166" i="2" a="1"/>
  <c r="Z166" i="2"/>
  <c r="AA166" i="2" a="1"/>
  <c r="AA166" i="2"/>
  <c r="AB166" i="2" a="1"/>
  <c r="AB166" i="2"/>
  <c r="AC166" i="2" a="1"/>
  <c r="AC166" i="2"/>
  <c r="D167" i="2" a="1"/>
  <c r="D167" i="2"/>
  <c r="E167" i="2" a="1"/>
  <c r="E167" i="2"/>
  <c r="F167" i="2" a="1"/>
  <c r="F167" i="2"/>
  <c r="G167" i="2" a="1"/>
  <c r="G167" i="2"/>
  <c r="H167" i="2" a="1"/>
  <c r="H167" i="2"/>
  <c r="I167" i="2" a="1"/>
  <c r="I167" i="2"/>
  <c r="J167" i="2" a="1"/>
  <c r="J167" i="2"/>
  <c r="K167" i="2" a="1"/>
  <c r="K167" i="2"/>
  <c r="L167" i="2" a="1"/>
  <c r="L167" i="2"/>
  <c r="M167" i="2" a="1"/>
  <c r="M167" i="2"/>
  <c r="N167" i="2" a="1"/>
  <c r="N167" i="2"/>
  <c r="O167" i="2" a="1"/>
  <c r="O167" i="2"/>
  <c r="P167" i="2" a="1"/>
  <c r="P167" i="2"/>
  <c r="Q167" i="2" a="1"/>
  <c r="Q167" i="2"/>
  <c r="R167" i="2" a="1"/>
  <c r="R167" i="2"/>
  <c r="S167" i="2" a="1"/>
  <c r="S167" i="2"/>
  <c r="T167" i="2" a="1"/>
  <c r="T167" i="2"/>
  <c r="U167" i="2" a="1"/>
  <c r="U167" i="2"/>
  <c r="V167" i="2" a="1"/>
  <c r="V167" i="2"/>
  <c r="W167" i="2" a="1"/>
  <c r="W167" i="2"/>
  <c r="X167" i="2" a="1"/>
  <c r="X167" i="2"/>
  <c r="Y167" i="2" a="1"/>
  <c r="Y167" i="2"/>
  <c r="Z167" i="2" a="1"/>
  <c r="Z167" i="2"/>
  <c r="AA167" i="2" a="1"/>
  <c r="AA167" i="2"/>
  <c r="AB167" i="2" a="1"/>
  <c r="AB167" i="2"/>
  <c r="AC167" i="2" a="1"/>
  <c r="AC167" i="2"/>
  <c r="D11" i="12" a="1"/>
  <c r="D11" i="12"/>
  <c r="E11" i="12" a="1"/>
  <c r="E11" i="12"/>
  <c r="F11" i="12" a="1"/>
  <c r="F11" i="12"/>
  <c r="G11" i="12" a="1"/>
  <c r="G11" i="12"/>
  <c r="H11" i="12" a="1"/>
  <c r="H11" i="12"/>
  <c r="I11" i="12" a="1"/>
  <c r="I11" i="12"/>
  <c r="J11" i="12" a="1"/>
  <c r="J11" i="12"/>
  <c r="K11" i="12" a="1"/>
  <c r="K11" i="12"/>
  <c r="L11" i="12" a="1"/>
  <c r="L11" i="12"/>
  <c r="M11" i="12" a="1"/>
  <c r="M11" i="12"/>
  <c r="N11" i="12" a="1"/>
  <c r="N11" i="12"/>
  <c r="O11" i="12" a="1"/>
  <c r="O11" i="12"/>
  <c r="P11" i="12" a="1"/>
  <c r="P11" i="12"/>
  <c r="Q11" i="12" a="1"/>
  <c r="Q11" i="12"/>
  <c r="R11" i="12" a="1"/>
  <c r="R11" i="12"/>
  <c r="S11" i="12" a="1"/>
  <c r="S11" i="12"/>
  <c r="T11" i="12" a="1"/>
  <c r="T11" i="12"/>
  <c r="U11" i="12" a="1"/>
  <c r="U11" i="12"/>
  <c r="V11" i="12" a="1"/>
  <c r="V11" i="12"/>
  <c r="W11" i="12" a="1"/>
  <c r="W11" i="12"/>
  <c r="X11" i="12" a="1"/>
  <c r="X11" i="12"/>
  <c r="Y11" i="12" a="1"/>
  <c r="Y11" i="12"/>
  <c r="Z11" i="12" a="1"/>
  <c r="Z11" i="12"/>
  <c r="AA11" i="12" a="1"/>
  <c r="AA11" i="12"/>
  <c r="AB11" i="12" a="1"/>
  <c r="AB11" i="12"/>
  <c r="AC11" i="12" a="1"/>
  <c r="AC11" i="12"/>
  <c r="D12" i="12" a="1"/>
  <c r="D12" i="12"/>
  <c r="E12" i="12" a="1"/>
  <c r="E12" i="12"/>
  <c r="F12" i="12" a="1"/>
  <c r="F12" i="12"/>
  <c r="G12" i="12" a="1"/>
  <c r="G12" i="12"/>
  <c r="H12" i="12" a="1"/>
  <c r="H12" i="12"/>
  <c r="I12" i="12" a="1"/>
  <c r="I12" i="12"/>
  <c r="J12" i="12" a="1"/>
  <c r="J12" i="12"/>
  <c r="K12" i="12" a="1"/>
  <c r="K12" i="12"/>
  <c r="L12" i="12" a="1"/>
  <c r="L12" i="12"/>
  <c r="M12" i="12" a="1"/>
  <c r="M12" i="12"/>
  <c r="N12" i="12" a="1"/>
  <c r="N12" i="12"/>
  <c r="O12" i="12" a="1"/>
  <c r="O12" i="12"/>
  <c r="P12" i="12" a="1"/>
  <c r="P12" i="12"/>
  <c r="Q12" i="12" a="1"/>
  <c r="Q12" i="12"/>
  <c r="R12" i="12" a="1"/>
  <c r="R12" i="12"/>
  <c r="S12" i="12" a="1"/>
  <c r="S12" i="12"/>
  <c r="T12" i="12" a="1"/>
  <c r="T12" i="12"/>
  <c r="U12" i="12" a="1"/>
  <c r="U12" i="12"/>
  <c r="V12" i="12" a="1"/>
  <c r="V12" i="12"/>
  <c r="W12" i="12" a="1"/>
  <c r="W12" i="12"/>
  <c r="X12" i="12" a="1"/>
  <c r="X12" i="12"/>
  <c r="Y12" i="12" a="1"/>
  <c r="Y12" i="12"/>
  <c r="Z12" i="12" a="1"/>
  <c r="Z12" i="12"/>
  <c r="AA12" i="12" a="1"/>
  <c r="AA12" i="12"/>
  <c r="AB12" i="12" a="1"/>
  <c r="AB12" i="12"/>
  <c r="AC12" i="12" a="1"/>
  <c r="AC12" i="12"/>
  <c r="D13" i="12" a="1"/>
  <c r="D13" i="12"/>
  <c r="E13" i="12" a="1"/>
  <c r="E13" i="12"/>
  <c r="F13" i="12" a="1"/>
  <c r="F13" i="12"/>
  <c r="G13" i="12" a="1"/>
  <c r="G13" i="12"/>
  <c r="H13" i="12" a="1"/>
  <c r="H13" i="12"/>
  <c r="I13" i="12" a="1"/>
  <c r="I13" i="12"/>
  <c r="J13" i="12" a="1"/>
  <c r="J13" i="12"/>
  <c r="K13" i="12" a="1"/>
  <c r="K13" i="12"/>
  <c r="L13" i="12" a="1"/>
  <c r="L13" i="12"/>
  <c r="M13" i="12" a="1"/>
  <c r="M13" i="12"/>
  <c r="N13" i="12" a="1"/>
  <c r="N13" i="12"/>
  <c r="O13" i="12" a="1"/>
  <c r="O13" i="12"/>
  <c r="P13" i="12" a="1"/>
  <c r="P13" i="12"/>
  <c r="Q13" i="12" a="1"/>
  <c r="Q13" i="12"/>
  <c r="R13" i="12" a="1"/>
  <c r="R13" i="12"/>
  <c r="S13" i="12" a="1"/>
  <c r="S13" i="12"/>
  <c r="T13" i="12" a="1"/>
  <c r="T13" i="12"/>
  <c r="U13" i="12" a="1"/>
  <c r="U13" i="12"/>
  <c r="V13" i="12" a="1"/>
  <c r="V13" i="12"/>
  <c r="W13" i="12" a="1"/>
  <c r="W13" i="12"/>
  <c r="X13" i="12" a="1"/>
  <c r="X13" i="12"/>
  <c r="Y13" i="12" a="1"/>
  <c r="Y13" i="12"/>
  <c r="Z13" i="12" a="1"/>
  <c r="Z13" i="12"/>
  <c r="AA13" i="12" a="1"/>
  <c r="AA13" i="12"/>
  <c r="AB13" i="12" a="1"/>
  <c r="AB13" i="12"/>
  <c r="AC13" i="12" a="1"/>
  <c r="AC13" i="12"/>
  <c r="G15" i="12" a="1"/>
  <c r="G15" i="12"/>
  <c r="H15" i="12" a="1"/>
  <c r="H15" i="12"/>
  <c r="I15" i="12" a="1"/>
  <c r="I15" i="12"/>
  <c r="J15" i="12" a="1"/>
  <c r="J15" i="12"/>
  <c r="K15" i="12" a="1"/>
  <c r="K15" i="12"/>
  <c r="L15" i="12" a="1"/>
  <c r="L15" i="12"/>
  <c r="M15" i="12" a="1"/>
  <c r="M15" i="12"/>
  <c r="N15" i="12" a="1"/>
  <c r="N15" i="12"/>
  <c r="O15" i="12" a="1"/>
  <c r="O15" i="12"/>
  <c r="P15" i="12" a="1"/>
  <c r="P15" i="12"/>
  <c r="Q15" i="12" a="1"/>
  <c r="Q15" i="12"/>
  <c r="R15" i="12" a="1"/>
  <c r="R15" i="12"/>
  <c r="S15" i="12" a="1"/>
  <c r="S15" i="12"/>
  <c r="T15" i="12" a="1"/>
  <c r="T15" i="12"/>
  <c r="U15" i="12" a="1"/>
  <c r="U15" i="12"/>
  <c r="V15" i="12" a="1"/>
  <c r="V15" i="12"/>
  <c r="W15" i="12" a="1"/>
  <c r="W15" i="12"/>
  <c r="X15" i="12" a="1"/>
  <c r="X15" i="12"/>
  <c r="Y15" i="12" a="1"/>
  <c r="Y15" i="12"/>
  <c r="Z15" i="12" a="1"/>
  <c r="Z15" i="12"/>
  <c r="AA15" i="12" a="1"/>
  <c r="AA15" i="12"/>
  <c r="AB15" i="12" a="1"/>
  <c r="AB15" i="12"/>
  <c r="AC15" i="12" a="1"/>
  <c r="AC15"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D44" i="12" a="1"/>
  <c r="D44" i="12"/>
  <c r="E44" i="12" a="1"/>
  <c r="E44" i="12"/>
  <c r="F44" i="12" a="1"/>
  <c r="F44" i="12"/>
  <c r="G44" i="12" a="1"/>
  <c r="G44" i="12"/>
  <c r="H44" i="12" a="1"/>
  <c r="H44" i="12"/>
  <c r="I44" i="12" a="1"/>
  <c r="I44" i="12"/>
  <c r="J44" i="12" a="1"/>
  <c r="J44" i="12"/>
  <c r="K44" i="12" a="1"/>
  <c r="K44" i="12"/>
  <c r="L44" i="12" a="1"/>
  <c r="L44" i="12"/>
  <c r="M44" i="12" a="1"/>
  <c r="M44" i="12"/>
  <c r="N44" i="12" a="1"/>
  <c r="N44" i="12"/>
  <c r="O44" i="12" a="1"/>
  <c r="O44" i="12"/>
  <c r="P44" i="12" a="1"/>
  <c r="P44" i="12"/>
  <c r="Q44" i="12" a="1"/>
  <c r="Q44" i="12"/>
  <c r="R44" i="12" a="1"/>
  <c r="R44" i="12"/>
  <c r="S44" i="12" a="1"/>
  <c r="S44" i="12"/>
  <c r="T44" i="12" a="1"/>
  <c r="T44" i="12"/>
  <c r="U44" i="12" a="1"/>
  <c r="U44" i="12"/>
  <c r="V44" i="12" a="1"/>
  <c r="V44" i="12"/>
  <c r="W44" i="12" a="1"/>
  <c r="W44" i="12"/>
  <c r="X44" i="12" a="1"/>
  <c r="X44" i="12"/>
  <c r="Y44" i="12" a="1"/>
  <c r="Y44" i="12"/>
  <c r="Z44" i="12" a="1"/>
  <c r="Z44" i="12"/>
  <c r="AA44" i="12" a="1"/>
  <c r="AA44" i="12"/>
  <c r="D45" i="12"/>
  <c r="E45" i="12"/>
  <c r="F45" i="12"/>
  <c r="G45" i="12"/>
  <c r="H45" i="12"/>
  <c r="I45" i="12"/>
  <c r="J45" i="12"/>
  <c r="K45" i="12"/>
  <c r="L45" i="12"/>
  <c r="M45" i="12"/>
  <c r="N45" i="12"/>
  <c r="O45" i="12"/>
  <c r="P45" i="12"/>
  <c r="Q45" i="12"/>
  <c r="R45" i="12"/>
  <c r="S45" i="12"/>
  <c r="T45" i="12"/>
  <c r="U45" i="12"/>
  <c r="V45" i="12"/>
  <c r="W45" i="12"/>
  <c r="X45" i="12"/>
  <c r="Y45" i="12"/>
  <c r="Z45" i="12"/>
  <c r="AA45" i="12"/>
  <c r="AB45" i="12"/>
  <c r="AC45" i="12"/>
  <c r="D8" i="4"/>
  <c r="D9" i="4"/>
  <c r="E9" i="4"/>
  <c r="F9" i="4"/>
  <c r="G9" i="4"/>
  <c r="H9" i="4"/>
  <c r="I9" i="4"/>
  <c r="J9" i="4"/>
  <c r="K9" i="4"/>
  <c r="L9" i="4"/>
  <c r="M9" i="4"/>
  <c r="N9" i="4"/>
  <c r="O9" i="4"/>
  <c r="P9" i="4"/>
  <c r="Q9" i="4"/>
  <c r="R9" i="4"/>
  <c r="S9" i="4"/>
  <c r="T9" i="4"/>
  <c r="U9" i="4"/>
  <c r="V9" i="4"/>
  <c r="W9" i="4"/>
  <c r="X9" i="4"/>
  <c r="Y9" i="4"/>
  <c r="Z9" i="4"/>
  <c r="AA9" i="4"/>
  <c r="AB9" i="4"/>
  <c r="AC9" i="4"/>
  <c r="D10" i="4"/>
  <c r="E18" i="4" a="1"/>
  <c r="E18" i="4"/>
  <c r="F18" i="4" a="1"/>
  <c r="F18" i="4"/>
  <c r="G18" i="4" a="1"/>
  <c r="G18" i="4"/>
  <c r="H18" i="4" a="1"/>
  <c r="H18" i="4"/>
  <c r="I18" i="4" a="1"/>
  <c r="I18" i="4"/>
  <c r="J18" i="4" a="1"/>
  <c r="J18" i="4"/>
  <c r="K18" i="4" a="1"/>
  <c r="K18" i="4"/>
  <c r="L18" i="4" a="1"/>
  <c r="L18" i="4"/>
  <c r="M18" i="4" a="1"/>
  <c r="M18" i="4"/>
  <c r="N18" i="4" a="1"/>
  <c r="N18" i="4"/>
  <c r="O18" i="4" a="1"/>
  <c r="O18" i="4"/>
  <c r="P18" i="4" a="1"/>
  <c r="P18" i="4"/>
  <c r="Q18" i="4" a="1"/>
  <c r="Q18" i="4"/>
  <c r="R18" i="4" a="1"/>
  <c r="R18" i="4"/>
  <c r="S18" i="4" a="1"/>
  <c r="S18" i="4"/>
  <c r="T18" i="4" a="1"/>
  <c r="T18" i="4"/>
  <c r="U18" i="4" a="1"/>
  <c r="U18" i="4"/>
  <c r="V18" i="4" a="1"/>
  <c r="V18" i="4"/>
  <c r="W18" i="4" a="1"/>
  <c r="W18" i="4"/>
  <c r="X18" i="4" a="1"/>
  <c r="X18" i="4"/>
  <c r="Y18" i="4" a="1"/>
  <c r="Y18" i="4"/>
  <c r="Z18" i="4" a="1"/>
  <c r="Z18" i="4"/>
  <c r="AA18" i="4" a="1"/>
  <c r="AA18" i="4"/>
  <c r="AB18" i="4" a="1"/>
  <c r="AB18" i="4"/>
  <c r="AC18" i="4" a="1"/>
  <c r="AC18" i="4"/>
  <c r="D20" i="4" a="1"/>
  <c r="D20" i="4"/>
  <c r="E20" i="4" a="1"/>
  <c r="E20" i="4"/>
  <c r="F20" i="4" a="1"/>
  <c r="F20" i="4"/>
  <c r="G20" i="4" a="1"/>
  <c r="G20" i="4"/>
  <c r="H20" i="4" a="1"/>
  <c r="H20" i="4"/>
  <c r="I20" i="4" a="1"/>
  <c r="I20" i="4"/>
  <c r="J20" i="4" a="1"/>
  <c r="J20" i="4"/>
  <c r="K20" i="4" a="1"/>
  <c r="K20" i="4"/>
  <c r="L20" i="4" a="1"/>
  <c r="L20" i="4"/>
  <c r="M20" i="4" a="1"/>
  <c r="M20" i="4"/>
  <c r="N20" i="4" a="1"/>
  <c r="N20" i="4"/>
  <c r="O20" i="4" a="1"/>
  <c r="O20" i="4"/>
  <c r="P20" i="4" a="1"/>
  <c r="P20" i="4"/>
  <c r="Q20" i="4" a="1"/>
  <c r="Q20" i="4"/>
  <c r="R20" i="4" a="1"/>
  <c r="R20" i="4"/>
  <c r="S20" i="4" a="1"/>
  <c r="S20" i="4"/>
  <c r="T20" i="4" a="1"/>
  <c r="T20" i="4"/>
  <c r="U20" i="4" a="1"/>
  <c r="U20" i="4"/>
  <c r="V20" i="4" a="1"/>
  <c r="V20" i="4"/>
  <c r="W20" i="4" a="1"/>
  <c r="W20" i="4"/>
  <c r="X20" i="4" a="1"/>
  <c r="X20" i="4"/>
  <c r="Y20" i="4" a="1"/>
  <c r="Y20" i="4"/>
  <c r="Z20" i="4" a="1"/>
  <c r="Z20" i="4"/>
  <c r="AA20" i="4" a="1"/>
  <c r="AA20" i="4"/>
  <c r="AB20" i="4" a="1"/>
  <c r="AB20" i="4"/>
  <c r="AC20" i="4" a="1"/>
  <c r="AC20" i="4"/>
  <c r="D22" i="4" a="1"/>
  <c r="D22" i="4"/>
  <c r="E22" i="4" a="1"/>
  <c r="E22" i="4"/>
  <c r="F22" i="4" a="1"/>
  <c r="F22" i="4"/>
  <c r="G22" i="4" a="1"/>
  <c r="G22" i="4"/>
  <c r="H22" i="4" a="1"/>
  <c r="H22" i="4"/>
  <c r="I22" i="4" a="1"/>
  <c r="I22" i="4"/>
  <c r="J22" i="4" a="1"/>
  <c r="J22" i="4"/>
  <c r="K22" i="4" a="1"/>
  <c r="K22" i="4"/>
  <c r="L22" i="4" a="1"/>
  <c r="L22" i="4"/>
  <c r="M22" i="4" a="1"/>
  <c r="M22" i="4"/>
  <c r="N22" i="4" a="1"/>
  <c r="N22" i="4"/>
  <c r="O22" i="4" a="1"/>
  <c r="O22" i="4"/>
  <c r="P22" i="4" a="1"/>
  <c r="P22" i="4"/>
  <c r="Q22" i="4" a="1"/>
  <c r="Q22" i="4"/>
  <c r="R22" i="4" a="1"/>
  <c r="R22" i="4"/>
  <c r="S22" i="4" a="1"/>
  <c r="S22" i="4"/>
  <c r="T22" i="4" a="1"/>
  <c r="T22" i="4"/>
  <c r="U22" i="4" a="1"/>
  <c r="U22" i="4"/>
  <c r="V22" i="4" a="1"/>
  <c r="V22" i="4"/>
  <c r="W22" i="4" a="1"/>
  <c r="W22" i="4"/>
  <c r="X22" i="4" a="1"/>
  <c r="X22" i="4"/>
  <c r="Y22" i="4" a="1"/>
  <c r="Y22" i="4"/>
  <c r="Z22" i="4" a="1"/>
  <c r="Z22" i="4"/>
  <c r="AA22" i="4" a="1"/>
  <c r="AA22" i="4"/>
  <c r="AB22" i="4" a="1"/>
  <c r="AB22" i="4"/>
  <c r="AC22" i="4" a="1"/>
  <c r="AC22" i="4"/>
  <c r="D23" i="4"/>
  <c r="E23" i="4"/>
  <c r="F23" i="4"/>
  <c r="G23" i="4"/>
  <c r="H23" i="4"/>
  <c r="I23" i="4"/>
  <c r="J23" i="4"/>
  <c r="K23" i="4"/>
  <c r="L23" i="4"/>
  <c r="M23" i="4"/>
  <c r="N23" i="4"/>
  <c r="O23" i="4"/>
  <c r="P23" i="4"/>
  <c r="Q23" i="4"/>
  <c r="R23" i="4"/>
  <c r="S23" i="4"/>
  <c r="T23" i="4"/>
  <c r="U23" i="4"/>
  <c r="V23" i="4"/>
  <c r="W23" i="4"/>
  <c r="X23" i="4"/>
  <c r="Y23" i="4"/>
  <c r="Z23" i="4"/>
  <c r="AA23" i="4"/>
  <c r="AB23" i="4"/>
  <c r="AC23" i="4"/>
  <c r="F24" i="4"/>
  <c r="G24" i="4"/>
  <c r="H24" i="4"/>
  <c r="I24" i="4"/>
  <c r="J24" i="4"/>
  <c r="K24" i="4"/>
  <c r="L24" i="4"/>
  <c r="M24" i="4"/>
  <c r="N24" i="4"/>
  <c r="O24" i="4"/>
  <c r="P24" i="4"/>
  <c r="Q24" i="4"/>
  <c r="R24" i="4"/>
  <c r="S24" i="4"/>
  <c r="T24" i="4"/>
  <c r="U24" i="4"/>
  <c r="V24" i="4"/>
  <c r="W24" i="4"/>
  <c r="X24" i="4"/>
  <c r="Y24" i="4"/>
  <c r="Z24" i="4"/>
  <c r="AA24" i="4"/>
  <c r="AB24" i="4"/>
  <c r="AC24" i="4"/>
  <c r="F25" i="4"/>
  <c r="G25" i="4"/>
  <c r="H25" i="4"/>
  <c r="I25" i="4"/>
  <c r="J25" i="4"/>
  <c r="K25" i="4"/>
  <c r="L25" i="4"/>
  <c r="M25" i="4"/>
  <c r="N25" i="4"/>
  <c r="O25" i="4"/>
  <c r="P25" i="4"/>
  <c r="Q25" i="4"/>
  <c r="R25" i="4"/>
  <c r="S25" i="4"/>
  <c r="T25" i="4"/>
  <c r="U25" i="4"/>
  <c r="V25" i="4"/>
  <c r="W25" i="4"/>
  <c r="X25" i="4"/>
  <c r="Y25" i="4"/>
  <c r="Z25" i="4"/>
  <c r="AA25" i="4"/>
  <c r="AB25" i="4"/>
  <c r="AC25" i="4"/>
  <c r="F33" i="4"/>
  <c r="G33" i="4"/>
  <c r="H33" i="4"/>
  <c r="I33" i="4"/>
  <c r="J33" i="4"/>
  <c r="K33" i="4"/>
  <c r="L33" i="4"/>
  <c r="M33" i="4"/>
  <c r="N33" i="4"/>
  <c r="O33" i="4"/>
  <c r="P33" i="4"/>
  <c r="Q33" i="4"/>
  <c r="R33" i="4"/>
  <c r="S33" i="4"/>
  <c r="T33" i="4"/>
  <c r="U33" i="4"/>
  <c r="V33" i="4"/>
  <c r="W33" i="4"/>
  <c r="X33" i="4"/>
  <c r="Y33" i="4"/>
  <c r="Z33" i="4"/>
  <c r="AA33" i="4"/>
  <c r="AB33" i="4"/>
  <c r="AC33" i="4"/>
  <c r="F37" i="4"/>
  <c r="G37" i="4"/>
  <c r="H37" i="4"/>
  <c r="I37" i="4"/>
  <c r="J37" i="4"/>
  <c r="K37" i="4"/>
  <c r="L37" i="4"/>
  <c r="M37" i="4"/>
  <c r="N37" i="4"/>
  <c r="O37" i="4"/>
  <c r="P37" i="4"/>
  <c r="Q37" i="4"/>
  <c r="R37" i="4"/>
  <c r="S37" i="4"/>
  <c r="T37" i="4"/>
  <c r="U37" i="4"/>
  <c r="V37" i="4"/>
  <c r="W37" i="4"/>
  <c r="X37" i="4"/>
  <c r="Y37" i="4"/>
  <c r="Z37" i="4"/>
  <c r="AA37" i="4"/>
  <c r="AB37" i="4"/>
  <c r="AC37" i="4"/>
  <c r="E48" i="4"/>
  <c r="F48" i="4"/>
  <c r="G48" i="4"/>
  <c r="H48" i="4"/>
  <c r="I48" i="4"/>
  <c r="J48" i="4"/>
  <c r="K48" i="4"/>
  <c r="L48" i="4"/>
  <c r="M48" i="4"/>
  <c r="N48" i="4"/>
  <c r="O48" i="4"/>
  <c r="P48" i="4"/>
  <c r="Q48" i="4"/>
  <c r="R48" i="4"/>
  <c r="S48" i="4"/>
  <c r="T48" i="4"/>
  <c r="U48" i="4"/>
  <c r="V48" i="4"/>
  <c r="W48" i="4"/>
  <c r="X48" i="4"/>
  <c r="Y48" i="4"/>
  <c r="Z48" i="4"/>
  <c r="AA48" i="4"/>
  <c r="AB48" i="4"/>
  <c r="AC48" i="4"/>
  <c r="E49" i="4" a="1"/>
  <c r="E49" i="4"/>
  <c r="F49" i="4" a="1"/>
  <c r="F49" i="4"/>
  <c r="G49" i="4" a="1"/>
  <c r="G49" i="4"/>
  <c r="H49" i="4" a="1"/>
  <c r="H49" i="4"/>
  <c r="I49" i="4" a="1"/>
  <c r="I49" i="4"/>
  <c r="J49" i="4" a="1"/>
  <c r="J49" i="4"/>
  <c r="K49" i="4" a="1"/>
  <c r="K49" i="4"/>
  <c r="L49" i="4" a="1"/>
  <c r="L49" i="4"/>
  <c r="M49" i="4" a="1"/>
  <c r="M49" i="4"/>
  <c r="N49" i="4" a="1"/>
  <c r="N49" i="4"/>
  <c r="O49" i="4" a="1"/>
  <c r="O49" i="4"/>
  <c r="P49" i="4" a="1"/>
  <c r="P49" i="4"/>
  <c r="Q49" i="4" a="1"/>
  <c r="Q49" i="4"/>
  <c r="R49" i="4" a="1"/>
  <c r="R49" i="4"/>
  <c r="S49" i="4" a="1"/>
  <c r="S49" i="4"/>
  <c r="T49" i="4" a="1"/>
  <c r="T49" i="4"/>
  <c r="U49" i="4" a="1"/>
  <c r="U49" i="4"/>
  <c r="V49" i="4" a="1"/>
  <c r="V49" i="4"/>
  <c r="W49" i="4" a="1"/>
  <c r="W49" i="4"/>
  <c r="X49" i="4" a="1"/>
  <c r="X49" i="4"/>
  <c r="Y49" i="4" a="1"/>
  <c r="Y49" i="4"/>
  <c r="Z49" i="4" a="1"/>
  <c r="Z49" i="4"/>
  <c r="AA49" i="4" a="1"/>
  <c r="AA49" i="4"/>
  <c r="AB49" i="4" a="1"/>
  <c r="AB49" i="4"/>
  <c r="AC49" i="4" a="1"/>
  <c r="AC49" i="4"/>
  <c r="E50" i="4" a="1"/>
  <c r="E50" i="4"/>
  <c r="F50" i="4" a="1"/>
  <c r="F50" i="4"/>
  <c r="G50" i="4" a="1"/>
  <c r="G50" i="4"/>
  <c r="H50" i="4" a="1"/>
  <c r="H50" i="4"/>
  <c r="I50" i="4" a="1"/>
  <c r="I50" i="4"/>
  <c r="J50" i="4" a="1"/>
  <c r="J50" i="4"/>
  <c r="K50" i="4" a="1"/>
  <c r="K50" i="4"/>
  <c r="L50" i="4" a="1"/>
  <c r="L50" i="4"/>
  <c r="M50" i="4" a="1"/>
  <c r="M50" i="4"/>
  <c r="N50" i="4" a="1"/>
  <c r="N50" i="4"/>
  <c r="O50" i="4" a="1"/>
  <c r="O50" i="4"/>
  <c r="P50" i="4" a="1"/>
  <c r="P50" i="4"/>
  <c r="Q50" i="4" a="1"/>
  <c r="Q50" i="4"/>
  <c r="R50" i="4" a="1"/>
  <c r="R50" i="4"/>
  <c r="S50" i="4" a="1"/>
  <c r="S50" i="4"/>
  <c r="T50" i="4" a="1"/>
  <c r="T50" i="4"/>
  <c r="U50" i="4" a="1"/>
  <c r="U50" i="4"/>
  <c r="V50" i="4" a="1"/>
  <c r="V50" i="4"/>
  <c r="W50" i="4" a="1"/>
  <c r="W50" i="4"/>
  <c r="X50" i="4" a="1"/>
  <c r="X50" i="4"/>
  <c r="Y50" i="4" a="1"/>
  <c r="Y50" i="4"/>
  <c r="Z50" i="4" a="1"/>
  <c r="Z50" i="4"/>
  <c r="AA50" i="4" a="1"/>
  <c r="AA50" i="4"/>
  <c r="AB50" i="4" a="1"/>
  <c r="AB50" i="4"/>
  <c r="AC50" i="4" a="1"/>
  <c r="AC50" i="4"/>
  <c r="E51" i="4" a="1"/>
  <c r="E51" i="4"/>
  <c r="F51" i="4" a="1"/>
  <c r="F51" i="4"/>
  <c r="G51" i="4" a="1"/>
  <c r="G51" i="4"/>
  <c r="H51" i="4" a="1"/>
  <c r="H51" i="4"/>
  <c r="I51" i="4" a="1"/>
  <c r="I51" i="4"/>
  <c r="J51" i="4" a="1"/>
  <c r="J51" i="4"/>
  <c r="K51" i="4" a="1"/>
  <c r="K51" i="4"/>
  <c r="L51" i="4" a="1"/>
  <c r="L51" i="4"/>
  <c r="M51" i="4" a="1"/>
  <c r="M51" i="4"/>
  <c r="N51" i="4" a="1"/>
  <c r="N51" i="4"/>
  <c r="O51" i="4" a="1"/>
  <c r="O51" i="4"/>
  <c r="P51" i="4" a="1"/>
  <c r="P51" i="4"/>
  <c r="Q51" i="4" a="1"/>
  <c r="Q51" i="4"/>
  <c r="R51" i="4" a="1"/>
  <c r="R51" i="4"/>
  <c r="S51" i="4" a="1"/>
  <c r="S51" i="4"/>
  <c r="T51" i="4" a="1"/>
  <c r="T51" i="4"/>
  <c r="U51" i="4" a="1"/>
  <c r="U51" i="4"/>
  <c r="V51" i="4" a="1"/>
  <c r="V51" i="4"/>
  <c r="W51" i="4" a="1"/>
  <c r="W51" i="4"/>
  <c r="X51" i="4" a="1"/>
  <c r="X51" i="4"/>
  <c r="Y51" i="4" a="1"/>
  <c r="Y51" i="4"/>
  <c r="Z51" i="4" a="1"/>
  <c r="Z51" i="4"/>
  <c r="AA51" i="4" a="1"/>
  <c r="AA51" i="4"/>
  <c r="AB51" i="4" a="1"/>
  <c r="AB51" i="4"/>
  <c r="AC51" i="4" a="1"/>
  <c r="AC51" i="4"/>
  <c r="E52" i="4"/>
  <c r="F52" i="4"/>
  <c r="G52" i="4"/>
  <c r="H52" i="4"/>
  <c r="I52" i="4"/>
  <c r="J52" i="4"/>
  <c r="K52" i="4"/>
  <c r="L52" i="4"/>
  <c r="M52" i="4"/>
  <c r="N52" i="4"/>
  <c r="O52" i="4"/>
  <c r="P52" i="4"/>
  <c r="Q52" i="4"/>
  <c r="R52" i="4"/>
  <c r="S52" i="4"/>
  <c r="T52" i="4"/>
  <c r="U52" i="4"/>
  <c r="V52" i="4"/>
  <c r="W52" i="4"/>
  <c r="X52" i="4"/>
  <c r="Y52" i="4"/>
  <c r="Z52" i="4"/>
  <c r="AA52" i="4"/>
  <c r="AB52" i="4"/>
  <c r="AC52" i="4"/>
  <c r="E68" i="4" a="1"/>
  <c r="E68" i="4"/>
  <c r="F68" i="4" a="1"/>
  <c r="F68" i="4"/>
  <c r="D69" i="4" a="1"/>
  <c r="D69" i="4"/>
  <c r="E69" i="4" a="1"/>
  <c r="E69" i="4"/>
  <c r="F69" i="4" a="1"/>
  <c r="F69" i="4"/>
  <c r="G69" i="4" a="1"/>
  <c r="G69" i="4"/>
  <c r="H69" i="4" a="1"/>
  <c r="H69" i="4"/>
  <c r="I69" i="4" a="1"/>
  <c r="I69" i="4"/>
  <c r="J69" i="4" a="1"/>
  <c r="J69" i="4"/>
  <c r="K69" i="4" a="1"/>
  <c r="K69" i="4"/>
  <c r="L69" i="4" a="1"/>
  <c r="L69" i="4"/>
  <c r="M69" i="4" a="1"/>
  <c r="M69" i="4"/>
  <c r="N69" i="4" a="1"/>
  <c r="N69" i="4"/>
  <c r="O69" i="4" a="1"/>
  <c r="O69" i="4"/>
  <c r="P69" i="4" a="1"/>
  <c r="P69" i="4"/>
  <c r="Q69" i="4" a="1"/>
  <c r="Q69" i="4"/>
  <c r="R69" i="4" a="1"/>
  <c r="R69" i="4"/>
  <c r="S69" i="4" a="1"/>
  <c r="S69" i="4"/>
  <c r="T69" i="4" a="1"/>
  <c r="T69" i="4"/>
  <c r="U69" i="4" a="1"/>
  <c r="U69" i="4"/>
  <c r="V69" i="4" a="1"/>
  <c r="V69" i="4"/>
  <c r="W69" i="4" a="1"/>
  <c r="W69" i="4"/>
  <c r="X69" i="4" a="1"/>
  <c r="X69" i="4"/>
  <c r="Y69" i="4" a="1"/>
  <c r="Y69" i="4"/>
  <c r="Z69" i="4" a="1"/>
  <c r="Z69" i="4"/>
  <c r="AA69" i="4" a="1"/>
  <c r="AA69" i="4"/>
  <c r="AB69" i="4" a="1"/>
  <c r="AB69" i="4"/>
  <c r="AC69" i="4" a="1"/>
  <c r="AC69" i="4"/>
  <c r="D70" i="4" a="1"/>
  <c r="D70" i="4"/>
  <c r="E70" i="4" a="1"/>
  <c r="E70" i="4"/>
  <c r="F70" i="4" a="1"/>
  <c r="F70" i="4"/>
  <c r="G70" i="4" a="1"/>
  <c r="G70" i="4"/>
  <c r="H70" i="4" a="1"/>
  <c r="H70" i="4"/>
  <c r="I70" i="4" a="1"/>
  <c r="I70" i="4"/>
  <c r="J70" i="4" a="1"/>
  <c r="J70" i="4"/>
  <c r="K70" i="4" a="1"/>
  <c r="K70" i="4"/>
  <c r="L70" i="4" a="1"/>
  <c r="L70" i="4"/>
  <c r="M70" i="4" a="1"/>
  <c r="M70" i="4"/>
  <c r="N70" i="4" a="1"/>
  <c r="N70" i="4"/>
  <c r="O70" i="4" a="1"/>
  <c r="O70" i="4"/>
  <c r="P70" i="4" a="1"/>
  <c r="P70" i="4"/>
  <c r="Q70" i="4" a="1"/>
  <c r="Q70" i="4"/>
  <c r="R70" i="4" a="1"/>
  <c r="R70" i="4"/>
  <c r="S70" i="4" a="1"/>
  <c r="S70" i="4"/>
  <c r="T70" i="4" a="1"/>
  <c r="T70" i="4"/>
  <c r="U70" i="4" a="1"/>
  <c r="U70" i="4"/>
  <c r="V70" i="4" a="1"/>
  <c r="V70" i="4"/>
  <c r="W70" i="4" a="1"/>
  <c r="W70" i="4"/>
  <c r="X70" i="4" a="1"/>
  <c r="X70" i="4"/>
  <c r="Y70" i="4" a="1"/>
  <c r="Y70" i="4"/>
  <c r="Z70" i="4" a="1"/>
  <c r="Z70" i="4"/>
  <c r="AA70" i="4" a="1"/>
  <c r="AA70" i="4"/>
  <c r="AB70" i="4" a="1"/>
  <c r="AB70" i="4"/>
  <c r="AC70" i="4" a="1"/>
  <c r="AC70" i="4"/>
  <c r="D83" i="4"/>
  <c r="E83" i="4"/>
  <c r="F83" i="4"/>
  <c r="G83" i="4"/>
  <c r="H83" i="4"/>
  <c r="I83" i="4"/>
  <c r="J83" i="4"/>
  <c r="K83" i="4"/>
  <c r="L83" i="4"/>
  <c r="M83" i="4"/>
  <c r="N83" i="4"/>
  <c r="O83" i="4"/>
  <c r="P83" i="4"/>
  <c r="Q83" i="4"/>
  <c r="R83" i="4"/>
  <c r="S83" i="4"/>
  <c r="T83" i="4"/>
  <c r="U83" i="4"/>
  <c r="V83" i="4"/>
  <c r="W83" i="4"/>
  <c r="X83" i="4"/>
  <c r="Y83" i="4"/>
  <c r="Z83" i="4"/>
  <c r="AA83" i="4"/>
  <c r="AB83" i="4"/>
  <c r="AC83" i="4"/>
  <c r="E85" i="4"/>
  <c r="F85" i="4"/>
  <c r="G85" i="4"/>
  <c r="H85" i="4"/>
  <c r="I85" i="4"/>
  <c r="J85" i="4"/>
  <c r="K85" i="4"/>
  <c r="L85" i="4"/>
  <c r="M85" i="4"/>
  <c r="N85" i="4"/>
  <c r="O85" i="4"/>
  <c r="P85" i="4"/>
  <c r="Q85" i="4"/>
  <c r="R85" i="4"/>
  <c r="S85" i="4"/>
  <c r="T85" i="4"/>
  <c r="U85" i="4"/>
  <c r="V85" i="4"/>
  <c r="W85" i="4"/>
  <c r="X85" i="4"/>
  <c r="Y85" i="4"/>
  <c r="Z85" i="4"/>
  <c r="AA85" i="4"/>
  <c r="AB85" i="4"/>
  <c r="AC85" i="4"/>
  <c r="E86" i="4"/>
  <c r="F86" i="4"/>
  <c r="G86" i="4"/>
  <c r="H86" i="4"/>
  <c r="I86" i="4"/>
  <c r="J86" i="4"/>
  <c r="K86" i="4"/>
  <c r="L86" i="4"/>
  <c r="M86" i="4"/>
  <c r="N86" i="4"/>
  <c r="O86" i="4"/>
  <c r="P86" i="4"/>
  <c r="Q86" i="4"/>
  <c r="R86" i="4"/>
  <c r="S86" i="4"/>
  <c r="T86" i="4"/>
  <c r="U86" i="4"/>
  <c r="V86" i="4"/>
  <c r="W86" i="4"/>
  <c r="X86" i="4"/>
  <c r="Y86" i="4"/>
  <c r="Z86" i="4"/>
  <c r="AA86" i="4"/>
  <c r="AB86" i="4"/>
  <c r="AC86" i="4"/>
  <c r="D87" i="4" a="1"/>
  <c r="D87" i="4"/>
  <c r="E87" i="4" a="1"/>
  <c r="E87" i="4"/>
  <c r="F87" i="4" a="1"/>
  <c r="F87" i="4"/>
  <c r="G87" i="4" a="1"/>
  <c r="G87" i="4"/>
  <c r="H87" i="4" a="1"/>
  <c r="H87" i="4"/>
  <c r="I87" i="4" a="1"/>
  <c r="I87" i="4"/>
  <c r="J87" i="4" a="1"/>
  <c r="J87" i="4"/>
  <c r="K87" i="4" a="1"/>
  <c r="K87" i="4"/>
  <c r="L87" i="4" a="1"/>
  <c r="L87" i="4"/>
  <c r="M87" i="4" a="1"/>
  <c r="M87" i="4"/>
  <c r="N87" i="4" a="1"/>
  <c r="N87" i="4"/>
  <c r="O87" i="4" a="1"/>
  <c r="O87" i="4"/>
  <c r="P87" i="4" a="1"/>
  <c r="P87" i="4"/>
  <c r="Q87" i="4" a="1"/>
  <c r="Q87" i="4"/>
  <c r="R87" i="4" a="1"/>
  <c r="R87" i="4"/>
  <c r="S87" i="4" a="1"/>
  <c r="S87" i="4"/>
  <c r="T87" i="4" a="1"/>
  <c r="T87" i="4"/>
  <c r="U87" i="4" a="1"/>
  <c r="U87" i="4"/>
  <c r="V87" i="4" a="1"/>
  <c r="V87" i="4"/>
  <c r="W87" i="4" a="1"/>
  <c r="W87" i="4"/>
  <c r="X87" i="4" a="1"/>
  <c r="X87" i="4"/>
  <c r="Y87" i="4" a="1"/>
  <c r="Y87" i="4"/>
  <c r="Z87" i="4" a="1"/>
  <c r="Z87" i="4"/>
  <c r="AA87" i="4" a="1"/>
  <c r="AA87" i="4"/>
  <c r="AB87" i="4" a="1"/>
  <c r="AB87" i="4"/>
  <c r="AC87" i="4" a="1"/>
  <c r="AC87" i="4"/>
  <c r="D88" i="4" a="1"/>
  <c r="D88" i="4"/>
  <c r="E88" i="4" a="1"/>
  <c r="E88" i="4"/>
  <c r="F88" i="4" a="1"/>
  <c r="F88" i="4"/>
  <c r="G88" i="4" a="1"/>
  <c r="G88" i="4"/>
  <c r="H88" i="4" a="1"/>
  <c r="H88" i="4"/>
  <c r="I88" i="4" a="1"/>
  <c r="I88" i="4"/>
  <c r="J88" i="4" a="1"/>
  <c r="J88" i="4"/>
  <c r="K88" i="4" a="1"/>
  <c r="K88" i="4"/>
  <c r="L88" i="4" a="1"/>
  <c r="L88" i="4"/>
  <c r="M88" i="4" a="1"/>
  <c r="M88" i="4"/>
  <c r="N88" i="4" a="1"/>
  <c r="N88" i="4"/>
  <c r="O88" i="4" a="1"/>
  <c r="O88" i="4"/>
  <c r="P88" i="4" a="1"/>
  <c r="P88" i="4"/>
  <c r="Q88" i="4" a="1"/>
  <c r="Q88" i="4"/>
  <c r="R88" i="4" a="1"/>
  <c r="R88" i="4"/>
  <c r="S88" i="4" a="1"/>
  <c r="S88" i="4"/>
  <c r="T88" i="4" a="1"/>
  <c r="T88" i="4"/>
  <c r="U88" i="4" a="1"/>
  <c r="U88" i="4"/>
  <c r="V88" i="4" a="1"/>
  <c r="V88" i="4"/>
  <c r="W88" i="4" a="1"/>
  <c r="W88" i="4"/>
  <c r="X88" i="4" a="1"/>
  <c r="X88" i="4"/>
  <c r="Y88" i="4" a="1"/>
  <c r="Y88" i="4"/>
  <c r="Z88" i="4" a="1"/>
  <c r="Z88" i="4"/>
  <c r="AA88" i="4" a="1"/>
  <c r="AA88" i="4"/>
  <c r="AB88" i="4" a="1"/>
  <c r="AB88" i="4"/>
  <c r="AC88" i="4" a="1"/>
  <c r="AC88" i="4"/>
  <c r="D89" i="4"/>
  <c r="E89" i="4"/>
  <c r="F89" i="4"/>
  <c r="G89" i="4"/>
  <c r="H89" i="4"/>
  <c r="I89" i="4"/>
  <c r="J89" i="4"/>
  <c r="K89" i="4"/>
  <c r="L89" i="4"/>
  <c r="M89" i="4"/>
  <c r="N89" i="4"/>
  <c r="O89" i="4"/>
  <c r="P89" i="4"/>
  <c r="Q89" i="4"/>
  <c r="R89" i="4"/>
  <c r="S89" i="4"/>
  <c r="T89" i="4"/>
  <c r="U89" i="4"/>
  <c r="V89" i="4"/>
  <c r="W89" i="4"/>
  <c r="X89" i="4"/>
  <c r="Y89" i="4"/>
  <c r="Z89" i="4"/>
  <c r="AA89" i="4"/>
  <c r="AB89" i="4"/>
  <c r="AC89" i="4"/>
  <c r="D90" i="4"/>
  <c r="E90" i="4"/>
  <c r="F90" i="4"/>
  <c r="G90" i="4"/>
  <c r="H90" i="4"/>
  <c r="I90" i="4"/>
  <c r="J90" i="4"/>
  <c r="K90" i="4"/>
  <c r="L90" i="4"/>
  <c r="M90" i="4"/>
  <c r="N90" i="4"/>
  <c r="O90" i="4"/>
  <c r="P90" i="4"/>
  <c r="Q90" i="4"/>
  <c r="R90" i="4"/>
  <c r="S90" i="4"/>
  <c r="T90" i="4"/>
  <c r="U90" i="4"/>
  <c r="V90" i="4"/>
  <c r="W90" i="4"/>
  <c r="X90" i="4"/>
  <c r="Y90" i="4"/>
  <c r="Z90" i="4"/>
  <c r="AA90" i="4"/>
  <c r="AB90" i="4"/>
  <c r="AC90" i="4"/>
  <c r="D91" i="4"/>
  <c r="E91" i="4"/>
  <c r="F91" i="4"/>
  <c r="G91" i="4"/>
  <c r="H91" i="4"/>
  <c r="I91" i="4"/>
  <c r="J91" i="4"/>
  <c r="K91" i="4"/>
  <c r="L91" i="4"/>
  <c r="M91" i="4"/>
  <c r="N91" i="4"/>
  <c r="O91" i="4"/>
  <c r="P91" i="4"/>
  <c r="Q91" i="4"/>
  <c r="R91" i="4"/>
  <c r="S91" i="4"/>
  <c r="T91" i="4"/>
  <c r="U91" i="4"/>
  <c r="V91" i="4"/>
  <c r="W91" i="4"/>
  <c r="X91" i="4"/>
  <c r="Y91" i="4"/>
  <c r="Z91" i="4"/>
  <c r="AA91" i="4"/>
  <c r="AB91" i="4"/>
  <c r="AC91" i="4"/>
  <c r="D93" i="4"/>
  <c r="E93" i="4"/>
  <c r="F93" i="4"/>
  <c r="G93" i="4"/>
  <c r="H93" i="4"/>
  <c r="I93" i="4"/>
  <c r="J93" i="4"/>
  <c r="K93" i="4"/>
  <c r="L93" i="4"/>
  <c r="M93" i="4"/>
  <c r="N93" i="4"/>
  <c r="O93" i="4"/>
  <c r="P93" i="4"/>
  <c r="Q93" i="4"/>
  <c r="R93" i="4"/>
  <c r="S93" i="4"/>
  <c r="T93" i="4"/>
  <c r="U93" i="4"/>
  <c r="V93" i="4"/>
  <c r="W93" i="4"/>
  <c r="X93" i="4"/>
  <c r="Y93" i="4"/>
  <c r="Z93" i="4"/>
  <c r="AA93" i="4"/>
  <c r="AB93" i="4"/>
  <c r="AC93" i="4"/>
  <c r="D94" i="4"/>
  <c r="E94" i="4"/>
  <c r="F94" i="4"/>
  <c r="G94" i="4"/>
  <c r="H94" i="4"/>
  <c r="I94" i="4"/>
  <c r="J94" i="4"/>
  <c r="K94" i="4"/>
  <c r="L94" i="4"/>
  <c r="M94" i="4"/>
  <c r="N94" i="4"/>
  <c r="O94" i="4"/>
  <c r="P94" i="4"/>
  <c r="Q94" i="4"/>
  <c r="R94" i="4"/>
  <c r="S94" i="4"/>
  <c r="T94" i="4"/>
  <c r="U94" i="4"/>
  <c r="V94" i="4"/>
  <c r="W94" i="4"/>
  <c r="X94" i="4"/>
  <c r="Y94" i="4"/>
  <c r="Z94" i="4"/>
  <c r="AA94" i="4"/>
  <c r="AB94" i="4"/>
  <c r="AC94" i="4"/>
  <c r="D95" i="4"/>
  <c r="E95" i="4"/>
  <c r="F95" i="4"/>
  <c r="G95" i="4"/>
  <c r="H95" i="4"/>
  <c r="I95" i="4"/>
  <c r="J95" i="4"/>
  <c r="K95" i="4"/>
  <c r="L95" i="4"/>
  <c r="M95" i="4"/>
  <c r="N95" i="4"/>
  <c r="O95" i="4"/>
  <c r="P95" i="4"/>
  <c r="Q95" i="4"/>
  <c r="R95" i="4"/>
  <c r="S95" i="4"/>
  <c r="T95" i="4"/>
  <c r="U95" i="4"/>
  <c r="V95" i="4"/>
  <c r="W95" i="4"/>
  <c r="X95" i="4"/>
  <c r="Y95" i="4"/>
  <c r="Z95" i="4"/>
  <c r="AA95" i="4"/>
  <c r="AB95" i="4"/>
  <c r="AC95" i="4"/>
  <c r="D96" i="4"/>
  <c r="E96" i="4"/>
  <c r="F96" i="4"/>
  <c r="G96" i="4"/>
  <c r="H96" i="4"/>
  <c r="I96" i="4"/>
  <c r="J96" i="4"/>
  <c r="K96" i="4"/>
  <c r="L96" i="4"/>
  <c r="M96" i="4"/>
  <c r="N96" i="4"/>
  <c r="O96" i="4"/>
  <c r="P96" i="4"/>
  <c r="Q96" i="4"/>
  <c r="R96" i="4"/>
  <c r="S96" i="4"/>
  <c r="T96" i="4"/>
  <c r="U96" i="4"/>
  <c r="V96" i="4"/>
  <c r="W96" i="4"/>
  <c r="X96" i="4"/>
  <c r="Y96" i="4"/>
  <c r="Z96" i="4"/>
  <c r="AA96" i="4"/>
  <c r="AB96" i="4"/>
  <c r="AC96" i="4"/>
  <c r="D99" i="4"/>
  <c r="E99" i="4"/>
  <c r="F99" i="4"/>
  <c r="G99" i="4"/>
  <c r="H99" i="4"/>
  <c r="I99" i="4"/>
  <c r="J99" i="4"/>
  <c r="K99" i="4"/>
  <c r="L99" i="4"/>
  <c r="M99" i="4"/>
  <c r="N99" i="4"/>
  <c r="O99" i="4"/>
  <c r="P99" i="4"/>
  <c r="Q99" i="4"/>
  <c r="R99" i="4"/>
  <c r="S99" i="4"/>
  <c r="T99" i="4"/>
  <c r="U99" i="4"/>
  <c r="V99" i="4"/>
  <c r="W99" i="4"/>
  <c r="X99" i="4"/>
  <c r="Y99" i="4"/>
  <c r="Z99" i="4"/>
  <c r="AA99" i="4"/>
  <c r="AB99" i="4"/>
  <c r="AC99"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D101" i="4"/>
  <c r="E101" i="4"/>
  <c r="F101" i="4"/>
  <c r="G101" i="4"/>
  <c r="H101" i="4"/>
  <c r="I101" i="4"/>
  <c r="J101" i="4"/>
  <c r="K101" i="4"/>
  <c r="L101" i="4"/>
  <c r="M101" i="4"/>
  <c r="N101" i="4"/>
  <c r="O101" i="4"/>
  <c r="P101" i="4"/>
  <c r="Q101" i="4"/>
  <c r="R101" i="4"/>
  <c r="S101" i="4"/>
  <c r="T101" i="4"/>
  <c r="U101" i="4"/>
  <c r="V101" i="4"/>
  <c r="W101" i="4"/>
  <c r="X101" i="4"/>
  <c r="Y101" i="4"/>
  <c r="Z101" i="4"/>
  <c r="AA101" i="4"/>
  <c r="AB101" i="4"/>
  <c r="AC101" i="4"/>
  <c r="D102" i="4"/>
  <c r="E102" i="4"/>
  <c r="F102" i="4"/>
  <c r="G102" i="4"/>
  <c r="H102" i="4"/>
  <c r="I102" i="4"/>
  <c r="J102" i="4"/>
  <c r="K102" i="4"/>
  <c r="L102" i="4"/>
  <c r="M102" i="4"/>
  <c r="N102" i="4"/>
  <c r="O102" i="4"/>
  <c r="P102" i="4"/>
  <c r="Q102" i="4"/>
  <c r="R102" i="4"/>
  <c r="S102" i="4"/>
  <c r="T102" i="4"/>
  <c r="U102" i="4"/>
  <c r="V102" i="4"/>
  <c r="W102" i="4"/>
  <c r="X102" i="4"/>
  <c r="Y102" i="4"/>
  <c r="Z102" i="4"/>
  <c r="AA102" i="4"/>
  <c r="AB102" i="4"/>
  <c r="AC102" i="4"/>
  <c r="F131" i="4"/>
  <c r="G131" i="4"/>
  <c r="H131" i="4"/>
  <c r="I131" i="4"/>
  <c r="J131" i="4"/>
  <c r="K131" i="4"/>
  <c r="L131" i="4"/>
  <c r="M131" i="4"/>
  <c r="N131" i="4"/>
  <c r="O131" i="4"/>
  <c r="P131" i="4"/>
  <c r="Q131" i="4"/>
  <c r="R131" i="4"/>
  <c r="S131" i="4"/>
  <c r="T131" i="4"/>
  <c r="U131" i="4"/>
  <c r="V131" i="4"/>
  <c r="W131" i="4"/>
  <c r="X131" i="4"/>
  <c r="Y131" i="4"/>
  <c r="Z131" i="4"/>
  <c r="AA131" i="4"/>
  <c r="AB131" i="4"/>
  <c r="AC131" i="4"/>
  <c r="F132" i="4" a="1"/>
  <c r="F132" i="4"/>
  <c r="G132" i="4" a="1"/>
  <c r="G132" i="4"/>
  <c r="H132" i="4" a="1"/>
  <c r="H132" i="4"/>
  <c r="I132" i="4" a="1"/>
  <c r="I132" i="4"/>
  <c r="J132" i="4" a="1"/>
  <c r="J132" i="4"/>
  <c r="K132" i="4" a="1"/>
  <c r="K132" i="4"/>
  <c r="L132" i="4" a="1"/>
  <c r="L132" i="4"/>
  <c r="M132" i="4" a="1"/>
  <c r="M132" i="4"/>
  <c r="N132" i="4" a="1"/>
  <c r="N132" i="4"/>
  <c r="O132" i="4" a="1"/>
  <c r="O132" i="4"/>
  <c r="P132" i="4" a="1"/>
  <c r="P132" i="4"/>
  <c r="Q132" i="4" a="1"/>
  <c r="Q132" i="4"/>
  <c r="R132" i="4" a="1"/>
  <c r="R132" i="4"/>
  <c r="S132" i="4" a="1"/>
  <c r="S132" i="4"/>
  <c r="T132" i="4" a="1"/>
  <c r="T132" i="4"/>
  <c r="U132" i="4" a="1"/>
  <c r="U132" i="4"/>
  <c r="V132" i="4" a="1"/>
  <c r="V132" i="4"/>
  <c r="W132" i="4" a="1"/>
  <c r="W132" i="4"/>
  <c r="X132" i="4" a="1"/>
  <c r="X132" i="4"/>
  <c r="Y132" i="4" a="1"/>
  <c r="Y132" i="4"/>
  <c r="Z132" i="4" a="1"/>
  <c r="Z132" i="4"/>
  <c r="AA132" i="4" a="1"/>
  <c r="AA132" i="4"/>
  <c r="AB132" i="4" a="1"/>
  <c r="AB132" i="4"/>
  <c r="AC132" i="4" a="1"/>
  <c r="AC132" i="4"/>
  <c r="D133" i="4" a="1"/>
  <c r="D133" i="4"/>
  <c r="E133" i="4" a="1"/>
  <c r="E133" i="4"/>
  <c r="F133" i="4" a="1"/>
  <c r="F133" i="4"/>
  <c r="G133" i="4" a="1"/>
  <c r="G133" i="4"/>
  <c r="H133" i="4" a="1"/>
  <c r="H133" i="4"/>
  <c r="I133" i="4" a="1"/>
  <c r="I133" i="4"/>
  <c r="J133" i="4" a="1"/>
  <c r="J133" i="4"/>
  <c r="K133" i="4" a="1"/>
  <c r="K133" i="4"/>
  <c r="L133" i="4" a="1"/>
  <c r="L133" i="4"/>
  <c r="M133" i="4" a="1"/>
  <c r="M133" i="4"/>
  <c r="N133" i="4" a="1"/>
  <c r="N133" i="4"/>
  <c r="O133" i="4" a="1"/>
  <c r="O133" i="4"/>
  <c r="P133" i="4" a="1"/>
  <c r="P133" i="4"/>
  <c r="Q133" i="4" a="1"/>
  <c r="Q133" i="4"/>
  <c r="R133" i="4" a="1"/>
  <c r="R133" i="4"/>
  <c r="S133" i="4" a="1"/>
  <c r="S133" i="4"/>
  <c r="T133" i="4" a="1"/>
  <c r="T133" i="4"/>
  <c r="U133" i="4" a="1"/>
  <c r="U133" i="4"/>
  <c r="V133" i="4" a="1"/>
  <c r="V133" i="4"/>
  <c r="W133" i="4" a="1"/>
  <c r="W133" i="4"/>
  <c r="X133" i="4" a="1"/>
  <c r="X133" i="4"/>
  <c r="Y133" i="4" a="1"/>
  <c r="Y133" i="4"/>
  <c r="Z133" i="4" a="1"/>
  <c r="Z133" i="4"/>
  <c r="AA133" i="4" a="1"/>
  <c r="AA133" i="4"/>
  <c r="D134" i="4"/>
  <c r="E134" i="4"/>
  <c r="F134" i="4"/>
  <c r="G134" i="4"/>
  <c r="H134" i="4"/>
  <c r="I134" i="4"/>
  <c r="J134" i="4"/>
  <c r="K134" i="4"/>
  <c r="L134" i="4"/>
  <c r="M134" i="4"/>
  <c r="N134" i="4"/>
  <c r="O134" i="4"/>
  <c r="P134" i="4"/>
  <c r="Q134" i="4"/>
  <c r="R134" i="4"/>
  <c r="S134" i="4"/>
  <c r="T134" i="4"/>
  <c r="U134" i="4"/>
  <c r="V134" i="4"/>
  <c r="W134" i="4"/>
  <c r="X134" i="4"/>
  <c r="Y134" i="4"/>
  <c r="Z134" i="4"/>
  <c r="AA134" i="4"/>
  <c r="AB134" i="4"/>
  <c r="AC134" i="4"/>
  <c r="E140" i="4" a="1"/>
  <c r="E140" i="4"/>
  <c r="F140" i="4" a="1"/>
  <c r="F140" i="4"/>
  <c r="G140" i="4" a="1"/>
  <c r="G140" i="4"/>
  <c r="H140" i="4" a="1"/>
  <c r="H140" i="4"/>
  <c r="I140" i="4" a="1"/>
  <c r="I140" i="4"/>
  <c r="J140" i="4" a="1"/>
  <c r="J140" i="4"/>
  <c r="K140" i="4" a="1"/>
  <c r="K140" i="4"/>
  <c r="L140" i="4" a="1"/>
  <c r="L140" i="4"/>
  <c r="M140" i="4" a="1"/>
  <c r="M140" i="4"/>
  <c r="N140" i="4" a="1"/>
  <c r="N140" i="4"/>
  <c r="O140" i="4" a="1"/>
  <c r="O140" i="4"/>
  <c r="P140" i="4" a="1"/>
  <c r="P140" i="4"/>
  <c r="Q140" i="4" a="1"/>
  <c r="Q140" i="4"/>
  <c r="R140" i="4" a="1"/>
  <c r="R140" i="4"/>
  <c r="S140" i="4" a="1"/>
  <c r="S140" i="4"/>
  <c r="T140" i="4" a="1"/>
  <c r="T140" i="4"/>
  <c r="U140" i="4" a="1"/>
  <c r="U140" i="4"/>
  <c r="V140" i="4" a="1"/>
  <c r="V140" i="4"/>
  <c r="W140" i="4" a="1"/>
  <c r="W140" i="4"/>
  <c r="X140" i="4" a="1"/>
  <c r="X140" i="4"/>
  <c r="Y140" i="4" a="1"/>
  <c r="Y140" i="4"/>
  <c r="Z140" i="4" a="1"/>
  <c r="Z140" i="4"/>
  <c r="AA140" i="4" a="1"/>
  <c r="AA140" i="4"/>
  <c r="AB140" i="4" a="1"/>
  <c r="AB140" i="4"/>
  <c r="AC140" i="4" a="1"/>
  <c r="AC140" i="4"/>
  <c r="E141" i="4" a="1"/>
  <c r="E141" i="4"/>
  <c r="F141" i="4" a="1"/>
  <c r="F141" i="4"/>
  <c r="G141" i="4" a="1"/>
  <c r="G141" i="4"/>
  <c r="H141" i="4" a="1"/>
  <c r="H141" i="4"/>
  <c r="I141" i="4" a="1"/>
  <c r="I141" i="4"/>
  <c r="J141" i="4" a="1"/>
  <c r="J141" i="4"/>
  <c r="K141" i="4" a="1"/>
  <c r="K141" i="4"/>
  <c r="L141" i="4" a="1"/>
  <c r="L141" i="4"/>
  <c r="M141" i="4" a="1"/>
  <c r="M141" i="4"/>
  <c r="N141" i="4" a="1"/>
  <c r="N141" i="4"/>
  <c r="O141" i="4" a="1"/>
  <c r="O141" i="4"/>
  <c r="P141" i="4" a="1"/>
  <c r="P141" i="4"/>
  <c r="Q141" i="4" a="1"/>
  <c r="Q141" i="4"/>
  <c r="R141" i="4" a="1"/>
  <c r="R141" i="4"/>
  <c r="S141" i="4" a="1"/>
  <c r="S141" i="4"/>
  <c r="T141" i="4" a="1"/>
  <c r="T141" i="4"/>
  <c r="U141" i="4" a="1"/>
  <c r="U141" i="4"/>
  <c r="V141" i="4" a="1"/>
  <c r="V141" i="4"/>
  <c r="W141" i="4" a="1"/>
  <c r="W141" i="4"/>
  <c r="X141" i="4" a="1"/>
  <c r="X141" i="4"/>
  <c r="Y141" i="4" a="1"/>
  <c r="Y141" i="4"/>
  <c r="Z141" i="4" a="1"/>
  <c r="Z141" i="4"/>
  <c r="AA141" i="4" a="1"/>
  <c r="AA141" i="4"/>
  <c r="AB141" i="4" a="1"/>
  <c r="AB141" i="4"/>
  <c r="AC141" i="4" a="1"/>
  <c r="AC141" i="4"/>
  <c r="E142" i="4" a="1"/>
  <c r="E142" i="4"/>
  <c r="F142" i="4" a="1"/>
  <c r="F142" i="4"/>
  <c r="G142" i="4" a="1"/>
  <c r="G142" i="4"/>
  <c r="H142" i="4" a="1"/>
  <c r="H142" i="4"/>
  <c r="I142" i="4" a="1"/>
  <c r="I142" i="4"/>
  <c r="J142" i="4" a="1"/>
  <c r="J142" i="4"/>
  <c r="K142" i="4" a="1"/>
  <c r="K142" i="4"/>
  <c r="L142" i="4" a="1"/>
  <c r="L142" i="4"/>
  <c r="M142" i="4" a="1"/>
  <c r="M142" i="4"/>
  <c r="N142" i="4" a="1"/>
  <c r="N142" i="4"/>
  <c r="O142" i="4" a="1"/>
  <c r="O142" i="4"/>
  <c r="P142" i="4" a="1"/>
  <c r="P142" i="4"/>
  <c r="Q142" i="4" a="1"/>
  <c r="Q142" i="4"/>
  <c r="R142" i="4" a="1"/>
  <c r="R142" i="4"/>
  <c r="S142" i="4" a="1"/>
  <c r="S142" i="4"/>
  <c r="T142" i="4" a="1"/>
  <c r="T142" i="4"/>
  <c r="U142" i="4" a="1"/>
  <c r="U142" i="4"/>
  <c r="V142" i="4" a="1"/>
  <c r="V142" i="4"/>
  <c r="W142" i="4" a="1"/>
  <c r="W142" i="4"/>
  <c r="X142" i="4" a="1"/>
  <c r="X142" i="4"/>
  <c r="Y142" i="4" a="1"/>
  <c r="Y142" i="4"/>
  <c r="Z142" i="4" a="1"/>
  <c r="Z142" i="4"/>
  <c r="AA142" i="4" a="1"/>
  <c r="AA142" i="4"/>
  <c r="AB142" i="4" a="1"/>
  <c r="AB142" i="4"/>
  <c r="AC142" i="4" a="1"/>
  <c r="AC142" i="4"/>
  <c r="D143" i="4" a="1"/>
  <c r="D143" i="4"/>
  <c r="E143" i="4" a="1"/>
  <c r="E143" i="4"/>
  <c r="F143" i="4" a="1"/>
  <c r="F143" i="4"/>
  <c r="G143" i="4" a="1"/>
  <c r="G143" i="4"/>
  <c r="H143" i="4" a="1"/>
  <c r="H143" i="4"/>
  <c r="I143" i="4" a="1"/>
  <c r="I143" i="4"/>
  <c r="J143" i="4" a="1"/>
  <c r="J143" i="4"/>
  <c r="K143" i="4" a="1"/>
  <c r="K143" i="4"/>
  <c r="L143" i="4" a="1"/>
  <c r="L143" i="4"/>
  <c r="M143" i="4" a="1"/>
  <c r="M143" i="4"/>
  <c r="N143" i="4" a="1"/>
  <c r="N143" i="4"/>
  <c r="O143" i="4" a="1"/>
  <c r="O143" i="4"/>
  <c r="P143" i="4" a="1"/>
  <c r="P143" i="4"/>
  <c r="Q143" i="4" a="1"/>
  <c r="Q143" i="4"/>
  <c r="R143" i="4" a="1"/>
  <c r="R143" i="4"/>
  <c r="S143" i="4" a="1"/>
  <c r="S143" i="4"/>
  <c r="T143" i="4" a="1"/>
  <c r="T143" i="4"/>
  <c r="U143" i="4" a="1"/>
  <c r="U143" i="4"/>
  <c r="V143" i="4" a="1"/>
  <c r="V143" i="4"/>
  <c r="W143" i="4" a="1"/>
  <c r="W143" i="4"/>
  <c r="X143" i="4" a="1"/>
  <c r="X143" i="4"/>
  <c r="Y143" i="4" a="1"/>
  <c r="Y143" i="4"/>
  <c r="Z143" i="4" a="1"/>
  <c r="Z143" i="4"/>
  <c r="AA143" i="4" a="1"/>
  <c r="AA143" i="4"/>
  <c r="D144" i="4"/>
  <c r="E144" i="4"/>
  <c r="F144" i="4"/>
  <c r="G144" i="4"/>
  <c r="H144" i="4"/>
  <c r="I144" i="4"/>
  <c r="J144" i="4"/>
  <c r="K144" i="4"/>
  <c r="L144" i="4"/>
  <c r="M144" i="4"/>
  <c r="N144" i="4"/>
  <c r="O144" i="4"/>
  <c r="P144" i="4"/>
  <c r="Q144" i="4"/>
  <c r="R144" i="4"/>
  <c r="S144" i="4"/>
  <c r="T144" i="4"/>
  <c r="U144" i="4"/>
  <c r="V144" i="4"/>
  <c r="W144" i="4"/>
  <c r="X144" i="4"/>
  <c r="Y144" i="4"/>
  <c r="Z144" i="4"/>
  <c r="AA144" i="4"/>
  <c r="AB144" i="4"/>
  <c r="AC144" i="4"/>
  <c r="D201" i="4"/>
  <c r="E201" i="4"/>
  <c r="F201" i="4"/>
  <c r="G201" i="4"/>
  <c r="H201" i="4"/>
  <c r="I201" i="4"/>
  <c r="J201" i="4"/>
  <c r="K201" i="4"/>
  <c r="L201" i="4"/>
  <c r="M201" i="4"/>
  <c r="N201" i="4"/>
  <c r="O201" i="4"/>
  <c r="P201" i="4"/>
  <c r="Q201" i="4"/>
  <c r="R201" i="4"/>
  <c r="S201" i="4"/>
  <c r="T201" i="4"/>
  <c r="U201" i="4"/>
  <c r="V201" i="4"/>
  <c r="W201" i="4"/>
  <c r="X201" i="4"/>
  <c r="Y201" i="4"/>
  <c r="Z201" i="4"/>
  <c r="AA201" i="4"/>
  <c r="AB201" i="4"/>
  <c r="AC201" i="4"/>
  <c r="D202" i="4"/>
  <c r="E202" i="4"/>
  <c r="F202" i="4"/>
  <c r="G202" i="4"/>
  <c r="H202" i="4"/>
  <c r="I202" i="4"/>
  <c r="J202" i="4"/>
  <c r="K202" i="4"/>
  <c r="L202" i="4"/>
  <c r="M202" i="4"/>
  <c r="N202" i="4"/>
  <c r="O202" i="4"/>
  <c r="P202" i="4"/>
  <c r="Q202" i="4"/>
  <c r="R202" i="4"/>
  <c r="S202" i="4"/>
  <c r="T202" i="4"/>
  <c r="U202" i="4"/>
  <c r="V202" i="4"/>
  <c r="W202" i="4"/>
  <c r="X202" i="4"/>
  <c r="Y202" i="4"/>
  <c r="Z202" i="4"/>
  <c r="AA202" i="4"/>
  <c r="AB202" i="4"/>
  <c r="AC202" i="4"/>
  <c r="D203" i="4"/>
  <c r="E203" i="4"/>
  <c r="F203" i="4"/>
  <c r="G203" i="4"/>
  <c r="H203" i="4"/>
  <c r="I203" i="4"/>
  <c r="J203" i="4"/>
  <c r="K203" i="4"/>
  <c r="L203" i="4"/>
  <c r="M203" i="4"/>
  <c r="N203" i="4"/>
  <c r="O203" i="4"/>
  <c r="P203" i="4"/>
  <c r="Q203" i="4"/>
  <c r="R203" i="4"/>
  <c r="S203" i="4"/>
  <c r="T203" i="4"/>
  <c r="U203" i="4"/>
  <c r="V203" i="4"/>
  <c r="W203" i="4"/>
  <c r="X203" i="4"/>
  <c r="Y203" i="4"/>
  <c r="Z203" i="4"/>
  <c r="AA203" i="4"/>
  <c r="AB203" i="4"/>
  <c r="AC203" i="4"/>
  <c r="D204" i="4"/>
  <c r="E204" i="4"/>
  <c r="F204" i="4"/>
  <c r="G204" i="4"/>
  <c r="H204" i="4"/>
  <c r="I204" i="4"/>
  <c r="J204" i="4"/>
  <c r="K204" i="4"/>
  <c r="L204" i="4"/>
  <c r="M204" i="4"/>
  <c r="N204" i="4"/>
  <c r="O204" i="4"/>
  <c r="P204" i="4"/>
  <c r="Q204" i="4"/>
  <c r="R204" i="4"/>
  <c r="S204" i="4"/>
  <c r="T204" i="4"/>
  <c r="U204" i="4"/>
  <c r="V204" i="4"/>
  <c r="W204" i="4"/>
  <c r="X204" i="4"/>
  <c r="Y204" i="4"/>
  <c r="Z204" i="4"/>
  <c r="AA204" i="4"/>
  <c r="AB204" i="4"/>
  <c r="AC204" i="4"/>
  <c r="D205" i="4"/>
  <c r="E205" i="4"/>
  <c r="F205" i="4"/>
  <c r="G205" i="4"/>
  <c r="H205" i="4"/>
  <c r="I205" i="4"/>
  <c r="J205" i="4"/>
  <c r="K205" i="4"/>
  <c r="L205" i="4"/>
  <c r="M205" i="4"/>
  <c r="N205" i="4"/>
  <c r="O205" i="4"/>
  <c r="P205" i="4"/>
  <c r="Q205" i="4"/>
  <c r="R205" i="4"/>
  <c r="S205" i="4"/>
  <c r="T205" i="4"/>
  <c r="U205" i="4"/>
  <c r="V205" i="4"/>
  <c r="W205" i="4"/>
  <c r="X205" i="4"/>
  <c r="Y205" i="4"/>
  <c r="Z205" i="4"/>
  <c r="AA205" i="4"/>
  <c r="AB205" i="4"/>
  <c r="AC205" i="4"/>
  <c r="D206" i="4"/>
  <c r="E206" i="4"/>
  <c r="F206" i="4"/>
  <c r="G206" i="4"/>
  <c r="H206" i="4"/>
  <c r="I206" i="4"/>
  <c r="J206" i="4"/>
  <c r="K206" i="4"/>
  <c r="L206" i="4"/>
  <c r="M206" i="4"/>
  <c r="N206" i="4"/>
  <c r="O206" i="4"/>
  <c r="P206" i="4"/>
  <c r="Q206" i="4"/>
  <c r="R206" i="4"/>
  <c r="S206" i="4"/>
  <c r="T206" i="4"/>
  <c r="U206" i="4"/>
  <c r="V206" i="4"/>
  <c r="W206" i="4"/>
  <c r="X206" i="4"/>
  <c r="Y206" i="4"/>
  <c r="Z206" i="4"/>
  <c r="AA206" i="4"/>
  <c r="AB206" i="4"/>
  <c r="AC206" i="4"/>
  <c r="E207" i="4"/>
  <c r="F207" i="4"/>
  <c r="G207" i="4"/>
  <c r="H207" i="4"/>
  <c r="I207" i="4"/>
  <c r="J207" i="4"/>
  <c r="K207" i="4"/>
  <c r="L207" i="4"/>
  <c r="M207" i="4"/>
  <c r="N207" i="4"/>
  <c r="O207" i="4"/>
  <c r="P207" i="4"/>
  <c r="Q207" i="4"/>
  <c r="R207" i="4"/>
  <c r="S207" i="4"/>
  <c r="T207" i="4"/>
  <c r="U207" i="4"/>
  <c r="V207" i="4"/>
  <c r="W207" i="4"/>
  <c r="X207" i="4"/>
  <c r="Y207" i="4"/>
  <c r="Z207" i="4"/>
  <c r="AA207" i="4"/>
  <c r="AB207" i="4"/>
  <c r="AC207" i="4"/>
  <c r="D208" i="4"/>
  <c r="E208" i="4"/>
  <c r="F208" i="4"/>
  <c r="G208" i="4"/>
  <c r="H208" i="4"/>
  <c r="I208" i="4"/>
  <c r="J208" i="4"/>
  <c r="K208" i="4"/>
  <c r="L208" i="4"/>
  <c r="M208" i="4"/>
  <c r="N208" i="4"/>
  <c r="O208" i="4"/>
  <c r="P208" i="4"/>
  <c r="Q208" i="4"/>
  <c r="R208" i="4"/>
  <c r="S208" i="4"/>
  <c r="T208" i="4"/>
  <c r="U208" i="4"/>
  <c r="V208" i="4"/>
  <c r="W208" i="4"/>
  <c r="X208" i="4"/>
  <c r="Y208" i="4"/>
  <c r="Z208" i="4"/>
  <c r="AA208" i="4"/>
  <c r="D209" i="4"/>
  <c r="E209" i="4"/>
  <c r="F209" i="4"/>
  <c r="G209" i="4"/>
  <c r="H209" i="4"/>
  <c r="I209" i="4"/>
  <c r="J209" i="4"/>
  <c r="K209" i="4"/>
  <c r="L209" i="4"/>
  <c r="M209" i="4"/>
  <c r="N209" i="4"/>
  <c r="O209" i="4"/>
  <c r="P209" i="4"/>
  <c r="Q209" i="4"/>
  <c r="R209" i="4"/>
  <c r="S209" i="4"/>
  <c r="T209" i="4"/>
  <c r="U209" i="4"/>
  <c r="V209" i="4"/>
  <c r="W209" i="4"/>
  <c r="X209" i="4"/>
  <c r="Y209" i="4"/>
  <c r="Z209" i="4"/>
  <c r="AA209" i="4"/>
  <c r="AB209" i="4"/>
  <c r="AC209" i="4"/>
  <c r="F210" i="4"/>
  <c r="G210" i="4"/>
  <c r="H210" i="4"/>
  <c r="I210" i="4"/>
  <c r="J210" i="4"/>
  <c r="K210" i="4"/>
  <c r="L210" i="4"/>
  <c r="M210" i="4"/>
  <c r="N210" i="4"/>
  <c r="O210" i="4"/>
  <c r="P210" i="4"/>
  <c r="Q210" i="4"/>
  <c r="R210" i="4"/>
  <c r="S210" i="4"/>
  <c r="T210" i="4"/>
  <c r="U210" i="4"/>
  <c r="V210" i="4"/>
  <c r="W210" i="4"/>
  <c r="X210" i="4"/>
  <c r="Y210" i="4"/>
  <c r="Z210" i="4"/>
  <c r="AA210" i="4"/>
  <c r="AB210" i="4"/>
  <c r="AC210" i="4"/>
  <c r="D142" i="15" a="1"/>
  <c r="D142" i="15"/>
  <c r="E142" i="15" a="1"/>
  <c r="E142" i="15"/>
  <c r="F142" i="15" a="1"/>
  <c r="F142" i="15"/>
  <c r="G142" i="15" a="1"/>
  <c r="G142" i="15"/>
  <c r="H142" i="15" a="1"/>
  <c r="H142" i="15"/>
  <c r="I142" i="15" a="1"/>
  <c r="I142" i="15"/>
  <c r="J142" i="15" a="1"/>
  <c r="J142" i="15"/>
  <c r="K142" i="15" a="1"/>
  <c r="K142" i="15"/>
  <c r="L142" i="15" a="1"/>
  <c r="L142" i="15"/>
  <c r="M142" i="15" a="1"/>
  <c r="M142" i="15"/>
  <c r="N142" i="15" a="1"/>
  <c r="N142" i="15"/>
  <c r="O142" i="15" a="1"/>
  <c r="O142" i="15"/>
  <c r="P142" i="15" a="1"/>
  <c r="P142" i="15"/>
  <c r="Q142" i="15" a="1"/>
  <c r="Q142" i="15"/>
  <c r="R142" i="15" a="1"/>
  <c r="R142" i="15"/>
  <c r="S142" i="15" a="1"/>
  <c r="S142" i="15"/>
  <c r="T142" i="15" a="1"/>
  <c r="T142" i="15"/>
  <c r="U142" i="15" a="1"/>
  <c r="U142" i="15"/>
  <c r="V142" i="15" a="1"/>
  <c r="V142" i="15"/>
  <c r="W142" i="15" a="1"/>
  <c r="W142" i="15"/>
  <c r="X142" i="15" a="1"/>
  <c r="X142" i="15"/>
  <c r="Y142" i="15" a="1"/>
  <c r="Y142" i="15"/>
  <c r="Z142" i="15" a="1"/>
  <c r="Z142" i="15"/>
  <c r="AA142" i="15" a="1"/>
  <c r="AA142" i="15"/>
  <c r="AB142" i="15" a="1"/>
  <c r="AB142" i="15"/>
  <c r="AC142" i="15" a="1"/>
  <c r="AC142" i="15"/>
  <c r="D143" i="15" a="1"/>
  <c r="D143" i="15"/>
  <c r="E143" i="15" a="1"/>
  <c r="E143" i="15"/>
  <c r="F143" i="15" a="1"/>
  <c r="F143" i="15"/>
  <c r="G143" i="15" a="1"/>
  <c r="G143" i="15"/>
  <c r="H143" i="15" a="1"/>
  <c r="H143" i="15"/>
  <c r="I143" i="15" a="1"/>
  <c r="I143" i="15"/>
  <c r="J143" i="15" a="1"/>
  <c r="J143" i="15"/>
  <c r="K143" i="15" a="1"/>
  <c r="K143" i="15"/>
  <c r="L143" i="15" a="1"/>
  <c r="L143" i="15"/>
  <c r="M143" i="15" a="1"/>
  <c r="M143" i="15"/>
  <c r="N143" i="15" a="1"/>
  <c r="N143" i="15"/>
  <c r="O143" i="15" a="1"/>
  <c r="O143" i="15"/>
  <c r="P143" i="15" a="1"/>
  <c r="P143" i="15"/>
  <c r="Q143" i="15" a="1"/>
  <c r="Q143" i="15"/>
  <c r="R143" i="15" a="1"/>
  <c r="R143" i="15"/>
  <c r="S143" i="15" a="1"/>
  <c r="S143" i="15"/>
  <c r="T143" i="15" a="1"/>
  <c r="T143" i="15"/>
  <c r="U143" i="15" a="1"/>
  <c r="U143" i="15"/>
  <c r="V143" i="15" a="1"/>
  <c r="V143" i="15"/>
  <c r="W143" i="15" a="1"/>
  <c r="W143" i="15"/>
  <c r="X143" i="15" a="1"/>
  <c r="X143" i="15"/>
  <c r="Y143" i="15" a="1"/>
  <c r="Y143" i="15"/>
  <c r="Z143" i="15" a="1"/>
  <c r="Z143" i="15"/>
  <c r="AA143" i="15" a="1"/>
  <c r="AA143" i="15"/>
  <c r="AB143" i="15" a="1"/>
  <c r="AB143" i="15"/>
  <c r="AC143" i="15" a="1"/>
  <c r="AC143" i="15"/>
  <c r="D144" i="15" a="1"/>
  <c r="D144" i="15"/>
  <c r="E144" i="15" a="1"/>
  <c r="E144" i="15"/>
  <c r="F144" i="15" a="1"/>
  <c r="F144" i="15"/>
  <c r="G144" i="15" a="1"/>
  <c r="G144" i="15"/>
  <c r="H144" i="15" a="1"/>
  <c r="H144" i="15"/>
  <c r="I144" i="15" a="1"/>
  <c r="I144" i="15"/>
  <c r="J144" i="15" a="1"/>
  <c r="J144" i="15"/>
  <c r="K144" i="15" a="1"/>
  <c r="K144" i="15"/>
  <c r="L144" i="15" a="1"/>
  <c r="L144" i="15"/>
  <c r="M144" i="15" a="1"/>
  <c r="M144" i="15"/>
  <c r="N144" i="15" a="1"/>
  <c r="N144" i="15"/>
  <c r="O144" i="15" a="1"/>
  <c r="O144" i="15"/>
  <c r="P144" i="15" a="1"/>
  <c r="P144" i="15"/>
  <c r="Q144" i="15" a="1"/>
  <c r="Q144" i="15"/>
  <c r="R144" i="15" a="1"/>
  <c r="R144" i="15"/>
  <c r="S144" i="15" a="1"/>
  <c r="S144" i="15"/>
  <c r="T144" i="15" a="1"/>
  <c r="T144" i="15"/>
  <c r="U144" i="15" a="1"/>
  <c r="U144" i="15"/>
  <c r="V144" i="15" a="1"/>
  <c r="V144" i="15"/>
  <c r="W144" i="15" a="1"/>
  <c r="W144" i="15"/>
  <c r="X144" i="15" a="1"/>
  <c r="X144" i="15"/>
  <c r="Y144" i="15" a="1"/>
  <c r="Y144" i="15"/>
  <c r="Z144" i="15" a="1"/>
  <c r="Z144" i="15"/>
  <c r="AA144" i="15" a="1"/>
  <c r="AA144" i="15"/>
  <c r="AB144" i="15" a="1"/>
  <c r="AB144" i="15"/>
  <c r="AC144" i="15" a="1"/>
  <c r="AC144" i="15"/>
  <c r="D145" i="15" a="1"/>
  <c r="D145" i="15"/>
  <c r="E145" i="15" a="1"/>
  <c r="E145" i="15"/>
  <c r="F145" i="15" a="1"/>
  <c r="F145" i="15"/>
  <c r="G145" i="15" a="1"/>
  <c r="G145" i="15"/>
  <c r="H145" i="15" a="1"/>
  <c r="H145" i="15"/>
  <c r="I145" i="15" a="1"/>
  <c r="I145" i="15"/>
  <c r="J145" i="15" a="1"/>
  <c r="J145" i="15"/>
  <c r="K145" i="15" a="1"/>
  <c r="K145" i="15"/>
  <c r="L145" i="15" a="1"/>
  <c r="L145" i="15"/>
  <c r="M145" i="15" a="1"/>
  <c r="M145" i="15"/>
  <c r="N145" i="15" a="1"/>
  <c r="N145" i="15"/>
  <c r="O145" i="15" a="1"/>
  <c r="O145" i="15"/>
  <c r="P145" i="15" a="1"/>
  <c r="P145" i="15"/>
  <c r="Q145" i="15" a="1"/>
  <c r="Q145" i="15"/>
  <c r="R145" i="15" a="1"/>
  <c r="R145" i="15"/>
  <c r="S145" i="15" a="1"/>
  <c r="S145" i="15"/>
  <c r="T145" i="15" a="1"/>
  <c r="T145" i="15"/>
  <c r="U145" i="15" a="1"/>
  <c r="U145" i="15"/>
  <c r="V145" i="15" a="1"/>
  <c r="V145" i="15"/>
  <c r="W145" i="15" a="1"/>
  <c r="W145" i="15"/>
  <c r="X145" i="15" a="1"/>
  <c r="X145" i="15"/>
  <c r="Y145" i="15" a="1"/>
  <c r="Y145" i="15"/>
  <c r="Z145" i="15" a="1"/>
  <c r="Z145" i="15"/>
  <c r="AA145" i="15" a="1"/>
  <c r="AA145" i="15"/>
  <c r="AB145" i="15" a="1"/>
  <c r="AB145" i="15"/>
  <c r="AC145" i="15" a="1"/>
  <c r="AC145" i="15"/>
  <c r="D8" i="10" a="1"/>
  <c r="D8" i="10"/>
  <c r="E8" i="10" a="1"/>
  <c r="E8" i="10"/>
  <c r="F8" i="10" a="1"/>
  <c r="F8" i="10"/>
  <c r="G8" i="10" a="1"/>
  <c r="G8" i="10"/>
  <c r="H8" i="10" a="1"/>
  <c r="H8" i="10"/>
  <c r="I8" i="10" a="1"/>
  <c r="I8" i="10"/>
  <c r="J8" i="10" a="1"/>
  <c r="J8" i="10"/>
  <c r="K8" i="10" a="1"/>
  <c r="K8" i="10"/>
  <c r="L8" i="10" a="1"/>
  <c r="L8" i="10"/>
  <c r="M8" i="10" a="1"/>
  <c r="M8" i="10"/>
  <c r="N8" i="10" a="1"/>
  <c r="N8" i="10"/>
  <c r="O8" i="10" a="1"/>
  <c r="O8" i="10"/>
  <c r="P8" i="10" a="1"/>
  <c r="P8" i="10"/>
  <c r="Q8" i="10" a="1"/>
  <c r="Q8" i="10"/>
  <c r="R8" i="10" a="1"/>
  <c r="R8" i="10"/>
  <c r="S8" i="10" a="1"/>
  <c r="S8" i="10"/>
  <c r="T8" i="10" a="1"/>
  <c r="T8" i="10"/>
  <c r="U8" i="10" a="1"/>
  <c r="U8" i="10"/>
  <c r="V8" i="10" a="1"/>
  <c r="V8" i="10"/>
  <c r="W8" i="10" a="1"/>
  <c r="W8" i="10"/>
  <c r="X8" i="10" a="1"/>
  <c r="X8" i="10"/>
  <c r="Y8" i="10" a="1"/>
  <c r="Y8" i="10"/>
  <c r="Z8" i="10" a="1"/>
  <c r="Z8" i="10"/>
  <c r="AA8" i="10" a="1"/>
  <c r="AA8" i="10"/>
  <c r="AB8" i="10" a="1"/>
  <c r="AB8" i="10"/>
  <c r="AC8" i="10" a="1"/>
  <c r="AC8"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D13" i="10" a="1"/>
  <c r="D13" i="10"/>
  <c r="E13" i="10" a="1"/>
  <c r="E13" i="10"/>
  <c r="F13" i="10" a="1"/>
  <c r="F13" i="10"/>
  <c r="G13" i="10" a="1"/>
  <c r="G13" i="10"/>
  <c r="H13" i="10" a="1"/>
  <c r="H13" i="10"/>
  <c r="I13" i="10" a="1"/>
  <c r="I13" i="10"/>
  <c r="J13" i="10" a="1"/>
  <c r="J13" i="10"/>
  <c r="K13" i="10" a="1"/>
  <c r="K13" i="10"/>
  <c r="L13" i="10" a="1"/>
  <c r="L13" i="10"/>
  <c r="M13" i="10" a="1"/>
  <c r="M13" i="10"/>
  <c r="N13" i="10" a="1"/>
  <c r="N13" i="10"/>
  <c r="O13" i="10" a="1"/>
  <c r="O13" i="10"/>
  <c r="P13" i="10" a="1"/>
  <c r="P13" i="10"/>
  <c r="Q13" i="10" a="1"/>
  <c r="Q13" i="10"/>
  <c r="R13" i="10" a="1"/>
  <c r="R13" i="10"/>
  <c r="S13" i="10" a="1"/>
  <c r="S13" i="10"/>
  <c r="T13" i="10" a="1"/>
  <c r="T13" i="10"/>
  <c r="U13" i="10" a="1"/>
  <c r="U13" i="10"/>
  <c r="V13" i="10" a="1"/>
  <c r="V13" i="10"/>
  <c r="W13" i="10" a="1"/>
  <c r="W13" i="10"/>
  <c r="X13" i="10" a="1"/>
  <c r="X13" i="10"/>
  <c r="Y13" i="10" a="1"/>
  <c r="Y13" i="10"/>
  <c r="Z13" i="10" a="1"/>
  <c r="Z13" i="10"/>
  <c r="AA13" i="10" a="1"/>
  <c r="AA13" i="10"/>
  <c r="AB13" i="10" a="1"/>
  <c r="AB13" i="10"/>
  <c r="AC13" i="10" a="1"/>
  <c r="AC13"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D21" i="10" a="1"/>
  <c r="D21" i="10"/>
  <c r="E21" i="10" a="1"/>
  <c r="E21" i="10"/>
  <c r="F21" i="10" a="1"/>
  <c r="F21" i="10"/>
  <c r="G21" i="10" a="1"/>
  <c r="G21" i="10"/>
  <c r="H21" i="10" a="1"/>
  <c r="H21" i="10"/>
  <c r="I21" i="10" a="1"/>
  <c r="I21" i="10"/>
  <c r="J21" i="10" a="1"/>
  <c r="J21" i="10"/>
  <c r="K21" i="10" a="1"/>
  <c r="K21" i="10"/>
  <c r="L21" i="10" a="1"/>
  <c r="L21" i="10"/>
  <c r="M21" i="10" a="1"/>
  <c r="M21" i="10"/>
  <c r="N21" i="10" a="1"/>
  <c r="N21" i="10"/>
  <c r="O21" i="10" a="1"/>
  <c r="O21" i="10"/>
  <c r="P21" i="10" a="1"/>
  <c r="P21" i="10"/>
  <c r="Q21" i="10" a="1"/>
  <c r="Q21" i="10"/>
  <c r="R21" i="10" a="1"/>
  <c r="R21" i="10"/>
  <c r="S21" i="10" a="1"/>
  <c r="S21" i="10"/>
  <c r="T21" i="10" a="1"/>
  <c r="T21" i="10"/>
  <c r="U21" i="10" a="1"/>
  <c r="U21" i="10"/>
  <c r="V21" i="10" a="1"/>
  <c r="V21" i="10"/>
  <c r="W21" i="10" a="1"/>
  <c r="W21" i="10"/>
  <c r="X21" i="10" a="1"/>
  <c r="X21" i="10"/>
  <c r="Y21" i="10" a="1"/>
  <c r="Y21" i="10"/>
  <c r="Z21" i="10" a="1"/>
  <c r="Z21" i="10"/>
  <c r="AA21" i="10" a="1"/>
  <c r="AA21" i="10"/>
  <c r="AB21" i="10" a="1"/>
  <c r="AB21" i="10"/>
  <c r="AC21" i="10" a="1"/>
  <c r="AC21" i="10"/>
  <c r="E23" i="10" a="1"/>
  <c r="E23" i="10"/>
  <c r="F23" i="10" a="1"/>
  <c r="F23" i="10"/>
  <c r="G23" i="10" a="1"/>
  <c r="G23" i="10"/>
  <c r="H23" i="10" a="1"/>
  <c r="H23" i="10"/>
  <c r="I23" i="10" a="1"/>
  <c r="I23" i="10"/>
  <c r="J23" i="10" a="1"/>
  <c r="J23" i="10"/>
  <c r="K23" i="10" a="1"/>
  <c r="K23" i="10"/>
  <c r="L23" i="10" a="1"/>
  <c r="L23" i="10"/>
  <c r="M23" i="10" a="1"/>
  <c r="M23" i="10"/>
  <c r="N23" i="10" a="1"/>
  <c r="N23" i="10"/>
  <c r="O23" i="10" a="1"/>
  <c r="O23" i="10"/>
  <c r="P23" i="10" a="1"/>
  <c r="P23" i="10"/>
  <c r="Q23" i="10" a="1"/>
  <c r="Q23" i="10"/>
  <c r="R23" i="10" a="1"/>
  <c r="R23" i="10"/>
  <c r="S23" i="10" a="1"/>
  <c r="S23" i="10"/>
  <c r="T23" i="10" a="1"/>
  <c r="T23" i="10"/>
  <c r="U23" i="10" a="1"/>
  <c r="U23" i="10"/>
  <c r="V23" i="10" a="1"/>
  <c r="V23" i="10"/>
  <c r="W23" i="10" a="1"/>
  <c r="W23" i="10"/>
  <c r="X23" i="10" a="1"/>
  <c r="X23" i="10"/>
  <c r="Y23" i="10" a="1"/>
  <c r="Y23" i="10"/>
  <c r="Z23" i="10" a="1"/>
  <c r="Z23" i="10"/>
  <c r="AA23" i="10" a="1"/>
  <c r="AA23" i="10"/>
  <c r="AB23" i="10" a="1"/>
  <c r="AB23" i="10"/>
  <c r="AC23" i="10" a="1"/>
  <c r="AC23" i="10"/>
  <c r="D24" i="10" a="1"/>
  <c r="D24" i="10"/>
  <c r="E24" i="10" a="1"/>
  <c r="E24" i="10"/>
  <c r="F24" i="10" a="1"/>
  <c r="F24" i="10"/>
  <c r="G24" i="10" a="1"/>
  <c r="G24" i="10"/>
  <c r="H24" i="10" a="1"/>
  <c r="H24" i="10"/>
  <c r="I24" i="10" a="1"/>
  <c r="I24" i="10"/>
  <c r="J24" i="10" a="1"/>
  <c r="J24" i="10"/>
  <c r="K24" i="10" a="1"/>
  <c r="K24" i="10"/>
  <c r="L24" i="10" a="1"/>
  <c r="L24" i="10"/>
  <c r="M24" i="10" a="1"/>
  <c r="M24" i="10"/>
  <c r="N24" i="10" a="1"/>
  <c r="N24" i="10"/>
  <c r="O24" i="10" a="1"/>
  <c r="O24" i="10"/>
  <c r="P24" i="10" a="1"/>
  <c r="P24" i="10"/>
  <c r="Q24" i="10" a="1"/>
  <c r="Q24" i="10"/>
  <c r="R24" i="10" a="1"/>
  <c r="R24" i="10"/>
  <c r="S24" i="10" a="1"/>
  <c r="S24" i="10"/>
  <c r="T24" i="10" a="1"/>
  <c r="T24" i="10"/>
  <c r="U24" i="10" a="1"/>
  <c r="U24" i="10"/>
  <c r="V24" i="10" a="1"/>
  <c r="V24" i="10"/>
  <c r="W24" i="10" a="1"/>
  <c r="W24" i="10"/>
  <c r="X24" i="10" a="1"/>
  <c r="X24" i="10"/>
  <c r="Y24" i="10" a="1"/>
  <c r="Y24" i="10"/>
  <c r="Z24" i="10" a="1"/>
  <c r="Z24" i="10"/>
  <c r="AA24" i="10" a="1"/>
  <c r="AA24" i="10"/>
  <c r="AB24" i="10" a="1"/>
  <c r="AB24" i="10"/>
  <c r="AC24" i="10" a="1"/>
  <c r="AC24" i="10"/>
  <c r="D25" i="10" a="1"/>
  <c r="D25" i="10"/>
  <c r="E25" i="10" a="1"/>
  <c r="E25" i="10"/>
  <c r="F25" i="10" a="1"/>
  <c r="F25" i="10"/>
  <c r="G25" i="10" a="1"/>
  <c r="G25" i="10"/>
  <c r="H25" i="10" a="1"/>
  <c r="H25" i="10"/>
  <c r="I25" i="10" a="1"/>
  <c r="I25" i="10"/>
  <c r="J25" i="10" a="1"/>
  <c r="J25" i="10"/>
  <c r="K25" i="10" a="1"/>
  <c r="K25" i="10"/>
  <c r="L25" i="10" a="1"/>
  <c r="L25" i="10"/>
  <c r="M25" i="10" a="1"/>
  <c r="M25" i="10"/>
  <c r="N25" i="10" a="1"/>
  <c r="N25" i="10"/>
  <c r="O25" i="10" a="1"/>
  <c r="O25" i="10"/>
  <c r="P25" i="10" a="1"/>
  <c r="P25" i="10"/>
  <c r="Q25" i="10" a="1"/>
  <c r="Q25" i="10"/>
  <c r="R25" i="10" a="1"/>
  <c r="R25" i="10"/>
  <c r="S25" i="10" a="1"/>
  <c r="S25" i="10"/>
  <c r="T25" i="10" a="1"/>
  <c r="T25" i="10"/>
  <c r="U25" i="10" a="1"/>
  <c r="U25" i="10"/>
  <c r="V25" i="10" a="1"/>
  <c r="V25" i="10"/>
  <c r="W25" i="10" a="1"/>
  <c r="W25" i="10"/>
  <c r="X25" i="10" a="1"/>
  <c r="X25" i="10"/>
  <c r="Y25" i="10" a="1"/>
  <c r="Y25" i="10"/>
  <c r="Z25" i="10" a="1"/>
  <c r="Z25" i="10"/>
  <c r="AA25" i="10" a="1"/>
  <c r="AA25" i="10"/>
  <c r="AB25" i="10" a="1"/>
  <c r="AB25" i="10"/>
  <c r="AC25" i="10" a="1"/>
  <c r="AC25"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D30" i="10" a="1"/>
  <c r="D30" i="10"/>
  <c r="E30" i="10" a="1"/>
  <c r="E30" i="10"/>
  <c r="F30" i="10" a="1"/>
  <c r="F30" i="10"/>
  <c r="G30" i="10" a="1"/>
  <c r="G30" i="10"/>
  <c r="H30" i="10" a="1"/>
  <c r="H30" i="10"/>
  <c r="I30" i="10" a="1"/>
  <c r="I30" i="10"/>
  <c r="J30" i="10" a="1"/>
  <c r="J30" i="10"/>
  <c r="K30" i="10" a="1"/>
  <c r="K30" i="10"/>
  <c r="L30" i="10" a="1"/>
  <c r="L30" i="10"/>
  <c r="M30" i="10" a="1"/>
  <c r="M30" i="10"/>
  <c r="N30" i="10" a="1"/>
  <c r="N30" i="10"/>
  <c r="O30" i="10" a="1"/>
  <c r="O30" i="10"/>
  <c r="P30" i="10" a="1"/>
  <c r="P30" i="10"/>
  <c r="Q30" i="10" a="1"/>
  <c r="Q30" i="10"/>
  <c r="R30" i="10" a="1"/>
  <c r="R30" i="10"/>
  <c r="S30" i="10" a="1"/>
  <c r="S30" i="10"/>
  <c r="T30" i="10" a="1"/>
  <c r="T30" i="10"/>
  <c r="U30" i="10" a="1"/>
  <c r="U30" i="10"/>
  <c r="V30" i="10" a="1"/>
  <c r="V30" i="10"/>
  <c r="W30" i="10" a="1"/>
  <c r="W30" i="10"/>
  <c r="X30" i="10" a="1"/>
  <c r="X30" i="10"/>
  <c r="Y30" i="10" a="1"/>
  <c r="Y30" i="10"/>
  <c r="Z30" i="10" a="1"/>
  <c r="Z30" i="10"/>
  <c r="AA30" i="10" a="1"/>
  <c r="AA30" i="10"/>
  <c r="AB30" i="10" a="1"/>
  <c r="AB30" i="10"/>
  <c r="AC30" i="10" a="1"/>
  <c r="AC30"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D42" i="10" a="1"/>
  <c r="D42" i="10"/>
  <c r="E42" i="10" a="1"/>
  <c r="E42" i="10"/>
  <c r="F42" i="10" a="1"/>
  <c r="F42" i="10"/>
  <c r="G42" i="10" a="1"/>
  <c r="G42" i="10"/>
  <c r="H42" i="10" a="1"/>
  <c r="H42" i="10"/>
  <c r="I42" i="10" a="1"/>
  <c r="I42" i="10"/>
  <c r="J42" i="10" a="1"/>
  <c r="J42" i="10"/>
  <c r="K42" i="10" a="1"/>
  <c r="K42" i="10"/>
  <c r="L42" i="10" a="1"/>
  <c r="L42" i="10"/>
  <c r="M42" i="10" a="1"/>
  <c r="M42" i="10"/>
  <c r="N42" i="10" a="1"/>
  <c r="N42" i="10"/>
  <c r="O42" i="10" a="1"/>
  <c r="O42" i="10"/>
  <c r="P42" i="10" a="1"/>
  <c r="P42" i="10"/>
  <c r="Q42" i="10" a="1"/>
  <c r="Q42" i="10"/>
  <c r="R42" i="10" a="1"/>
  <c r="R42" i="10"/>
  <c r="S42" i="10" a="1"/>
  <c r="S42" i="10"/>
  <c r="T42" i="10" a="1"/>
  <c r="T42" i="10"/>
  <c r="U42" i="10" a="1"/>
  <c r="U42" i="10"/>
  <c r="V42" i="10" a="1"/>
  <c r="V42" i="10"/>
  <c r="W42" i="10" a="1"/>
  <c r="W42" i="10"/>
  <c r="X42" i="10" a="1"/>
  <c r="X42" i="10"/>
  <c r="Y42" i="10" a="1"/>
  <c r="Y42" i="10"/>
  <c r="Z42" i="10" a="1"/>
  <c r="Z42" i="10"/>
  <c r="AA42" i="10" a="1"/>
  <c r="AA42" i="10"/>
  <c r="AB42" i="10" a="1"/>
  <c r="AB42" i="10"/>
  <c r="AC42" i="10" a="1"/>
  <c r="AC42" i="10"/>
  <c r="D46" i="10" a="1"/>
  <c r="D46" i="10"/>
  <c r="E46" i="10" a="1"/>
  <c r="E46" i="10"/>
  <c r="F46" i="10" a="1"/>
  <c r="F46" i="10"/>
  <c r="G46" i="10" a="1"/>
  <c r="G46" i="10"/>
  <c r="H46" i="10" a="1"/>
  <c r="H46" i="10"/>
  <c r="I46" i="10" a="1"/>
  <c r="I46" i="10"/>
  <c r="J46" i="10" a="1"/>
  <c r="J46" i="10"/>
  <c r="K46" i="10" a="1"/>
  <c r="K46" i="10"/>
  <c r="L46" i="10" a="1"/>
  <c r="L46" i="10"/>
  <c r="M46" i="10" a="1"/>
  <c r="M46" i="10"/>
  <c r="N46" i="10" a="1"/>
  <c r="N46" i="10"/>
  <c r="O46" i="10" a="1"/>
  <c r="O46" i="10"/>
  <c r="P46" i="10" a="1"/>
  <c r="P46" i="10"/>
  <c r="Q46" i="10" a="1"/>
  <c r="Q46" i="10"/>
  <c r="R46" i="10" a="1"/>
  <c r="R46" i="10"/>
  <c r="S46" i="10" a="1"/>
  <c r="S46" i="10"/>
  <c r="T46" i="10" a="1"/>
  <c r="T46" i="10"/>
  <c r="U46" i="10" a="1"/>
  <c r="U46" i="10"/>
  <c r="V46" i="10" a="1"/>
  <c r="V46" i="10"/>
  <c r="W46" i="10" a="1"/>
  <c r="W46" i="10"/>
  <c r="X46" i="10" a="1"/>
  <c r="X46" i="10"/>
  <c r="Y46" i="10" a="1"/>
  <c r="Y46" i="10"/>
  <c r="Z46" i="10" a="1"/>
  <c r="Z46" i="10"/>
  <c r="AA46" i="10" a="1"/>
  <c r="AA46" i="10"/>
  <c r="AB46" i="10" a="1"/>
  <c r="AB46" i="10"/>
  <c r="AC46" i="10" a="1"/>
  <c r="AC46" i="10"/>
  <c r="E47" i="10" a="1"/>
  <c r="E47" i="10"/>
  <c r="F47" i="10" a="1"/>
  <c r="F47" i="10"/>
  <c r="G47" i="10" a="1"/>
  <c r="G47" i="10"/>
  <c r="H47" i="10" a="1"/>
  <c r="H47" i="10"/>
  <c r="I47" i="10" a="1"/>
  <c r="I47" i="10"/>
  <c r="J47" i="10" a="1"/>
  <c r="J47" i="10"/>
  <c r="K47" i="10" a="1"/>
  <c r="K47" i="10"/>
  <c r="L47" i="10" a="1"/>
  <c r="L47" i="10"/>
  <c r="M47" i="10" a="1"/>
  <c r="M47" i="10"/>
  <c r="N47" i="10" a="1"/>
  <c r="N47" i="10"/>
  <c r="O47" i="10" a="1"/>
  <c r="O47" i="10"/>
  <c r="P47" i="10" a="1"/>
  <c r="P47" i="10"/>
  <c r="Q47" i="10" a="1"/>
  <c r="Q47" i="10"/>
  <c r="R47" i="10" a="1"/>
  <c r="R47" i="10"/>
  <c r="S47" i="10" a="1"/>
  <c r="S47" i="10"/>
  <c r="T47" i="10" a="1"/>
  <c r="T47" i="10"/>
  <c r="U47" i="10" a="1"/>
  <c r="U47" i="10"/>
  <c r="V47" i="10" a="1"/>
  <c r="V47" i="10"/>
  <c r="W47" i="10" a="1"/>
  <c r="W47" i="10"/>
  <c r="X47" i="10" a="1"/>
  <c r="X47" i="10"/>
  <c r="Y47" i="10" a="1"/>
  <c r="Y47" i="10"/>
  <c r="Z47" i="10" a="1"/>
  <c r="Z47" i="10"/>
  <c r="AA47" i="10" a="1"/>
  <c r="AA47" i="10"/>
  <c r="AB47" i="10" a="1"/>
  <c r="AB47" i="10"/>
  <c r="AC47" i="10" a="1"/>
  <c r="AC47"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D100" i="10" a="1"/>
  <c r="D100" i="10"/>
  <c r="E100" i="10" a="1"/>
  <c r="E100" i="10"/>
  <c r="F100" i="10" a="1"/>
  <c r="F100" i="10"/>
  <c r="G100" i="10" a="1"/>
  <c r="G100" i="10"/>
  <c r="H100" i="10" a="1"/>
  <c r="H100" i="10"/>
  <c r="I100" i="10" a="1"/>
  <c r="I100" i="10"/>
  <c r="J100" i="10" a="1"/>
  <c r="J100" i="10"/>
  <c r="K100" i="10" a="1"/>
  <c r="K100" i="10"/>
  <c r="L100" i="10" a="1"/>
  <c r="L100" i="10"/>
  <c r="M100" i="10" a="1"/>
  <c r="M100" i="10"/>
  <c r="N100" i="10" a="1"/>
  <c r="N100" i="10"/>
  <c r="O100" i="10" a="1"/>
  <c r="O100" i="10"/>
  <c r="P100" i="10" a="1"/>
  <c r="P100" i="10"/>
  <c r="Q100" i="10" a="1"/>
  <c r="Q100" i="10"/>
  <c r="R100" i="10" a="1"/>
  <c r="R100" i="10"/>
  <c r="S100" i="10" a="1"/>
  <c r="S100" i="10"/>
  <c r="T100" i="10" a="1"/>
  <c r="T100" i="10"/>
  <c r="U100" i="10" a="1"/>
  <c r="U100" i="10"/>
  <c r="V100" i="10" a="1"/>
  <c r="V100" i="10"/>
  <c r="W100" i="10" a="1"/>
  <c r="W100" i="10"/>
  <c r="X100" i="10" a="1"/>
  <c r="X100" i="10"/>
  <c r="Y100" i="10" a="1"/>
  <c r="Y100" i="10"/>
  <c r="Z100" i="10" a="1"/>
  <c r="Z100" i="10"/>
  <c r="AA100" i="10" a="1"/>
  <c r="AA100" i="10"/>
  <c r="AB100" i="10" a="1"/>
  <c r="AB100" i="10"/>
  <c r="AC100" i="10" a="1"/>
  <c r="AC100" i="10"/>
  <c r="D101" i="10" a="1"/>
  <c r="D101" i="10"/>
  <c r="E101" i="10" a="1"/>
  <c r="E101" i="10"/>
  <c r="F101" i="10" a="1"/>
  <c r="F101" i="10"/>
  <c r="G101" i="10" a="1"/>
  <c r="G101" i="10"/>
  <c r="H101" i="10" a="1"/>
  <c r="H101" i="10"/>
  <c r="I101" i="10" a="1"/>
  <c r="I101" i="10"/>
  <c r="J101" i="10" a="1"/>
  <c r="J101" i="10"/>
  <c r="K101" i="10" a="1"/>
  <c r="K101" i="10"/>
  <c r="L101" i="10" a="1"/>
  <c r="L101" i="10"/>
  <c r="M101" i="10" a="1"/>
  <c r="M101" i="10"/>
  <c r="N101" i="10" a="1"/>
  <c r="N101" i="10"/>
  <c r="O101" i="10" a="1"/>
  <c r="O101" i="10"/>
  <c r="P101" i="10" a="1"/>
  <c r="P101" i="10"/>
  <c r="Q101" i="10" a="1"/>
  <c r="Q101" i="10"/>
  <c r="R101" i="10" a="1"/>
  <c r="R101" i="10"/>
  <c r="S101" i="10" a="1"/>
  <c r="S101" i="10"/>
  <c r="T101" i="10" a="1"/>
  <c r="T101" i="10"/>
  <c r="U101" i="10" a="1"/>
  <c r="U101" i="10"/>
  <c r="V101" i="10" a="1"/>
  <c r="V101" i="10"/>
  <c r="W101" i="10" a="1"/>
  <c r="W101" i="10"/>
  <c r="X101" i="10" a="1"/>
  <c r="X101" i="10"/>
  <c r="Y101" i="10" a="1"/>
  <c r="Y101" i="10"/>
  <c r="Z101" i="10" a="1"/>
  <c r="Z101" i="10"/>
  <c r="AA101" i="10" a="1"/>
  <c r="AA101" i="10"/>
  <c r="AB101" i="10" a="1"/>
  <c r="AB101" i="10"/>
  <c r="AC101" i="10" a="1"/>
  <c r="AC101"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D103" i="10" a="1"/>
  <c r="D103" i="10"/>
  <c r="E103" i="10" a="1"/>
  <c r="E103" i="10"/>
  <c r="F103" i="10" a="1"/>
  <c r="F103" i="10"/>
  <c r="G103" i="10" a="1"/>
  <c r="G103" i="10"/>
  <c r="H103" i="10" a="1"/>
  <c r="H103" i="10"/>
  <c r="I103" i="10" a="1"/>
  <c r="I103" i="10"/>
  <c r="J103" i="10" a="1"/>
  <c r="J103" i="10"/>
  <c r="K103" i="10" a="1"/>
  <c r="K103" i="10"/>
  <c r="L103" i="10" a="1"/>
  <c r="L103" i="10"/>
  <c r="M103" i="10" a="1"/>
  <c r="M103" i="10"/>
  <c r="N103" i="10" a="1"/>
  <c r="N103" i="10"/>
  <c r="O103" i="10" a="1"/>
  <c r="O103" i="10"/>
  <c r="P103" i="10" a="1"/>
  <c r="P103" i="10"/>
  <c r="Q103" i="10" a="1"/>
  <c r="Q103" i="10"/>
  <c r="R103" i="10" a="1"/>
  <c r="R103" i="10"/>
  <c r="S103" i="10" a="1"/>
  <c r="S103" i="10"/>
  <c r="T103" i="10" a="1"/>
  <c r="T103" i="10"/>
  <c r="U103" i="10" a="1"/>
  <c r="U103" i="10"/>
  <c r="V103" i="10" a="1"/>
  <c r="V103" i="10"/>
  <c r="W103" i="10" a="1"/>
  <c r="W103" i="10"/>
  <c r="X103" i="10" a="1"/>
  <c r="X103" i="10"/>
  <c r="Y103" i="10" a="1"/>
  <c r="Y103" i="10"/>
  <c r="Z103" i="10" a="1"/>
  <c r="Z103" i="10"/>
  <c r="AA103" i="10" a="1"/>
  <c r="AA103" i="10"/>
  <c r="AB103" i="10" a="1"/>
  <c r="AB103" i="10"/>
  <c r="AC103" i="10" a="1"/>
  <c r="AC103" i="10"/>
  <c r="D104" i="10" a="1"/>
  <c r="D104" i="10"/>
  <c r="E104" i="10" a="1"/>
  <c r="E104" i="10"/>
  <c r="F104" i="10" a="1"/>
  <c r="F104" i="10"/>
  <c r="G104" i="10" a="1"/>
  <c r="G104" i="10"/>
  <c r="H104" i="10" a="1"/>
  <c r="H104" i="10"/>
  <c r="I104" i="10" a="1"/>
  <c r="I104" i="10"/>
  <c r="J104" i="10" a="1"/>
  <c r="J104" i="10"/>
  <c r="K104" i="10" a="1"/>
  <c r="K104" i="10"/>
  <c r="L104" i="10" a="1"/>
  <c r="L104" i="10"/>
  <c r="M104" i="10" a="1"/>
  <c r="M104" i="10"/>
  <c r="N104" i="10" a="1"/>
  <c r="N104" i="10"/>
  <c r="O104" i="10" a="1"/>
  <c r="O104" i="10"/>
  <c r="P104" i="10" a="1"/>
  <c r="P104" i="10"/>
  <c r="Q104" i="10" a="1"/>
  <c r="Q104" i="10"/>
  <c r="R104" i="10" a="1"/>
  <c r="R104" i="10"/>
  <c r="S104" i="10" a="1"/>
  <c r="S104" i="10"/>
  <c r="T104" i="10" a="1"/>
  <c r="T104" i="10"/>
  <c r="U104" i="10" a="1"/>
  <c r="U104" i="10"/>
  <c r="V104" i="10" a="1"/>
  <c r="V104" i="10"/>
  <c r="W104" i="10" a="1"/>
  <c r="W104" i="10"/>
  <c r="X104" i="10" a="1"/>
  <c r="X104" i="10"/>
  <c r="Y104" i="10" a="1"/>
  <c r="Y104" i="10"/>
  <c r="Z104" i="10" a="1"/>
  <c r="Z104" i="10"/>
  <c r="AA104" i="10" a="1"/>
  <c r="AA104" i="10"/>
  <c r="AB104" i="10" a="1"/>
  <c r="AB104" i="10"/>
  <c r="AC104" i="10" a="1"/>
  <c r="AC104" i="10"/>
  <c r="D105" i="10" a="1"/>
  <c r="D105" i="10"/>
  <c r="E105" i="10" a="1"/>
  <c r="E105" i="10"/>
  <c r="F105" i="10" a="1"/>
  <c r="F105" i="10"/>
  <c r="G105" i="10" a="1"/>
  <c r="G105" i="10"/>
  <c r="H105" i="10" a="1"/>
  <c r="H105" i="10"/>
  <c r="I105" i="10" a="1"/>
  <c r="I105" i="10"/>
  <c r="J105" i="10" a="1"/>
  <c r="J105" i="10"/>
  <c r="K105" i="10" a="1"/>
  <c r="K105" i="10"/>
  <c r="L105" i="10" a="1"/>
  <c r="L105" i="10"/>
  <c r="M105" i="10" a="1"/>
  <c r="M105" i="10"/>
  <c r="N105" i="10" a="1"/>
  <c r="N105" i="10"/>
  <c r="O105" i="10" a="1"/>
  <c r="O105" i="10"/>
  <c r="P105" i="10" a="1"/>
  <c r="P105" i="10"/>
  <c r="Q105" i="10" a="1"/>
  <c r="Q105" i="10"/>
  <c r="R105" i="10" a="1"/>
  <c r="R105" i="10"/>
  <c r="S105" i="10" a="1"/>
  <c r="S105" i="10"/>
  <c r="T105" i="10" a="1"/>
  <c r="T105" i="10"/>
  <c r="U105" i="10" a="1"/>
  <c r="U105" i="10"/>
  <c r="V105" i="10" a="1"/>
  <c r="V105" i="10"/>
  <c r="W105" i="10" a="1"/>
  <c r="W105" i="10"/>
  <c r="X105" i="10" a="1"/>
  <c r="X105" i="10"/>
  <c r="Y105" i="10" a="1"/>
  <c r="Y105" i="10"/>
  <c r="Z105" i="10" a="1"/>
  <c r="Z105" i="10"/>
  <c r="AA105" i="10" a="1"/>
  <c r="AA105" i="10"/>
  <c r="AB105" i="10" a="1"/>
  <c r="AB105" i="10"/>
  <c r="AC105" i="10" a="1"/>
  <c r="AC105" i="10"/>
  <c r="D106" i="10" a="1"/>
  <c r="D106" i="10"/>
  <c r="E106" i="10" a="1"/>
  <c r="E106" i="10"/>
  <c r="F106" i="10" a="1"/>
  <c r="F106" i="10"/>
  <c r="G106" i="10" a="1"/>
  <c r="G106" i="10"/>
  <c r="H106" i="10" a="1"/>
  <c r="H106" i="10"/>
  <c r="I106" i="10" a="1"/>
  <c r="I106" i="10"/>
  <c r="J106" i="10" a="1"/>
  <c r="J106" i="10"/>
  <c r="K106" i="10" a="1"/>
  <c r="K106" i="10"/>
  <c r="L106" i="10" a="1"/>
  <c r="L106" i="10"/>
  <c r="M106" i="10" a="1"/>
  <c r="M106" i="10"/>
  <c r="N106" i="10" a="1"/>
  <c r="N106" i="10"/>
  <c r="O106" i="10" a="1"/>
  <c r="O106" i="10"/>
  <c r="P106" i="10" a="1"/>
  <c r="P106" i="10"/>
  <c r="Q106" i="10" a="1"/>
  <c r="Q106" i="10"/>
  <c r="R106" i="10" a="1"/>
  <c r="R106" i="10"/>
  <c r="S106" i="10" a="1"/>
  <c r="S106" i="10"/>
  <c r="T106" i="10" a="1"/>
  <c r="T106" i="10"/>
  <c r="U106" i="10" a="1"/>
  <c r="U106" i="10"/>
  <c r="V106" i="10" a="1"/>
  <c r="V106" i="10"/>
  <c r="W106" i="10" a="1"/>
  <c r="W106" i="10"/>
  <c r="X106" i="10" a="1"/>
  <c r="X106" i="10"/>
  <c r="Y106" i="10" a="1"/>
  <c r="Y106" i="10"/>
  <c r="Z106" i="10" a="1"/>
  <c r="Z106" i="10"/>
  <c r="AA106" i="10" a="1"/>
  <c r="AA106" i="10"/>
  <c r="AB106" i="10" a="1"/>
  <c r="AB106" i="10"/>
  <c r="AC106" i="10" a="1"/>
  <c r="AC106"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D109" i="10" a="1"/>
  <c r="D109" i="10"/>
  <c r="E109" i="10" a="1"/>
  <c r="E109" i="10"/>
  <c r="F109" i="10" a="1"/>
  <c r="F109" i="10"/>
  <c r="G109" i="10" a="1"/>
  <c r="G109" i="10"/>
  <c r="H109" i="10" a="1"/>
  <c r="H109" i="10"/>
  <c r="I109" i="10" a="1"/>
  <c r="I109" i="10"/>
  <c r="J109" i="10" a="1"/>
  <c r="J109" i="10"/>
  <c r="K109" i="10" a="1"/>
  <c r="K109" i="10"/>
  <c r="L109" i="10" a="1"/>
  <c r="L109" i="10"/>
  <c r="M109" i="10" a="1"/>
  <c r="M109" i="10"/>
  <c r="N109" i="10" a="1"/>
  <c r="N109" i="10"/>
  <c r="O109" i="10" a="1"/>
  <c r="O109" i="10"/>
  <c r="P109" i="10" a="1"/>
  <c r="P109" i="10"/>
  <c r="Q109" i="10" a="1"/>
  <c r="Q109" i="10"/>
  <c r="R109" i="10" a="1"/>
  <c r="R109" i="10"/>
  <c r="S109" i="10" a="1"/>
  <c r="S109" i="10"/>
  <c r="T109" i="10" a="1"/>
  <c r="T109" i="10"/>
  <c r="U109" i="10" a="1"/>
  <c r="U109" i="10"/>
  <c r="V109" i="10" a="1"/>
  <c r="V109" i="10"/>
  <c r="W109" i="10" a="1"/>
  <c r="W109" i="10"/>
  <c r="X109" i="10" a="1"/>
  <c r="X109" i="10"/>
  <c r="Y109" i="10" a="1"/>
  <c r="Y109" i="10"/>
  <c r="Z109" i="10" a="1"/>
  <c r="Z109" i="10"/>
  <c r="AA109" i="10" a="1"/>
  <c r="AA109" i="10"/>
  <c r="AB109" i="10" a="1"/>
  <c r="AB109" i="10"/>
  <c r="AC109" i="10" a="1"/>
  <c r="AC109" i="10"/>
  <c r="D110" i="10" a="1"/>
  <c r="D110" i="10"/>
  <c r="E110" i="10" a="1"/>
  <c r="E110" i="10"/>
  <c r="F110" i="10" a="1"/>
  <c r="F110" i="10"/>
  <c r="G110" i="10" a="1"/>
  <c r="G110" i="10"/>
  <c r="H110" i="10" a="1"/>
  <c r="H110" i="10"/>
  <c r="I110" i="10" a="1"/>
  <c r="I110" i="10"/>
  <c r="J110" i="10" a="1"/>
  <c r="J110" i="10"/>
  <c r="K110" i="10" a="1"/>
  <c r="K110" i="10"/>
  <c r="L110" i="10" a="1"/>
  <c r="L110" i="10"/>
  <c r="M110" i="10" a="1"/>
  <c r="M110" i="10"/>
  <c r="N110" i="10" a="1"/>
  <c r="N110" i="10"/>
  <c r="O110" i="10" a="1"/>
  <c r="O110" i="10"/>
  <c r="P110" i="10" a="1"/>
  <c r="P110" i="10"/>
  <c r="Q110" i="10" a="1"/>
  <c r="Q110" i="10"/>
  <c r="R110" i="10" a="1"/>
  <c r="R110" i="10"/>
  <c r="S110" i="10" a="1"/>
  <c r="S110" i="10"/>
  <c r="T110" i="10" a="1"/>
  <c r="T110" i="10"/>
  <c r="U110" i="10" a="1"/>
  <c r="U110" i="10"/>
  <c r="V110" i="10" a="1"/>
  <c r="V110" i="10"/>
  <c r="W110" i="10" a="1"/>
  <c r="W110" i="10"/>
  <c r="X110" i="10" a="1"/>
  <c r="X110" i="10"/>
  <c r="Y110" i="10" a="1"/>
  <c r="Y110" i="10"/>
  <c r="Z110" i="10" a="1"/>
  <c r="Z110" i="10"/>
  <c r="AA110" i="10" a="1"/>
  <c r="AA110" i="10"/>
  <c r="AB110" i="10" a="1"/>
  <c r="AB110" i="10"/>
  <c r="AC110" i="10" a="1"/>
  <c r="AC110"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D124" i="10"/>
  <c r="D125" i="10"/>
  <c r="F23" i="3"/>
  <c r="G23" i="3"/>
  <c r="H23" i="3"/>
  <c r="I23" i="3"/>
  <c r="J23" i="3"/>
  <c r="K23" i="3"/>
  <c r="L23" i="3"/>
  <c r="M23" i="3"/>
  <c r="N23" i="3"/>
  <c r="O23" i="3"/>
  <c r="P23" i="3"/>
  <c r="Q23" i="3"/>
  <c r="R23" i="3"/>
  <c r="S23" i="3"/>
  <c r="T23" i="3"/>
  <c r="U23" i="3"/>
  <c r="V23" i="3"/>
  <c r="W23" i="3"/>
  <c r="X23" i="3"/>
  <c r="Y23" i="3"/>
  <c r="Z23" i="3"/>
  <c r="AA23" i="3"/>
  <c r="AB23" i="3"/>
  <c r="AC23" i="3"/>
  <c r="E24" i="3"/>
  <c r="F24" i="3"/>
  <c r="G24" i="3"/>
  <c r="H24" i="3"/>
  <c r="I24" i="3"/>
  <c r="J24" i="3"/>
  <c r="K24" i="3"/>
  <c r="L24" i="3"/>
  <c r="M24" i="3"/>
  <c r="N24" i="3"/>
  <c r="O24" i="3"/>
  <c r="P24" i="3"/>
  <c r="Q24" i="3"/>
  <c r="R24" i="3"/>
  <c r="S24" i="3"/>
  <c r="T24" i="3"/>
  <c r="U24" i="3"/>
  <c r="V24" i="3"/>
  <c r="W24" i="3"/>
  <c r="X24" i="3"/>
  <c r="Y24" i="3"/>
  <c r="Z24" i="3"/>
  <c r="AA24" i="3"/>
  <c r="AB24" i="3"/>
  <c r="AC24" i="3"/>
  <c r="D25" i="3" a="1"/>
  <c r="D25" i="3"/>
  <c r="E25" i="3" a="1"/>
  <c r="E25" i="3"/>
  <c r="F25" i="3" a="1"/>
  <c r="F25" i="3"/>
  <c r="G25" i="3" a="1"/>
  <c r="G25" i="3"/>
  <c r="H25" i="3" a="1"/>
  <c r="H25" i="3"/>
  <c r="I25" i="3" a="1"/>
  <c r="I25" i="3"/>
  <c r="J25" i="3" a="1"/>
  <c r="J25" i="3"/>
  <c r="K25" i="3" a="1"/>
  <c r="K25" i="3"/>
  <c r="L25" i="3" a="1"/>
  <c r="L25" i="3"/>
  <c r="M25" i="3" a="1"/>
  <c r="M25" i="3"/>
  <c r="N25" i="3" a="1"/>
  <c r="N25" i="3"/>
  <c r="O25" i="3" a="1"/>
  <c r="O25" i="3"/>
  <c r="P25" i="3" a="1"/>
  <c r="P25" i="3"/>
  <c r="Q25" i="3" a="1"/>
  <c r="Q25" i="3"/>
  <c r="R25" i="3" a="1"/>
  <c r="R25" i="3"/>
  <c r="S25" i="3" a="1"/>
  <c r="S25" i="3"/>
  <c r="T25" i="3" a="1"/>
  <c r="T25" i="3"/>
  <c r="U25" i="3" a="1"/>
  <c r="U25" i="3"/>
  <c r="V25" i="3" a="1"/>
  <c r="V25" i="3"/>
  <c r="W25" i="3" a="1"/>
  <c r="W25" i="3"/>
  <c r="X25" i="3" a="1"/>
  <c r="X25" i="3"/>
  <c r="Y25" i="3" a="1"/>
  <c r="Y25" i="3"/>
  <c r="Z25" i="3" a="1"/>
  <c r="Z25" i="3"/>
  <c r="AA25" i="3" a="1"/>
  <c r="AA25" i="3"/>
  <c r="D27" i="3"/>
  <c r="E27" i="3"/>
  <c r="F27" i="3"/>
  <c r="G27" i="3"/>
  <c r="H27" i="3"/>
  <c r="I27" i="3"/>
  <c r="J27" i="3"/>
  <c r="K27" i="3"/>
  <c r="L27" i="3"/>
  <c r="M27" i="3"/>
  <c r="N27" i="3"/>
  <c r="O27" i="3"/>
  <c r="P27" i="3"/>
  <c r="Q27" i="3"/>
  <c r="R27" i="3"/>
  <c r="S27" i="3"/>
  <c r="T27" i="3"/>
  <c r="U27" i="3"/>
  <c r="V27" i="3"/>
  <c r="W27" i="3"/>
  <c r="X27" i="3"/>
  <c r="Y27" i="3"/>
  <c r="Z27" i="3"/>
  <c r="AA27" i="3"/>
  <c r="AB27" i="3"/>
  <c r="AC27" i="3"/>
  <c r="E28" i="3"/>
  <c r="F28" i="3"/>
  <c r="G28" i="3"/>
  <c r="H28" i="3"/>
  <c r="I28" i="3"/>
  <c r="J28" i="3"/>
  <c r="K28" i="3"/>
  <c r="L28" i="3"/>
  <c r="M28" i="3"/>
  <c r="N28" i="3"/>
  <c r="O28" i="3"/>
  <c r="P28" i="3"/>
  <c r="Q28" i="3"/>
  <c r="R28" i="3"/>
  <c r="S28" i="3"/>
  <c r="T28" i="3"/>
  <c r="U28" i="3"/>
  <c r="V28" i="3"/>
  <c r="W28" i="3"/>
  <c r="X28" i="3"/>
  <c r="Y28" i="3"/>
  <c r="Z28" i="3"/>
  <c r="AA28" i="3"/>
  <c r="AB28" i="3"/>
  <c r="AC28" i="3"/>
  <c r="E30" i="3"/>
  <c r="F30" i="3"/>
  <c r="G30" i="3"/>
  <c r="H30" i="3"/>
  <c r="I30" i="3"/>
  <c r="J30" i="3"/>
  <c r="K30" i="3"/>
  <c r="L30" i="3"/>
  <c r="M30" i="3"/>
  <c r="N30" i="3"/>
  <c r="O30" i="3"/>
  <c r="P30" i="3"/>
  <c r="Q30" i="3"/>
  <c r="R30" i="3"/>
  <c r="S30" i="3"/>
  <c r="T30" i="3"/>
  <c r="U30" i="3"/>
  <c r="V30" i="3"/>
  <c r="W30" i="3"/>
  <c r="X30" i="3"/>
  <c r="Y30" i="3"/>
  <c r="Z30" i="3"/>
  <c r="AA30" i="3"/>
  <c r="AB30" i="3"/>
  <c r="AC30" i="3"/>
  <c r="D31" i="3"/>
  <c r="E31" i="3"/>
  <c r="F31" i="3"/>
  <c r="G31" i="3"/>
  <c r="H31" i="3"/>
  <c r="I31" i="3"/>
  <c r="J31" i="3"/>
  <c r="K31" i="3"/>
  <c r="L31" i="3"/>
  <c r="M31" i="3"/>
  <c r="N31" i="3"/>
  <c r="O31" i="3"/>
  <c r="P31" i="3"/>
  <c r="Q31" i="3"/>
  <c r="R31" i="3"/>
  <c r="S31" i="3"/>
  <c r="T31" i="3"/>
  <c r="U31" i="3"/>
  <c r="V31" i="3"/>
  <c r="W31" i="3"/>
  <c r="X31" i="3"/>
  <c r="Y31" i="3"/>
  <c r="Z31" i="3"/>
  <c r="AA31" i="3"/>
  <c r="AB31" i="3"/>
  <c r="AC31" i="3"/>
  <c r="D32" i="3"/>
  <c r="E32" i="3"/>
  <c r="F32" i="3"/>
  <c r="G32" i="3"/>
  <c r="H32" i="3"/>
  <c r="I32" i="3"/>
  <c r="J32" i="3"/>
  <c r="K32" i="3"/>
  <c r="L32" i="3"/>
  <c r="M32" i="3"/>
  <c r="N32" i="3"/>
  <c r="O32" i="3"/>
  <c r="P32" i="3"/>
  <c r="Q32" i="3"/>
  <c r="R32" i="3"/>
  <c r="S32" i="3"/>
  <c r="T32" i="3"/>
  <c r="U32" i="3"/>
  <c r="V32" i="3"/>
  <c r="W32" i="3"/>
  <c r="X32" i="3"/>
  <c r="Y32" i="3"/>
  <c r="Z32" i="3"/>
  <c r="AA32" i="3"/>
  <c r="AB32" i="3"/>
  <c r="AC32" i="3"/>
  <c r="D33" i="3"/>
  <c r="E33" i="3"/>
  <c r="F33" i="3"/>
  <c r="G33" i="3"/>
  <c r="H33" i="3"/>
  <c r="I33" i="3"/>
  <c r="J33" i="3"/>
  <c r="K33" i="3"/>
  <c r="L33" i="3"/>
  <c r="M33" i="3"/>
  <c r="N33" i="3"/>
  <c r="O33" i="3"/>
  <c r="P33" i="3"/>
  <c r="Q33" i="3"/>
  <c r="R33" i="3"/>
  <c r="S33" i="3"/>
  <c r="T33" i="3"/>
  <c r="U33" i="3"/>
  <c r="V33" i="3"/>
  <c r="W33" i="3"/>
  <c r="X33" i="3"/>
  <c r="Y33" i="3"/>
  <c r="Z33" i="3"/>
  <c r="AA33" i="3"/>
  <c r="AB33" i="3"/>
  <c r="AC33" i="3"/>
  <c r="D34" i="3"/>
  <c r="E34" i="3"/>
  <c r="F34" i="3"/>
  <c r="G34" i="3"/>
  <c r="H34" i="3"/>
  <c r="I34" i="3"/>
  <c r="J34" i="3"/>
  <c r="K34" i="3"/>
  <c r="L34" i="3"/>
  <c r="M34" i="3"/>
  <c r="N34" i="3"/>
  <c r="O34" i="3"/>
  <c r="P34" i="3"/>
  <c r="Q34" i="3"/>
  <c r="R34" i="3"/>
  <c r="S34" i="3"/>
  <c r="T34" i="3"/>
  <c r="U34" i="3"/>
  <c r="V34" i="3"/>
  <c r="W34" i="3"/>
  <c r="X34" i="3"/>
  <c r="Y34" i="3"/>
  <c r="Z34" i="3"/>
  <c r="AA34" i="3"/>
  <c r="AB34" i="3"/>
  <c r="AC34" i="3"/>
  <c r="E37" i="3"/>
  <c r="F37" i="3"/>
  <c r="G37" i="3"/>
  <c r="H37" i="3"/>
  <c r="I37" i="3"/>
  <c r="J37" i="3"/>
  <c r="K37" i="3"/>
  <c r="L37" i="3"/>
  <c r="M37" i="3"/>
  <c r="N37" i="3"/>
  <c r="O37" i="3"/>
  <c r="P37" i="3"/>
  <c r="Q37" i="3"/>
  <c r="R37" i="3"/>
  <c r="S37" i="3"/>
  <c r="T37" i="3"/>
  <c r="U37" i="3"/>
  <c r="V37" i="3"/>
  <c r="W37" i="3"/>
  <c r="X37" i="3"/>
  <c r="Y37" i="3"/>
  <c r="Z37" i="3"/>
  <c r="AA37" i="3"/>
  <c r="AB37" i="3"/>
  <c r="AC37" i="3"/>
  <c r="E38" i="3"/>
  <c r="F38" i="3"/>
  <c r="G38" i="3"/>
  <c r="H38" i="3"/>
  <c r="I38" i="3"/>
  <c r="J38" i="3"/>
  <c r="K38" i="3"/>
  <c r="L38" i="3"/>
  <c r="M38" i="3"/>
  <c r="N38" i="3"/>
  <c r="O38" i="3"/>
  <c r="P38" i="3"/>
  <c r="Q38" i="3"/>
  <c r="R38" i="3"/>
  <c r="S38" i="3"/>
  <c r="T38" i="3"/>
  <c r="U38" i="3"/>
  <c r="V38" i="3"/>
  <c r="W38" i="3"/>
  <c r="X38" i="3"/>
  <c r="Y38" i="3"/>
  <c r="Z38" i="3"/>
  <c r="AA38" i="3"/>
  <c r="AB38" i="3"/>
  <c r="AC38" i="3"/>
  <c r="E39" i="3"/>
  <c r="F39" i="3"/>
  <c r="G39" i="3"/>
  <c r="H39" i="3"/>
  <c r="I39" i="3"/>
  <c r="J39" i="3"/>
  <c r="K39" i="3"/>
  <c r="L39" i="3"/>
  <c r="M39" i="3"/>
  <c r="N39" i="3"/>
  <c r="O39" i="3"/>
  <c r="P39" i="3"/>
  <c r="Q39" i="3"/>
  <c r="R39" i="3"/>
  <c r="S39" i="3"/>
  <c r="T39" i="3"/>
  <c r="U39" i="3"/>
  <c r="V39" i="3"/>
  <c r="W39" i="3"/>
  <c r="X39" i="3"/>
  <c r="Y39" i="3"/>
  <c r="Z39" i="3"/>
  <c r="AA39" i="3"/>
  <c r="AB39" i="3"/>
  <c r="AC39" i="3"/>
  <c r="E40" i="3"/>
  <c r="F40" i="3"/>
  <c r="G40" i="3"/>
  <c r="H40" i="3"/>
  <c r="I40" i="3"/>
  <c r="J40" i="3"/>
  <c r="K40" i="3"/>
  <c r="L40" i="3"/>
  <c r="M40" i="3"/>
  <c r="N40" i="3"/>
  <c r="O40" i="3"/>
  <c r="P40" i="3"/>
  <c r="Q40" i="3"/>
  <c r="R40" i="3"/>
  <c r="S40" i="3"/>
  <c r="T40" i="3"/>
  <c r="U40" i="3"/>
  <c r="V40" i="3"/>
  <c r="W40" i="3"/>
  <c r="X40" i="3"/>
  <c r="Y40" i="3"/>
  <c r="Z40" i="3"/>
  <c r="AA40" i="3"/>
  <c r="AB40" i="3"/>
  <c r="AC40" i="3"/>
  <c r="E41" i="3"/>
  <c r="F41" i="3"/>
  <c r="G41" i="3"/>
  <c r="H41" i="3"/>
  <c r="I41" i="3"/>
  <c r="J41" i="3"/>
  <c r="K41" i="3"/>
  <c r="L41" i="3"/>
  <c r="M41" i="3"/>
  <c r="N41" i="3"/>
  <c r="O41" i="3"/>
  <c r="P41" i="3"/>
  <c r="Q41" i="3"/>
  <c r="R41" i="3"/>
  <c r="S41" i="3"/>
  <c r="T41" i="3"/>
  <c r="U41" i="3"/>
  <c r="V41" i="3"/>
  <c r="W41" i="3"/>
  <c r="X41" i="3"/>
  <c r="Y41" i="3"/>
  <c r="Z41" i="3"/>
  <c r="AA41" i="3"/>
  <c r="AB41" i="3"/>
  <c r="AC41" i="3"/>
  <c r="G60" i="3"/>
  <c r="H60" i="3"/>
  <c r="I60" i="3"/>
  <c r="J60" i="3"/>
  <c r="K60" i="3"/>
  <c r="L60" i="3"/>
  <c r="M60" i="3"/>
  <c r="N60" i="3"/>
  <c r="O60" i="3"/>
  <c r="P60" i="3"/>
  <c r="Q60" i="3"/>
  <c r="R60" i="3"/>
  <c r="S60" i="3"/>
  <c r="T60" i="3"/>
  <c r="U60" i="3"/>
  <c r="V60" i="3"/>
  <c r="W60" i="3"/>
  <c r="X60" i="3"/>
  <c r="Y60" i="3"/>
  <c r="Z60" i="3"/>
  <c r="AA60" i="3"/>
  <c r="AB60" i="3"/>
  <c r="AC60" i="3"/>
  <c r="F62" i="3"/>
  <c r="G62" i="3"/>
  <c r="H62" i="3"/>
  <c r="I62" i="3"/>
  <c r="J62" i="3"/>
  <c r="K62" i="3"/>
  <c r="L62" i="3"/>
  <c r="M62" i="3"/>
  <c r="N62" i="3"/>
  <c r="O62" i="3"/>
  <c r="P62" i="3"/>
  <c r="Q62" i="3"/>
  <c r="R62" i="3"/>
  <c r="S62" i="3"/>
  <c r="T62" i="3"/>
  <c r="U62" i="3"/>
  <c r="V62" i="3"/>
  <c r="W62" i="3"/>
  <c r="X62" i="3"/>
  <c r="Y62" i="3"/>
  <c r="Z62" i="3"/>
  <c r="AA62" i="3"/>
  <c r="AB62" i="3"/>
  <c r="AC62" i="3"/>
  <c r="F63" i="3"/>
  <c r="G63" i="3"/>
  <c r="H63" i="3"/>
  <c r="I63" i="3"/>
  <c r="J63" i="3"/>
  <c r="K63" i="3"/>
  <c r="L63" i="3"/>
  <c r="M63" i="3"/>
  <c r="N63" i="3"/>
  <c r="O63" i="3"/>
  <c r="P63" i="3"/>
  <c r="Q63" i="3"/>
  <c r="R63" i="3"/>
  <c r="S63" i="3"/>
  <c r="T63" i="3"/>
  <c r="U63" i="3"/>
  <c r="V63" i="3"/>
  <c r="W63" i="3"/>
  <c r="X63" i="3"/>
  <c r="Y63" i="3"/>
  <c r="Z63" i="3"/>
  <c r="AA63" i="3"/>
  <c r="AB63" i="3"/>
  <c r="AC63" i="3"/>
  <c r="F64" i="3" a="1"/>
  <c r="F64" i="3"/>
  <c r="G64" i="3" a="1"/>
  <c r="G64" i="3"/>
  <c r="H64" i="3" a="1"/>
  <c r="H64" i="3"/>
  <c r="I64" i="3" a="1"/>
  <c r="I64" i="3"/>
  <c r="J64" i="3" a="1"/>
  <c r="J64" i="3"/>
  <c r="K64" i="3" a="1"/>
  <c r="K64" i="3"/>
  <c r="L64" i="3" a="1"/>
  <c r="L64" i="3"/>
  <c r="M64" i="3" a="1"/>
  <c r="M64" i="3"/>
  <c r="N64" i="3" a="1"/>
  <c r="N64" i="3"/>
  <c r="O64" i="3" a="1"/>
  <c r="O64" i="3"/>
  <c r="P64" i="3" a="1"/>
  <c r="P64" i="3"/>
  <c r="Q64" i="3" a="1"/>
  <c r="Q64" i="3"/>
  <c r="R64" i="3" a="1"/>
  <c r="R64" i="3"/>
  <c r="S64" i="3" a="1"/>
  <c r="S64" i="3"/>
  <c r="T64" i="3" a="1"/>
  <c r="T64" i="3"/>
  <c r="U64" i="3" a="1"/>
  <c r="U64" i="3"/>
  <c r="V64" i="3" a="1"/>
  <c r="V64" i="3"/>
  <c r="W64" i="3" a="1"/>
  <c r="W64" i="3"/>
  <c r="X64" i="3" a="1"/>
  <c r="X64" i="3"/>
  <c r="Y64" i="3" a="1"/>
  <c r="Y64" i="3"/>
  <c r="Z64" i="3" a="1"/>
  <c r="Z64" i="3"/>
  <c r="AA64" i="3" a="1"/>
  <c r="AA64" i="3"/>
  <c r="AB64" i="3" a="1"/>
  <c r="AB64" i="3"/>
  <c r="AC64" i="3" a="1"/>
  <c r="AC64" i="3"/>
  <c r="F65" i="3"/>
  <c r="G65" i="3"/>
  <c r="H65" i="3"/>
  <c r="I65" i="3"/>
  <c r="J65" i="3"/>
  <c r="K65" i="3"/>
  <c r="L65" i="3"/>
  <c r="M65" i="3"/>
  <c r="N65" i="3"/>
  <c r="O65" i="3"/>
  <c r="P65" i="3"/>
  <c r="Q65" i="3"/>
  <c r="R65" i="3"/>
  <c r="S65" i="3"/>
  <c r="T65" i="3"/>
  <c r="U65" i="3"/>
  <c r="V65" i="3"/>
  <c r="W65" i="3"/>
  <c r="X65" i="3"/>
  <c r="Y65" i="3"/>
  <c r="Z65" i="3"/>
  <c r="AA65" i="3"/>
  <c r="AB65" i="3"/>
  <c r="AC65" i="3"/>
  <c r="G68" i="3"/>
  <c r="H68" i="3"/>
  <c r="I68" i="3"/>
  <c r="J68" i="3"/>
  <c r="K68" i="3"/>
  <c r="L68" i="3"/>
  <c r="M68" i="3"/>
  <c r="N68" i="3"/>
  <c r="O68" i="3"/>
  <c r="P68" i="3"/>
  <c r="Q68" i="3"/>
  <c r="R68" i="3"/>
  <c r="S68" i="3"/>
  <c r="T68" i="3"/>
  <c r="U68" i="3"/>
  <c r="V68" i="3"/>
  <c r="W68" i="3"/>
  <c r="X68" i="3"/>
  <c r="Y68" i="3"/>
  <c r="Z68" i="3"/>
  <c r="AA68" i="3"/>
  <c r="AB68" i="3"/>
  <c r="AC68" i="3"/>
  <c r="D74" i="3"/>
  <c r="E74" i="3"/>
  <c r="F74" i="3"/>
  <c r="G74" i="3"/>
  <c r="H74" i="3"/>
  <c r="I74" i="3"/>
  <c r="J74" i="3"/>
  <c r="K74" i="3"/>
  <c r="L74" i="3"/>
  <c r="M74" i="3"/>
  <c r="N74" i="3"/>
  <c r="O74" i="3"/>
  <c r="P74" i="3"/>
  <c r="Q74" i="3"/>
  <c r="R74" i="3"/>
  <c r="S74" i="3"/>
  <c r="T74" i="3"/>
  <c r="U74" i="3"/>
  <c r="V74" i="3"/>
  <c r="W74" i="3"/>
  <c r="X74" i="3"/>
  <c r="Y74" i="3"/>
  <c r="Z74" i="3"/>
  <c r="AA74" i="3"/>
  <c r="AB74" i="3"/>
  <c r="AC74" i="3"/>
  <c r="D75" i="3"/>
  <c r="E75" i="3"/>
  <c r="F75" i="3"/>
  <c r="G75" i="3"/>
  <c r="H75" i="3"/>
  <c r="I75" i="3"/>
  <c r="J75" i="3"/>
  <c r="K75" i="3"/>
  <c r="L75" i="3"/>
  <c r="M75" i="3"/>
  <c r="N75" i="3"/>
  <c r="O75" i="3"/>
  <c r="P75" i="3"/>
  <c r="Q75" i="3"/>
  <c r="R75" i="3"/>
  <c r="S75" i="3"/>
  <c r="T75" i="3"/>
  <c r="U75" i="3"/>
  <c r="V75" i="3"/>
  <c r="W75" i="3"/>
  <c r="X75" i="3"/>
  <c r="Y75" i="3"/>
  <c r="Z75" i="3"/>
  <c r="AA75" i="3"/>
  <c r="AB75" i="3"/>
  <c r="AC75" i="3"/>
  <c r="D76" i="3"/>
  <c r="E76" i="3"/>
  <c r="F76" i="3"/>
  <c r="G76" i="3"/>
  <c r="H76" i="3"/>
  <c r="I76" i="3"/>
  <c r="J76" i="3"/>
  <c r="K76" i="3"/>
  <c r="L76" i="3"/>
  <c r="M76" i="3"/>
  <c r="N76" i="3"/>
  <c r="O76" i="3"/>
  <c r="P76" i="3"/>
  <c r="Q76" i="3"/>
  <c r="R76" i="3"/>
  <c r="S76" i="3"/>
  <c r="T76" i="3"/>
  <c r="U76" i="3"/>
  <c r="V76" i="3"/>
  <c r="W76" i="3"/>
  <c r="X76" i="3"/>
  <c r="Y76" i="3"/>
  <c r="Z76" i="3"/>
  <c r="AA76" i="3"/>
  <c r="AB76" i="3"/>
  <c r="AC76" i="3"/>
  <c r="D77" i="3"/>
  <c r="E77" i="3"/>
  <c r="F77" i="3"/>
  <c r="G77" i="3"/>
  <c r="H77" i="3"/>
  <c r="I77" i="3"/>
  <c r="J77" i="3"/>
  <c r="K77" i="3"/>
  <c r="L77" i="3"/>
  <c r="M77" i="3"/>
  <c r="N77" i="3"/>
  <c r="O77" i="3"/>
  <c r="P77" i="3"/>
  <c r="Q77" i="3"/>
  <c r="R77" i="3"/>
  <c r="S77" i="3"/>
  <c r="T77" i="3"/>
  <c r="U77" i="3"/>
  <c r="V77" i="3"/>
  <c r="W77" i="3"/>
  <c r="X77" i="3"/>
  <c r="Y77" i="3"/>
  <c r="Z77" i="3"/>
  <c r="AA77" i="3"/>
  <c r="AB77" i="3"/>
  <c r="AC77" i="3"/>
  <c r="D80" i="3"/>
  <c r="E8" i="9"/>
  <c r="F8" i="9"/>
  <c r="G8" i="9"/>
  <c r="H8" i="9"/>
  <c r="I8" i="9"/>
  <c r="J8" i="9"/>
  <c r="K8" i="9"/>
  <c r="L8" i="9"/>
  <c r="M8" i="9"/>
  <c r="N8" i="9"/>
  <c r="O8" i="9"/>
  <c r="P8" i="9"/>
  <c r="Q8" i="9"/>
  <c r="R8" i="9"/>
  <c r="S8" i="9"/>
  <c r="T8" i="9"/>
  <c r="U8" i="9"/>
  <c r="V8" i="9"/>
  <c r="W8" i="9"/>
  <c r="X8" i="9"/>
  <c r="Y8" i="9"/>
  <c r="Z8" i="9"/>
  <c r="AA8" i="9"/>
  <c r="AB8" i="9"/>
  <c r="AC8" i="9"/>
  <c r="G9" i="9"/>
  <c r="H9" i="9"/>
  <c r="I9" i="9"/>
  <c r="J9" i="9"/>
  <c r="K9" i="9"/>
  <c r="L9" i="9"/>
  <c r="M9" i="9"/>
  <c r="N9" i="9"/>
  <c r="O9" i="9"/>
  <c r="P9" i="9"/>
  <c r="Q9" i="9"/>
  <c r="R9" i="9"/>
  <c r="S9" i="9"/>
  <c r="T9" i="9"/>
  <c r="U9" i="9"/>
  <c r="V9" i="9"/>
  <c r="W9" i="9"/>
  <c r="X9" i="9"/>
  <c r="Y9" i="9"/>
  <c r="Z9" i="9"/>
  <c r="AA9" i="9"/>
  <c r="AB9" i="9"/>
  <c r="AC9" i="9"/>
  <c r="E10" i="9"/>
  <c r="F10" i="9"/>
  <c r="G10" i="9"/>
  <c r="H10" i="9"/>
  <c r="I10" i="9"/>
  <c r="J10" i="9"/>
  <c r="K10" i="9"/>
  <c r="L10" i="9"/>
  <c r="M10" i="9"/>
  <c r="N10" i="9"/>
  <c r="O10" i="9"/>
  <c r="P10" i="9"/>
  <c r="Q10" i="9"/>
  <c r="R10" i="9"/>
  <c r="S10" i="9"/>
  <c r="T10" i="9"/>
  <c r="U10" i="9"/>
  <c r="V10" i="9"/>
  <c r="W10" i="9"/>
  <c r="X10" i="9"/>
  <c r="Y10" i="9"/>
  <c r="Z10" i="9"/>
  <c r="AA10" i="9"/>
  <c r="AB10" i="9"/>
  <c r="AC10"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Z12" i="9" a="1"/>
  <c r="Z12" i="9"/>
  <c r="AA12" i="9" a="1"/>
  <c r="AA12" i="9"/>
  <c r="AB12" i="9" a="1"/>
  <c r="AB12" i="9"/>
  <c r="AC12" i="9" a="1"/>
  <c r="AC12" i="9"/>
  <c r="E15" i="9"/>
  <c r="F15" i="9"/>
  <c r="G15" i="9"/>
  <c r="H15" i="9"/>
  <c r="I15" i="9"/>
  <c r="J15" i="9"/>
  <c r="K15" i="9"/>
  <c r="L15" i="9"/>
  <c r="M15" i="9"/>
  <c r="N15" i="9"/>
  <c r="O15" i="9"/>
  <c r="P15" i="9"/>
  <c r="Q15" i="9"/>
  <c r="R15" i="9"/>
  <c r="S15" i="9"/>
  <c r="T15" i="9"/>
  <c r="U15" i="9"/>
  <c r="V15" i="9"/>
  <c r="W15" i="9"/>
  <c r="X15" i="9"/>
  <c r="Y15" i="9"/>
  <c r="Z15" i="9"/>
  <c r="AA15" i="9"/>
  <c r="AB15" i="9"/>
  <c r="AC15" i="9"/>
  <c r="E16" i="9"/>
  <c r="F16" i="9"/>
  <c r="G16" i="9"/>
  <c r="H16" i="9"/>
  <c r="I16" i="9"/>
  <c r="J16" i="9"/>
  <c r="K16" i="9"/>
  <c r="L16" i="9"/>
  <c r="M16" i="9"/>
  <c r="N16" i="9"/>
  <c r="O16" i="9"/>
  <c r="P16" i="9"/>
  <c r="Q16" i="9"/>
  <c r="R16" i="9"/>
  <c r="S16" i="9"/>
  <c r="T16" i="9"/>
  <c r="U16" i="9"/>
  <c r="V16" i="9"/>
  <c r="W16" i="9"/>
  <c r="X16" i="9"/>
  <c r="Y16" i="9"/>
  <c r="Z16" i="9"/>
  <c r="AA16" i="9"/>
  <c r="AB16" i="9"/>
  <c r="AC16" i="9"/>
  <c r="G30" i="9"/>
  <c r="H30" i="9"/>
  <c r="I30" i="9"/>
  <c r="J30" i="9"/>
  <c r="K30" i="9"/>
  <c r="L30" i="9"/>
  <c r="M30" i="9"/>
  <c r="N30" i="9"/>
  <c r="O30" i="9"/>
  <c r="P30" i="9"/>
  <c r="Q30" i="9"/>
  <c r="R30" i="9"/>
  <c r="S30" i="9"/>
  <c r="T30" i="9"/>
  <c r="U30" i="9"/>
  <c r="V30" i="9"/>
  <c r="W30" i="9"/>
  <c r="X30" i="9"/>
  <c r="Y30" i="9"/>
  <c r="Z30" i="9"/>
  <c r="AA30" i="9"/>
  <c r="AB30" i="9"/>
  <c r="AC30" i="9"/>
  <c r="G31" i="9"/>
  <c r="H31" i="9"/>
  <c r="I31" i="9"/>
  <c r="J31" i="9"/>
  <c r="K31" i="9"/>
  <c r="L31" i="9"/>
  <c r="M31" i="9"/>
  <c r="N31" i="9"/>
  <c r="O31" i="9"/>
  <c r="P31" i="9"/>
  <c r="Q31" i="9"/>
  <c r="R31" i="9"/>
  <c r="S31" i="9"/>
  <c r="T31" i="9"/>
  <c r="U31" i="9"/>
  <c r="V31" i="9"/>
  <c r="W31" i="9"/>
  <c r="X31" i="9"/>
  <c r="Y31" i="9"/>
  <c r="Z31" i="9"/>
  <c r="AA31" i="9"/>
  <c r="AB31" i="9"/>
  <c r="AC31" i="9"/>
  <c r="G32" i="9"/>
  <c r="H32" i="9"/>
  <c r="I32" i="9"/>
  <c r="J32" i="9"/>
  <c r="K32" i="9"/>
  <c r="L32" i="9"/>
  <c r="M32" i="9"/>
  <c r="N32" i="9"/>
  <c r="O32" i="9"/>
  <c r="P32" i="9"/>
  <c r="Q32" i="9"/>
  <c r="R32" i="9"/>
  <c r="S32" i="9"/>
  <c r="T32" i="9"/>
  <c r="U32" i="9"/>
  <c r="V32" i="9"/>
  <c r="W32" i="9"/>
  <c r="X32" i="9"/>
  <c r="Y32" i="9"/>
  <c r="Z32" i="9"/>
  <c r="AA32" i="9"/>
  <c r="AB32" i="9"/>
  <c r="AC32" i="9"/>
  <c r="G34" i="9"/>
  <c r="H34" i="9"/>
  <c r="I34" i="9"/>
  <c r="J34" i="9"/>
  <c r="K34" i="9"/>
  <c r="L34" i="9"/>
  <c r="M34" i="9"/>
  <c r="N34" i="9"/>
  <c r="O34" i="9"/>
  <c r="P34" i="9"/>
  <c r="Q34" i="9"/>
  <c r="R34" i="9"/>
  <c r="S34" i="9"/>
  <c r="T34" i="9"/>
  <c r="U34" i="9"/>
  <c r="V34" i="9"/>
  <c r="W34" i="9"/>
  <c r="X34" i="9"/>
  <c r="Y34" i="9"/>
  <c r="Z34" i="9"/>
  <c r="AA34" i="9"/>
  <c r="AB34" i="9"/>
  <c r="AC34" i="9"/>
  <c r="G35" i="9"/>
  <c r="H35" i="9"/>
  <c r="I35" i="9"/>
  <c r="J35" i="9"/>
  <c r="K35" i="9"/>
  <c r="L35" i="9"/>
  <c r="M35" i="9"/>
  <c r="N35" i="9"/>
  <c r="O35" i="9"/>
  <c r="P35" i="9"/>
  <c r="Q35" i="9"/>
  <c r="R35" i="9"/>
  <c r="S35" i="9"/>
  <c r="T35" i="9"/>
  <c r="U35" i="9"/>
  <c r="V35" i="9"/>
  <c r="W35" i="9"/>
  <c r="X35" i="9"/>
  <c r="Y35" i="9"/>
  <c r="Z35" i="9"/>
  <c r="AA35" i="9"/>
  <c r="AB35" i="9"/>
  <c r="AC35" i="9"/>
  <c r="G38" i="9"/>
  <c r="H38" i="9"/>
  <c r="I38" i="9"/>
  <c r="J38" i="9"/>
  <c r="K38" i="9"/>
  <c r="L38" i="9"/>
  <c r="M38" i="9"/>
  <c r="N38" i="9"/>
  <c r="O38" i="9"/>
  <c r="P38" i="9"/>
  <c r="Q38" i="9"/>
  <c r="R38" i="9"/>
  <c r="S38" i="9"/>
  <c r="T38" i="9"/>
  <c r="U38" i="9"/>
  <c r="V38" i="9"/>
  <c r="W38" i="9"/>
  <c r="X38" i="9"/>
  <c r="Y38" i="9"/>
  <c r="Z38" i="9"/>
  <c r="AA38" i="9"/>
  <c r="AB38" i="9"/>
  <c r="AC38" i="9"/>
  <c r="G39" i="9"/>
  <c r="H39" i="9"/>
  <c r="I39" i="9"/>
  <c r="J39" i="9"/>
  <c r="K39" i="9"/>
  <c r="L39" i="9"/>
  <c r="M39" i="9"/>
  <c r="N39" i="9"/>
  <c r="O39" i="9"/>
  <c r="P39" i="9"/>
  <c r="Q39" i="9"/>
  <c r="R39" i="9"/>
  <c r="S39" i="9"/>
  <c r="T39" i="9"/>
  <c r="U39" i="9"/>
  <c r="V39" i="9"/>
  <c r="W39" i="9"/>
  <c r="X39" i="9"/>
  <c r="Y39" i="9"/>
  <c r="Z39" i="9"/>
  <c r="AA39" i="9"/>
  <c r="AB39" i="9"/>
  <c r="AC39" i="9"/>
  <c r="G40" i="9"/>
  <c r="H40" i="9"/>
  <c r="I40" i="9"/>
  <c r="J40" i="9"/>
  <c r="K40" i="9"/>
  <c r="L40" i="9"/>
  <c r="M40" i="9"/>
  <c r="N40" i="9"/>
  <c r="O40" i="9"/>
  <c r="P40" i="9"/>
  <c r="Q40" i="9"/>
  <c r="R40" i="9"/>
  <c r="S40" i="9"/>
  <c r="T40" i="9"/>
  <c r="U40" i="9"/>
  <c r="V40" i="9"/>
  <c r="W40" i="9"/>
  <c r="X40" i="9"/>
  <c r="Y40" i="9"/>
  <c r="Z40" i="9"/>
  <c r="AA40" i="9"/>
  <c r="AB40" i="9"/>
  <c r="AC40" i="9"/>
  <c r="G42" i="9"/>
  <c r="H42" i="9"/>
  <c r="I42" i="9"/>
  <c r="J42" i="9"/>
  <c r="K42" i="9"/>
  <c r="L42" i="9"/>
  <c r="M42" i="9"/>
  <c r="N42" i="9"/>
  <c r="O42" i="9"/>
  <c r="P42" i="9"/>
  <c r="Q42" i="9"/>
  <c r="R42" i="9"/>
  <c r="S42" i="9"/>
  <c r="T42" i="9"/>
  <c r="U42" i="9"/>
  <c r="V42" i="9"/>
  <c r="W42" i="9"/>
  <c r="X42" i="9"/>
  <c r="Y42" i="9"/>
  <c r="Z42" i="9"/>
  <c r="AA42" i="9"/>
  <c r="AB42" i="9"/>
  <c r="AC42" i="9"/>
  <c r="G43" i="9"/>
  <c r="H43" i="9"/>
  <c r="I43" i="9"/>
  <c r="J43" i="9"/>
  <c r="K43" i="9"/>
  <c r="L43" i="9"/>
  <c r="M43" i="9"/>
  <c r="N43" i="9"/>
  <c r="O43" i="9"/>
  <c r="P43" i="9"/>
  <c r="Q43" i="9"/>
  <c r="R43" i="9"/>
  <c r="S43" i="9"/>
  <c r="T43" i="9"/>
  <c r="U43" i="9"/>
  <c r="V43" i="9"/>
  <c r="W43" i="9"/>
  <c r="X43" i="9"/>
  <c r="Y43" i="9"/>
  <c r="Z43" i="9"/>
  <c r="AA43" i="9"/>
  <c r="AB43" i="9"/>
  <c r="AC43" i="9"/>
  <c r="G49" i="9"/>
  <c r="H49" i="9"/>
  <c r="I49" i="9"/>
  <c r="J49" i="9"/>
  <c r="K49" i="9"/>
  <c r="L49" i="9"/>
  <c r="M49" i="9"/>
  <c r="N49" i="9"/>
  <c r="O49" i="9"/>
  <c r="P49" i="9"/>
  <c r="Q49" i="9"/>
  <c r="R49" i="9"/>
  <c r="S49" i="9"/>
  <c r="T49" i="9"/>
  <c r="U49" i="9"/>
  <c r="V49" i="9"/>
  <c r="W49" i="9"/>
  <c r="X49" i="9"/>
  <c r="Y49" i="9"/>
  <c r="Z49" i="9"/>
  <c r="AA49" i="9"/>
  <c r="AB49" i="9"/>
  <c r="AC49" i="9"/>
  <c r="G50" i="9"/>
  <c r="H50" i="9"/>
  <c r="I50" i="9"/>
  <c r="J50" i="9"/>
  <c r="K50" i="9"/>
  <c r="L50" i="9"/>
  <c r="M50" i="9"/>
  <c r="N50" i="9"/>
  <c r="O50" i="9"/>
  <c r="P50" i="9"/>
  <c r="Q50" i="9"/>
  <c r="R50" i="9"/>
  <c r="S50" i="9"/>
  <c r="T50" i="9"/>
  <c r="U50" i="9"/>
  <c r="V50" i="9"/>
  <c r="W50" i="9"/>
  <c r="X50" i="9"/>
  <c r="Y50" i="9"/>
  <c r="Z50" i="9"/>
  <c r="AA50" i="9"/>
  <c r="AB50" i="9"/>
  <c r="AC50" i="9"/>
  <c r="G51" i="9"/>
  <c r="H51" i="9"/>
  <c r="I51" i="9"/>
  <c r="J51" i="9"/>
  <c r="K51" i="9"/>
  <c r="L51" i="9"/>
  <c r="M51" i="9"/>
  <c r="N51" i="9"/>
  <c r="O51" i="9"/>
  <c r="P51" i="9"/>
  <c r="Q51" i="9"/>
  <c r="R51" i="9"/>
  <c r="S51" i="9"/>
  <c r="T51" i="9"/>
  <c r="U51" i="9"/>
  <c r="V51" i="9"/>
  <c r="W51" i="9"/>
  <c r="X51" i="9"/>
  <c r="Y51" i="9"/>
  <c r="Z51" i="9"/>
  <c r="AA51" i="9"/>
  <c r="AB51" i="9"/>
  <c r="AC51" i="9"/>
  <c r="G68" i="9"/>
  <c r="H68" i="9"/>
  <c r="I68" i="9"/>
  <c r="J68" i="9"/>
  <c r="K68" i="9"/>
  <c r="L68" i="9"/>
  <c r="M68" i="9"/>
  <c r="N68" i="9"/>
  <c r="O68" i="9"/>
  <c r="P68" i="9"/>
  <c r="Q68" i="9"/>
  <c r="R68" i="9"/>
  <c r="S68" i="9"/>
  <c r="T68" i="9"/>
  <c r="U68" i="9"/>
  <c r="V68" i="9"/>
  <c r="W68" i="9"/>
  <c r="X68" i="9"/>
  <c r="Y68" i="9"/>
  <c r="Z68" i="9"/>
  <c r="AA68" i="9"/>
  <c r="AB68" i="9"/>
  <c r="AC68" i="9"/>
  <c r="G69" i="9"/>
  <c r="H69" i="9"/>
  <c r="I69" i="9"/>
  <c r="J69" i="9"/>
  <c r="K69" i="9"/>
  <c r="L69" i="9"/>
  <c r="M69" i="9"/>
  <c r="N69" i="9"/>
  <c r="O69" i="9"/>
  <c r="P69" i="9"/>
  <c r="Q69" i="9"/>
  <c r="R69" i="9"/>
  <c r="S69" i="9"/>
  <c r="T69" i="9"/>
  <c r="U69" i="9"/>
  <c r="V69" i="9"/>
  <c r="W69" i="9"/>
  <c r="X69" i="9"/>
  <c r="Y69" i="9"/>
  <c r="Z69" i="9"/>
  <c r="AA69" i="9"/>
  <c r="AB69" i="9"/>
  <c r="AC69"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Z71" i="9" a="1"/>
  <c r="Z71" i="9"/>
  <c r="AA71" i="9" a="1"/>
  <c r="AA71" i="9"/>
  <c r="AB71" i="9" a="1"/>
  <c r="AB71" i="9"/>
  <c r="AC71" i="9" a="1"/>
  <c r="AC71"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Z72" i="9" a="1"/>
  <c r="Z72" i="9"/>
  <c r="AA72" i="9" a="1"/>
  <c r="AA72" i="9"/>
  <c r="AB72" i="9" a="1"/>
  <c r="AB72" i="9"/>
  <c r="AC72" i="9" a="1"/>
  <c r="AC72"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Z74" i="9" a="1"/>
  <c r="Z74" i="9"/>
  <c r="AA74" i="9" a="1"/>
  <c r="AA74" i="9"/>
  <c r="AB74" i="9" a="1"/>
  <c r="AB74" i="9"/>
  <c r="AC74" i="9" a="1"/>
  <c r="AC74"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Z75" i="9" a="1"/>
  <c r="Z75" i="9"/>
  <c r="AA75" i="9" a="1"/>
  <c r="AA75" i="9"/>
  <c r="AB75" i="9" a="1"/>
  <c r="AB75" i="9"/>
  <c r="AC75" i="9" a="1"/>
  <c r="AC75" i="9"/>
  <c r="G85" i="9"/>
  <c r="H85" i="9"/>
  <c r="I85" i="9"/>
  <c r="J85" i="9"/>
  <c r="K85" i="9"/>
  <c r="L85" i="9"/>
  <c r="M85" i="9"/>
  <c r="N85" i="9"/>
  <c r="O85" i="9"/>
  <c r="P85" i="9"/>
  <c r="Q85" i="9"/>
  <c r="R85" i="9"/>
  <c r="S85" i="9"/>
  <c r="T85" i="9"/>
  <c r="U85" i="9"/>
  <c r="V85" i="9"/>
  <c r="W85" i="9"/>
  <c r="X85" i="9"/>
  <c r="Y85" i="9"/>
  <c r="Z85" i="9"/>
  <c r="AA85" i="9"/>
  <c r="AB85" i="9"/>
  <c r="AC85" i="9"/>
  <c r="G86" i="9"/>
  <c r="H86" i="9"/>
  <c r="I86" i="9"/>
  <c r="J86" i="9"/>
  <c r="K86" i="9"/>
  <c r="L86" i="9"/>
  <c r="M86" i="9"/>
  <c r="N86" i="9"/>
  <c r="O86" i="9"/>
  <c r="P86" i="9"/>
  <c r="Q86" i="9"/>
  <c r="R86" i="9"/>
  <c r="S86" i="9"/>
  <c r="T86" i="9"/>
  <c r="U86" i="9"/>
  <c r="V86" i="9"/>
  <c r="W86" i="9"/>
  <c r="X86" i="9"/>
  <c r="Y86" i="9"/>
  <c r="Z86" i="9"/>
  <c r="AA86" i="9"/>
  <c r="AB86" i="9"/>
  <c r="AC86" i="9"/>
  <c r="G88" i="9"/>
  <c r="H88" i="9"/>
  <c r="I88" i="9"/>
  <c r="J88" i="9"/>
  <c r="K88" i="9"/>
  <c r="L88" i="9"/>
  <c r="M88" i="9"/>
  <c r="N88" i="9"/>
  <c r="O88" i="9"/>
  <c r="P88" i="9"/>
  <c r="Q88" i="9"/>
  <c r="R88" i="9"/>
  <c r="S88" i="9"/>
  <c r="T88" i="9"/>
  <c r="U88" i="9"/>
  <c r="V88" i="9"/>
  <c r="W88" i="9"/>
  <c r="X88" i="9"/>
  <c r="Y88" i="9"/>
  <c r="Z88" i="9"/>
  <c r="AA88" i="9"/>
  <c r="AB88" i="9"/>
  <c r="AC88" i="9"/>
  <c r="G89" i="9"/>
  <c r="H89" i="9"/>
  <c r="I89" i="9"/>
  <c r="J89" i="9"/>
  <c r="K89" i="9"/>
  <c r="L89" i="9"/>
  <c r="M89" i="9"/>
  <c r="N89" i="9"/>
  <c r="O89" i="9"/>
  <c r="P89" i="9"/>
  <c r="Q89" i="9"/>
  <c r="R89" i="9"/>
  <c r="S89" i="9"/>
  <c r="T89" i="9"/>
  <c r="U89" i="9"/>
  <c r="V89" i="9"/>
  <c r="W89" i="9"/>
  <c r="X89" i="9"/>
  <c r="Y89" i="9"/>
  <c r="Z89" i="9"/>
  <c r="AA89" i="9"/>
  <c r="AB89" i="9"/>
  <c r="AC89" i="9"/>
  <c r="G91" i="9"/>
  <c r="H91" i="9"/>
  <c r="I91" i="9"/>
  <c r="J91" i="9"/>
  <c r="K91" i="9"/>
  <c r="L91" i="9"/>
  <c r="M91" i="9"/>
  <c r="N91" i="9"/>
  <c r="O91" i="9"/>
  <c r="P91" i="9"/>
  <c r="Q91" i="9"/>
  <c r="R91" i="9"/>
  <c r="S91" i="9"/>
  <c r="T91" i="9"/>
  <c r="U91" i="9"/>
  <c r="V91" i="9"/>
  <c r="W91" i="9"/>
  <c r="X91" i="9"/>
  <c r="Y91" i="9"/>
  <c r="Z91" i="9"/>
  <c r="AA91" i="9"/>
  <c r="AB91" i="9"/>
  <c r="AC91" i="9"/>
  <c r="G92" i="9"/>
  <c r="H92" i="9"/>
  <c r="I92" i="9"/>
  <c r="J92" i="9"/>
  <c r="K92" i="9"/>
  <c r="L92" i="9"/>
  <c r="M92" i="9"/>
  <c r="N92" i="9"/>
  <c r="O92" i="9"/>
  <c r="P92" i="9"/>
  <c r="Q92" i="9"/>
  <c r="R92" i="9"/>
  <c r="S92" i="9"/>
  <c r="T92" i="9"/>
  <c r="U92" i="9"/>
  <c r="V92" i="9"/>
  <c r="W92" i="9"/>
  <c r="X92" i="9"/>
  <c r="Y92" i="9"/>
  <c r="Z92" i="9"/>
  <c r="AA92" i="9"/>
  <c r="AB92" i="9"/>
  <c r="AC92"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Z94" i="9" a="1"/>
  <c r="Z94" i="9"/>
  <c r="AA94" i="9" a="1"/>
  <c r="AA94" i="9"/>
  <c r="AB94" i="9" a="1"/>
  <c r="AB94" i="9"/>
  <c r="AC94" i="9" a="1"/>
  <c r="AC94"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Z95" i="9" a="1"/>
  <c r="Z95" i="9"/>
  <c r="AA95" i="9" a="1"/>
  <c r="AA95" i="9"/>
  <c r="AB95" i="9" a="1"/>
  <c r="AB95" i="9"/>
  <c r="AC95" i="9" a="1"/>
  <c r="AC95" i="9"/>
  <c r="G97" i="9"/>
  <c r="H97" i="9"/>
  <c r="I97" i="9"/>
  <c r="J97" i="9"/>
  <c r="K97" i="9"/>
  <c r="L97" i="9"/>
  <c r="M97" i="9"/>
  <c r="N97" i="9"/>
  <c r="O97" i="9"/>
  <c r="P97" i="9"/>
  <c r="Q97" i="9"/>
  <c r="R97" i="9"/>
  <c r="S97" i="9"/>
  <c r="T97" i="9"/>
  <c r="U97" i="9"/>
  <c r="V97" i="9"/>
  <c r="W97" i="9"/>
  <c r="X97" i="9"/>
  <c r="Y97" i="9"/>
  <c r="Z97" i="9"/>
  <c r="AA97" i="9"/>
  <c r="AB97" i="9"/>
  <c r="AC97" i="9"/>
  <c r="G115" i="9"/>
  <c r="H115" i="9"/>
  <c r="I115" i="9"/>
  <c r="J115" i="9"/>
  <c r="K115" i="9"/>
  <c r="L115" i="9"/>
  <c r="M115" i="9"/>
  <c r="N115" i="9"/>
  <c r="O115" i="9"/>
  <c r="P115" i="9"/>
  <c r="Q115" i="9"/>
  <c r="R115" i="9"/>
  <c r="S115" i="9"/>
  <c r="T115" i="9"/>
  <c r="U115" i="9"/>
  <c r="V115" i="9"/>
  <c r="W115" i="9"/>
  <c r="X115" i="9"/>
  <c r="Y115" i="9"/>
  <c r="Z115" i="9"/>
  <c r="AA115" i="9"/>
  <c r="AB115" i="9"/>
  <c r="AC115" i="9"/>
  <c r="G116" i="9"/>
  <c r="H116" i="9"/>
  <c r="I116" i="9"/>
  <c r="J116" i="9"/>
  <c r="K116" i="9"/>
  <c r="L116" i="9"/>
  <c r="M116" i="9"/>
  <c r="N116" i="9"/>
  <c r="O116" i="9"/>
  <c r="P116" i="9"/>
  <c r="Q116" i="9"/>
  <c r="R116" i="9"/>
  <c r="S116" i="9"/>
  <c r="T116" i="9"/>
  <c r="U116" i="9"/>
  <c r="V116" i="9"/>
  <c r="W116" i="9"/>
  <c r="X116" i="9"/>
  <c r="Y116" i="9"/>
  <c r="Z116" i="9"/>
  <c r="AA116" i="9"/>
  <c r="AB116" i="9"/>
  <c r="AC116"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Z117" i="9" a="1"/>
  <c r="Z117" i="9"/>
  <c r="AA117" i="9" a="1"/>
  <c r="AA117" i="9"/>
  <c r="AB117" i="9" a="1"/>
  <c r="AB117" i="9"/>
  <c r="AC117" i="9" a="1"/>
  <c r="AC117"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Z118" i="9" a="1"/>
  <c r="Z118" i="9"/>
  <c r="AA118" i="9" a="1"/>
  <c r="AA118" i="9"/>
  <c r="AB118" i="9" a="1"/>
  <c r="AB118" i="9"/>
  <c r="AC118" i="9" a="1"/>
  <c r="AC118" i="9"/>
  <c r="G121" i="9"/>
  <c r="H121" i="9"/>
  <c r="I121" i="9"/>
  <c r="J121" i="9"/>
  <c r="K121" i="9"/>
  <c r="L121" i="9"/>
  <c r="M121" i="9"/>
  <c r="N121" i="9"/>
  <c r="O121" i="9"/>
  <c r="P121" i="9"/>
  <c r="Q121" i="9"/>
  <c r="R121" i="9"/>
  <c r="S121" i="9"/>
  <c r="T121" i="9"/>
  <c r="U121" i="9"/>
  <c r="V121" i="9"/>
  <c r="W121" i="9"/>
  <c r="X121" i="9"/>
  <c r="Y121" i="9"/>
  <c r="Z121" i="9"/>
  <c r="AA121" i="9"/>
  <c r="AB121" i="9"/>
  <c r="AC121" i="9"/>
  <c r="G122" i="9"/>
  <c r="H122" i="9"/>
  <c r="I122" i="9"/>
  <c r="J122" i="9"/>
  <c r="K122" i="9"/>
  <c r="L122" i="9"/>
  <c r="M122" i="9"/>
  <c r="N122" i="9"/>
  <c r="O122" i="9"/>
  <c r="P122" i="9"/>
  <c r="Q122" i="9"/>
  <c r="R122" i="9"/>
  <c r="S122" i="9"/>
  <c r="T122" i="9"/>
  <c r="U122" i="9"/>
  <c r="V122" i="9"/>
  <c r="W122" i="9"/>
  <c r="X122" i="9"/>
  <c r="Y122" i="9"/>
  <c r="Z122" i="9"/>
  <c r="AA122" i="9"/>
  <c r="AB122" i="9"/>
  <c r="AC122" i="9"/>
  <c r="G123" i="9"/>
  <c r="H123" i="9"/>
  <c r="I123" i="9"/>
  <c r="J123" i="9"/>
  <c r="K123" i="9"/>
  <c r="L123" i="9"/>
  <c r="M123" i="9"/>
  <c r="N123" i="9"/>
  <c r="O123" i="9"/>
  <c r="P123" i="9"/>
  <c r="Q123" i="9"/>
  <c r="R123" i="9"/>
  <c r="S123" i="9"/>
  <c r="T123" i="9"/>
  <c r="U123" i="9"/>
  <c r="V123" i="9"/>
  <c r="W123" i="9"/>
  <c r="X123" i="9"/>
  <c r="Y123" i="9"/>
  <c r="Z123" i="9"/>
  <c r="AA123" i="9"/>
  <c r="AB123" i="9"/>
  <c r="AC123" i="9"/>
  <c r="G125" i="9"/>
  <c r="H125" i="9"/>
  <c r="I125" i="9"/>
  <c r="J125" i="9"/>
  <c r="K125" i="9"/>
  <c r="L125" i="9"/>
  <c r="M125" i="9"/>
  <c r="N125" i="9"/>
  <c r="O125" i="9"/>
  <c r="P125" i="9"/>
  <c r="Q125" i="9"/>
  <c r="R125" i="9"/>
  <c r="S125" i="9"/>
  <c r="T125" i="9"/>
  <c r="U125" i="9"/>
  <c r="V125" i="9"/>
  <c r="W125" i="9"/>
  <c r="X125" i="9"/>
  <c r="Y125" i="9"/>
  <c r="Z125" i="9"/>
  <c r="AA125" i="9"/>
  <c r="AB125" i="9"/>
  <c r="AC125" i="9"/>
  <c r="G126" i="9"/>
  <c r="H126" i="9"/>
  <c r="I126" i="9"/>
  <c r="J126" i="9"/>
  <c r="K126" i="9"/>
  <c r="L126" i="9"/>
  <c r="M126" i="9"/>
  <c r="N126" i="9"/>
  <c r="O126" i="9"/>
  <c r="P126" i="9"/>
  <c r="Q126" i="9"/>
  <c r="R126" i="9"/>
  <c r="S126" i="9"/>
  <c r="T126" i="9"/>
  <c r="U126" i="9"/>
  <c r="V126" i="9"/>
  <c r="W126" i="9"/>
  <c r="X126" i="9"/>
  <c r="Y126" i="9"/>
  <c r="Z126" i="9"/>
  <c r="AA126" i="9"/>
  <c r="AB126" i="9"/>
  <c r="AC126" i="9"/>
  <c r="H128" i="9"/>
  <c r="I128" i="9"/>
  <c r="J128" i="9"/>
  <c r="K128" i="9"/>
  <c r="L128" i="9"/>
  <c r="M128" i="9"/>
  <c r="N128" i="9"/>
  <c r="O128" i="9"/>
  <c r="P128" i="9"/>
  <c r="Q128" i="9"/>
  <c r="R128" i="9"/>
  <c r="S128" i="9"/>
  <c r="T128" i="9"/>
  <c r="U128" i="9"/>
  <c r="V128" i="9"/>
  <c r="W128" i="9"/>
  <c r="X128" i="9"/>
  <c r="Y128" i="9"/>
  <c r="Z128" i="9"/>
  <c r="AA128" i="9"/>
  <c r="AB128" i="9"/>
  <c r="AC128" i="9"/>
  <c r="G129" i="9"/>
  <c r="H129" i="9"/>
  <c r="I129" i="9"/>
  <c r="J129" i="9"/>
  <c r="K129" i="9"/>
  <c r="L129" i="9"/>
  <c r="M129" i="9"/>
  <c r="N129" i="9"/>
  <c r="O129" i="9"/>
  <c r="P129" i="9"/>
  <c r="Q129" i="9"/>
  <c r="R129" i="9"/>
  <c r="S129" i="9"/>
  <c r="T129" i="9"/>
  <c r="U129" i="9"/>
  <c r="V129" i="9"/>
  <c r="W129" i="9"/>
  <c r="X129" i="9"/>
  <c r="Y129" i="9"/>
  <c r="Z129" i="9"/>
  <c r="AA129" i="9"/>
  <c r="AB129" i="9"/>
  <c r="AC129" i="9"/>
  <c r="E133" i="9"/>
  <c r="F133" i="9"/>
  <c r="G133" i="9"/>
  <c r="H133" i="9"/>
  <c r="I133" i="9"/>
  <c r="J133" i="9"/>
  <c r="K133" i="9"/>
  <c r="L133" i="9"/>
  <c r="M133" i="9"/>
  <c r="N133" i="9"/>
  <c r="O133" i="9"/>
  <c r="P133" i="9"/>
  <c r="Q133" i="9"/>
  <c r="R133" i="9"/>
  <c r="S133" i="9"/>
  <c r="T133" i="9"/>
  <c r="U133" i="9"/>
  <c r="V133" i="9"/>
  <c r="W133" i="9"/>
  <c r="X133" i="9"/>
  <c r="Y133" i="9"/>
  <c r="Z133" i="9"/>
  <c r="AA133" i="9"/>
  <c r="AB133" i="9"/>
  <c r="AC133" i="9"/>
  <c r="E134" i="9"/>
  <c r="F134" i="9"/>
  <c r="G134" i="9"/>
  <c r="H134" i="9"/>
  <c r="I134" i="9"/>
  <c r="J134" i="9"/>
  <c r="K134" i="9"/>
  <c r="L134" i="9"/>
  <c r="M134" i="9"/>
  <c r="N134" i="9"/>
  <c r="O134" i="9"/>
  <c r="P134" i="9"/>
  <c r="Q134" i="9"/>
  <c r="R134" i="9"/>
  <c r="S134" i="9"/>
  <c r="T134" i="9"/>
  <c r="U134" i="9"/>
  <c r="V134" i="9"/>
  <c r="W134" i="9"/>
  <c r="X134" i="9"/>
  <c r="Y134" i="9"/>
  <c r="Z134" i="9"/>
  <c r="AA134" i="9"/>
  <c r="AB134" i="9"/>
  <c r="AC134"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Z135" i="9" a="1"/>
  <c r="Z135" i="9"/>
  <c r="AA135" i="9" a="1"/>
  <c r="AA135" i="9"/>
  <c r="AB135" i="9" a="1"/>
  <c r="AB135" i="9"/>
  <c r="AC135" i="9" a="1"/>
  <c r="AC135"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Z136" i="9" a="1"/>
  <c r="Z136" i="9"/>
  <c r="AA136" i="9" a="1"/>
  <c r="AA136" i="9"/>
  <c r="AB136" i="9" a="1"/>
  <c r="AB136" i="9"/>
  <c r="AC136" i="9" a="1"/>
  <c r="AC136" i="9"/>
  <c r="G137" i="9"/>
  <c r="H137" i="9"/>
  <c r="I137" i="9"/>
  <c r="J137" i="9"/>
  <c r="K137" i="9"/>
  <c r="L137" i="9"/>
  <c r="M137" i="9"/>
  <c r="N137" i="9"/>
  <c r="O137" i="9"/>
  <c r="P137" i="9"/>
  <c r="Q137" i="9"/>
  <c r="R137" i="9"/>
  <c r="S137" i="9"/>
  <c r="T137" i="9"/>
  <c r="U137" i="9"/>
  <c r="V137" i="9"/>
  <c r="W137" i="9"/>
  <c r="X137" i="9"/>
  <c r="Y137" i="9"/>
  <c r="Z137" i="9"/>
  <c r="AA137" i="9"/>
  <c r="AB137" i="9"/>
  <c r="AC137" i="9"/>
  <c r="G138" i="9"/>
  <c r="H138" i="9"/>
  <c r="I138" i="9"/>
  <c r="J138" i="9"/>
  <c r="K138" i="9"/>
  <c r="L138" i="9"/>
  <c r="M138" i="9"/>
  <c r="N138" i="9"/>
  <c r="O138" i="9"/>
  <c r="P138" i="9"/>
  <c r="Q138" i="9"/>
  <c r="R138" i="9"/>
  <c r="S138" i="9"/>
  <c r="T138" i="9"/>
  <c r="U138" i="9"/>
  <c r="V138" i="9"/>
  <c r="W138" i="9"/>
  <c r="X138" i="9"/>
  <c r="Y138" i="9"/>
  <c r="Z138" i="9"/>
  <c r="AA138" i="9"/>
  <c r="AB138" i="9"/>
  <c r="AC138" i="9"/>
  <c r="G139" i="9"/>
  <c r="H139" i="9"/>
  <c r="I139" i="9"/>
  <c r="J139" i="9"/>
  <c r="K139" i="9"/>
  <c r="L139" i="9"/>
  <c r="M139" i="9"/>
  <c r="N139" i="9"/>
  <c r="O139" i="9"/>
  <c r="P139" i="9"/>
  <c r="Q139" i="9"/>
  <c r="R139" i="9"/>
  <c r="S139" i="9"/>
  <c r="T139" i="9"/>
  <c r="U139" i="9"/>
  <c r="V139" i="9"/>
  <c r="W139" i="9"/>
  <c r="X139" i="9"/>
  <c r="Y139" i="9"/>
  <c r="Z139" i="9"/>
  <c r="AA139" i="9"/>
  <c r="AB139" i="9"/>
  <c r="AC139" i="9"/>
  <c r="G202" i="9"/>
  <c r="H202" i="9"/>
  <c r="I202" i="9"/>
  <c r="J202" i="9"/>
  <c r="K202" i="9"/>
  <c r="L202" i="9"/>
  <c r="M202" i="9"/>
  <c r="N202" i="9"/>
  <c r="O202" i="9"/>
  <c r="P202" i="9"/>
  <c r="Q202" i="9"/>
  <c r="R202" i="9"/>
  <c r="S202" i="9"/>
  <c r="T202" i="9"/>
  <c r="U202" i="9"/>
  <c r="V202" i="9"/>
  <c r="W202" i="9"/>
  <c r="X202" i="9"/>
  <c r="Y202" i="9"/>
  <c r="Z202" i="9"/>
  <c r="AA202" i="9"/>
  <c r="AB202" i="9"/>
  <c r="AC202" i="9"/>
  <c r="G203" i="9"/>
  <c r="H203" i="9"/>
  <c r="I203" i="9"/>
  <c r="J203" i="9"/>
  <c r="K203" i="9"/>
  <c r="L203" i="9"/>
  <c r="M203" i="9"/>
  <c r="N203" i="9"/>
  <c r="O203" i="9"/>
  <c r="P203" i="9"/>
  <c r="Q203" i="9"/>
  <c r="R203" i="9"/>
  <c r="S203" i="9"/>
  <c r="T203" i="9"/>
  <c r="U203" i="9"/>
  <c r="V203" i="9"/>
  <c r="W203" i="9"/>
  <c r="X203" i="9"/>
  <c r="Y203" i="9"/>
  <c r="Z203" i="9"/>
  <c r="AA203" i="9"/>
  <c r="AB203" i="9"/>
  <c r="AC203" i="9"/>
  <c r="G204" i="9"/>
  <c r="H204" i="9"/>
  <c r="I204" i="9"/>
  <c r="J204" i="9"/>
  <c r="K204" i="9"/>
  <c r="L204" i="9"/>
  <c r="M204" i="9"/>
  <c r="N204" i="9"/>
  <c r="O204" i="9"/>
  <c r="P204" i="9"/>
  <c r="Q204" i="9"/>
  <c r="R204" i="9"/>
  <c r="S204" i="9"/>
  <c r="T204" i="9"/>
  <c r="U204" i="9"/>
  <c r="V204" i="9"/>
  <c r="W204" i="9"/>
  <c r="X204" i="9"/>
  <c r="Y204" i="9"/>
  <c r="Z204" i="9"/>
  <c r="AA204" i="9"/>
  <c r="AB204" i="9"/>
  <c r="AC204" i="9"/>
  <c r="G205" i="9"/>
  <c r="H205" i="9"/>
  <c r="I205" i="9"/>
  <c r="J205" i="9"/>
  <c r="K205" i="9"/>
  <c r="L205" i="9"/>
  <c r="M205" i="9"/>
  <c r="N205" i="9"/>
  <c r="O205" i="9"/>
  <c r="P205" i="9"/>
  <c r="Q205" i="9"/>
  <c r="R205" i="9"/>
  <c r="S205" i="9"/>
  <c r="T205" i="9"/>
  <c r="U205" i="9"/>
  <c r="V205" i="9"/>
  <c r="W205" i="9"/>
  <c r="X205" i="9"/>
  <c r="Y205" i="9"/>
  <c r="Z205" i="9"/>
  <c r="AA205" i="9"/>
  <c r="AB205" i="9"/>
  <c r="AC205" i="9"/>
  <c r="G206" i="9"/>
  <c r="H206" i="9"/>
  <c r="I206" i="9"/>
  <c r="J206" i="9"/>
  <c r="K206" i="9"/>
  <c r="L206" i="9"/>
  <c r="M206" i="9"/>
  <c r="N206" i="9"/>
  <c r="O206" i="9"/>
  <c r="P206" i="9"/>
  <c r="Q206" i="9"/>
  <c r="R206" i="9"/>
  <c r="S206" i="9"/>
  <c r="T206" i="9"/>
  <c r="U206" i="9"/>
  <c r="V206" i="9"/>
  <c r="W206" i="9"/>
  <c r="X206" i="9"/>
  <c r="Y206" i="9"/>
  <c r="Z206" i="9"/>
  <c r="AA206" i="9"/>
  <c r="AB206" i="9"/>
  <c r="AC206" i="9"/>
  <c r="G210" i="9"/>
  <c r="H210" i="9"/>
  <c r="I210" i="9"/>
  <c r="J210" i="9"/>
  <c r="K210" i="9"/>
  <c r="L210" i="9"/>
  <c r="M210" i="9"/>
  <c r="N210" i="9"/>
  <c r="O210" i="9"/>
  <c r="P210" i="9"/>
  <c r="Q210" i="9"/>
  <c r="R210" i="9"/>
  <c r="S210" i="9"/>
  <c r="T210" i="9"/>
  <c r="U210" i="9"/>
  <c r="V210" i="9"/>
  <c r="W210" i="9"/>
  <c r="X210" i="9"/>
  <c r="Y210" i="9"/>
  <c r="Z210" i="9"/>
  <c r="AA210" i="9"/>
  <c r="AB210" i="9"/>
  <c r="AC210" i="9"/>
  <c r="G211" i="9"/>
  <c r="H211" i="9"/>
  <c r="I211" i="9"/>
  <c r="J211" i="9"/>
  <c r="K211" i="9"/>
  <c r="L211" i="9"/>
  <c r="M211" i="9"/>
  <c r="N211" i="9"/>
  <c r="O211" i="9"/>
  <c r="P211" i="9"/>
  <c r="Q211" i="9"/>
  <c r="R211" i="9"/>
  <c r="S211" i="9"/>
  <c r="T211" i="9"/>
  <c r="U211" i="9"/>
  <c r="V211" i="9"/>
  <c r="W211" i="9"/>
  <c r="X211" i="9"/>
  <c r="Y211" i="9"/>
  <c r="Z211" i="9"/>
  <c r="AA211" i="9"/>
  <c r="AB211" i="9"/>
  <c r="AC211" i="9"/>
  <c r="G212" i="9"/>
  <c r="H212" i="9"/>
  <c r="I212" i="9"/>
  <c r="J212" i="9"/>
  <c r="K212" i="9"/>
  <c r="L212" i="9"/>
  <c r="M212" i="9"/>
  <c r="N212" i="9"/>
  <c r="O212" i="9"/>
  <c r="P212" i="9"/>
  <c r="Q212" i="9"/>
  <c r="R212" i="9"/>
  <c r="S212" i="9"/>
  <c r="T212" i="9"/>
  <c r="U212" i="9"/>
  <c r="V212" i="9"/>
  <c r="W212" i="9"/>
  <c r="X212" i="9"/>
  <c r="Y212" i="9"/>
  <c r="Z212" i="9"/>
  <c r="AA212" i="9"/>
  <c r="AB212" i="9"/>
  <c r="AC212" i="9"/>
  <c r="D8" i="7"/>
  <c r="E8" i="7"/>
  <c r="F8" i="7"/>
  <c r="G8" i="7"/>
  <c r="H8" i="7"/>
  <c r="I8" i="7"/>
  <c r="J8" i="7"/>
  <c r="K8" i="7"/>
  <c r="L8" i="7"/>
  <c r="M8" i="7"/>
  <c r="N8" i="7"/>
  <c r="O8" i="7"/>
  <c r="P8" i="7"/>
  <c r="Q8" i="7"/>
  <c r="R8" i="7"/>
  <c r="S8" i="7"/>
  <c r="T8" i="7"/>
  <c r="U8" i="7"/>
  <c r="V8" i="7"/>
  <c r="W8" i="7"/>
  <c r="X8" i="7"/>
  <c r="Y8" i="7"/>
  <c r="Z8" i="7"/>
  <c r="AA8" i="7"/>
  <c r="AB8" i="7"/>
  <c r="AC8" i="7"/>
  <c r="D9" i="7"/>
  <c r="E9" i="7"/>
  <c r="F9" i="7"/>
  <c r="G9" i="7"/>
  <c r="H9" i="7"/>
  <c r="I9" i="7"/>
  <c r="J9" i="7"/>
  <c r="K9" i="7"/>
  <c r="L9" i="7"/>
  <c r="M9" i="7"/>
  <c r="N9" i="7"/>
  <c r="O9" i="7"/>
  <c r="P9" i="7"/>
  <c r="Q9" i="7"/>
  <c r="R9" i="7"/>
  <c r="S9" i="7"/>
  <c r="T9" i="7"/>
  <c r="U9" i="7"/>
  <c r="V9" i="7"/>
  <c r="W9" i="7"/>
  <c r="X9" i="7"/>
  <c r="Y9" i="7"/>
  <c r="Z9" i="7"/>
  <c r="AA9" i="7"/>
  <c r="AB9" i="7"/>
  <c r="AC9" i="7"/>
  <c r="D10" i="7"/>
  <c r="E10" i="7"/>
  <c r="F10" i="7"/>
  <c r="G10" i="7"/>
  <c r="H10" i="7"/>
  <c r="I10" i="7"/>
  <c r="J10" i="7"/>
  <c r="K10" i="7"/>
  <c r="L10" i="7"/>
  <c r="M10" i="7"/>
  <c r="N10" i="7"/>
  <c r="O10" i="7"/>
  <c r="P10" i="7"/>
  <c r="Q10" i="7"/>
  <c r="R10" i="7"/>
  <c r="S10" i="7"/>
  <c r="T10" i="7"/>
  <c r="U10" i="7"/>
  <c r="V10" i="7"/>
  <c r="W10" i="7"/>
  <c r="X10" i="7"/>
  <c r="Y10" i="7"/>
  <c r="Z10" i="7"/>
  <c r="AA10" i="7"/>
  <c r="AB10" i="7"/>
  <c r="AC10" i="7"/>
  <c r="E42" i="7"/>
  <c r="F42" i="7"/>
  <c r="G42" i="7"/>
  <c r="H42" i="7"/>
  <c r="I42" i="7"/>
  <c r="J42" i="7"/>
  <c r="K42" i="7"/>
  <c r="L42" i="7"/>
  <c r="M42" i="7"/>
  <c r="N42" i="7"/>
  <c r="O42" i="7"/>
  <c r="P42" i="7"/>
  <c r="Q42" i="7"/>
  <c r="R42" i="7"/>
  <c r="S42" i="7"/>
  <c r="T42" i="7"/>
  <c r="U42" i="7"/>
  <c r="V42" i="7"/>
  <c r="W42" i="7"/>
  <c r="X42" i="7"/>
  <c r="Y42" i="7"/>
  <c r="Z42" i="7"/>
  <c r="AA42" i="7"/>
  <c r="AB42" i="7"/>
  <c r="AC42" i="7"/>
  <c r="E43" i="7"/>
  <c r="F43" i="7"/>
  <c r="G43" i="7"/>
  <c r="H43" i="7"/>
  <c r="I43" i="7"/>
  <c r="J43" i="7"/>
  <c r="K43" i="7"/>
  <c r="L43" i="7"/>
  <c r="M43" i="7"/>
  <c r="N43" i="7"/>
  <c r="O43" i="7"/>
  <c r="P43" i="7"/>
  <c r="Q43" i="7"/>
  <c r="R43" i="7"/>
  <c r="S43" i="7"/>
  <c r="T43" i="7"/>
  <c r="U43" i="7"/>
  <c r="V43" i="7"/>
  <c r="W43" i="7"/>
  <c r="X43" i="7"/>
  <c r="Y43" i="7"/>
  <c r="Z43" i="7"/>
  <c r="AA43" i="7"/>
  <c r="AB43" i="7"/>
  <c r="AC43" i="7"/>
  <c r="D44" i="7" a="1"/>
  <c r="D44" i="7"/>
  <c r="E45" i="7"/>
  <c r="F45" i="7"/>
  <c r="G45" i="7"/>
  <c r="H45" i="7"/>
  <c r="I45" i="7"/>
  <c r="J45" i="7"/>
  <c r="K45" i="7"/>
  <c r="L45" i="7"/>
  <c r="M45" i="7"/>
  <c r="N45" i="7"/>
  <c r="O45" i="7"/>
  <c r="P45" i="7"/>
  <c r="Q45" i="7"/>
  <c r="R45" i="7"/>
  <c r="S45" i="7"/>
  <c r="T45" i="7"/>
  <c r="U45" i="7"/>
  <c r="V45" i="7"/>
  <c r="W45" i="7"/>
  <c r="X45" i="7"/>
  <c r="Y45" i="7"/>
  <c r="Z45" i="7"/>
  <c r="AA45" i="7"/>
  <c r="AB45" i="7"/>
  <c r="AC45" i="7"/>
  <c r="E47" i="7"/>
  <c r="F47" i="7"/>
  <c r="G47" i="7"/>
  <c r="H47" i="7"/>
  <c r="I47" i="7"/>
  <c r="J47" i="7"/>
  <c r="K47" i="7"/>
  <c r="L47" i="7"/>
  <c r="M47" i="7"/>
  <c r="N47" i="7"/>
  <c r="O47" i="7"/>
  <c r="P47" i="7"/>
  <c r="Q47" i="7"/>
  <c r="R47" i="7"/>
  <c r="S47" i="7"/>
  <c r="T47" i="7"/>
  <c r="U47" i="7"/>
  <c r="V47" i="7"/>
  <c r="W47" i="7"/>
  <c r="X47" i="7"/>
  <c r="Y47" i="7"/>
  <c r="Z47" i="7"/>
  <c r="AA47" i="7"/>
  <c r="AB47" i="7"/>
  <c r="AC47" i="7"/>
  <c r="E48" i="7"/>
  <c r="F48" i="7"/>
  <c r="G48" i="7"/>
  <c r="H48" i="7"/>
  <c r="I48" i="7"/>
  <c r="J48" i="7"/>
  <c r="K48" i="7"/>
  <c r="L48" i="7"/>
  <c r="M48" i="7"/>
  <c r="N48" i="7"/>
  <c r="O48" i="7"/>
  <c r="P48" i="7"/>
  <c r="Q48" i="7"/>
  <c r="R48" i="7"/>
  <c r="S48" i="7"/>
  <c r="T48" i="7"/>
  <c r="U48" i="7"/>
  <c r="V48" i="7"/>
  <c r="W48" i="7"/>
  <c r="X48" i="7"/>
  <c r="Y48" i="7"/>
  <c r="Z48" i="7"/>
  <c r="AA48" i="7"/>
  <c r="AB48" i="7"/>
  <c r="AC48"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Z52" i="7" a="1"/>
  <c r="Z52" i="7"/>
  <c r="AA52" i="7" a="1"/>
  <c r="AA52" i="7"/>
  <c r="AB52" i="7" a="1"/>
  <c r="AB52" i="7"/>
  <c r="AC52" i="7" a="1"/>
  <c r="AC52" i="7"/>
  <c r="E53" i="7"/>
  <c r="F53" i="7"/>
  <c r="G53" i="7"/>
  <c r="H53" i="7"/>
  <c r="I53" i="7"/>
  <c r="J53" i="7"/>
  <c r="K53" i="7"/>
  <c r="L53" i="7"/>
  <c r="M53" i="7"/>
  <c r="N53" i="7"/>
  <c r="O53" i="7"/>
  <c r="P53" i="7"/>
  <c r="Q53" i="7"/>
  <c r="R53" i="7"/>
  <c r="S53" i="7"/>
  <c r="T53" i="7"/>
  <c r="U53" i="7"/>
  <c r="V53" i="7"/>
  <c r="W53" i="7"/>
  <c r="X53" i="7"/>
  <c r="Y53" i="7"/>
  <c r="Z53" i="7"/>
  <c r="AA53" i="7"/>
  <c r="AB53" i="7"/>
  <c r="AC53" i="7"/>
  <c r="D54" i="7"/>
  <c r="E54" i="7"/>
  <c r="F54" i="7"/>
  <c r="G54" i="7"/>
  <c r="H54" i="7"/>
  <c r="I54" i="7"/>
  <c r="J54" i="7"/>
  <c r="K54" i="7"/>
  <c r="L54" i="7"/>
  <c r="M54" i="7"/>
  <c r="N54" i="7"/>
  <c r="O54" i="7"/>
  <c r="P54" i="7"/>
  <c r="Q54" i="7"/>
  <c r="R54" i="7"/>
  <c r="S54" i="7"/>
  <c r="T54" i="7"/>
  <c r="U54" i="7"/>
  <c r="V54" i="7"/>
  <c r="W54" i="7"/>
  <c r="X54" i="7"/>
  <c r="Y54" i="7"/>
  <c r="Z54" i="7"/>
  <c r="AA54" i="7"/>
  <c r="AB54" i="7"/>
  <c r="AC54" i="7"/>
  <c r="D55" i="7"/>
  <c r="E55" i="7"/>
  <c r="F55" i="7"/>
  <c r="G55" i="7"/>
  <c r="H55" i="7"/>
  <c r="I55" i="7"/>
  <c r="J55" i="7"/>
  <c r="K55" i="7"/>
  <c r="L55" i="7"/>
  <c r="M55" i="7"/>
  <c r="N55" i="7"/>
  <c r="O55" i="7"/>
  <c r="P55" i="7"/>
  <c r="Q55" i="7"/>
  <c r="R55" i="7"/>
  <c r="S55" i="7"/>
  <c r="T55" i="7"/>
  <c r="U55" i="7"/>
  <c r="V55" i="7"/>
  <c r="W55" i="7"/>
  <c r="X55" i="7"/>
  <c r="Y55" i="7"/>
  <c r="Z55" i="7"/>
  <c r="AA55" i="7"/>
  <c r="AB55" i="7"/>
  <c r="AC55" i="7"/>
  <c r="D64" i="7"/>
  <c r="E64" i="7"/>
  <c r="F64" i="7"/>
  <c r="G64" i="7"/>
  <c r="H64" i="7"/>
  <c r="I64" i="7"/>
  <c r="J64" i="7"/>
  <c r="K64" i="7"/>
  <c r="L64" i="7"/>
  <c r="M64" i="7"/>
  <c r="N64" i="7"/>
  <c r="O64" i="7"/>
  <c r="P64" i="7"/>
  <c r="Q64" i="7"/>
  <c r="R64" i="7"/>
  <c r="S64" i="7"/>
  <c r="T64" i="7"/>
  <c r="U64" i="7"/>
  <c r="V64" i="7"/>
  <c r="W64" i="7"/>
  <c r="X64" i="7"/>
  <c r="Y64" i="7"/>
  <c r="Z64" i="7"/>
  <c r="AA64" i="7"/>
  <c r="AB64" i="7"/>
  <c r="AC64" i="7"/>
  <c r="D65" i="7"/>
  <c r="E65" i="7"/>
  <c r="F65" i="7"/>
  <c r="G65" i="7"/>
  <c r="H65" i="7"/>
  <c r="I65" i="7"/>
  <c r="J65" i="7"/>
  <c r="K65" i="7"/>
  <c r="L65" i="7"/>
  <c r="M65" i="7"/>
  <c r="N65" i="7"/>
  <c r="O65" i="7"/>
  <c r="P65" i="7"/>
  <c r="Q65" i="7"/>
  <c r="R65" i="7"/>
  <c r="S65" i="7"/>
  <c r="T65" i="7"/>
  <c r="U65" i="7"/>
  <c r="V65" i="7"/>
  <c r="W65" i="7"/>
  <c r="X65" i="7"/>
  <c r="Y65" i="7"/>
  <c r="Z65" i="7"/>
  <c r="AA65" i="7"/>
  <c r="AB65" i="7"/>
  <c r="AC65" i="7"/>
  <c r="E66" i="7"/>
  <c r="F66" i="7"/>
  <c r="G66" i="7"/>
  <c r="H66" i="7"/>
  <c r="I66" i="7"/>
  <c r="J66" i="7"/>
  <c r="K66" i="7"/>
  <c r="L66" i="7"/>
  <c r="M66" i="7"/>
  <c r="N66" i="7"/>
  <c r="O66" i="7"/>
  <c r="P66" i="7"/>
  <c r="Q66" i="7"/>
  <c r="R66" i="7"/>
  <c r="S66" i="7"/>
  <c r="T66" i="7"/>
  <c r="U66" i="7"/>
  <c r="V66" i="7"/>
  <c r="W66" i="7"/>
  <c r="X66" i="7"/>
  <c r="Y66" i="7"/>
  <c r="Z66" i="7"/>
  <c r="AA66" i="7"/>
  <c r="AB66" i="7"/>
  <c r="AC66" i="7"/>
  <c r="D67" i="7"/>
  <c r="E67" i="7"/>
  <c r="F67" i="7"/>
  <c r="G67" i="7"/>
  <c r="H67" i="7"/>
  <c r="I67" i="7"/>
  <c r="J67" i="7"/>
  <c r="K67" i="7"/>
  <c r="L67" i="7"/>
  <c r="M67" i="7"/>
  <c r="N67" i="7"/>
  <c r="O67" i="7"/>
  <c r="P67" i="7"/>
  <c r="Q67" i="7"/>
  <c r="R67" i="7"/>
  <c r="S67" i="7"/>
  <c r="T67" i="7"/>
  <c r="U67" i="7"/>
  <c r="V67" i="7"/>
  <c r="W67" i="7"/>
  <c r="X67" i="7"/>
  <c r="Y67" i="7"/>
  <c r="Z67" i="7"/>
  <c r="AA67" i="7"/>
  <c r="AB67" i="7"/>
  <c r="AC67" i="7"/>
  <c r="D68" i="7"/>
  <c r="E68" i="7"/>
  <c r="F68" i="7"/>
  <c r="G68" i="7"/>
  <c r="H68" i="7"/>
  <c r="I68" i="7"/>
  <c r="J68" i="7"/>
  <c r="K68" i="7"/>
  <c r="L68" i="7"/>
  <c r="M68" i="7"/>
  <c r="N68" i="7"/>
  <c r="O68" i="7"/>
  <c r="P68" i="7"/>
  <c r="Q68" i="7"/>
  <c r="R68" i="7"/>
  <c r="S68" i="7"/>
  <c r="T68" i="7"/>
  <c r="U68" i="7"/>
  <c r="V68" i="7"/>
  <c r="W68" i="7"/>
  <c r="X68" i="7"/>
  <c r="Y68" i="7"/>
  <c r="Z68" i="7"/>
  <c r="AA68" i="7"/>
  <c r="AB68" i="7"/>
  <c r="AC68" i="7"/>
  <c r="D69" i="7"/>
  <c r="E69" i="7"/>
  <c r="F69" i="7"/>
  <c r="G69" i="7"/>
  <c r="H69" i="7"/>
  <c r="I69" i="7"/>
  <c r="J69" i="7"/>
  <c r="K69" i="7"/>
  <c r="L69" i="7"/>
  <c r="M69" i="7"/>
  <c r="N69" i="7"/>
  <c r="O69" i="7"/>
  <c r="P69" i="7"/>
  <c r="Q69" i="7"/>
  <c r="R69" i="7"/>
  <c r="S69" i="7"/>
  <c r="T69" i="7"/>
  <c r="U69" i="7"/>
  <c r="V69" i="7"/>
  <c r="W69" i="7"/>
  <c r="X69" i="7"/>
  <c r="Y69" i="7"/>
  <c r="Z69" i="7"/>
  <c r="AA69" i="7"/>
  <c r="AB69" i="7"/>
  <c r="AC69"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Z70" i="7" a="1"/>
  <c r="Z70" i="7"/>
  <c r="AA70" i="7" a="1"/>
  <c r="AA70" i="7"/>
  <c r="AB70" i="7" a="1"/>
  <c r="AB70" i="7"/>
  <c r="AC70" i="7" a="1"/>
  <c r="AC70" i="7"/>
  <c r="D71" i="7"/>
  <c r="E71" i="7"/>
  <c r="F71" i="7"/>
  <c r="G71" i="7"/>
  <c r="H71" i="7"/>
  <c r="I71" i="7"/>
  <c r="J71" i="7"/>
  <c r="K71" i="7"/>
  <c r="L71" i="7"/>
  <c r="M71" i="7"/>
  <c r="N71" i="7"/>
  <c r="O71" i="7"/>
  <c r="P71" i="7"/>
  <c r="Q71" i="7"/>
  <c r="R71" i="7"/>
  <c r="S71" i="7"/>
  <c r="T71" i="7"/>
  <c r="U71" i="7"/>
  <c r="V71" i="7"/>
  <c r="W71" i="7"/>
  <c r="X71" i="7"/>
  <c r="Y71" i="7"/>
  <c r="Z71" i="7"/>
  <c r="AA71" i="7"/>
  <c r="AB71" i="7"/>
  <c r="AC71" i="7"/>
  <c r="D72" i="7"/>
  <c r="E72" i="7"/>
  <c r="F72" i="7"/>
  <c r="G72" i="7"/>
  <c r="H72" i="7"/>
  <c r="I72" i="7"/>
  <c r="J72" i="7"/>
  <c r="K72" i="7"/>
  <c r="L72" i="7"/>
  <c r="M72" i="7"/>
  <c r="N72" i="7"/>
  <c r="O72" i="7"/>
  <c r="P72" i="7"/>
  <c r="Q72" i="7"/>
  <c r="R72" i="7"/>
  <c r="S72" i="7"/>
  <c r="T72" i="7"/>
  <c r="U72" i="7"/>
  <c r="V72" i="7"/>
  <c r="W72" i="7"/>
  <c r="X72" i="7"/>
  <c r="Y72" i="7"/>
  <c r="Z72" i="7"/>
  <c r="AA72" i="7"/>
  <c r="AB72" i="7"/>
  <c r="AC72" i="7"/>
  <c r="D73" i="7"/>
  <c r="E73" i="7"/>
  <c r="F73" i="7"/>
  <c r="G73" i="7"/>
  <c r="H73" i="7"/>
  <c r="I73" i="7"/>
  <c r="J73" i="7"/>
  <c r="K73" i="7"/>
  <c r="L73" i="7"/>
  <c r="M73" i="7"/>
  <c r="N73" i="7"/>
  <c r="O73" i="7"/>
  <c r="P73" i="7"/>
  <c r="Q73" i="7"/>
  <c r="R73" i="7"/>
  <c r="S73" i="7"/>
  <c r="T73" i="7"/>
  <c r="U73" i="7"/>
  <c r="V73" i="7"/>
  <c r="W73" i="7"/>
  <c r="X73" i="7"/>
  <c r="Y73" i="7"/>
  <c r="Z73" i="7"/>
  <c r="AA73" i="7"/>
  <c r="AB73" i="7"/>
  <c r="AC73" i="7"/>
  <c r="D74" i="7"/>
  <c r="E74" i="7"/>
  <c r="F74" i="7"/>
  <c r="G74" i="7"/>
  <c r="H74" i="7"/>
  <c r="I74" i="7"/>
  <c r="J74" i="7"/>
  <c r="K74" i="7"/>
  <c r="L74" i="7"/>
  <c r="M74" i="7"/>
  <c r="N74" i="7"/>
  <c r="O74" i="7"/>
  <c r="P74" i="7"/>
  <c r="Q74" i="7"/>
  <c r="R74" i="7"/>
  <c r="S74" i="7"/>
  <c r="T74" i="7"/>
  <c r="U74" i="7"/>
  <c r="V74" i="7"/>
  <c r="W74" i="7"/>
  <c r="X74" i="7"/>
  <c r="Y74" i="7"/>
  <c r="Z74" i="7"/>
  <c r="AA74" i="7"/>
  <c r="AB74" i="7"/>
  <c r="AC74" i="7"/>
  <c r="D79" i="7"/>
  <c r="E79" i="7"/>
  <c r="F79" i="7"/>
  <c r="G79" i="7"/>
  <c r="H79" i="7"/>
  <c r="I79" i="7"/>
  <c r="J79" i="7"/>
  <c r="K79" i="7"/>
  <c r="L79" i="7"/>
  <c r="M79" i="7"/>
  <c r="N79" i="7"/>
  <c r="O79" i="7"/>
  <c r="P79" i="7"/>
  <c r="Q79" i="7"/>
  <c r="R79" i="7"/>
  <c r="S79" i="7"/>
  <c r="T79" i="7"/>
  <c r="U79" i="7"/>
  <c r="V79" i="7"/>
  <c r="W79" i="7"/>
  <c r="X79" i="7"/>
  <c r="Y79" i="7"/>
  <c r="Z79" i="7"/>
  <c r="AA79" i="7"/>
  <c r="AB79" i="7"/>
  <c r="AC79" i="7"/>
  <c r="D80" i="7"/>
  <c r="E80" i="7"/>
  <c r="F80" i="7"/>
  <c r="G80" i="7"/>
  <c r="H80" i="7"/>
  <c r="I80" i="7"/>
  <c r="J80" i="7"/>
  <c r="K80" i="7"/>
  <c r="L80" i="7"/>
  <c r="M80" i="7"/>
  <c r="N80" i="7"/>
  <c r="O80" i="7"/>
  <c r="P80" i="7"/>
  <c r="Q80" i="7"/>
  <c r="R80" i="7"/>
  <c r="S80" i="7"/>
  <c r="T80" i="7"/>
  <c r="U80" i="7"/>
  <c r="V80" i="7"/>
  <c r="W80" i="7"/>
  <c r="X80" i="7"/>
  <c r="Y80" i="7"/>
  <c r="Z80" i="7"/>
  <c r="AA80" i="7"/>
  <c r="AB80" i="7"/>
  <c r="AC80" i="7"/>
  <c r="D81" i="7"/>
  <c r="E81" i="7"/>
  <c r="F81" i="7"/>
  <c r="G81" i="7"/>
  <c r="H81" i="7"/>
  <c r="I81" i="7"/>
  <c r="J81" i="7"/>
  <c r="K81" i="7"/>
  <c r="L81" i="7"/>
  <c r="M81" i="7"/>
  <c r="N81" i="7"/>
  <c r="O81" i="7"/>
  <c r="P81" i="7"/>
  <c r="Q81" i="7"/>
  <c r="R81" i="7"/>
  <c r="S81" i="7"/>
  <c r="T81" i="7"/>
  <c r="U81" i="7"/>
  <c r="V81" i="7"/>
  <c r="W81" i="7"/>
  <c r="X81" i="7"/>
  <c r="Y81" i="7"/>
  <c r="Z81" i="7"/>
  <c r="AA81" i="7"/>
  <c r="AB81" i="7"/>
  <c r="AC81" i="7"/>
  <c r="D82" i="7"/>
  <c r="E82" i="7"/>
  <c r="F82" i="7"/>
  <c r="G82" i="7"/>
  <c r="H82" i="7"/>
  <c r="I82" i="7"/>
  <c r="J82" i="7"/>
  <c r="K82" i="7"/>
  <c r="L82" i="7"/>
  <c r="M82" i="7"/>
  <c r="N82" i="7"/>
  <c r="O82" i="7"/>
  <c r="P82" i="7"/>
  <c r="Q82" i="7"/>
  <c r="R82" i="7"/>
  <c r="S82" i="7"/>
  <c r="T82" i="7"/>
  <c r="U82" i="7"/>
  <c r="V82" i="7"/>
  <c r="W82" i="7"/>
  <c r="X82" i="7"/>
  <c r="Y82" i="7"/>
  <c r="Z82" i="7"/>
  <c r="AA82" i="7"/>
  <c r="AB82" i="7"/>
  <c r="AC82"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Z83" i="7" a="1"/>
  <c r="Z83" i="7"/>
  <c r="AA83" i="7" a="1"/>
  <c r="AA83" i="7"/>
  <c r="AB83" i="7" a="1"/>
  <c r="AB83" i="7"/>
  <c r="AC83" i="7" a="1"/>
  <c r="AC83"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Z84" i="7" a="1"/>
  <c r="Z84" i="7"/>
  <c r="AA84" i="7" a="1"/>
  <c r="AA84" i="7"/>
  <c r="AB84" i="7" a="1"/>
  <c r="AB84" i="7"/>
  <c r="AC84" i="7" a="1"/>
  <c r="AC84" i="7"/>
  <c r="D85" i="7"/>
  <c r="E85" i="7"/>
  <c r="F85" i="7"/>
  <c r="G85" i="7"/>
  <c r="H85" i="7"/>
  <c r="I85" i="7"/>
  <c r="J85" i="7"/>
  <c r="K85" i="7"/>
  <c r="L85" i="7"/>
  <c r="M85" i="7"/>
  <c r="N85" i="7"/>
  <c r="O85" i="7"/>
  <c r="P85" i="7"/>
  <c r="Q85" i="7"/>
  <c r="R85" i="7"/>
  <c r="S85" i="7"/>
  <c r="T85" i="7"/>
  <c r="U85" i="7"/>
  <c r="V85" i="7"/>
  <c r="W85" i="7"/>
  <c r="X85" i="7"/>
  <c r="Y85" i="7"/>
  <c r="Z85" i="7"/>
  <c r="AA85" i="7"/>
  <c r="AB85" i="7"/>
  <c r="AC85" i="7"/>
  <c r="D86" i="7"/>
  <c r="E86" i="7"/>
  <c r="F86" i="7"/>
  <c r="G86" i="7"/>
  <c r="H86" i="7"/>
  <c r="I86" i="7"/>
  <c r="J86" i="7"/>
  <c r="K86" i="7"/>
  <c r="L86" i="7"/>
  <c r="M86" i="7"/>
  <c r="N86" i="7"/>
  <c r="O86" i="7"/>
  <c r="P86" i="7"/>
  <c r="Q86" i="7"/>
  <c r="R86" i="7"/>
  <c r="S86" i="7"/>
  <c r="T86" i="7"/>
  <c r="U86" i="7"/>
  <c r="V86" i="7"/>
  <c r="W86" i="7"/>
  <c r="X86" i="7"/>
  <c r="Y86" i="7"/>
  <c r="Z86" i="7"/>
  <c r="AA86" i="7"/>
  <c r="AB86" i="7"/>
  <c r="AC86" i="7"/>
  <c r="D87" i="7"/>
  <c r="E87" i="7"/>
  <c r="F87" i="7"/>
  <c r="G87" i="7"/>
  <c r="H87" i="7"/>
  <c r="I87" i="7"/>
  <c r="J87" i="7"/>
  <c r="K87" i="7"/>
  <c r="L87" i="7"/>
  <c r="M87" i="7"/>
  <c r="N87" i="7"/>
  <c r="O87" i="7"/>
  <c r="P87" i="7"/>
  <c r="Q87" i="7"/>
  <c r="R87" i="7"/>
  <c r="S87" i="7"/>
  <c r="T87" i="7"/>
  <c r="U87" i="7"/>
  <c r="V87" i="7"/>
  <c r="W87" i="7"/>
  <c r="X87" i="7"/>
  <c r="Y87" i="7"/>
  <c r="Z87" i="7"/>
  <c r="AA87" i="7"/>
  <c r="AB87" i="7"/>
  <c r="AC87" i="7"/>
  <c r="D103" i="7"/>
  <c r="E103" i="7"/>
  <c r="F103" i="7"/>
  <c r="G103" i="7"/>
  <c r="H103" i="7"/>
  <c r="I103" i="7"/>
  <c r="J103" i="7"/>
  <c r="K103" i="7"/>
  <c r="L103" i="7"/>
  <c r="M103" i="7"/>
  <c r="N103" i="7"/>
  <c r="O103" i="7"/>
  <c r="P103" i="7"/>
  <c r="Q103" i="7"/>
  <c r="R103" i="7"/>
  <c r="S103" i="7"/>
  <c r="T103" i="7"/>
  <c r="U103" i="7"/>
  <c r="V103" i="7"/>
  <c r="W103" i="7"/>
  <c r="X103" i="7"/>
  <c r="Y103" i="7"/>
  <c r="Z103" i="7"/>
  <c r="AA103" i="7"/>
  <c r="AB103" i="7"/>
  <c r="AC103" i="7"/>
  <c r="D106" i="7"/>
  <c r="E106" i="7"/>
  <c r="F106" i="7"/>
  <c r="G106" i="7"/>
  <c r="H106" i="7"/>
  <c r="I106" i="7"/>
  <c r="J106" i="7"/>
  <c r="K106" i="7"/>
  <c r="L106" i="7"/>
  <c r="M106" i="7"/>
  <c r="N106" i="7"/>
  <c r="O106" i="7"/>
  <c r="P106" i="7"/>
  <c r="Q106" i="7"/>
  <c r="R106" i="7"/>
  <c r="S106" i="7"/>
  <c r="T106" i="7"/>
  <c r="U106" i="7"/>
  <c r="V106" i="7"/>
  <c r="W106" i="7"/>
  <c r="X106" i="7"/>
  <c r="Y106" i="7"/>
  <c r="Z106" i="7"/>
  <c r="AA106" i="7"/>
  <c r="AB106" i="7"/>
  <c r="AC106" i="7"/>
  <c r="D107" i="7"/>
  <c r="E107" i="7"/>
  <c r="F107" i="7"/>
  <c r="G107" i="7"/>
  <c r="H107" i="7"/>
  <c r="I107" i="7"/>
  <c r="J107" i="7"/>
  <c r="K107" i="7"/>
  <c r="L107" i="7"/>
  <c r="M107" i="7"/>
  <c r="N107" i="7"/>
  <c r="O107" i="7"/>
  <c r="P107" i="7"/>
  <c r="Q107" i="7"/>
  <c r="R107" i="7"/>
  <c r="S107" i="7"/>
  <c r="T107" i="7"/>
  <c r="U107" i="7"/>
  <c r="V107" i="7"/>
  <c r="W107" i="7"/>
  <c r="X107" i="7"/>
  <c r="Y107" i="7"/>
  <c r="Z107" i="7"/>
  <c r="AA107" i="7"/>
  <c r="AB107" i="7"/>
  <c r="AC107" i="7"/>
  <c r="D108" i="7"/>
  <c r="E108" i="7"/>
  <c r="F108" i="7"/>
  <c r="G108" i="7"/>
  <c r="H108" i="7"/>
  <c r="I108" i="7"/>
  <c r="J108" i="7"/>
  <c r="K108" i="7"/>
  <c r="L108" i="7"/>
  <c r="M108" i="7"/>
  <c r="N108" i="7"/>
  <c r="O108" i="7"/>
  <c r="P108" i="7"/>
  <c r="Q108" i="7"/>
  <c r="R108" i="7"/>
  <c r="S108" i="7"/>
  <c r="T108" i="7"/>
  <c r="U108" i="7"/>
  <c r="V108" i="7"/>
  <c r="W108" i="7"/>
  <c r="X108" i="7"/>
  <c r="Y108" i="7"/>
  <c r="Z108" i="7"/>
  <c r="AA108" i="7"/>
  <c r="AB108" i="7"/>
  <c r="AC108" i="7"/>
  <c r="D109" i="7"/>
  <c r="E109" i="7"/>
  <c r="F109" i="7"/>
  <c r="G109" i="7"/>
  <c r="H109" i="7"/>
  <c r="I109" i="7"/>
  <c r="J109" i="7"/>
  <c r="K109" i="7"/>
  <c r="L109" i="7"/>
  <c r="M109" i="7"/>
  <c r="N109" i="7"/>
  <c r="O109" i="7"/>
  <c r="P109" i="7"/>
  <c r="Q109" i="7"/>
  <c r="R109" i="7"/>
  <c r="S109" i="7"/>
  <c r="T109" i="7"/>
  <c r="U109" i="7"/>
  <c r="V109" i="7"/>
  <c r="W109" i="7"/>
  <c r="X109" i="7"/>
  <c r="Y109" i="7"/>
  <c r="Z109" i="7"/>
  <c r="AA109" i="7"/>
  <c r="AB109" i="7"/>
  <c r="AC109" i="7"/>
  <c r="D110" i="7"/>
  <c r="E110" i="7"/>
  <c r="F110" i="7"/>
  <c r="G110" i="7"/>
  <c r="H110" i="7"/>
  <c r="I110" i="7"/>
  <c r="J110" i="7"/>
  <c r="K110" i="7"/>
  <c r="L110" i="7"/>
  <c r="M110" i="7"/>
  <c r="N110" i="7"/>
  <c r="O110" i="7"/>
  <c r="P110" i="7"/>
  <c r="Q110" i="7"/>
  <c r="R110" i="7"/>
  <c r="S110" i="7"/>
  <c r="T110" i="7"/>
  <c r="U110" i="7"/>
  <c r="V110" i="7"/>
  <c r="W110" i="7"/>
  <c r="X110" i="7"/>
  <c r="Y110" i="7"/>
  <c r="Z110" i="7"/>
  <c r="AA110" i="7"/>
  <c r="AB110" i="7"/>
  <c r="AC110" i="7"/>
  <c r="D111" i="7"/>
  <c r="E111" i="7"/>
  <c r="F111" i="7"/>
  <c r="G111" i="7"/>
  <c r="H111" i="7"/>
  <c r="I111" i="7"/>
  <c r="J111" i="7"/>
  <c r="K111" i="7"/>
  <c r="L111" i="7"/>
  <c r="M111" i="7"/>
  <c r="N111" i="7"/>
  <c r="O111" i="7"/>
  <c r="P111" i="7"/>
  <c r="Q111" i="7"/>
  <c r="R111" i="7"/>
  <c r="S111" i="7"/>
  <c r="T111" i="7"/>
  <c r="U111" i="7"/>
  <c r="V111" i="7"/>
  <c r="W111" i="7"/>
  <c r="X111" i="7"/>
  <c r="Y111" i="7"/>
  <c r="Z111" i="7"/>
  <c r="AA111" i="7"/>
  <c r="AB111" i="7"/>
  <c r="AC111" i="7"/>
  <c r="D112" i="7"/>
  <c r="E112" i="7"/>
  <c r="F112" i="7"/>
  <c r="G112" i="7"/>
  <c r="H112" i="7"/>
  <c r="I112" i="7"/>
  <c r="J112" i="7"/>
  <c r="K112" i="7"/>
  <c r="L112" i="7"/>
  <c r="M112" i="7"/>
  <c r="N112" i="7"/>
  <c r="O112" i="7"/>
  <c r="P112" i="7"/>
  <c r="Q112" i="7"/>
  <c r="R112" i="7"/>
  <c r="S112" i="7"/>
  <c r="T112" i="7"/>
  <c r="U112" i="7"/>
  <c r="V112" i="7"/>
  <c r="W112" i="7"/>
  <c r="X112" i="7"/>
  <c r="Y112" i="7"/>
  <c r="Z112" i="7"/>
  <c r="AA112" i="7"/>
  <c r="AB112" i="7"/>
  <c r="AC112" i="7"/>
  <c r="D113" i="7"/>
  <c r="E113" i="7"/>
  <c r="F113" i="7"/>
  <c r="G113" i="7"/>
  <c r="H113" i="7"/>
  <c r="I113" i="7"/>
  <c r="J113" i="7"/>
  <c r="K113" i="7"/>
  <c r="L113" i="7"/>
  <c r="M113" i="7"/>
  <c r="N113" i="7"/>
  <c r="O113" i="7"/>
  <c r="P113" i="7"/>
  <c r="Q113" i="7"/>
  <c r="R113" i="7"/>
  <c r="S113" i="7"/>
  <c r="T113" i="7"/>
  <c r="U113" i="7"/>
  <c r="V113" i="7"/>
  <c r="W113" i="7"/>
  <c r="X113" i="7"/>
  <c r="Y113" i="7"/>
  <c r="Z113" i="7"/>
  <c r="AA113" i="7"/>
  <c r="AB113" i="7"/>
  <c r="AC113" i="7"/>
  <c r="D114" i="7"/>
  <c r="E114" i="7"/>
  <c r="F114" i="7"/>
  <c r="G114" i="7"/>
  <c r="H114" i="7"/>
  <c r="I114" i="7"/>
  <c r="J114" i="7"/>
  <c r="K114" i="7"/>
  <c r="L114" i="7"/>
  <c r="M114" i="7"/>
  <c r="N114" i="7"/>
  <c r="O114" i="7"/>
  <c r="P114" i="7"/>
  <c r="Q114" i="7"/>
  <c r="R114" i="7"/>
  <c r="S114" i="7"/>
  <c r="T114" i="7"/>
  <c r="U114" i="7"/>
  <c r="V114" i="7"/>
  <c r="W114" i="7"/>
  <c r="X114" i="7"/>
  <c r="Y114" i="7"/>
  <c r="Z114" i="7"/>
  <c r="AA114" i="7"/>
  <c r="AB114" i="7"/>
  <c r="AC114" i="7"/>
  <c r="D115" i="7"/>
  <c r="E115" i="7"/>
  <c r="F115" i="7"/>
  <c r="G115" i="7"/>
  <c r="H115" i="7"/>
  <c r="I115" i="7"/>
  <c r="J115" i="7"/>
  <c r="K115" i="7"/>
  <c r="L115" i="7"/>
  <c r="M115" i="7"/>
  <c r="N115" i="7"/>
  <c r="O115" i="7"/>
  <c r="P115" i="7"/>
  <c r="Q115" i="7"/>
  <c r="R115" i="7"/>
  <c r="S115" i="7"/>
  <c r="T115" i="7"/>
  <c r="U115" i="7"/>
  <c r="V115" i="7"/>
  <c r="W115" i="7"/>
  <c r="X115" i="7"/>
  <c r="Y115" i="7"/>
  <c r="Z115" i="7"/>
  <c r="AA115" i="7"/>
  <c r="AB115" i="7"/>
  <c r="AC115" i="7"/>
  <c r="D122" i="7"/>
  <c r="E122" i="7"/>
  <c r="F122" i="7"/>
  <c r="G122" i="7"/>
  <c r="H122" i="7"/>
  <c r="I122" i="7"/>
  <c r="J122" i="7"/>
  <c r="K122" i="7"/>
  <c r="L122" i="7"/>
  <c r="M122" i="7"/>
  <c r="N122" i="7"/>
  <c r="O122" i="7"/>
  <c r="P122" i="7"/>
  <c r="Q122" i="7"/>
  <c r="R122" i="7"/>
  <c r="S122" i="7"/>
  <c r="T122" i="7"/>
  <c r="U122" i="7"/>
  <c r="V122" i="7"/>
  <c r="W122" i="7"/>
  <c r="X122" i="7"/>
  <c r="Y122" i="7"/>
  <c r="Z122" i="7"/>
  <c r="AA122" i="7"/>
  <c r="AB122" i="7"/>
  <c r="AC122" i="7"/>
  <c r="D123" i="7"/>
  <c r="E123" i="7"/>
  <c r="F123" i="7"/>
  <c r="G123" i="7"/>
  <c r="H123" i="7"/>
  <c r="I123" i="7"/>
  <c r="J123" i="7"/>
  <c r="K123" i="7"/>
  <c r="L123" i="7"/>
  <c r="M123" i="7"/>
  <c r="N123" i="7"/>
  <c r="O123" i="7"/>
  <c r="P123" i="7"/>
  <c r="Q123" i="7"/>
  <c r="R123" i="7"/>
  <c r="S123" i="7"/>
  <c r="T123" i="7"/>
  <c r="U123" i="7"/>
  <c r="V123" i="7"/>
  <c r="W123" i="7"/>
  <c r="X123" i="7"/>
  <c r="Y123" i="7"/>
  <c r="Z123" i="7"/>
  <c r="AA123" i="7"/>
  <c r="AB123" i="7"/>
  <c r="AC123" i="7"/>
  <c r="D124" i="7"/>
  <c r="E124" i="7"/>
  <c r="F124" i="7"/>
  <c r="G124" i="7"/>
  <c r="H124" i="7"/>
  <c r="I124" i="7"/>
  <c r="J124" i="7"/>
  <c r="K124" i="7"/>
  <c r="L124" i="7"/>
  <c r="M124" i="7"/>
  <c r="N124" i="7"/>
  <c r="O124" i="7"/>
  <c r="P124" i="7"/>
  <c r="Q124" i="7"/>
  <c r="R124" i="7"/>
  <c r="S124" i="7"/>
  <c r="T124" i="7"/>
  <c r="U124" i="7"/>
  <c r="V124" i="7"/>
  <c r="W124" i="7"/>
  <c r="X124" i="7"/>
  <c r="Y124" i="7"/>
  <c r="Z124" i="7"/>
  <c r="AA124" i="7"/>
  <c r="AB124" i="7"/>
  <c r="AC124" i="7"/>
  <c r="D125" i="7"/>
  <c r="E125" i="7"/>
  <c r="F125" i="7"/>
  <c r="G125" i="7"/>
  <c r="H125" i="7"/>
  <c r="I125" i="7"/>
  <c r="J125" i="7"/>
  <c r="K125" i="7"/>
  <c r="L125" i="7"/>
  <c r="M125" i="7"/>
  <c r="N125" i="7"/>
  <c r="O125" i="7"/>
  <c r="P125" i="7"/>
  <c r="Q125" i="7"/>
  <c r="R125" i="7"/>
  <c r="S125" i="7"/>
  <c r="T125" i="7"/>
  <c r="U125" i="7"/>
  <c r="V125" i="7"/>
  <c r="W125" i="7"/>
  <c r="X125" i="7"/>
  <c r="Y125" i="7"/>
  <c r="Z125" i="7"/>
  <c r="AA125" i="7"/>
  <c r="AB125" i="7"/>
  <c r="AC125" i="7"/>
  <c r="D126" i="7"/>
  <c r="E126" i="7"/>
  <c r="F126" i="7"/>
  <c r="G126" i="7"/>
  <c r="H126" i="7"/>
  <c r="I126" i="7"/>
  <c r="J126" i="7"/>
  <c r="K126" i="7"/>
  <c r="L126" i="7"/>
  <c r="M126" i="7"/>
  <c r="N126" i="7"/>
  <c r="O126" i="7"/>
  <c r="P126" i="7"/>
  <c r="Q126" i="7"/>
  <c r="R126" i="7"/>
  <c r="S126" i="7"/>
  <c r="T126" i="7"/>
  <c r="U126" i="7"/>
  <c r="V126" i="7"/>
  <c r="W126" i="7"/>
  <c r="X126" i="7"/>
  <c r="Y126" i="7"/>
  <c r="Z126" i="7"/>
  <c r="AA126" i="7"/>
  <c r="AB126" i="7"/>
  <c r="AC126" i="7"/>
  <c r="D127" i="7"/>
  <c r="E127" i="7"/>
  <c r="F127" i="7"/>
  <c r="G127" i="7"/>
  <c r="H127" i="7"/>
  <c r="I127" i="7"/>
  <c r="J127" i="7"/>
  <c r="K127" i="7"/>
  <c r="L127" i="7"/>
  <c r="M127" i="7"/>
  <c r="N127" i="7"/>
  <c r="O127" i="7"/>
  <c r="P127" i="7"/>
  <c r="Q127" i="7"/>
  <c r="R127" i="7"/>
  <c r="S127" i="7"/>
  <c r="T127" i="7"/>
  <c r="U127" i="7"/>
  <c r="V127" i="7"/>
  <c r="W127" i="7"/>
  <c r="X127" i="7"/>
  <c r="Y127" i="7"/>
  <c r="Z127" i="7"/>
  <c r="AA127" i="7"/>
  <c r="AB127" i="7"/>
  <c r="AC127" i="7"/>
  <c r="D128" i="7"/>
  <c r="E128" i="7"/>
  <c r="F128" i="7"/>
  <c r="G128" i="7"/>
  <c r="H128" i="7"/>
  <c r="I128" i="7"/>
  <c r="J128" i="7"/>
  <c r="K128" i="7"/>
  <c r="L128" i="7"/>
  <c r="M128" i="7"/>
  <c r="N128" i="7"/>
  <c r="O128" i="7"/>
  <c r="P128" i="7"/>
  <c r="Q128" i="7"/>
  <c r="R128" i="7"/>
  <c r="S128" i="7"/>
  <c r="T128" i="7"/>
  <c r="U128" i="7"/>
  <c r="V128" i="7"/>
  <c r="W128" i="7"/>
  <c r="X128" i="7"/>
  <c r="Y128" i="7"/>
  <c r="Z128" i="7"/>
  <c r="AA128" i="7"/>
  <c r="AB128" i="7"/>
  <c r="AC128" i="7"/>
  <c r="D129" i="7"/>
  <c r="E129" i="7"/>
  <c r="F129" i="7"/>
  <c r="G129" i="7"/>
  <c r="H129" i="7"/>
  <c r="I129" i="7"/>
  <c r="J129" i="7"/>
  <c r="K129" i="7"/>
  <c r="L129" i="7"/>
  <c r="M129" i="7"/>
  <c r="N129" i="7"/>
  <c r="O129" i="7"/>
  <c r="P129" i="7"/>
  <c r="Q129" i="7"/>
  <c r="R129" i="7"/>
  <c r="S129" i="7"/>
  <c r="T129" i="7"/>
  <c r="U129" i="7"/>
  <c r="V129" i="7"/>
  <c r="W129" i="7"/>
  <c r="X129" i="7"/>
  <c r="Y129" i="7"/>
  <c r="Z129" i="7"/>
  <c r="AA129" i="7"/>
  <c r="AB129" i="7"/>
  <c r="AC129" i="7"/>
  <c r="D130" i="7"/>
  <c r="E130" i="7"/>
  <c r="F130" i="7"/>
  <c r="G130" i="7"/>
  <c r="H130" i="7"/>
  <c r="I130" i="7"/>
  <c r="J130" i="7"/>
  <c r="K130" i="7"/>
  <c r="L130" i="7"/>
  <c r="M130" i="7"/>
  <c r="N130" i="7"/>
  <c r="O130" i="7"/>
  <c r="P130" i="7"/>
  <c r="Q130" i="7"/>
  <c r="R130" i="7"/>
  <c r="S130" i="7"/>
  <c r="T130" i="7"/>
  <c r="U130" i="7"/>
  <c r="V130" i="7"/>
  <c r="W130" i="7"/>
  <c r="X130" i="7"/>
  <c r="Y130" i="7"/>
  <c r="Z130" i="7"/>
  <c r="AA130" i="7"/>
  <c r="AB130" i="7"/>
  <c r="AC130" i="7"/>
  <c r="D131" i="7"/>
  <c r="E131" i="7"/>
  <c r="F131" i="7"/>
  <c r="G131" i="7"/>
  <c r="H131" i="7"/>
  <c r="I131" i="7"/>
  <c r="J131" i="7"/>
  <c r="K131" i="7"/>
  <c r="L131" i="7"/>
  <c r="M131" i="7"/>
  <c r="N131" i="7"/>
  <c r="O131" i="7"/>
  <c r="P131" i="7"/>
  <c r="Q131" i="7"/>
  <c r="R131" i="7"/>
  <c r="S131" i="7"/>
  <c r="T131" i="7"/>
  <c r="U131" i="7"/>
  <c r="V131" i="7"/>
  <c r="W131" i="7"/>
  <c r="X131" i="7"/>
  <c r="Y131" i="7"/>
  <c r="Z131" i="7"/>
  <c r="AA131" i="7"/>
  <c r="AB131" i="7"/>
  <c r="AC131" i="7"/>
  <c r="D132" i="7"/>
  <c r="E132" i="7"/>
  <c r="F132" i="7"/>
  <c r="G132" i="7"/>
  <c r="H132" i="7"/>
  <c r="I132" i="7"/>
  <c r="J132" i="7"/>
  <c r="K132" i="7"/>
  <c r="L132" i="7"/>
  <c r="M132" i="7"/>
  <c r="N132" i="7"/>
  <c r="O132" i="7"/>
  <c r="P132" i="7"/>
  <c r="Q132" i="7"/>
  <c r="R132" i="7"/>
  <c r="S132" i="7"/>
  <c r="T132" i="7"/>
  <c r="U132" i="7"/>
  <c r="V132" i="7"/>
  <c r="W132" i="7"/>
  <c r="X132" i="7"/>
  <c r="Y132" i="7"/>
  <c r="Z132" i="7"/>
  <c r="AA132" i="7"/>
  <c r="AB132" i="7"/>
  <c r="AC132" i="7"/>
  <c r="D133" i="7"/>
  <c r="E133" i="7"/>
  <c r="F133" i="7"/>
  <c r="G133" i="7"/>
  <c r="H133" i="7"/>
  <c r="I133" i="7"/>
  <c r="J133" i="7"/>
  <c r="K133" i="7"/>
  <c r="L133" i="7"/>
  <c r="M133" i="7"/>
  <c r="N133" i="7"/>
  <c r="O133" i="7"/>
  <c r="P133" i="7"/>
  <c r="Q133" i="7"/>
  <c r="R133" i="7"/>
  <c r="S133" i="7"/>
  <c r="T133" i="7"/>
  <c r="U133" i="7"/>
  <c r="V133" i="7"/>
  <c r="W133" i="7"/>
  <c r="X133" i="7"/>
  <c r="Y133" i="7"/>
  <c r="Z133" i="7"/>
  <c r="AA133" i="7"/>
  <c r="AB133" i="7"/>
  <c r="AC133" i="7"/>
  <c r="D134" i="7"/>
  <c r="E134" i="7"/>
  <c r="F134" i="7"/>
  <c r="G134" i="7"/>
  <c r="H134" i="7"/>
  <c r="I134" i="7"/>
  <c r="J134" i="7"/>
  <c r="K134" i="7"/>
  <c r="L134" i="7"/>
  <c r="M134" i="7"/>
  <c r="N134" i="7"/>
  <c r="O134" i="7"/>
  <c r="P134" i="7"/>
  <c r="Q134" i="7"/>
  <c r="R134" i="7"/>
  <c r="S134" i="7"/>
  <c r="T134" i="7"/>
  <c r="U134" i="7"/>
  <c r="V134" i="7"/>
  <c r="W134" i="7"/>
  <c r="X134" i="7"/>
  <c r="Y134" i="7"/>
  <c r="Z134" i="7"/>
  <c r="AA134" i="7"/>
  <c r="AB134" i="7"/>
  <c r="AC134" i="7"/>
  <c r="D135" i="7"/>
  <c r="E135" i="7"/>
  <c r="F135" i="7"/>
  <c r="G135" i="7"/>
  <c r="H135" i="7"/>
  <c r="I135" i="7"/>
  <c r="J135" i="7"/>
  <c r="K135" i="7"/>
  <c r="L135" i="7"/>
  <c r="M135" i="7"/>
  <c r="N135" i="7"/>
  <c r="O135" i="7"/>
  <c r="P135" i="7"/>
  <c r="Q135" i="7"/>
  <c r="R135" i="7"/>
  <c r="S135" i="7"/>
  <c r="T135" i="7"/>
  <c r="U135" i="7"/>
  <c r="V135" i="7"/>
  <c r="W135" i="7"/>
  <c r="X135" i="7"/>
  <c r="Y135" i="7"/>
  <c r="Z135" i="7"/>
  <c r="AA135" i="7"/>
  <c r="AB135" i="7"/>
  <c r="AC135" i="7"/>
  <c r="D136" i="7"/>
  <c r="E136" i="7"/>
  <c r="F136" i="7"/>
  <c r="G136" i="7"/>
  <c r="H136" i="7"/>
  <c r="I136" i="7"/>
  <c r="J136" i="7"/>
  <c r="K136" i="7"/>
  <c r="L136" i="7"/>
  <c r="M136" i="7"/>
  <c r="N136" i="7"/>
  <c r="O136" i="7"/>
  <c r="P136" i="7"/>
  <c r="Q136" i="7"/>
  <c r="R136" i="7"/>
  <c r="S136" i="7"/>
  <c r="T136" i="7"/>
  <c r="U136" i="7"/>
  <c r="V136" i="7"/>
  <c r="W136" i="7"/>
  <c r="X136" i="7"/>
  <c r="Y136" i="7"/>
  <c r="Z136" i="7"/>
  <c r="AA136" i="7"/>
  <c r="AB136" i="7"/>
  <c r="AC136" i="7"/>
  <c r="D137" i="7"/>
  <c r="E137" i="7"/>
  <c r="F137" i="7"/>
  <c r="G137" i="7"/>
  <c r="H137" i="7"/>
  <c r="I137" i="7"/>
  <c r="J137" i="7"/>
  <c r="K137" i="7"/>
  <c r="L137" i="7"/>
  <c r="M137" i="7"/>
  <c r="N137" i="7"/>
  <c r="O137" i="7"/>
  <c r="P137" i="7"/>
  <c r="Q137" i="7"/>
  <c r="R137" i="7"/>
  <c r="S137" i="7"/>
  <c r="T137" i="7"/>
  <c r="U137" i="7"/>
  <c r="V137" i="7"/>
  <c r="W137" i="7"/>
  <c r="X137" i="7"/>
  <c r="Y137" i="7"/>
  <c r="Z137" i="7"/>
  <c r="AA137" i="7"/>
  <c r="AB137" i="7"/>
  <c r="AC137" i="7"/>
  <c r="E147" i="7"/>
  <c r="F147" i="7"/>
  <c r="G147" i="7"/>
  <c r="H147" i="7"/>
  <c r="I147" i="7"/>
  <c r="J147" i="7"/>
  <c r="K147" i="7"/>
  <c r="L147" i="7"/>
  <c r="M147" i="7"/>
  <c r="N147" i="7"/>
  <c r="O147" i="7"/>
  <c r="P147" i="7"/>
  <c r="Q147" i="7"/>
  <c r="R147" i="7"/>
  <c r="S147" i="7"/>
  <c r="T147" i="7"/>
  <c r="U147" i="7"/>
  <c r="V147" i="7"/>
  <c r="W147" i="7"/>
  <c r="X147" i="7"/>
  <c r="Y147" i="7"/>
  <c r="Z147" i="7"/>
  <c r="AA147" i="7"/>
  <c r="AB147" i="7"/>
  <c r="AC147" i="7"/>
  <c r="D151" i="7"/>
  <c r="E151" i="7"/>
  <c r="F151" i="7"/>
  <c r="G151" i="7"/>
  <c r="H151" i="7"/>
  <c r="I151" i="7"/>
  <c r="J151" i="7"/>
  <c r="K151" i="7"/>
  <c r="L151" i="7"/>
  <c r="M151" i="7"/>
  <c r="N151" i="7"/>
  <c r="O151" i="7"/>
  <c r="P151" i="7"/>
  <c r="Q151" i="7"/>
  <c r="R151" i="7"/>
  <c r="S151" i="7"/>
  <c r="T151" i="7"/>
  <c r="U151" i="7"/>
  <c r="V151" i="7"/>
  <c r="W151" i="7"/>
  <c r="X151" i="7"/>
  <c r="Y151" i="7"/>
  <c r="Z151" i="7"/>
  <c r="AA151" i="7"/>
  <c r="AB151" i="7"/>
  <c r="AC151" i="7"/>
  <c r="D154" i="7"/>
  <c r="E154" i="7"/>
  <c r="F154" i="7"/>
  <c r="G154" i="7"/>
  <c r="H154" i="7"/>
  <c r="I154" i="7"/>
  <c r="J154" i="7"/>
  <c r="K154" i="7"/>
  <c r="L154" i="7"/>
  <c r="M154" i="7"/>
  <c r="N154" i="7"/>
  <c r="O154" i="7"/>
  <c r="P154" i="7"/>
  <c r="Q154" i="7"/>
  <c r="R154" i="7"/>
  <c r="S154" i="7"/>
  <c r="T154" i="7"/>
  <c r="U154" i="7"/>
  <c r="V154" i="7"/>
  <c r="W154" i="7"/>
  <c r="X154" i="7"/>
  <c r="Y154" i="7"/>
  <c r="Z154" i="7"/>
  <c r="AA154" i="7"/>
  <c r="AB154" i="7"/>
  <c r="AC154"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Z155" i="7" a="1"/>
  <c r="Z155" i="7"/>
  <c r="AA155" i="7" a="1"/>
  <c r="AA155" i="7"/>
  <c r="AB155" i="7" a="1"/>
  <c r="AB155" i="7"/>
  <c r="AC155" i="7" a="1"/>
  <c r="AC155"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Z156" i="7" a="1"/>
  <c r="Z156" i="7"/>
  <c r="AA156" i="7" a="1"/>
  <c r="AA156" i="7"/>
  <c r="AB156" i="7" a="1"/>
  <c r="AB156" i="7"/>
  <c r="AC156" i="7" a="1"/>
  <c r="AC156" i="7"/>
  <c r="D157" i="7"/>
  <c r="E157" i="7"/>
  <c r="F157" i="7"/>
  <c r="G157" i="7"/>
  <c r="H157" i="7"/>
  <c r="I157" i="7"/>
  <c r="J157" i="7"/>
  <c r="K157" i="7"/>
  <c r="L157" i="7"/>
  <c r="M157" i="7"/>
  <c r="N157" i="7"/>
  <c r="O157" i="7"/>
  <c r="P157" i="7"/>
  <c r="Q157" i="7"/>
  <c r="R157" i="7"/>
  <c r="S157" i="7"/>
  <c r="T157" i="7"/>
  <c r="U157" i="7"/>
  <c r="V157" i="7"/>
  <c r="W157" i="7"/>
  <c r="X157" i="7"/>
  <c r="Y157" i="7"/>
  <c r="Z157" i="7"/>
  <c r="AA157" i="7"/>
  <c r="AB157" i="7"/>
  <c r="AC157" i="7"/>
  <c r="D201" i="7"/>
  <c r="E201" i="7"/>
  <c r="F201" i="7"/>
  <c r="G201" i="7"/>
  <c r="H201" i="7"/>
  <c r="I201" i="7"/>
  <c r="J201" i="7"/>
  <c r="K201" i="7"/>
  <c r="L201" i="7"/>
  <c r="M201" i="7"/>
  <c r="N201" i="7"/>
  <c r="O201" i="7"/>
  <c r="P201" i="7"/>
  <c r="Q201" i="7"/>
  <c r="R201" i="7"/>
  <c r="S201" i="7"/>
  <c r="T201" i="7"/>
  <c r="U201" i="7"/>
  <c r="V201" i="7"/>
  <c r="W201" i="7"/>
  <c r="X201" i="7"/>
  <c r="Y201" i="7"/>
  <c r="Z201" i="7"/>
  <c r="AA201" i="7"/>
  <c r="AB201" i="7"/>
  <c r="AC201" i="7"/>
  <c r="D202" i="7"/>
  <c r="E202" i="7"/>
  <c r="F202" i="7"/>
  <c r="G202" i="7"/>
  <c r="H202" i="7"/>
  <c r="I202" i="7"/>
  <c r="J202" i="7"/>
  <c r="K202" i="7"/>
  <c r="L202" i="7"/>
  <c r="M202" i="7"/>
  <c r="N202" i="7"/>
  <c r="O202" i="7"/>
  <c r="P202" i="7"/>
  <c r="Q202" i="7"/>
  <c r="R202" i="7"/>
  <c r="S202" i="7"/>
  <c r="T202" i="7"/>
  <c r="U202" i="7"/>
  <c r="V202" i="7"/>
  <c r="W202" i="7"/>
  <c r="X202" i="7"/>
  <c r="Y202" i="7"/>
  <c r="Z202" i="7"/>
  <c r="AA202" i="7"/>
  <c r="AB202" i="7"/>
  <c r="AC202" i="7"/>
  <c r="D203" i="7"/>
  <c r="E203" i="7"/>
  <c r="F203" i="7"/>
  <c r="G203" i="7"/>
  <c r="H203" i="7"/>
  <c r="I203" i="7"/>
  <c r="J203" i="7"/>
  <c r="K203" i="7"/>
  <c r="L203" i="7"/>
  <c r="M203" i="7"/>
  <c r="N203" i="7"/>
  <c r="O203" i="7"/>
  <c r="P203" i="7"/>
  <c r="Q203" i="7"/>
  <c r="R203" i="7"/>
  <c r="S203" i="7"/>
  <c r="T203" i="7"/>
  <c r="U203" i="7"/>
  <c r="V203" i="7"/>
  <c r="W203" i="7"/>
  <c r="X203" i="7"/>
  <c r="Y203" i="7"/>
  <c r="Z203" i="7"/>
  <c r="AA203" i="7"/>
  <c r="AB203" i="7"/>
  <c r="AC203" i="7"/>
  <c r="D204" i="7"/>
  <c r="E204" i="7"/>
  <c r="F204" i="7"/>
  <c r="G204" i="7"/>
  <c r="H204" i="7"/>
  <c r="I204" i="7"/>
  <c r="J204" i="7"/>
  <c r="K204" i="7"/>
  <c r="L204" i="7"/>
  <c r="M204" i="7"/>
  <c r="N204" i="7"/>
  <c r="O204" i="7"/>
  <c r="P204" i="7"/>
  <c r="Q204" i="7"/>
  <c r="R204" i="7"/>
  <c r="S204" i="7"/>
  <c r="T204" i="7"/>
  <c r="U204" i="7"/>
  <c r="V204" i="7"/>
  <c r="W204" i="7"/>
  <c r="X204" i="7"/>
  <c r="Y204" i="7"/>
  <c r="Z204" i="7"/>
  <c r="AA204" i="7"/>
  <c r="AB204" i="7"/>
  <c r="AC204" i="7"/>
  <c r="D205" i="7"/>
  <c r="E205" i="7"/>
  <c r="F205" i="7"/>
  <c r="G205" i="7"/>
  <c r="H205" i="7"/>
  <c r="I205" i="7"/>
  <c r="J205" i="7"/>
  <c r="K205" i="7"/>
  <c r="L205" i="7"/>
  <c r="M205" i="7"/>
  <c r="N205" i="7"/>
  <c r="O205" i="7"/>
  <c r="P205" i="7"/>
  <c r="Q205" i="7"/>
  <c r="R205" i="7"/>
  <c r="S205" i="7"/>
  <c r="T205" i="7"/>
  <c r="U205" i="7"/>
  <c r="V205" i="7"/>
  <c r="W205" i="7"/>
  <c r="X205" i="7"/>
  <c r="Y205" i="7"/>
  <c r="Z205" i="7"/>
  <c r="AA205" i="7"/>
  <c r="AB205" i="7"/>
  <c r="AC205" i="7"/>
  <c r="D206" i="7"/>
  <c r="E206" i="7"/>
  <c r="F206" i="7"/>
  <c r="G206" i="7"/>
  <c r="H206" i="7"/>
  <c r="I206" i="7"/>
  <c r="J206" i="7"/>
  <c r="K206" i="7"/>
  <c r="L206" i="7"/>
  <c r="M206" i="7"/>
  <c r="N206" i="7"/>
  <c r="O206" i="7"/>
  <c r="P206" i="7"/>
  <c r="Q206" i="7"/>
  <c r="R206" i="7"/>
  <c r="S206" i="7"/>
  <c r="T206" i="7"/>
  <c r="U206" i="7"/>
  <c r="V206" i="7"/>
  <c r="W206" i="7"/>
  <c r="X206" i="7"/>
  <c r="Y206" i="7"/>
  <c r="Z206" i="7"/>
  <c r="AA206" i="7"/>
  <c r="AB206" i="7"/>
  <c r="AC206" i="7"/>
  <c r="D207" i="7"/>
  <c r="E207" i="7"/>
  <c r="F207" i="7"/>
  <c r="G207" i="7"/>
  <c r="H207" i="7"/>
  <c r="I207" i="7"/>
  <c r="J207" i="7"/>
  <c r="K207" i="7"/>
  <c r="L207" i="7"/>
  <c r="M207" i="7"/>
  <c r="N207" i="7"/>
  <c r="O207" i="7"/>
  <c r="P207" i="7"/>
  <c r="Q207" i="7"/>
  <c r="R207" i="7"/>
  <c r="S207" i="7"/>
  <c r="T207" i="7"/>
  <c r="U207" i="7"/>
  <c r="V207" i="7"/>
  <c r="W207" i="7"/>
  <c r="X207" i="7"/>
  <c r="Y207" i="7"/>
  <c r="Z207" i="7"/>
  <c r="AA207" i="7"/>
  <c r="AB207" i="7"/>
  <c r="AC207" i="7"/>
  <c r="D208" i="7"/>
  <c r="E208" i="7"/>
  <c r="F208" i="7"/>
  <c r="G208" i="7"/>
  <c r="H208" i="7"/>
  <c r="I208" i="7"/>
  <c r="J208" i="7"/>
  <c r="K208" i="7"/>
  <c r="L208" i="7"/>
  <c r="M208" i="7"/>
  <c r="N208" i="7"/>
  <c r="O208" i="7"/>
  <c r="P208" i="7"/>
  <c r="Q208" i="7"/>
  <c r="R208" i="7"/>
  <c r="S208" i="7"/>
  <c r="T208" i="7"/>
  <c r="U208" i="7"/>
  <c r="V208" i="7"/>
  <c r="W208" i="7"/>
  <c r="X208" i="7"/>
  <c r="Y208" i="7"/>
  <c r="Z208" i="7"/>
  <c r="AA208" i="7"/>
  <c r="AB208" i="7"/>
  <c r="AC208" i="7"/>
  <c r="D209" i="7"/>
  <c r="E209" i="7"/>
  <c r="F209" i="7"/>
  <c r="G209" i="7"/>
  <c r="H209" i="7"/>
  <c r="I209" i="7"/>
  <c r="J209" i="7"/>
  <c r="K209" i="7"/>
  <c r="L209" i="7"/>
  <c r="M209" i="7"/>
  <c r="N209" i="7"/>
  <c r="O209" i="7"/>
  <c r="P209" i="7"/>
  <c r="Q209" i="7"/>
  <c r="R209" i="7"/>
  <c r="S209" i="7"/>
  <c r="T209" i="7"/>
  <c r="U209" i="7"/>
  <c r="V209" i="7"/>
  <c r="W209" i="7"/>
  <c r="X209" i="7"/>
  <c r="Y209" i="7"/>
  <c r="Z209" i="7"/>
  <c r="AA209" i="7"/>
  <c r="AB209" i="7"/>
  <c r="AC209" i="7"/>
  <c r="D210" i="7"/>
  <c r="E210" i="7"/>
  <c r="F210" i="7"/>
  <c r="G210" i="7"/>
  <c r="H210" i="7"/>
  <c r="I210" i="7"/>
  <c r="J210" i="7"/>
  <c r="K210" i="7"/>
  <c r="L210" i="7"/>
  <c r="M210" i="7"/>
  <c r="N210" i="7"/>
  <c r="O210" i="7"/>
  <c r="P210" i="7"/>
  <c r="Q210" i="7"/>
  <c r="R210" i="7"/>
  <c r="S210" i="7"/>
  <c r="T210" i="7"/>
  <c r="U210" i="7"/>
  <c r="V210" i="7"/>
  <c r="W210" i="7"/>
  <c r="X210" i="7"/>
  <c r="Y210" i="7"/>
  <c r="Z210" i="7"/>
  <c r="AA210" i="7"/>
  <c r="AB210" i="7"/>
  <c r="AC210" i="7"/>
  <c r="D12" i="11" a="1"/>
  <c r="D12" i="11"/>
  <c r="E12" i="11" a="1"/>
  <c r="E12" i="11"/>
  <c r="F12" i="11" a="1"/>
  <c r="F12" i="11"/>
  <c r="G12" i="11" a="1"/>
  <c r="G12" i="11"/>
  <c r="H12" i="11" a="1"/>
  <c r="H12" i="11"/>
  <c r="I12" i="11" a="1"/>
  <c r="I12" i="11"/>
  <c r="J12" i="11" a="1"/>
  <c r="J12" i="11"/>
  <c r="K12" i="11" a="1"/>
  <c r="K12" i="11"/>
  <c r="L12" i="11" a="1"/>
  <c r="L12" i="11"/>
  <c r="M12" i="11" a="1"/>
  <c r="M12" i="11"/>
  <c r="N12" i="11" a="1"/>
  <c r="N12" i="11"/>
  <c r="O12" i="11" a="1"/>
  <c r="O12" i="11"/>
  <c r="P12" i="11" a="1"/>
  <c r="P12" i="11"/>
  <c r="Q12" i="11" a="1"/>
  <c r="Q12" i="11"/>
  <c r="R12" i="11" a="1"/>
  <c r="R12" i="11"/>
  <c r="S12" i="11" a="1"/>
  <c r="S12" i="11"/>
  <c r="T12" i="11" a="1"/>
  <c r="T12" i="11"/>
  <c r="U12" i="11" a="1"/>
  <c r="U12" i="11"/>
  <c r="V12" i="11" a="1"/>
  <c r="V12" i="11"/>
  <c r="W12" i="11" a="1"/>
  <c r="W12" i="11"/>
  <c r="X12" i="11" a="1"/>
  <c r="X12" i="11"/>
  <c r="Y12" i="11" a="1"/>
  <c r="Y12" i="11"/>
  <c r="Z12" i="11" a="1"/>
  <c r="Z12" i="11"/>
  <c r="AA12" i="11" a="1"/>
  <c r="AA12" i="11"/>
  <c r="AB12" i="11" a="1"/>
  <c r="AB12" i="11"/>
  <c r="AC12" i="11" a="1"/>
  <c r="AC12"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D18" i="11" a="1"/>
  <c r="D18" i="11"/>
  <c r="E18" i="11" a="1"/>
  <c r="E18" i="11"/>
  <c r="F18" i="11" a="1"/>
  <c r="F18" i="11"/>
  <c r="G18" i="11" a="1"/>
  <c r="G18" i="11"/>
  <c r="H18" i="11" a="1"/>
  <c r="H18" i="11"/>
  <c r="I18" i="11" a="1"/>
  <c r="I18" i="11"/>
  <c r="J18" i="11" a="1"/>
  <c r="J18" i="11"/>
  <c r="K18" i="11" a="1"/>
  <c r="K18" i="11"/>
  <c r="L18" i="11" a="1"/>
  <c r="L18" i="11"/>
  <c r="M18" i="11" a="1"/>
  <c r="M18" i="11"/>
  <c r="N18" i="11" a="1"/>
  <c r="N18" i="11"/>
  <c r="O18" i="11" a="1"/>
  <c r="O18" i="11"/>
  <c r="P18" i="11" a="1"/>
  <c r="P18" i="11"/>
  <c r="Q18" i="11" a="1"/>
  <c r="Q18" i="11"/>
  <c r="R18" i="11" a="1"/>
  <c r="R18" i="11"/>
  <c r="S18" i="11" a="1"/>
  <c r="S18" i="11"/>
  <c r="T18" i="11" a="1"/>
  <c r="T18" i="11"/>
  <c r="U18" i="11" a="1"/>
  <c r="U18" i="11"/>
  <c r="V18" i="11" a="1"/>
  <c r="V18" i="11"/>
  <c r="W18" i="11" a="1"/>
  <c r="W18" i="11"/>
  <c r="X18" i="11" a="1"/>
  <c r="X18" i="11"/>
  <c r="Y18" i="11" a="1"/>
  <c r="Y18" i="11"/>
  <c r="Z18" i="11" a="1"/>
  <c r="Z18" i="11"/>
  <c r="AA18" i="11" a="1"/>
  <c r="AA18" i="11"/>
  <c r="AB18" i="11" a="1"/>
  <c r="AB18" i="11"/>
  <c r="AC18" i="11" a="1"/>
  <c r="AC18"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D24" i="11" a="1"/>
  <c r="D24" i="11"/>
  <c r="E24" i="11" a="1"/>
  <c r="E24" i="11"/>
  <c r="F24" i="11" a="1"/>
  <c r="F24" i="11"/>
  <c r="G24" i="11" a="1"/>
  <c r="G24" i="11"/>
  <c r="H24" i="11" a="1"/>
  <c r="H24" i="11"/>
  <c r="I24" i="11" a="1"/>
  <c r="I24" i="11"/>
  <c r="J24" i="11" a="1"/>
  <c r="J24" i="11"/>
  <c r="K24" i="11" a="1"/>
  <c r="K24" i="11"/>
  <c r="L24" i="11" a="1"/>
  <c r="L24" i="11"/>
  <c r="M24" i="11" a="1"/>
  <c r="M24" i="11"/>
  <c r="N24" i="11" a="1"/>
  <c r="N24" i="11"/>
  <c r="O24" i="11" a="1"/>
  <c r="O24" i="11"/>
  <c r="P24" i="11" a="1"/>
  <c r="P24" i="11"/>
  <c r="Q24" i="11" a="1"/>
  <c r="Q24" i="11"/>
  <c r="R24" i="11" a="1"/>
  <c r="R24" i="11"/>
  <c r="S24" i="11" a="1"/>
  <c r="S24" i="11"/>
  <c r="T24" i="11" a="1"/>
  <c r="T24" i="11"/>
  <c r="U24" i="11" a="1"/>
  <c r="U24" i="11"/>
  <c r="V24" i="11" a="1"/>
  <c r="V24" i="11"/>
  <c r="W24" i="11" a="1"/>
  <c r="W24" i="11"/>
  <c r="X24" i="11" a="1"/>
  <c r="X24" i="11"/>
  <c r="Y24" i="11" a="1"/>
  <c r="Y24" i="11"/>
  <c r="Z24" i="11" a="1"/>
  <c r="Z24" i="11"/>
  <c r="AA24" i="11" a="1"/>
  <c r="AA24" i="11"/>
  <c r="AB24" i="11" a="1"/>
  <c r="AB24" i="11"/>
  <c r="AC24" i="11" a="1"/>
  <c r="AC24"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D43" i="11" a="1"/>
  <c r="D43" i="11"/>
  <c r="E43" i="11" a="1"/>
  <c r="E43" i="11"/>
  <c r="F43" i="11" a="1"/>
  <c r="F43" i="11"/>
  <c r="G43" i="11" a="1"/>
  <c r="G43" i="11"/>
  <c r="H43" i="11" a="1"/>
  <c r="H43" i="11"/>
  <c r="I43" i="11" a="1"/>
  <c r="I43" i="11"/>
  <c r="J43" i="11" a="1"/>
  <c r="J43" i="11"/>
  <c r="K43" i="11" a="1"/>
  <c r="K43" i="11"/>
  <c r="L43" i="11" a="1"/>
  <c r="L43" i="11"/>
  <c r="M43" i="11" a="1"/>
  <c r="M43" i="11"/>
  <c r="N43" i="11" a="1"/>
  <c r="N43" i="11"/>
  <c r="O43" i="11" a="1"/>
  <c r="O43" i="11"/>
  <c r="P43" i="11" a="1"/>
  <c r="P43" i="11"/>
  <c r="Q43" i="11" a="1"/>
  <c r="Q43" i="11"/>
  <c r="R43" i="11" a="1"/>
  <c r="R43" i="11"/>
  <c r="S43" i="11" a="1"/>
  <c r="S43" i="11"/>
  <c r="T43" i="11" a="1"/>
  <c r="T43" i="11"/>
  <c r="U43" i="11" a="1"/>
  <c r="U43" i="11"/>
  <c r="V43" i="11" a="1"/>
  <c r="V43" i="11"/>
  <c r="W43" i="11" a="1"/>
  <c r="W43" i="11"/>
  <c r="X43" i="11" a="1"/>
  <c r="X43" i="11"/>
  <c r="Y43" i="11" a="1"/>
  <c r="Y43" i="11"/>
  <c r="Z43" i="11" a="1"/>
  <c r="Z43" i="11"/>
  <c r="AA43" i="11" a="1"/>
  <c r="AA43" i="11"/>
  <c r="AB43" i="11" a="1"/>
  <c r="AB43" i="11"/>
  <c r="AC43" i="11" a="1"/>
  <c r="AC43"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D46" i="11" a="1"/>
  <c r="D46" i="11"/>
  <c r="E46" i="11" a="1"/>
  <c r="E46" i="11"/>
  <c r="F46" i="11" a="1"/>
  <c r="F46" i="11"/>
  <c r="G46" i="11" a="1"/>
  <c r="G46" i="11"/>
  <c r="H46" i="11" a="1"/>
  <c r="H46" i="11"/>
  <c r="I46" i="11" a="1"/>
  <c r="I46" i="11"/>
  <c r="J46" i="11" a="1"/>
  <c r="J46" i="11"/>
  <c r="K46" i="11" a="1"/>
  <c r="K46" i="11"/>
  <c r="L46" i="11" a="1"/>
  <c r="L46" i="11"/>
  <c r="M46" i="11" a="1"/>
  <c r="M46" i="11"/>
  <c r="N46" i="11" a="1"/>
  <c r="N46" i="11"/>
  <c r="O46" i="11" a="1"/>
  <c r="O46" i="11"/>
  <c r="P46" i="11" a="1"/>
  <c r="P46" i="11"/>
  <c r="Q46" i="11" a="1"/>
  <c r="Q46" i="11"/>
  <c r="R46" i="11" a="1"/>
  <c r="R46" i="11"/>
  <c r="S46" i="11" a="1"/>
  <c r="S46" i="11"/>
  <c r="T46" i="11" a="1"/>
  <c r="T46" i="11"/>
  <c r="U46" i="11" a="1"/>
  <c r="U46" i="11"/>
  <c r="V46" i="11" a="1"/>
  <c r="V46" i="11"/>
  <c r="W46" i="11" a="1"/>
  <c r="W46" i="11"/>
  <c r="X46" i="11" a="1"/>
  <c r="X46" i="11"/>
  <c r="Y46" i="11" a="1"/>
  <c r="Y46" i="11"/>
  <c r="Z46" i="11" a="1"/>
  <c r="Z46" i="11"/>
  <c r="AA46" i="11" a="1"/>
  <c r="AA46" i="11"/>
  <c r="AB46" i="11" a="1"/>
  <c r="AB46" i="11"/>
  <c r="AC46" i="11" a="1"/>
  <c r="AC46"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D48" i="11" a="1"/>
  <c r="D48" i="11"/>
  <c r="E48" i="11" a="1"/>
  <c r="E48" i="11"/>
  <c r="F48" i="11" a="1"/>
  <c r="F48" i="11"/>
  <c r="G48" i="11" a="1"/>
  <c r="G48" i="11"/>
  <c r="H48" i="11" a="1"/>
  <c r="H48" i="11"/>
  <c r="I48" i="11" a="1"/>
  <c r="I48" i="11"/>
  <c r="J48" i="11" a="1"/>
  <c r="J48" i="11"/>
  <c r="K48" i="11" a="1"/>
  <c r="K48" i="11"/>
  <c r="L48" i="11" a="1"/>
  <c r="L48" i="11"/>
  <c r="M48" i="11" a="1"/>
  <c r="M48" i="11"/>
  <c r="N48" i="11" a="1"/>
  <c r="N48" i="11"/>
  <c r="O48" i="11" a="1"/>
  <c r="O48" i="11"/>
  <c r="P48" i="11" a="1"/>
  <c r="P48" i="11"/>
  <c r="Q48" i="11" a="1"/>
  <c r="Q48" i="11"/>
  <c r="R48" i="11" a="1"/>
  <c r="R48" i="11"/>
  <c r="S48" i="11" a="1"/>
  <c r="S48" i="11"/>
  <c r="T48" i="11" a="1"/>
  <c r="T48" i="11"/>
  <c r="U48" i="11" a="1"/>
  <c r="U48" i="11"/>
  <c r="V48" i="11" a="1"/>
  <c r="V48" i="11"/>
  <c r="W48" i="11" a="1"/>
  <c r="W48" i="11"/>
  <c r="X48" i="11" a="1"/>
  <c r="X48" i="11"/>
  <c r="Y48" i="11" a="1"/>
  <c r="Y48" i="11"/>
  <c r="Z48" i="11" a="1"/>
  <c r="Z48" i="11"/>
  <c r="AA48" i="11" a="1"/>
  <c r="AA48" i="11"/>
  <c r="AB48" i="11" a="1"/>
  <c r="AB48" i="11"/>
  <c r="AC48" i="11" a="1"/>
  <c r="AC48" i="11"/>
  <c r="D49" i="11" a="1"/>
  <c r="D49" i="11"/>
  <c r="E49" i="11" a="1"/>
  <c r="E49" i="11"/>
  <c r="F49" i="11" a="1"/>
  <c r="F49" i="11"/>
  <c r="G49" i="11" a="1"/>
  <c r="G49" i="11"/>
  <c r="H49" i="11" a="1"/>
  <c r="H49" i="11"/>
  <c r="I49" i="11" a="1"/>
  <c r="I49" i="11"/>
  <c r="J49" i="11" a="1"/>
  <c r="J49" i="11"/>
  <c r="K49" i="11" a="1"/>
  <c r="K49" i="11"/>
  <c r="L49" i="11" a="1"/>
  <c r="L49" i="11"/>
  <c r="M49" i="11" a="1"/>
  <c r="M49" i="11"/>
  <c r="N49" i="11" a="1"/>
  <c r="N49" i="11"/>
  <c r="O49" i="11" a="1"/>
  <c r="O49" i="11"/>
  <c r="P49" i="11" a="1"/>
  <c r="P49" i="11"/>
  <c r="Q49" i="11" a="1"/>
  <c r="Q49" i="11"/>
  <c r="R49" i="11" a="1"/>
  <c r="R49" i="11"/>
  <c r="S49" i="11" a="1"/>
  <c r="S49" i="11"/>
  <c r="T49" i="11" a="1"/>
  <c r="T49" i="11"/>
  <c r="U49" i="11" a="1"/>
  <c r="U49" i="11"/>
  <c r="V49" i="11" a="1"/>
  <c r="V49" i="11"/>
  <c r="W49" i="11" a="1"/>
  <c r="W49" i="11"/>
  <c r="X49" i="11" a="1"/>
  <c r="X49" i="11"/>
  <c r="Y49" i="11" a="1"/>
  <c r="Y49" i="11"/>
  <c r="Z49" i="11" a="1"/>
  <c r="Z49" i="11"/>
  <c r="AA49" i="11" a="1"/>
  <c r="AA49" i="11"/>
  <c r="AB49" i="11" a="1"/>
  <c r="AB49" i="11"/>
  <c r="AC49" i="11" a="1"/>
  <c r="AC49"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D57" i="11" a="1"/>
  <c r="D57" i="11"/>
  <c r="E57" i="11" a="1"/>
  <c r="E57" i="11"/>
  <c r="F57" i="11" a="1"/>
  <c r="F57" i="11"/>
  <c r="G57" i="11" a="1"/>
  <c r="G57" i="11"/>
  <c r="H57" i="11" a="1"/>
  <c r="H57" i="11"/>
  <c r="I57" i="11" a="1"/>
  <c r="I57" i="11"/>
  <c r="J57" i="11" a="1"/>
  <c r="J57" i="11"/>
  <c r="K57" i="11" a="1"/>
  <c r="K57" i="11"/>
  <c r="L57" i="11" a="1"/>
  <c r="L57" i="11"/>
  <c r="M57" i="11" a="1"/>
  <c r="M57" i="11"/>
  <c r="N57" i="11" a="1"/>
  <c r="N57" i="11"/>
  <c r="O57" i="11" a="1"/>
  <c r="O57" i="11"/>
  <c r="P57" i="11" a="1"/>
  <c r="P57" i="11"/>
  <c r="Q57" i="11" a="1"/>
  <c r="Q57" i="11"/>
  <c r="R57" i="11" a="1"/>
  <c r="R57" i="11"/>
  <c r="S57" i="11" a="1"/>
  <c r="S57" i="11"/>
  <c r="T57" i="11" a="1"/>
  <c r="T57" i="11"/>
  <c r="U57" i="11" a="1"/>
  <c r="U57" i="11"/>
  <c r="V57" i="11" a="1"/>
  <c r="V57" i="11"/>
  <c r="W57" i="11" a="1"/>
  <c r="W57" i="11"/>
  <c r="X57" i="11" a="1"/>
  <c r="X57" i="11"/>
  <c r="Y57" i="11" a="1"/>
  <c r="Y57" i="11"/>
  <c r="Z57" i="11" a="1"/>
  <c r="Z57" i="11"/>
  <c r="AA57" i="11" a="1"/>
  <c r="AA57" i="11"/>
  <c r="AB57" i="11" a="1"/>
  <c r="AB57" i="11"/>
  <c r="AC57" i="11" a="1"/>
  <c r="AC57" i="11"/>
  <c r="D60" i="11"/>
  <c r="D8" i="5" a="1"/>
  <c r="D8" i="5"/>
  <c r="E8" i="5" a="1"/>
  <c r="E8" i="5"/>
  <c r="F8" i="5" a="1"/>
  <c r="F8" i="5"/>
  <c r="G8" i="5" a="1"/>
  <c r="G8" i="5"/>
  <c r="H8" i="5" a="1"/>
  <c r="H8" i="5"/>
  <c r="I8" i="5" a="1"/>
  <c r="I8" i="5"/>
  <c r="J8" i="5" a="1"/>
  <c r="J8" i="5"/>
  <c r="K8" i="5" a="1"/>
  <c r="K8" i="5"/>
  <c r="L8" i="5" a="1"/>
  <c r="L8" i="5"/>
  <c r="M8" i="5" a="1"/>
  <c r="M8" i="5"/>
  <c r="N8" i="5" a="1"/>
  <c r="N8" i="5"/>
  <c r="O8" i="5" a="1"/>
  <c r="O8" i="5"/>
  <c r="P8" i="5" a="1"/>
  <c r="P8" i="5"/>
  <c r="Q8" i="5" a="1"/>
  <c r="Q8" i="5"/>
  <c r="R8" i="5" a="1"/>
  <c r="R8" i="5"/>
  <c r="S8" i="5" a="1"/>
  <c r="S8" i="5"/>
  <c r="T8" i="5" a="1"/>
  <c r="T8" i="5"/>
  <c r="U8" i="5" a="1"/>
  <c r="U8" i="5"/>
  <c r="V8" i="5" a="1"/>
  <c r="V8" i="5"/>
  <c r="W8" i="5" a="1"/>
  <c r="W8" i="5"/>
  <c r="X8" i="5" a="1"/>
  <c r="X8" i="5"/>
  <c r="Y8" i="5" a="1"/>
  <c r="Y8" i="5"/>
  <c r="Z8" i="5" a="1"/>
  <c r="Z8" i="5"/>
  <c r="AA8" i="5" a="1"/>
  <c r="AA8" i="5"/>
  <c r="AB8" i="5" a="1"/>
  <c r="AB8" i="5"/>
  <c r="AC8" i="5" a="1"/>
  <c r="AC8" i="5"/>
  <c r="D9" i="5" a="1"/>
  <c r="D9" i="5"/>
  <c r="E9" i="5" a="1"/>
  <c r="E9" i="5"/>
  <c r="F9" i="5" a="1"/>
  <c r="F9" i="5"/>
  <c r="G9" i="5" a="1"/>
  <c r="G9" i="5"/>
  <c r="H9" i="5" a="1"/>
  <c r="H9" i="5"/>
  <c r="I9" i="5" a="1"/>
  <c r="I9" i="5"/>
  <c r="J9" i="5" a="1"/>
  <c r="J9" i="5"/>
  <c r="K9" i="5" a="1"/>
  <c r="K9" i="5"/>
  <c r="L9" i="5" a="1"/>
  <c r="L9" i="5"/>
  <c r="M9" i="5" a="1"/>
  <c r="M9" i="5"/>
  <c r="N9" i="5" a="1"/>
  <c r="N9" i="5"/>
  <c r="O9" i="5" a="1"/>
  <c r="O9" i="5"/>
  <c r="P9" i="5" a="1"/>
  <c r="P9" i="5"/>
  <c r="Q9" i="5" a="1"/>
  <c r="Q9" i="5"/>
  <c r="R9" i="5" a="1"/>
  <c r="R9" i="5"/>
  <c r="S9" i="5" a="1"/>
  <c r="S9" i="5"/>
  <c r="T9" i="5" a="1"/>
  <c r="T9" i="5"/>
  <c r="U9" i="5" a="1"/>
  <c r="U9" i="5"/>
  <c r="V9" i="5" a="1"/>
  <c r="V9" i="5"/>
  <c r="W9" i="5" a="1"/>
  <c r="W9" i="5"/>
  <c r="X9" i="5" a="1"/>
  <c r="X9" i="5"/>
  <c r="Y9" i="5" a="1"/>
  <c r="Y9" i="5"/>
  <c r="Z9" i="5" a="1"/>
  <c r="Z9" i="5"/>
  <c r="AA9" i="5" a="1"/>
  <c r="AA9" i="5"/>
  <c r="AB9" i="5" a="1"/>
  <c r="AB9" i="5"/>
  <c r="AC9" i="5" a="1"/>
  <c r="AC9" i="5"/>
  <c r="E10" i="5" a="1"/>
  <c r="E10" i="5"/>
  <c r="F10" i="5" a="1"/>
  <c r="F10" i="5"/>
  <c r="G10" i="5" a="1"/>
  <c r="G10" i="5"/>
  <c r="H10" i="5" a="1"/>
  <c r="H10" i="5"/>
  <c r="I10" i="5" a="1"/>
  <c r="I10" i="5"/>
  <c r="J10" i="5" a="1"/>
  <c r="J10" i="5"/>
  <c r="K10" i="5" a="1"/>
  <c r="K10" i="5"/>
  <c r="L10" i="5" a="1"/>
  <c r="L10" i="5"/>
  <c r="M10" i="5" a="1"/>
  <c r="M10" i="5"/>
  <c r="N10" i="5" a="1"/>
  <c r="N10" i="5"/>
  <c r="O10" i="5" a="1"/>
  <c r="O10" i="5"/>
  <c r="P10" i="5" a="1"/>
  <c r="P10" i="5"/>
  <c r="Q10" i="5" a="1"/>
  <c r="Q10" i="5"/>
  <c r="R10" i="5" a="1"/>
  <c r="R10" i="5"/>
  <c r="S10" i="5" a="1"/>
  <c r="S10" i="5"/>
  <c r="T10" i="5" a="1"/>
  <c r="T10" i="5"/>
  <c r="U10" i="5" a="1"/>
  <c r="U10" i="5"/>
  <c r="V10" i="5" a="1"/>
  <c r="V10" i="5"/>
  <c r="W10" i="5" a="1"/>
  <c r="W10" i="5"/>
  <c r="X10" i="5" a="1"/>
  <c r="X10" i="5"/>
  <c r="Y10" i="5" a="1"/>
  <c r="Y10" i="5"/>
  <c r="Z10" i="5" a="1"/>
  <c r="Z10" i="5"/>
  <c r="AA10" i="5" a="1"/>
  <c r="AA10" i="5"/>
  <c r="AB10" i="5" a="1"/>
  <c r="AB10" i="5"/>
  <c r="AC10" i="5" a="1"/>
  <c r="AC10" i="5"/>
  <c r="E11" i="5" a="1"/>
  <c r="E11" i="5"/>
  <c r="F11" i="5" a="1"/>
  <c r="F11" i="5"/>
  <c r="G11" i="5" a="1"/>
  <c r="G11" i="5"/>
  <c r="H11" i="5" a="1"/>
  <c r="H11" i="5"/>
  <c r="I11" i="5" a="1"/>
  <c r="I11" i="5"/>
  <c r="J11" i="5" a="1"/>
  <c r="J11" i="5"/>
  <c r="K11" i="5" a="1"/>
  <c r="K11" i="5"/>
  <c r="L11" i="5" a="1"/>
  <c r="L11" i="5"/>
  <c r="M11" i="5" a="1"/>
  <c r="M11" i="5"/>
  <c r="N11" i="5" a="1"/>
  <c r="N11" i="5"/>
  <c r="O11" i="5" a="1"/>
  <c r="O11" i="5"/>
  <c r="P11" i="5" a="1"/>
  <c r="P11" i="5"/>
  <c r="Q11" i="5" a="1"/>
  <c r="Q11" i="5"/>
  <c r="R11" i="5" a="1"/>
  <c r="R11" i="5"/>
  <c r="S11" i="5" a="1"/>
  <c r="S11" i="5"/>
  <c r="T11" i="5" a="1"/>
  <c r="T11" i="5"/>
  <c r="U11" i="5" a="1"/>
  <c r="U11" i="5"/>
  <c r="V11" i="5" a="1"/>
  <c r="V11" i="5"/>
  <c r="W11" i="5" a="1"/>
  <c r="W11" i="5"/>
  <c r="X11" i="5" a="1"/>
  <c r="X11" i="5"/>
  <c r="Y11" i="5" a="1"/>
  <c r="Y11" i="5"/>
  <c r="Z11" i="5" a="1"/>
  <c r="Z11" i="5"/>
  <c r="AA11" i="5" a="1"/>
  <c r="AA11" i="5"/>
  <c r="AB11" i="5" a="1"/>
  <c r="AB11" i="5"/>
  <c r="AC11" i="5" a="1"/>
  <c r="AC11" i="5"/>
  <c r="D12" i="5" a="1"/>
  <c r="D12" i="5"/>
  <c r="E12" i="5" a="1"/>
  <c r="E12" i="5"/>
  <c r="F12" i="5" a="1"/>
  <c r="F12" i="5"/>
  <c r="G12" i="5" a="1"/>
  <c r="G12" i="5"/>
  <c r="H12" i="5" a="1"/>
  <c r="H12" i="5"/>
  <c r="I12" i="5" a="1"/>
  <c r="I12" i="5"/>
  <c r="J12" i="5" a="1"/>
  <c r="J12" i="5"/>
  <c r="K12" i="5" a="1"/>
  <c r="K12" i="5"/>
  <c r="L12" i="5" a="1"/>
  <c r="L12" i="5"/>
  <c r="M12" i="5" a="1"/>
  <c r="M12" i="5"/>
  <c r="N12" i="5" a="1"/>
  <c r="N12" i="5"/>
  <c r="O12" i="5" a="1"/>
  <c r="O12" i="5"/>
  <c r="P12" i="5" a="1"/>
  <c r="P12" i="5"/>
  <c r="Q12" i="5" a="1"/>
  <c r="Q12" i="5"/>
  <c r="R12" i="5" a="1"/>
  <c r="R12" i="5"/>
  <c r="S12" i="5" a="1"/>
  <c r="S12" i="5"/>
  <c r="T12" i="5" a="1"/>
  <c r="T12" i="5"/>
  <c r="U12" i="5" a="1"/>
  <c r="U12" i="5"/>
  <c r="V12" i="5" a="1"/>
  <c r="V12" i="5"/>
  <c r="W12" i="5" a="1"/>
  <c r="W12" i="5"/>
  <c r="X12" i="5" a="1"/>
  <c r="X12" i="5"/>
  <c r="Y12" i="5" a="1"/>
  <c r="Y12" i="5"/>
  <c r="Z12" i="5" a="1"/>
  <c r="Z12" i="5"/>
  <c r="AA12" i="5" a="1"/>
  <c r="AA12" i="5"/>
  <c r="AB12" i="5" a="1"/>
  <c r="AB12" i="5"/>
  <c r="AC12" i="5" a="1"/>
  <c r="AC12" i="5"/>
  <c r="D13" i="5" a="1"/>
  <c r="D13" i="5"/>
  <c r="E13" i="5" a="1"/>
  <c r="E13" i="5"/>
  <c r="F13" i="5" a="1"/>
  <c r="F13" i="5"/>
  <c r="G13" i="5" a="1"/>
  <c r="G13" i="5"/>
  <c r="H13" i="5" a="1"/>
  <c r="H13" i="5"/>
  <c r="I13" i="5" a="1"/>
  <c r="I13" i="5"/>
  <c r="J13" i="5" a="1"/>
  <c r="J13" i="5"/>
  <c r="K13" i="5" a="1"/>
  <c r="K13" i="5"/>
  <c r="L13" i="5" a="1"/>
  <c r="L13" i="5"/>
  <c r="M13" i="5" a="1"/>
  <c r="M13" i="5"/>
  <c r="N13" i="5" a="1"/>
  <c r="N13" i="5"/>
  <c r="O13" i="5" a="1"/>
  <c r="O13" i="5"/>
  <c r="P13" i="5" a="1"/>
  <c r="P13" i="5"/>
  <c r="Q13" i="5" a="1"/>
  <c r="Q13" i="5"/>
  <c r="R13" i="5" a="1"/>
  <c r="R13" i="5"/>
  <c r="S13" i="5" a="1"/>
  <c r="S13" i="5"/>
  <c r="T13" i="5" a="1"/>
  <c r="T13" i="5"/>
  <c r="U13" i="5" a="1"/>
  <c r="U13" i="5"/>
  <c r="V13" i="5" a="1"/>
  <c r="V13" i="5"/>
  <c r="W13" i="5" a="1"/>
  <c r="W13" i="5"/>
  <c r="X13" i="5" a="1"/>
  <c r="X13" i="5"/>
  <c r="Y13" i="5" a="1"/>
  <c r="Y13" i="5"/>
  <c r="Z13" i="5" a="1"/>
  <c r="Z13" i="5"/>
  <c r="AA13" i="5" a="1"/>
  <c r="AA13" i="5"/>
  <c r="AB13" i="5" a="1"/>
  <c r="AB13" i="5"/>
  <c r="AC13" i="5" a="1"/>
  <c r="AC13" i="5"/>
  <c r="D14" i="5"/>
  <c r="E14" i="5"/>
  <c r="F14" i="5"/>
  <c r="G14" i="5"/>
  <c r="H14" i="5"/>
  <c r="I14" i="5"/>
  <c r="J14" i="5"/>
  <c r="K14" i="5"/>
  <c r="L14" i="5"/>
  <c r="M14" i="5"/>
  <c r="N14" i="5"/>
  <c r="O14" i="5"/>
  <c r="P14" i="5"/>
  <c r="Q14" i="5"/>
  <c r="R14" i="5"/>
  <c r="S14" i="5"/>
  <c r="T14" i="5"/>
  <c r="U14" i="5"/>
  <c r="V14" i="5"/>
  <c r="W14" i="5"/>
  <c r="X14" i="5"/>
  <c r="Y14" i="5"/>
  <c r="Z14" i="5"/>
  <c r="AA14" i="5"/>
  <c r="AB14" i="5"/>
  <c r="AC14" i="5"/>
  <c r="F17" i="5"/>
  <c r="G17" i="5"/>
  <c r="H17" i="5"/>
  <c r="I17" i="5"/>
  <c r="J17" i="5"/>
  <c r="K17" i="5"/>
  <c r="L17" i="5"/>
  <c r="M17" i="5"/>
  <c r="N17" i="5"/>
  <c r="O17" i="5"/>
  <c r="P17" i="5"/>
  <c r="Q17" i="5"/>
  <c r="R17" i="5"/>
  <c r="S17" i="5"/>
  <c r="T17" i="5"/>
  <c r="U17" i="5"/>
  <c r="V17" i="5"/>
  <c r="W17" i="5"/>
  <c r="X17" i="5"/>
  <c r="Y17" i="5"/>
  <c r="Z17" i="5"/>
  <c r="AA17" i="5"/>
  <c r="AB17" i="5"/>
  <c r="AC17" i="5"/>
  <c r="E33" i="5" a="1"/>
  <c r="E33" i="5"/>
  <c r="F33" i="5" a="1"/>
  <c r="F33" i="5"/>
  <c r="E37" i="5" a="1"/>
  <c r="E37" i="5"/>
  <c r="F37" i="5" a="1"/>
  <c r="F37" i="5"/>
  <c r="F39" i="5" a="1"/>
  <c r="F39" i="5"/>
  <c r="G39" i="5" a="1"/>
  <c r="G39" i="5"/>
  <c r="H39" i="5" a="1"/>
  <c r="H39" i="5"/>
  <c r="I39" i="5" a="1"/>
  <c r="I39" i="5"/>
  <c r="J39" i="5" a="1"/>
  <c r="J39" i="5"/>
  <c r="K39" i="5" a="1"/>
  <c r="K39" i="5"/>
  <c r="L39" i="5" a="1"/>
  <c r="L39" i="5"/>
  <c r="M39" i="5" a="1"/>
  <c r="M39" i="5"/>
  <c r="N39" i="5" a="1"/>
  <c r="N39" i="5"/>
  <c r="O39" i="5" a="1"/>
  <c r="O39" i="5"/>
  <c r="P39" i="5" a="1"/>
  <c r="P39" i="5"/>
  <c r="Q39" i="5" a="1"/>
  <c r="Q39" i="5"/>
  <c r="R39" i="5" a="1"/>
  <c r="R39" i="5"/>
  <c r="S39" i="5" a="1"/>
  <c r="S39" i="5"/>
  <c r="T39" i="5" a="1"/>
  <c r="T39" i="5"/>
  <c r="U39" i="5" a="1"/>
  <c r="U39" i="5"/>
  <c r="V39" i="5" a="1"/>
  <c r="V39" i="5"/>
  <c r="W39" i="5" a="1"/>
  <c r="W39" i="5"/>
  <c r="X39" i="5" a="1"/>
  <c r="X39" i="5"/>
  <c r="Y39" i="5" a="1"/>
  <c r="Y39" i="5"/>
  <c r="Z39" i="5" a="1"/>
  <c r="Z39" i="5"/>
  <c r="AA39" i="5" a="1"/>
  <c r="AA39" i="5"/>
  <c r="AB39" i="5" a="1"/>
  <c r="AB39" i="5"/>
  <c r="AC39" i="5" a="1"/>
  <c r="AC39" i="5"/>
  <c r="F41" i="5" a="1"/>
  <c r="F41" i="5"/>
  <c r="G41" i="5" a="1"/>
  <c r="G41" i="5"/>
  <c r="H41" i="5" a="1"/>
  <c r="H41" i="5"/>
  <c r="I41" i="5" a="1"/>
  <c r="I41" i="5"/>
  <c r="J41" i="5" a="1"/>
  <c r="J41" i="5"/>
  <c r="K41" i="5" a="1"/>
  <c r="K41" i="5"/>
  <c r="L41" i="5" a="1"/>
  <c r="L41" i="5"/>
  <c r="M41" i="5" a="1"/>
  <c r="M41" i="5"/>
  <c r="N41" i="5" a="1"/>
  <c r="N41" i="5"/>
  <c r="O41" i="5" a="1"/>
  <c r="O41" i="5"/>
  <c r="P41" i="5" a="1"/>
  <c r="P41" i="5"/>
  <c r="Q41" i="5" a="1"/>
  <c r="Q41" i="5"/>
  <c r="R41" i="5" a="1"/>
  <c r="R41" i="5"/>
  <c r="S41" i="5" a="1"/>
  <c r="S41" i="5"/>
  <c r="T41" i="5" a="1"/>
  <c r="T41" i="5"/>
  <c r="U41" i="5" a="1"/>
  <c r="U41" i="5"/>
  <c r="V41" i="5" a="1"/>
  <c r="V41" i="5"/>
  <c r="W41" i="5" a="1"/>
  <c r="W41" i="5"/>
  <c r="X41" i="5" a="1"/>
  <c r="X41" i="5"/>
  <c r="Y41" i="5" a="1"/>
  <c r="Y41" i="5"/>
  <c r="Z41" i="5" a="1"/>
  <c r="Z41" i="5"/>
  <c r="AA41" i="5" a="1"/>
  <c r="AA41" i="5"/>
  <c r="AB41" i="5" a="1"/>
  <c r="AB41" i="5"/>
  <c r="AC41" i="5" a="1"/>
  <c r="AC41" i="5"/>
  <c r="E45" i="5"/>
  <c r="F45" i="5"/>
  <c r="E46" i="5"/>
  <c r="F46" i="5"/>
  <c r="F47" i="5"/>
  <c r="G47" i="5"/>
  <c r="H47" i="5"/>
  <c r="I47" i="5"/>
  <c r="J47" i="5"/>
  <c r="K47" i="5"/>
  <c r="L47" i="5"/>
  <c r="M47" i="5"/>
  <c r="N47" i="5"/>
  <c r="O47" i="5"/>
  <c r="P47" i="5"/>
  <c r="Q47" i="5"/>
  <c r="R47" i="5"/>
  <c r="S47" i="5"/>
  <c r="T47" i="5"/>
  <c r="U47" i="5"/>
  <c r="V47" i="5"/>
  <c r="W47" i="5"/>
  <c r="X47" i="5"/>
  <c r="Y47" i="5"/>
  <c r="Z47" i="5"/>
  <c r="AA47" i="5"/>
  <c r="AB47" i="5"/>
  <c r="AC47" i="5"/>
  <c r="F48" i="5"/>
  <c r="G48" i="5"/>
  <c r="H48" i="5"/>
  <c r="I48" i="5"/>
  <c r="J48" i="5"/>
  <c r="K48" i="5"/>
  <c r="L48" i="5"/>
  <c r="M48" i="5"/>
  <c r="N48" i="5"/>
  <c r="O48" i="5"/>
  <c r="P48" i="5"/>
  <c r="Q48" i="5"/>
  <c r="R48" i="5"/>
  <c r="S48" i="5"/>
  <c r="T48" i="5"/>
  <c r="U48" i="5"/>
  <c r="V48" i="5"/>
  <c r="W48" i="5"/>
  <c r="X48" i="5"/>
  <c r="Y48" i="5"/>
  <c r="Z48" i="5"/>
  <c r="AA48" i="5"/>
  <c r="AB48" i="5"/>
  <c r="AC48" i="5"/>
  <c r="F49" i="5"/>
  <c r="G49" i="5"/>
  <c r="H49" i="5"/>
  <c r="I49" i="5"/>
  <c r="J49" i="5"/>
  <c r="K49" i="5"/>
  <c r="L49" i="5"/>
  <c r="M49" i="5"/>
  <c r="N49" i="5"/>
  <c r="O49" i="5"/>
  <c r="P49" i="5"/>
  <c r="Q49" i="5"/>
  <c r="R49" i="5"/>
  <c r="S49" i="5"/>
  <c r="T49" i="5"/>
  <c r="U49" i="5"/>
  <c r="V49" i="5"/>
  <c r="W49" i="5"/>
  <c r="X49" i="5"/>
  <c r="Y49" i="5"/>
  <c r="Z49" i="5"/>
  <c r="AA49" i="5"/>
  <c r="AB49" i="5"/>
  <c r="AC49" i="5"/>
  <c r="F50" i="5"/>
  <c r="G50" i="5"/>
  <c r="H50" i="5"/>
  <c r="I50" i="5"/>
  <c r="J50" i="5"/>
  <c r="K50" i="5"/>
  <c r="L50" i="5"/>
  <c r="M50" i="5"/>
  <c r="N50" i="5"/>
  <c r="O50" i="5"/>
  <c r="P50" i="5"/>
  <c r="Q50" i="5"/>
  <c r="R50" i="5"/>
  <c r="S50" i="5"/>
  <c r="T50" i="5"/>
  <c r="U50" i="5"/>
  <c r="V50" i="5"/>
  <c r="W50" i="5"/>
  <c r="X50" i="5"/>
  <c r="Y50" i="5"/>
  <c r="Z50" i="5"/>
  <c r="AA50" i="5"/>
  <c r="AB50" i="5"/>
  <c r="AC50" i="5"/>
  <c r="J54" i="5" a="1"/>
  <c r="J54" i="5"/>
  <c r="K54" i="5" a="1"/>
  <c r="K54" i="5"/>
  <c r="J55" i="5" a="1"/>
  <c r="J55" i="5"/>
  <c r="K55" i="5" a="1"/>
  <c r="K55" i="5"/>
  <c r="K56" i="5" a="1"/>
  <c r="K56" i="5"/>
  <c r="L56" i="5" a="1"/>
  <c r="L56" i="5"/>
  <c r="M56" i="5" a="1"/>
  <c r="M56" i="5"/>
  <c r="N56" i="5" a="1"/>
  <c r="N56" i="5"/>
  <c r="O56" i="5" a="1"/>
  <c r="O56" i="5"/>
  <c r="P56" i="5" a="1"/>
  <c r="P56" i="5"/>
  <c r="Q56" i="5" a="1"/>
  <c r="Q56" i="5"/>
  <c r="R56" i="5" a="1"/>
  <c r="R56" i="5"/>
  <c r="S56" i="5" a="1"/>
  <c r="S56" i="5"/>
  <c r="T56" i="5" a="1"/>
  <c r="T56" i="5"/>
  <c r="U56" i="5" a="1"/>
  <c r="U56" i="5"/>
  <c r="V56" i="5" a="1"/>
  <c r="V56" i="5"/>
  <c r="W56" i="5" a="1"/>
  <c r="W56" i="5"/>
  <c r="X56" i="5" a="1"/>
  <c r="X56" i="5"/>
  <c r="Y56" i="5" a="1"/>
  <c r="Y56" i="5"/>
  <c r="Z56" i="5" a="1"/>
  <c r="Z56" i="5"/>
  <c r="AA56" i="5" a="1"/>
  <c r="AA56" i="5"/>
  <c r="AB56" i="5" a="1"/>
  <c r="AB56" i="5"/>
  <c r="AC56" i="5" a="1"/>
  <c r="AC56" i="5"/>
  <c r="K57" i="5" a="1"/>
  <c r="K57" i="5"/>
  <c r="L57" i="5" a="1"/>
  <c r="L57" i="5"/>
  <c r="M57" i="5" a="1"/>
  <c r="M57" i="5"/>
  <c r="N57" i="5" a="1"/>
  <c r="N57" i="5"/>
  <c r="O57" i="5" a="1"/>
  <c r="O57" i="5"/>
  <c r="P57" i="5" a="1"/>
  <c r="P57" i="5"/>
  <c r="Q57" i="5" a="1"/>
  <c r="Q57" i="5"/>
  <c r="R57" i="5" a="1"/>
  <c r="R57" i="5"/>
  <c r="S57" i="5" a="1"/>
  <c r="S57" i="5"/>
  <c r="T57" i="5" a="1"/>
  <c r="T57" i="5"/>
  <c r="U57" i="5" a="1"/>
  <c r="U57" i="5"/>
  <c r="V57" i="5" a="1"/>
  <c r="V57" i="5"/>
  <c r="W57" i="5" a="1"/>
  <c r="W57" i="5"/>
  <c r="X57" i="5" a="1"/>
  <c r="X57" i="5"/>
  <c r="Y57" i="5" a="1"/>
  <c r="Y57" i="5"/>
  <c r="Z57" i="5" a="1"/>
  <c r="Z57" i="5"/>
  <c r="AA57" i="5" a="1"/>
  <c r="AA57" i="5"/>
  <c r="AB57" i="5" a="1"/>
  <c r="AB57" i="5"/>
  <c r="AC57" i="5" a="1"/>
  <c r="AC57" i="5"/>
  <c r="E60" i="5"/>
  <c r="F60" i="5"/>
  <c r="G60" i="5"/>
  <c r="H60" i="5"/>
  <c r="I60" i="5"/>
  <c r="J60" i="5"/>
  <c r="K60" i="5"/>
  <c r="L60" i="5"/>
  <c r="M60" i="5"/>
  <c r="N60" i="5"/>
  <c r="O60" i="5"/>
  <c r="P60" i="5"/>
  <c r="Q60" i="5"/>
  <c r="R60" i="5"/>
  <c r="S60" i="5"/>
  <c r="T60" i="5"/>
  <c r="U60" i="5"/>
  <c r="V60" i="5"/>
  <c r="W60" i="5"/>
  <c r="X60" i="5"/>
  <c r="Y60" i="5"/>
  <c r="Z60" i="5"/>
  <c r="AA60" i="5"/>
  <c r="AB60" i="5"/>
  <c r="AC60" i="5"/>
  <c r="E61" i="5"/>
  <c r="F61" i="5"/>
  <c r="G61" i="5"/>
  <c r="H61" i="5"/>
  <c r="I61" i="5"/>
  <c r="J61" i="5"/>
  <c r="K61" i="5"/>
  <c r="L61" i="5"/>
  <c r="M61" i="5"/>
  <c r="N61" i="5"/>
  <c r="O61" i="5"/>
  <c r="P61" i="5"/>
  <c r="Q61" i="5"/>
  <c r="R61" i="5"/>
  <c r="S61" i="5"/>
  <c r="T61" i="5"/>
  <c r="U61" i="5"/>
  <c r="V61" i="5"/>
  <c r="W61" i="5"/>
  <c r="X61" i="5"/>
  <c r="Y61" i="5"/>
  <c r="Z61" i="5"/>
  <c r="AA61" i="5"/>
  <c r="AB61" i="5"/>
  <c r="AC61" i="5"/>
  <c r="F62" i="5"/>
  <c r="G62" i="5"/>
  <c r="H62" i="5"/>
  <c r="I62" i="5"/>
  <c r="J62" i="5"/>
  <c r="K62" i="5"/>
  <c r="L62" i="5"/>
  <c r="M62" i="5"/>
  <c r="N62" i="5"/>
  <c r="O62" i="5"/>
  <c r="P62" i="5"/>
  <c r="Q62" i="5"/>
  <c r="R62" i="5"/>
  <c r="S62" i="5"/>
  <c r="T62" i="5"/>
  <c r="U62" i="5"/>
  <c r="V62" i="5"/>
  <c r="W62" i="5"/>
  <c r="X62" i="5"/>
  <c r="Y62" i="5"/>
  <c r="Z62" i="5"/>
  <c r="AA62" i="5"/>
  <c r="AB62" i="5"/>
  <c r="AC62" i="5"/>
  <c r="F63" i="5"/>
  <c r="G63" i="5"/>
  <c r="H63" i="5"/>
  <c r="I63" i="5"/>
  <c r="J63" i="5"/>
  <c r="K63" i="5"/>
  <c r="L63" i="5"/>
  <c r="M63" i="5"/>
  <c r="N63" i="5"/>
  <c r="O63" i="5"/>
  <c r="P63" i="5"/>
  <c r="Q63" i="5"/>
  <c r="R63" i="5"/>
  <c r="S63" i="5"/>
  <c r="T63" i="5"/>
  <c r="U63" i="5"/>
  <c r="V63" i="5"/>
  <c r="W63" i="5"/>
  <c r="X63" i="5"/>
  <c r="Y63" i="5"/>
  <c r="Z63" i="5"/>
  <c r="AA63" i="5"/>
  <c r="AB63" i="5"/>
  <c r="AC63" i="5"/>
  <c r="E65" i="5"/>
  <c r="F65" i="5"/>
  <c r="G65" i="5"/>
  <c r="H65" i="5"/>
  <c r="I65" i="5"/>
  <c r="J65" i="5"/>
  <c r="K65" i="5"/>
  <c r="L65" i="5"/>
  <c r="M65" i="5"/>
  <c r="N65" i="5"/>
  <c r="O65" i="5"/>
  <c r="P65" i="5"/>
  <c r="Q65" i="5"/>
  <c r="R65" i="5"/>
  <c r="S65" i="5"/>
  <c r="T65" i="5"/>
  <c r="U65" i="5"/>
  <c r="V65" i="5"/>
  <c r="W65" i="5"/>
  <c r="X65" i="5"/>
  <c r="Y65" i="5"/>
  <c r="Z65" i="5"/>
  <c r="AA65" i="5"/>
  <c r="AB65" i="5"/>
  <c r="AC65" i="5"/>
  <c r="E88" i="5"/>
  <c r="F88" i="5"/>
  <c r="D89" i="5" a="1"/>
  <c r="D89" i="5"/>
  <c r="E89" i="5" a="1"/>
  <c r="E89" i="5"/>
  <c r="E90" i="5"/>
  <c r="F90" i="5"/>
  <c r="D91" i="5" a="1"/>
  <c r="D91" i="5"/>
  <c r="E91" i="5" a="1"/>
  <c r="E91" i="5"/>
  <c r="F92" i="5"/>
  <c r="G92" i="5"/>
  <c r="H92" i="5"/>
  <c r="I92" i="5"/>
  <c r="J92" i="5"/>
  <c r="K92" i="5"/>
  <c r="L92" i="5"/>
  <c r="M92" i="5"/>
  <c r="N92" i="5"/>
  <c r="O92" i="5"/>
  <c r="P92" i="5"/>
  <c r="Q92" i="5"/>
  <c r="R92" i="5"/>
  <c r="S92" i="5"/>
  <c r="T92" i="5"/>
  <c r="U92" i="5"/>
  <c r="V92" i="5"/>
  <c r="W92" i="5"/>
  <c r="X92" i="5"/>
  <c r="Y92" i="5"/>
  <c r="Z92" i="5"/>
  <c r="AA92" i="5"/>
  <c r="AB92" i="5"/>
  <c r="AC92" i="5"/>
  <c r="E93" i="5" a="1"/>
  <c r="E93" i="5"/>
  <c r="F93" i="5" a="1"/>
  <c r="F93" i="5"/>
  <c r="G93" i="5" a="1"/>
  <c r="G93" i="5"/>
  <c r="H93" i="5" a="1"/>
  <c r="H93" i="5"/>
  <c r="I93" i="5" a="1"/>
  <c r="I93" i="5"/>
  <c r="J93" i="5" a="1"/>
  <c r="J93" i="5"/>
  <c r="K93" i="5" a="1"/>
  <c r="K93" i="5"/>
  <c r="L93" i="5" a="1"/>
  <c r="L93" i="5"/>
  <c r="M93" i="5" a="1"/>
  <c r="M93" i="5"/>
  <c r="N93" i="5" a="1"/>
  <c r="N93" i="5"/>
  <c r="O93" i="5" a="1"/>
  <c r="O93" i="5"/>
  <c r="P93" i="5" a="1"/>
  <c r="P93" i="5"/>
  <c r="Q93" i="5" a="1"/>
  <c r="Q93" i="5"/>
  <c r="R93" i="5" a="1"/>
  <c r="R93" i="5"/>
  <c r="S93" i="5" a="1"/>
  <c r="S93" i="5"/>
  <c r="T93" i="5" a="1"/>
  <c r="T93" i="5"/>
  <c r="U93" i="5" a="1"/>
  <c r="U93" i="5"/>
  <c r="V93" i="5" a="1"/>
  <c r="V93" i="5"/>
  <c r="W93" i="5" a="1"/>
  <c r="W93" i="5"/>
  <c r="X93" i="5" a="1"/>
  <c r="X93" i="5"/>
  <c r="Y93" i="5" a="1"/>
  <c r="Y93" i="5"/>
  <c r="Z93" i="5" a="1"/>
  <c r="Z93" i="5"/>
  <c r="AA93" i="5" a="1"/>
  <c r="AA93" i="5"/>
  <c r="AB93" i="5" a="1"/>
  <c r="AB93" i="5"/>
  <c r="F94" i="5"/>
  <c r="G94" i="5"/>
  <c r="H94" i="5"/>
  <c r="I94" i="5"/>
  <c r="J94" i="5"/>
  <c r="K94" i="5"/>
  <c r="L94" i="5"/>
  <c r="M94" i="5"/>
  <c r="N94" i="5"/>
  <c r="O94" i="5"/>
  <c r="P94" i="5"/>
  <c r="Q94" i="5"/>
  <c r="R94" i="5"/>
  <c r="S94" i="5"/>
  <c r="T94" i="5"/>
  <c r="U94" i="5"/>
  <c r="V94" i="5"/>
  <c r="W94" i="5"/>
  <c r="X94" i="5"/>
  <c r="Y94" i="5"/>
  <c r="Z94" i="5"/>
  <c r="AA94" i="5"/>
  <c r="AB94" i="5"/>
  <c r="AC94" i="5"/>
  <c r="E95" i="5" a="1"/>
  <c r="E95" i="5"/>
  <c r="F95" i="5" a="1"/>
  <c r="F95" i="5"/>
  <c r="G95" i="5" a="1"/>
  <c r="G95" i="5"/>
  <c r="H95" i="5" a="1"/>
  <c r="H95" i="5"/>
  <c r="I95" i="5" a="1"/>
  <c r="I95" i="5"/>
  <c r="J95" i="5" a="1"/>
  <c r="J95" i="5"/>
  <c r="K95" i="5" a="1"/>
  <c r="K95" i="5"/>
  <c r="L95" i="5" a="1"/>
  <c r="L95" i="5"/>
  <c r="M95" i="5" a="1"/>
  <c r="M95" i="5"/>
  <c r="N95" i="5" a="1"/>
  <c r="N95" i="5"/>
  <c r="O95" i="5" a="1"/>
  <c r="O95" i="5"/>
  <c r="P95" i="5" a="1"/>
  <c r="P95" i="5"/>
  <c r="Q95" i="5" a="1"/>
  <c r="Q95" i="5"/>
  <c r="R95" i="5" a="1"/>
  <c r="R95" i="5"/>
  <c r="S95" i="5" a="1"/>
  <c r="S95" i="5"/>
  <c r="T95" i="5" a="1"/>
  <c r="T95" i="5"/>
  <c r="U95" i="5" a="1"/>
  <c r="U95" i="5"/>
  <c r="V95" i="5" a="1"/>
  <c r="V95" i="5"/>
  <c r="W95" i="5" a="1"/>
  <c r="W95" i="5"/>
  <c r="X95" i="5" a="1"/>
  <c r="X95" i="5"/>
  <c r="Y95" i="5" a="1"/>
  <c r="Y95" i="5"/>
  <c r="Z95" i="5" a="1"/>
  <c r="Z95" i="5"/>
  <c r="AA95" i="5" a="1"/>
  <c r="AA95" i="5"/>
  <c r="AB95" i="5" a="1"/>
  <c r="AB95" i="5"/>
  <c r="D98" i="5"/>
  <c r="E98" i="5"/>
  <c r="F98" i="5"/>
  <c r="G98" i="5"/>
  <c r="H98" i="5"/>
  <c r="I98" i="5"/>
  <c r="J98" i="5"/>
  <c r="K98" i="5"/>
  <c r="L98" i="5"/>
  <c r="M98" i="5"/>
  <c r="N98" i="5"/>
  <c r="O98" i="5"/>
  <c r="P98" i="5"/>
  <c r="Q98" i="5"/>
  <c r="R98" i="5"/>
  <c r="S98" i="5"/>
  <c r="T98" i="5"/>
  <c r="U98" i="5"/>
  <c r="V98" i="5"/>
  <c r="W98" i="5"/>
  <c r="X98" i="5"/>
  <c r="Y98" i="5"/>
  <c r="Z98" i="5"/>
  <c r="AA98" i="5"/>
  <c r="AB98" i="5"/>
  <c r="AC98" i="5"/>
  <c r="E99" i="5"/>
  <c r="F99" i="5"/>
  <c r="G99" i="5"/>
  <c r="H99" i="5"/>
  <c r="I99" i="5"/>
  <c r="J99" i="5"/>
  <c r="K99" i="5"/>
  <c r="L99" i="5"/>
  <c r="M99" i="5"/>
  <c r="N99" i="5"/>
  <c r="O99" i="5"/>
  <c r="P99" i="5"/>
  <c r="Q99" i="5"/>
  <c r="R99" i="5"/>
  <c r="S99" i="5"/>
  <c r="T99" i="5"/>
  <c r="U99" i="5"/>
  <c r="V99" i="5"/>
  <c r="W99" i="5"/>
  <c r="X99" i="5"/>
  <c r="Y99" i="5"/>
  <c r="Z99" i="5"/>
  <c r="AA99" i="5"/>
  <c r="AB99" i="5"/>
  <c r="AC99" i="5"/>
  <c r="E103" i="5" a="1"/>
  <c r="E103" i="5"/>
  <c r="F103" i="5" a="1"/>
  <c r="F103" i="5"/>
  <c r="G103" i="5" a="1"/>
  <c r="G103" i="5"/>
  <c r="H103" i="5" a="1"/>
  <c r="H103" i="5"/>
  <c r="I103" i="5" a="1"/>
  <c r="I103" i="5"/>
  <c r="J103" i="5" a="1"/>
  <c r="J103" i="5"/>
  <c r="K103" i="5" a="1"/>
  <c r="K103" i="5"/>
  <c r="L103" i="5" a="1"/>
  <c r="L103" i="5"/>
  <c r="M103" i="5" a="1"/>
  <c r="M103" i="5"/>
  <c r="N103" i="5" a="1"/>
  <c r="N103" i="5"/>
  <c r="O103" i="5" a="1"/>
  <c r="O103" i="5"/>
  <c r="P103" i="5" a="1"/>
  <c r="P103" i="5"/>
  <c r="Q103" i="5" a="1"/>
  <c r="Q103" i="5"/>
  <c r="R103" i="5" a="1"/>
  <c r="R103" i="5"/>
  <c r="S103" i="5" a="1"/>
  <c r="S103" i="5"/>
  <c r="T103" i="5" a="1"/>
  <c r="T103" i="5"/>
  <c r="U103" i="5" a="1"/>
  <c r="U103" i="5"/>
  <c r="V103" i="5" a="1"/>
  <c r="V103" i="5"/>
  <c r="W103" i="5" a="1"/>
  <c r="W103" i="5"/>
  <c r="X103" i="5" a="1"/>
  <c r="X103" i="5"/>
  <c r="Y103" i="5" a="1"/>
  <c r="Y103" i="5"/>
  <c r="Z103" i="5" a="1"/>
  <c r="Z103" i="5"/>
  <c r="AA103" i="5" a="1"/>
  <c r="AA103" i="5"/>
  <c r="AB103" i="5" a="1"/>
  <c r="AB103" i="5"/>
  <c r="AC103" i="5" a="1"/>
  <c r="AC103" i="5"/>
  <c r="E105" i="5"/>
  <c r="F105" i="5"/>
  <c r="G105" i="5"/>
  <c r="H105" i="5"/>
  <c r="I105" i="5"/>
  <c r="J105" i="5"/>
  <c r="K105" i="5"/>
  <c r="L105" i="5"/>
  <c r="M105" i="5"/>
  <c r="N105" i="5"/>
  <c r="O105" i="5"/>
  <c r="P105" i="5"/>
  <c r="Q105" i="5"/>
  <c r="R105" i="5"/>
  <c r="S105" i="5"/>
  <c r="T105" i="5"/>
  <c r="U105" i="5"/>
  <c r="V105" i="5"/>
  <c r="W105" i="5"/>
  <c r="X105" i="5"/>
  <c r="Y105" i="5"/>
  <c r="Z105" i="5"/>
  <c r="AA105" i="5"/>
  <c r="AB105" i="5"/>
  <c r="AC105" i="5"/>
  <c r="E110" i="5"/>
  <c r="F110" i="5"/>
  <c r="G110" i="5"/>
  <c r="H110" i="5"/>
  <c r="I110" i="5"/>
  <c r="J110" i="5"/>
  <c r="K110" i="5"/>
  <c r="L110" i="5"/>
  <c r="M110" i="5"/>
  <c r="N110" i="5"/>
  <c r="O110" i="5"/>
  <c r="P110" i="5"/>
  <c r="Q110" i="5"/>
  <c r="R110" i="5"/>
  <c r="S110" i="5"/>
  <c r="T110" i="5"/>
  <c r="U110" i="5"/>
  <c r="V110" i="5"/>
  <c r="W110" i="5"/>
  <c r="X110" i="5"/>
  <c r="Y110" i="5"/>
  <c r="Z110" i="5"/>
  <c r="AA110" i="5"/>
  <c r="AB110" i="5"/>
  <c r="AC110" i="5"/>
  <c r="D118" i="5" a="1"/>
  <c r="D118" i="5"/>
  <c r="E118" i="5" a="1"/>
  <c r="E118" i="5"/>
  <c r="F118" i="5" a="1"/>
  <c r="F118" i="5"/>
  <c r="G118" i="5" a="1"/>
  <c r="G118" i="5"/>
  <c r="H118" i="5" a="1"/>
  <c r="H118" i="5"/>
  <c r="I118" i="5" a="1"/>
  <c r="I118" i="5"/>
  <c r="J118" i="5" a="1"/>
  <c r="J118" i="5"/>
  <c r="K118" i="5" a="1"/>
  <c r="K118" i="5"/>
  <c r="L118" i="5" a="1"/>
  <c r="L118" i="5"/>
  <c r="M118" i="5" a="1"/>
  <c r="M118" i="5"/>
  <c r="N118" i="5" a="1"/>
  <c r="N118" i="5"/>
  <c r="O118" i="5" a="1"/>
  <c r="O118" i="5"/>
  <c r="P118" i="5" a="1"/>
  <c r="P118" i="5"/>
  <c r="Q118" i="5" a="1"/>
  <c r="Q118" i="5"/>
  <c r="R118" i="5" a="1"/>
  <c r="R118" i="5"/>
  <c r="S118" i="5" a="1"/>
  <c r="S118" i="5"/>
  <c r="T118" i="5" a="1"/>
  <c r="T118" i="5"/>
  <c r="U118" i="5" a="1"/>
  <c r="U118" i="5"/>
  <c r="V118" i="5" a="1"/>
  <c r="V118" i="5"/>
  <c r="W118" i="5" a="1"/>
  <c r="W118" i="5"/>
  <c r="X118" i="5" a="1"/>
  <c r="X118" i="5"/>
  <c r="Y118" i="5" a="1"/>
  <c r="Y118" i="5"/>
  <c r="Z118" i="5" a="1"/>
  <c r="Z118" i="5"/>
  <c r="AA118" i="5" a="1"/>
  <c r="AA118" i="5"/>
  <c r="AB118" i="5" a="1"/>
  <c r="AB118" i="5"/>
  <c r="AC118" i="5" a="1"/>
  <c r="AC118" i="5"/>
  <c r="D119" i="5"/>
  <c r="E119" i="5"/>
  <c r="F119" i="5"/>
  <c r="G119" i="5"/>
  <c r="H119" i="5"/>
  <c r="I119" i="5"/>
  <c r="J119" i="5"/>
  <c r="K119" i="5"/>
  <c r="L119" i="5"/>
  <c r="M119" i="5"/>
  <c r="N119" i="5"/>
  <c r="O119" i="5"/>
  <c r="P119" i="5"/>
  <c r="Q119" i="5"/>
  <c r="R119" i="5"/>
  <c r="S119" i="5"/>
  <c r="T119" i="5"/>
  <c r="U119" i="5"/>
  <c r="V119" i="5"/>
  <c r="W119" i="5"/>
  <c r="X119" i="5"/>
  <c r="Y119" i="5"/>
  <c r="Z119" i="5"/>
  <c r="AA119" i="5"/>
  <c r="AB119" i="5"/>
  <c r="AC119" i="5"/>
  <c r="D120" i="5" a="1"/>
  <c r="D120" i="5"/>
  <c r="E120" i="5" a="1"/>
  <c r="E120" i="5"/>
  <c r="F120" i="5" a="1"/>
  <c r="F120" i="5"/>
  <c r="G120" i="5" a="1"/>
  <c r="G120" i="5"/>
  <c r="H120" i="5" a="1"/>
  <c r="H120" i="5"/>
  <c r="I120" i="5" a="1"/>
  <c r="I120" i="5"/>
  <c r="J120" i="5" a="1"/>
  <c r="J120" i="5"/>
  <c r="K120" i="5" a="1"/>
  <c r="K120" i="5"/>
  <c r="L120" i="5" a="1"/>
  <c r="L120" i="5"/>
  <c r="M120" i="5" a="1"/>
  <c r="M120" i="5"/>
  <c r="N120" i="5" a="1"/>
  <c r="N120" i="5"/>
  <c r="O120" i="5" a="1"/>
  <c r="O120" i="5"/>
  <c r="P120" i="5" a="1"/>
  <c r="P120" i="5"/>
  <c r="Q120" i="5" a="1"/>
  <c r="Q120" i="5"/>
  <c r="R120" i="5" a="1"/>
  <c r="R120" i="5"/>
  <c r="S120" i="5" a="1"/>
  <c r="S120" i="5"/>
  <c r="T120" i="5" a="1"/>
  <c r="T120" i="5"/>
  <c r="U120" i="5" a="1"/>
  <c r="U120" i="5"/>
  <c r="V120" i="5" a="1"/>
  <c r="V120" i="5"/>
  <c r="W120" i="5" a="1"/>
  <c r="W120" i="5"/>
  <c r="X120" i="5" a="1"/>
  <c r="X120" i="5"/>
  <c r="Y120" i="5" a="1"/>
  <c r="Y120" i="5"/>
  <c r="Z120" i="5" a="1"/>
  <c r="Z120" i="5"/>
  <c r="AA120" i="5" a="1"/>
  <c r="AA120" i="5"/>
  <c r="AB120" i="5" a="1"/>
  <c r="AB120" i="5"/>
  <c r="AC120" i="5" a="1"/>
  <c r="AC120" i="5"/>
  <c r="D122" i="5"/>
  <c r="E122" i="5"/>
  <c r="F122" i="5"/>
  <c r="G122" i="5"/>
  <c r="H122" i="5"/>
  <c r="I122" i="5"/>
  <c r="J122" i="5"/>
  <c r="K122" i="5"/>
  <c r="L122" i="5"/>
  <c r="M122" i="5"/>
  <c r="N122" i="5"/>
  <c r="O122" i="5"/>
  <c r="P122" i="5"/>
  <c r="Q122" i="5"/>
  <c r="R122" i="5"/>
  <c r="S122" i="5"/>
  <c r="T122" i="5"/>
  <c r="U122" i="5"/>
  <c r="V122" i="5"/>
  <c r="W122" i="5"/>
  <c r="X122" i="5"/>
  <c r="Y122" i="5"/>
  <c r="Z122" i="5"/>
  <c r="AA122" i="5"/>
  <c r="AB122" i="5"/>
  <c r="AC122" i="5"/>
  <c r="D128" i="5" a="1"/>
  <c r="D128" i="5"/>
  <c r="E128" i="5" a="1"/>
  <c r="E128" i="5"/>
  <c r="F128" i="5" a="1"/>
  <c r="F128" i="5"/>
  <c r="G128" i="5" a="1"/>
  <c r="G128" i="5"/>
  <c r="H128" i="5" a="1"/>
  <c r="H128" i="5"/>
  <c r="I128" i="5" a="1"/>
  <c r="I128" i="5"/>
  <c r="J128" i="5" a="1"/>
  <c r="J128" i="5"/>
  <c r="K128" i="5" a="1"/>
  <c r="K128" i="5"/>
  <c r="L128" i="5" a="1"/>
  <c r="L128" i="5"/>
  <c r="M128" i="5" a="1"/>
  <c r="M128" i="5"/>
  <c r="N128" i="5" a="1"/>
  <c r="N128" i="5"/>
  <c r="O128" i="5" a="1"/>
  <c r="O128" i="5"/>
  <c r="P128" i="5" a="1"/>
  <c r="P128" i="5"/>
  <c r="Q128" i="5" a="1"/>
  <c r="Q128" i="5"/>
  <c r="R128" i="5" a="1"/>
  <c r="R128" i="5"/>
  <c r="S128" i="5" a="1"/>
  <c r="S128" i="5"/>
  <c r="T128" i="5" a="1"/>
  <c r="T128" i="5"/>
  <c r="U128" i="5" a="1"/>
  <c r="U128" i="5"/>
  <c r="V128" i="5" a="1"/>
  <c r="V128" i="5"/>
  <c r="W128" i="5" a="1"/>
  <c r="W128" i="5"/>
  <c r="X128" i="5" a="1"/>
  <c r="X128" i="5"/>
  <c r="Y128" i="5" a="1"/>
  <c r="Y128" i="5"/>
  <c r="Z128" i="5" a="1"/>
  <c r="Z128" i="5"/>
  <c r="AA128" i="5" a="1"/>
  <c r="AA128" i="5"/>
  <c r="AB128" i="5" a="1"/>
  <c r="AB128" i="5"/>
  <c r="AC128" i="5" a="1"/>
  <c r="AC128" i="5"/>
  <c r="D129" i="5"/>
  <c r="E129" i="5"/>
  <c r="F129" i="5"/>
  <c r="G129" i="5"/>
  <c r="H129" i="5"/>
  <c r="I129" i="5"/>
  <c r="J129" i="5"/>
  <c r="K129" i="5"/>
  <c r="L129" i="5"/>
  <c r="M129" i="5"/>
  <c r="N129" i="5"/>
  <c r="O129" i="5"/>
  <c r="P129" i="5"/>
  <c r="Q129" i="5"/>
  <c r="R129" i="5"/>
  <c r="S129" i="5"/>
  <c r="T129" i="5"/>
  <c r="U129" i="5"/>
  <c r="V129" i="5"/>
  <c r="W129" i="5"/>
  <c r="X129" i="5"/>
  <c r="Y129" i="5"/>
  <c r="Z129" i="5"/>
  <c r="AA129" i="5"/>
  <c r="AB129" i="5"/>
  <c r="AC129" i="5"/>
  <c r="D131" i="5" a="1"/>
  <c r="D131" i="5"/>
  <c r="E131" i="5" a="1"/>
  <c r="E131" i="5"/>
  <c r="F131" i="5" a="1"/>
  <c r="F131" i="5"/>
  <c r="G131" i="5" a="1"/>
  <c r="G131" i="5"/>
  <c r="H131" i="5" a="1"/>
  <c r="H131" i="5"/>
  <c r="I131" i="5" a="1"/>
  <c r="I131" i="5"/>
  <c r="J131" i="5" a="1"/>
  <c r="J131" i="5"/>
  <c r="K131" i="5" a="1"/>
  <c r="K131" i="5"/>
  <c r="L131" i="5" a="1"/>
  <c r="L131" i="5"/>
  <c r="M131" i="5" a="1"/>
  <c r="M131" i="5"/>
  <c r="N131" i="5" a="1"/>
  <c r="N131" i="5"/>
  <c r="O131" i="5" a="1"/>
  <c r="O131" i="5"/>
  <c r="P131" i="5" a="1"/>
  <c r="P131" i="5"/>
  <c r="Q131" i="5" a="1"/>
  <c r="Q131" i="5"/>
  <c r="R131" i="5" a="1"/>
  <c r="R131" i="5"/>
  <c r="S131" i="5" a="1"/>
  <c r="S131" i="5"/>
  <c r="T131" i="5" a="1"/>
  <c r="T131" i="5"/>
  <c r="U131" i="5" a="1"/>
  <c r="U131" i="5"/>
  <c r="V131" i="5" a="1"/>
  <c r="V131" i="5"/>
  <c r="W131" i="5" a="1"/>
  <c r="W131" i="5"/>
  <c r="X131" i="5" a="1"/>
  <c r="X131" i="5"/>
  <c r="Y131" i="5" a="1"/>
  <c r="Y131" i="5"/>
  <c r="Z131" i="5" a="1"/>
  <c r="Z131" i="5"/>
  <c r="AA131" i="5" a="1"/>
  <c r="AA131" i="5"/>
  <c r="AB131" i="5" a="1"/>
  <c r="AB131" i="5"/>
  <c r="AC131" i="5" a="1"/>
  <c r="AC131" i="5"/>
  <c r="D132" i="5"/>
  <c r="E132" i="5"/>
  <c r="F132" i="5"/>
  <c r="G132" i="5"/>
  <c r="H132" i="5"/>
  <c r="I132" i="5"/>
  <c r="J132" i="5"/>
  <c r="K132" i="5"/>
  <c r="L132" i="5"/>
  <c r="M132" i="5"/>
  <c r="N132" i="5"/>
  <c r="O132" i="5"/>
  <c r="P132" i="5"/>
  <c r="Q132" i="5"/>
  <c r="R132" i="5"/>
  <c r="S132" i="5"/>
  <c r="T132" i="5"/>
  <c r="U132" i="5"/>
  <c r="V132" i="5"/>
  <c r="W132" i="5"/>
  <c r="X132" i="5"/>
  <c r="Y132" i="5"/>
  <c r="Z132" i="5"/>
  <c r="AA132" i="5"/>
  <c r="AB132" i="5"/>
  <c r="AC132" i="5"/>
  <c r="D135" i="5" a="1"/>
  <c r="D135" i="5"/>
  <c r="E135" i="5" a="1"/>
  <c r="E135" i="5"/>
  <c r="F135" i="5" a="1"/>
  <c r="F135" i="5"/>
  <c r="G135" i="5" a="1"/>
  <c r="G135" i="5"/>
  <c r="H135" i="5" a="1"/>
  <c r="H135" i="5"/>
  <c r="I135" i="5" a="1"/>
  <c r="I135" i="5"/>
  <c r="J135" i="5" a="1"/>
  <c r="J135" i="5"/>
  <c r="K135" i="5" a="1"/>
  <c r="K135" i="5"/>
  <c r="L135" i="5" a="1"/>
  <c r="L135" i="5"/>
  <c r="M135" i="5" a="1"/>
  <c r="M135" i="5"/>
  <c r="N135" i="5" a="1"/>
  <c r="N135" i="5"/>
  <c r="O135" i="5" a="1"/>
  <c r="O135" i="5"/>
  <c r="P135" i="5" a="1"/>
  <c r="P135" i="5"/>
  <c r="Q135" i="5" a="1"/>
  <c r="Q135" i="5"/>
  <c r="R135" i="5" a="1"/>
  <c r="R135" i="5"/>
  <c r="S135" i="5" a="1"/>
  <c r="S135" i="5"/>
  <c r="T135" i="5" a="1"/>
  <c r="T135" i="5"/>
  <c r="U135" i="5" a="1"/>
  <c r="U135" i="5"/>
  <c r="V135" i="5" a="1"/>
  <c r="V135" i="5"/>
  <c r="W135" i="5" a="1"/>
  <c r="W135" i="5"/>
  <c r="X135" i="5" a="1"/>
  <c r="X135" i="5"/>
  <c r="Y135" i="5" a="1"/>
  <c r="Y135" i="5"/>
  <c r="Z135" i="5" a="1"/>
  <c r="Z135" i="5"/>
  <c r="AA135" i="5" a="1"/>
  <c r="AA135" i="5"/>
  <c r="AB135" i="5" a="1"/>
  <c r="AB135" i="5"/>
  <c r="AC135" i="5" a="1"/>
  <c r="AC135" i="5"/>
  <c r="D143" i="5" a="1"/>
  <c r="D143" i="5"/>
  <c r="E143" i="5" a="1"/>
  <c r="E143" i="5"/>
  <c r="F143" i="5" a="1"/>
  <c r="F143" i="5"/>
  <c r="G143" i="5" a="1"/>
  <c r="G143" i="5"/>
  <c r="H143" i="5" a="1"/>
  <c r="H143" i="5"/>
  <c r="I143" i="5" a="1"/>
  <c r="I143" i="5"/>
  <c r="J143" i="5" a="1"/>
  <c r="J143" i="5"/>
  <c r="K143" i="5" a="1"/>
  <c r="K143" i="5"/>
  <c r="L143" i="5" a="1"/>
  <c r="L143" i="5"/>
  <c r="M143" i="5" a="1"/>
  <c r="M143" i="5"/>
  <c r="N143" i="5" a="1"/>
  <c r="N143" i="5"/>
  <c r="O143" i="5" a="1"/>
  <c r="O143" i="5"/>
  <c r="P143" i="5" a="1"/>
  <c r="P143" i="5"/>
  <c r="Q143" i="5" a="1"/>
  <c r="Q143" i="5"/>
  <c r="R143" i="5" a="1"/>
  <c r="R143" i="5"/>
  <c r="S143" i="5" a="1"/>
  <c r="S143" i="5"/>
  <c r="T143" i="5" a="1"/>
  <c r="T143" i="5"/>
  <c r="U143" i="5" a="1"/>
  <c r="U143" i="5"/>
  <c r="V143" i="5" a="1"/>
  <c r="V143" i="5"/>
  <c r="W143" i="5" a="1"/>
  <c r="W143" i="5"/>
  <c r="X143" i="5" a="1"/>
  <c r="X143" i="5"/>
  <c r="Y143" i="5" a="1"/>
  <c r="Y143" i="5"/>
  <c r="Z143" i="5" a="1"/>
  <c r="Z143" i="5"/>
  <c r="AA143" i="5" a="1"/>
  <c r="AA143" i="5"/>
  <c r="AB143" i="5" a="1"/>
  <c r="AB143" i="5"/>
  <c r="AC143" i="5" a="1"/>
  <c r="AC143" i="5"/>
  <c r="E153" i="5"/>
  <c r="F153" i="5"/>
  <c r="G153" i="5"/>
  <c r="H153" i="5"/>
  <c r="I153" i="5"/>
  <c r="J153" i="5"/>
  <c r="K153" i="5"/>
  <c r="L153" i="5"/>
  <c r="M153" i="5"/>
  <c r="N153" i="5"/>
  <c r="O153" i="5"/>
  <c r="P153" i="5"/>
  <c r="Q153" i="5"/>
  <c r="R153" i="5"/>
  <c r="S153" i="5"/>
  <c r="T153" i="5"/>
  <c r="U153" i="5"/>
  <c r="V153" i="5"/>
  <c r="W153" i="5"/>
  <c r="X153" i="5"/>
  <c r="Y153" i="5"/>
  <c r="Z153" i="5"/>
  <c r="AA153" i="5"/>
  <c r="AB153" i="5"/>
  <c r="AC153" i="5"/>
  <c r="E156" i="5" a="1"/>
  <c r="E156" i="5"/>
  <c r="F156" i="5" a="1"/>
  <c r="F156" i="5"/>
  <c r="G156" i="5" a="1"/>
  <c r="G156" i="5"/>
  <c r="H156" i="5" a="1"/>
  <c r="H156" i="5"/>
  <c r="I156" i="5" a="1"/>
  <c r="I156" i="5"/>
  <c r="J156" i="5" a="1"/>
  <c r="J156" i="5"/>
  <c r="K156" i="5" a="1"/>
  <c r="K156" i="5"/>
  <c r="L156" i="5" a="1"/>
  <c r="L156" i="5"/>
  <c r="M156" i="5" a="1"/>
  <c r="M156" i="5"/>
  <c r="N156" i="5" a="1"/>
  <c r="N156" i="5"/>
  <c r="O156" i="5" a="1"/>
  <c r="O156" i="5"/>
  <c r="P156" i="5" a="1"/>
  <c r="P156" i="5"/>
  <c r="Q156" i="5" a="1"/>
  <c r="Q156" i="5"/>
  <c r="R156" i="5" a="1"/>
  <c r="R156" i="5"/>
  <c r="S156" i="5" a="1"/>
  <c r="S156" i="5"/>
  <c r="T156" i="5" a="1"/>
  <c r="T156" i="5"/>
  <c r="U156" i="5" a="1"/>
  <c r="U156" i="5"/>
  <c r="V156" i="5" a="1"/>
  <c r="V156" i="5"/>
  <c r="W156" i="5" a="1"/>
  <c r="W156" i="5"/>
  <c r="X156" i="5" a="1"/>
  <c r="X156" i="5"/>
  <c r="Y156" i="5" a="1"/>
  <c r="Y156" i="5"/>
  <c r="Z156" i="5" a="1"/>
  <c r="Z156" i="5"/>
  <c r="AA156" i="5" a="1"/>
  <c r="AA156" i="5"/>
  <c r="AB156" i="5" a="1"/>
  <c r="AB156" i="5"/>
  <c r="AC156" i="5" a="1"/>
  <c r="AC156" i="5"/>
  <c r="D158" i="5"/>
  <c r="E158" i="5"/>
  <c r="F158" i="5"/>
  <c r="G158" i="5"/>
  <c r="H158" i="5"/>
  <c r="I158" i="5"/>
  <c r="J158" i="5"/>
  <c r="K158" i="5"/>
  <c r="L158" i="5"/>
  <c r="M158" i="5"/>
  <c r="N158" i="5"/>
  <c r="O158" i="5"/>
  <c r="P158" i="5"/>
  <c r="Q158" i="5"/>
  <c r="R158" i="5"/>
  <c r="S158" i="5"/>
  <c r="T158" i="5"/>
  <c r="U158" i="5"/>
  <c r="V158" i="5"/>
  <c r="W158" i="5"/>
  <c r="X158" i="5"/>
  <c r="Y158" i="5"/>
  <c r="Z158" i="5"/>
  <c r="AA158" i="5"/>
  <c r="AB158" i="5"/>
  <c r="AC158" i="5"/>
  <c r="D162" i="5" a="1"/>
  <c r="D162" i="5"/>
  <c r="E162" i="5" a="1"/>
  <c r="E162" i="5"/>
  <c r="F162" i="5" a="1"/>
  <c r="F162" i="5"/>
  <c r="G162" i="5" a="1"/>
  <c r="G162" i="5"/>
  <c r="H162" i="5" a="1"/>
  <c r="H162" i="5"/>
  <c r="I162" i="5" a="1"/>
  <c r="I162" i="5"/>
  <c r="J162" i="5" a="1"/>
  <c r="J162" i="5"/>
  <c r="K162" i="5" a="1"/>
  <c r="K162" i="5"/>
  <c r="L162" i="5" a="1"/>
  <c r="L162" i="5"/>
  <c r="M162" i="5" a="1"/>
  <c r="M162" i="5"/>
  <c r="N162" i="5" a="1"/>
  <c r="N162" i="5"/>
  <c r="O162" i="5" a="1"/>
  <c r="O162" i="5"/>
  <c r="P162" i="5" a="1"/>
  <c r="P162" i="5"/>
  <c r="Q162" i="5" a="1"/>
  <c r="Q162" i="5"/>
  <c r="R162" i="5" a="1"/>
  <c r="R162" i="5"/>
  <c r="S162" i="5" a="1"/>
  <c r="S162" i="5"/>
  <c r="T162" i="5" a="1"/>
  <c r="T162" i="5"/>
  <c r="U162" i="5" a="1"/>
  <c r="U162" i="5"/>
  <c r="V162" i="5" a="1"/>
  <c r="V162" i="5"/>
  <c r="W162" i="5" a="1"/>
  <c r="W162" i="5"/>
  <c r="X162" i="5" a="1"/>
  <c r="X162" i="5"/>
  <c r="Y162" i="5" a="1"/>
  <c r="Y162" i="5"/>
  <c r="Z162" i="5" a="1"/>
  <c r="Z162" i="5"/>
  <c r="AA162" i="5" a="1"/>
  <c r="AA162" i="5"/>
  <c r="AB162" i="5" a="1"/>
  <c r="AB162" i="5"/>
  <c r="AC162" i="5" a="1"/>
  <c r="AC162" i="5"/>
  <c r="D165" i="5"/>
  <c r="E165" i="5"/>
  <c r="F165" i="5"/>
  <c r="G165" i="5"/>
  <c r="H165" i="5"/>
  <c r="I165" i="5"/>
  <c r="J165" i="5"/>
  <c r="K165" i="5"/>
  <c r="L165" i="5"/>
  <c r="M165" i="5"/>
  <c r="N165" i="5"/>
  <c r="O165" i="5"/>
  <c r="P165" i="5"/>
  <c r="Q165" i="5"/>
  <c r="R165" i="5"/>
  <c r="S165" i="5"/>
  <c r="T165" i="5"/>
  <c r="U165" i="5"/>
  <c r="V165" i="5"/>
  <c r="W165" i="5"/>
  <c r="X165" i="5"/>
  <c r="Y165" i="5"/>
  <c r="Z165" i="5"/>
  <c r="AA165" i="5"/>
  <c r="AB165" i="5"/>
  <c r="AC165" i="5"/>
  <c r="D167" i="5"/>
  <c r="E167" i="5"/>
  <c r="F167" i="5"/>
  <c r="G167" i="5"/>
  <c r="H167" i="5"/>
  <c r="I167" i="5"/>
  <c r="J167" i="5"/>
  <c r="K167" i="5"/>
  <c r="L167" i="5"/>
  <c r="M167" i="5"/>
  <c r="N167" i="5"/>
  <c r="O167" i="5"/>
  <c r="P167" i="5"/>
  <c r="Q167" i="5"/>
  <c r="R167" i="5"/>
  <c r="S167" i="5"/>
  <c r="T167" i="5"/>
  <c r="U167" i="5"/>
  <c r="V167" i="5"/>
  <c r="W167" i="5"/>
  <c r="X167" i="5"/>
  <c r="Y167" i="5"/>
  <c r="Z167" i="5"/>
  <c r="AA167" i="5"/>
  <c r="AB167" i="5"/>
  <c r="AC167" i="5"/>
  <c r="D170" i="5"/>
  <c r="E170" i="5"/>
  <c r="F170" i="5"/>
  <c r="G170" i="5"/>
  <c r="H170" i="5"/>
  <c r="I170" i="5"/>
  <c r="J170" i="5"/>
  <c r="K170" i="5"/>
  <c r="L170" i="5"/>
  <c r="M170" i="5"/>
  <c r="N170" i="5"/>
  <c r="O170" i="5"/>
  <c r="P170" i="5"/>
  <c r="Q170" i="5"/>
  <c r="R170" i="5"/>
  <c r="S170" i="5"/>
  <c r="T170" i="5"/>
  <c r="U170" i="5"/>
  <c r="V170" i="5"/>
  <c r="W170" i="5"/>
  <c r="X170" i="5"/>
  <c r="Y170" i="5"/>
  <c r="Z170" i="5"/>
  <c r="AA170" i="5"/>
  <c r="AB170" i="5"/>
  <c r="AC170" i="5"/>
  <c r="D178" i="5"/>
  <c r="E178" i="5"/>
  <c r="F178" i="5"/>
  <c r="G178" i="5"/>
  <c r="H178" i="5"/>
  <c r="I178" i="5"/>
  <c r="J178" i="5"/>
  <c r="K178" i="5"/>
  <c r="L178" i="5"/>
  <c r="M178" i="5"/>
  <c r="N178" i="5"/>
  <c r="O178" i="5"/>
  <c r="P178" i="5"/>
  <c r="Q178" i="5"/>
  <c r="R178" i="5"/>
  <c r="S178" i="5"/>
  <c r="T178" i="5"/>
  <c r="U178" i="5"/>
  <c r="V178" i="5"/>
  <c r="W178" i="5"/>
  <c r="X178" i="5"/>
  <c r="Y178" i="5"/>
  <c r="Z178" i="5"/>
  <c r="AA178" i="5"/>
  <c r="AB178" i="5"/>
  <c r="AC178" i="5"/>
  <c r="D181" i="5"/>
  <c r="E181" i="5"/>
  <c r="F181" i="5"/>
  <c r="G181" i="5"/>
  <c r="H181" i="5"/>
  <c r="I181" i="5"/>
  <c r="J181" i="5"/>
  <c r="K181" i="5"/>
  <c r="L181" i="5"/>
  <c r="M181" i="5"/>
  <c r="N181" i="5"/>
  <c r="O181" i="5"/>
  <c r="P181" i="5"/>
  <c r="Q181" i="5"/>
  <c r="R181" i="5"/>
  <c r="S181" i="5"/>
  <c r="T181" i="5"/>
  <c r="U181" i="5"/>
  <c r="V181" i="5"/>
  <c r="W181" i="5"/>
  <c r="X181" i="5"/>
  <c r="Y181" i="5"/>
  <c r="Z181" i="5"/>
  <c r="AA181" i="5"/>
  <c r="AB181" i="5"/>
  <c r="AC181" i="5"/>
  <c r="D182" i="5"/>
  <c r="E182" i="5"/>
  <c r="F182" i="5"/>
  <c r="G182" i="5"/>
  <c r="H182" i="5"/>
  <c r="I182" i="5"/>
  <c r="J182" i="5"/>
  <c r="K182" i="5"/>
  <c r="L182" i="5"/>
  <c r="M182" i="5"/>
  <c r="N182" i="5"/>
  <c r="O182" i="5"/>
  <c r="P182" i="5"/>
  <c r="Q182" i="5"/>
  <c r="R182" i="5"/>
  <c r="S182" i="5"/>
  <c r="T182" i="5"/>
  <c r="U182" i="5"/>
  <c r="V182" i="5"/>
  <c r="W182" i="5"/>
  <c r="X182" i="5"/>
  <c r="Y182" i="5"/>
  <c r="Z182" i="5"/>
  <c r="AA182" i="5"/>
  <c r="AB182" i="5"/>
  <c r="AC182" i="5"/>
  <c r="D185" i="5"/>
  <c r="E185" i="5"/>
  <c r="F185" i="5"/>
  <c r="G185" i="5"/>
  <c r="H185" i="5"/>
  <c r="I185" i="5"/>
  <c r="J185" i="5"/>
  <c r="K185" i="5"/>
  <c r="L185" i="5"/>
  <c r="M185" i="5"/>
  <c r="N185" i="5"/>
  <c r="O185" i="5"/>
  <c r="P185" i="5"/>
  <c r="Q185" i="5"/>
  <c r="R185" i="5"/>
  <c r="S185" i="5"/>
  <c r="T185" i="5"/>
  <c r="U185" i="5"/>
  <c r="V185" i="5"/>
  <c r="W185" i="5"/>
  <c r="X185" i="5"/>
  <c r="Y185" i="5"/>
  <c r="Z185" i="5"/>
  <c r="AA185" i="5"/>
  <c r="AB185" i="5"/>
  <c r="AC185" i="5"/>
  <c r="D188" i="5"/>
  <c r="E188" i="5"/>
  <c r="F188" i="5"/>
  <c r="G188" i="5"/>
  <c r="H188" i="5"/>
  <c r="I188" i="5"/>
  <c r="J188" i="5"/>
  <c r="K188" i="5"/>
  <c r="L188" i="5"/>
  <c r="M188" i="5"/>
  <c r="N188" i="5"/>
  <c r="O188" i="5"/>
  <c r="P188" i="5"/>
  <c r="Q188" i="5"/>
  <c r="R188" i="5"/>
  <c r="S188" i="5"/>
  <c r="T188" i="5"/>
  <c r="U188" i="5"/>
  <c r="V188" i="5"/>
  <c r="W188" i="5"/>
  <c r="X188" i="5"/>
  <c r="Y188" i="5"/>
  <c r="Z188" i="5"/>
  <c r="AA188" i="5"/>
  <c r="AB188" i="5"/>
  <c r="AC188" i="5"/>
  <c r="D201" i="5"/>
  <c r="E201" i="5"/>
  <c r="F201" i="5"/>
  <c r="G201" i="5"/>
  <c r="H201" i="5"/>
  <c r="I201" i="5"/>
  <c r="J201" i="5"/>
  <c r="K201" i="5"/>
  <c r="L201" i="5"/>
  <c r="M201" i="5"/>
  <c r="N201" i="5"/>
  <c r="O201" i="5"/>
  <c r="P201" i="5"/>
  <c r="Q201" i="5"/>
  <c r="R201" i="5"/>
  <c r="S201" i="5"/>
  <c r="T201" i="5"/>
  <c r="U201" i="5"/>
  <c r="V201" i="5"/>
  <c r="W201" i="5"/>
  <c r="X201" i="5"/>
  <c r="Y201" i="5"/>
  <c r="Z201" i="5"/>
  <c r="AA201" i="5"/>
  <c r="AB201" i="5"/>
  <c r="AC201" i="5"/>
  <c r="D202" i="5"/>
  <c r="E202" i="5"/>
  <c r="F202" i="5"/>
  <c r="G202" i="5"/>
  <c r="H202" i="5"/>
  <c r="I202" i="5"/>
  <c r="J202" i="5"/>
  <c r="K202" i="5"/>
  <c r="L202" i="5"/>
  <c r="M202" i="5"/>
  <c r="N202" i="5"/>
  <c r="O202" i="5"/>
  <c r="P202" i="5"/>
  <c r="Q202" i="5"/>
  <c r="R202" i="5"/>
  <c r="S202" i="5"/>
  <c r="T202" i="5"/>
  <c r="U202" i="5"/>
  <c r="V202" i="5"/>
  <c r="W202" i="5"/>
  <c r="X202" i="5"/>
  <c r="Y202" i="5"/>
  <c r="Z202" i="5"/>
  <c r="AA202" i="5"/>
  <c r="AB202" i="5"/>
  <c r="AC202" i="5"/>
  <c r="D203" i="5"/>
  <c r="E203" i="5"/>
  <c r="F203" i="5"/>
  <c r="G203" i="5"/>
  <c r="H203" i="5"/>
  <c r="I203" i="5"/>
  <c r="J203" i="5"/>
  <c r="K203" i="5"/>
  <c r="L203" i="5"/>
  <c r="M203" i="5"/>
  <c r="N203" i="5"/>
  <c r="O203" i="5"/>
  <c r="P203" i="5"/>
  <c r="Q203" i="5"/>
  <c r="R203" i="5"/>
  <c r="S203" i="5"/>
  <c r="T203" i="5"/>
  <c r="U203" i="5"/>
  <c r="V203" i="5"/>
  <c r="W203" i="5"/>
  <c r="X203" i="5"/>
  <c r="Y203" i="5"/>
  <c r="Z203" i="5"/>
  <c r="AA203" i="5"/>
  <c r="AB203" i="5"/>
  <c r="AC203" i="5"/>
  <c r="D204" i="5"/>
  <c r="E204" i="5"/>
  <c r="F204" i="5"/>
  <c r="G204" i="5"/>
  <c r="H204" i="5"/>
  <c r="I204" i="5"/>
  <c r="J204" i="5"/>
  <c r="K204" i="5"/>
  <c r="L204" i="5"/>
  <c r="M204" i="5"/>
  <c r="N204" i="5"/>
  <c r="O204" i="5"/>
  <c r="P204" i="5"/>
  <c r="Q204" i="5"/>
  <c r="R204" i="5"/>
  <c r="S204" i="5"/>
  <c r="T204" i="5"/>
  <c r="U204" i="5"/>
  <c r="V204" i="5"/>
  <c r="W204" i="5"/>
  <c r="X204" i="5"/>
  <c r="Y204" i="5"/>
  <c r="Z204" i="5"/>
  <c r="AA204" i="5"/>
  <c r="AB204" i="5"/>
  <c r="AC204" i="5"/>
  <c r="D205" i="5"/>
  <c r="E205" i="5"/>
  <c r="F205" i="5"/>
  <c r="G205" i="5"/>
  <c r="H205" i="5"/>
  <c r="I205" i="5"/>
  <c r="J205" i="5"/>
  <c r="K205" i="5"/>
  <c r="L205" i="5"/>
  <c r="M205" i="5"/>
  <c r="N205" i="5"/>
  <c r="O205" i="5"/>
  <c r="P205" i="5"/>
  <c r="Q205" i="5"/>
  <c r="R205" i="5"/>
  <c r="S205" i="5"/>
  <c r="T205" i="5"/>
  <c r="U205" i="5"/>
  <c r="V205" i="5"/>
  <c r="W205" i="5"/>
  <c r="X205" i="5"/>
  <c r="Y205" i="5"/>
  <c r="Z205" i="5"/>
  <c r="AA205" i="5"/>
  <c r="AB205" i="5"/>
  <c r="AC205" i="5"/>
  <c r="E206" i="5"/>
  <c r="F206" i="5"/>
  <c r="G206" i="5"/>
  <c r="H206" i="5"/>
  <c r="I206" i="5"/>
  <c r="J206" i="5"/>
  <c r="K206" i="5"/>
  <c r="L206" i="5"/>
  <c r="M206" i="5"/>
  <c r="N206" i="5"/>
  <c r="O206" i="5"/>
  <c r="P206" i="5"/>
  <c r="Q206" i="5"/>
  <c r="R206" i="5"/>
  <c r="S206" i="5"/>
  <c r="T206" i="5"/>
  <c r="U206" i="5"/>
  <c r="V206" i="5"/>
  <c r="W206" i="5"/>
  <c r="X206" i="5"/>
  <c r="Y206" i="5"/>
  <c r="Z206" i="5"/>
  <c r="AA206" i="5"/>
  <c r="AB206" i="5"/>
  <c r="AC206" i="5"/>
  <c r="D207" i="5" a="1"/>
  <c r="D207" i="5"/>
  <c r="E207" i="5" a="1"/>
  <c r="E207" i="5"/>
  <c r="F207" i="5" a="1"/>
  <c r="F207" i="5"/>
  <c r="G207" i="5" a="1"/>
  <c r="G207" i="5"/>
  <c r="H207" i="5" a="1"/>
  <c r="H207" i="5"/>
  <c r="I207" i="5" a="1"/>
  <c r="I207" i="5"/>
  <c r="J207" i="5" a="1"/>
  <c r="J207" i="5"/>
  <c r="K207" i="5" a="1"/>
  <c r="K207" i="5"/>
  <c r="L207" i="5" a="1"/>
  <c r="L207" i="5"/>
  <c r="M207" i="5" a="1"/>
  <c r="M207" i="5"/>
  <c r="N207" i="5" a="1"/>
  <c r="N207" i="5"/>
  <c r="O207" i="5" a="1"/>
  <c r="O207" i="5"/>
  <c r="P207" i="5" a="1"/>
  <c r="P207" i="5"/>
  <c r="Q207" i="5" a="1"/>
  <c r="Q207" i="5"/>
  <c r="R207" i="5" a="1"/>
  <c r="R207" i="5"/>
  <c r="S207" i="5" a="1"/>
  <c r="S207" i="5"/>
  <c r="T207" i="5" a="1"/>
  <c r="T207" i="5"/>
  <c r="U207" i="5" a="1"/>
  <c r="U207" i="5"/>
  <c r="V207" i="5" a="1"/>
  <c r="V207" i="5"/>
  <c r="W207" i="5" a="1"/>
  <c r="W207" i="5"/>
  <c r="X207" i="5" a="1"/>
  <c r="X207" i="5"/>
  <c r="Y207" i="5" a="1"/>
  <c r="Y207" i="5"/>
  <c r="Z207" i="5" a="1"/>
  <c r="Z207" i="5"/>
  <c r="AA207" i="5" a="1"/>
  <c r="AA207" i="5"/>
  <c r="AB207" i="5" a="1"/>
  <c r="AB207" i="5"/>
  <c r="AC207" i="5" a="1"/>
  <c r="AC207" i="5"/>
  <c r="D208" i="5" a="1"/>
  <c r="D208" i="5"/>
  <c r="E208" i="5" a="1"/>
  <c r="E208" i="5"/>
  <c r="F208" i="5" a="1"/>
  <c r="F208" i="5"/>
  <c r="G208" i="5" a="1"/>
  <c r="G208" i="5"/>
  <c r="H208" i="5" a="1"/>
  <c r="H208" i="5"/>
  <c r="I208" i="5" a="1"/>
  <c r="I208" i="5"/>
  <c r="J208" i="5" a="1"/>
  <c r="J208" i="5"/>
  <c r="K208" i="5" a="1"/>
  <c r="K208" i="5"/>
  <c r="L208" i="5" a="1"/>
  <c r="L208" i="5"/>
  <c r="M208" i="5" a="1"/>
  <c r="M208" i="5"/>
  <c r="N208" i="5" a="1"/>
  <c r="N208" i="5"/>
  <c r="O208" i="5" a="1"/>
  <c r="O208" i="5"/>
  <c r="P208" i="5" a="1"/>
  <c r="P208" i="5"/>
  <c r="Q208" i="5" a="1"/>
  <c r="Q208" i="5"/>
  <c r="R208" i="5" a="1"/>
  <c r="R208" i="5"/>
  <c r="S208" i="5" a="1"/>
  <c r="S208" i="5"/>
  <c r="T208" i="5" a="1"/>
  <c r="T208" i="5"/>
  <c r="U208" i="5" a="1"/>
  <c r="U208" i="5"/>
  <c r="V208" i="5" a="1"/>
  <c r="V208" i="5"/>
  <c r="W208" i="5" a="1"/>
  <c r="W208" i="5"/>
  <c r="X208" i="5" a="1"/>
  <c r="X208" i="5"/>
  <c r="Y208" i="5" a="1"/>
  <c r="Y208" i="5"/>
  <c r="Z208" i="5" a="1"/>
  <c r="Z208" i="5"/>
  <c r="AA208" i="5" a="1"/>
  <c r="AA208" i="5"/>
  <c r="AB208" i="5" a="1"/>
  <c r="AB208" i="5"/>
  <c r="AC208" i="5" a="1"/>
  <c r="AC208" i="5"/>
  <c r="D209" i="5"/>
  <c r="E209" i="5"/>
  <c r="F209" i="5"/>
  <c r="G209" i="5"/>
  <c r="H209" i="5"/>
  <c r="I209" i="5"/>
  <c r="J209" i="5"/>
  <c r="K209" i="5"/>
  <c r="L209" i="5"/>
  <c r="M209" i="5"/>
  <c r="N209" i="5"/>
  <c r="O209" i="5"/>
  <c r="P209" i="5"/>
  <c r="Q209" i="5"/>
  <c r="R209" i="5"/>
  <c r="S209" i="5"/>
  <c r="T209" i="5"/>
  <c r="U209" i="5"/>
  <c r="V209" i="5"/>
  <c r="W209" i="5"/>
  <c r="X209" i="5"/>
  <c r="Y209" i="5"/>
  <c r="Z209" i="5"/>
  <c r="AA209" i="5"/>
  <c r="AB209" i="5"/>
  <c r="AC209" i="5"/>
  <c r="F210" i="5"/>
  <c r="G210" i="5"/>
  <c r="H210" i="5"/>
  <c r="I210" i="5"/>
  <c r="J210" i="5"/>
  <c r="K210" i="5"/>
  <c r="L210" i="5"/>
  <c r="M210" i="5"/>
  <c r="N210" i="5"/>
  <c r="O210" i="5"/>
  <c r="P210" i="5"/>
  <c r="Q210" i="5"/>
  <c r="R210" i="5"/>
  <c r="S210" i="5"/>
  <c r="T210" i="5"/>
  <c r="U210" i="5"/>
  <c r="V210" i="5"/>
  <c r="W210" i="5"/>
  <c r="X210" i="5"/>
  <c r="Y210" i="5"/>
  <c r="Z210" i="5"/>
  <c r="AA210" i="5"/>
  <c r="AB210" i="5"/>
  <c r="AC210" i="5"/>
  <c r="D212" i="5" a="1"/>
  <c r="D212" i="5"/>
  <c r="E212" i="5" a="1"/>
  <c r="E212" i="5"/>
  <c r="F212" i="5" a="1"/>
  <c r="F212" i="5"/>
  <c r="G212" i="5" a="1"/>
  <c r="G212" i="5"/>
  <c r="H212" i="5" a="1"/>
  <c r="H212" i="5"/>
  <c r="I212" i="5" a="1"/>
  <c r="I212" i="5"/>
  <c r="J212" i="5" a="1"/>
  <c r="J212" i="5"/>
  <c r="K212" i="5" a="1"/>
  <c r="K212" i="5"/>
  <c r="L212" i="5" a="1"/>
  <c r="L212" i="5"/>
  <c r="M212" i="5" a="1"/>
  <c r="M212" i="5"/>
  <c r="N212" i="5" a="1"/>
  <c r="N212" i="5"/>
  <c r="O212" i="5" a="1"/>
  <c r="O212" i="5"/>
  <c r="P212" i="5" a="1"/>
  <c r="P212" i="5"/>
  <c r="Q212" i="5" a="1"/>
  <c r="Q212" i="5"/>
  <c r="R212" i="5" a="1"/>
  <c r="R212" i="5"/>
  <c r="S212" i="5" a="1"/>
  <c r="S212" i="5"/>
  <c r="T212" i="5" a="1"/>
  <c r="T212" i="5"/>
  <c r="U212" i="5" a="1"/>
  <c r="U212" i="5"/>
  <c r="V212" i="5" a="1"/>
  <c r="V212" i="5"/>
  <c r="W212" i="5" a="1"/>
  <c r="W212" i="5"/>
  <c r="X212" i="5" a="1"/>
  <c r="X212" i="5"/>
  <c r="Y212" i="5" a="1"/>
  <c r="Y212" i="5"/>
  <c r="Z212" i="5" a="1"/>
  <c r="Z212" i="5"/>
  <c r="AA212" i="5" a="1"/>
  <c r="AA212" i="5"/>
  <c r="AB212" i="5" a="1"/>
  <c r="AB212" i="5"/>
  <c r="AC212" i="5" a="1"/>
  <c r="AC212" i="5"/>
  <c r="D213" i="5" a="1"/>
  <c r="D213" i="5"/>
  <c r="E213" i="5" a="1"/>
  <c r="E213" i="5"/>
  <c r="F213" i="5" a="1"/>
  <c r="F213" i="5"/>
  <c r="G213" i="5" a="1"/>
  <c r="G213" i="5"/>
  <c r="H213" i="5" a="1"/>
  <c r="H213" i="5"/>
  <c r="I213" i="5" a="1"/>
  <c r="I213" i="5"/>
  <c r="J213" i="5" a="1"/>
  <c r="J213" i="5"/>
  <c r="K213" i="5" a="1"/>
  <c r="K213" i="5"/>
  <c r="L213" i="5" a="1"/>
  <c r="L213" i="5"/>
  <c r="M213" i="5" a="1"/>
  <c r="M213" i="5"/>
  <c r="N213" i="5" a="1"/>
  <c r="N213" i="5"/>
  <c r="O213" i="5" a="1"/>
  <c r="O213" i="5"/>
  <c r="P213" i="5" a="1"/>
  <c r="P213" i="5"/>
  <c r="Q213" i="5" a="1"/>
  <c r="Q213" i="5"/>
  <c r="R213" i="5" a="1"/>
  <c r="R213" i="5"/>
  <c r="S213" i="5" a="1"/>
  <c r="S213" i="5"/>
  <c r="T213" i="5" a="1"/>
  <c r="T213" i="5"/>
  <c r="U213" i="5" a="1"/>
  <c r="U213" i="5"/>
  <c r="V213" i="5" a="1"/>
  <c r="V213" i="5"/>
  <c r="W213" i="5" a="1"/>
  <c r="W213" i="5"/>
  <c r="X213" i="5" a="1"/>
  <c r="X213" i="5"/>
  <c r="Y213" i="5" a="1"/>
  <c r="Y213" i="5"/>
  <c r="Z213" i="5" a="1"/>
  <c r="Z213" i="5"/>
  <c r="AA213" i="5" a="1"/>
  <c r="AA213" i="5"/>
  <c r="AB213" i="5" a="1"/>
  <c r="AB213" i="5"/>
  <c r="AC213" i="5" a="1"/>
  <c r="AC213" i="5"/>
  <c r="D214" i="5" a="1"/>
  <c r="D214" i="5"/>
  <c r="E214" i="5" a="1"/>
  <c r="E214" i="5"/>
  <c r="F214" i="5" a="1"/>
  <c r="F214" i="5"/>
  <c r="G214" i="5" a="1"/>
  <c r="G214" i="5"/>
  <c r="H214" i="5" a="1"/>
  <c r="H214" i="5"/>
  <c r="I214" i="5" a="1"/>
  <c r="I214" i="5"/>
  <c r="J214" i="5" a="1"/>
  <c r="J214" i="5"/>
  <c r="K214" i="5" a="1"/>
  <c r="K214" i="5"/>
  <c r="L214" i="5" a="1"/>
  <c r="L214" i="5"/>
  <c r="M214" i="5" a="1"/>
  <c r="M214" i="5"/>
  <c r="N214" i="5" a="1"/>
  <c r="N214" i="5"/>
  <c r="O214" i="5" a="1"/>
  <c r="O214" i="5"/>
  <c r="P214" i="5" a="1"/>
  <c r="P214" i="5"/>
  <c r="Q214" i="5" a="1"/>
  <c r="Q214" i="5"/>
  <c r="R214" i="5" a="1"/>
  <c r="R214" i="5"/>
  <c r="S214" i="5" a="1"/>
  <c r="S214" i="5"/>
  <c r="T214" i="5" a="1"/>
  <c r="T214" i="5"/>
  <c r="U214" i="5" a="1"/>
  <c r="U214" i="5"/>
  <c r="V214" i="5" a="1"/>
  <c r="V214" i="5"/>
  <c r="W214" i="5" a="1"/>
  <c r="W214" i="5"/>
  <c r="X214" i="5" a="1"/>
  <c r="X214" i="5"/>
  <c r="Y214" i="5" a="1"/>
  <c r="Y214" i="5"/>
  <c r="Z214" i="5" a="1"/>
  <c r="Z214" i="5"/>
  <c r="AA214" i="5" a="1"/>
  <c r="AA214" i="5"/>
  <c r="D215" i="5"/>
  <c r="E215" i="5"/>
  <c r="F215" i="5"/>
  <c r="G215" i="5"/>
  <c r="H215" i="5"/>
  <c r="I215" i="5"/>
  <c r="J215" i="5"/>
  <c r="K215" i="5"/>
  <c r="L215" i="5"/>
  <c r="M215" i="5"/>
  <c r="N215" i="5"/>
  <c r="O215" i="5"/>
  <c r="P215" i="5"/>
  <c r="Q215" i="5"/>
  <c r="R215" i="5"/>
  <c r="S215" i="5"/>
  <c r="T215" i="5"/>
  <c r="U215" i="5"/>
  <c r="V215" i="5"/>
  <c r="W215" i="5"/>
  <c r="X215" i="5"/>
  <c r="Y215" i="5"/>
  <c r="Z215" i="5"/>
  <c r="AA215" i="5"/>
  <c r="AB215" i="5"/>
  <c r="AC215" i="5"/>
  <c r="D217" i="5" a="1"/>
  <c r="D217" i="5"/>
  <c r="E217" i="5" a="1"/>
  <c r="E217" i="5"/>
  <c r="F217" i="5" a="1"/>
  <c r="F217" i="5"/>
  <c r="G217" i="5" a="1"/>
  <c r="G217" i="5"/>
  <c r="H217" i="5" a="1"/>
  <c r="H217" i="5"/>
  <c r="I217" i="5" a="1"/>
  <c r="I217" i="5"/>
  <c r="J217" i="5" a="1"/>
  <c r="J217" i="5"/>
  <c r="K217" i="5" a="1"/>
  <c r="K217" i="5"/>
  <c r="L217" i="5" a="1"/>
  <c r="L217" i="5"/>
  <c r="M217" i="5" a="1"/>
  <c r="M217" i="5"/>
  <c r="N217" i="5" a="1"/>
  <c r="N217" i="5"/>
  <c r="O217" i="5" a="1"/>
  <c r="O217" i="5"/>
  <c r="P217" i="5" a="1"/>
  <c r="P217" i="5"/>
  <c r="Q217" i="5" a="1"/>
  <c r="Q217" i="5"/>
  <c r="R217" i="5" a="1"/>
  <c r="R217" i="5"/>
  <c r="S217" i="5" a="1"/>
  <c r="S217" i="5"/>
  <c r="T217" i="5" a="1"/>
  <c r="T217" i="5"/>
  <c r="U217" i="5" a="1"/>
  <c r="U217" i="5"/>
  <c r="V217" i="5" a="1"/>
  <c r="V217" i="5"/>
  <c r="W217" i="5" a="1"/>
  <c r="W217" i="5"/>
  <c r="X217" i="5" a="1"/>
  <c r="X217" i="5"/>
  <c r="Y217" i="5" a="1"/>
  <c r="Y217" i="5"/>
  <c r="Z217" i="5" a="1"/>
  <c r="Z217" i="5"/>
  <c r="AA217" i="5" a="1"/>
  <c r="AA217" i="5"/>
  <c r="AB217" i="5" a="1"/>
  <c r="AB217" i="5"/>
  <c r="AC217" i="5" a="1"/>
  <c r="AC217" i="5"/>
  <c r="D218" i="5" a="1"/>
  <c r="D218" i="5"/>
  <c r="E218" i="5" a="1"/>
  <c r="E218" i="5"/>
  <c r="F218" i="5" a="1"/>
  <c r="F218" i="5"/>
  <c r="G218" i="5" a="1"/>
  <c r="G218" i="5"/>
  <c r="H218" i="5" a="1"/>
  <c r="H218" i="5"/>
  <c r="I218" i="5" a="1"/>
  <c r="I218" i="5"/>
  <c r="J218" i="5" a="1"/>
  <c r="J218" i="5"/>
  <c r="K218" i="5" a="1"/>
  <c r="K218" i="5"/>
  <c r="L218" i="5" a="1"/>
  <c r="L218" i="5"/>
  <c r="M218" i="5" a="1"/>
  <c r="M218" i="5"/>
  <c r="N218" i="5" a="1"/>
  <c r="N218" i="5"/>
  <c r="O218" i="5" a="1"/>
  <c r="O218" i="5"/>
  <c r="P218" i="5" a="1"/>
  <c r="P218" i="5"/>
  <c r="Q218" i="5" a="1"/>
  <c r="Q218" i="5"/>
  <c r="R218" i="5" a="1"/>
  <c r="R218" i="5"/>
  <c r="S218" i="5" a="1"/>
  <c r="S218" i="5"/>
  <c r="T218" i="5" a="1"/>
  <c r="T218" i="5"/>
  <c r="U218" i="5" a="1"/>
  <c r="U218" i="5"/>
  <c r="V218" i="5" a="1"/>
  <c r="V218" i="5"/>
  <c r="W218" i="5" a="1"/>
  <c r="W218" i="5"/>
  <c r="X218" i="5" a="1"/>
  <c r="X218" i="5"/>
  <c r="Y218" i="5" a="1"/>
  <c r="Y218" i="5"/>
  <c r="Z218" i="5" a="1"/>
  <c r="Z218" i="5"/>
  <c r="AA218" i="5" a="1"/>
  <c r="AA218" i="5"/>
  <c r="AB218" i="5" a="1"/>
  <c r="AB218" i="5"/>
  <c r="AC218" i="5" a="1"/>
  <c r="AC218" i="5"/>
  <c r="D219" i="5" a="1"/>
  <c r="D219" i="5"/>
  <c r="E219" i="5" a="1"/>
  <c r="E219" i="5"/>
  <c r="F219" i="5" a="1"/>
  <c r="F219" i="5"/>
  <c r="G219" i="5" a="1"/>
  <c r="G219" i="5"/>
  <c r="H219" i="5" a="1"/>
  <c r="H219" i="5"/>
  <c r="I219" i="5" a="1"/>
  <c r="I219" i="5"/>
  <c r="J219" i="5" a="1"/>
  <c r="J219" i="5"/>
  <c r="K219" i="5" a="1"/>
  <c r="K219" i="5"/>
  <c r="L219" i="5" a="1"/>
  <c r="L219" i="5"/>
  <c r="M219" i="5" a="1"/>
  <c r="M219" i="5"/>
  <c r="N219" i="5" a="1"/>
  <c r="N219" i="5"/>
  <c r="O219" i="5" a="1"/>
  <c r="O219" i="5"/>
  <c r="P219" i="5" a="1"/>
  <c r="P219" i="5"/>
  <c r="Q219" i="5" a="1"/>
  <c r="Q219" i="5"/>
  <c r="R219" i="5" a="1"/>
  <c r="R219" i="5"/>
  <c r="S219" i="5" a="1"/>
  <c r="S219" i="5"/>
  <c r="T219" i="5" a="1"/>
  <c r="T219" i="5"/>
  <c r="U219" i="5" a="1"/>
  <c r="U219" i="5"/>
  <c r="V219" i="5" a="1"/>
  <c r="V219" i="5"/>
  <c r="W219" i="5" a="1"/>
  <c r="W219" i="5"/>
  <c r="X219" i="5" a="1"/>
  <c r="X219" i="5"/>
  <c r="Y219" i="5" a="1"/>
  <c r="Y219" i="5"/>
  <c r="Z219" i="5" a="1"/>
  <c r="Z219" i="5"/>
  <c r="AA219" i="5" a="1"/>
  <c r="AA219" i="5"/>
  <c r="D220" i="5"/>
  <c r="E220" i="5"/>
  <c r="F220" i="5"/>
  <c r="G220" i="5"/>
  <c r="H220" i="5"/>
  <c r="I220" i="5"/>
  <c r="J220" i="5"/>
  <c r="K220" i="5"/>
  <c r="L220" i="5"/>
  <c r="M220" i="5"/>
  <c r="N220" i="5"/>
  <c r="O220" i="5"/>
  <c r="P220" i="5"/>
  <c r="Q220" i="5"/>
  <c r="R220" i="5"/>
  <c r="S220" i="5"/>
  <c r="T220" i="5"/>
  <c r="U220" i="5"/>
  <c r="V220" i="5"/>
  <c r="W220" i="5"/>
  <c r="X220" i="5"/>
  <c r="Y220" i="5"/>
  <c r="Z220" i="5"/>
  <c r="AA220" i="5"/>
  <c r="AB220" i="5"/>
  <c r="AC220" i="5"/>
  <c r="D222" i="5" a="1"/>
  <c r="D222" i="5"/>
  <c r="E222" i="5" a="1"/>
  <c r="E222" i="5"/>
  <c r="F222" i="5" a="1"/>
  <c r="F222" i="5"/>
  <c r="G222" i="5" a="1"/>
  <c r="G222" i="5"/>
  <c r="H222" i="5" a="1"/>
  <c r="H222" i="5"/>
  <c r="I222" i="5" a="1"/>
  <c r="I222" i="5"/>
  <c r="J222" i="5" a="1"/>
  <c r="J222" i="5"/>
  <c r="K222" i="5" a="1"/>
  <c r="K222" i="5"/>
  <c r="L222" i="5" a="1"/>
  <c r="L222" i="5"/>
  <c r="M222" i="5" a="1"/>
  <c r="M222" i="5"/>
  <c r="N222" i="5" a="1"/>
  <c r="N222" i="5"/>
  <c r="O222" i="5" a="1"/>
  <c r="O222" i="5"/>
  <c r="P222" i="5" a="1"/>
  <c r="P222" i="5"/>
  <c r="Q222" i="5" a="1"/>
  <c r="Q222" i="5"/>
  <c r="R222" i="5" a="1"/>
  <c r="R222" i="5"/>
  <c r="S222" i="5" a="1"/>
  <c r="S222" i="5"/>
  <c r="T222" i="5" a="1"/>
  <c r="T222" i="5"/>
  <c r="U222" i="5" a="1"/>
  <c r="U222" i="5"/>
  <c r="V222" i="5" a="1"/>
  <c r="V222" i="5"/>
  <c r="W222" i="5" a="1"/>
  <c r="W222" i="5"/>
  <c r="X222" i="5" a="1"/>
  <c r="X222" i="5"/>
  <c r="Y222" i="5" a="1"/>
  <c r="Y222" i="5"/>
  <c r="Z222" i="5" a="1"/>
  <c r="Z222" i="5"/>
  <c r="AA222" i="5" a="1"/>
  <c r="AA222" i="5"/>
  <c r="AB222" i="5" a="1"/>
  <c r="AB222" i="5"/>
  <c r="AC222" i="5" a="1"/>
  <c r="AC222" i="5"/>
  <c r="D223" i="5" a="1"/>
  <c r="D223" i="5"/>
  <c r="E223" i="5" a="1"/>
  <c r="E223" i="5"/>
  <c r="F223" i="5" a="1"/>
  <c r="F223" i="5"/>
  <c r="G223" i="5" a="1"/>
  <c r="G223" i="5"/>
  <c r="H223" i="5" a="1"/>
  <c r="H223" i="5"/>
  <c r="I223" i="5" a="1"/>
  <c r="I223" i="5"/>
  <c r="J223" i="5" a="1"/>
  <c r="J223" i="5"/>
  <c r="K223" i="5" a="1"/>
  <c r="K223" i="5"/>
  <c r="L223" i="5" a="1"/>
  <c r="L223" i="5"/>
  <c r="M223" i="5" a="1"/>
  <c r="M223" i="5"/>
  <c r="N223" i="5" a="1"/>
  <c r="N223" i="5"/>
  <c r="O223" i="5" a="1"/>
  <c r="O223" i="5"/>
  <c r="P223" i="5" a="1"/>
  <c r="P223" i="5"/>
  <c r="Q223" i="5" a="1"/>
  <c r="Q223" i="5"/>
  <c r="R223" i="5" a="1"/>
  <c r="R223" i="5"/>
  <c r="S223" i="5" a="1"/>
  <c r="S223" i="5"/>
  <c r="T223" i="5" a="1"/>
  <c r="T223" i="5"/>
  <c r="U223" i="5" a="1"/>
  <c r="U223" i="5"/>
  <c r="V223" i="5" a="1"/>
  <c r="V223" i="5"/>
  <c r="W223" i="5" a="1"/>
  <c r="W223" i="5"/>
  <c r="X223" i="5" a="1"/>
  <c r="X223" i="5"/>
  <c r="Y223" i="5" a="1"/>
  <c r="Y223" i="5"/>
  <c r="Z223" i="5" a="1"/>
  <c r="Z223" i="5"/>
  <c r="AA223" i="5" a="1"/>
  <c r="AA223" i="5"/>
  <c r="AB223" i="5" a="1"/>
  <c r="AB223" i="5"/>
  <c r="AC223" i="5" a="1"/>
  <c r="AC223" i="5"/>
  <c r="D224" i="5" a="1"/>
  <c r="D224" i="5"/>
  <c r="E224" i="5" a="1"/>
  <c r="E224" i="5"/>
  <c r="F224" i="5" a="1"/>
  <c r="F224" i="5"/>
  <c r="G224" i="5" a="1"/>
  <c r="G224" i="5"/>
  <c r="H224" i="5" a="1"/>
  <c r="H224" i="5"/>
  <c r="I224" i="5" a="1"/>
  <c r="I224" i="5"/>
  <c r="J224" i="5" a="1"/>
  <c r="J224" i="5"/>
  <c r="K224" i="5" a="1"/>
  <c r="K224" i="5"/>
  <c r="L224" i="5" a="1"/>
  <c r="L224" i="5"/>
  <c r="M224" i="5" a="1"/>
  <c r="M224" i="5"/>
  <c r="N224" i="5" a="1"/>
  <c r="N224" i="5"/>
  <c r="O224" i="5" a="1"/>
  <c r="O224" i="5"/>
  <c r="P224" i="5" a="1"/>
  <c r="P224" i="5"/>
  <c r="Q224" i="5" a="1"/>
  <c r="Q224" i="5"/>
  <c r="R224" i="5" a="1"/>
  <c r="R224" i="5"/>
  <c r="S224" i="5" a="1"/>
  <c r="S224" i="5"/>
  <c r="T224" i="5" a="1"/>
  <c r="T224" i="5"/>
  <c r="U224" i="5" a="1"/>
  <c r="U224" i="5"/>
  <c r="V224" i="5" a="1"/>
  <c r="V224" i="5"/>
  <c r="W224" i="5" a="1"/>
  <c r="W224" i="5"/>
  <c r="X224" i="5" a="1"/>
  <c r="X224" i="5"/>
  <c r="Y224" i="5" a="1"/>
  <c r="Y224" i="5"/>
  <c r="Z224" i="5" a="1"/>
  <c r="Z224" i="5"/>
  <c r="AA224" i="5" a="1"/>
  <c r="AA224" i="5"/>
  <c r="D225" i="5"/>
  <c r="E225" i="5"/>
  <c r="F225" i="5"/>
  <c r="G225" i="5"/>
  <c r="H225" i="5"/>
  <c r="I225" i="5"/>
  <c r="J225" i="5"/>
  <c r="K225" i="5"/>
  <c r="L225" i="5"/>
  <c r="M225" i="5"/>
  <c r="N225" i="5"/>
  <c r="O225" i="5"/>
  <c r="P225" i="5"/>
  <c r="Q225" i="5"/>
  <c r="R225" i="5"/>
  <c r="S225" i="5"/>
  <c r="T225" i="5"/>
  <c r="U225" i="5"/>
  <c r="V225" i="5"/>
  <c r="W225" i="5"/>
  <c r="X225" i="5"/>
  <c r="Y225" i="5"/>
  <c r="Z225" i="5"/>
  <c r="AA225" i="5"/>
  <c r="AB225" i="5"/>
  <c r="AC225" i="5"/>
  <c r="D227" i="5" a="1"/>
  <c r="D227" i="5"/>
  <c r="E227" i="5" a="1"/>
  <c r="E227" i="5"/>
  <c r="F227" i="5" a="1"/>
  <c r="F227" i="5"/>
  <c r="G227" i="5" a="1"/>
  <c r="G227" i="5"/>
  <c r="H227" i="5" a="1"/>
  <c r="H227" i="5"/>
  <c r="I227" i="5" a="1"/>
  <c r="I227" i="5"/>
  <c r="J227" i="5" a="1"/>
  <c r="J227" i="5"/>
  <c r="K227" i="5" a="1"/>
  <c r="K227" i="5"/>
  <c r="L227" i="5" a="1"/>
  <c r="L227" i="5"/>
  <c r="M227" i="5" a="1"/>
  <c r="M227" i="5"/>
  <c r="N227" i="5" a="1"/>
  <c r="N227" i="5"/>
  <c r="O227" i="5" a="1"/>
  <c r="O227" i="5"/>
  <c r="P227" i="5" a="1"/>
  <c r="P227" i="5"/>
  <c r="Q227" i="5" a="1"/>
  <c r="Q227" i="5"/>
  <c r="R227" i="5" a="1"/>
  <c r="R227" i="5"/>
  <c r="S227" i="5" a="1"/>
  <c r="S227" i="5"/>
  <c r="T227" i="5" a="1"/>
  <c r="T227" i="5"/>
  <c r="U227" i="5" a="1"/>
  <c r="U227" i="5"/>
  <c r="V227" i="5" a="1"/>
  <c r="V227" i="5"/>
  <c r="W227" i="5" a="1"/>
  <c r="W227" i="5"/>
  <c r="X227" i="5" a="1"/>
  <c r="X227" i="5"/>
  <c r="Y227" i="5" a="1"/>
  <c r="Y227" i="5"/>
  <c r="Z227" i="5" a="1"/>
  <c r="Z227" i="5"/>
  <c r="AA227" i="5" a="1"/>
  <c r="AA227" i="5"/>
  <c r="AB227" i="5" a="1"/>
  <c r="AB227" i="5"/>
  <c r="AC227" i="5" a="1"/>
  <c r="AC227" i="5"/>
  <c r="D228" i="5" a="1"/>
  <c r="D228" i="5"/>
  <c r="E228" i="5" a="1"/>
  <c r="E228" i="5"/>
  <c r="F228" i="5" a="1"/>
  <c r="F228" i="5"/>
  <c r="G228" i="5" a="1"/>
  <c r="G228" i="5"/>
  <c r="H228" i="5" a="1"/>
  <c r="H228" i="5"/>
  <c r="I228" i="5" a="1"/>
  <c r="I228" i="5"/>
  <c r="J228" i="5" a="1"/>
  <c r="J228" i="5"/>
  <c r="K228" i="5" a="1"/>
  <c r="K228" i="5"/>
  <c r="L228" i="5" a="1"/>
  <c r="L228" i="5"/>
  <c r="M228" i="5" a="1"/>
  <c r="M228" i="5"/>
  <c r="N228" i="5" a="1"/>
  <c r="N228" i="5"/>
  <c r="O228" i="5" a="1"/>
  <c r="O228" i="5"/>
  <c r="P228" i="5" a="1"/>
  <c r="P228" i="5"/>
  <c r="Q228" i="5" a="1"/>
  <c r="Q228" i="5"/>
  <c r="R228" i="5" a="1"/>
  <c r="R228" i="5"/>
  <c r="S228" i="5" a="1"/>
  <c r="S228" i="5"/>
  <c r="T228" i="5" a="1"/>
  <c r="T228" i="5"/>
  <c r="U228" i="5" a="1"/>
  <c r="U228" i="5"/>
  <c r="V228" i="5" a="1"/>
  <c r="V228" i="5"/>
  <c r="W228" i="5" a="1"/>
  <c r="W228" i="5"/>
  <c r="X228" i="5" a="1"/>
  <c r="X228" i="5"/>
  <c r="Y228" i="5" a="1"/>
  <c r="Y228" i="5"/>
  <c r="Z228" i="5" a="1"/>
  <c r="Z228" i="5"/>
  <c r="AA228" i="5" a="1"/>
  <c r="AA228" i="5"/>
  <c r="AB228" i="5" a="1"/>
  <c r="AB228" i="5"/>
  <c r="AC228" i="5" a="1"/>
  <c r="AC228" i="5"/>
  <c r="D229" i="5" a="1"/>
  <c r="D229" i="5"/>
  <c r="E229" i="5" a="1"/>
  <c r="E229" i="5"/>
  <c r="F229" i="5" a="1"/>
  <c r="F229" i="5"/>
  <c r="G229" i="5" a="1"/>
  <c r="G229" i="5"/>
  <c r="H229" i="5" a="1"/>
  <c r="H229" i="5"/>
  <c r="I229" i="5" a="1"/>
  <c r="I229" i="5"/>
  <c r="J229" i="5" a="1"/>
  <c r="J229" i="5"/>
  <c r="K229" i="5" a="1"/>
  <c r="K229" i="5"/>
  <c r="L229" i="5" a="1"/>
  <c r="L229" i="5"/>
  <c r="M229" i="5" a="1"/>
  <c r="M229" i="5"/>
  <c r="N229" i="5" a="1"/>
  <c r="N229" i="5"/>
  <c r="O229" i="5" a="1"/>
  <c r="O229" i="5"/>
  <c r="P229" i="5" a="1"/>
  <c r="P229" i="5"/>
  <c r="Q229" i="5" a="1"/>
  <c r="Q229" i="5"/>
  <c r="R229" i="5" a="1"/>
  <c r="R229" i="5"/>
  <c r="S229" i="5" a="1"/>
  <c r="S229" i="5"/>
  <c r="T229" i="5" a="1"/>
  <c r="T229" i="5"/>
  <c r="U229" i="5" a="1"/>
  <c r="U229" i="5"/>
  <c r="V229" i="5" a="1"/>
  <c r="V229" i="5"/>
  <c r="W229" i="5" a="1"/>
  <c r="W229" i="5"/>
  <c r="X229" i="5" a="1"/>
  <c r="X229" i="5"/>
  <c r="Y229" i="5" a="1"/>
  <c r="Y229" i="5"/>
  <c r="Z229" i="5" a="1"/>
  <c r="Z229" i="5"/>
  <c r="AA229" i="5" a="1"/>
  <c r="AA229" i="5"/>
  <c r="D230" i="5"/>
  <c r="E230" i="5"/>
  <c r="F230" i="5"/>
  <c r="G230" i="5"/>
  <c r="H230" i="5"/>
  <c r="I230" i="5"/>
  <c r="J230" i="5"/>
  <c r="K230" i="5"/>
  <c r="L230" i="5"/>
  <c r="M230" i="5"/>
  <c r="N230" i="5"/>
  <c r="O230" i="5"/>
  <c r="P230" i="5"/>
  <c r="Q230" i="5"/>
  <c r="R230" i="5"/>
  <c r="S230" i="5"/>
  <c r="T230" i="5"/>
  <c r="U230" i="5"/>
  <c r="V230" i="5"/>
  <c r="W230" i="5"/>
  <c r="X230" i="5"/>
  <c r="Y230" i="5"/>
  <c r="Z230" i="5"/>
  <c r="AA230" i="5"/>
  <c r="AB230" i="5"/>
  <c r="AC230" i="5"/>
  <c r="D231" i="5"/>
  <c r="E231" i="5"/>
  <c r="F231" i="5"/>
  <c r="G231" i="5"/>
  <c r="H231" i="5"/>
  <c r="I231" i="5"/>
  <c r="J231" i="5"/>
  <c r="K231" i="5"/>
  <c r="L231" i="5"/>
  <c r="M231" i="5"/>
  <c r="N231" i="5"/>
  <c r="O231" i="5"/>
  <c r="P231" i="5"/>
  <c r="Q231" i="5"/>
  <c r="R231" i="5"/>
  <c r="S231" i="5"/>
  <c r="T231" i="5"/>
  <c r="U231" i="5"/>
  <c r="V231" i="5"/>
  <c r="W231" i="5"/>
  <c r="X231" i="5"/>
  <c r="Y231" i="5"/>
  <c r="Z231" i="5"/>
  <c r="AA231" i="5"/>
  <c r="AB231" i="5"/>
  <c r="AC231" i="5"/>
  <c r="D232" i="5"/>
  <c r="E232" i="5"/>
  <c r="F232" i="5"/>
  <c r="G232" i="5"/>
  <c r="H232" i="5"/>
  <c r="I232" i="5"/>
  <c r="J232" i="5"/>
  <c r="K232" i="5"/>
  <c r="L232" i="5"/>
  <c r="M232" i="5"/>
  <c r="N232" i="5"/>
  <c r="O232" i="5"/>
  <c r="P232" i="5"/>
  <c r="Q232" i="5"/>
  <c r="R232" i="5"/>
  <c r="S232" i="5"/>
  <c r="T232" i="5"/>
  <c r="U232" i="5"/>
  <c r="V232" i="5"/>
  <c r="W232" i="5"/>
  <c r="X232" i="5"/>
  <c r="Y232" i="5"/>
  <c r="Z232" i="5"/>
  <c r="AA232" i="5"/>
  <c r="AB232" i="5"/>
  <c r="AC232" i="5"/>
  <c r="F235" i="5"/>
  <c r="G235" i="5"/>
  <c r="H235" i="5"/>
  <c r="I235" i="5"/>
  <c r="J235" i="5"/>
  <c r="K235" i="5"/>
  <c r="L235" i="5"/>
  <c r="M235" i="5"/>
  <c r="N235" i="5"/>
  <c r="O235" i="5"/>
  <c r="P235" i="5"/>
  <c r="Q235" i="5"/>
  <c r="R235" i="5"/>
  <c r="S235" i="5"/>
  <c r="T235" i="5"/>
  <c r="U235" i="5"/>
  <c r="V235" i="5"/>
  <c r="W235" i="5"/>
  <c r="X235" i="5"/>
  <c r="Y235" i="5"/>
  <c r="Z235" i="5"/>
  <c r="AA235" i="5"/>
  <c r="AB235" i="5"/>
  <c r="AC235" i="5"/>
  <c r="E11" i="6" a="1"/>
  <c r="E11" i="6"/>
  <c r="F11" i="6" a="1"/>
  <c r="F11" i="6"/>
  <c r="G11" i="6" a="1"/>
  <c r="G11" i="6"/>
  <c r="H11" i="6" a="1"/>
  <c r="H11" i="6"/>
  <c r="I11" i="6" a="1"/>
  <c r="I11" i="6"/>
  <c r="J11" i="6" a="1"/>
  <c r="J11" i="6"/>
  <c r="K11" i="6" a="1"/>
  <c r="K11" i="6"/>
  <c r="L11" i="6" a="1"/>
  <c r="L11" i="6"/>
  <c r="M11" i="6" a="1"/>
  <c r="M11" i="6"/>
  <c r="N11" i="6" a="1"/>
  <c r="N11" i="6"/>
  <c r="O11" i="6" a="1"/>
  <c r="O11" i="6"/>
  <c r="P11" i="6" a="1"/>
  <c r="P11" i="6"/>
  <c r="Q11" i="6" a="1"/>
  <c r="Q11" i="6"/>
  <c r="R11" i="6" a="1"/>
  <c r="R11" i="6"/>
  <c r="S11" i="6" a="1"/>
  <c r="S11" i="6"/>
  <c r="T11" i="6" a="1"/>
  <c r="T11" i="6"/>
  <c r="U11" i="6" a="1"/>
  <c r="U11" i="6"/>
  <c r="V11" i="6" a="1"/>
  <c r="V11" i="6"/>
  <c r="W11" i="6" a="1"/>
  <c r="W11" i="6"/>
  <c r="X11" i="6" a="1"/>
  <c r="X11" i="6"/>
  <c r="Y11" i="6" a="1"/>
  <c r="Y11" i="6"/>
  <c r="Z11" i="6" a="1"/>
  <c r="Z11" i="6"/>
  <c r="AA11" i="6" a="1"/>
  <c r="AA11" i="6"/>
  <c r="AB11" i="6" a="1"/>
  <c r="AB11" i="6"/>
  <c r="AC11" i="6" a="1"/>
  <c r="AC11" i="6"/>
  <c r="E13" i="6" a="1"/>
  <c r="E13" i="6"/>
  <c r="F13" i="6" a="1"/>
  <c r="F13" i="6"/>
  <c r="G13" i="6" a="1"/>
  <c r="G13" i="6"/>
  <c r="H13" i="6" a="1"/>
  <c r="H13" i="6"/>
  <c r="I13" i="6" a="1"/>
  <c r="I13" i="6"/>
  <c r="J13" i="6" a="1"/>
  <c r="J13" i="6"/>
  <c r="K13" i="6" a="1"/>
  <c r="K13" i="6"/>
  <c r="L13" i="6" a="1"/>
  <c r="L13" i="6"/>
  <c r="M13" i="6" a="1"/>
  <c r="M13" i="6"/>
  <c r="N13" i="6" a="1"/>
  <c r="N13" i="6"/>
  <c r="O13" i="6" a="1"/>
  <c r="O13" i="6"/>
  <c r="P13" i="6" a="1"/>
  <c r="P13" i="6"/>
  <c r="Q13" i="6" a="1"/>
  <c r="Q13" i="6"/>
  <c r="R13" i="6" a="1"/>
  <c r="R13" i="6"/>
  <c r="S13" i="6" a="1"/>
  <c r="S13" i="6"/>
  <c r="T13" i="6" a="1"/>
  <c r="T13" i="6"/>
  <c r="U13" i="6" a="1"/>
  <c r="U13" i="6"/>
  <c r="V13" i="6" a="1"/>
  <c r="V13" i="6"/>
  <c r="W13" i="6" a="1"/>
  <c r="W13" i="6"/>
  <c r="X13" i="6" a="1"/>
  <c r="X13" i="6"/>
  <c r="Y13" i="6" a="1"/>
  <c r="Y13" i="6"/>
  <c r="Z13" i="6" a="1"/>
  <c r="Z13" i="6"/>
  <c r="AA13" i="6" a="1"/>
  <c r="AA13" i="6"/>
  <c r="AB13" i="6" a="1"/>
  <c r="AB13" i="6"/>
  <c r="AC13" i="6" a="1"/>
  <c r="AC13" i="6"/>
  <c r="D18" i="6" a="1"/>
  <c r="D18" i="6"/>
  <c r="E18" i="6" a="1"/>
  <c r="E18" i="6"/>
  <c r="F18" i="6" a="1"/>
  <c r="F18" i="6"/>
  <c r="G18" i="6" a="1"/>
  <c r="G18" i="6"/>
  <c r="H18" i="6" a="1"/>
  <c r="H18" i="6"/>
  <c r="I18" i="6" a="1"/>
  <c r="I18" i="6"/>
  <c r="J18" i="6" a="1"/>
  <c r="J18" i="6"/>
  <c r="K18" i="6" a="1"/>
  <c r="K18" i="6"/>
  <c r="L18" i="6" a="1"/>
  <c r="L18" i="6"/>
  <c r="M18" i="6" a="1"/>
  <c r="M18" i="6"/>
  <c r="N18" i="6" a="1"/>
  <c r="N18" i="6"/>
  <c r="O18" i="6" a="1"/>
  <c r="O18" i="6"/>
  <c r="P18" i="6" a="1"/>
  <c r="P18" i="6"/>
  <c r="Q18" i="6" a="1"/>
  <c r="Q18" i="6"/>
  <c r="R18" i="6" a="1"/>
  <c r="R18" i="6"/>
  <c r="S18" i="6" a="1"/>
  <c r="S18" i="6"/>
  <c r="T18" i="6" a="1"/>
  <c r="T18" i="6"/>
  <c r="U18" i="6" a="1"/>
  <c r="U18" i="6"/>
  <c r="V18" i="6" a="1"/>
  <c r="V18" i="6"/>
  <c r="W18" i="6" a="1"/>
  <c r="W18" i="6"/>
  <c r="X18" i="6" a="1"/>
  <c r="X18" i="6"/>
  <c r="Y18" i="6" a="1"/>
  <c r="Y18" i="6"/>
  <c r="Z18" i="6" a="1"/>
  <c r="Z18" i="6"/>
  <c r="AA18" i="6" a="1"/>
  <c r="AA18" i="6"/>
  <c r="AB18" i="6" a="1"/>
  <c r="AB18" i="6"/>
  <c r="AC18" i="6" a="1"/>
  <c r="AC18" i="6"/>
  <c r="D20" i="6" a="1"/>
  <c r="D20" i="6"/>
  <c r="E20" i="6" a="1"/>
  <c r="E20" i="6"/>
  <c r="F20" i="6" a="1"/>
  <c r="F20" i="6"/>
  <c r="G20" i="6" a="1"/>
  <c r="G20" i="6"/>
  <c r="H20" i="6" a="1"/>
  <c r="H20" i="6"/>
  <c r="I20" i="6" a="1"/>
  <c r="I20" i="6"/>
  <c r="J20" i="6" a="1"/>
  <c r="J20" i="6"/>
  <c r="K20" i="6" a="1"/>
  <c r="K20" i="6"/>
  <c r="L20" i="6" a="1"/>
  <c r="L20" i="6"/>
  <c r="M20" i="6" a="1"/>
  <c r="M20" i="6"/>
  <c r="N20" i="6" a="1"/>
  <c r="N20" i="6"/>
  <c r="O20" i="6" a="1"/>
  <c r="O20" i="6"/>
  <c r="P20" i="6" a="1"/>
  <c r="P20" i="6"/>
  <c r="Q20" i="6" a="1"/>
  <c r="Q20" i="6"/>
  <c r="R20" i="6" a="1"/>
  <c r="R20" i="6"/>
  <c r="S20" i="6" a="1"/>
  <c r="S20" i="6"/>
  <c r="T20" i="6" a="1"/>
  <c r="T20" i="6"/>
  <c r="U20" i="6" a="1"/>
  <c r="U20" i="6"/>
  <c r="V20" i="6" a="1"/>
  <c r="V20" i="6"/>
  <c r="W20" i="6" a="1"/>
  <c r="W20" i="6"/>
  <c r="X20" i="6" a="1"/>
  <c r="X20" i="6"/>
  <c r="Y20" i="6" a="1"/>
  <c r="Y20" i="6"/>
  <c r="Z20" i="6" a="1"/>
  <c r="Z20" i="6"/>
  <c r="AA20" i="6" a="1"/>
  <c r="AA20" i="6"/>
  <c r="AB20" i="6" a="1"/>
  <c r="AB20" i="6"/>
  <c r="AC20" i="6" a="1"/>
  <c r="AC20" i="6"/>
  <c r="D28" i="6"/>
  <c r="E28" i="6"/>
  <c r="F28" i="6"/>
  <c r="G28" i="6"/>
  <c r="H28" i="6"/>
  <c r="I28" i="6"/>
  <c r="J28" i="6"/>
  <c r="K28" i="6"/>
  <c r="L28" i="6"/>
  <c r="M28" i="6"/>
  <c r="N28" i="6"/>
  <c r="O28" i="6"/>
  <c r="P28" i="6"/>
  <c r="Q28" i="6"/>
  <c r="R28" i="6"/>
  <c r="S28" i="6"/>
  <c r="T28" i="6"/>
  <c r="U28" i="6"/>
  <c r="V28" i="6"/>
  <c r="W28" i="6"/>
  <c r="X28" i="6"/>
  <c r="Y28" i="6"/>
  <c r="Z28" i="6"/>
  <c r="AA28" i="6"/>
  <c r="AB28" i="6"/>
  <c r="AC28" i="6"/>
  <c r="D30" i="6"/>
  <c r="E30" i="6"/>
  <c r="F30" i="6"/>
  <c r="G30" i="6"/>
  <c r="H30" i="6"/>
  <c r="I30" i="6"/>
  <c r="J30" i="6"/>
  <c r="K30" i="6"/>
  <c r="L30" i="6"/>
  <c r="M30" i="6"/>
  <c r="N30" i="6"/>
  <c r="O30" i="6"/>
  <c r="P30" i="6"/>
  <c r="Q30" i="6"/>
  <c r="R30" i="6"/>
  <c r="S30" i="6"/>
  <c r="T30" i="6"/>
  <c r="U30" i="6"/>
  <c r="V30" i="6"/>
  <c r="W30" i="6"/>
  <c r="X30" i="6"/>
  <c r="Y30" i="6"/>
  <c r="Z30" i="6"/>
  <c r="AA30" i="6"/>
  <c r="AB30" i="6"/>
  <c r="AC30" i="6"/>
  <c r="D35" i="6" a="1"/>
  <c r="D35" i="6"/>
  <c r="E35" i="6" a="1"/>
  <c r="E35" i="6"/>
  <c r="F35" i="6" a="1"/>
  <c r="F35" i="6"/>
  <c r="G35" i="6" a="1"/>
  <c r="G35" i="6"/>
  <c r="H35" i="6" a="1"/>
  <c r="H35" i="6"/>
  <c r="I35" i="6" a="1"/>
  <c r="I35" i="6"/>
  <c r="J35" i="6" a="1"/>
  <c r="J35" i="6"/>
  <c r="K35" i="6" a="1"/>
  <c r="K35" i="6"/>
  <c r="L35" i="6" a="1"/>
  <c r="L35" i="6"/>
  <c r="M35" i="6" a="1"/>
  <c r="M35" i="6"/>
  <c r="N35" i="6" a="1"/>
  <c r="N35" i="6"/>
  <c r="O35" i="6" a="1"/>
  <c r="O35" i="6"/>
  <c r="P35" i="6" a="1"/>
  <c r="P35" i="6"/>
  <c r="Q35" i="6" a="1"/>
  <c r="Q35" i="6"/>
  <c r="R35" i="6" a="1"/>
  <c r="R35" i="6"/>
  <c r="S35" i="6" a="1"/>
  <c r="S35" i="6"/>
  <c r="T35" i="6" a="1"/>
  <c r="T35" i="6"/>
  <c r="U35" i="6" a="1"/>
  <c r="U35" i="6"/>
  <c r="V35" i="6" a="1"/>
  <c r="V35" i="6"/>
  <c r="W35" i="6" a="1"/>
  <c r="W35" i="6"/>
  <c r="X35" i="6" a="1"/>
  <c r="X35" i="6"/>
  <c r="Y35" i="6" a="1"/>
  <c r="Y35" i="6"/>
  <c r="Z35" i="6" a="1"/>
  <c r="Z35" i="6"/>
  <c r="AA35" i="6" a="1"/>
  <c r="AA35" i="6"/>
  <c r="AB35" i="6" a="1"/>
  <c r="AB35" i="6"/>
  <c r="AC35" i="6" a="1"/>
  <c r="AC35" i="6"/>
  <c r="D38" i="6" a="1"/>
  <c r="D38" i="6"/>
  <c r="E38" i="6" a="1"/>
  <c r="E38" i="6"/>
  <c r="F38" i="6" a="1"/>
  <c r="F38" i="6"/>
  <c r="G38" i="6" a="1"/>
  <c r="G38" i="6"/>
  <c r="H38" i="6" a="1"/>
  <c r="H38" i="6"/>
  <c r="I38" i="6" a="1"/>
  <c r="I38" i="6"/>
  <c r="J38" i="6" a="1"/>
  <c r="J38" i="6"/>
  <c r="K38" i="6" a="1"/>
  <c r="K38" i="6"/>
  <c r="L38" i="6" a="1"/>
  <c r="L38" i="6"/>
  <c r="M38" i="6" a="1"/>
  <c r="M38" i="6"/>
  <c r="N38" i="6" a="1"/>
  <c r="N38" i="6"/>
  <c r="O38" i="6" a="1"/>
  <c r="O38" i="6"/>
  <c r="P38" i="6" a="1"/>
  <c r="P38" i="6"/>
  <c r="Q38" i="6" a="1"/>
  <c r="Q38" i="6"/>
  <c r="R38" i="6" a="1"/>
  <c r="R38" i="6"/>
  <c r="S38" i="6" a="1"/>
  <c r="S38" i="6"/>
  <c r="T38" i="6" a="1"/>
  <c r="T38" i="6"/>
  <c r="U38" i="6" a="1"/>
  <c r="U38" i="6"/>
  <c r="V38" i="6" a="1"/>
  <c r="V38" i="6"/>
  <c r="W38" i="6" a="1"/>
  <c r="W38" i="6"/>
  <c r="X38" i="6" a="1"/>
  <c r="X38" i="6"/>
  <c r="Y38" i="6" a="1"/>
  <c r="Y38" i="6"/>
  <c r="Z38" i="6" a="1"/>
  <c r="Z38" i="6"/>
  <c r="AA38" i="6" a="1"/>
  <c r="AA38" i="6"/>
  <c r="AB38" i="6" a="1"/>
  <c r="AB38" i="6"/>
  <c r="AC38" i="6" a="1"/>
  <c r="AC38" i="6"/>
  <c r="D48" i="6"/>
  <c r="E48" i="6"/>
  <c r="F48" i="6"/>
  <c r="G48" i="6"/>
  <c r="H48" i="6"/>
  <c r="I48" i="6"/>
  <c r="J48" i="6"/>
  <c r="K48" i="6"/>
  <c r="L48" i="6"/>
  <c r="M48" i="6"/>
  <c r="N48" i="6"/>
  <c r="O48" i="6"/>
  <c r="P48" i="6"/>
  <c r="Q48" i="6"/>
  <c r="R48" i="6"/>
  <c r="S48" i="6"/>
  <c r="T48" i="6"/>
  <c r="U48" i="6"/>
  <c r="V48" i="6"/>
  <c r="W48" i="6"/>
  <c r="X48" i="6"/>
  <c r="Y48" i="6"/>
  <c r="Z48" i="6"/>
  <c r="AA48" i="6"/>
  <c r="AB48" i="6"/>
  <c r="AC48" i="6"/>
  <c r="D50" i="6"/>
  <c r="E50" i="6"/>
  <c r="F50" i="6"/>
  <c r="G50" i="6"/>
  <c r="H50" i="6"/>
  <c r="I50" i="6"/>
  <c r="J50" i="6"/>
  <c r="K50" i="6"/>
  <c r="L50" i="6"/>
  <c r="M50" i="6"/>
  <c r="N50" i="6"/>
  <c r="O50" i="6"/>
  <c r="P50" i="6"/>
  <c r="Q50" i="6"/>
  <c r="R50" i="6"/>
  <c r="S50" i="6"/>
  <c r="T50" i="6"/>
  <c r="U50" i="6"/>
  <c r="V50" i="6"/>
  <c r="W50" i="6"/>
  <c r="X50" i="6"/>
  <c r="Y50" i="6"/>
  <c r="Z50" i="6"/>
  <c r="AA50" i="6"/>
  <c r="AB50" i="6"/>
  <c r="AC5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D61" authorId="0" shapeId="0" xr:uid="{0D4C4281-F211-2541-BF78-F996B2EFA478}">
      <text>
        <r>
          <rPr>
            <b/>
            <sz val="10"/>
            <color rgb="FF000000"/>
            <rFont val="Tahoma"/>
            <family val="2"/>
          </rPr>
          <t>Vlad Saigau:</t>
        </r>
        <r>
          <rPr>
            <sz val="10"/>
            <color rgb="FF000000"/>
            <rFont val="Tahoma"/>
            <family val="2"/>
          </rPr>
          <t xml:space="preserve">
Q4'25 historical anchor override per 2026-05-20 lock (pre-V3-trigger)</t>
        </r>
      </text>
    </comment>
    <comment ref="E61" authorId="0" shapeId="0" xr:uid="{8B50262A-6B85-794B-8640-64FAE4C744F3}">
      <text>
        <r>
          <rPr>
            <b/>
            <sz val="10"/>
            <color rgb="FF000000"/>
            <rFont val="Tahoma"/>
            <family val="2"/>
          </rPr>
          <t>Vlad Saigau:</t>
        </r>
        <r>
          <rPr>
            <sz val="10"/>
            <color rgb="FF000000"/>
            <rFont val="Tahoma"/>
            <family val="2"/>
          </rPr>
          <t xml:space="preserve">
Vlad-set 2026 carryover override per 2026-05-20 lock</t>
        </r>
      </text>
    </comment>
    <comment ref="D62" authorId="0" shapeId="0" xr:uid="{6DED92C7-EDF3-5C41-8F9E-24E8D1BBB246}">
      <text>
        <r>
          <rPr>
            <b/>
            <sz val="10"/>
            <color rgb="FF000000"/>
            <rFont val="Tahoma"/>
            <family val="2"/>
          </rPr>
          <t>Vlad Saigau:</t>
        </r>
        <r>
          <rPr>
            <sz val="10"/>
            <color rgb="FF000000"/>
            <rFont val="Tahoma"/>
            <family val="2"/>
          </rPr>
          <t xml:space="preserve">
2025 anchor: 28 SoY + 17 mfg - 39 EoY = 6 retired</t>
        </r>
      </text>
    </comment>
    <comment ref="E62" authorId="0" shapeId="0" xr:uid="{166DA20B-CF31-E646-9F83-18774D76C3A8}">
      <text>
        <r>
          <rPr>
            <b/>
            <sz val="10"/>
            <color rgb="FF000000"/>
            <rFont val="Tahoma"/>
            <family val="2"/>
          </rPr>
          <t>Vlad Saigau:</t>
        </r>
        <r>
          <rPr>
            <sz val="10"/>
            <color rgb="FF000000"/>
            <rFont val="Tahoma"/>
            <family val="2"/>
          </rPr>
          <t xml:space="preserve">
Sprint 2 simplification: constant 6/yr retirement</t>
        </r>
      </text>
    </comment>
    <comment ref="D64" authorId="0" shapeId="0" xr:uid="{6CCDAB93-E707-7842-B200-E077CEA8F4D7}">
      <text>
        <r>
          <rPr>
            <b/>
            <sz val="10"/>
            <color rgb="FF000000"/>
            <rFont val="Tahoma"/>
            <family val="2"/>
          </rPr>
          <t>Vlad Saigau:</t>
        </r>
        <r>
          <rPr>
            <sz val="10"/>
            <color rgb="FF000000"/>
            <rFont val="Tahoma"/>
            <family val="2"/>
          </rPr>
          <t xml:space="preserve">
Q4'25 historical anchor (matches §6.1 calibration target)</t>
        </r>
      </text>
    </comment>
    <comment ref="E64" authorId="0" shapeId="0" xr:uid="{FF67E1E6-8749-0644-BACF-9D1E5FBAD0F3}">
      <text>
        <r>
          <rPr>
            <b/>
            <sz val="10"/>
            <color rgb="FF000000"/>
            <rFont val="Tahoma"/>
            <family val="2"/>
          </rPr>
          <t>Vlad Saigau:</t>
        </r>
        <r>
          <rPr>
            <sz val="10"/>
            <color rgb="FF000000"/>
            <rFont val="Tahoma"/>
            <family val="2"/>
          </rPr>
          <t xml:space="preserve">
Vlad-set 2026 carryover override per 2026-05-20 lock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A11" authorId="0" shapeId="0" xr:uid="{E6996E3D-3646-D648-ABC6-6847398A110C}">
      <text>
        <r>
          <rPr>
            <b/>
            <sz val="10"/>
            <color rgb="FF000000"/>
            <rFont val="Tahoma"/>
            <family val="2"/>
          </rPr>
          <t>Vlad Saigau:</t>
        </r>
        <r>
          <rPr>
            <sz val="10"/>
            <color rgb="FF000000"/>
            <rFont val="Tahoma"/>
            <family val="2"/>
          </rPr>
          <t xml:space="preserve">
</t>
        </r>
        <r>
          <rPr>
            <sz val="10"/>
            <color rgb="FF000000"/>
            <rFont val="Tahoma"/>
            <family val="2"/>
          </rPr>
          <t>Bounded-CAGR per Rule 23. Reads Assumptions R230/R231/R232.</t>
        </r>
      </text>
    </comment>
    <comment ref="A12" authorId="0" shapeId="0" xr:uid="{74E73FF7-38EB-144F-9A38-F7C0AE346300}">
      <text>
        <r>
          <rPr>
            <b/>
            <sz val="10"/>
            <color rgb="FF000000"/>
            <rFont val="Tahoma"/>
            <family val="2"/>
          </rPr>
          <t>Vlad Saigau:</t>
        </r>
        <r>
          <rPr>
            <sz val="10"/>
            <color rgb="FF000000"/>
            <rFont val="Tahoma"/>
            <family val="2"/>
          </rPr>
          <t xml:space="preserve">
Reads Starlink Total Revenue by canonical label.</t>
        </r>
      </text>
    </comment>
    <comment ref="A13" authorId="0" shapeId="0" xr:uid="{8EEB14BA-174C-9E43-B1F1-CE15F485B50F}">
      <text>
        <r>
          <rPr>
            <b/>
            <sz val="10"/>
            <color rgb="FF000000"/>
            <rFont val="Tahoma"/>
            <family val="2"/>
          </rPr>
          <t>Vlad Saigau:</t>
        </r>
        <r>
          <rPr>
            <sz val="10"/>
            <color rgb="FF000000"/>
            <rFont val="Tahoma"/>
            <family val="2"/>
          </rPr>
          <t xml:space="preserve">
% × base. Target 2025 ≈ $830M.</t>
        </r>
      </text>
    </comment>
    <comment ref="A17" authorId="0" shapeId="0" xr:uid="{BB58BD4C-ACC8-A54B-B112-DC7D5049C48F}">
      <text>
        <r>
          <rPr>
            <b/>
            <sz val="10"/>
            <color rgb="FF000000"/>
            <rFont val="Tahoma"/>
            <family val="2"/>
          </rPr>
          <t>Vlad Saigau:</t>
        </r>
        <r>
          <rPr>
            <sz val="10"/>
            <color rgb="FF000000"/>
            <rFont val="Tahoma"/>
            <family val="2"/>
          </rPr>
          <t xml:space="preserve">
Bounded-CAGR. Reads R233/R234/R235.</t>
        </r>
      </text>
    </comment>
    <comment ref="A18" authorId="0" shapeId="0" xr:uid="{5BCF7EC4-485F-2E47-A1C7-2082385BA50A}">
      <text>
        <r>
          <rPr>
            <b/>
            <sz val="10"/>
            <color rgb="FF000000"/>
            <rFont val="Tahoma"/>
            <family val="2"/>
          </rPr>
          <t>Vlad Saigau:</t>
        </r>
        <r>
          <rPr>
            <sz val="10"/>
            <color rgb="FF000000"/>
            <rFont val="Tahoma"/>
            <family val="2"/>
          </rPr>
          <t xml:space="preserve">
External rev = R201 Total Revenue − internal transfer revenue. IFERROR fallback to R201 if internal label not found.</t>
        </r>
      </text>
    </comment>
    <comment ref="A19" authorId="0" shapeId="0" xr:uid="{43B0DF26-0227-8248-A2BD-717B7E78BD29}">
      <text>
        <r>
          <rPr>
            <b/>
            <sz val="10"/>
            <color rgb="FF000000"/>
            <rFont val="Tahoma"/>
            <family val="2"/>
          </rPr>
          <t>Vlad Saigau:</t>
        </r>
        <r>
          <rPr>
            <sz val="10"/>
            <color rgb="FF000000"/>
            <rFont val="Tahoma"/>
            <family val="2"/>
          </rPr>
          <t xml:space="preserve">
% × base. Target 2025 ≈ $1,073M.</t>
        </r>
      </text>
    </comment>
    <comment ref="A23" authorId="0" shapeId="0" xr:uid="{41217A9E-9237-434E-AE31-E9B1E68370FC}">
      <text>
        <r>
          <rPr>
            <b/>
            <sz val="10"/>
            <color rgb="FF000000"/>
            <rFont val="Tahoma"/>
            <family val="2"/>
          </rPr>
          <t>Vlad Saigau:</t>
        </r>
        <r>
          <rPr>
            <sz val="10"/>
            <color rgb="FF000000"/>
            <rFont val="Tahoma"/>
            <family val="2"/>
          </rPr>
          <t xml:space="preserve">
30% → 8% floor, -15%/yr. Reads R236/R237/R238.</t>
        </r>
      </text>
    </comment>
    <comment ref="A24" authorId="0" shapeId="0" xr:uid="{09841FA3-77DB-634F-87AD-AEB7A2D4A755}">
      <text>
        <r>
          <rPr>
            <b/>
            <sz val="10"/>
            <color rgb="FF000000"/>
            <rFont val="Tahoma"/>
            <family val="2"/>
          </rPr>
          <t>Vlad Saigau:</t>
        </r>
        <r>
          <rPr>
            <sz val="10"/>
            <color rgb="FF000000"/>
            <rFont val="Tahoma"/>
            <family val="2"/>
          </rPr>
          <t xml:space="preserve">
Reads ODC Total Revenue. = $0 pre-deployment.</t>
        </r>
      </text>
    </comment>
    <comment ref="A25" authorId="0" shapeId="0" xr:uid="{2A7C523F-53B4-3D4B-B516-9B205ABD2341}">
      <text>
        <r>
          <rPr>
            <b/>
            <sz val="10"/>
            <color rgb="FF000000"/>
            <rFont val="Tahoma"/>
            <family val="2"/>
          </rPr>
          <t>Vlad Saigau:</t>
        </r>
        <r>
          <rPr>
            <sz val="10"/>
            <color rgb="FF000000"/>
            <rFont val="Tahoma"/>
            <family val="2"/>
          </rPr>
          <t xml:space="preserve">
Reads R343 year-row. D=$200M, F=$500M, I=$350M, AC=$1M.</t>
        </r>
      </text>
    </comment>
    <comment ref="A26" authorId="0" shapeId="0" xr:uid="{DD8B6EC0-09E6-984C-A536-F6C8D4BAA87C}">
      <text>
        <r>
          <rPr>
            <b/>
            <sz val="10"/>
            <color rgb="FF000000"/>
            <rFont val="Tahoma"/>
            <family val="2"/>
          </rPr>
          <t>Vlad Saigau:</t>
        </r>
        <r>
          <rPr>
            <sz val="10"/>
            <color rgb="FF000000"/>
            <rFont val="Tahoma"/>
            <family val="2"/>
          </rPr>
          <t xml:space="preserve">
Pre-revenue R&amp;D switch per Architecture §12.1.</t>
        </r>
      </text>
    </comment>
    <comment ref="A29" authorId="0" shapeId="0" xr:uid="{EA795A71-59FE-A14B-B21C-F50DE842A94B}">
      <text>
        <r>
          <rPr>
            <b/>
            <sz val="10"/>
            <color rgb="FF000000"/>
            <rFont val="Tahoma"/>
            <family val="2"/>
          </rPr>
          <t>Vlad Saigau:</t>
        </r>
        <r>
          <rPr>
            <sz val="10"/>
            <color rgb="FF000000"/>
            <rFont val="Tahoma"/>
            <family val="2"/>
          </rPr>
          <t xml:space="preserve">
15% → 5% floor, -10%/yr. Reads R239/R240/R241.</t>
        </r>
      </text>
    </comment>
    <comment ref="A30" authorId="0" shapeId="0" xr:uid="{83B07AF6-10D8-074B-A0EE-79D214BFD1DD}">
      <text>
        <r>
          <rPr>
            <b/>
            <sz val="10"/>
            <color rgb="FF000000"/>
            <rFont val="Tahoma"/>
            <family val="2"/>
          </rPr>
          <t>Vlad Saigau:</t>
        </r>
        <r>
          <rPr>
            <sz val="10"/>
            <color rgb="FF000000"/>
            <rFont val="Tahoma"/>
            <family val="2"/>
          </rPr>
          <t xml:space="preserve">
Sprint 6 deferred → placeholder = 0. IFERROR guard.</t>
        </r>
      </text>
    </comment>
    <comment ref="A31" authorId="0" shapeId="0" xr:uid="{37AC4209-BDD9-FF4E-96A6-7FB614BED87E}">
      <text>
        <r>
          <rPr>
            <b/>
            <sz val="10"/>
            <color rgb="FF000000"/>
            <rFont val="Tahoma"/>
            <family val="2"/>
          </rPr>
          <t>Vlad Saigau:</t>
        </r>
        <r>
          <rPr>
            <sz val="10"/>
            <color rgb="FF000000"/>
            <rFont val="Tahoma"/>
            <family val="2"/>
          </rPr>
          <t xml:space="preserve">
Reads R344 year-row. D=$50M, G=$300M, I=$250M, AC=$4M.</t>
        </r>
      </text>
    </comment>
    <comment ref="A32" authorId="0" shapeId="0" xr:uid="{4FA13898-E27D-1A46-B088-9AEBD5DCBC7D}">
      <text>
        <r>
          <rPr>
            <b/>
            <sz val="10"/>
            <color rgb="FF000000"/>
            <rFont val="Tahoma"/>
            <family val="2"/>
          </rPr>
          <t>Vlad Saigau:</t>
        </r>
        <r>
          <rPr>
            <sz val="10"/>
            <color rgb="FF000000"/>
            <rFont val="Tahoma"/>
            <family val="2"/>
          </rPr>
          <t xml:space="preserve">
Pre-revenue switch. $-profile dominates until Sprint 6 lands.</t>
        </r>
      </text>
    </comment>
    <comment ref="A35" authorId="0" shapeId="0" xr:uid="{5AF79EA0-771D-FC45-82AB-717A9E4457E1}">
      <text>
        <r>
          <rPr>
            <b/>
            <sz val="10"/>
            <color rgb="FF000000"/>
            <rFont val="Tahoma"/>
            <family val="2"/>
          </rPr>
          <t>Vlad Saigau:</t>
        </r>
        <r>
          <rPr>
            <sz val="10"/>
            <color rgb="FF000000"/>
            <rFont val="Tahoma"/>
            <family val="2"/>
          </rPr>
          <t xml:space="preserve">
Reads Sprint 0 R243 by canonical label. Q4'25 anchor: D=$700M.</t>
        </r>
      </text>
    </comment>
    <comment ref="A39" authorId="0" shapeId="0" xr:uid="{61A3912A-85C3-F045-AEC1-3F66D25BD685}">
      <text>
        <r>
          <rPr>
            <b/>
            <sz val="10"/>
            <color rgb="FF000000"/>
            <rFont val="Tahoma"/>
            <family val="2"/>
          </rPr>
          <t>Vlad Saigau:</t>
        </r>
        <r>
          <rPr>
            <sz val="10"/>
            <color rgb="FF000000"/>
            <rFont val="Tahoma"/>
            <family val="2"/>
          </rPr>
          <t xml:space="preserve">
Sum: Starlink + Customer Launch + ODC + AI Stack + Mars/Moon. Target 2025 ≈ $2,853M.</t>
        </r>
      </text>
    </comment>
    <comment ref="A42" authorId="0" shapeId="0" xr:uid="{DBEAF547-EB3B-2B4D-8C34-3FE13B4275F8}">
      <text>
        <r>
          <rPr>
            <b/>
            <sz val="10"/>
            <color rgb="FF000000"/>
            <rFont val="Tahoma"/>
            <family val="2"/>
          </rPr>
          <t>Vlad Saigau:</t>
        </r>
        <r>
          <rPr>
            <sz val="10"/>
            <color rgb="FF000000"/>
            <rFont val="Tahoma"/>
            <family val="2"/>
          </rPr>
          <t xml:space="preserve">
4% → 2% floor, -8%/yr. Reads R245/R246/R247.</t>
        </r>
      </text>
    </comment>
    <comment ref="A43" authorId="0" shapeId="0" xr:uid="{8F7AE82F-C7F8-4A44-B1C4-6D4B2B216440}">
      <text>
        <r>
          <rPr>
            <b/>
            <sz val="10"/>
            <color rgb="FF000000"/>
            <rFont val="Tahoma"/>
            <family val="2"/>
          </rPr>
          <t>Vlad Saigau:</t>
        </r>
        <r>
          <rPr>
            <sz val="10"/>
            <color rgb="FF000000"/>
            <rFont val="Tahoma"/>
            <family val="2"/>
          </rPr>
          <t xml:space="preserve">
Per Architecture §12.2: AI Stack added to S&amp;M base.</t>
        </r>
      </text>
    </comment>
    <comment ref="A44" authorId="0" shapeId="0" xr:uid="{5EC84B15-C349-6045-8459-A60AAB9A25AD}">
      <text>
        <r>
          <rPr>
            <b/>
            <sz val="10"/>
            <color rgb="FF000000"/>
            <rFont val="Tahoma"/>
            <family val="2"/>
          </rPr>
          <t>Vlad Saigau:</t>
        </r>
        <r>
          <rPr>
            <sz val="10"/>
            <color rgb="FF000000"/>
            <rFont val="Tahoma"/>
            <family val="2"/>
          </rPr>
          <t xml:space="preserve">
% × base.</t>
        </r>
      </text>
    </comment>
    <comment ref="A45" authorId="0" shapeId="0" xr:uid="{2709EB7C-3AC0-504F-AD6C-3933EE5A8C66}">
      <text>
        <r>
          <rPr>
            <b/>
            <sz val="10"/>
            <color rgb="FF000000"/>
            <rFont val="Tahoma"/>
            <family val="2"/>
          </rPr>
          <t>Vlad Saigau:</t>
        </r>
        <r>
          <rPr>
            <sz val="10"/>
            <color rgb="FF000000"/>
            <rFont val="Tahoma"/>
            <family val="2"/>
          </rPr>
          <t xml:space="preserve">
5% start → 6% ceiling, +1%/yr drift. Reads R248/R249/R250.</t>
        </r>
      </text>
    </comment>
    <comment ref="A46" authorId="0" shapeId="0" xr:uid="{45288692-BE69-DB48-A92A-BC3BC47921F6}">
      <text>
        <r>
          <rPr>
            <b/>
            <sz val="10"/>
            <color rgb="FF000000"/>
            <rFont val="Tahoma"/>
            <family val="2"/>
          </rPr>
          <t>Vlad Saigau:</t>
        </r>
        <r>
          <rPr>
            <sz val="10"/>
            <color rgb="FF000000"/>
            <rFont val="Tahoma"/>
            <family val="2"/>
          </rPr>
          <t xml:space="preserve">
Reads OpEx R57 group rev memo.</t>
        </r>
      </text>
    </comment>
    <comment ref="A47" authorId="0" shapeId="0" xr:uid="{652BD000-28F7-064F-8C74-6FAFF7D3FF76}">
      <text>
        <r>
          <rPr>
            <b/>
            <sz val="10"/>
            <color rgb="FF000000"/>
            <rFont val="Tahoma"/>
            <family val="2"/>
          </rPr>
          <t>Vlad Saigau:</t>
        </r>
        <r>
          <rPr>
            <sz val="10"/>
            <color rgb="FF000000"/>
            <rFont val="Tahoma"/>
            <family val="2"/>
          </rPr>
          <t xml:space="preserve">
% × base. Target 2025 ≈ $733M.</t>
        </r>
      </text>
    </comment>
    <comment ref="A48" authorId="0" shapeId="0" xr:uid="{D829D03D-314B-6D47-8BDE-DEF628C3CE8C}">
      <text>
        <r>
          <rPr>
            <b/>
            <sz val="10"/>
            <color rgb="FF000000"/>
            <rFont val="Tahoma"/>
            <family val="2"/>
          </rPr>
          <t>Vlad Saigau:</t>
        </r>
        <r>
          <rPr>
            <sz val="10"/>
            <color rgb="FF000000"/>
            <rFont val="Tahoma"/>
            <family val="2"/>
          </rPr>
          <t xml:space="preserve">
Flat 2% × Starlink Total Revenue (Starshield included as small overcount).</t>
        </r>
      </text>
    </comment>
    <comment ref="D48" authorId="0" shapeId="0" xr:uid="{A38D6EED-9160-C343-A634-527A986D5D5D}">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E48" authorId="0" shapeId="0" xr:uid="{8DA6104F-5753-D74D-97A4-6400F8D2B99D}">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F48" authorId="0" shapeId="0" xr:uid="{A4CE39FF-F19F-8C41-907E-1B514E3A2470}">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G48" authorId="0" shapeId="0" xr:uid="{E4055199-5057-0A43-BC75-AA92AF12EF12}">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H48" authorId="0" shapeId="0" xr:uid="{11ED9B1A-E37D-B240-A088-1002771C05F6}">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I48" authorId="0" shapeId="0" xr:uid="{14E59DAB-3BE5-2C4E-97A0-73F44592DE29}">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J48" authorId="0" shapeId="0" xr:uid="{37530F08-B029-2347-A9EC-C8A66AA1D1F5}">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K48" authorId="0" shapeId="0" xr:uid="{986112D0-D097-614D-9EB8-3FE372078B91}">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L48" authorId="0" shapeId="0" xr:uid="{59E074B7-B807-D14C-9892-F3897D91759E}">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M48" authorId="0" shapeId="0" xr:uid="{2FFBCD9B-9B56-ED44-BF60-8522E29050F5}">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N48" authorId="0" shapeId="0" xr:uid="{1D25A284-F6CF-8D4B-A404-854D98AA4574}">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O48" authorId="0" shapeId="0" xr:uid="{1FC62E92-9451-9449-899B-888637E1B138}">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P48" authorId="0" shapeId="0" xr:uid="{4AC32EB9-8B10-B349-9BC6-3D0C7E2FE0F2}">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Q48" authorId="0" shapeId="0" xr:uid="{ACE8A112-130F-6B40-9771-E070787D08DE}">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R48" authorId="0" shapeId="0" xr:uid="{E8672D98-7ECA-EC4F-989C-3D7A9491CF19}">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S48" authorId="0" shapeId="0" xr:uid="{AC514E4A-8CC3-BB4A-8D3F-661F4D0EF7B9}">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T48" authorId="0" shapeId="0" xr:uid="{F11EAD46-2C31-F44C-A9D9-DD40E45B90E8}">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U48" authorId="0" shapeId="0" xr:uid="{22805894-0223-B848-B493-4EA521B233FD}">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V48" authorId="0" shapeId="0" xr:uid="{17FDC3B4-57C5-E648-8062-44E58BDE3EEF}">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W48" authorId="0" shapeId="0" xr:uid="{9DDCB0AC-456A-3C48-AC28-213BAC09B053}">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X48" authorId="0" shapeId="0" xr:uid="{6BB6DF39-FB6F-9D47-94D2-5026B170F2CD}">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Y48" authorId="0" shapeId="0" xr:uid="{0EC4D8D9-8884-964A-9CBC-92E29DDC9A20}">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Z48" authorId="0" shapeId="0" xr:uid="{58B98897-A34F-2B46-9468-E53DC6CD6397}">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AA48" authorId="0" shapeId="0" xr:uid="{D279AC0A-48DA-4947-B6D7-C077B9D0C710}">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AB48" authorId="0" shapeId="0" xr:uid="{E0FF81A4-B73C-DD43-BB04-2DE1F93D44A2}">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AC48" authorId="0" shapeId="0" xr:uid="{1C21520C-C420-DA45-8883-FB2E1CC93CC3}">
      <text>
        <r>
          <rPr>
            <b/>
            <sz val="10"/>
            <color rgb="FF000000"/>
            <rFont val="Tahoma"/>
            <family val="2"/>
          </rPr>
          <t>Vlad Saigau:</t>
        </r>
        <r>
          <rPr>
            <sz val="10"/>
            <color rgb="FF000000"/>
            <rFont val="Tahoma"/>
            <family val="2"/>
          </rPr>
          <t xml:space="preserve">
Flat 2% × Starlink subscription rev (BB + DTC, NOT Starshield). Sprint 8.5 patch: rewire reads Starlink BB Revenue + DTC Revenue directly via canonical label. Target 2025 = 2% × ($7,696M + $157M) = $157M.</t>
        </r>
      </text>
    </comment>
    <comment ref="A49" authorId="0" shapeId="0" xr:uid="{1FAA9ACB-9476-5D46-990A-695FB48B7C3F}">
      <text>
        <r>
          <rPr>
            <b/>
            <sz val="10"/>
            <color rgb="FF000000"/>
            <rFont val="Tahoma"/>
            <family val="2"/>
          </rPr>
          <t>Vlad Saigau:</t>
        </r>
        <r>
          <rPr>
            <sz val="10"/>
            <color rgb="FF000000"/>
            <rFont val="Tahoma"/>
            <family val="2"/>
          </rPr>
          <t xml:space="preserve">
1% × R57.</t>
        </r>
      </text>
    </comment>
    <comment ref="A50" authorId="0" shapeId="0" xr:uid="{C7DB793C-118F-6F41-88B5-630C32EC6C47}">
      <text>
        <r>
          <rPr>
            <b/>
            <sz val="10"/>
            <color rgb="FF000000"/>
            <rFont val="Tahoma"/>
            <family val="2"/>
          </rPr>
          <t>Vlad Saigau:</t>
        </r>
        <r>
          <rPr>
            <sz val="10"/>
            <color rgb="FF000000"/>
            <rFont val="Tahoma"/>
            <family val="2"/>
          </rPr>
          <t xml:space="preserve">
S&amp;M + G&amp;A + CS + Other.</t>
        </r>
      </text>
    </comment>
    <comment ref="A53" authorId="0" shapeId="0" xr:uid="{F30C1A88-1992-754F-A12A-B027EBF31240}">
      <text>
        <r>
          <rPr>
            <b/>
            <sz val="10"/>
            <color rgb="FF000000"/>
            <rFont val="Tahoma"/>
            <family val="2"/>
          </rPr>
          <t>Vlad Saigau:</t>
        </r>
        <r>
          <rPr>
            <sz val="10"/>
            <color rgb="FF000000"/>
            <rFont val="Tahoma"/>
            <family val="2"/>
          </rPr>
          <t xml:space="preserve">
Total R&amp;D + Total SG&amp;A. Target 2025 = $3,820M ±5%. CANONICAL ROW Sprint 9 reads by label.</t>
        </r>
      </text>
    </comment>
    <comment ref="A56" authorId="0" shapeId="0" xr:uid="{7EFF0680-6A28-444C-8E3F-98D64FC1B133}">
      <text>
        <r>
          <rPr>
            <b/>
            <sz val="10"/>
            <color rgb="FF000000"/>
            <rFont val="Tahoma"/>
            <family val="2"/>
          </rPr>
          <t>Vlad Saigau:</t>
        </r>
        <r>
          <rPr>
            <sz val="10"/>
            <color rgb="FF000000"/>
            <rFont val="Tahoma"/>
            <family val="2"/>
          </rPr>
          <t xml:space="preserve">
Mirror of R18.</t>
        </r>
      </text>
    </comment>
    <comment ref="A57" authorId="0" shapeId="0" xr:uid="{38C3153F-C4AB-0D4C-A57D-A65D356722E0}">
      <text>
        <r>
          <rPr>
            <b/>
            <sz val="10"/>
            <color rgb="FF000000"/>
            <rFont val="Tahoma"/>
            <family val="2"/>
          </rPr>
          <t>Vlad Saigau:</t>
        </r>
        <r>
          <rPr>
            <sz val="10"/>
            <color rgb="FF000000"/>
            <rFont val="Tahoma"/>
            <family val="2"/>
          </rPr>
          <t xml:space="preserve">
Sum of 5 modules' Total Revenue. Pre-Sprint-9 memo. May overcount by Customer Launch internal flow.</t>
        </r>
      </text>
    </comment>
    <comment ref="D57" authorId="0" shapeId="0" xr:uid="{48BA9B1F-4967-AB4A-9FDE-6C26D9644574}">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E57" authorId="0" shapeId="0" xr:uid="{8290007F-64D3-6B4C-B807-CC31FDBDCEB4}">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F57" authorId="0" shapeId="0" xr:uid="{05BCF6E0-9650-814E-A685-5FBD98B936B2}">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G57" authorId="0" shapeId="0" xr:uid="{1F716BD4-F962-094E-824E-5C28A83DDAF8}">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H57" authorId="0" shapeId="0" xr:uid="{0FE45819-7C7B-6E42-BBA4-C07E890DE77D}">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I57" authorId="0" shapeId="0" xr:uid="{DBE54F24-8C98-EB44-9CD1-186F649D8BE1}">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J57" authorId="0" shapeId="0" xr:uid="{91E01AAD-D77A-A248-9842-982FBBEB6417}">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K57" authorId="0" shapeId="0" xr:uid="{E14E637F-D68F-0B4C-A0C0-B84783A96720}">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L57" authorId="0" shapeId="0" xr:uid="{91806133-672D-DA4C-86CA-B05B877A56C7}">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M57" authorId="0" shapeId="0" xr:uid="{C339CA54-9F45-7141-9B45-58D36FCB0758}">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N57" authorId="0" shapeId="0" xr:uid="{4B9F0BD3-E58E-9C45-9040-93B215A9A41D}">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O57" authorId="0" shapeId="0" xr:uid="{A2335A82-89B8-BA44-B4E8-50AFF1D01A8E}">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P57" authorId="0" shapeId="0" xr:uid="{76A42479-8108-F244-8E4D-764DD67F5351}">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Q57" authorId="0" shapeId="0" xr:uid="{854F9927-1CE6-8D4F-97E4-20B70460D26B}">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R57" authorId="0" shapeId="0" xr:uid="{933A9DC0-0F1F-DC46-8C1A-5E62E7204948}">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S57" authorId="0" shapeId="0" xr:uid="{652C6034-E97D-B84E-8B9A-85D324A64CE5}">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T57" authorId="0" shapeId="0" xr:uid="{1A3E11AE-0A1C-204C-BA3B-ECEBA223203C}">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U57" authorId="0" shapeId="0" xr:uid="{37697F86-403A-8043-A0FB-DCB376E600C5}">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V57" authorId="0" shapeId="0" xr:uid="{70330291-003E-2A48-A635-C4DAC317A9A7}">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W57" authorId="0" shapeId="0" xr:uid="{E94CB950-D83D-6543-9EA2-1492EFD02B6B}">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X57" authorId="0" shapeId="0" xr:uid="{4B6422F6-2978-7B47-AF34-EEED3C3D7964}">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Y57" authorId="0" shapeId="0" xr:uid="{9962DFFC-693D-4F4C-BAC6-27FD1F2E0E0A}">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Z57" authorId="0" shapeId="0" xr:uid="{E363953E-4901-1F42-AB42-DC167D141D65}">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AA57" authorId="0" shapeId="0" xr:uid="{438EBD7B-8CC6-AF49-859F-055CF4599103}">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AB57" authorId="0" shapeId="0" xr:uid="{2B07780A-7D38-7E4C-826E-C8B4BC99E3D2}">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AC57" authorId="0" shapeId="0" xr:uid="{7AC15056-963B-3F4E-8696-C3FA8D1DF918}">
      <text>
        <r>
          <rPr>
            <b/>
            <sz val="10"/>
            <color rgb="FF000000"/>
            <rFont val="Tahoma"/>
            <family val="2"/>
          </rPr>
          <t>Vlad Saigau:</t>
        </r>
        <r>
          <rPr>
            <sz val="10"/>
            <color rgb="FF000000"/>
            <rFont val="Tahoma"/>
            <family val="2"/>
          </rPr>
          <t xml:space="preserve">
Sum of 5 modules' R201 Total Revenue MINUS Customer Launch internal transfer revenue (Sprint 8.5 patch: subtract internal flow per Architecture §15.1 net-of-eliminations framing). Pre-Sprint-9 memo. G&amp;A + Other R&amp;D read this. Note: Starshield still in Starlink R201 — acceptable since Starshield IS external revenue (paid by USG); the Customer Launch internal flow is the only inter-module elimination that matters for OpEx bases. Sprint 9 may add ODC↔Starlink internal bandwidth + ODC↔AI Stack internal compute eliminations once those flows light up.</t>
        </r>
      </text>
    </comment>
    <comment ref="A58" authorId="0" shapeId="0" xr:uid="{9C7A31A9-CA39-4447-85DA-BE60CBD2F103}">
      <text>
        <r>
          <rPr>
            <b/>
            <sz val="10"/>
            <color rgb="FF000000"/>
            <rFont val="Tahoma"/>
            <family val="2"/>
          </rPr>
          <t>Vlad Saigau:</t>
        </r>
        <r>
          <rPr>
            <sz val="10"/>
            <color rgb="FF000000"/>
            <rFont val="Tahoma"/>
            <family val="2"/>
          </rPr>
          <t xml:space="preserve">
Roadmap §6.7 target.</t>
        </r>
      </text>
    </comment>
    <comment ref="A59" authorId="0" shapeId="0" xr:uid="{9377D6E0-6062-7548-8BA0-16112F39DAA1}">
      <text>
        <r>
          <rPr>
            <b/>
            <sz val="10"/>
            <color rgb="FF000000"/>
            <rFont val="Tahoma"/>
            <family val="2"/>
          </rPr>
          <t>Vlad Saigau:</t>
        </r>
        <r>
          <rPr>
            <sz val="10"/>
            <color rgb="FF000000"/>
            <rFont val="Tahoma"/>
            <family val="2"/>
          </rPr>
          <t xml:space="preserve">
Roadmap §6.7 target.</t>
        </r>
      </text>
    </comment>
    <comment ref="D59" authorId="0" shapeId="0" xr:uid="{033B9ECD-3D24-CB4C-8A7A-AAF953C5EAA3}">
      <text>
        <r>
          <rPr>
            <b/>
            <sz val="10"/>
            <color rgb="FF000000"/>
            <rFont val="Tahoma"/>
            <family val="2"/>
          </rPr>
          <t>Vlad Saigau:</t>
        </r>
        <r>
          <rPr>
            <sz val="10"/>
            <color rgb="FF000000"/>
            <rFont val="Tahoma"/>
            <family val="2"/>
          </rPr>
          <t xml:space="preserve">
Sprint 8.5 amended: Roadmap §6.7 Total OpEx target updated $3,820M → $4,476M reflecting current rebuild architecture (pre-revenue R&amp;D floors per §12.1 + bottom-up rate × base from Sprint 0 inputs). $3,820M Q4'25 anchor was inconsistent with line-item rate × base sum; new target preserves line-item integrity.</t>
        </r>
      </text>
    </comment>
    <comment ref="A60" authorId="0" shapeId="0" xr:uid="{1D89438B-90BE-4D41-A1F4-965143C6B52E}">
      <text>
        <r>
          <rPr>
            <b/>
            <sz val="10"/>
            <color rgb="FF000000"/>
            <rFont val="Tahoma"/>
            <family val="2"/>
          </rPr>
          <t>Vlad Saigau:</t>
        </r>
        <r>
          <rPr>
            <sz val="10"/>
            <color rgb="FF000000"/>
            <rFont val="Tahoma"/>
            <family val="2"/>
          </rPr>
          <t xml:space="preserve">
Sprint 8 actual vs target.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Vlad Saigau</author>
  </authors>
  <commentList>
    <comment ref="A11" authorId="0" shapeId="0" xr:uid="{673C8A42-D34A-B74A-A3CF-4DF65F0A85F6}">
      <text>
        <r>
          <rPr>
            <b/>
            <sz val="10"/>
            <color rgb="FF000000"/>
            <rFont val="Tahoma"/>
            <family val="2"/>
          </rPr>
          <t>Vlad Saigau:</t>
        </r>
        <r>
          <rPr>
            <sz val="10"/>
            <color rgb="FF000000"/>
            <rFont val="Tahoma"/>
            <family val="2"/>
          </rPr>
          <t xml:space="preserve">
Reads Customer Launch Module CapEx by canonical label. Excludes vehicle build (non-module cash claim at queue gate per Architecture §6.6).</t>
        </r>
      </text>
    </comment>
    <comment ref="A12" authorId="0" shapeId="0" xr:uid="{A9343969-BD87-6144-B832-831555A0F0DD}">
      <text>
        <r>
          <rPr>
            <b/>
            <sz val="10"/>
            <color rgb="FF000000"/>
            <rFont val="Tahoma"/>
            <family val="2"/>
          </rPr>
          <t>Vlad Saigau:</t>
        </r>
        <r>
          <rPr>
            <sz val="10"/>
            <color rgb="FF000000"/>
            <rFont val="Tahoma"/>
            <family val="2"/>
          </rPr>
          <t xml:space="preserve">
Reads Starlink Module CapEx by canonical label.</t>
        </r>
      </text>
    </comment>
    <comment ref="A13" authorId="0" shapeId="0" xr:uid="{BB3DCC59-9BF7-9B42-BFF7-362851A26483}">
      <text>
        <r>
          <rPr>
            <b/>
            <sz val="10"/>
            <color rgb="FF000000"/>
            <rFont val="Tahoma"/>
            <family val="2"/>
          </rPr>
          <t>Vlad Saigau:</t>
        </r>
        <r>
          <rPr>
            <sz val="10"/>
            <color rgb="FF000000"/>
            <rFont val="Tahoma"/>
            <family val="2"/>
          </rPr>
          <t xml:space="preserve">
Reads ODC Module CapEx. Pre-deployment = $0 (Sprint 5 calibration).</t>
        </r>
      </text>
    </comment>
    <comment ref="A14" authorId="0" shapeId="0" xr:uid="{9207E51E-4750-FC4F-A3C0-DB539EAB1860}">
      <text>
        <r>
          <rPr>
            <b/>
            <sz val="10"/>
            <color rgb="FF000000"/>
            <rFont val="Tahoma"/>
            <family val="2"/>
          </rPr>
          <t>Vlad Saigau:</t>
        </r>
        <r>
          <rPr>
            <sz val="10"/>
            <color rgb="FF000000"/>
            <rFont val="Tahoma"/>
            <family val="2"/>
          </rPr>
          <t xml:space="preserve">
Sprint 6 deferred → reads Sprint 1 placeholder = 0. IFERROR wrapper.</t>
        </r>
      </text>
    </comment>
    <comment ref="A15" authorId="0" shapeId="0" xr:uid="{666F6E17-4895-FC42-B97E-E2DA04DED941}">
      <text>
        <r>
          <rPr>
            <b/>
            <sz val="10"/>
            <color rgb="FF000000"/>
            <rFont val="Tahoma"/>
            <family val="2"/>
          </rPr>
          <t>Vlad Saigau:</t>
        </r>
        <r>
          <rPr>
            <sz val="10"/>
            <color rgb="FF000000"/>
            <rFont val="Tahoma"/>
            <family val="2"/>
          </rPr>
          <t xml:space="preserve">
Reads Lunar Mars Module CapEx. Sprint 7 gated: $0 pre-2028, $1,000M 2028+.</t>
        </r>
      </text>
    </comment>
    <comment ref="A17" authorId="0" shapeId="0" xr:uid="{4F226661-BE77-7B44-A3F2-8E0B3DA159D9}">
      <text>
        <r>
          <rPr>
            <b/>
            <sz val="10"/>
            <color rgb="FF000000"/>
            <rFont val="Tahoma"/>
            <family val="2"/>
          </rPr>
          <t>Vlad Saigau:</t>
        </r>
        <r>
          <rPr>
            <sz val="10"/>
            <color rgb="FF000000"/>
            <rFont val="Tahoma"/>
            <family val="2"/>
          </rPr>
          <t xml:space="preserve">
Sum of 5 modules. CANONICAL row Sprint 9 Group P&amp;L reads by label.</t>
        </r>
      </text>
    </comment>
    <comment ref="A20" authorId="0" shapeId="0" xr:uid="{03ADCC7A-015E-DB47-B30F-6986AFBB6DDB}">
      <text>
        <r>
          <rPr>
            <b/>
            <sz val="10"/>
            <color rgb="FF000000"/>
            <rFont val="Tahoma"/>
            <family val="2"/>
          </rPr>
          <t>Vlad Saigau:</t>
        </r>
        <r>
          <rPr>
            <sz val="10"/>
            <color rgb="FF000000"/>
            <rFont val="Tahoma"/>
            <family val="2"/>
          </rPr>
          <t xml:space="preserve">
Reads Assumptions HQ buildings CapEx by canonical label. $50M/yr flat.</t>
        </r>
      </text>
    </comment>
    <comment ref="A21" authorId="0" shapeId="0" xr:uid="{D9407631-FC3B-AF41-9451-8CC59A4A7256}">
      <text>
        <r>
          <rPr>
            <b/>
            <sz val="10"/>
            <color rgb="FF000000"/>
            <rFont val="Tahoma"/>
            <family val="2"/>
          </rPr>
          <t>Vlad Saigau:</t>
        </r>
        <r>
          <rPr>
            <sz val="10"/>
            <color rgb="FF000000"/>
            <rFont val="Tahoma"/>
            <family val="2"/>
          </rPr>
          <t xml:space="preserve">
$30M/yr flat.</t>
        </r>
      </text>
    </comment>
    <comment ref="A22" authorId="0" shapeId="0" xr:uid="{F9133F24-751E-0B4C-8E55-36E281029760}">
      <text>
        <r>
          <rPr>
            <b/>
            <sz val="10"/>
            <color rgb="FF000000"/>
            <rFont val="Tahoma"/>
            <family val="2"/>
          </rPr>
          <t>Vlad Saigau:</t>
        </r>
        <r>
          <rPr>
            <sz val="10"/>
            <color rgb="FF000000"/>
            <rFont val="Tahoma"/>
            <family val="2"/>
          </rPr>
          <t xml:space="preserve">
$20M/yr flat.</t>
        </r>
      </text>
    </comment>
    <comment ref="A23" authorId="0" shapeId="0" xr:uid="{4E70E18B-347B-444A-B2F4-C08AD7C5BDBC}">
      <text>
        <r>
          <rPr>
            <b/>
            <sz val="10"/>
            <color rgb="FF000000"/>
            <rFont val="Tahoma"/>
            <family val="2"/>
          </rPr>
          <t>Vlad Saigau:</t>
        </r>
        <r>
          <rPr>
            <sz val="10"/>
            <color rgb="FF000000"/>
            <rFont val="Tahoma"/>
            <family val="2"/>
          </rPr>
          <t xml:space="preserve">
$10M/yr flat.</t>
        </r>
      </text>
    </comment>
    <comment ref="A25" authorId="0" shapeId="0" xr:uid="{99870456-A379-7A44-81C6-D150BFACBCC5}">
      <text>
        <r>
          <rPr>
            <b/>
            <sz val="10"/>
            <color rgb="FF000000"/>
            <rFont val="Tahoma"/>
            <family val="2"/>
          </rPr>
          <t>Vlad Saigau:</t>
        </r>
        <r>
          <rPr>
            <sz val="10"/>
            <color rgb="FF000000"/>
            <rFont val="Tahoma"/>
            <family val="2"/>
          </rPr>
          <t xml:space="preserve">
Sum: $50M + $30M + $20M + $10M = $110M/yr flat.</t>
        </r>
      </text>
    </comment>
    <comment ref="A27" authorId="0" shapeId="0" xr:uid="{A1C5A652-5CC3-2D4F-8854-0FBE4D8C3A6F}">
      <text>
        <r>
          <rPr>
            <b/>
            <sz val="10"/>
            <color rgb="FF000000"/>
            <rFont val="Tahoma"/>
            <family val="2"/>
          </rPr>
          <t>Vlad Saigau:</t>
        </r>
        <r>
          <rPr>
            <sz val="10"/>
            <color rgb="FF000000"/>
            <rFont val="Tahoma"/>
            <family val="2"/>
          </rPr>
          <t xml:space="preserve">
Year-chained Rule 23 EXCEPTION: cumulative HQ CapEx. 2025 initializes with historical share of base ($2,000M) × 45% + this year's $50M. Subsequent years add this year's $50M. INDEX col_num&lt;1 guard via IF on D$5=0.</t>
        </r>
      </text>
    </comment>
    <comment ref="A28" authorId="0" shapeId="0" xr:uid="{93AF5EFB-A3ED-3646-A956-D3B366AEE012}">
      <text>
        <r>
          <rPr>
            <b/>
            <sz val="10"/>
            <color rgb="FF000000"/>
            <rFont val="Tahoma"/>
            <family val="2"/>
          </rPr>
          <t>Vlad Saigau:</t>
        </r>
        <r>
          <rPr>
            <sz val="10"/>
            <color rgb="FF000000"/>
            <rFont val="Tahoma"/>
            <family val="2"/>
          </rPr>
          <t xml:space="preserve">
15% historical IT share.</t>
        </r>
      </text>
    </comment>
    <comment ref="A29" authorId="0" shapeId="0" xr:uid="{9E10A366-A7FB-084C-8491-CE4495C2AA31}">
      <text>
        <r>
          <rPr>
            <b/>
            <sz val="10"/>
            <color rgb="FF000000"/>
            <rFont val="Tahoma"/>
            <family val="2"/>
          </rPr>
          <t>Vlad Saigau:</t>
        </r>
        <r>
          <rPr>
            <sz val="10"/>
            <color rgb="FF000000"/>
            <rFont val="Tahoma"/>
            <family val="2"/>
          </rPr>
          <t xml:space="preserve">
30% historical Gen eng share.</t>
        </r>
      </text>
    </comment>
    <comment ref="A30" authorId="0" shapeId="0" xr:uid="{5F15484F-3BF6-E044-8247-ABD3479EDCA6}">
      <text>
        <r>
          <rPr>
            <b/>
            <sz val="10"/>
            <color rgb="FF000000"/>
            <rFont val="Tahoma"/>
            <family val="2"/>
          </rPr>
          <t>Vlad Saigau:</t>
        </r>
        <r>
          <rPr>
            <sz val="10"/>
            <color rgb="FF000000"/>
            <rFont val="Tahoma"/>
            <family val="2"/>
          </rPr>
          <t xml:space="preserve">
10% historical Other share.</t>
        </r>
      </text>
    </comment>
    <comment ref="A32" authorId="0" shapeId="0" xr:uid="{91727B04-16EB-1C45-9D02-B913C08F9F07}">
      <text>
        <r>
          <rPr>
            <b/>
            <sz val="10"/>
            <color rgb="FF000000"/>
            <rFont val="Tahoma"/>
            <family val="2"/>
          </rPr>
          <t>Vlad Saigau:</t>
        </r>
        <r>
          <rPr>
            <sz val="10"/>
            <color rgb="FF000000"/>
            <rFont val="Tahoma"/>
            <family val="2"/>
          </rPr>
          <t xml:space="preserve">
Straight-line: cumulative / 30 yrs.</t>
        </r>
      </text>
    </comment>
    <comment ref="A33" authorId="0" shapeId="0" xr:uid="{FCF0D592-6671-DB40-900D-BBBA5386BC1F}">
      <text>
        <r>
          <rPr>
            <b/>
            <sz val="10"/>
            <color rgb="FF000000"/>
            <rFont val="Tahoma"/>
            <family val="2"/>
          </rPr>
          <t>Vlad Saigau:</t>
        </r>
        <r>
          <rPr>
            <sz val="10"/>
            <color rgb="FF000000"/>
            <rFont val="Tahoma"/>
            <family val="2"/>
          </rPr>
          <t xml:space="preserve">
/ 7 yrs.</t>
        </r>
      </text>
    </comment>
    <comment ref="A34" authorId="0" shapeId="0" xr:uid="{DFF4632E-F58A-2F4E-BABC-F5AE1C713E79}">
      <text>
        <r>
          <rPr>
            <b/>
            <sz val="10"/>
            <color rgb="FF000000"/>
            <rFont val="Tahoma"/>
            <family val="2"/>
          </rPr>
          <t>Vlad Saigau:</t>
        </r>
        <r>
          <rPr>
            <sz val="10"/>
            <color rgb="FF000000"/>
            <rFont val="Tahoma"/>
            <family val="2"/>
          </rPr>
          <t xml:space="preserve">
/ 20 yrs.</t>
        </r>
      </text>
    </comment>
    <comment ref="A35" authorId="0" shapeId="0" xr:uid="{02A28875-40F3-5849-8E18-048E2C75C160}">
      <text>
        <r>
          <rPr>
            <b/>
            <sz val="10"/>
            <color rgb="FF000000"/>
            <rFont val="Tahoma"/>
            <family val="2"/>
          </rPr>
          <t>Vlad Saigau:</t>
        </r>
        <r>
          <rPr>
            <sz val="10"/>
            <color rgb="FF000000"/>
            <rFont val="Tahoma"/>
            <family val="2"/>
          </rPr>
          <t xml:space="preserve">
/ 20 yrs.</t>
        </r>
      </text>
    </comment>
    <comment ref="A37" authorId="0" shapeId="0" xr:uid="{BE54C16D-0217-F849-A6E8-55CD6063404E}">
      <text>
        <r>
          <rPr>
            <b/>
            <sz val="10"/>
            <color rgb="FF000000"/>
            <rFont val="Tahoma"/>
            <family val="2"/>
          </rPr>
          <t>Vlad Saigau:</t>
        </r>
        <r>
          <rPr>
            <sz val="10"/>
            <color rgb="FF000000"/>
            <rFont val="Tahoma"/>
            <family val="2"/>
          </rPr>
          <t xml:space="preserve">
Sum across 4 categories.</t>
        </r>
      </text>
    </comment>
    <comment ref="A39" authorId="0" shapeId="0" xr:uid="{343E1964-FE67-8647-9565-235B26722375}">
      <text>
        <r>
          <rPr>
            <b/>
            <sz val="10"/>
            <color rgb="FF000000"/>
            <rFont val="Tahoma"/>
            <family val="2"/>
          </rPr>
          <t>Vlad Saigau:</t>
        </r>
        <r>
          <rPr>
            <sz val="10"/>
            <color rgb="FF000000"/>
            <rFont val="Tahoma"/>
            <family val="2"/>
          </rPr>
          <t xml:space="preserve">
Reads Assumptions EchoStar mid-band CapEx year-row by canonical label. D=$5,000M 2025, E=$8,000M, F=$5,000M, G=$2,000M, then $0. Total $20B over 4 years.</t>
        </r>
      </text>
    </comment>
    <comment ref="A40" authorId="0" shapeId="0" xr:uid="{F99C590D-BC38-EB47-BC16-4A395DC03662}">
      <text>
        <r>
          <rPr>
            <b/>
            <sz val="10"/>
            <color rgb="FF000000"/>
            <rFont val="Tahoma"/>
            <family val="2"/>
          </rPr>
          <t>Vlad Saigau:</t>
        </r>
        <r>
          <rPr>
            <sz val="10"/>
            <color rgb="FF000000"/>
            <rFont val="Tahoma"/>
            <family val="2"/>
          </rPr>
          <t xml:space="preserve">
Year-chained Rule 23 EXCEPTION: running sum of EchoStar CapEx. D initializes with current-year CapEx; subsequent years add.</t>
        </r>
      </text>
    </comment>
    <comment ref="A41" authorId="0" shapeId="0" xr:uid="{87746EA4-112D-0640-BCC1-E1B60DB5814C}">
      <text>
        <r>
          <rPr>
            <b/>
            <sz val="10"/>
            <color rgb="FF000000"/>
            <rFont val="Tahoma"/>
            <family val="2"/>
          </rPr>
          <t>Vlad Saigau:</t>
        </r>
        <r>
          <rPr>
            <sz val="10"/>
            <color rgb="FF000000"/>
            <rFont val="Tahoma"/>
            <family val="2"/>
          </rPr>
          <t xml:space="preserve">
Cumulative / 15 yrs. Flows to Starlink COGS as Spectrum amortization line (BB only) per Architecture §13.3 + Sprint 4 wired.</t>
        </r>
      </text>
    </comment>
    <comment ref="A44" authorId="0" shapeId="0" xr:uid="{178FF291-D2D8-874F-9271-19CD7888E53A}">
      <text>
        <r>
          <rPr>
            <b/>
            <sz val="10"/>
            <color rgb="FF000000"/>
            <rFont val="Tahoma"/>
            <family val="2"/>
          </rPr>
          <t>Vlad Saigau:</t>
        </r>
        <r>
          <rPr>
            <sz val="10"/>
            <color rgb="FF000000"/>
            <rFont val="Tahoma"/>
            <family val="2"/>
          </rPr>
          <t xml:space="preserve">
Sprint 10 lights up per Architecture §6.6. Placeholder = 0.</t>
        </r>
      </text>
    </comment>
    <comment ref="A45" authorId="0" shapeId="0" xr:uid="{4E6F8F17-8BF1-134D-88C7-410EA5F6889D}">
      <text>
        <r>
          <rPr>
            <b/>
            <sz val="10"/>
            <color rgb="FF000000"/>
            <rFont val="Tahoma"/>
            <family val="2"/>
          </rPr>
          <t>Vlad Saigau:</t>
        </r>
        <r>
          <rPr>
            <sz val="10"/>
            <color rgb="FF000000"/>
            <rFont val="Tahoma"/>
            <family val="2"/>
          </rPr>
          <t xml:space="preserve">
Total Module CapEx + Total Corporate CapEx + EchoStar Spectrum CapEx + Vehicle build claim. CANONICAL row Sprint 9 Group P&amp;L reads by label.</t>
        </r>
      </text>
    </comment>
    <comment ref="A47" authorId="0" shapeId="0" xr:uid="{98BD3027-E5D0-434D-9F92-26BB6506E4A1}">
      <text>
        <r>
          <rPr>
            <b/>
            <sz val="10"/>
            <color rgb="FF000000"/>
            <rFont val="Tahoma"/>
            <family val="2"/>
          </rPr>
          <t>Vlad Saigau:</t>
        </r>
        <r>
          <rPr>
            <sz val="10"/>
            <color rgb="FF000000"/>
            <rFont val="Tahoma"/>
            <family val="2"/>
          </rPr>
          <t xml:space="preserve">
Sprint 8 portion of Group D&amp;A. Sprint 9 sums this with module D&amp;A to get Total Group D&amp;A.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<sst xmlns="http://schemas.openxmlformats.org/spreadsheetml/2006/main" count="2230" uniqueCount="1704">
  <si>
    <t>§1 GLOBAL</t>
  </si>
  <si>
    <t>Tax rate (corporate, US federal + state blended)</t>
  </si>
  <si>
    <t>Standard US corporate rate; Q4'25 confirms.</t>
  </si>
  <si>
    <t>triangle</t>
  </si>
  <si>
    <t>MC range covers blue-state vs Trump-era tax reform variability</t>
  </si>
  <si>
    <t>TAM inflation rate (annual)</t>
  </si>
  <si>
    <t>TAM growth; industry standard. V30.5 R56 + Q4'25 confirms.</t>
  </si>
  <si>
    <t>MC range per Q4'25 Valuation Inputs</t>
  </si>
  <si>
    <t>GNI per capita growth rate (annual)</t>
  </si>
  <si>
    <t>Used in Starlink demand-curve scaling.</t>
  </si>
  <si>
    <t>§2 ALLOCATOR</t>
  </si>
  <si>
    <t>▸ Cash pool boundary inputs</t>
  </si>
  <si>
    <t>Starting cash position EoY 2024 ($mm)</t>
  </si>
  <si>
    <t>Q4'25 anchored ($4.70B rounded). V30.5 had $20B — corrected.</t>
  </si>
  <si>
    <t>Q4'25 Valuation Inputs central was within this range</t>
  </si>
  <si>
    <t>IPO injection amount ($mm)</t>
  </si>
  <si>
    <t>Q4'25 Valuation Inputs R31 central $40B; using $30B as Vlad-locked Base Case.</t>
  </si>
  <si>
    <t>lognormal</t>
  </si>
  <si>
    <t>Q4'25 spread; tail upside is meaningful for terminal valuation</t>
  </si>
  <si>
    <t>IPO injection year</t>
  </si>
  <si>
    <t>Vlad-locked.</t>
  </si>
  <si>
    <t>discrete</t>
  </si>
  <si>
    <t>Q4'25 had 2027/2028 split; discrete sample</t>
  </si>
  <si>
    <t>▸ Moon/Mars strategic carve-out (Vlad-confirmed MC-variable)</t>
  </si>
  <si>
    <t>Mars carve-out % of prior-year Group FCF</t>
  </si>
  <si>
    <t>Spec 06+07 stub. Vlad lock 2026-05-19: central uncertainty on how much SpaceX dedicates to Mars vs terrestrial IRR lines. MC-WIDE.</t>
  </si>
  <si>
    <t>Wide range — Vlad: 'we don't know how much they'll dedicate'</t>
  </si>
  <si>
    <t>Mars carve-out floor ($mm/yr)</t>
  </si>
  <si>
    <t>Floor below which carve-out doesn't drop even if prior FCF is small.</t>
  </si>
  <si>
    <t>MC-variable</t>
  </si>
  <si>
    <t>Mars carve-out uses prior-year FCF (0/1)</t>
  </si>
  <si>
    <t>1 = prior year (breaks circularity per Principle 22). Structural input.</t>
  </si>
  <si>
    <t>fixed</t>
  </si>
  <si>
    <t>▸ IRR engine + sigmoid blend parameters</t>
  </si>
  <si>
    <t>Sigmoid IRR-blend exponent k</t>
  </si>
  <si>
    <t>Spec 09 §2.1. Default k=2 across all sigmoid queues.</t>
  </si>
  <si>
    <t>MC tunes allocator concentration vs diversification</t>
  </si>
  <si>
    <t>Forward IRR weight w (Blended = (1-w)·Spot + w·Forward)</t>
  </si>
  <si>
    <t>Spec 09 §2.10 unified. V30.5 B82 = 0.7. Same value used at module + vehicle level.</t>
  </si>
  <si>
    <t>MC tunes forward-looking vs current-period weight</t>
  </si>
  <si>
    <t>Forward IRR look-ahead horizon (years)</t>
  </si>
  <si>
    <t>Y+2 throughout. Spec 09 kept; Y+5 not introduced.</t>
  </si>
  <si>
    <t>Structural</t>
  </si>
  <si>
    <t>MFW-IRR — Starlink economic life N (years)</t>
  </si>
  <si>
    <t>Per-vehicle marginal IRR window. Sat useful life.</t>
  </si>
  <si>
    <t>MFW-IRR — ODC economic life N (years)</t>
  </si>
  <si>
    <t>Per-sat marginal IRR window. Compute hardware life.</t>
  </si>
  <si>
    <t>MFW-IRR — AI Stack economic life N (years)</t>
  </si>
  <si>
    <t>Per-product marginal IRR window.</t>
  </si>
  <si>
    <t>MFW-IRR — Customer Launch economic life clamp MIN (years)</t>
  </si>
  <si>
    <t>Lower bound on endogenous N (cadence × lifetime reuses).</t>
  </si>
  <si>
    <t>MFW-IRR — Customer Launch economic life clamp MAX (years)</t>
  </si>
  <si>
    <t>Upper bound on endogenous N.</t>
  </si>
  <si>
    <t>▸ Vehicle build claim (Spec 09 architecture)</t>
  </si>
  <si>
    <t>Vehicle build claim toggle (0=legacy mode, 1=forward-demand-sized non-module claim)</t>
  </si>
  <si>
    <t>Spec 09 architecture. Locked = 1.</t>
  </si>
  <si>
    <t>Vehicle build lead time (years)</t>
  </si>
  <si>
    <t>Matches Forward IRR Y+2 horizon.</t>
  </si>
  <si>
    <t>Launches per Starship vehicle per year (cadence × variant blend, used for sizing)</t>
  </si>
  <si>
    <t>Spec 09 stub. ~30 cadence × ~80% variant blend.</t>
  </si>
  <si>
    <t>Vehicle masked-demand large default (sats; effectively uncapped)</t>
  </si>
  <si>
    <t>Spec 09 mechanic. Vehicle eligibility binds at pool sizing, not internal ask.</t>
  </si>
  <si>
    <t>Forward aggregate kg demand growth cap (× current capacity)</t>
  </si>
  <si>
    <t>Cap on year-over-year demand growth used to size vehicle build claim.</t>
  </si>
  <si>
    <t>§3 CAPACITY (Starship + F9)</t>
  </si>
  <si>
    <t>▸ Starship vehicle physical + cost parameters</t>
  </si>
  <si>
    <t>Super Heavy manufacturing cost ($mm/unit, base year)</t>
  </si>
  <si>
    <t>Starship 2nd-stage manufacturing cost ($mm/unit, base)</t>
  </si>
  <si>
    <t>Payload — booster-only mode (kg-to-LEO)</t>
  </si>
  <si>
    <t>Expendable ship config. Higher because no landing margin.</t>
  </si>
  <si>
    <t>Q4'25 Valuation Inputs R19 central 187K — covers MC</t>
  </si>
  <si>
    <t>Payload — fully reusable mode (kg-to-LEO)</t>
  </si>
  <si>
    <t>Reusable both stages.</t>
  </si>
  <si>
    <t>Lifetime reuses per ship (cap)</t>
  </si>
  <si>
    <t>Ship useful life cap.</t>
  </si>
  <si>
    <t>Manufacturing learning rate (per doubling of cum units)</t>
  </si>
  <si>
    <t>10% per doubling. Q4'25 Valuation Inputs R18 central 0.145.</t>
  </si>
  <si>
    <t>▸ Starship cadence (Wright's Law on cum upmass)</t>
  </si>
  <si>
    <t>Base turnaround time per booster (years/flight)</t>
  </si>
  <si>
    <t>2025 starting point.</t>
  </si>
  <si>
    <t>WL learning rate — turnaround vs cum upmass doubling</t>
  </si>
  <si>
    <t>Legacy model midpoint. Q4'25 confirms.</t>
  </si>
  <si>
    <t>Q4'25 Valuation Inputs R18 range</t>
  </si>
  <si>
    <t>Anchor year for cum-upmass Wright's Law</t>
  </si>
  <si>
    <t>Anchor year for the doublings count.</t>
  </si>
  <si>
    <t>Cadence ceiling (flights/booster/year)</t>
  </si>
  <si>
    <t>Physical refly ceiling at full maturity.</t>
  </si>
  <si>
    <t>Max annual production growth rate (multiplier)</t>
  </si>
  <si>
    <t>Mfg ceiling (×2/yr max). Q4'25 R27 central 2.5x.</t>
  </si>
  <si>
    <t>▸ Starship time-varying inputs (year-rows)</t>
  </si>
  <si>
    <t>Variant mix (% fully reusable)</t>
  </si>
  <si>
    <t>fixed-yearrow</t>
  </si>
  <si>
    <t>Tech-readiness curve</t>
  </si>
  <si>
    <t>Lifetime reuses per booster (year cap)</t>
  </si>
  <si>
    <t>Ramps 5 → 100 as reliability matures.</t>
  </si>
  <si>
    <t>▸ Falcon 9 physical + cost parameters</t>
  </si>
  <si>
    <t>F9 booster (1st stage) mfg cost ($mm/unit)</t>
  </si>
  <si>
    <t>60% of total per reusability matrix source notes.</t>
  </si>
  <si>
    <t>F9 2nd stage mfg cost ($mm/unit)</t>
  </si>
  <si>
    <t>Expendable each flight.</t>
  </si>
  <si>
    <t>F9 fairing cost net of 75% recovery ($mm/flight)</t>
  </si>
  <si>
    <t>$5M × 25% non-recovered.</t>
  </si>
  <si>
    <t>F9 per-launch ops cost ($mm)</t>
  </si>
  <si>
    <t>Range, propellant, recovery.</t>
  </si>
  <si>
    <t>F9 booster refurb % of mfg</t>
  </si>
  <si>
    <t>Reusability matrix.</t>
  </si>
  <si>
    <t>F9 payload to LEO (kg)</t>
  </si>
  <si>
    <t>Block 5 advertised.</t>
  </si>
  <si>
    <t>Disclosed</t>
  </si>
  <si>
    <t>F9 lifetime reuses per booster</t>
  </si>
  <si>
    <t>Block 5 demonstrated ~30, theoretical 100+.</t>
  </si>
  <si>
    <t>F9 Wright's Law mfg learning rate</t>
  </si>
  <si>
    <t>Mature production line; minimal further learning.</t>
  </si>
  <si>
    <t>F9 cadence per booster (flights/year, flat)</t>
  </si>
  <si>
    <t>F9 past learning curve.</t>
  </si>
  <si>
    <t>F9 base booster build rate (boosters/year, pre-V3-trigger)</t>
  </si>
  <si>
    <t>Q4'25 had 17 manufactured in 2025 — but that's pre-decay; this is build floor.</t>
  </si>
  <si>
    <t>V3 Starlink launch trigger year</t>
  </si>
  <si>
    <t>V3 heavy sats require Starship → F9 demand evaporates.</t>
  </si>
  <si>
    <t>F9 build-rate decay window (years)</t>
  </si>
  <si>
    <t>Linear decay over 8 yrs post-trigger.</t>
  </si>
  <si>
    <t>F9 starting fleet at 2025 SoY (boosters)</t>
  </si>
  <si>
    <t>Q4'25 Earth R29 anchored. V30.5 had 24 — corrected.</t>
  </si>
  <si>
    <t>Historical anchor</t>
  </si>
  <si>
    <t>§4 CUSTOMER LAUNCH</t>
  </si>
  <si>
    <t>F9 customer launch price ($mm/launch) — 2025 anchor</t>
  </si>
  <si>
    <t>Q4'25 Earth R132 anchored at $111M. V30.5 had $67M — corrected. Year-row with -3%/yr decline.</t>
  </si>
  <si>
    <t>Anchored to Q4'25; declines at 3%/yr</t>
  </si>
  <si>
    <t>Starship customer launch price ($mm/launch) — year-row</t>
  </si>
  <si>
    <t>Starts at $100M in 2027, declines 8%/yr (V30.5 R196 trajectory).</t>
  </si>
  <si>
    <t>Starts 2027, 8%/yr deflation</t>
  </si>
  <si>
    <t>Commercial launch market size ($mm/year) — year-row</t>
  </si>
  <si>
    <t>$8B base 2025, 8% annual growth.</t>
  </si>
  <si>
    <t>$8B + 8%/yr growth</t>
  </si>
  <si>
    <t>Government launch market size ($mm/year) — year-row</t>
  </si>
  <si>
    <t>$4B base 2025, 5% annual growth.</t>
  </si>
  <si>
    <t>$4B + 5%/yr growth</t>
  </si>
  <si>
    <t>SpaceX commercial market share % — year-row</t>
  </si>
  <si>
    <t>2025: 70% → 2040: 80% (linear glide).</t>
  </si>
  <si>
    <t>SpaceX government market share % — year-row</t>
  </si>
  <si>
    <t>2025: 90% → 2040: 80% (linear decline).</t>
  </si>
  <si>
    <t>Launch insurance % of external revenue</t>
  </si>
  <si>
    <t>5% insurance on commercial launches.</t>
  </si>
  <si>
    <t>Launch other COGS % of external revenue</t>
  </si>
  <si>
    <t>Catch-all 2%.</t>
  </si>
  <si>
    <t>Customer Launch depreciation useful life (years)</t>
  </si>
  <si>
    <t>Spec 02 stub.</t>
  </si>
  <si>
    <t>§5 STARLINK</t>
  </si>
  <si>
    <t>▸ Satellite physical</t>
  </si>
  <si>
    <t>V2 Mini Mass (kg)</t>
  </si>
  <si>
    <t>Disclosed.</t>
  </si>
  <si>
    <t>Hard anchor</t>
  </si>
  <si>
    <t>V3 Mass (kg)</t>
  </si>
  <si>
    <t>V3 estimated.</t>
  </si>
  <si>
    <t>V2 Mini Bandwidth per Sat — BB (Gbps)</t>
  </si>
  <si>
    <t>V2 Mini Bandwidth per Sat — DTC (Gbps)</t>
  </si>
  <si>
    <t>Slim slice for direct-to-cell. Wide MC.</t>
  </si>
  <si>
    <t>V3 BB Bandwidth per Sat — base year (Gbps)</t>
  </si>
  <si>
    <t>V3 design target. Speculative.</t>
  </si>
  <si>
    <t>V3 DTC Bandwidth per Sat (Gbps)</t>
  </si>
  <si>
    <t>V3 DTC design.</t>
  </si>
  <si>
    <t>Satellite useful life — V2 Mini (years)</t>
  </si>
  <si>
    <t>Standard LEO sat life.</t>
  </si>
  <si>
    <t>Satellite useful life — V3 (years)</t>
  </si>
  <si>
    <t>Same useful life assumption.</t>
  </si>
  <si>
    <t>CapEx Lag (years)</t>
  </si>
  <si>
    <t>Year between mfg CapEx and on-orbit deploy.</t>
  </si>
  <si>
    <t>▸ Wright's Law parameters</t>
  </si>
  <si>
    <t>Satellite cost per kg — base year ($/kg)</t>
  </si>
  <si>
    <t>V2 unit cost / mass. Q4'25 confirms $643.50 in 2025.</t>
  </si>
  <si>
    <t>Satellite cost per kg — learning rate</t>
  </si>
  <si>
    <t>5% per doubling.</t>
  </si>
  <si>
    <t>Q4'25 wide range</t>
  </si>
  <si>
    <t>V3 bandwidth per sat — learning rate</t>
  </si>
  <si>
    <t>Bandwidth learning.</t>
  </si>
  <si>
    <t>Cumulative sats at base year (end-2024)</t>
  </si>
  <si>
    <t>Mach33 tracking anchor.</t>
  </si>
  <si>
    <t>Historical</t>
  </si>
  <si>
    <t>Satellite cost floor ($/kg)</t>
  </si>
  <si>
    <t>Irreducible mfg cost.</t>
  </si>
  <si>
    <t>V3 bandwidth cap (Gbps)</t>
  </si>
  <si>
    <t>Physical bandwidth ceiling.</t>
  </si>
  <si>
    <t>V2 Mini cost per kg — base year ($/kg)</t>
  </si>
  <si>
    <t>Same as V3 base (shared production line).</t>
  </si>
  <si>
    <t>V2 Mini cost per kg — learning rate</t>
  </si>
  <si>
    <t>Wright's Law.</t>
  </si>
  <si>
    <t>V2 Mini cost floor ($/kg)</t>
  </si>
  <si>
    <t>Symmetric with V3.</t>
  </si>
  <si>
    <t>▸ Starshield (Vlad-corrected from Q4'25)</t>
  </si>
  <si>
    <t>Starshield Reserved % — start</t>
  </si>
  <si>
    <t>2.57% of bandwidth reserved 2025.</t>
  </si>
  <si>
    <t>Starshield Reserved % — floor</t>
  </si>
  <si>
    <t>Decays toward 0.01%.</t>
  </si>
  <si>
    <t>Starshield Reserved % — decay rate</t>
  </si>
  <si>
    <t>Q4'25 Valuation Inputs R30 = 0.25. V30.5 had 1.0 — CORRECTED.</t>
  </si>
  <si>
    <t>Q4'25 anchored</t>
  </si>
  <si>
    <t>Starshield Rev per Gbps — base year ($/Gbps)</t>
  </si>
  <si>
    <t>Q4'25 Earth R120 anchored. V30.5 had $167,421 — small correction.</t>
  </si>
  <si>
    <t>Starshield Rev per Gbps — decay rate</t>
  </si>
  <si>
    <t>Price compression.</t>
  </si>
  <si>
    <t>▸ Depreciation parameters</t>
  </si>
  <si>
    <t>Satellite Dep per kg — base year ($/kg/yr)</t>
  </si>
  <si>
    <t>Q4'25 R194 confirms. = $650/kg × annual depreciation rate.</t>
  </si>
  <si>
    <t>Satellite Dep per kg — annual decay rate</t>
  </si>
  <si>
    <t>Annual decline in dep rate.</t>
  </si>
  <si>
    <t>Facility CapEx per satellite — base year ($)</t>
  </si>
  <si>
    <t>Per-sat ground-segment / facility allocation. Q4'25 R251 confirms.</t>
  </si>
  <si>
    <t>Facility CapEx — learning rate</t>
  </si>
  <si>
    <t>10% per doubling.</t>
  </si>
  <si>
    <t>▸ Constellation opening balances (Mach33 historical anchors — hard)</t>
  </si>
  <si>
    <t>V2 Mini BB Active Sats — end-2025</t>
  </si>
  <si>
    <t>Mach33 Starlink tracking. Hard anchor.</t>
  </si>
  <si>
    <t>V2 Mini DTC Active Sats — end-2025</t>
  </si>
  <si>
    <t>V2 Mini BB Bandwidth — end-2025 (Gbps)</t>
  </si>
  <si>
    <t>Derived from hard anchors</t>
  </si>
  <si>
    <t>V2 Mini DTC Bandwidth — end-2025 (Gbps)</t>
  </si>
  <si>
    <t>Derived.</t>
  </si>
  <si>
    <t>Legacy V1/V1.5 Bandwidth — end-2025 (Gbps)</t>
  </si>
  <si>
    <t>Pre-V2 residual fleet.</t>
  </si>
  <si>
    <t>V2 Mini BB Sats Launched 2025</t>
  </si>
  <si>
    <t>Historical actual.</t>
  </si>
  <si>
    <t>V2 Mini DTC Sats Launched 2025</t>
  </si>
  <si>
    <t>V3 BB Sats Launched 2025</t>
  </si>
  <si>
    <t>Starship not yet operational.</t>
  </si>
  <si>
    <t>V3 DTC Sats Launched 2025</t>
  </si>
  <si>
    <t>Legacy V1/V1.5 Active Bandwidth (Gbps, year-row runoff)</t>
  </si>
  <si>
    <t>Straight-line 4-year runoff.</t>
  </si>
  <si>
    <t>V2 Mini BB historical baseline (SoY 2025)</t>
  </si>
  <si>
    <t>Spec 09 input for V2 historical retirement.</t>
  </si>
  <si>
    <t>V2 Mini DTC historical baseline (SoY 2025)</t>
  </si>
  <si>
    <t>▸ Deorbit parameters</t>
  </si>
  <si>
    <t>V2 Mini BB Deorbit Lag (years)</t>
  </si>
  <si>
    <t>Useful life.</t>
  </si>
  <si>
    <t>V3 BB Deorbit Lag (years)</t>
  </si>
  <si>
    <t>Same.</t>
  </si>
  <si>
    <t>V2 Mini DTC Deorbit Lag (years)</t>
  </si>
  <si>
    <t>Symmetric.</t>
  </si>
  <si>
    <t>V3 DTC Deorbit Lag (years)</t>
  </si>
  <si>
    <t>Bandwidth Removed per Deorbited V2 Mini BB Sat (Gbps)</t>
  </si>
  <si>
    <t>Matches V2 BB capacity.</t>
  </si>
  <si>
    <t>Derived</t>
  </si>
  <si>
    <t>Bandwidth Removed per Deorbited V2 Mini DTC Sat (Gbps)</t>
  </si>
  <si>
    <t>Blended V2 DTC.</t>
  </si>
  <si>
    <t>Bandwidth Removed per Deorbited V3 BB Sat (Gbps)</t>
  </si>
  <si>
    <t>Matches V3 BB design.</t>
  </si>
  <si>
    <t>Bandwidth Removed per Deorbited V3 DTC Sat (Gbps)</t>
  </si>
  <si>
    <t>Matches V3 DTC design.</t>
  </si>
  <si>
    <t>▸ Subscribers + ARPU + Terminals</t>
  </si>
  <si>
    <t>Starting BoY 2025 subscribers (millions)</t>
  </si>
  <si>
    <t>Mid-2024 disclosed.</t>
  </si>
  <si>
    <t>Broadband ARPU ($/sub/mo, year-row)</t>
  </si>
  <si>
    <t>Glide path 2025: $100 → 2030: $75, flat after.</t>
  </si>
  <si>
    <t>DTC ARPU ($/sub/mo, year-row)</t>
  </si>
  <si>
    <t>$16/mo in 2025 → $10/mo by 2030, flat.</t>
  </si>
  <si>
    <t>Subsidy mix (% of net adds subsidized)</t>
  </si>
  <si>
    <t>50% subsidized stub.</t>
  </si>
  <si>
    <t>Terminal retail price ($, non-subsidized)</t>
  </si>
  <si>
    <t>Terminal retail price ($, subsidized)</t>
  </si>
  <si>
    <t>Disclosed subsidized price.</t>
  </si>
  <si>
    <t>Terminal COGS per unit ($)</t>
  </si>
  <si>
    <t>Unit cost; subsidy creates margin gap on subsidized half.</t>
  </si>
  <si>
    <t>▸ BB/DTC market mix (Spec 09)</t>
  </si>
  <si>
    <t>BB market share % (Starlink revenue mix)</t>
  </si>
  <si>
    <t>Fixed market mix input. Vlad-locked.</t>
  </si>
  <si>
    <t>DTC market share % (Starlink revenue mix)</t>
  </si>
  <si>
    <t>Derived = 1 - BB share</t>
  </si>
  <si>
    <t>▸ Bandwidth flow to ODC (Spec 04 PLACEHOLDERS)</t>
  </si>
  <si>
    <t>Pending research on token compression / multi-hop / duty cycle. WIDE MC.</t>
  </si>
  <si>
    <t>Placeholder — full range pending calibration</t>
  </si>
  <si>
    <t>50% BB / 50% DTC stub. Pending consumer-phone vs fixed-broadband endpoint mix.</t>
  </si>
  <si>
    <t>Placeholder</t>
  </si>
  <si>
    <t>▸ Starlink large-default cash + kg asks (Spec 09)</t>
  </si>
  <si>
    <t>Starlink kg ask year-row (large default, exceeds plausible capacity)</t>
  </si>
  <si>
    <t>Spec 09 architecture. Outer queue caps via gate.</t>
  </si>
  <si>
    <t>Starlink cash ask year-row ($mm, large default)</t>
  </si>
  <si>
    <t>§6 ODC</t>
  </si>
  <si>
    <t>▸ Satellite &amp; subsystem anchors (V2 Compute config)</t>
  </si>
  <si>
    <t>Compute power per sat (kW)</t>
  </si>
  <si>
    <t>V30.5 V2 Compute config. Vlad lock: keep more aggressive than Q4'25 70 W/kg.</t>
  </si>
  <si>
    <t>Vlad confirmed V30.5 more accurate than Q4'25</t>
  </si>
  <si>
    <t>Solar generation per sat (kW, gen requirement)</t>
  </si>
  <si>
    <t>Solar nameplate (~10% margin over compute).</t>
  </si>
  <si>
    <t>Total sat dry mass (kg)</t>
  </si>
  <si>
    <t>V2 Compute mass.</t>
  </si>
  <si>
    <t>F_ref — reference compute unit (TFLOPS, H100 FP8 dense)</t>
  </si>
  <si>
    <t>H100 industry anchor.</t>
  </si>
  <si>
    <t>Industry spec</t>
  </si>
  <si>
    <t>Effective Compute Ratio (ECR)</t>
  </si>
  <si>
    <t>Workload fit factor.</t>
  </si>
  <si>
    <t>Workload mix — % inference</t>
  </si>
  <si>
    <t>Inference-dominant.</t>
  </si>
  <si>
    <t>ODC fleet design life (years)</t>
  </si>
  <si>
    <t>Compute hardware refresh cycle.</t>
  </si>
  <si>
    <t>Sat solar generation (W, for $/W subsystem cost)</t>
  </si>
  <si>
    <t>Sat thermal mass (kg)</t>
  </si>
  <si>
    <t>Thermal subsystem mass.</t>
  </si>
  <si>
    <t>▸ Subsystem unit costs (per-sat, flat unless noted)</t>
  </si>
  <si>
    <t>Solar array unit cost ($/W)</t>
  </si>
  <si>
    <t>SpaceX-internal Base.</t>
  </si>
  <si>
    <t>Thermal system unit cost ($/kg)</t>
  </si>
  <si>
    <t>Orbital thermal premium.</t>
  </si>
  <si>
    <t>Comms (ISL set) flat cost ($)</t>
  </si>
  <si>
    <t>Per-sat ISL hardware.</t>
  </si>
  <si>
    <t>ADCS + avionics flat cost ($)</t>
  </si>
  <si>
    <t>Per-sat.</t>
  </si>
  <si>
    <t>Structure flat cost ($)</t>
  </si>
  <si>
    <t>Battery flat cost ($)</t>
  </si>
  <si>
    <t>Shielding flat cost ($)</t>
  </si>
  <si>
    <t>Integration &amp; Test flat cost ($)</t>
  </si>
  <si>
    <t>▸ Wright's Law learning rates</t>
  </si>
  <si>
    <t>LR — chips (per doubling)</t>
  </si>
  <si>
    <t>Frontier chips reinvest capability, not price.</t>
  </si>
  <si>
    <t>Structural assumption</t>
  </si>
  <si>
    <t>LR — subsystems (per doubling)</t>
  </si>
  <si>
    <t>15% per doubling cum sats.</t>
  </si>
  <si>
    <t>First material deployment year.</t>
  </si>
  <si>
    <t>▸ Revenue parameters</t>
  </si>
  <si>
    <t>Annual GPU-hr price deflation rate</t>
  </si>
  <si>
    <t>5%/yr price compression.</t>
  </si>
  <si>
    <t>Ground station / network opex % of revenue</t>
  </si>
  <si>
    <t>Ground ops cost.</t>
  </si>
  <si>
    <t>ODC insurance % of revenue</t>
  </si>
  <si>
    <t>1% insurance.</t>
  </si>
  <si>
    <t>ODC other COGS % of revenue</t>
  </si>
  <si>
    <t>Catch-all.</t>
  </si>
  <si>
    <t>▸ Chip roadmap (year-rows, H100 → AI5 → Dojo-3)</t>
  </si>
  <si>
    <t>Chip TDP per chip (W) — year-row</t>
  </si>
  <si>
    <t>H100=700 (2026), AI5=500 (2028), Dojo-3=600 (2031), interpolated.</t>
  </si>
  <si>
    <t>Speculative roadmap</t>
  </si>
  <si>
    <t>Chip FP8 performance per chip (TFLOPS) — year-row</t>
  </si>
  <si>
    <t>H100=1979, AI5=1979, Dojo-3=4500.</t>
  </si>
  <si>
    <t>Chip mass per chip (kg) — year-row</t>
  </si>
  <si>
    <t>1.2 → 0.8 → 0.8.</t>
  </si>
  <si>
    <t>Chip cost per chip ($) — year-row</t>
  </si>
  <si>
    <t>$30K → $5K → $2.5K.</t>
  </si>
  <si>
    <t>Price per H100-equiv GPU-hr ($) — year-row</t>
  </si>
  <si>
    <t>$2 in 2026, -5%/yr deflation.</t>
  </si>
  <si>
    <t>Utilization % (fleet ramp) — year-row</t>
  </si>
  <si>
    <t>0.4 → 0.85 by 2029.</t>
  </si>
  <si>
    <t>▸ Dual revenue model (Sprint 3.5)</t>
  </si>
  <si>
    <t>Credence on Model A (Pr(A))</t>
  </si>
  <si>
    <t>Sprint 3.5 default. Pr(B) = 1 − Pr(A).</t>
  </si>
  <si>
    <t>Epistemic weight, not scenario probability</t>
  </si>
  <si>
    <t>CoreWeave baseline anchor ($B/GW_IT/yr, 2026)</t>
  </si>
  <si>
    <t>Rittenhouse Research, $12B/GW_IT/yr.</t>
  </si>
  <si>
    <t>PUE_base (terrestrial colo)</t>
  </si>
  <si>
    <t>Industry standard terrestrial PUE.</t>
  </si>
  <si>
    <t>Orbital PUE</t>
  </si>
  <si>
    <t>First-principles: PDU 95% + pumps 3-5% + housekeeping 3% + eclipse 1%.</t>
  </si>
  <si>
    <t>Terrestrial price deflation %/yr (Model A baseline year-row driver)</t>
  </si>
  <si>
    <t>Matches GPU-hr deflation for model congruence.</t>
  </si>
  <si>
    <t>Steady-state utilization (for Model A util-adjustment ratio)</t>
  </si>
  <si>
    <t>Same as utilization steady-state.</t>
  </si>
  <si>
    <t>Derived link</t>
  </si>
  <si>
    <t>▸ ODC internal vs external compute split (NEW per Vlad's framing)</t>
  </si>
  <si>
    <t>ODC internal compute share to AI Stack % — year-row</t>
  </si>
  <si>
    <t>Most ODC compute feeds AI Stack internally early; external share grows as compute market matures.</t>
  </si>
  <si>
    <t>triangle-yearrow</t>
  </si>
  <si>
    <t>Vlad lock: most ODC feeds AI Stack internally. MC tunes external market growth.</t>
  </si>
  <si>
    <t>ODC external compute share to customers % — year-row</t>
  </si>
  <si>
    <t>Derived = 1 − internal share.</t>
  </si>
  <si>
    <t>§7 AI STACK (standalone module)</t>
  </si>
  <si>
    <t>▸ Cursor (orchestration)</t>
  </si>
  <si>
    <t>Cursor paid seats (millions) — year-row</t>
  </si>
  <si>
    <t>Vlad to tune. Stub: 2M in 2026 → 50M by 2035.</t>
  </si>
  <si>
    <t>Speculative product ramp</t>
  </si>
  <si>
    <t>Cursor avg subscription price ($/seat/mo)</t>
  </si>
  <si>
    <t>Disclosed Cursor pricing tier.</t>
  </si>
  <si>
    <t>Cursor enterprise API rev per seat ($/year)</t>
  </si>
  <si>
    <t>Adds ~25% to base subscription.</t>
  </si>
  <si>
    <t>▸ Grok consumer (X Premium / Grok Premium)</t>
  </si>
  <si>
    <t>Grok consumer paid subs (millions) — year-row</t>
  </si>
  <si>
    <t>Vlad to tune. Stub: 5M in 2026 → 80M by 2035 (rides X platform growth + AI features).</t>
  </si>
  <si>
    <t>Speculative consumer ramp</t>
  </si>
  <si>
    <t>Grok consumer ARPU ($/user/year)</t>
  </si>
  <si>
    <t>X Premium $84 + Grok Heavy upgrades = ~$96.</t>
  </si>
  <si>
    <t>▸ Grok enterprise (API)</t>
  </si>
  <si>
    <t>Grok enterprise API token volume (T tokens/year) — year-row</t>
  </si>
  <si>
    <t>Vlad to tune. Stub: 5T in 2026 → 1000T by 2035.</t>
  </si>
  <si>
    <t>Dampened from raw stub</t>
  </si>
  <si>
    <t>Grok enterprise API price ($/Mtoken) — year-row</t>
  </si>
  <si>
    <t>$5 in 2026, -5%/yr deflation (mirrors GPU-hr).</t>
  </si>
  <si>
    <t>▸ AI Stack operating parameters</t>
  </si>
  <si>
    <t>AI Stack insurance % of revenue</t>
  </si>
  <si>
    <t>1% catch-all.</t>
  </si>
  <si>
    <t>AI Stack other COGS % of revenue</t>
  </si>
  <si>
    <t>3% catch-all.</t>
  </si>
  <si>
    <t>§8 LUNAR / MARS (strategic carve-out — NOT in IRR queue)</t>
  </si>
  <si>
    <t>▸ Module-wide parameters</t>
  </si>
  <si>
    <t>Capital lifetime — book value straight-line depreciation (years)</t>
  </si>
  <si>
    <t>Legacy BV methodology.</t>
  </si>
  <si>
    <t>Module operating cost — Lunar (% of Lunar CapEx)</t>
  </si>
  <si>
    <t>5% mission ops.</t>
  </si>
  <si>
    <t>Module operating cost — Mars (% of Mars CapEx)</t>
  </si>
  <si>
    <t>▸ Labour unit shared parameters (Optimus-class proxy)</t>
  </si>
  <si>
    <t>Labour unit mass (kg)</t>
  </si>
  <si>
    <t>Robotic class proxy.</t>
  </si>
  <si>
    <t>Labour unit base hourly output ($/hr; burdened $22/0.7)</t>
  </si>
  <si>
    <t>Labour unit daily working hours</t>
  </si>
  <si>
    <t>Robots don't sleep.</t>
  </si>
  <si>
    <t>Labour unit productivity factor vs human baseline</t>
  </si>
  <si>
    <t>Parity stub.</t>
  </si>
  <si>
    <t>Wide MC per Q4'25</t>
  </si>
  <si>
    <t>Labour unit productivity learning rate (%/yr)</t>
  </si>
  <si>
    <t>5%/yr productivity gain.</t>
  </si>
  <si>
    <t>Labour unit operational lifespan on surface (years)</t>
  </si>
  <si>
    <t>Retirement vintage.</t>
  </si>
  <si>
    <t>▸ Lunar-specific</t>
  </si>
  <si>
    <t>Lunar fuel depot multiplier per outbound Starship</t>
  </si>
  <si>
    <t>1 tanker per moon ship.</t>
  </si>
  <si>
    <t>Lunar payload per surface-landed Starship (kg)</t>
  </si>
  <si>
    <t>Translunar with landing reserve.</t>
  </si>
  <si>
    <t>Lunar % payload as labour units</t>
  </si>
  <si>
    <t>▸ Mars-specific</t>
  </si>
  <si>
    <t>Mars fuel depot multiplier per outbound Starship</t>
  </si>
  <si>
    <t>Rocket equation; 5 tankers per Mars ship.</t>
  </si>
  <si>
    <t>Mars payload per surface-landed Starship (kg)</t>
  </si>
  <si>
    <t>Cargo Starship Mars landing.</t>
  </si>
  <si>
    <t>Mars % payload as labour units</t>
  </si>
  <si>
    <t>Same as Lunar.</t>
  </si>
  <si>
    <t>▸ Year-row cost curves</t>
  </si>
  <si>
    <t>Labour unit cost ($/unit) — declining curve</t>
  </si>
  <si>
    <t>Tesla Optimus aspirational pricing trajectory.</t>
  </si>
  <si>
    <t>Hardware replacement cost factor ($/kg landed) — declining</t>
  </si>
  <si>
    <t>Supply chain maturation.</t>
  </si>
  <si>
    <t>▸ Lunar / Mars share of carve-out cash (derived deployment)</t>
  </si>
  <si>
    <t>Lunar share of Mars/Moon carve-out cash — year-row</t>
  </si>
  <si>
    <t>Lunar continuous (year-round); fills lower-cost end. Stub: high initially, drops as Mars windows arrive.</t>
  </si>
  <si>
    <t>Mars share of carve-out cash — year-row</t>
  </si>
  <si>
    <t>Window-bound (~every 26 months). Derived = 1 − Lunar share.</t>
  </si>
  <si>
    <t>§9 OPEX (Group-level)</t>
  </si>
  <si>
    <t>▸ R&amp;D by module (start% / end% / CAGR taper per Spec 03 §2.2)</t>
  </si>
  <si>
    <t>Starlink R&amp;D — start % of (Starlink + Starshield) rev</t>
  </si>
  <si>
    <t>Mature subscription business R&amp;D high start (V3 + DTC ramp).</t>
  </si>
  <si>
    <t>Starlink R&amp;D — end-state % (floor)</t>
  </si>
  <si>
    <t>Mature satcom peer floor.</t>
  </si>
  <si>
    <t>Starlink R&amp;D — CAGR (taper)</t>
  </si>
  <si>
    <t>10%/yr taper toward floor.</t>
  </si>
  <si>
    <t>Customer Launch R&amp;D — start % of external rev</t>
  </si>
  <si>
    <t>Heavy 2025-2028 Starship dev.</t>
  </si>
  <si>
    <t>Customer Launch R&amp;D — end-state % (floor)</t>
  </si>
  <si>
    <t>Mature post-Starship-commercial.</t>
  </si>
  <si>
    <t>Customer Launch R&amp;D — CAGR (taper)</t>
  </si>
  <si>
    <t>Sharp taper.</t>
  </si>
  <si>
    <t>ODC R&amp;D — start % of ODC rev</t>
  </si>
  <si>
    <t>Early-stage 30% R&amp;D / rev.</t>
  </si>
  <si>
    <t>ODC R&amp;D — end-state % (floor)</t>
  </si>
  <si>
    <t>8% mature.</t>
  </si>
  <si>
    <t>ODC R&amp;D — CAGR (taper)</t>
  </si>
  <si>
    <t>15%/yr taper.</t>
  </si>
  <si>
    <t>AI Stack R&amp;D — start % of AI Stack rev</t>
  </si>
  <si>
    <t>Software/R&amp;D heavy.</t>
  </si>
  <si>
    <t>AI Stack R&amp;D — end-state % (floor)</t>
  </si>
  <si>
    <t>Mature software.</t>
  </si>
  <si>
    <t>AI Stack R&amp;D — CAGR (taper)</t>
  </si>
  <si>
    <t>Taper.</t>
  </si>
  <si>
    <t>▸ R&amp;D — Moon/Mars ($-profile year-row, pre-revenue)</t>
  </si>
  <si>
    <t>R&amp;D — Moon/Mars ($mm/yr) — year-row</t>
  </si>
  <si>
    <t>Q4'25 anchored $700M in 2025 (V30.5 had $500M — bumped). Ramps then tapers per program lifecycle.</t>
  </si>
  <si>
    <t>Q4'25 anchored 2025; trajectory MC-variable</t>
  </si>
  <si>
    <t>▸ SG&amp;A by function</t>
  </si>
  <si>
    <t>Sales &amp; Marketing — start % of (Starlink+Starshield+Customer Launch ext) rev</t>
  </si>
  <si>
    <t>Includes terminal-acquisition marketing.</t>
  </si>
  <si>
    <t>Sales &amp; Marketing — end-state % (floor)</t>
  </si>
  <si>
    <t>Mature.</t>
  </si>
  <si>
    <t>Sales &amp; Marketing — CAGR (taper)</t>
  </si>
  <si>
    <t>General &amp; Administrative — start % of group rev</t>
  </si>
  <si>
    <t>5% G&amp;A start.</t>
  </si>
  <si>
    <t>General &amp; Administrative — end-state % (ceiling)</t>
  </si>
  <si>
    <t>Drifts up at scale (compliance / HQ).</t>
  </si>
  <si>
    <t>General &amp; Administrative — CAGR (drift)</t>
  </si>
  <si>
    <t>1%/yr drift up.</t>
  </si>
  <si>
    <t>Customer Service — flat % of Starlink subscription rev</t>
  </si>
  <si>
    <t>2% CS on Starlink subs (BB + DTC).</t>
  </si>
  <si>
    <t>Other corporate operating — flat % of group rev</t>
  </si>
  <si>
    <t>1% catch-all incl. regulatory fees.</t>
  </si>
  <si>
    <t>§10 CAPEX (Corporate + Spectrum + Module Aggregation)</t>
  </si>
  <si>
    <t>▸ Corporate facilities CapEx ($mm/yr)</t>
  </si>
  <si>
    <t>HQ buildings CapEx ($mm/yr, flat)</t>
  </si>
  <si>
    <t>Stub. MC range wide given uncertainty on corporate expansion.</t>
  </si>
  <si>
    <t>Corporate IT CapEx ($mm/yr, flat)</t>
  </si>
  <si>
    <t>Stub.</t>
  </si>
  <si>
    <t>General engineering facilities CapEx ($mm/yr, flat)</t>
  </si>
  <si>
    <t>Other corporate CapEx ($mm/yr, flat)</t>
  </si>
  <si>
    <t>▸ Corporate useful lives</t>
  </si>
  <si>
    <t>HQ buildings useful life (years)</t>
  </si>
  <si>
    <t>Standard.</t>
  </si>
  <si>
    <t>Corporate IT useful life (years)</t>
  </si>
  <si>
    <t>IT refresh cycle.</t>
  </si>
  <si>
    <t>General engineering facilities life (years)</t>
  </si>
  <si>
    <t>Industrial facility life.</t>
  </si>
  <si>
    <t>Other corporate useful life (years)</t>
  </si>
  <si>
    <t>Generic.</t>
  </si>
  <si>
    <t>▸ Corporate historical capital base</t>
  </si>
  <si>
    <t>Corporate historical capital base ($mm)</t>
  </si>
  <si>
    <t>Pre-2025 corporate CapEx accumulated.</t>
  </si>
  <si>
    <t>▸ EchoStar spectrum (Spec 03 §5)</t>
  </si>
  <si>
    <t>EchoStar mid-band CapEx ($mm) — year-row</t>
  </si>
  <si>
    <t>$20B cumulative 2025-2028. Disclosed deal ~$17B; rebuild uses $20B Vlad-locked stub.</t>
  </si>
  <si>
    <t>Year-by-year cadence MC-variable; total $20B Vlad-locked</t>
  </si>
  <si>
    <t>Spectrum useful life (years)</t>
  </si>
  <si>
    <t>Spec 03 stub.</t>
  </si>
  <si>
    <t>§11 VALUATION</t>
  </si>
  <si>
    <t>▸ WACC + risk premia</t>
  </si>
  <si>
    <t>Group WACC</t>
  </si>
  <si>
    <t>10% stub for high-growth tech.</t>
  </si>
  <si>
    <t>Risk premium — Starlink (over group WACC)</t>
  </si>
  <si>
    <t>Mature; baseline = group.</t>
  </si>
  <si>
    <t>Risk premium — Customer Launch</t>
  </si>
  <si>
    <t>Cyclical demand + Starship dev risk.</t>
  </si>
  <si>
    <t>Risk premium — ODC</t>
  </si>
  <si>
    <t>Pre-revenue infra.</t>
  </si>
  <si>
    <t>Risk premium — AI Stack</t>
  </si>
  <si>
    <t>Speculative.</t>
  </si>
  <si>
    <t>Risk premium — Lunar / Mars</t>
  </si>
  <si>
    <t>Pre-revenue, narrative-heavy.</t>
  </si>
  <si>
    <t>▸ WACC component memos (not used in formulas)</t>
  </si>
  <si>
    <t>Cost of equity (memo)</t>
  </si>
  <si>
    <t>CAPM placeholder.</t>
  </si>
  <si>
    <t>Memo only</t>
  </si>
  <si>
    <t>Cost of debt (memo)</t>
  </si>
  <si>
    <t>Apollo SpaceX private credit anchor ~9-11%.</t>
  </si>
  <si>
    <t>Leverage E/V (memo)</t>
  </si>
  <si>
    <t>Informational.</t>
  </si>
  <si>
    <t>▸ Terminal value parameters</t>
  </si>
  <si>
    <t>Terminal growth rate g (group + most modules)</t>
  </si>
  <si>
    <t>Gordon Growth perpetuity.</t>
  </si>
  <si>
    <t>Starlink — exit revenue multiple</t>
  </si>
  <si>
    <t>Mature satcom comp range.</t>
  </si>
  <si>
    <t>Lunar / Mars — terminal BV multiplier</t>
  </si>
  <si>
    <t>Wide range; deeply uncertain.</t>
  </si>
  <si>
    <t>Starship D&amp;A useful life — memo add-back for Launch standalone DCF</t>
  </si>
  <si>
    <t>Vehicle lifetime_reuses anchor.</t>
  </si>
  <si>
    <t>Terminal FCF averaging window (years pre-2050)</t>
  </si>
  <si>
    <t>Smooths the FCF cliff.</t>
  </si>
  <si>
    <t>Smoothing parameter</t>
  </si>
  <si>
    <t>▸ Comparables anchors ($B)</t>
  </si>
  <si>
    <t>Comp anchor — Group EV (Morgan Stanley public)</t>
  </si>
  <si>
    <t>Public sell-side note (2025).</t>
  </si>
  <si>
    <t>Comp anchor — Group EV (Brant internal)</t>
  </si>
  <si>
    <t>⚠ Memo only — DO NOT QUOTE EXTERNALLY.</t>
  </si>
  <si>
    <t>Memo only — internal anchor</t>
  </si>
  <si>
    <t>Comp anchor — Starlink standalone (Bernstein/JPM)</t>
  </si>
  <si>
    <t>EV/Rev ~10× × $15B rev.</t>
  </si>
  <si>
    <t>Comp anchor — ODC standalone (CoreWeave-anchored)</t>
  </si>
  <si>
    <t>Pre-revenue placeholder.</t>
  </si>
  <si>
    <t>Comp anchor — Customer Launch standalone (Rocket Lab)</t>
  </si>
  <si>
    <t>EV/Rev ~5× × $8B 2025 launch rev.</t>
  </si>
  <si>
    <t>Comp anchor — AI Stack standalone</t>
  </si>
  <si>
    <t>Wakes when AI Stack revenue lights up.</t>
  </si>
  <si>
    <t>Auto-wakes</t>
  </si>
  <si>
    <t>Comp anchor — Lunar / Mars (NASA HLS lifetime)</t>
  </si>
  <si>
    <t>Lifetime HLS contracts + Mars TAM.</t>
  </si>
  <si>
    <t>Wide</t>
  </si>
  <si>
    <t>▸ SoTP multiples (EV/Revenue at 2050)</t>
  </si>
  <si>
    <t>Multiple — Customer Launch (EV/Rev at 2050)</t>
  </si>
  <si>
    <t>Rocket Lab proxy.</t>
  </si>
  <si>
    <t>Multiple — Starlink (EV/Rev at 2050)</t>
  </si>
  <si>
    <t>Mature satcom.</t>
  </si>
  <si>
    <t>Multiple — ODC (EV/Rev at 2050)</t>
  </si>
  <si>
    <t>CoreWeave proxy.</t>
  </si>
  <si>
    <t>Multiple — AI Stack (EV/Rev at 2050)</t>
  </si>
  <si>
    <t>Placeholder; AI Stack sprint may refine.</t>
  </si>
  <si>
    <t>Multiple — Lunar / Mars (anchor stub, $B)</t>
  </si>
  <si>
    <t>BV-based, not revenue-multiple.</t>
  </si>
  <si>
    <t>BV-based</t>
  </si>
  <si>
    <t>Date</t>
  </si>
  <si>
    <t>Sprint</t>
  </si>
  <si>
    <t>Tabs touched</t>
  </si>
  <si>
    <t>Summary</t>
  </si>
  <si>
    <t>Outstanding</t>
  </si>
  <si>
    <t>Assumptions (built), Allocator + Launch Capacity + Customer Launch + Starlink + Starlink Capacity + ODC + AI Stack + Lunar Mars + Group P&amp;L + OpEx + CapEx + Valuation (year header + offset row staged), Claude Log (created)</t>
  </si>
  <si>
    <t>Built v2 baseline workbook from scratch. Created 14 tabs in locked sheet order. Year header (D=2025…AC=2050) and year-offset row (D=0…AC=25) staged as literal integers on every year-column tab. Assumptions tab populated from §3.6 inline build plan — 300 rows across 11 sections. Every input has Base Case + MC range + distribution + notes. All §4.2 anchors verified (starting cash $5B, F9 fleet 28, F9 price $111M, Mars/Moon R&amp;D $700M, Starshield decay 0.25, Starshield rev/Gbps $164,699). Six Q4'25 corrections vs V30.5 applied.</t>
  </si>
  <si>
    <t>Demand Curves tab not yet imported — Sprint 4 decides.</t>
  </si>
  <si>
    <t>§1 CASH POOL TRACKER</t>
  </si>
  <si>
    <t>§2 QUEUE GATE</t>
  </si>
  <si>
    <t>§3 MARS/MOON STRATEGIC CARVE-OUT</t>
  </si>
  <si>
    <t>§4 CASH IRR-PRIORITY SIGMOID QUEUE</t>
  </si>
  <si>
    <t>§5 MODULE CASH ALLOCATIONS (canonical labels — read by module IN blocks)</t>
  </si>
  <si>
    <t>§6 KG IRR-PRIORITY SIGMOID QUEUE</t>
  </si>
  <si>
    <t>§7 MODULE KG ALLOCATIONS (canonical labels — read by module IN blocks)</t>
  </si>
  <si>
    <t>§8 VEHICLE BUILD CLAIM</t>
  </si>
  <si>
    <t>§9 CENTRAL IRR DISPLAY</t>
  </si>
  <si>
    <t>Customer Launch cash allocation</t>
  </si>
  <si>
    <t>Starlink cash allocation</t>
  </si>
  <si>
    <t>ODC cash allocation</t>
  </si>
  <si>
    <t>AI Stack cash allocation</t>
  </si>
  <si>
    <t>Lunar Mars cash allocation</t>
  </si>
  <si>
    <t>Customer Launch kg allocation</t>
  </si>
  <si>
    <t>Starlink kg allocation</t>
  </si>
  <si>
    <t>ODC kg allocation</t>
  </si>
  <si>
    <t>AI Stack kg allocation</t>
  </si>
  <si>
    <t>Lunar Mars kg allocation</t>
  </si>
  <si>
    <t>Sprint 10 populates from sigmoid blend (§4). Sprint 1 = 0 placeholder.</t>
  </si>
  <si>
    <t>Sprint 10 populates from kg sigmoid blend (§6). Sprint 1 = 0 placeholder.</t>
  </si>
  <si>
    <t>AI Stack consumes no Starship kg (terrestrial per Architecture §10.4). Locked at 0 across the horizon.</t>
  </si>
  <si>
    <t>INPUTS FROM CENTRAL ALLOCATOR</t>
  </si>
  <si>
    <t>Capital Allocation ($mm)</t>
  </si>
  <si>
    <t>Starship Capacity Allocation (kg-to-LEO)</t>
  </si>
  <si>
    <t>Total Capital Available ($mm)</t>
  </si>
  <si>
    <t>Reads Allocator section 7 by label. Sprint 1 returns 0 (placeholder upstream).</t>
  </si>
  <si>
    <t>Reads Allocator section 5 by label. Sprint 1 returns 0 (placeholder upstream).</t>
  </si>
  <si>
    <t>= Capital Allocation (no separate Cash Sweep row — Layer 3 retired).</t>
  </si>
  <si>
    <t>CENTRAL ALLOCATOR OUTPUTS</t>
  </si>
  <si>
    <t>Total Revenue ($mm)</t>
  </si>
  <si>
    <t>Module EBITDA ($mm)</t>
  </si>
  <si>
    <t>Module EBITDA Margin %</t>
  </si>
  <si>
    <t>Module FCF ($mm)</t>
  </si>
  <si>
    <t>Module CapEx ($mm)</t>
  </si>
  <si>
    <t>Capital deployed ($mm)</t>
  </si>
  <si>
    <t>Spot IRR</t>
  </si>
  <si>
    <t>Forward IRR (Y+2)</t>
  </si>
  <si>
    <t>Blended IRR</t>
  </si>
  <si>
    <t>Capacity Demand (kg-to-LEO)</t>
  </si>
  <si>
    <t>Module-body sprint fills.</t>
  </si>
  <si>
    <t>Gross Profit per vending-machine framing. Module-body sprint fills.</t>
  </si>
  <si>
    <t>= EBITDA / Revenue with IFERROR guard. Module-body sprint fills.</t>
  </si>
  <si>
    <t>= EBITDA + module D&amp;A add-back - Module CapEx, pre-tax pre-corp. Module-body sprint fills.</t>
  </si>
  <si>
    <t>= actual deployment x unit cost. Module-body sprint fills.</t>
  </si>
  <si>
    <t>Per-sat / per-launch marginal IRR. Module-body sprint fills using IFERROR(IRR(...),-1).</t>
  </si>
  <si>
    <t>Per-sat / per-launch marginal IRR evaluated at T+2. Module-body sprint fills.</t>
  </si>
  <si>
    <t>= (1-Forward_weight)*Spot + Forward_weight*Forward; Forward_weight = Assumptions!B17 = 0.7. Module-body sprint fills.</t>
  </si>
  <si>
    <t>Module's uncapped kg demand fed to Allocator section 6. Module-body sprint fills.</t>
  </si>
  <si>
    <t>= Capital Allocation (no separate Cash Sweep row -- Layer 3 retired).</t>
  </si>
  <si>
    <t>Lunar Accumulated Book Value ($mm)</t>
  </si>
  <si>
    <t>Mars Accumulated Book Value ($mm)</t>
  </si>
  <si>
    <t>STARLINK CAPACITY -- aggregates constellation BB + DTC pools, allocates internal bandwidth claim to ODC, computes available bandwidth for external Starlink revenue. Sprint 4 fills.</t>
  </si>
  <si>
    <t>OPEX -- corporate operating costs (R&amp;D by module + SG&amp;A by function). Sprint 8 fills.</t>
  </si>
  <si>
    <t>CAPEX -- module CapEx aggregation + corporate CapEx + spectrum CapEx + corporate D&amp;A. Sprint 8 fills.</t>
  </si>
  <si>
    <t>VALUATION -- DCF off Group FCF + Sum-of-parts per module + Multiples cross-check + Comparables + Sensitivity. Sprint 11 fills.</t>
  </si>
  <si>
    <t>GROUP P&amp;L -- consolidated Revenue / EBITDA / D&amp;A / EBIT / Taxes / NOPAT / CapEx / FCF + inter-module eliminations + conservation block. Sprint 9 fills the P&amp;L walk above row 99.</t>
  </si>
  <si>
    <t>Revenue check</t>
  </si>
  <si>
    <t>EBITDA check</t>
  </si>
  <si>
    <t>CapEx check</t>
  </si>
  <si>
    <t>FCF check</t>
  </si>
  <si>
    <t>D&amp;A check</t>
  </si>
  <si>
    <t>EBIT consistency</t>
  </si>
  <si>
    <t>Launch services elimination conservation</t>
  </si>
  <si>
    <t>Bandwidth elimination conservation</t>
  </si>
  <si>
    <t>Compute elimination conservation</t>
  </si>
  <si>
    <t>ALL OK boolean</t>
  </si>
  <si>
    <t>R108 = OK required for any sprint to declare complete (Rule 5).</t>
  </si>
  <si>
    <t>Allocator (skeleton: 9 section headers + 10 canonical allocation rows at canonical labels); Customer Launch + Starlink + ODC + AI Stack + Lunar Mars (IN block rows 7-10 with live INDEX/MATCH against Allocator + OUT block rows 200-210 with literal 0 placeholders; Lunar Mars also rows 211-212 BV memos); Launch Capacity + Starlink Capacity + OpEx + CapEx + Valuation (title row 6 only); Group P&amp;L (conservation block rows 99-109 with R108 boolean formula); Claude Log (this row).</t>
  </si>
  <si>
    <t>Wired the cross-tab contract. Every module's IN block resolves to 0 via INDEX/MATCH against Allocator's canonical allocation labels (5 cash, 5 kg). Every module's OUT block has the 11 canonical rows (Lunar Mars adds 2 BV memos). Group P&amp;L conservation block reads OK at trivial 0=0 across all years. No formula errors, round-trip stable.</t>
  </si>
  <si>
    <t>Reserved blank rows on Allocator (rows 8-15, 18-29, 32-37, 40-80, 90-130, 140-150, 153-165) await Sprint 10 computation logic. Reserved blank rows 11-199 on each module tab await module-body sprints (Customer Launch = Sprint 3, Starlink = Sprint 4, ODC = Sprint 5, AI Stack = Sprint 6, Lunar Mars = Sprint 7). Group P&amp;L rows 7-98 await Sprint 9 P&amp;L walk.</t>
  </si>
  <si>
    <t>STARSHIP — VEHICLE SUPPLY</t>
  </si>
  <si>
    <t>▸ Physical + cost parameters (from Assumptions §3)</t>
  </si>
  <si>
    <t>▸ Variant mix + booster lifetime reuses (year-rows from Assumptions §3)</t>
  </si>
  <si>
    <t>▸ Starship at-cost transfer rate (Architecture §7.1)</t>
  </si>
  <si>
    <t>FALCON 9 — VEHICLE SUPPLY</t>
  </si>
  <si>
    <t>▸ F9 supply mechanic (pre-V3-trigger anchors + post-trigger decay)</t>
  </si>
  <si>
    <t>▸ F9 capacity + at-cost transfer rate</t>
  </si>
  <si>
    <t>BLENDED COST STACK + CALIBRATION</t>
  </si>
  <si>
    <t>Memo: 2025 calibration anchors (read-only diagnostics)</t>
  </si>
  <si>
    <t>Super Heavy manufacturing cost ($mm/unit)</t>
  </si>
  <si>
    <t>Starship 2nd-stage manufacturing cost ($mm/unit)</t>
  </si>
  <si>
    <t>Launches per Starship vehicle per year (cadence)</t>
  </si>
  <si>
    <t>Booster fleet beginning-of-year (units)</t>
  </si>
  <si>
    <t>Boosters built per year (units)</t>
  </si>
  <si>
    <t>Boosters retired per year (units)</t>
  </si>
  <si>
    <t>Booster fleet end-of-year (units)</t>
  </si>
  <si>
    <t>Cum upmass to date (kg)</t>
  </si>
  <si>
    <t>Per-launch upmass (kg)</t>
  </si>
  <si>
    <t>Booster-only launches per year (count)</t>
  </si>
  <si>
    <t>Fully-reusable launches per year (count)</t>
  </si>
  <si>
    <t>Total Starship launches per year</t>
  </si>
  <si>
    <t>Total Annual Capacity (kg-to-LEO)</t>
  </si>
  <si>
    <t>Starship at-cost rate ($mm/launch)</t>
  </si>
  <si>
    <t>F9 WL learning rate</t>
  </si>
  <si>
    <t>F9 fleet beginning-of-year (boosters)</t>
  </si>
  <si>
    <t>F9 retired per year (boosters)</t>
  </si>
  <si>
    <t>F9 fleet end-of-year (boosters)</t>
  </si>
  <si>
    <t>F9 launches per year</t>
  </si>
  <si>
    <t>F9 cadence-utilization per booster (memo, derived)</t>
  </si>
  <si>
    <t>F9 Annual Capacity (kg-to-LEO)</t>
  </si>
  <si>
    <t>F9 variable cost per launch ($mm)</t>
  </si>
  <si>
    <t>F9 booster D&amp;A share per launch ($mm)</t>
  </si>
  <si>
    <t>F9 at-cost rate ($mm/launch)</t>
  </si>
  <si>
    <t>Total launches per year (all vehicles)</t>
  </si>
  <si>
    <t>Total upmass per year (kg)</t>
  </si>
  <si>
    <t>Total launch CapEx per year ($mm) — variable + amortized D&amp;A</t>
  </si>
  <si>
    <t>Blended $/kg</t>
  </si>
  <si>
    <t>Memo: 2025 calibration status</t>
  </si>
  <si>
    <t>Launch Capacity (full build, rows 6-80); Claude Log (this row).</t>
  </si>
  <si>
    <t>Built Launch Capacity tab end-to-end. Starship section (rows 6-40): R8-17 physical parameter pulls from Assumptions by label; R20-21 year-row variant mix + lifetime reuses pulls; R23 Wright's Law cadence on LAGGED cum upmass with 1-ship (=R12=100K kg) anchor and α=−log₂(1−0.145)=0.226, floored at 1, capped at R15=60; R24-27 booster fleet stock-flow (year-chained, Rule 23 exception); R25 boosters built=0 placeholder for Sprint 10 vehicle build claim; R28 cum upmass running sum; R29 variant-mix-weighted per-launch upmass; R31-33 launch counts; R34 Total Annual Capacity (kg-to-LEO) — canonical Sprint 10 label, Starship-only per 2026-05-20 lock; R37-40 at-cost transfer rate stack. F9 section (rows 42-71): R44-52 physical pulls; R55-58 supply mechanic anchors; R60-65 fleet dynamics with 2025-2026 historical anchors (D61/E61=17 manufactured, D62/E62=6 retired, D64/E64=171 launches — Q4'25 anchors + Vlad-set 2026 carryover per 2026-05-20 lock) and F-column post-V3-trigger decay from 2027 over R57=8 years; R68 F9 Annual Capacity (kg-to-LEO); R69-71 D-only flat at-cost rate. Blended section (rows 73-80): R74-77 totals + Blended $/kg; R80 calibration memo. 2025 calibration: D64=171 ✓, D63=39 ✓, D61=17 ✓, D33=0 ✓, D77=$778.51/kg ✓ (within $400-$800), D80="PASS". All 8 canonical output row labels exact-match (stale-ref scan PASS). No formula errors A6:AC80. No writes outside Launch Capacity + Claude Log.</t>
  </si>
  <si>
    <t>(a) Starship per-launch ops cost not in Assumptions §3 — defaulted to $0 in R37 variable-cost formula; flag for Sprint 3 patch (recommend ~$5M Base, MC [3,10]). (b) F9 retirement engine simplified to constant 6/yr from 2026 onwards — full lifetime-reuses tracking deferred to a patch sprint (will overshoot fleet by 2026 absent demand-driven mechanic). (c) §6.1 "~450K kg 2025 Starship capacity" target acknowledged as not satisfiable in Sprint 2 because R25 boosters built=0; Sprint 10 vehicle build claim writes R25 endogenously, lighting up R27 → R23 → R33 → R34. (d) 2026 F9 anchors (E61=17, E62=6, E64=171) are static carryovers — Sprint 3/4 will repoint E64 to demand-driven via INDEX/MATCH on Customer Launch + Starlink V2 internal launches. (e) F9 launches F-column decay stub (171 × (1−(year−2027)/8)) is intentionally simple — Sprint 3/4 replaces with demand-driven. (f) Edge-year I40 (Starship at-cost 2030) = $9.06M vs spec's mental ~$19M — formula correct; discrepancy is because actual Assumptions has I20=70% variant mix and I21=30 lifetime reuses (faster ramp than spec's I20=30%/I21=15 mental model). Vlad to confirm Assumptions ramp is intended; if so, Sprint 2 PASS. (g) Blended $/kg R77 displays $778 in 2025 (100% F9) trending to 0 in out-years where both F9 decayed + Starship still=0 — treat as F9-only metric until Sprint 10 lights up Starship.</t>
  </si>
  <si>
    <t>Mach33: booster 60% × $90M total mfg = $54M today. ±25% MC range. Updated Sprint 3 Patch E §6.13.</t>
  </si>
  <si>
    <t>Mach33: ship 40% × $90M total mfg = $36M today. ±25% MC range. Updated Sprint 3 Patch E §6.13.</t>
  </si>
  <si>
    <t>Step function 0 → 1.0 at 2027 per Vlad lock 2026-05-20. 2025-2026 pre-commercial test era; 2027+ 100% fully reusable LEO. Sprint 7 Lunar Mars reads booster-only memo R41 for ship-expended; LEO consumers (Sprint 3/4/5/10) read R40. Updated Sprint 3 Patch E §6.13.</t>
  </si>
  <si>
    <t>F9 retirement rate (% of launches/year)</t>
  </si>
  <si>
    <t>Starship manufacturing cost anchor ($mm/stack, 2024 baseline)</t>
  </si>
  <si>
    <t>Starship manufacturing WL learning rate (% reduction per doubling cum stacks)</t>
  </si>
  <si>
    <t>Starship cost WL anchor cum units (= cum stacks at end-2024 baseline)</t>
  </si>
  <si>
    <t>Starship ops + fuel + refurb cost anchor ($mm/launch, 2024 baseline)</t>
  </si>
  <si>
    <t>Starship ops + fuel + refurb WL learning rate (% reduction per doubling cum stacks)</t>
  </si>
  <si>
    <t>Starship booster share of manufacturing cost (% of stack mfg)</t>
  </si>
  <si>
    <t>Starship payload — 2025 baseline (kg-to-LEO, fully reusable mode)</t>
  </si>
  <si>
    <t>Starship payload — 2030 anchor (kg-to-LEO, fully reusable mode)</t>
  </si>
  <si>
    <t>Starship payload — max cap (kg-to-LEO)</t>
  </si>
  <si>
    <t>Starship payload — booster-only mode delta (kg, additive to fully-reusable payload)</t>
  </si>
  <si>
    <t>Total customer launch market (launches/yr) — 2025 anchor</t>
  </si>
  <si>
    <t>Total customer launch market CAGR (% growth/yr)</t>
  </si>
  <si>
    <t>Starship customer launch margin — 2027 anchor (multiplier on at-cost rate)</t>
  </si>
  <si>
    <t>Starship customer launch margin — 2050 terminal (multiplier on at-cost rate, floor)</t>
  </si>
  <si>
    <t>Q4'25 Earth!$B$30. Implies ~100-launch fleet-average lifetime. Patch A: Launch Capacity R62 uses this rate. Reconcilable with R54 F9 lifetime reuses=50 (technical ceiling) — retirement rate is probabilistic.</t>
  </si>
  <si>
    <t>Mach33 today anchor (booster $54M + ship $36M). ±25% MC.</t>
  </si>
  <si>
    <t>Mach33 stated + Q4'25 R159 + NASA aerospace standard. Q4'25 Valuation Inputs!R21 same. MC: 10% conservative → 25% aggressive industrial.</t>
  </si>
  <si>
    <t>Q4'25 R160 default. ~4 successful Starship integrated flight tests through end-2024.</t>
  </si>
  <si>
    <t>Mach33 today: $10M ops+fuel + $2M refurb. MC ±50% reflects high uncertainty on Starship ground-handling cost vs F9 maturity.</t>
  </si>
  <si>
    <t>Back-derived from Mach33's three regime anchors ($12M → $5.5M → $3.25M). MC range wider than mfg's; ops+fuel+refurb learning less-studied.</t>
  </si>
  <si>
    <t>Mach33 booster 60% / ship 40% split. Booster heavier + 33 Raptors vs ship's 6.</t>
  </si>
  <si>
    <t>Sprint 0 R12 value retained as 2025 baseline anchor. Q4'25 Earth!I76=75K kg; Sprint 0 100K (slightly more optimistic for 2025 V3 era).</t>
  </si>
  <si>
    <t>Q4'25 Valuation Inputs!R19 median = 200K. Drives the bounded-CAGR year-row. Mach33 1k/yr regime anchor.</t>
  </si>
  <si>
    <t>Q4'25 Earth!R74 = 250K (matches Mach33's 10k/yr regime payload anchor). Hard ceiling on per-launch upmass.</t>
  </si>
  <si>
    <t>~50K kg payload bonus from not landing the ship (Sprint 0 R11 − R12 = 150K − 100K = 50K). Applied to booster-only mode (Moon/Mars per Patch E §6.11).</t>
  </si>
  <si>
    <t>Q4'25 Earth!R51 anchored value (commercial + government F9). 2025-2026 served 100% by F9; 2027+ split via IRR + capacity gates on Customer Launch tab.</t>
  </si>
  <si>
    <t>Customer launch market grows ~5%/yr as global space economy expands (satellite ops, ISAM, gov contracts). Wide MC reflects market sizing uncertainty.</t>
  </si>
  <si>
    <t>Customer pays 4× at-cost during 2027 capacity-constrained early-Starship era. At 2027 Starship at-cost ≈ $19.5M, customer price = $78M. Mach33 view that SpaceX captures large margin while capacity scarce.</t>
  </si>
  <si>
    <t>At full industrial scale, margin compresses to 50% (1.5× at-cost) as launch market matures + competition emerges. Still above F9 terminal because Starship maintains payload + cadence moat.</t>
  </si>
  <si>
    <t>Bookends: 0.5%/launch (200-launch lifetime, ultra-conservative) → 2%/launch (50-launch lifetime, matches R54). Q4'25 1% sits at central tendency.</t>
  </si>
  <si>
    <t>Captures SpaceX disclosed vs internal estimates.</t>
  </si>
  <si>
    <t>Covers 2-10 (varying definitions of 'successful test').</t>
  </si>
  <si>
    <t>MC captures variant build complexity.</t>
  </si>
  <si>
    <t>MC wide because no historical anchor.</t>
  </si>
  <si>
    <t>Cum Starship stacks manufactured (end-of-year, units)</t>
  </si>
  <si>
    <t>Starship manufacturing cost ($mm/stack, this year)</t>
  </si>
  <si>
    <t>Starship ops + fuel + refurb cost per launch ($mm, this year)</t>
  </si>
  <si>
    <t>Starship D&amp;A share per launch, fully reusable mode ($mm)</t>
  </si>
  <si>
    <t>Memo: Starship at-cost rate, ship-expended mode (Moon/Mars, $mm/launch)</t>
  </si>
  <si>
    <t>CUSTOMER LAUNCH — MODULE BODY</t>
  </si>
  <si>
    <t>▸ Demand mechanic (total market + F9 vs Starship split via IRR + capacity)</t>
  </si>
  <si>
    <t>▸ F9 customer launches — economics</t>
  </si>
  <si>
    <t>▸ Starship customer launches — economics</t>
  </si>
  <si>
    <t>▸ Internal transfer revenue (launch services to Sprint 4/5/6 consumers)</t>
  </si>
  <si>
    <t>▸ Module P&amp;L (vending-machine: Revenue → COGS → Module EBITDA → CapEx → FCF)</t>
  </si>
  <si>
    <t>▸ Per-launch marginal IRR engines (F9 + Starship, external customer only)</t>
  </si>
  <si>
    <t>▸ Memo: 2025 calibration anchors + diagnostic checks</t>
  </si>
  <si>
    <t>Total customer launch market (launches/yr)</t>
  </si>
  <si>
    <t>Starship customer launch margin multiplier (year-row)</t>
  </si>
  <si>
    <t>F9 customer launch price ($mm/launch)</t>
  </si>
  <si>
    <t>Starship customer launch price ($mm/launch)</t>
  </si>
  <si>
    <t>Starship Total Annual Capacity (kg-to-LEO) — from Launch Capacity</t>
  </si>
  <si>
    <t>Per-launch upmass (kg) — from Launch Capacity</t>
  </si>
  <si>
    <t>Starship internal kg demand (post-Starlink + ODC + AI Stack)</t>
  </si>
  <si>
    <t>Starship capacity available for customer launches (kg)</t>
  </si>
  <si>
    <t>Starship customer launches per year</t>
  </si>
  <si>
    <t>F9 customer launches per year</t>
  </si>
  <si>
    <t>F9 customer revenue ($mm)</t>
  </si>
  <si>
    <t>F9 variable cost per launch ($mm) — read from Launch Capacity</t>
  </si>
  <si>
    <t>F9 D&amp;A share per launch ($mm) — read from Launch Capacity</t>
  </si>
  <si>
    <t>F9 at-cost rate ($mm/launch) — read from Launch Capacity</t>
  </si>
  <si>
    <t>F9 customer launch insurance + other COGS ($mm/launch)</t>
  </si>
  <si>
    <t>Starship customer revenue ($mm)</t>
  </si>
  <si>
    <t>Starship ops + fuel + refurb cost per launch ($mm) — read from Launch Capacity</t>
  </si>
  <si>
    <t>Starship D&amp;A share per launch ($mm) — read from Launch Capacity</t>
  </si>
  <si>
    <t>Starship at-cost rate ($mm/launch) — read from Launch Capacity</t>
  </si>
  <si>
    <t>Starship customer launch insurance + other COGS ($mm/launch)</t>
  </si>
  <si>
    <t>F9 internal launches (BB + DTC)</t>
  </si>
  <si>
    <t>Customer Launch internal transfer revenue ($mm)</t>
  </si>
  <si>
    <t>▸ COST OF GOODS SOLD ($mm)</t>
  </si>
  <si>
    <t>F9 variable cost ($mm)</t>
  </si>
  <si>
    <t>F9 D&amp;A share ($mm)</t>
  </si>
  <si>
    <t>Starship variable cost ($mm)</t>
  </si>
  <si>
    <t>Starship D&amp;A share ($mm)</t>
  </si>
  <si>
    <t>Customer Launch ground ops ($mm)</t>
  </si>
  <si>
    <t>Customer Launch insurance ($mm)</t>
  </si>
  <si>
    <t>Customer Launch other COGS ($mm)</t>
  </si>
  <si>
    <t>Total COGS ($mm)</t>
  </si>
  <si>
    <t>Gross Profit ($mm)</t>
  </si>
  <si>
    <t>▸ CAPEX + FCF</t>
  </si>
  <si>
    <t>Module D&amp;A ($mm) — informational (also in COGS rows 86 + 88)</t>
  </si>
  <si>
    <t>F9 lifetime reuses per booster — read from Assumptions</t>
  </si>
  <si>
    <t>F9 IRR cashflow stream period count N (clamped at R23 MAX)</t>
  </si>
  <si>
    <t>Starship lifetime reuses per booster — year-row from Launch Capacity R21</t>
  </si>
  <si>
    <t>Starship IRR cashflow stream period count N (clamped at R23 MAX, year-row)</t>
  </si>
  <si>
    <t>F9 per-launch cost slug ($mm — t=0 capex)</t>
  </si>
  <si>
    <t>F9 per-launch annual margin ($mm/yr — cadence × per-launch margin)</t>
  </si>
  <si>
    <t>F9 Spot IRR (per-launch marginal IRR, current year — external customer economics)</t>
  </si>
  <si>
    <t>F9 Forward IRR (Y+2) — per-launch marginal IRR, year T+2 cashflow</t>
  </si>
  <si>
    <t>F9 per-launch Blended IRR (external customer economics)</t>
  </si>
  <si>
    <t>Starship per-launch cost slug ($mm — year-row of manufacturing cost from Launch Capacity R37)</t>
  </si>
  <si>
    <t>Starship per-launch annual margin ($mm/yr — cadence × per-launch margin)</t>
  </si>
  <si>
    <t>Starship Spot IRR</t>
  </si>
  <si>
    <t>Starship Forward IRR (Y+2)</t>
  </si>
  <si>
    <t>Starship per-launch Blended IRR (external customer economics)</t>
  </si>
  <si>
    <t>Memo: F9 customer launches 2025</t>
  </si>
  <si>
    <t>Memo: F9 customer revenue 2025 (target $4,290M ±5%)</t>
  </si>
  <si>
    <t>Memo: Starship customer revenue 2025 (target $0 exact)</t>
  </si>
  <si>
    <t>Memo: 2025 calibration PASS/CHECK</t>
  </si>
  <si>
    <t>Sprint 3</t>
  </si>
  <si>
    <t>Customer Launch (module body R11-R210), Launch Capacity (Patches D + A + B + E §6.13 amendments), Assumptions (R32/R33 updates, R34 delete, R46 step, 16 new rows R301:R316), Claude Log</t>
  </si>
  <si>
    <t>Built Customer Launch module body end-to-end: demand mechanic (total market year-row anchored 38.58 in 2025 + 5%/yr CAGR per Vlad lock #1; F9 vs Starship split — F9 IRR-positive in all years takes residual market, Starship gated on margin&gt;0 + capacity), F9 economics (price $111M, revenue $4,282M ✓ matches Q4'25 $4,290M anchor within 0.2%), Starship economics (price = at-cost × margin year-row per Vlad lock #2; price $0 in 2025-2026, $70.8M in 2027 = 4.0× × $17.7M), internal transfer revenue mechanism (IFERROR-0 wrappers resolve to 0 until Sprint 4/5/6 fire), vending-machine P&amp;L (Module EBITDA $3,255M 2025 at 76% margin, Module FCF $3,257M), per-launch IRR engines (F9 N=10 constant, Starship N year-row 5→10 clamped at R23), Allocator OUT contract live (R201-R210). Patch D extensions PASS (R71 + R24/R27/R28 to E:AC). Patch A F9 retirement engine PASS (E62 launch-driven, $B$30=0.01). Patch B F9 demand-driven wiring PASS (F64 reads CL R25 + Starlink IFERROR-0). Patch E §6.13 Starship cost overhaul PASS (split-cost-curve: LC R30 cum stacks =4 anchor, R37 mfg $90M, R38 ops+fuel+refurb $12M, R39 D&amp;A LEO $12M→$1.74M as R21 ramps, R40 at-cost LEO $24M 2025 → $13.74M 2050, R41 Moon/Mars memo $58.8M 2025; R34 deleted from Assumptions; R46 step 0/0/1.0; R32→$54M, R33→$36M; 10 new cost+payload rows). Sprint 3 §4 amendments (5 new rows): total customer market anchor 38.58 + CAGR 0.05, Starship margin year-row 4.0→1.5 floor at -4.5%/yr. Patch A new row F9 retirement rate 0.01. 2025 calibration: F9 customer launches 38.58 ✓, F9 customer revenue $4,282M ✓, F9 price $111M ✓, Starship customer revenue $0 ✓. D182 calibration cell = PASS.</t>
  </si>
  <si>
    <t>(a) F9 per-launch Blended IRR ~3,272% in 2025 (= cadence 12 × ($111M − $17.15M − $7.77M = $86M margin × 10 yr / $30M slug). Massively exceeds Sprint Roadmap §6.2 8-25% target — confirmed per §7 Open Thread item 1 that the §6.2 target is V30.5 fleet-level MFW-IRR holdover incompatible with per-launch marginal IRR economics. Spec halt threshold relaxed to &lt;0%; &gt;50% flagged for Vlad review. (b) Sprint 0 R63 Starship customer price year-row DEPRECATED per Vlad lock #2 but cell retained for memo (Principle 7 no renames). Customer Launch ignores; computes Starship price endogenously. (c) Customer Launch insurance / other COGS / ground ops / ground equip CapEx Assumptions rows missing — used existing 'Launch insurance % of external revenue' (R68) + 'Launch other COGS % of external revenue' (R69) labels with IFERROR-0.01/0.005 fallbacks for ground ops/CapEx. Sprint 8 OpEx should add explicit Customer Launch-prefixed rows with MC ranges. (d) Sprint 4 V2 BB/DTC + ODC kg demand labels expected: 'F9 V2 BB launches (internal)', 'F9 V2 DTC launches (internal)', 'Starship V3 BB launches (internal)', 'Starship V3 DTC launches (internal)', 'V3 BB Starship kg demand', 'V3 DTC Starship kg demand', 'ODC Starship kg demand', 'ODC Starship launches (internal)'. Sprint 4/5 spec authors confirm exact strings. (e) IRR-gate on R25 F9 customer launches removed due to Excel dynamic-array IRR + SEQUENCE() recalc instability when downstream cells reference per-launch IRR rows directly; gate moot since F9 marginal IRR &gt;&gt; 0 in every year. (f) Forward IRR (R133, R143) AC-column = -1 due to forward shift falling off year-row right edge — known edge artifact, doesn't affect 2025-2048 results. (g) Pre-flight check #1 (workbook=V2.5) WAIVED by Vlad — execution against V2.4 with Save-As deferred. (h) LC R10 (Ship refurb %) cleared after Assumptions R34 delete severed its INDEX/MATCH source. (i) LC R69/R70 extended E:AC (Sprint 2 gap) to enable CL R34/R35 cross-tab reads across year-row.</t>
  </si>
  <si>
    <t>Sprint 3.5</t>
  </si>
  <si>
    <t>Customer Launch (R131 + R141 formula replacements), Claude Log (append)</t>
  </si>
  <si>
    <t>Patch sprint: dropped cadence multiplier from per-launch IRR annual margin rows on Customer Launch. R131 (F9): replaced with =D17-D34-D37, copied E131:AC131. R141 (Starship): replaced with =D18 - INDEX('Launch Capacity'!$D:$AC, MATCH("Starship ops + fuel + refurb cost per launch ($mm, this year)", 'Launch Capacity'!$A:$A, 0), D$5+1) - IFERROR(D48/D24, 0) * (insurance% + other%) using actual workbook label substrings 'Launch insurance % of external revenue' / 'Launch other COGS % of external revenue' with IFERROR fallback 0.01; copied E141:AC141. Root cause per spec §2: Sprint 3 verification surfaced F9 per-launch Blended IRR 2025 = 3,272% — orders of magnitude above §6.2 8-25% target. Architecture §5.1's per-unit IRR multiplied per-launch margin by cadence (12/yr F9), implicitly assuming the marginal booster captures 12 customer launches at full pricing. Reality: customer market is the binding constraint (~38 launches/yr global); marginal booster captures ~1 customer launch/yr. Post-patch calibration: D131 = $86.08M (within [$85M,$105M] halt band, ~9% below spec center $95M because actual D37 per-launch insurance/other = $7.77M not spec-modeled $2.22M — workbook is correct); I131 = $71.49M; S131 = $48.22M; AC131 = $31.05M. F9 Blended IRR D134 dropped 3,272% → 272.7% (down 92%); I134 = 226%; AC134 = -39% (terminal artifact, see Outstanding). Starship D141 = -$12M exact; F141 = $58.8M; I141 = $40.26M; AC141 = $8.61M. F142 Spot IRR 2027 = 64.9% (effectively unchanged — Sprint 2 Wright's Law cum-upmass floor made cadence=1, so cadence × margin happened to equal no-cadence × margin). F144 Blended IRR 2027 = 53.0%. Allocator OUT R207-R209 recalc downstream: R207 = 167.5%, R209 = 158.2%. Workbook-wide error scan: ZERO formula errors. Don't-touch verification: 16 sampled cells outside R131/R141 unchanged (D17/D34/D37/D18/D48/D24/R140/D119/D121/D132/D142/D144/R207/R208/R209 all carry Sprint 3 formulas + values). Round-trip stable. Vending-machine framing preserved — no overhead added. Patch achieved primary objective: F9 + Starship IRRs now allocator-comparable + bounded.</t>
  </si>
  <si>
    <t>(a) TERMINAL-YEAR IRR ARTIFACT UNMASKED, NOT INTRODUCED. AC134 (F9 Blended IRR 2050) = -39%; AC144 (Starship Blended IRR 2050) = -0.2%. Outside §4.3 halt bands [50%,200%] for AC134. ROOT CAUSE = Sprint 3 §7 Open Thread #10 known issue: R133/R143 Forward IRR (Y+2) reads off-grid columns AD/AE past horizon column AC = 2050, returning -1/0. Pre-Sprint-3.5 the spurious cadence multiplier inflated annual CF magnitude enough to mask the artifact in the blended IRR. 3.5 patch unmasked but did NOT cause it. Halt overridden by Vlad: §4.3 halt bands amended to apply only to year columns 2025-2048 (D through AA). AC column = informational-only. Fix path: Sprint 3.6 micro-patch to clamp R133/R143 Forward IRR Y+2 column reference at AB so it never falls off-grid, OR address in Sprint 9 audit. Doesn't affect 2025-2048 IRR signal which all sit in halt bands. (b) LABEL DISCREPANCY RESOLVED AGAINST WORKBOOK. Spec §3.2 wrote 'Customer Launch insurance % of revenue' / 'Customer Launch other COGS % of revenue' but actual Sprint 0 Assumptions labels are 'Launch insurance % of external revenue' / 'Launch other COGS % of external revenue' (no 'Customer' prefix — these are generic Launch rows R68/R69 per Sprint 3 Outstanding item c). Plugin used actual workbook labels with IFERROR fallback 0.01. Formula resolves correctly. Sprint 8 OpEx spec should disambiguate when adding proper Customer-Launch-specific COGS % rows with MC ranges (Sprint 3 §7 OT #3 + #8 already flag this). (c) §4.3 HALT BAND AMENDMENT NEEDED — AC column = 2050 = informational only (off-grid Forward IRR artifact). Halt bands amended to 2025-2048 scope. Vlad acknowledges in spec author chat; future patch specs reference this amendment. (d) Sprint Roadmap §6.2 8-25% per-launch Blended IRR target STILL incompatible with marginal per-launch IRR even after this patch (F9 = 273%, Starship 2027 = 53%). §6.2 needs amendment in next spec author session — recommended new target: 'F9 Blended IRR 2025: 200-500%; Starship 2027 IRR: 40-90%'. (e) Architecture §5.2 Customer Launch row needs documentation amendment per Sprint 3.5 spec §3.3 — Vlad integrates manually into 02_Architecture_and_Methodology.md (plugin does NOT edit constitutional MDs per Standing Process Rule 5). (f) Customer Launch R131/R141 column A labels still read 'cadence × per-launch margin' — descriptively wrong post-patch but Principle 7 (no renames mid-build) preserved; cleanup deferred to Sprint 9 audit. (g) Sprint 4/5/6 per-sat/per-product IRR engines NOT affected — those units are continuously operating (sats orbit 365 days/yr); cadence-multiplier issue is Customer-Launch-specific. Sprint 4 spec author confirms in §3 framing.</t>
  </si>
  <si>
    <t>V3 BB first launch year</t>
  </si>
  <si>
    <t>Vlad lock 2026-05-20: V3 BB launches start latter-half 2026 when Starship can lift them. Annual model treats 2026 as first full launch year. Drives V3 BB eligibility (=1 once year &gt;= this) and the V2/V3 ratchet flag (V2 BB shuts down once V3 BB launches start).</t>
  </si>
  <si>
    <t>Discrete sample between 2026 (Vlad base case — earliest physically plausible given Starship readiness) and 2027 (slip case — Starship maturity risk).</t>
  </si>
  <si>
    <t>V3 DTC first launch year</t>
  </si>
  <si>
    <t>Vlad lock 2026-05-20: V3 DTC launches start 2027 or 2028. Annual model uses 2028 as Base Case. Drives V3 DTC eligibility (=1 once year &gt;= this).</t>
  </si>
  <si>
    <t>Discrete sample between 2027 (earlier ramp — DTC spectrum + V3 readiness aligned) and 2028 (Base Case — DTC spectrum + V3 maturity).</t>
  </si>
  <si>
    <t>Vlad lock 2026-05-20: SpaceX is permanently capping V2 DTC at the 650 active sats end-2025. No V2 DTC launches 2026 onwards regardless of V3 DTC ratchet status. Implemented as separate flag from the V2/V3 ratchet because V2 DTC shuts down regardless of V3 DTC launches starting (decoupled).</t>
  </si>
  <si>
    <t>Structural lock — Vlad's stated thesis. No MC range. If MC ever wants to test 'what if SpaceX keeps launching V2 DTC', change Base Case to 0 (no cap) in Assumptions; Starlink tab formulas handle either state.</t>
  </si>
  <si>
    <t>Starlink ground ops % of revenue</t>
  </si>
  <si>
    <t>Ground stations + network operations + customer support routed through Starlink module COGS per Architecture §3 (NOT corporate SG&amp;A). 4% of revenue stub anchored to Mach33 view of mature satcom ground costs.</t>
  </si>
  <si>
    <t>MC range covers ultra-lean (2% — fully automated network) → high-touch (8% — substantial customer support + maintenance). Q4'25 didn't break this out but implied ~3-5%.</t>
  </si>
  <si>
    <t>Starlink insurance % of revenue</t>
  </si>
  <si>
    <t>On-orbit + ground asset insurance + launch insurance for Starlink-owned launches (in addition to launch services COGS). 1% of revenue stub.</t>
  </si>
  <si>
    <t>Conservative bookends. SpaceX likely self-insures large portions; reported figures from satellite operators (ViaSat, Iridium) trend 0.5-2% of revenue.</t>
  </si>
  <si>
    <t>Starlink other COGS % of revenue</t>
  </si>
  <si>
    <t>Catch-all module COGS: rent, utilities, miscellaneous direct costs. 2% of revenue stub.</t>
  </si>
  <si>
    <t>Mid-range catch-all bracket. If Vlad has more granular data later, replace with explicit line items.</t>
  </si>
  <si>
    <t>V3 BB launches per year stub trajectory</t>
  </si>
  <si>
    <t>Sprint 4 placeholder ramp ahead of Sprint 10 allocator activation. Ramps from 200/yr (2026, V3 BB late-half start) to 4,500/yr terminal (~22K active V3 BB constellation at 5-yr life). Sprint 10 overrides via cash/kg IRR-sigmoid allocation; Sprint 4 stub provides plausible deployment for downstream verification.</t>
  </si>
  <si>
    <t>Scale multiplier on the year-row stub trajectory.</t>
  </si>
  <si>
    <t>V3 DTC launches per year stub trajectory</t>
  </si>
  <si>
    <t>Sprint 4 placeholder ramp for V3 DTC. ~9× smaller fleet than V3 BB (DTC sub-market is smaller). 2027 start (if MC samples V3 DTC first launch year = 2027) ramps to ~500/yr terminal. Sprint 10 overrides via IRR.</t>
  </si>
  <si>
    <t>Scale multiplier.</t>
  </si>
  <si>
    <t>Sats per F9 launch — V2 BB</t>
  </si>
  <si>
    <t>V2 BB sats packaged per F9 launch. Inferred from 2025 historical: 2,987 V2 BB launched / ~104 F9 Starlink launches = ~29 sats per launch. Used by Patch B Launch Capacity R64 wiring to size F9 demand from V2 BB.</t>
  </si>
  <si>
    <t>Range bracket: 22 (Falcon Heavy variant fewer sats per launch) → 32 (denser packaging). Q4'25 implicit ~22 per F9; Mach33 view = 29 mid-point.</t>
  </si>
  <si>
    <t>Sats per F9 launch — V2 DTC</t>
  </si>
  <si>
    <t>V2 DTC sats packaged per F9 launch. Mach33 view: 182 V2 DTC launched / ~28 F9 DTC launches = ~7 (DTC sats heavier per unit due to direct-to-cell radio).</t>
  </si>
  <si>
    <t>Range: 5 (max DTC payload per sat) → 12 (smaller DTC sats stacked denser). Limited disclosed data.</t>
  </si>
  <si>
    <t>Sats per Starship launch — V3 BB</t>
  </si>
  <si>
    <t>V3 BB sats per Starship launch. Mach33 view: V3 BB ~2000 kg/sat × 60 sats = 120K kg = full Starship LEO payload (fully reusable mode, ~100-150K kg).</t>
  </si>
  <si>
    <t>Range: 40 (smaller payload — Starship early variants) → 100 (larger payload — fully reusable Starship V3+).</t>
  </si>
  <si>
    <t>Sats per Starship launch — V3 DTC</t>
  </si>
  <si>
    <t>V3 DTC sats per Starship launch. Smaller fleet, larger DTC antennas — fewer per launch than V3 BB.</t>
  </si>
  <si>
    <t>Range based on V3 DTC mass + antenna size uncertainty.</t>
  </si>
  <si>
    <t>V2 BB Gbps per sat</t>
  </si>
  <si>
    <t>V2 DTC Gbps per sat</t>
  </si>
  <si>
    <t>V3 BB Gbps per sat</t>
  </si>
  <si>
    <t>V3 DTC Gbps per sat</t>
  </si>
  <si>
    <t>▸ Vehicle deployment (V2 BB, V2 DTC, V3 BB, V3 DTC — launches, fleet, ratchet, retirement)</t>
  </si>
  <si>
    <t>V2 BB launches per year</t>
  </si>
  <si>
    <t>V2 DTC launches per year</t>
  </si>
  <si>
    <t>V3 BB launches per year</t>
  </si>
  <si>
    <t>V3 DTC launches per year</t>
  </si>
  <si>
    <t>F9 V2 BB launches (internal)</t>
  </si>
  <si>
    <t>F9 V2 DTC launches (internal)</t>
  </si>
  <si>
    <t>Starship V3 BB launches (internal)</t>
  </si>
  <si>
    <t>Starship V3 DTC launches (internal)</t>
  </si>
  <si>
    <t>V3 BB Starship kg demand</t>
  </si>
  <si>
    <t>V3 DTC Starship kg demand</t>
  </si>
  <si>
    <t>V2 BB historical retirement</t>
  </si>
  <si>
    <t>V2 DTC historical retirement</t>
  </si>
  <si>
    <t>V2 BB launch-cohort retirement</t>
  </si>
  <si>
    <t>V2 DTC launch-cohort retirement</t>
  </si>
  <si>
    <t>V3 BB launch-cohort retirement</t>
  </si>
  <si>
    <t>V3 DTC launch-cohort retirement</t>
  </si>
  <si>
    <t>Active V2 BB sats</t>
  </si>
  <si>
    <t>Active V2 DTC sats</t>
  </si>
  <si>
    <t>Active V3 BB sats</t>
  </si>
  <si>
    <t>Active V3 DTC sats</t>
  </si>
  <si>
    <t>Memo: Total active Starlink sats (excl legacy V1/V1.5)</t>
  </si>
  <si>
    <t>▸ Per-vehicle CapEx (sat unit cost via Wright's Law + facility CapEx with 1-yr lag)</t>
  </si>
  <si>
    <t>V2 BB sat unit cost ($mm/sat)</t>
  </si>
  <si>
    <t>V2 DTC sat unit cost ($mm/sat)</t>
  </si>
  <si>
    <t>V3 BB sat unit cost ($mm/sat)</t>
  </si>
  <si>
    <t>V3 DTC sat unit cost ($mm/sat)</t>
  </si>
  <si>
    <t>V2 BB facility CapEx per sat ($mm/sat)</t>
  </si>
  <si>
    <t>V2 DTC facility CapEx per sat ($mm/sat)</t>
  </si>
  <si>
    <t>V3 BB facility CapEx per sat ($mm/sat)</t>
  </si>
  <si>
    <t>V3 DTC facility CapEx per sat ($mm/sat)</t>
  </si>
  <si>
    <t>V2 BB sat CapEx ($mm)</t>
  </si>
  <si>
    <t>V2 BB facility CapEx ($mm)</t>
  </si>
  <si>
    <t>V2 DTC sat CapEx ($mm)</t>
  </si>
  <si>
    <t>V2 DTC facility CapEx ($mm)</t>
  </si>
  <si>
    <t>V3 BB sat CapEx ($mm)</t>
  </si>
  <si>
    <t>V3 BB facility CapEx ($mm)</t>
  </si>
  <si>
    <t>V3 DTC sat CapEx ($mm)</t>
  </si>
  <si>
    <t>V3 DTC facility CapEx ($mm)</t>
  </si>
  <si>
    <t>▸ Starshield revenue (Q4'25 mechanic — reserved Gbps × $/Gbps with decay)</t>
  </si>
  <si>
    <t>Total active BB Gbps (Starlink + Starshield + legacy)</t>
  </si>
  <si>
    <t>Starshield reserved %</t>
  </si>
  <si>
    <t>Starshield reserved Gbps</t>
  </si>
  <si>
    <t>Starshield $/Gbps ($/Gbps/yr)</t>
  </si>
  <si>
    <t>Starshield revenue ($mm)</t>
  </si>
  <si>
    <t>▸ External revenue (bandwidth-driven: Available Gbps × $/Gbps; subs derived)</t>
  </si>
  <si>
    <t>BB Gbps available for external Starlink revenue</t>
  </si>
  <si>
    <t>BB $/Gbps ($/Gbps/yr)</t>
  </si>
  <si>
    <t>BB Revenue ($mm)</t>
  </si>
  <si>
    <t>BB ARPU ($/mo, year-row from Assumptions)</t>
  </si>
  <si>
    <t>BB subscribers (millions, derived = BB Revenue / (ARPU × 12))</t>
  </si>
  <si>
    <t>DTC Gbps available for external Starlink revenue</t>
  </si>
  <si>
    <t>DTC $/Gbps ($/Gbps/yr)</t>
  </si>
  <si>
    <t>DTC ARPU ($/mo, year-row from Assumptions)</t>
  </si>
  <si>
    <t>DTC Revenue ($mm)</t>
  </si>
  <si>
    <t>DTC subscribers (millions, derived = DTC Revenue / (ARPU × 12))</t>
  </si>
  <si>
    <t>Terminal hardware revenue ($mm)</t>
  </si>
  <si>
    <t>▸ Internal bandwidth revenue (Starlink → ODC, 4-step pattern per Architecture §7.2)</t>
  </si>
  <si>
    <t>Starlink internal bandwidth revenue ($mm)</t>
  </si>
  <si>
    <t>▸ COGS (Constellation D&amp;A, Ground ops, Spectrum amort BB-only, Terminal COGS, Insurance, Other)</t>
  </si>
  <si>
    <t>Constellation D&amp;A ($mm)</t>
  </si>
  <si>
    <t>Launch services cost ($mm) — internal at-cost from Customer Launch</t>
  </si>
  <si>
    <t>Ground ops cost ($mm)</t>
  </si>
  <si>
    <t>Spectrum amortization (BB-only) ($mm)</t>
  </si>
  <si>
    <t>Terminal COGS ($mm)</t>
  </si>
  <si>
    <t>Insurance ($mm)</t>
  </si>
  <si>
    <t>Other COGS ($mm)</t>
  </si>
  <si>
    <t>▸ Module P&amp;L (vending-machine: Revenue → COGS → EBITDA → CapEx → FCF)</t>
  </si>
  <si>
    <t>Module CapEx ($mm) — restated</t>
  </si>
  <si>
    <t>STARLINK CAPACITY — supply-side bandwidth aggregation + internal claim to ODC</t>
  </si>
  <si>
    <t>▸ Total active Gbps (BB + DTC, from Starlink tab active sat fleet)</t>
  </si>
  <si>
    <t>Total active BB Gbps</t>
  </si>
  <si>
    <t>Total active DTC Gbps</t>
  </si>
  <si>
    <t>▸ Internal claim by ODC (Sprint 5 placeholders)</t>
  </si>
  <si>
    <t>ODC BB Gbps demand</t>
  </si>
  <si>
    <t>ODC DTC Gbps demand</t>
  </si>
  <si>
    <t>▸ Available bandwidth for external Starlink revenue</t>
  </si>
  <si>
    <t>▸ Pool cost basis ($mm/yr; reads Starlink tab COGS components)</t>
  </si>
  <si>
    <t>BB pool cost basis ($mm/yr)</t>
  </si>
  <si>
    <t>DTC pool cost basis ($mm/yr)</t>
  </si>
  <si>
    <t>▸ At-cost transfer rates ($/Gbps/yr; for Sprint 5 ODC + Starlink internal bandwidth revenue)</t>
  </si>
  <si>
    <t>BB pool at-cost rate ($/Gbps/yr)</t>
  </si>
  <si>
    <t>DTC pool at-cost rate ($/Gbps/yr)</t>
  </si>
  <si>
    <t>Memo: V2 BB per-sat cost ($mm/sat) — sat unit cost + facility per sat</t>
  </si>
  <si>
    <t>Memo: V2 BB per-sat net marginal revenue per year ($mm/sat/yr)</t>
  </si>
  <si>
    <t>Memo: V2 BB Spot IRR</t>
  </si>
  <si>
    <t>Memo: V2 BB Forward IRR (Y+2)</t>
  </si>
  <si>
    <t>Memo: V2 BB Blended IRR</t>
  </si>
  <si>
    <t>Memo: V2 DTC per-sat cost ($mm/sat)</t>
  </si>
  <si>
    <t>Memo: V2 DTC per-sat net marginal revenue per year ($mm/sat/yr)</t>
  </si>
  <si>
    <t>Memo: V2 DTC Spot IRR</t>
  </si>
  <si>
    <t>Memo: V2 DTC Forward IRR (Y+2)</t>
  </si>
  <si>
    <t>Memo: V2 DTC Blended IRR</t>
  </si>
  <si>
    <t>Memo: V3 BB per-sat cost ($mm/sat)</t>
  </si>
  <si>
    <t>Memo: V3 BB per-sat net marginal revenue per year ($mm/sat/yr)</t>
  </si>
  <si>
    <t>Memo: V3 BB Spot IRR</t>
  </si>
  <si>
    <t>Memo: V3 BB Forward IRR (Y+2)</t>
  </si>
  <si>
    <t>Memo: V3 BB Blended IRR</t>
  </si>
  <si>
    <t>Memo: V3 DTC per-sat cost ($mm/sat)</t>
  </si>
  <si>
    <t>Memo: V3 DTC per-sat net marginal revenue per year ($mm/sat/yr)</t>
  </si>
  <si>
    <t>Memo: V3 DTC Spot IRR</t>
  </si>
  <si>
    <t>Memo: V3 DTC Forward IRR (Y+2)</t>
  </si>
  <si>
    <t>Memo: V3 DTC Blended IRR</t>
  </si>
  <si>
    <t>Starlink, Starlink Capacity, Assumptions (14 new rows), Claude Log</t>
  </si>
  <si>
    <t>Built Starlink module body end-to-end (rows 11-188) + Starlink Capacity tab full build + 4 per-vehicle marginal IRR engines (V2 BB, V2 DTC, V3 BB, V3 DTC at rows 211-230, italic memo) + Allocator OUT overwrite at rows 200-210. Published 6 canonical labels Sprint 3 IFERROR-0 reads consume (rows 45-50). V2/V3 ratchet year-chained latch at R43. V2 DTC permanent cap flag (Vlad lock 2026-05-20). V2 historical fleet linear retirement over 5 yrs. Bandwidth-driven external revenue (subs derived). Q4'25 Starshield mechanic. CapEx Lag R82=1 yr applied to FACILITIES not sats per Vlad lock. CALIBRATION: Starlink+DTC 2025 = $7,853M (target $7,852M ±5% PASS exact); Starshield 2025 = $2,436M (target $2,520M ±5% PASS within 3.4%); Active V2 BB 5,246 + V2 DTC 650 EXACT; V2 BB/DTC launches 2,987/182 EXACT; V3 launches 2025 = 0 EXACT; F9 V2 BB internal 103, V2 DTC internal 26; Total Revenue 2025 = $10,854M; Module EBITDA margin 61.4% (target 55-75% PASS); BB subs 6.41M (target 5.5-7.5M PASS); ratchet flag 2025=0, 2030=1, V2 BB launches 2030=0, V3 BB launches 2030=3,500; Active V3 BB 2040 = 22,500. Constellation D&amp;A 2025 = $437M (target $707M ±10% RETUNE required — Sprint 4.5 candidate per spec §3.3.11). All 10 canonical MATCH labels resolve. Launch Capacity R64 F9 launches 2025 now = 171 (Patch B pickup confirmed).</t>
  </si>
  <si>
    <t>Sprint 4.5 candidates: (1) Constellation D&amp;A calibration retune — add legacy V1/V1.5 D&amp;A (~$130M) + facility D&amp;A (~$140M) to reach $707M target; (2) Demand Curves V9 tab build (currently stubbed via 2 Assumptions YR rows — Sprint 5 prep: delete BB/DTC $/Gbps stub rows from Assumptions and build proper Demand Curves tab per Architecture §8.4); (3) Wright's Law on V3 BB Gbps-per-sat (held flat at 1,000 Gbps); (4) Total active sat count diagnostic (D65=5,896 excludes legacy V1/V1.5 head count ~3,900); (5) Iterative calc was required to resolve Starlink↔Starlink Capacity forward refs through D178/D158 — enabled at 100 max iterations, 0.001 tolerance.</t>
  </si>
  <si>
    <t>Sprint 5: ODC module (per-sat IRR, dual revenue Model A + Model B, cash-driven deployment, bandwidth services cost paid to Starlink reads BB/DTC pool at-cost rate at-cost rate, internal compute split to AI Stack, ODC publishes ODC BB Gbps demand + ODC DTC Gbps demand labels that Starlink Capacity IFERROR-0 reads activate).</t>
  </si>
  <si>
    <t>Starship internal launches (V3 BB + V3 DTC + ODC + AI Stack)</t>
  </si>
  <si>
    <t>Gbps per GWh/yr of ODC compute energy</t>
  </si>
  <si>
    <t>BB-share of ODC bandwidth claim</t>
  </si>
  <si>
    <t>Anchor year for ODC Wright’s Law</t>
  </si>
  <si>
    <t>Demand Curves</t>
  </si>
  <si>
    <t>MC Min</t>
  </si>
  <si>
    <t>MC Max</t>
  </si>
  <si>
    <t>MC Distribution</t>
  </si>
  <si>
    <t>Notes</t>
  </si>
  <si>
    <t>Demand curve calibrated to Mach33 bandwidth thesis; Sprint 5 prep stub; refine in Sprint 12 MC overlay</t>
  </si>
  <si>
    <t>Anchored 2025 to preserve Sprint 4 calibration (Starlink+DTC = $7,852M ±5%). Decline trajectory: BB −53% by 2050 (commoditization); DTC −52% by 2050 (premium compression as DTC saturates).</t>
  </si>
  <si>
    <t>ODC cash demand large default ($mm)</t>
  </si>
  <si>
    <t>Large-default ODC cash ask year-row; ODC tab publishes Cash Demand = IF(Blended IRR &gt; 0, this, 0). Sprint 10 Allocator's queue gate consumes. Pre-IRR-positive years deploy 0.</t>
  </si>
  <si>
    <t>Wide lognormal range — Mach33 doesn't have a tight prior on ODC capital appetite at IRR-positive equilibrium. Refined in Sprint 12 MC overlay.</t>
  </si>
  <si>
    <t>ODC kg demand large default (kg)</t>
  </si>
  <si>
    <t>Large-default ODC kg ask year-row; same masking pattern as cash demand. Sprint 10 Allocator kg queue consumes.</t>
  </si>
  <si>
    <t>Mirrors cash demand range proportionally on per-sat mass.</t>
  </si>
  <si>
    <t>Legacy V1/V1.5 D&amp;A baseline ($mm, 2025 anchor)</t>
  </si>
  <si>
    <t>Legacy V1/V1.5 fleet D&amp;A 2025 anchor; 4-yr straight-line retirement to 0 by 2029 (mirrors Sprint 0 R103).</t>
  </si>
  <si>
    <t>MC range covers uncertainty on V1/V1.5 residual book value at Q4'25.</t>
  </si>
  <si>
    <t>Legacy V1/V1.5 D&amp;A useful life (yrs)</t>
  </si>
  <si>
    <t>Straight-line retirement period for legacy V1/V1.5 fleet D&amp;A.</t>
  </si>
  <si>
    <t>Facility D&amp;A — sat manufacturing + ground stations ($mm/yr, flat)</t>
  </si>
  <si>
    <t>Sustaining facility D&amp;A — flat across horizon as proxy; refined post-Sprint-12.</t>
  </si>
  <si>
    <t>MC covers facility expansion uncertainty.</t>
  </si>
  <si>
    <t>V3 BB Wright’s Law anchor — cum sats</t>
  </si>
  <si>
    <t>Cumulative V3 BB sats at which Wright's Law learning anchors begin (avoid divide-by-tiny-number).</t>
  </si>
  <si>
    <t>V3 BB bandwidth-per-sat Wright’s Law learning rate (per doubling)</t>
  </si>
  <si>
    <t>10% bandwidth-per-sat improvement per cum-sat doubling. Mach33 thesis — V3 BB hardware iterates with each generation batch.</t>
  </si>
  <si>
    <t>Wide range — speculative learning rate; bounded by chip+antenna physical limits.</t>
  </si>
  <si>
    <t>Starship LEO payload per launch — Compute config (kg)</t>
  </si>
  <si>
    <t>Booster-only mode per Sprint 0 Launch Capacity §3.</t>
  </si>
  <si>
    <t>Memo: Legacy V1/V1.5 D&amp;A ($mm)</t>
  </si>
  <si>
    <t>Memo: Facility D&amp;A — sat manufacturing + ground stations ($mm)</t>
  </si>
  <si>
    <t>Memo: Cum V3 BB sats launched (running sum) — Rule 23 exception, year-chained</t>
  </si>
  <si>
    <t>ODC SAT PHYSICAL &amp; COST STACK</t>
  </si>
  <si>
    <t>Sat solar generation (W)</t>
  </si>
  <si>
    <t>F_ref — reference compute unit (TFLOPS, H100 FP8)</t>
  </si>
  <si>
    <t>▸ Chip roadmap reads (year-rows)</t>
  </si>
  <si>
    <t>Chip FP8 per chip (TFLOPS) — year-row</t>
  </si>
  <si>
    <t>Chips per sat</t>
  </si>
  <si>
    <t>Sat PFLOPS (FP8, per sat per year computed)</t>
  </si>
  <si>
    <t>Sat chip mass (kg)</t>
  </si>
  <si>
    <t>▸ Subsystem unit costs + Wright's Law</t>
  </si>
  <si>
    <t>Solar array cost per sat ($, pre-WL)</t>
  </si>
  <si>
    <t>Thermal system cost per sat ($, pre-WL)</t>
  </si>
  <si>
    <t>Comms (ISL set) cost per sat ($, pre-WL)</t>
  </si>
  <si>
    <t>ADCS + avionics cost per sat ($, pre-WL)</t>
  </si>
  <si>
    <t>Structure cost per sat ($, pre-WL)</t>
  </si>
  <si>
    <t>Battery cost per sat ($, pre-WL)</t>
  </si>
  <si>
    <t>Shielding cost per sat ($, pre-WL)</t>
  </si>
  <si>
    <t>Integration &amp; Test cost per sat ($, pre-WL)</t>
  </si>
  <si>
    <t>Sat subsystem cost (pre-WL, $)</t>
  </si>
  <si>
    <t>Cum ODC sats deployed (running sum) — Rule 23 exception, intentional</t>
  </si>
  <si>
    <t>Wright's Law multiplier on subsystems (year-row)</t>
  </si>
  <si>
    <t>Cum ODC sats at WL anchor year</t>
  </si>
  <si>
    <t>Sat subsystem cost (with WL, $) — year-row</t>
  </si>
  <si>
    <t>Chip cost per sat ($) — year-row</t>
  </si>
  <si>
    <t>Sat total cost ($, year-row)</t>
  </si>
  <si>
    <t>Sat total cost ($mm, year-row)</t>
  </si>
  <si>
    <t>LAUNCH SERVICES (paid to Launch Capacity at fully-allocated at-cost rate)</t>
  </si>
  <si>
    <t>Sats per Starship launch (Compute config)</t>
  </si>
  <si>
    <t>Launch services cost per sat ($mm)</t>
  </si>
  <si>
    <t>ODC Starship launches (internal)</t>
  </si>
  <si>
    <t>ODC Starship kg demand</t>
  </si>
  <si>
    <t>DEPLOYMENT, FLEET RAMP, CASH/KG DEMAND PUBLISH</t>
  </si>
  <si>
    <t>ODC cash demand large default ($mm) — Assumptions read</t>
  </si>
  <si>
    <t>ODC kg demand large default (kg) — Assumptions read</t>
  </si>
  <si>
    <t>Cash demand year-row published ($mm) — masked by Blended IRR &gt; 0</t>
  </si>
  <si>
    <t>Kg demand year-row published (kg) — masked by Blended IRR &gt; 0</t>
  </si>
  <si>
    <t>Wanted sats deployed (uncapped, cash-derived)</t>
  </si>
  <si>
    <t>Sats deployable from cash allocation</t>
  </si>
  <si>
    <t>Sats deployable from kg allocation</t>
  </si>
  <si>
    <t>Sats deployed (actual)</t>
  </si>
  <si>
    <t>Sat retirements (year-row, N-year cohort linear)</t>
  </si>
  <si>
    <t>Active sat fleet EoY (year-chained, Rule 23 exception)</t>
  </si>
  <si>
    <t>Fleet PFLOPS (FP8)</t>
  </si>
  <si>
    <t>Fleet compute power (GW)</t>
  </si>
  <si>
    <t>Fleet annual PFLOP-hrs delivered (util-adjusted)</t>
  </si>
  <si>
    <t>BANDWIDTH CLAIM &amp; SERVICES COST (paid to Starlink at fully-allocated at-cost rate)</t>
  </si>
  <si>
    <t>Gbps per GWh/yr ODC compute energy conversion factor</t>
  </si>
  <si>
    <t>Fleet ODC compute energy delivered (GWh/yr)</t>
  </si>
  <si>
    <t>Total ODC Gbps demand</t>
  </si>
  <si>
    <t>BB pool at-cost rate ($/Gbps/yr) — read from Starlink Capacity</t>
  </si>
  <si>
    <t>DTC pool at-cost rate ($/Gbps/yr) — read from Starlink Capacity</t>
  </si>
  <si>
    <t>ODC BB bandwidth cost ($mm/yr)</t>
  </si>
  <si>
    <t>ODC DTC bandwidth cost ($mm/yr)</t>
  </si>
  <si>
    <t>Bandwidth services cost ($mm)</t>
  </si>
  <si>
    <t>DUAL REVENUE MODEL (Pr(A) × Model A + Pr(B) × Model B; Architecture §9.2)</t>
  </si>
  <si>
    <t>CoreWeave baseline ($B/GW_IT/yr, 2026 anchor)</t>
  </si>
  <si>
    <t>Terrestrial price deflation %/yr</t>
  </si>
  <si>
    <t>Adjusted CoreWeave baseline year-row ($B/GW_IT/yr)</t>
  </si>
  <si>
    <t>PUE uplift (orbital advantage = PUE_base / PUE_orbital)</t>
  </si>
  <si>
    <t>Steady-state utilization</t>
  </si>
  <si>
    <t>Per-sat Model A revenue ($mm/yr) — energy-anchored</t>
  </si>
  <si>
    <t>Per-sat billable H100-equiv GPU-hrs/yr</t>
  </si>
  <si>
    <t>Per-sat Model B revenue ($mm/yr) — η-anchored</t>
  </si>
  <si>
    <t>Pr(A) (Architecture §9.2)</t>
  </si>
  <si>
    <t>Per-sat Expected Revenue ($mm/yr) — Pr-A-weighted</t>
  </si>
  <si>
    <t>Internal compute share to AI Stack % — year-row</t>
  </si>
  <si>
    <t>External compute share to customers % — year-row</t>
  </si>
  <si>
    <t>Per-sat external compute revenue ($mm/yr) — at market</t>
  </si>
  <si>
    <t>Fleet external compute revenue ($mm/yr)</t>
  </si>
  <si>
    <t>ODC FULLY-ALLOCATED COST + AT-COST COMPUTE RATE (Architecture §7.3)</t>
  </si>
  <si>
    <t>Annual sat D&amp;A ($mm/yr)</t>
  </si>
  <si>
    <t>Annual launch services cost ($mm/yr)</t>
  </si>
  <si>
    <t>Annual bandwidth services cost ($mm/yr)</t>
  </si>
  <si>
    <t>Annual insurance cost ($mm/yr)</t>
  </si>
  <si>
    <t>Annual other COGS ($mm/yr)</t>
  </si>
  <si>
    <t>Annual ground ops cost ($mm/yr)</t>
  </si>
  <si>
    <t>Total fully-allocated ODC cost ($mm/yr)</t>
  </si>
  <si>
    <t>ODC at-cost compute rate ($/PFLOP-hr)</t>
  </si>
  <si>
    <t>Internal compute PFLOP-hrs delivered to AI Stack</t>
  </si>
  <si>
    <t>Internal transfer revenue (at-cost compute) ($mm)</t>
  </si>
  <si>
    <t>MODULE P&amp;L</t>
  </si>
  <si>
    <t>External compute revenue ($mm/yr)</t>
  </si>
  <si>
    <t>Internal transfer revenue (at-cost compute) ($mm/yr)</t>
  </si>
  <si>
    <t>COGS — Constellation D&amp;A ($mm)</t>
  </si>
  <si>
    <t>COGS — Launch services cost ($mm)</t>
  </si>
  <si>
    <t>COGS — Bandwidth services cost ($mm)</t>
  </si>
  <si>
    <t>COGS — Ground ops ($mm)</t>
  </si>
  <si>
    <t>COGS — Insurance ($mm)</t>
  </si>
  <si>
    <t>COGS — Other COGS ($mm)</t>
  </si>
  <si>
    <t>Capital deployed ($mm) — diagnostic</t>
  </si>
  <si>
    <t>PER-SAT MARGINAL IRR ENGINE (Architecture §9.4, reads external revenue only per §7.3)</t>
  </si>
  <si>
    <t>Per-sat upfront cost ($mm) — sat hardware + launch services per sat</t>
  </si>
  <si>
    <t>Per-sat ground ops cost ($mm/yr)</t>
  </si>
  <si>
    <t>Per-sat insurance cost ($mm/yr)</t>
  </si>
  <si>
    <t>Per-sat other COGS ($mm/yr)</t>
  </si>
  <si>
    <t>Per-sat BB Gbps demand</t>
  </si>
  <si>
    <t>Per-sat DTC Gbps demand</t>
  </si>
  <si>
    <t>Per-sat bandwidth cost ($mm/yr)</t>
  </si>
  <si>
    <t>Per-sat net marginal revenue ($mm/yr)</t>
  </si>
  <si>
    <t>ODC (full body rows 11-157 + R201-R210 OUT live), Starlink (§3.1 patch: R120/R131 demand-cap rewrite, R231/R232 effective-marginal $/Gbps memos, R212/R217/R222/R227 per-vehicle IRR re-wire to memos, R153 Constellation D&amp;A retune with R233 V1/V1.5 + R234 Facility memos, R17 V3 BB Wright's Law on bandwidth-per-sat, R235 cum V3 BB sats running sum), Demand Curves (full tab build at sheet pos #14 with 4 canonical year-rows), Assumptions (§3.1.e clear A316/A317 stubs, §3.2 amend rows A330-A338: 8 ODC + Sprint 4.5 inputs), Customer Launch (A69 label rename only), Claude Log (this row).</t>
  </si>
  <si>
    <t>Built ODC module end-to-end + absorbed Sprint 4.5 patch in single pass. ODC tab body live: §3.3.1 sat physical reads (140 kW, 1400 kg dry mass, 1979 TFLOPS F_ref, ECR 0.6, fleet life 5 yrs); §3.3.2 chip roadmap year-rows (TDP, FP8 TFLOPS, mass, cost, GPU-hr price, util%); §3.3.3 derived (D29=200 chips/sat, D30=395.8 PFLOPS/sat, D31=240 kg chip mass); §3.3.4 subsystem cost + WL (D41=$3.193M pre-WL, WL multiplier=1.0 in Sprint 5 with cum sats=0); §3.3.5 chip cost per sat (D46=$6M, AC46=$583K); §3.3.6 launch services (D51=107 sats/launch, D52=$24M/launch at-cost rate read from Launch Capacity, D54/D55 CANONICAL PUBLISHES for Customer Launch R22/R69 reads, both = 0); §3.3.7 cash-driven deployment (R62=$50K mm cash demand large default, R63=50M kg, R64/R65 IRR-masked year-row publishes both 0 in Sprint 5 since Blended IRR &lt; 0, R69 sats deployed = 0, R71 active fleet = 0, R72-R74 fleet aggregates = 0); §3.3.8 bandwidth claim (R77=0.05 Gbps/(GWh/yr), R78=50% BB share, R81/R82 CANONICAL PUBLISHES = 0, R87 'Bandwidth services cost ($mm)' CANONICAL = $0); §3.3.9 dual revenue Pr(A)-weighted (D90=$12B/GW/yr CoreWeave, D91=5% deflation, D92 = $12 in 2025 anchor flat, D93=1.25 PUE uplift, D95=$0.84M/sat/yr Model A, D96=420K GPU-hrs/sat/yr Model B, D97=$0.84M/sat/yr Model B symmetric by design, D98=0.6 Pr(A), D99=$0.84M/sat/yr expected, R100/R101 internal/external split year-rows, D101=5% external 2025 → 22.5% 2030 → 60% by AC, D102=$0.042M/sat external 2025, D103=$0 fleet external since fleet=0); §3.3.10 at-cost compute rate (R106-R111 fully-allocated cost components = $0 in 2025, R112 total = $0, R113 'ODC at-cost compute rate ($/PFLOP-hr)' CANONICAL = $0 via IFERROR-0 wrapper since D74 PFLOP-hrs = 0, R114 internal PFLOP-hrs = 0, R115 'Internal transfer revenue (at-cost compute) ($mm)' CANONICAL = $0); §3.3.11 Module P&amp;L (D124 Total Revenue = $0 exact, D131 Total COGS = $0, D133 Module EBITDA = $0, D134 Margin % = 0% via IFERROR, D135 CapEx = $0, D136 Capital deployed = $0, D137 FCF = $0). §3.4 per-sat marginal IRR engine LIVE: D147=$9.42M per-sat upfront, D148-D150 small % of $0.042M external, D151=$0.0000486M/sat/yr bandwidth, D152/D153=0.012 Gbps each per sat, D154=$0.039M/sat/yr net marginal in 2025 (positive but cost can't pay back over 5 yrs), I154 = $0.452M (positive trajectory). D155 Spot IRR 2025 = -39.0% (real, not -100% IFERROR fallback); D156 Forward IRR (Y+2) = -25.7%; D157 Blended IRR = -29.7% (matches §6.4 calibration: ≤0 ✓, real number ✓). AC157 Blended 2050 = -14.7% (still negative — bandwidth cost dominates pre-V3-BB-Starlink-at-cost reductions). §3.5 Allocator OUT R201-R210 overwrite LIVE: all 10 labels verified pre-overwrite, formulas wired to R124/R133/R134/R137/R135/R136/R155/R156/R157/R65. §3.1 Sprint 4.5 patch absorbed: (a) Demand Curves tab built at sheet pos #14 with 4 canonical year-rows (BB Gbps demand 80K→600K, BB price $96.2K→$45.3K AMENDED, DTC Gbps 300→3500, DTC price $1.21M→$577K AMENDED to preserve Sprint 4 $7,852M calibration); (b) Starlink R120 + R131 re-wired to MIN(supply, demand) × price/1e6 — Starlink+DTC 2025 = $7,852.99M (Sprint 4 anchor preserved exactly); R231/R232 effective-marginal $/Gbps memos LIVE ($13,372 BB / $1.21M DTC); R212/R217/R222/R227 per-vehicle IRR engines re-wired to R231/R232; (c) Constellation D&amp;A retune: R233 Legacy V1/V1.5 D&amp;A $130M anchor straight-line to 0 by 2029, R234 Facility D&amp;A $140M flat, R153 = pre-retune + R233 + R234, D153 = $706.66M (target $707M ±10% PASS); (d) V3 BB Wright's Law on bandwidth-per-sat at R17: D17=1000 exact anchor, I17=1,876, S17=2,376, AC17=2,582 Gbps/sat (within sanity bounds); R235 cum V3 BB sats running sum LIVE; (e) Assumptions A316/A317 stubs cleared, orphan Starlink R119/R129 reads re-wired to Demand Curves. §3.2 Assumptions amendments LIVE at A330-A338 (8 new rows + 1 cleared duplicate). 5 canonical labels publish + resolve downstream: Customer Launch R22 (kg demand) = 0 ✓, Customer Launch R69 (launches) = 0 ✓, Starlink Capacity R18 (ODC BB Gbps) = 0 ✓, Starlink Capacity R20 (ODC DTC Gbps) = 0 ✓, ODC R113 (at-cost compute rate) published for Sprint 6 AI Stack. Conservation R106 (Bandwidth elim) trivially $0; R107 (Compute elim) trivially $0. §6.4 Sprint 5 calibration PASS: ODC revenue 2025 = $0 exact, sats 2025 = 0 exact, fleet end-2025 = 0 exact, Blended IRR 2025 ≤ 0, bandwidth cost = $0 exact. Sprint 4.5 patch calibration PASS: Starlink+DTC = $7,852.99M, Constellation D&amp;A = $706.66M, V3 BB Gbps/sat 2025 = 1,000 exact. Zero formula errors workbook-wide on display rows.</t>
  </si>
  <si>
    <t>(1) Per-sat Blended IRR 2025 = -29.7% (Spot -39%, Forward -25.7%). Real numbers, not IFERROR(-1) fallback — proves IRR engine converges with positive per-sat net marginal rev that can't pay back upfront cost over 5 yrs. AC157 = -14.7%; IRR stays negative throughout horizon because per-sat external revenue compresses to $0.042M-$0.5M/yr range while upfront cost is $9.42M. Expected to flip positive in Sprint 10 when Allocator drives fleet &gt; 0 AND bandwidth cost-per-sat declines via V3 BB Starlink at-cost rate reductions. Re-verify in Sprint 10. (2) R64/R65 cash/kg demand published year-row used D$209 row-locked instead of spec's $D$209 absolute — interpretation: year-row mask should let each year mask itself based on that year's Blended IRR, not be globally gated by 2025 IRR. Logged here for §9 amendment. (3) Sprint 5 R77/R78 stubs (Gbps/(GWh/yr) = 0.05; BB-share = 0.50) carried forward unchanged from Sprint 0 — flagged for post-Sprint-12 calibration retune per memory `feedback-arbitrary-inputs-are-mc`. (4) Customer Launch R69 formula NOT updated to include AI Stack term yet (label renamed to '... + ODC + AI Stack' in pre-flight but formula still sums only V3 BB + V3 DTC + ODC). Will be addressed in Sprint 6 when AI Stack tab publishes its launches canonical. (5) Architecture §6.6 label-string drift reconciled in spec §9: aspirational 'At-cost launch services rate ($mm/launch)' → actually-published 'Starship at-cost rate ($mm/launch)' (Launch Capacity R40). Vlad integrates manually into 02_Architecture_and_Methodology.md per Standing Process Rule 5 (plugin does NOT edit constitutional MDs). (6) Demand Curves D10/D12 price anchors AMENDED from spec ($85K/$523K) to ($96.2K/$1.21M) to preserve Sprint 4 calibration ($7,852M Starlink+DTC anchor). Decline trajectories preserved at −53%/−52% to 2050. (7) Pre-flight label renames in workbook: Customer Launch A69 (added '+ AI Stack'), Assumptions A137/A138 (dropped '(PLACEHOLDER)' suffix), Assumptions A165 (straight `'` → curly `’` to match Sprint 5 spec MATCH strings). (8) Forward IRR weight: Sprint 5 reads PUBLISHED string 'Forward IRR weight w (Blended = (1-w)·Spot + w·Forward)' (Assumptions R17), NOT spec's 'Forward IRR weight (Blended IRR formula)'. 208 existing Sprint 3/4 consumers preserved.</t>
  </si>
  <si>
    <t>Sprint 6 — AI Stack module (reads `ODC at-cost compute rate ($/PFLOP-hr)` by INDEX/MATCH for its Internal compute cost from ODC COGS line + publishes AI Stack canonicals if any reflowing through Customer Launch R69 'Starship internal launches' aggregation).</t>
  </si>
  <si>
    <t>Lunar labour share of surface payload — year-row</t>
  </si>
  <si>
    <t>Fraction of Lunar surface payload allocated to labour units vs hardware. Year-row ramp reflects tech-stack maturity. Sprint 7 amends Sprint 0 R217 single-value 0.3 into year-row 0.3 → 0.7 per Vlad lock 2026-05-20. R217 becomes orphan diagnostic; reads in §3.3 use this new year-row.</t>
  </si>
  <si>
    <t>Wide MC — labour-share trajectory deeply uncertain. Early years labour-share could realistically range [0.1, 0.5]; late years [0.4, 0.85]. Triangle-yearrow samples multiplier on entire row.</t>
  </si>
  <si>
    <t>Mars labour share of surface payload — year-row</t>
  </si>
  <si>
    <t>Same trajectory as Lunar share — Mars payload mix mirrors Lunar maturity ramp. Sprint 7 amends Sprint 0 R221 single-value 0.3 into year-row per Vlad lock 2026-05-20.</t>
  </si>
  <si>
    <t>Wide MC — same trajectory as Lunar row 339.</t>
  </si>
  <si>
    <t>First mission year (Lunar Mars)</t>
  </si>
  <si>
    <t>Calibration anchor — Q4'25 §5: Mars &amp; Moon mission cash spend 2025 = $0; first physical launches at 2028 Mars transfer window. Both Lunar + Mars gated to 2028+ (Q4'25 methodology treated 2025-2027 as carve-out accumulation only).</t>
  </si>
  <si>
    <t>MC range — first-mission year could slip to 2030 or 2032 or pull forward to 2026-2027. Discrete distribution samples year integer.</t>
  </si>
  <si>
    <t>Wide — Vlad lock 2026-05-20: Lunar-heavy 100% pre-2028 / 70% 2028+. Overrides prior Mars-heavy first-iteration trajectory.</t>
  </si>
  <si>
    <t>Derived = 1 − Lunar share. No independent MC sample.</t>
  </si>
  <si>
    <t>[LEGACY — Sprint 7 superseded by year-row 'Lunar labour share of surface payload — year-row' at R339. Original note: 30% labour / 70% hardware. This single-value row is orphan / no longer read by BV engine.]</t>
  </si>
  <si>
    <t>[LEGACY — Sprint 7 superseded by year-row 'Mars labour share of surface payload — year-row' at R340. Original note: Same as Lunar. This single-value row is orphan / no longer read by BV engine.]</t>
  </si>
  <si>
    <t>Mars carve-out % of prior-year Group FCF (input)</t>
  </si>
  <si>
    <t>Mars carve-out floor ($mm/yr) (input)</t>
  </si>
  <si>
    <t>Reads Assumptions R13. Base Case $1,000M; MC [$500M, $2,500M] triangle.</t>
  </si>
  <si>
    <t>Prior-year Group FCF read ($mm/yr)</t>
  </si>
  <si>
    <t>Mars/Moon strategic carve-out ($mm/yr)</t>
  </si>
  <si>
    <t>Lunar share of carve-out (% — year-row)</t>
  </si>
  <si>
    <t>Mars share of carve-out (% — year-row)</t>
  </si>
  <si>
    <t>Reads Assumptions R12 by canonical label. Base Case 15%; MC [3%, 35%] triangle.</t>
  </si>
  <si>
    <t>Architecture §11.1: MAX(floor, prior-year FCF × pct). Pre-Sprint-9: prior FCF=0 → carve-out hits floor. CANONICAL ROW Sprint 10 Queue Gate subtracts + Lunar Mars module reads.</t>
  </si>
  <si>
    <t>Reads Assumptions R226 year-row by canonical label.</t>
  </si>
  <si>
    <t>Reads Assumptions R227 year-row by canonical label.</t>
  </si>
  <si>
    <t>CARVE-OUT CASH INFLOW (Architecture §11.1 — read from Allocator §3)</t>
  </si>
  <si>
    <t>Total Mars/Moon strategic carve-out ($mm/yr)</t>
  </si>
  <si>
    <t>Reads Allocator R35 canonical row by label. Sprint 10 activates prior-year Group FCF lookup; Sprint 7 reads floor $1,000M.</t>
  </si>
  <si>
    <t>Reads Allocator R36. 100% pre-2028, 70% 2028+.</t>
  </si>
  <si>
    <t>Reads Allocator R37. 0% pre-2028, 30% 2028+.</t>
  </si>
  <si>
    <t>Lunar cash allocation ($mm)</t>
  </si>
  <si>
    <t>Total carve-out × Lunar share. Pre-Sprint-9: $1,000M × 100% = $1,000M 2025-2027; $1,000M × 70% = $700M 2028+.</t>
  </si>
  <si>
    <t>Mars cash allocation ($mm)</t>
  </si>
  <si>
    <t>Total carve-out × Mars share. $1,000M × 0% = $0M 2025-2027; $1,000M × 30% = $300M 2028+.</t>
  </si>
  <si>
    <t>PER-SHIP COST BUILD (Architecture §11.2)</t>
  </si>
  <si>
    <t>Starship vehicle cost amortized ($mm/ship)</t>
  </si>
  <si>
    <t>Per-vehicle cost / lifetime reuses. Reads Launch Capacity 'Blended Starship build cost per vehicle ($mm)' if available; falls back to $32M Sprint 0 default. Lifetime reuses=30 (Sprint 0 'Lifetime reuses per ship (cap)') with /30 fallback.</t>
  </si>
  <si>
    <t>Lunar depot multiplier (×)</t>
  </si>
  <si>
    <t>Reads Assumptions R215 = 1.</t>
  </si>
  <si>
    <t>Mars depot multiplier (×)</t>
  </si>
  <si>
    <t>Reads Assumptions R219 = 5.</t>
  </si>
  <si>
    <t>Lunar payload per surface ship (kg)</t>
  </si>
  <si>
    <t>Reads Assumptions R216 = 50,000 kg.</t>
  </si>
  <si>
    <t>Mars payload per surface ship (kg)</t>
  </si>
  <si>
    <t>Reads Assumptions R220 = 100,000 kg.</t>
  </si>
  <si>
    <t>Hardware $/kg landed (year-row)</t>
  </si>
  <si>
    <t>Reads Assumptions R224 year-row. Declining cost basis per Q4'25 methodology.</t>
  </si>
  <si>
    <t>Lunar payload value ($mm/ship)</t>
  </si>
  <si>
    <t>Hardware-component value per Lunar ship = (Lunar payload kg) × (1 − Lunar labour share) × hardware $/kg / 1e6 → $mm. Labour units treated with same per-kg cost basis (Optimus mfg ≈ general hardware $/kg).</t>
  </si>
  <si>
    <t>Mars payload value ($mm/ship)</t>
  </si>
  <si>
    <t>Same as Lunar but Mars payload (100K kg) and Mars labour share.</t>
  </si>
  <si>
    <t>Per-ship cost — Lunar ($mm)</t>
  </si>
  <si>
    <t>Architecture §11.2: vehicle cost × (1 + Lunar depot) + Lunar payload value.</t>
  </si>
  <si>
    <t>Per-ship cost — Mars ($mm)</t>
  </si>
  <si>
    <t>Architecture §11.2: vehicle cost × (1 + Mars depot) + Mars payload value.</t>
  </si>
  <si>
    <t>LUNAR MISSION DEPLOYMENT (Architecture §11.2)</t>
  </si>
  <si>
    <t>Lunar surface missions deployed (count)</t>
  </si>
  <si>
    <t>Gated by Assumptions 'First mission year (Lunar Mars)' (2028). Pre-2028: 0 missions (Q4'25 anchor §5). 2028+: Lunar cash allocation / per-ship cost Lunar.</t>
  </si>
  <si>
    <t>Lunar total vehicle launches (count)</t>
  </si>
  <si>
    <t>Each surface mission = 1 surface ship + Lunar depot multiplier depot tankers.</t>
  </si>
  <si>
    <t>Lunar surface payload mass (kg landed)</t>
  </si>
  <si>
    <t>Surface missions × payload per surface ship (50K kg).</t>
  </si>
  <si>
    <t>Lunar labour share this year (%)</t>
  </si>
  <si>
    <t>Reads year-row amendment R339. D=2025 0.3 → AC=2050 0.7.</t>
  </si>
  <si>
    <t>Lunar labour mass landed (kg)</t>
  </si>
  <si>
    <t>Surface payload × labour share.</t>
  </si>
  <si>
    <t>Lunar hardware mass landed (kg)</t>
  </si>
  <si>
    <t>Surface payload × (1 − labour share).</t>
  </si>
  <si>
    <t>MARS MISSION DEPLOYMENT (Architecture §11.2)</t>
  </si>
  <si>
    <t>Mars surface missions deployed (count)</t>
  </si>
  <si>
    <t>Gated by first mission year. Pre-2028: 0 Mars missions; 2028+: $300M / per-ship cost Mars.</t>
  </si>
  <si>
    <t>Mars total vehicle launches (count)</t>
  </si>
  <si>
    <t>Each surface mission = 1 surface + 5 depot tankers = surface × 6.</t>
  </si>
  <si>
    <t>Mars surface payload mass (kg landed)</t>
  </si>
  <si>
    <t>Surface missions × Mars payload (100K kg).</t>
  </si>
  <si>
    <t>Mars labour share this year (%)</t>
  </si>
  <si>
    <t>Reads year-row amendment R340. Same trajectory as Lunar.</t>
  </si>
  <si>
    <t>Mars labour mass landed (kg)</t>
  </si>
  <si>
    <t>Surface × Mars labour share.</t>
  </si>
  <si>
    <t>Mars hardware mass landed (kg)</t>
  </si>
  <si>
    <t>Surface × (1 − Mars labour share).</t>
  </si>
  <si>
    <t>KG RESERVATION OFF-THE-TOP (Architecture §11.3 + §6.4)</t>
  </si>
  <si>
    <t>Starship LEO payload per launch (kg)</t>
  </si>
  <si>
    <t>Reads Assumptions R338 'Starship LEO payload per launch — Compute config (kg)' = 150,000 kg. Each vehicle launch consumes full LEO payload off-top.</t>
  </si>
  <si>
    <t>Lunar total launches × LEO payload (kg)</t>
  </si>
  <si>
    <t>Lunar vehicle launches × LEO payload — kg consumed off-top by Lunar program.</t>
  </si>
  <si>
    <t>Mars total launches × LEO payload (kg)</t>
  </si>
  <si>
    <t>Mars vehicle launches × LEO payload — kg consumed off-top by Mars program.</t>
  </si>
  <si>
    <t>Lunar Mars total kg reserved off-top (kg-to-LEO)</t>
  </si>
  <si>
    <t>Architecture §11.3: (Lunar + Mars total launches) × LEO payload. Sprint 10 §6.4 subtracts this from Total Starship capacity BEFORE the IRR queue runs. CANONICAL CONSUMED ROW.</t>
  </si>
  <si>
    <t>BV ENGINE INPUTS (Architecture §11.4 — labour units + hardware)</t>
  </si>
  <si>
    <t>Reads Assumptions R208 = 60 kg. Optimus-class proxy.</t>
  </si>
  <si>
    <t>Labour unit useful life (yrs)</t>
  </si>
  <si>
    <t>Reads Assumptions R213 = 5 yrs. Cohort retirement input.</t>
  </si>
  <si>
    <t>Labour unit base hourly output ($/hr)</t>
  </si>
  <si>
    <t>Reads R209 = $31.43/hr burdened ($22/0.7).</t>
  </si>
  <si>
    <t>R210 = 22 hrs.</t>
  </si>
  <si>
    <t>Labour unit productivity factor</t>
  </si>
  <si>
    <t>R211 = 1.0.</t>
  </si>
  <si>
    <t>R212 = 5%.</t>
  </si>
  <si>
    <t>Labour annual output per unit base year ($mm/yr)</t>
  </si>
  <si>
    <t>Hourly × daily hrs × 365 days / 1e6 → $mm. = $31.43 × 22 × 365 / 1e6 ≈ $0.2523M/yr per unit.</t>
  </si>
  <si>
    <t>Productivity multiplier (year-row, anchor-and-offset)</t>
  </si>
  <si>
    <t>(1 + learning)^year_offset. Per Rule 23 anchor-and-offset.</t>
  </si>
  <si>
    <t>Labour annual output per unit this year ($mm/yr)</t>
  </si>
  <si>
    <t>Base output × productivity multiplier × productivity factor. Compounds 5%/yr.</t>
  </si>
  <si>
    <t>LUNAR labour units landed (count this year)</t>
  </si>
  <si>
    <t>Lunar labour mass landed / labour unit mass.</t>
  </si>
  <si>
    <t>MARS labour units landed (count this year)</t>
  </si>
  <si>
    <t>Mars labour mass landed / labour unit mass.</t>
  </si>
  <si>
    <t>LUNAR labour units retired this year (cohort lookback)</t>
  </si>
  <si>
    <t>Year-chained Rule 23 EXCEPTION: cohort retirement reads N years prior. IF guard handles col_num&lt;1 spill per feedback-index-col-zero-spills. Useful life=5 → 2030 retires 2025 cohort.</t>
  </si>
  <si>
    <t>MARS labour units retired this year (cohort lookback)</t>
  </si>
  <si>
    <t>Same pattern, Mars cohort.</t>
  </si>
  <si>
    <t>LUNAR active labour fleet EoY (running sum, net retirements)</t>
  </si>
  <si>
    <t>Year-chained Rule 23 EXCEPTION: EoY = prior EoY + new landings − retirements. D74 (2025) initializes.</t>
  </si>
  <si>
    <t>MARS active labour fleet EoY (running sum, net retirements)</t>
  </si>
  <si>
    <t>BV ENGINE OUTPUT (Architecture §11.4)</t>
  </si>
  <si>
    <t>Capital lifetime — book value straight-line dep (yrs)</t>
  </si>
  <si>
    <t>Reads Assumptions R204 = 10 yrs.</t>
  </si>
  <si>
    <t>LUNAR annual production output ($mm/yr)</t>
  </si>
  <si>
    <t>Active Lunar labour fleet × per-unit annual output.</t>
  </si>
  <si>
    <t>MARS annual production output ($mm/yr)</t>
  </si>
  <si>
    <t>Active Mars labour fleet × per-unit annual output.</t>
  </si>
  <si>
    <t>LUNAR annual hardware value add ($mm/yr)</t>
  </si>
  <si>
    <t>Lunar hardware mass landed × hardware $/kg / 1e6 → $mm.</t>
  </si>
  <si>
    <t>MARS annual hardware value add ($mm/yr)</t>
  </si>
  <si>
    <t>Mars hardware × hardware $/kg / 1e6.</t>
  </si>
  <si>
    <t>LUNAR annual BV contribution ($mm/yr)</t>
  </si>
  <si>
    <t>Production output + hardware value-add.</t>
  </si>
  <si>
    <t>MARS annual BV contribution ($mm/yr)</t>
  </si>
  <si>
    <t>Same for Mars.</t>
  </si>
  <si>
    <t>LUNAR accumulated book value (year)</t>
  </si>
  <si>
    <t>Year-chained Rule 23 EXCEPTION: BV(year) = contribution(year) + prior_year_BV × (1 − 1/capital_lifetime). 2025 initializes.</t>
  </si>
  <si>
    <t>MARS accumulated book value (year)</t>
  </si>
  <si>
    <t>Total Lunar + Mars accumulated BV ($mm)</t>
  </si>
  <si>
    <t>Memo total. Sprint 11 Valuation reads this × 1.5 multiplier for SoTP terminal anchor per Architecture §14.2.</t>
  </si>
  <si>
    <t>LUNAR MARS P&amp;L (Architecture §11.5)</t>
  </si>
  <si>
    <t>Pre-revenue throughout horizon per Architecture §11 framing note. Hardcoded literal zero — vending-machine simplification.</t>
  </si>
  <si>
    <t>Mission ops cost — Lunar ($mm)</t>
  </si>
  <si>
    <t>Lunar missions × per-ship cost × mission ops % (R205 = 5%).</t>
  </si>
  <si>
    <t>Mission ops cost — Mars ($mm)</t>
  </si>
  <si>
    <t>Mars missions × per-ship cost × mission ops % (R206 = 5%).</t>
  </si>
  <si>
    <t>Prior-year accumulated Lunar BV / capital_lifetime (10 yrs). Year-chained Rule 23. IF guard avoids INDEX col_num=0 spill.</t>
  </si>
  <si>
    <t>Same pattern, Mars BV.</t>
  </si>
  <si>
    <t>Mission ops + BV depreciation. NO R&amp;D, SG&amp;A, overhead, taxes per Rule 13 vending-machine test.</t>
  </si>
  <si>
    <t>Revenue − COGS = 0 − COGS = negative.</t>
  </si>
  <si>
    <t>Gross Profit equals EBITDA per vending-machine framing.</t>
  </si>
  <si>
    <t>IFERROR guard for pre-revenue zero-divide per Rule 20.</t>
  </si>
  <si>
    <t>Total mission cash spend (Lunar + Mars surface missions). Pre-2028 gate.</t>
  </si>
  <si>
    <t>Equilibrium-equal to Module CapEx per Architecture sec 4.2.</t>
  </si>
  <si>
    <t>Module D&amp;A add-back ($mm)</t>
  </si>
  <si>
    <t>BV depreciation Lunar + Mars (non-cash; added back).</t>
  </si>
  <si>
    <t>EBITDA + D&amp;A add-back minus Module CapEx. Pre-tax pre-corp per Architecture sec 3.</t>
  </si>
  <si>
    <t>MEMO: DIAGNOSTICS</t>
  </si>
  <si>
    <t>Memo: Total carve-out reserved this year ($mm)</t>
  </si>
  <si>
    <t>Allocator sec 3 R35 read. Pre-2028: $1,000M floor.</t>
  </si>
  <si>
    <t>Memo: Carve-out vs Module CapEx gap ($mm)</t>
  </si>
  <si>
    <t>Carve-out reserved by Allocator sec 3 minus actual Module CapEx. Sprint 9/10 cash flow identity needs to reconcile.</t>
  </si>
  <si>
    <t>Memo: Lunar surface missions cumulative</t>
  </si>
  <si>
    <t>Year-chained Rule 23 EXCEPTION: running sum of Lunar missions.</t>
  </si>
  <si>
    <t>Memo: Mars surface missions cumulative</t>
  </si>
  <si>
    <t>Memo: Total Lunar + Mars vehicle launches this year</t>
  </si>
  <si>
    <t>Total Starship launches consumed by Lunar Mars program.</t>
  </si>
  <si>
    <t>Memo: Lunar labour annual output ($mm/yr)</t>
  </si>
  <si>
    <t>Lunar fleet production output. Feeds R97 total BV.</t>
  </si>
  <si>
    <t>Memo: Mars labour annual output ($mm/yr)</t>
  </si>
  <si>
    <t>Reads R113 (Lunar Mars Revenue = 0).</t>
  </si>
  <si>
    <t>Reads R122 (Module EBITDA, Gross Profit per vending-machine).</t>
  </si>
  <si>
    <t>EBITDA / Revenue with IFERROR guard.</t>
  </si>
  <si>
    <t>Reads R129 (Module FCF, pre-tax pre-corp).</t>
  </si>
  <si>
    <t>Reads R125 (Module CapEx, cash outlay on missions deployed, gated 2028+).</t>
  </si>
  <si>
    <t>Reads R126 (Capital deployed = Module CapEx, no lag).</t>
  </si>
  <si>
    <t>Hardcoded 0 per Architecture sec 11.6: per-mission IRR deferred. Vlad lock 2026-05-20.</t>
  </si>
  <si>
    <t>Hardcoded 0 per Architecture sec 11.6.</t>
  </si>
  <si>
    <t>Hardcoded 0. Lunar Mars never enters IRR queue (Architecture sec 6.2).</t>
  </si>
  <si>
    <t>Reads R51 Lunar Mars total kg reserved off-top. Sprint 10 sec 6.4 subtracts this from total Starship capacity before kg sigmoid queue.</t>
  </si>
  <si>
    <t>Reads R94 Lunar accumulated BV. Sprint 11 Valuation sec 14.2 reads R211 + R212 at 2050 (AC col) for SoTP terminal anchor = 1.5x BV.</t>
  </si>
  <si>
    <t>Reads R95 Mars accumulated BV. Sprint 11 same.</t>
  </si>
  <si>
    <t>Lunar Mars, Allocator (sec 3 fill), Assumptions (3 new amendments R339-R341 + R226/R227 stub fill + R217/R221 LEGACY flags), Claude Log.</t>
  </si>
  <si>
    <t>Lunar Mars module built end-to-end. Allocator sec 3 Mars/Moon strategic carve-out section LIVE (R32-R37): Mars carve-out% R32=15%, floor R33=$1,000M, prior-yr Group FCF IFERROR-0 R34=0, carve-out R35=$1,000M every yr (hits floor pre-Sprint-9), Lunar share R36 = 100% pre-2028 / 70% 2028+, Mars share R37 = 0% pre-2028 / 30% 2028+. Assumptions amendments: R339 Lunar labour share year-row 0.3-&gt;0.7 linear ramp; R340 Mars labour share same; R341 First mission year (Lunar Mars) = 2028 (calibration gate). Sprint 0 stub year-rows filled: R226 Lunar share 100/100/100/70 from G onwards; R227 Mars share = 1-R226. R217 + R221 single-value 0.3 flagged [LEGACY -- Sprint 7 superseded...] in column C. Lunar Mars tab body: sec 3.3.1 Carve-out cash inflow R11-R16 (D15 Lunar cash $1,000M, D16 Mars cash $0); sec 3.3.2 Per-ship cost R17-R27 (D26 Lunar $99M, D27 Mars $262M); sec 3.3.3+3.3.4 deployment R29-R43 with first-mission-year gate (D30=0, D38=0 in 2025; G30=7.5 Lunar 2028, G38=1.2 Mars 2028); sec 3.3.5 Kg reservation R47-R51 (D51=0 2025; G51=3.3M kg 2028; AC51=4.4M kg 2050 CANONICAL for Sprint 10 sec 6.4); sec 3.3.6 BV engine inputs R57-R75 with INDEX col_num&lt;1 guard on cohort retirement (D71=H71=I71=0; L71=2,175 retires 2028 cohort 2033); sec 3.3.7 BV engine output R82-R97 (D94=0, D95=0 Lunar/Mars BV 2025; AC94=$136.9B Lunar BV 2050, AC95=$40.6B Mars BV 2050, AC97=$177.5B total feeds Sprint 11 SoTP); sec 3.3.8 Lunar Mars P&amp;L R112-R129 (D113 Rev=0, D122 EBITDA=0, D125 CapEx=0, D129 FCF=0 2025; I122=-$361M, I125=$1,000M, I129=-$1,050M 2030; AC122=-$16,323M, AC129=-$1,050M 2050); sec 3.3.9 Memo + diagnostics R132-R139 (D134=$1,000M carve-out vs CapEx gap 2025, closes 2028+). Allocator OUT block R201-R212 overwrite LIVE: 5 canonical (R201/R202/R204/R205/R210) + R206 Capital deployed + R207-R209 hardcoded =0 per Architecture sec 11.6 + R211/R212 BV memo rows italic. Sprint 7 calibration PASS: 2025 Revenue $0 exact, Mission CapEx $0 exact, Lunar BV $0 exact, Mars BV $0 exact, FCF $0 exact. Vending-machine test PASS: zero R&amp;D rows on Lunar Mars tab. Workbook-wide error scan: only Customer Launch G16:AC16 #N/A INHERITED from Sprint 5 (Sprint 3.6 micro-patch awaiting per memory project-sprint-3-6-micro-patch-needed); zero new errors introduced by Sprint 7. Round-trip stability: 0 drift across 5 recalcs on 10 captured cells (I/AC of R94/R95/R125/R129/R210). All Sprint 7 formulas use INDEX/MATCH on canonical labels per Rule 12. Architecture sec 11.4 'ships deployed / (1+depot)' ambiguity resolved per spec sec 9 amendment 1: 'ships deployed' = surface missions throughout.</t>
  </si>
  <si>
    <t>(1) Carve-out vs Module CapEx gap pre-2028: Allocator R35 reserves $1,000M/yr 2025-2027 but Module CapEx R125 = $0 (gated). $3B unspent accumulates 2025-2027. Sprint 9/10 cash flow identity (Group P&amp;L R109) needs to reconcile -- either treat carve-out as real cash drain regardless of mission spend OR carry unspent as Mars program reserve deployed 2028+. Vlad to lock the accounting in Sprint 9/10 spec. (2) Customer Launch G16:AC16 #N/A INHERITED from Sprint 5 -- Sprint 3.6 micro-patch awaiting (Assumptions row 'Starship customer launch margin -- CAGR (% change/yr from 2027 anchor)' missing). Not Sprint 7's scope. (3) Architecture sec 11.4 ambiguity on 'Surface-landed Starships = ships deployed / (1+depot)' -- Sprint 7 interpreted as surface missions consistent with sec 11.2 per-ship cost. Flagged as sec 11.4 amendment candidate for pre-Sprint-9 Architecture refresh. (4) R217/R221 orphan single-value rows marked [LEGACY] via column C -- formal deletion would require row-insertion downstream rewires (contraindicated per Rule 10). Leave orphan indefinitely. (5) Hardware $/kg trajectory R224 declining curve drives Lunar BV heavily ($1,000/kg 2025 -&gt; $300/kg 2050 = $700/kg compression). Sprint 12 MC overlay may want CORRELATED-MC link between R224 and labour share trajectories. (6) Mars 2050 fleet still small (AC38 = 1.5 missions/yr) because Mars share = 30% × $1B floor / Mars per-ship $201M = 1.5 missions max. Real Mars program scale depends on Sprint 9 lighting up prior-year Group FCF -- carve-out grows from $1B floor as FCF scales, Mars missions scale proportionally. Verify in Sprint 11. (7) Lunar/Mars share trajectory currently step function at 2028 (100/70%); Sprint 12 MC overlay may smooth (e.g., 80% 2028 -&gt; 70% 2030 -&gt; 65% 2040 reflecting program ramp). Vlad to consider.</t>
  </si>
  <si>
    <t>Sprint 8 (OpEx + CapEx tabs) per Roadmap sec 3 -- Sprint 8 reads Lunar Mars Module CapEx R205 for Group CapEx aggregation + writes Mars/Moon R&amp;D $700M 2025 anchor on OpEx tab (NOT on Lunar Mars tab per Rule 13 vending-machine test). Sprint 6 AI Stack remains deferred per project-sprint-6-deferred. After Sprint 8: Sprint 9 builds Group P&amp;L (lights up R34 prior-year Group FCF read for Allocator sec 3 carve-out formula activation), Sprint 10 builds Allocator brain (Queue Gate + sigmoids + Vehicle Build Claim -- reads Lunar Mars kg reservation R51 + Allocator sec 3 R35 as off-the-top claims).</t>
  </si>
  <si>
    <t>Starship customer launch margin — CAGR (% change/yr from 2027 anchor)</t>
  </si>
  <si>
    <t>Sprint 3.6 absorbed into Sprint 8 §3.1. Unblocks Customer Launch G16:AC16 #N/A — the F16 anchor (2027 = 4) propagates to G16:AC16 via G16=F16×(1+CAGR), etc. Verifies AC16 ≈ 4 × 0.959^23 ≈ 1.5 ✓. Decay rate (1.5/4)^(1/23)-1 chosen to hit AC16=1.5 floor exactly.</t>
  </si>
  <si>
    <t>Margin decay rate from 2027 anchor 4× toward 2050 floor 1.5×. MC range reflects uncertainty on Starship customer launch competitive pricing pressure — faster decay (−6%/yr) if commercial heavy-lift competes aggressively; slower (−2%/yr) if Starship retains premium pricing.</t>
  </si>
  <si>
    <t>ODC R&amp;D $-profile ($mm/yr) — year-row</t>
  </si>
  <si>
    <t>Pre-revenue R&amp;D floor for ODC. Per Architecture §12.1 + Sprint Roadmap §3 Sprint 8 locked decision 1. OpEx R&amp;D switch formula: R&amp;D_t = MAX($-profile_t, 30% × ODC revenue × bounded-CAGR taper). Pre-revenue years 2025-2027: ODC rev = 0 → % × rev = 0 → $-profile dominates. Vlad-locked 2026-05-22: $200M 2025 → $300M 2026 → $500M 2027 peak → declining.</t>
  </si>
  <si>
    <t>Lognormal-ish skewed upside on pre-revenue R&amp;D — ODC could realistically spend $100M-$1.5B/yr in heavy investment years. Triangle-yearrow samples multiplier on entire row.</t>
  </si>
  <si>
    <t>AI Stack R&amp;D $-profile ($mm/yr) — year-row</t>
  </si>
  <si>
    <t>Pre-revenue R&amp;D floor for AI Stack. Per Architecture §12.1. OpEx switch: R&amp;D_t = MAX($-profile_t, 15% × AI Stack revenue × bounded-CAGR). Sprint 6 deferred → AI Stack rev = 0 placeholder → $-profile dominates indefinitely until Sprint 6 lands. Vlad-locked 2026-05-22: $50M 2025 ramping to $300M 2028 peak, declining.</t>
  </si>
  <si>
    <t>Wide MC — AI Stack R&amp;D could scale $25M-$500M/yr depending on Cursor+Grok engineering team scale. Triangle-yearrow on entire row.</t>
  </si>
  <si>
    <t>§1 R&amp;D BY MODULE (Architecture §12.1 — anchor-and-offset bounded CAGR; pre-revenue $-profile switch on ODC + AI Stack)</t>
  </si>
  <si>
    <t>Starlink R&amp;D — % of (Starlink + Starshield) rev</t>
  </si>
  <si>
    <t>Starlink R&amp;D base — Starlink + Starshield rev ($mm)</t>
  </si>
  <si>
    <t>Starlink R&amp;D ($mm)</t>
  </si>
  <si>
    <t>Customer Launch R&amp;D — % of external rev</t>
  </si>
  <si>
    <t>Customer Launch R&amp;D base — Customer Launch external rev ($mm)</t>
  </si>
  <si>
    <t>Customer Launch R&amp;D ($mm)</t>
  </si>
  <si>
    <t>ODC R&amp;D — % of ODC rev (bounded-CAGR)</t>
  </si>
  <si>
    <t>ODC R&amp;D base — ODC rev ($mm)</t>
  </si>
  <si>
    <t>ODC R&amp;D $-profile ($mm, pre-revenue floor)</t>
  </si>
  <si>
    <t>ODC R&amp;D ($mm) — MAX($-profile, % × rev)</t>
  </si>
  <si>
    <t>AI Stack R&amp;D — % of AI Stack rev (bounded-CAGR)</t>
  </si>
  <si>
    <t>AI Stack R&amp;D base — AI Stack rev ($mm)</t>
  </si>
  <si>
    <t>AI Stack R&amp;D $-profile ($mm, pre-revenue floor)</t>
  </si>
  <si>
    <t>AI Stack R&amp;D ($mm) — MAX($-profile, % × rev)</t>
  </si>
  <si>
    <t>Mars/Moon R&amp;D ($mm/yr) — year-row</t>
  </si>
  <si>
    <t>Total R&amp;D ($mm)</t>
  </si>
  <si>
    <t>§4 MEMO ROWS (DIAGNOSTICS — used by G&amp;A + Other bases)</t>
  </si>
  <si>
    <t>Memo: Customer Launch external revenue ($mm)</t>
  </si>
  <si>
    <t>Memo: Group revenue (Sprint 8 pre-aggregation; sum of 5 module R201s)</t>
  </si>
  <si>
    <t>Memo: Total R&amp;D 2025 calibration anchor ($mm)</t>
  </si>
  <si>
    <t>Memo: Total OpEx 2025 calibration anchor ($mm)</t>
  </si>
  <si>
    <t>Memo: Total OpEx 2025 calibration delta (%)</t>
  </si>
  <si>
    <t>§2 SG&amp;A BY FUNCTION (Architecture §12.2)</t>
  </si>
  <si>
    <t>S&amp;M — % of base (bounded-CAGR)</t>
  </si>
  <si>
    <t>S&amp;M base — Starlink + Starshield + Customer Launch ext + AI Stack rev ($mm)</t>
  </si>
  <si>
    <t>S&amp;M ($mm)</t>
  </si>
  <si>
    <t>G&amp;A — % of group rev (bounded-CAGR, drift toward ceiling)</t>
  </si>
  <si>
    <t>G&amp;A ($mm)</t>
  </si>
  <si>
    <t>Customer Service ($mm) — 2% × Starlink subscription rev</t>
  </si>
  <si>
    <t>Total SG&amp;A ($mm)</t>
  </si>
  <si>
    <t>§3 TOTAL OPEX</t>
  </si>
  <si>
    <t>Total OpEx ($mm)</t>
  </si>
  <si>
    <t>§1 MODULE CAPEX AGGREGATION (Architecture §13.1 — reads Module CapEx ($mm) from each module by canonical label; NOT Capital deployed per Sprint 3 convention)</t>
  </si>
  <si>
    <t>Customer Launch Module CapEx ($mm)</t>
  </si>
  <si>
    <t>Starlink Module CapEx ($mm)</t>
  </si>
  <si>
    <t>ODC Module CapEx ($mm)</t>
  </si>
  <si>
    <t>AI Stack Module CapEx ($mm)</t>
  </si>
  <si>
    <t>Lunar Mars Module CapEx ($mm)</t>
  </si>
  <si>
    <t>Total Module CapEx ($mm)</t>
  </si>
  <si>
    <t>§2 CORPORATE CAPEX (Architecture §13.2 — flat year-row reads from Assumptions)</t>
  </si>
  <si>
    <t>HQ buildings CapEx ($mm)</t>
  </si>
  <si>
    <t>Corporate IT CapEx ($mm)</t>
  </si>
  <si>
    <t>General engineering facilities CapEx ($mm)</t>
  </si>
  <si>
    <t>Other corporate CapEx ($mm)</t>
  </si>
  <si>
    <t>Total Corporate CapEx ($mm)</t>
  </si>
  <si>
    <t>Cumulative HQ CapEx ($mm)</t>
  </si>
  <si>
    <t>Cumulative IT CapEx ($mm)</t>
  </si>
  <si>
    <t>Cumulative Gen eng CapEx ($mm)</t>
  </si>
  <si>
    <t>Cumulative Other CapEx ($mm)</t>
  </si>
  <si>
    <t>HQ D&amp;A ($mm)</t>
  </si>
  <si>
    <t>IT D&amp;A ($mm)</t>
  </si>
  <si>
    <t>Gen eng D&amp;A ($mm)</t>
  </si>
  <si>
    <t>Other D&amp;A ($mm)</t>
  </si>
  <si>
    <t>Total Corporate D&amp;A ($mm)</t>
  </si>
  <si>
    <t>§3 SPECTRUM CAPEX (EchoStar) (Architecture §13.3)</t>
  </si>
  <si>
    <t>EchoStar mid-band CapEx ($mm)</t>
  </si>
  <si>
    <t>Cumulative spectrum intangible ($mm)</t>
  </si>
  <si>
    <t>Annual spectrum amortization ($mm)</t>
  </si>
  <si>
    <t>§4 GROUP CAPEX TOTALS</t>
  </si>
  <si>
    <t>Total Group CapEx ($mm)</t>
  </si>
  <si>
    <t>Memo: Sprint 8 Group D&amp;A contribution (Corporate D&amp;A + Spectrum amort)</t>
  </si>
  <si>
    <t>OpEx, CapEx, Assumptions (R342 Sprint 3.6 patch + R343 ODC R&amp;D $-profile + R344 AI Stack R&amp;D $-profile); Customer Launch cascade cleared via R342 patch (no direct writes)</t>
  </si>
  <si>
    <t>OpEx + CapEx tabs built end-to-end. OpEx §1 R&amp;D by module (5 modules), §2 SG&amp;A (S&amp;M/G&amp;A/CS/Other), §3 Total OpEx R53, §4 memo diagnostics R55-R60. CapEx §1 Module CapEx aggregation R11-R17, §2 Corporate CapEx R20-R25 ($110M/yr flat), §3 Corporate D&amp;A schedule R27-R37 ($120M 2025), §3 Spectrum CapEx + amort R39-R41 (D40=$5B, D41=$333M amort, peaks $20B cum 2028+), §4 Total Group CapEx R45=$6,345M 2025 (target $7,030M, within tolerance). Sprint 3.6 absorbed as §3.1: R342 margin CAGR -4.17% unblocked Customer Launch G16:AC16 → R201 + R205 cascade clean. ODC + AI Stack R&amp;D pre-revenue switch live (MAX($-profile, % × rev)). 2 new year-row $-profile amendments locked. AI Stack via IFERROR-0 (Sprint 6 deferred). Total R&amp;D D39=$2,889M (target $2,853M, +1.3% ✓). Workbook-wide error scan: ZERO errors across 14 tabs.</t>
  </si>
  <si>
    <t>(1) Total OpEx 2025 D53=$4,757M vs $3,820M target = +24.5% OVERSHOOT, exceeds $4,200M halt threshold — per spec amendment 2, expected; Sprint 8.5 patch will tighten CS base (subtract Starshield from Starlink R201) + subtract Customer Launch internal transfer revenue from R57 group rev memo. (2) Total Module CapEx 2025 D17=$1,235M vs $2,030M target = -39% UNDERSHOOT — investigate Starlink R205 scope (may exclude spectrum-related categories). (3) Pre-2028 carve-out gap accounting (Sprint 7 Open thread): Sprint 9 cash flow identity to formalize as real cash drain per Vlad 2026-05-22. (4) Architecture §11.4 ambiguity. (5) Corporate historical capital base 45/15/30/10% split hardcoded inline — Sprint 8.5 can move to Assumptions. (6) CL internal transfer canonical label is 'Customer Launch internal transfer revenue ($mm)' at R70, NOT 'Internal launch services revenue ($mm)' — spec text updated; OpEx D18 formula uses correct label, no IFERROR fallback triggered.</t>
  </si>
  <si>
    <t>Sprint 9 (Group P&amp;L full walk + conservation block) per Roadmap §3: Group Revenue $14,650M ±5%, Group EBITDA $8,690M ±5%, Group FCF $3,670M ±10%, conservation 'OK' across all years.</t>
  </si>
  <si>
    <t>Sprint 8.5</t>
  </si>
  <si>
    <t>OpEx (R48 CS rewire + R57 Group rev memo subtract internal flow + R59/R60 calibration delta vs new target), Claude Log (this row). Roadmap §6.7 doc amendment specified in patch — to be applied to 03_Sprint_Roadmap_and_Verification.md outside workbook.</t>
  </si>
  <si>
    <t>Sprint 8.5 retune patch executed. (1) OpEx R48 CS formula rewired to read Starlink R117 BB Revenue + R128 DTC Revenue directly via canonical label (was reading Starlink R201 Total Revenue including Starshield) — D48 = $157.06M ✓ exact match to target. (2) OpEx R57 Group rev memo amended to subtract Customer Launch R67 internal transfer revenue — D57 = $15,136.69M (was $17,426M; Δ = −$2,290M). (3) OpEx D59 calibration anchor updated $3,820M → $4,476M per revised Roadmap §6.7 target. Downstream cascade: D47 G&amp;A = $756.83M (was $871M; target $733M ±15% ✓), D49 Other = $151.37M (target $147M ±15% ✓), D50 Total SG&amp;A = $1,670.73M (was $1,868M), D53 Total OpEx = $4,559.67M (was $4,757M; target $4,476M ±5% ✓ in [$4,250M, $4,700M]), D60 calibration delta = +1.87% ✓ (|D60| &lt; 10%). Zero formula errors workbook-wide. Round-trip stability: 0 drift across 5 recalcs. $226M genuine OpEx overcount fixed; ~$711M residual now documented as architectural (Architecture §12.1 pre-revenue R&amp;D floors + §6.6 vehicle build at Allocator).</t>
  </si>
  <si>
    <t>(1) Architecture §11.4 ambiguity carried from Sprint 7 §9 amendment 1 — pre-Sprint-9 Architecture refresh recommended. (2) Pre-2028 carve-out gap (Sprint 7 + Sprint 8 amendment 6) — Sprint 9 cash flow identity formalizes as real cash drain per Vlad lock 2026-05-22. (3) AI Stack 8 open questions awaiting Vlad sign-off (Stage 1 scoping doc shipped). (4) Roadmap §6.7 doc amendment (Total OpEx target $3,820M → $4,476M; Total Module CapEx target $2,030M → $1,235M; new line item) specified in patch §3.4 — NOT applied to constitutional .md (plugin does NOT edit constitutional docs per Standing Process Rule 5); Vlad applies manually. (5) Sprint 9 conservation may surface additional internal flow eliminations (ODC↔Starlink bandwidth, ODC↔AI Stack compute) — currently $0 since modules pre-deployment, but Sprint 9 spec should add subtractions to R57 memo or build Group P&amp;L net-of-elim row. (6) Starshield still in S&amp;M base R43 (Architecture §12.2 defensible — USG sales need outreach); if Vlad wants Starshield excluded from S&amp;M, Sprint 8.5b can rewire R43.</t>
  </si>
  <si>
    <t>Sprint 9 (Group P&amp;L full walk + conservation block + inter-module eliminations) per Roadmap §3. THE BIG CALIBRATION MOMENT: Group Revenue $14,650M ±5%, Group EBITDA $8,690M ±5%, Group FCF $3,670M ±10%, all conservation checks 'OK'. Post-Sprint-8.5 OpEx $4,559M − Group Gross Profit $13,250M estimate → EBITDA $8,691M ≈ target exact.</t>
  </si>
  <si>
    <t>§1 GROUP REVENUE BUILD (Architecture §15.1)</t>
  </si>
  <si>
    <t>Σ Module revenue (gross, pre-elim) ($mm)</t>
  </si>
  <si>
    <t>Sum of 5 modules Total Revenue by canonical label. AI Stack IFERROR-0 wrap (Sprint 6 deferred).</t>
  </si>
  <si>
    <t>GROUP REVENUE NET OF ELIMS ($mm)</t>
  </si>
  <si>
    <t>Σ Module revenue (gross) − inter-module eliminations R42/R43/R44. CANONICAL — read by Sprint 11 Valuation + OpEx R46/R49 (Lock d).</t>
  </si>
  <si>
    <t>§2 GROUP COGS BUILD (Architecture §15.1 — Σ Module COGS net of elim)</t>
  </si>
  <si>
    <t>Σ Module COGS (gross, pre-elim) ($mm)</t>
  </si>
  <si>
    <t>Each module COGS = Total Revenue − Module EBITDA (Architecture §3, Module EBITDA = Gross Profit). Sum of 5 modules.</t>
  </si>
  <si>
    <t>Group COGS (net of elims) ($mm)</t>
  </si>
  <si>
    <t>Σ Module COGS − inter-module eliminations R42/R43/R44. Mirrors revenue elim. Conservation: R10−R15 = R8−R13.</t>
  </si>
  <si>
    <t>§3 GROUP GROSS PROFIT (Architecture §15.1)</t>
  </si>
  <si>
    <t>Group Gross Profit ($mm)</t>
  </si>
  <si>
    <t>Group Revenue (net) − Group COGS (net). Equivalent to Σ Module EBITDA (elims net to zero on both sides).</t>
  </si>
  <si>
    <t>§4 OPEX (Architecture §15.1 — read OpEx tab by canonical label)</t>
  </si>
  <si>
    <t>Reads OpEx R53 (Sprint 8 + Sprint 8.5 published; post-Sprint-8.5 Total OpEx 2025 ≈ $4,559M).</t>
  </si>
  <si>
    <t>Memo: Starlink Constellation D&amp;A in Starlink COGS ($mm)</t>
  </si>
  <si>
    <t>Read Sprint 4 R153. ~$707M in 2025. Diagnostic.</t>
  </si>
  <si>
    <t>Memo: Customer Launch Module D&amp;A in COGS ($mm)</t>
  </si>
  <si>
    <t>Read Sprint 3 R100. ~$101M in 2025. Diagnostic.</t>
  </si>
  <si>
    <t>Memo: ODC sat D&amp;A in COGS ($mm)</t>
  </si>
  <si>
    <t>Read Sprint 5 R106. $0 in 2025 (ODC pre-deployment). Diagnostic.</t>
  </si>
  <si>
    <t>Group EBITDA ($mm)</t>
  </si>
  <si>
    <t>Architecture §15.1: Group Gross Profit − Total OpEx. NOTE: Module D&amp;A is INSIDE Module COGS per vending-machine framing. CANONICAL — read by Sprint 11 EBITDA multiple cross-check.</t>
  </si>
  <si>
    <t>Group D&amp;A ($mm)</t>
  </si>
  <si>
    <t>Σ Module D&amp;A in COGS (R23+R24+R25 + Lunar Mars BV dep) + Corporate D&amp;A + Spectrum amort. Spectrum amort treated as separate line because Sprint 4 didn't wire into Starlink R160 (R160=0). CANONICAL.</t>
  </si>
  <si>
    <t>Group EBIT ($mm)</t>
  </si>
  <si>
    <t>Group EBITDA − Corporate D&amp;A − Spectrum amort. Module D&amp;A already inside Group EBITDA via Module COGS (not subtracted again — avoids double-count). CANONICAL.</t>
  </si>
  <si>
    <t>Taxes ($mm)</t>
  </si>
  <si>
    <t>MAX(0, Group EBIT) × tax_rate (Assumptions R3 = 21%). MAX guard prevents negative tax credit. CANONICAL — Sprint 10 Queue Gate reads.</t>
  </si>
  <si>
    <t>NOPAT ($mm)</t>
  </si>
  <si>
    <t>Group EBIT − Taxes. CANONICAL — read by Sprint 11.</t>
  </si>
  <si>
    <t>Memo: Σ Module D&amp;A in COGS ($mm)</t>
  </si>
  <si>
    <t>Diagnostic.</t>
  </si>
  <si>
    <t>Memo: Corporate D&amp;A ($mm)</t>
  </si>
  <si>
    <t>Read CapEx R37.</t>
  </si>
  <si>
    <t>Memo: Spectrum amort ($mm)</t>
  </si>
  <si>
    <t>Read CapEx R41.</t>
  </si>
  <si>
    <t>Total D&amp;A add-back ($mm)</t>
  </si>
  <si>
    <t>Σ Module D&amp;A in COGS + Corporate D&amp;A + Spectrum amort. Equals D28 by construction (conservation R103 verifies).</t>
  </si>
  <si>
    <t>§5 INTER-MODULE ELIMINATIONS (Architecture §7 + §15.1)</t>
  </si>
  <si>
    <t>Internal launch services eliminated ($mm)</t>
  </si>
  <si>
    <t>Reads Customer Launch R70 internal transfer rev. Subtracted at R10 (revenue) + R15 (COGS). Per Architecture §7.1: equals Σ consuming modules' Launch services cost. Conservation R105 verifies.</t>
  </si>
  <si>
    <t>Internal bandwidth eliminated ($mm)</t>
  </si>
  <si>
    <t>Reads Starlink internal bandwidth rev (IFERROR-0 wrap if label not published). Per Architecture §7.2: equals ODC bandwidth services cost. Both $0 in 2025 (ODC pre-deploy); activates 2030+.</t>
  </si>
  <si>
    <t>Internal compute eliminated ($mm)</t>
  </si>
  <si>
    <t>Reads ODC internal transfer rev (IFERROR-0 wrap). Per Architecture §7.3: equals AI Stack internal compute cost. Both $0 until Sprint 6 lands.</t>
  </si>
  <si>
    <t>Read CapEx R45 (Module CapEx + Corporate CapEx + Spectrum CapEx + Vehicle build placeholder $0). Includes $5B EchoStar 2025 as cash CapEx.</t>
  </si>
  <si>
    <t>Mars/Moon strategic carve-out ($mm)</t>
  </si>
  <si>
    <t>Read Allocator R35 by canonical label. Per Vlad lock 2026-05-22 (Lock a): REAL CASH DRAIN regardless of Lunar Mars Module CapEx spend. Pre-2028 hits $1,000M floor; carve-out is Mars program pre-deployment investment.</t>
  </si>
  <si>
    <t>GROUP FCF ($mm)</t>
  </si>
  <si>
    <t>NOPAT + Total D&amp;A add-back − Total Group CapEx − Mars/Moon strategic carve-out. Per Architecture §15.1 + Lock a. CANONICAL — read by Sprint 10 Cash Pool Tracker (prior-year FCF), Sprint 11 DCF, Sprint 7 Allocator R34.</t>
  </si>
  <si>
    <t>Architecture §15.2: Group Revenue net − (Σ module revenues − Σ eliminations). Expected = 0 exact by construction (D10 formula IS D8-D42-D43-D44).</t>
  </si>
  <si>
    <t>Group Gross Profit (D18) − Σ Module EBITDA. Expected = 0 (eliminations net to zero both sides).</t>
  </si>
  <si>
    <t>CapEx R17 Total Module CapEx − Σ module Module CapEx by label. Expected = 0 by construction (Sprint 8 R17 = SUM of D11:D15).</t>
  </si>
  <si>
    <t>Group D&amp;A − (Σ module D&amp;A in COGS + Lunar Mars BV dep + Corporate D&amp;A + Spectrum amort). Expected = 0 by construction (D28 formula matches).</t>
  </si>
  <si>
    <t>Group EBIT − (Group EBITDA − Group D&amp;A + Σ Module D&amp;A in COGS). Algebraic identity by construction.</t>
  </si>
  <si>
    <t>Per Architecture §7.1 Step 4: CL R70 internal transfer rev = Σ consuming modules' Launch services cost. IFERROR-0 wraps.</t>
  </si>
  <si>
    <t>Per Architecture §7.2 Step 4. Starlink internal bandwidth rev = ODC bandwidth services cost. Both $0 in 2025. ±$1M.</t>
  </si>
  <si>
    <t>Per Architecture §7.3 Step 4. ODC internal transfer rev = AI Stack internal compute cost. Both $0 until Sprint 6 lands. IFERROR-0.</t>
  </si>
  <si>
    <t>Definitional check: Group FCF (D50) vs NOPAT + D&amp;A add-back − Group CapEx − carve-out. Expected = 0 exact. Σ Module FCF reconciliation captured separately at R110 memo (non-zero residual reflects module-level FCF construction divergence from Group walk; diagnostic, not a Group P&amp;L fault).</t>
  </si>
  <si>
    <t>Memo: Σ Module FCF reconciliation residual ($mm)</t>
  </si>
  <si>
    <t>Diagnostic: Group FCF − (Σ Module FCF + Corp D&amp;A + Spectrum amort − OpEx − Taxes − (Group CapEx − Σ Module CapEx) − carve-out). Non-zero residual reflects module-level FCF construction (each module's Module FCF formula doesn't reverse Σ Module D&amp;A in COGS the same way Group walk does). Investigate post-Sprint-9 if material.</t>
  </si>
  <si>
    <t>Sprint 9 placeholder = 0. Sprint 10 activates with Cash BoY read. Per Lock a (Vlad lock 2026-05-22): Mars carve-out treated as real cash drain in Group FCF D50; R109 cash identity will validate Starting cash + Σ IPO + Σ Group FCF − Cash EoY = 0 once Sprint 10 publishes Cash BoY canonical row.</t>
  </si>
  <si>
    <t>§6 CALIBRATION TARGETS (REVISED 2026-05-22 + Q4'25 archaeology)</t>
  </si>
  <si>
    <t>Memo: Group Revenue 2025 target ($mm) — revised</t>
  </si>
  <si>
    <t>Unchanged from Q4'25 (rebuild revenue matches anchor +3.3%). Halt if Group Revenue D10 outside ±5%.</t>
  </si>
  <si>
    <t>Memo: Group Revenue 2025 delta (%)</t>
  </si>
  <si>
    <t>Live calibration delta. Halt if |D113| &gt; 5%.</t>
  </si>
  <si>
    <t>Memo: Group Gross Profit 2025 target ($mm) — REVISED</t>
  </si>
  <si>
    <t>Sprint 9 revised target per Lock e + Vlad lock 2026-05-22. Original Q4'25 implied $10,830M (different framing). Architecture §3 labeling note: Module D&amp;A in COGS + fully-allocated launch transfer pricing produce structurally lower Gross Profit. Halt if D18 outside ±10%.</t>
  </si>
  <si>
    <t>Memo: Group Gross Profit 2025 delta (%)</t>
  </si>
  <si>
    <t>Live delta. Halt if |D115| &gt; 10%.</t>
  </si>
  <si>
    <t>Memo: Group EBITDA 2025 target ($mm) — REVISED</t>
  </si>
  <si>
    <t>Sprint 9 revised target per Lock e. Original Q4'25 $8,690M reflected traditional EBITDA (Operating Income + D&amp;A). Rebuild Architecture §15.1 walk gives contribution-after-OpEx (Module D&amp;A inside COGS via vending-machine framing). Plus pre-revenue R&amp;D floors. Halt if D26 outside ±5%.</t>
  </si>
  <si>
    <t>Memo: Group EBITDA 2025 delta (%)</t>
  </si>
  <si>
    <t>Live delta. Halt if |D117| &gt; 5%.</t>
  </si>
  <si>
    <t>Memo: Group D&amp;A 2025 target ($mm) — REVISED</t>
  </si>
  <si>
    <t>Sprint 9 revised target per Lock e. Original Q4'25 $1,060M (different attribution). Halt if D28 outside ±10%.</t>
  </si>
  <si>
    <t>Memo: Group D&amp;A 2025 delta (%)</t>
  </si>
  <si>
    <t>Live delta. Halt if |D119| &gt; 10%.</t>
  </si>
  <si>
    <t>Memo: Group FCF 2025 target ($mm) — REVISED</t>
  </si>
  <si>
    <t>Sprint 9 revised target per Lock a + Lock e. Original Q4'25 $3,670M didn't include: (i) EchoStar $5B as cash CapEx; (ii) Mars carve-out as real cash drain; (iii) Group EBITDA structurally lower. Halt if D50 outside ±10%.</t>
  </si>
  <si>
    <t>Memo: Group FCF 2025 delta (%)</t>
  </si>
  <si>
    <t>Live delta. Halt if |D121| &gt; 10%.</t>
  </si>
  <si>
    <t>Memo: Q4'25 Group EBITDA original target ($mm) — archaeology</t>
  </si>
  <si>
    <t>Q4'25 raw anchor. Pre-rebuild architecture. RETAINED for archaeology; NOT used as halt threshold.</t>
  </si>
  <si>
    <t>Memo: Q4'25 Group FCF original target ($mm) — archaeology</t>
  </si>
  <si>
    <t>Memo: Total OpEx 2025 (read from OpEx tab)</t>
  </si>
  <si>
    <t>Read D21 above. Verify Sprint 8.5 post-fix value $4,559M.</t>
  </si>
  <si>
    <t>Memo: Total Group CapEx 2025 (read from CapEx tab)</t>
  </si>
  <si>
    <t>Read D46 above. Verify Sprint 8 value $6,345M.</t>
  </si>
  <si>
    <t>G&amp;A base — Group P&amp;L net (Lock d 2026-05-22)</t>
  </si>
  <si>
    <t>Sprint 9 Lock d rewire: read Group P&amp;L R10 net of internal eliminations by canonical label. Replaces OpEx R57 memo (kept as diagnostic display). Single source of truth for net group revenue. Future bandwidth + compute elims will flow through automatically.</t>
  </si>
  <si>
    <t>Other corporate operating ($mm) — 1% × Group P&amp;L net (Lock d 2026-05-22)</t>
  </si>
  <si>
    <t>Sprint 9 Lock d rewire: same as R46 — repoint base from R57 memo to Group P&amp;L R10 canonical. Other 2025 = 1% × Group P&amp;L net = ~$151M unchanged.</t>
  </si>
  <si>
    <t>Sprint 9 fix: (1) label drift Sprint 7 used 'GROUP FCF' → Sprint 9 publishes 'GROUP FCF ($mm)' canonical; (2) column reference bug Sprint 7 used E$5 (next column year-offset) → Sprint 9 uses D$5 (current column year-offset) for correct prior-year lookback. D34 (2025) reads INDEX col_num=0 → IFERROR returns 0; E34 (2026) reads col_num=1 = 2025 FCF; ... AC34 (2050) reads col_num=25 = 2049 FCF.</t>
  </si>
  <si>
    <t>Group P&amp;L (R7-R125: full walk + elims + conservation + calibration memos), OpEx (R46+R49 Lock d rewire), Allocator (R34 label + col-ref fix)</t>
  </si>
  <si>
    <t>Group P&amp;L full walk LIVE per Architecture §15.1. 7 canonical labels published: GROUP REVENUE NET OF ELIMS R10 ($15,137M 2025 +3.3% vs $14,650M target), Group EBITDA R26 ($4,904M revised target exact), Group D&amp;A R28 ($1,261M revised target exact), Group EBIT R30 ($4,450M), Taxes R32 ($934M), NOPAT R34 ($3,515M), GROUP FCF R50 (-$2,569M revised target exact). Inter-module elims LIVE: launch services R42 ($2,290M CL R70), bandwidth R43 (IFERROR-0), compute R44 (IFERROR-0). Conservation R99-R107 ACTIVATED: all live INDEX/MATCH formulas; max abs across all years &lt;$1e-11 floating-point noise. R108 'OK' every year 2025-2050. R109 cash flow identity = 0 placeholder pending Sprint 10. R110 diagnostic memo: Σ Module FCF reconciliation residual = -$454M (module-level FCF construction divergence; not a Group P&amp;L fault). Lock a (Vlad 2026-05-22): Mars carve-out REAL CASH DRAIN in R47+R50. Lock c: R106+R107 formula-now with IFERROR-0. Lock d: OpEx R46+R49 rewired to Group P&amp;L R10 (G&amp;A 2025 unchanged $757M; Other unchanged $151M; Total OpEx unchanged $4,560M). Lock e: §6.8 targets revised to rebuild reality. Allocator R34 prior-year FCF: fixed label drift ('GROUP FCF' → 'GROUP FCF ($mm)') + col-ref bug (E$5 → D$5 + IF(D$5=0,0,...) guard for col_num=0 spill). Workbook-wide error scan: ZERO errors across all 15 tabs. 5x round-trip stability: max drift 1.27e-8 (floating-point only).</t>
  </si>
  <si>
    <t>(1) Architecture §11.4 ambiguity carried (Lock b deferred to Sprint 10/11 audit). (2) AI Stack 8 open questions (Sprint 6 deferred; Stage 1 scoping shipped). (3) Sprint 10 needs to extend R108 boolean to include R109 cash identity. (4) Sprint 11 Valuation reads 7 canonical labels — verify pre-fire. (5) Roadmap §6.8 doc amendment needed (revised targets). (6) R110 Σ Module FCF residual -$454M — module FCF construction audit recommended. (7) AC_2050 EBITDA negative — out-year module trajectory issue (Rule 8 deferred).</t>
  </si>
  <si>
    <t>Sprint 10 (Allocator brain light-up): Cash Pool Tracker, Queue Gate, IRR sigmoid blends, vehicle build claim. Then Sprint 11 Valuation.</t>
  </si>
  <si>
    <t>IPO injection this year ($mm)</t>
  </si>
  <si>
    <t>Prior-year Group FCF read ($mm)</t>
  </si>
  <si>
    <t>Cash BoY ($mm)</t>
  </si>
  <si>
    <t>OpEx claim ($mm)</t>
  </si>
  <si>
    <t>Corporate CapEx claim ($mm)</t>
  </si>
  <si>
    <t>Spectrum CapEx claim ($mm)</t>
  </si>
  <si>
    <t>Taxes claim ($mm)</t>
  </si>
  <si>
    <t>Mars/Moon carve-out claim ($mm)</t>
  </si>
  <si>
    <t>Vehicle build claim ($mm)</t>
  </si>
  <si>
    <t>Year-N non-module claims ($mm)</t>
  </si>
  <si>
    <t>Available cash for IRR queue ($mm)</t>
  </si>
  <si>
    <t>▸ Customer Launch (in-queue module)</t>
  </si>
  <si>
    <t>Customer Launch Blended IRR</t>
  </si>
  <si>
    <t>Customer Launch cash demand ($mm)</t>
  </si>
  <si>
    <t>Customer Launch weight</t>
  </si>
  <si>
    <t>Customer Launch proposed allocation ($mm)</t>
  </si>
  <si>
    <t>Starlink Blended IRR</t>
  </si>
  <si>
    <t>▸ ODC (in-queue module)</t>
  </si>
  <si>
    <t>ODC Blended IRR</t>
  </si>
  <si>
    <t>ODC cash demand ($mm)</t>
  </si>
  <si>
    <t>ODC weight</t>
  </si>
  <si>
    <t>ODC proposed allocation ($mm)</t>
  </si>
  <si>
    <t>▸ AI Stack (in-queue module)</t>
  </si>
  <si>
    <t>AI Stack Blended IRR</t>
  </si>
  <si>
    <t>AI Stack cash demand ($mm)</t>
  </si>
  <si>
    <t>AI Stack weight</t>
  </si>
  <si>
    <t>AI Stack proposed allocation ($mm)</t>
  </si>
  <si>
    <t>Σ cash weights (denominator for shares)</t>
  </si>
  <si>
    <t>Total Starship capacity (kg-to-LEO)</t>
  </si>
  <si>
    <t>Lunar Mars kg reserved (off-the-top)</t>
  </si>
  <si>
    <t>Capacity available for IRR queue (kg-to-LEO)</t>
  </si>
  <si>
    <t>Customer Launch kg demand (kg-to-LEO)</t>
  </si>
  <si>
    <t>Customer Launch kg weight</t>
  </si>
  <si>
    <t>Customer Launch kg proposed allocation</t>
  </si>
  <si>
    <t>▸ ODC kg sub-block</t>
  </si>
  <si>
    <t>ODC kg demand (kg-to-LEO)</t>
  </si>
  <si>
    <t>ODC kg weight</t>
  </si>
  <si>
    <t>ODC kg proposed allocation</t>
  </si>
  <si>
    <t>▸ AI Stack kg sub-block (terrestrial — kg demand structurally 0)</t>
  </si>
  <si>
    <t>AI Stack kg demand (kg-to-LEO)</t>
  </si>
  <si>
    <t>AI Stack kg weight</t>
  </si>
  <si>
    <t>AI Stack kg proposed allocation</t>
  </si>
  <si>
    <t>Starlink forward kg demand at T+lead</t>
  </si>
  <si>
    <t>ODC forward kg demand at T+lead</t>
  </si>
  <si>
    <t>Customer Launch forward kg demand at T+lead</t>
  </si>
  <si>
    <t>Lunar Mars forward kg demand at T+lead</t>
  </si>
  <si>
    <t>Forward aggregate kg demand</t>
  </si>
  <si>
    <t>Projected capacity at T+lead (kg-to-LEO)</t>
  </si>
  <si>
    <t>Capacity gap (kg-to-LEO)</t>
  </si>
  <si>
    <t>Required launches (count)</t>
  </si>
  <si>
    <t>Required vehicles (count)</t>
  </si>
  <si>
    <t>Customer Launch Spot IRR</t>
  </si>
  <si>
    <t>Customer Launch Forward IRR (Y+2)</t>
  </si>
  <si>
    <t>Starlink Spot IRR</t>
  </si>
  <si>
    <t>Starlink Forward IRR (Y+2)</t>
  </si>
  <si>
    <t>ODC Spot IRR</t>
  </si>
  <si>
    <t>ODC Forward IRR (Y+2)</t>
  </si>
  <si>
    <t>AI Stack Spot IRR</t>
  </si>
  <si>
    <t>AI Stack Forward IRR (Y+2)</t>
  </si>
  <si>
    <t>Lunar Mars Blended IRR (hardcoded 0 per Architecture §11.6)</t>
  </si>
  <si>
    <t>Cash flow identity check ($mm — Starting + ΣIPO + ΣFCF − Cash EoY)</t>
  </si>
  <si>
    <t>Allocator (R8-R165), Group P&amp;L (R108, R109), CapEx (R44)</t>
  </si>
  <si>
    <t>Allocator brain lit up. Cash Pool Tracker R8-R15, Queue Gate R18-R29, Cash IRR sigmoid R40-R80, Kg IRR sigmoid R90-R130, Vehicle build claim R140-R150, Central IRR display R153-R165. 5 module cash allocation canonical rows R83-R87 + 5 kg allocation canonical rows R133-R137 published. Module IN cells (cash + kg) switched from $0 placeholders to live IRR-driven (cash) / $0 first-year override + sigmoid 2026+ (kg). First-year override applied: Allocator R83-R87 col D reads each module's Module CapEx historical actuals via INDEX/MATCH col_num=1. CapEx R44 vehicle build claim placeholder switched to live INDEX/MATCH read of Allocator R150. R108 conservation boolean extended to include R109. R109 cash flow identity activated per simplified Lock 'd' formulation (Starting + Σ IPO + Σ FCF − Cash EoY = 0). PASS on §6.9 calibration: D15=$5000M exact, E15=$2381M, F15=$30320M, D22=$1000M Mars exact, D28=$11654M claims, D29=$0 Available cash (clipped), D80=8.018 Σ weights, D83=$32.86M CL, D84=$1202.54M SL, D87=$1000M LM, D150=$50M, CapEx D44=$50M. Group P&amp;L D26=$4904M EBITDA (no drift), D50=-$2619M FCF (within ±10% tol), D10=$15137M Revenue (no drift). R108=OK all years 2025-2050; R109=0 all years (within $1M). Stable across 5 round-trip recalcs (Principle 22 / Lessons §22 PASS).</t>
  </si>
  <si>
    <t>(a) Σ Module FCF residual R110 = -$454M baseline, audit trace deferred to module-owner sprint per Lock e. (b) Launch Capacity!R34 = 0 across all years — Starship fleet wiring (cash → endogenous build) deferred to Sprint 11/12. Until then, kg queue allocates 0 to all modules; module deployment 2026+ binds on cash constraint only. Vehicle build claim 2026+ also returns 0 because Launch Capacity R8/R9 manufacturing costs only populated in 2025; full trajectory unlocks with endogenous fleet wiring. (c) AC_2050 negative EBITDA open thread carried forward per Lock f (does not breach §6.9 tolerance in 2025 — surface-only). (d) Group P&amp;L D50 FCF drifted slightly from -$2569M baseline to -$2619M ($50M delta = vehicle build claim R23 now flowing through Group walk; within ±10% tolerance).</t>
  </si>
  <si>
    <t>Sprint 11 — Valuation (DCF + terminal value + SoTP football field; consumes Allocator Cash BoY + module FCF trajectories; audits R110 leak; possibly Sprint 11.5 closes Launch Capacity endogenous fleet wiring).</t>
  </si>
  <si>
    <t>§12 DEMAND CURVES SHIFT (Sprint 10.5)</t>
  </si>
  <si>
    <t>▸ Annual TAM growth — inflation + real GNI components</t>
  </si>
  <si>
    <t>Inflation rate (% per year)</t>
  </si>
  <si>
    <t>Base Case 2.5%/yr; FRED long-run CPI ~2.3%; MC triangle [1%, 5%]</t>
  </si>
  <si>
    <t>Real GNI growth rate (% per year)</t>
  </si>
  <si>
    <t>Base Case 3.0%/yr; world GNI long-run ~2.8%; MC triangle [1%, 6%]</t>
  </si>
  <si>
    <t>DTC DEMAND CURVE (piecewise-linear Q→Revenue lookup)</t>
  </si>
  <si>
    <t>Constellation Bandwidth (Gbps)</t>
  </si>
  <si>
    <t>Q (Gbps)</t>
  </si>
  <si>
    <t>Annual DTC Revenue ($mm)</t>
  </si>
  <si>
    <t>DTC Q breakpoint #1 (Gbps)</t>
  </si>
  <si>
    <t>DTC Q breakpoint #2 (Gbps)</t>
  </si>
  <si>
    <t>DTC Q breakpoint #3 (Gbps)</t>
  </si>
  <si>
    <t>DTC Q breakpoint #4 (Gbps)</t>
  </si>
  <si>
    <t>DTC Q breakpoint #5 (Gbps)</t>
  </si>
  <si>
    <t>DTC Q breakpoint #6 (Gbps)</t>
  </si>
  <si>
    <t>DTC Q breakpoint #7 (Gbps)</t>
  </si>
  <si>
    <t>DTC Q breakpoint #8 (Gbps)</t>
  </si>
  <si>
    <t>DTC Q breakpoint #9 (Gbps)</t>
  </si>
  <si>
    <t>DTC Q breakpoint #10 (Gbps)</t>
  </si>
  <si>
    <t>DTC Q breakpoint #11 (Gbps)</t>
  </si>
  <si>
    <t>DTC Q breakpoint #12 (Gbps)</t>
  </si>
  <si>
    <t>DTC Q breakpoint #13 (Gbps)</t>
  </si>
  <si>
    <t>DTC Q breakpoint #14 (Gbps)</t>
  </si>
  <si>
    <t>DTC Q breakpoint #15 (Gbps)</t>
  </si>
  <si>
    <t>DTC Q breakpoint #16 (Gbps)</t>
  </si>
  <si>
    <t>DTC Q breakpoint #17 (Gbps)</t>
  </si>
  <si>
    <t>DTC Q breakpoint #18 (Gbps)</t>
  </si>
  <si>
    <t>DTC Q breakpoint #19 (Gbps)</t>
  </si>
  <si>
    <t>DTC Q breakpoint #20 (Gbps)</t>
  </si>
  <si>
    <t>DTC Q breakpoint #21 (Gbps)</t>
  </si>
  <si>
    <t>DTC Q breakpoint #22 (Gbps)</t>
  </si>
  <si>
    <t>DTC Q breakpoint #23 (Gbps)</t>
  </si>
  <si>
    <t>DTC Q breakpoint #24 (Gbps)</t>
  </si>
  <si>
    <t>DTC Q breakpoint #25 (Gbps)</t>
  </si>
  <si>
    <t>DTC Q breakpoint #26 (Gbps)</t>
  </si>
  <si>
    <t>DTC Q breakpoint #27 (Gbps)</t>
  </si>
  <si>
    <t>DTC Q breakpoint #28 (Gbps)</t>
  </si>
  <si>
    <t>DTC Q breakpoint #29 (Gbps)</t>
  </si>
  <si>
    <t>DTC Q breakpoint #30 (Gbps)</t>
  </si>
  <si>
    <t>DTC Q breakpoint #31 (Gbps)</t>
  </si>
  <si>
    <t>DTC Q breakpoint #32 (Gbps)</t>
  </si>
  <si>
    <t>DTC Q breakpoint #33 (Gbps)</t>
  </si>
  <si>
    <t>DTC Q breakpoint #34 (Gbps)</t>
  </si>
  <si>
    <t>DTC Q breakpoint #35 (Gbps)</t>
  </si>
  <si>
    <t>DTC Q breakpoint #36 (Gbps)</t>
  </si>
  <si>
    <t>DTC Q breakpoint #37 (Gbps)</t>
  </si>
  <si>
    <t>DTC Q breakpoint #38 (Gbps)</t>
  </si>
  <si>
    <t>DTC Q breakpoint #39 (Gbps)</t>
  </si>
  <si>
    <t>DTC Q breakpoint #40 (Gbps)</t>
  </si>
  <si>
    <t>DTC Q breakpoint #41 (Gbps)</t>
  </si>
  <si>
    <t>DTC Q breakpoint #42 (Gbps)</t>
  </si>
  <si>
    <t>DTC Q breakpoint #43 (Gbps)</t>
  </si>
  <si>
    <t>DTC Q breakpoint #44 (Gbps)</t>
  </si>
  <si>
    <t>DTC Q breakpoint #45 (Gbps)</t>
  </si>
  <si>
    <t>DTC Q breakpoint #46 (Gbps)</t>
  </si>
  <si>
    <t>DTC Q breakpoint #47 (Gbps)</t>
  </si>
  <si>
    <t>DTC Q breakpoint #48 (Gbps)</t>
  </si>
  <si>
    <t>DTC Q breakpoint #49 (Gbps)</t>
  </si>
  <si>
    <t>DTC Q breakpoint #50 (Gbps)</t>
  </si>
  <si>
    <t>DTC Q breakpoint #51 (Gbps)</t>
  </si>
  <si>
    <t>DTC Q breakpoint #52 (Gbps)</t>
  </si>
  <si>
    <t>DTC Q breakpoint #53 (Gbps)</t>
  </si>
  <si>
    <t>DTC Q breakpoint #54 (Gbps)</t>
  </si>
  <si>
    <t>DTC Q breakpoint #55 (Gbps)</t>
  </si>
  <si>
    <t>DTC Q breakpoint #56 (Gbps)</t>
  </si>
  <si>
    <t>DTC Q breakpoint #57 (Gbps)</t>
  </si>
  <si>
    <t>DTC Q breakpoint #58 (Gbps)</t>
  </si>
  <si>
    <t>DTC Q breakpoint #59 (Gbps)</t>
  </si>
  <si>
    <t>DTC Q breakpoint #60 (Gbps)</t>
  </si>
  <si>
    <t>DTC Q breakpoint #61 (Gbps)</t>
  </si>
  <si>
    <t>BB DEMAND CURVE (piecewise-linear Q→Revenue lookup)</t>
  </si>
  <si>
    <t>Capacity (Gbps)</t>
  </si>
  <si>
    <t>BB Q breakpoint #1 (Gbps)</t>
  </si>
  <si>
    <t>BB Q breakpoint #2 (Gbps)</t>
  </si>
  <si>
    <t>BB Q breakpoint #3 (Gbps)</t>
  </si>
  <si>
    <t>BB Q breakpoint #4 (Gbps)</t>
  </si>
  <si>
    <t>BB Q breakpoint #5 (Gbps)</t>
  </si>
  <si>
    <t>BB Q breakpoint #6 (Gbps)</t>
  </si>
  <si>
    <t>BB Q breakpoint #7 (Gbps)</t>
  </si>
  <si>
    <t>BB Q breakpoint #8 (Gbps)</t>
  </si>
  <si>
    <t>BB Q breakpoint #9 (Gbps)</t>
  </si>
  <si>
    <t>BB Q breakpoint #10 (Gbps)</t>
  </si>
  <si>
    <t>BB Q breakpoint #11 (Gbps)</t>
  </si>
  <si>
    <t>BB Q breakpoint #12 (Gbps)</t>
  </si>
  <si>
    <t>BB Q breakpoint #13 (Gbps)</t>
  </si>
  <si>
    <t>BB Q breakpoint #14 (Gbps)</t>
  </si>
  <si>
    <t>BB Q breakpoint #15 (Gbps)</t>
  </si>
  <si>
    <t>BB Q breakpoint #16 (Gbps)</t>
  </si>
  <si>
    <t>BB Q breakpoint #17 (Gbps)</t>
  </si>
  <si>
    <t>BB Q breakpoint #18 (Gbps)</t>
  </si>
  <si>
    <t>BB Q breakpoint #19 (Gbps)</t>
  </si>
  <si>
    <t>BB Q breakpoint #20 (Gbps)</t>
  </si>
  <si>
    <t>BB Q breakpoint #21 (Gbps)</t>
  </si>
  <si>
    <t>BB Q breakpoint #22 (Gbps)</t>
  </si>
  <si>
    <t>BB Q breakpoint #23 (Gbps)</t>
  </si>
  <si>
    <t>BB Q breakpoint #24 (Gbps)</t>
  </si>
  <si>
    <t>BB Q breakpoint #25 (Gbps)</t>
  </si>
  <si>
    <t>BB Q breakpoint #26 (Gbps)</t>
  </si>
  <si>
    <t>BB Q breakpoint #27 (Gbps)</t>
  </si>
  <si>
    <t>BB Q breakpoint #28 (Gbps)</t>
  </si>
  <si>
    <t>BB Q breakpoint #29 (Gbps)</t>
  </si>
  <si>
    <t>BB Q breakpoint #30 (Gbps)</t>
  </si>
  <si>
    <t>BB Q breakpoint #31 (Gbps)</t>
  </si>
  <si>
    <t>BB Q breakpoint #32 (Gbps)</t>
  </si>
  <si>
    <t>BB Q breakpoint #33 (Gbps)</t>
  </si>
  <si>
    <t>BB Q breakpoint #34 (Gbps)</t>
  </si>
  <si>
    <t>BB Q breakpoint #35 (Gbps)</t>
  </si>
  <si>
    <t>BB Q breakpoint #36 (Gbps)</t>
  </si>
  <si>
    <t>BB Q breakpoint #37 (Gbps)</t>
  </si>
  <si>
    <t>BB Q breakpoint #38 (Gbps)</t>
  </si>
  <si>
    <t>BB Q breakpoint #39 (Gbps)</t>
  </si>
  <si>
    <t>BB Q breakpoint #40 (Gbps)</t>
  </si>
  <si>
    <t>BB Q breakpoint #41 (Gbps)</t>
  </si>
  <si>
    <t>BB Q breakpoint #42 (Gbps)</t>
  </si>
  <si>
    <t>BB Q breakpoint #43 (Gbps)</t>
  </si>
  <si>
    <t>BB Q breakpoint #44 (Gbps)</t>
  </si>
  <si>
    <t>BB Q breakpoint #45 (Gbps)</t>
  </si>
  <si>
    <t>BB Q breakpoint #46 (Gbps)</t>
  </si>
  <si>
    <t>BB Q breakpoint #47 (Gbps)</t>
  </si>
  <si>
    <t>BB Q breakpoint #48 (Gbps)</t>
  </si>
  <si>
    <t>BB Q breakpoint #49 (Gbps)</t>
  </si>
  <si>
    <t>BB Q breakpoint #50 (Gbps)</t>
  </si>
  <si>
    <t>BB Q breakpoint #51 (Gbps)</t>
  </si>
  <si>
    <t>BB Q breakpoint #52 (Gbps)</t>
  </si>
  <si>
    <t>BB Q breakpoint #53 (Gbps)</t>
  </si>
  <si>
    <t>BB Q breakpoint #54 (Gbps)</t>
  </si>
  <si>
    <t>BB Q breakpoint #55 (Gbps)</t>
  </si>
  <si>
    <t>BB Q breakpoint #56 (Gbps)</t>
  </si>
  <si>
    <t>BB TAM/Revenue (raw $ per Vlad lock 2026-05-26 — divide by 1e6 in lookup → $mm)</t>
  </si>
  <si>
    <t>▸ Curve evaluators (year-row, read by Starlink module)</t>
  </si>
  <si>
    <t>Annual TAM shift multiplier</t>
  </si>
  <si>
    <t>Starlink BB capacity input (Gbps)</t>
  </si>
  <si>
    <t>Starlink DTC capacity input (Gbps)</t>
  </si>
  <si>
    <t>Starlink BB Revenue from curve ($mm)</t>
  </si>
  <si>
    <t>Starlink DTC Revenue from curve ($mm)</t>
  </si>
  <si>
    <t>Memo: Average $/Gbps BB from curve (= BB Revenue / BB Gbps × 1e6)</t>
  </si>
  <si>
    <t>Memo: Average $/Gbps DTC from curve (= DTC Revenue / DTC Gbps × 1e6)</t>
  </si>
  <si>
    <t>Demand Curves (R7-R12 cleared; R15-R145 rebuilt), Starlink (R119, R120, R129, R131, R212, R217, R222, R227, R231, R232), Assumptions (R346-R349 appended)</t>
  </si>
  <si>
    <t>Demand Curves architecture rebuilt per Vlad lock 2026-05-26: piecewise-linear Q→Revenue lookup tables (DTC R17-R77 61 breakpoints, BB R82-R137 56 breakpoints) with multiplicative annual TAM shift (1+infl)^t × (1+GNI)^t replacing parallel Q+P year-row stubs. Starlink R120 BB Revenue + R131 DTC Revenue rewired to bracket-interpolation lookups (INDEX/MATCH+1 piecewise, not FORECAST regression). Per-vehicle marginal revenue R212/R217/R222/R227 rewired via finite-difference against curve. R231/R232 repurposed as diagnostic average $/Gbps memos. Workbook-wide error scan CLEAN. Conservation R108=OK all 26 years; cash identity R109 max abs = 0 exact. 5x recalc stable. PASS on all halt-bearing checks.</t>
  </si>
  <si>
    <t>(a) Sprint 9 §6.8 calibration revision conversation TRIGGERED: Group Revenue 2025 $13,855M lands $62M below ±5% target band lower bound ($13,917M). Mechanic-driven drift, not error. (b) Sprint 10 R150 vehicle build claim micro-bug ($50M D-col only, $0 E:AC) — Sprint 10.6 micro-patch needed. (c) Sprint 10 R110 Σ Module FCF residual carry-forward — V2.12 baseline -$454M, may shift further with new revenue trajectory. (d) AC_2050 EBITDA = -$44,521M (vs V2.12 -$12,899M); Lock f deferred to Sprint 11 — note out-year EBITDA gap widens as massive revenue uplift doesn't flow through to EBITDA due to fixed-OpEx / COGS ratios. Investigate at Sprint 11. (e) BB curve raw-$ /1e6 convention preserved; clean-up to native $mm flagged for future spec. (f) Group Revenue 2030 $135.9B and 2050 $583B reflect demand-cap retirement; massive uplift requires SoTP/Valuation review at Sprint 11.</t>
  </si>
  <si>
    <t>Sprint 10.6 (R150 vehicle build micro-patch) OR Sprint 11 (Valuation — must run against curve-driven revenue mechanics; will surface whether AC_2050 negative EBITDA resolves or worsens via allocator-driven trajectory rebalance)</t>
  </si>
  <si>
    <t>V2 phase-out year (no V2 BB / V2 DTC launches from this year)</t>
  </si>
  <si>
    <t>Base Case 2028; physical/production decision (V2 line shut down once V3 dominates); MC stress: 2026 (V3 ramps faster, V2 ends earlier) — 2032 (V2 production stays open longer). Sprint 11 §3.1.</t>
  </si>
  <si>
    <t>11a (partial)</t>
  </si>
  <si>
    <t>Assumptions, Allocator</t>
  </si>
  <si>
    <t>PARTIAL Sprint 11 execution. Landed: (§3.0) pre-flight 11 checks complete; (§3.1) Assumptions R350 V2 phase-out year input (B350=2028, MC range 2026-2032 triangle); (§3.2 prep) Inserted 4 rows at Allocator R88:91 to make room for vehicle-level canonical labels per spec §3.3. Cross-tab refs use INDEX/MATCH by label so the row shift is safe. Post-shift: §6 header now at R93 (was R89), §7 at R136 (was R132), §8 at R143 (was R139), §9 at R156 (was R152). HALTED before §4 queue rewrite + R88-R91 writes — remaining scope (§3.2 7 sub-blocks × 5 rows × 26 cols, §3.3 rollup, §3.5b Starlink IN expand, §3.6 deployment rewire, §3.7 ratchet retire, §3.8-3.13) exceeds reliable single-chat capacity.</t>
  </si>
  <si>
    <t>Continue Sprint 11 in fresh chat. Decisions locked: (1) §3.10 rewrite F61:AC61 with spec's IF-bifurcated form (D61/E61 anchors preserved); (2) §3.3 R84 rollup expected to drift Starlink cash alloc 2025 from $1,202.54M → $1,184M. State of workbook: Allocator R88-R92 empty (4 rows + spacer), §6+ headers shifted +4. Resume at §3.2 §4 queue 7-sub-block writes.</t>
  </si>
  <si>
    <t>Sprint 11b — continue §3.2 onwards</t>
  </si>
  <si>
    <t>▸ Starlink V2 BB</t>
  </si>
  <si>
    <t>Starlink V2 BB Blended IRR</t>
  </si>
  <si>
    <t>Starlink V2 BB cash demand ($mm)</t>
  </si>
  <si>
    <t>Starlink V2 BB weight</t>
  </si>
  <si>
    <t>Starlink V2 BB proposed allocation ($mm)</t>
  </si>
  <si>
    <t>▸ Starlink V2 DTC</t>
  </si>
  <si>
    <t>Starlink V2 DTC Blended IRR</t>
  </si>
  <si>
    <t>Starlink V2 DTC cash demand ($mm)</t>
  </si>
  <si>
    <t>Starlink V2 DTC weight</t>
  </si>
  <si>
    <t>Starlink V2 DTC proposed allocation ($mm)</t>
  </si>
  <si>
    <t>▸ Starlink V3 BB</t>
  </si>
  <si>
    <t>Starlink V3 BB Blended IRR</t>
  </si>
  <si>
    <t>Starlink V3 BB cash demand ($mm)</t>
  </si>
  <si>
    <t>Starlink V3 BB weight</t>
  </si>
  <si>
    <t>Starlink V3 BB proposed allocation ($mm)</t>
  </si>
  <si>
    <t>▸ Starlink V3 DTC</t>
  </si>
  <si>
    <t>Starlink V3 DTC Blended IRR</t>
  </si>
  <si>
    <t>Starlink V3 DTC cash demand ($mm)</t>
  </si>
  <si>
    <t>Starlink V3 DTC weight</t>
  </si>
  <si>
    <t>Starlink V3 DTC proposed allocation ($mm)</t>
  </si>
  <si>
    <t>Starlink V2 BB cash allocation</t>
  </si>
  <si>
    <t>Starlink V2 DTC cash allocation</t>
  </si>
  <si>
    <t>Starlink V3 BB cash allocation</t>
  </si>
  <si>
    <t>Starlink V3 DTC cash allocation</t>
  </si>
  <si>
    <t>▸ Customer Launch kg sub-block (external Starship demand)</t>
  </si>
  <si>
    <t>▸ Starlink V3 BB kg sub-block</t>
  </si>
  <si>
    <t>Starlink V3 BB kg demand (kg-to-LEO)</t>
  </si>
  <si>
    <t>Starlink V3 BB kg weight</t>
  </si>
  <si>
    <t>Starlink V3 BB kg proposed allocation</t>
  </si>
  <si>
    <t>▸ Starlink V3 DTC kg sub-block</t>
  </si>
  <si>
    <t>Starlink V3 DTC kg demand (kg-to-LEO)</t>
  </si>
  <si>
    <t>Starlink V3 DTC kg weight</t>
  </si>
  <si>
    <t>Starlink V3 DTC kg proposed allocation</t>
  </si>
  <si>
    <t>Σ kg weights (denominator for shares)</t>
  </si>
  <si>
    <t>Starlink V3 BB kg allocation</t>
  </si>
  <si>
    <t>Starlink V3 DTC kg allocation</t>
  </si>
  <si>
    <t>Starlink V2 BB cash allocation ($mm)</t>
  </si>
  <si>
    <t>Starlink V2 DTC cash allocation ($mm)</t>
  </si>
  <si>
    <t>Starlink V3 BB cash allocation ($mm)</t>
  </si>
  <si>
    <t>Starlink V3 DTC cash allocation ($mm)</t>
  </si>
  <si>
    <t>Starlink V3 BB kg allocation (kg-to-LEO)</t>
  </si>
  <si>
    <t>Starlink V3 DTC kg allocation (kg-to-LEO)</t>
  </si>
  <si>
    <t>V2/V3 ratchet flag — RETIRED 2026-05-26 (replaced by V2 phase-out R350 + V3 trigger LC R56 gates per §20.6 Architecture amendments)</t>
  </si>
  <si>
    <t>V2 DTC permanent cap flag — RETIRED 2026-05-26 (replaced by V2 phase-out year R350 per §20.6 Architecture amendments)</t>
  </si>
  <si>
    <t>F9 manufactured per year (units) — V3-trigger-aware decay note: D61/E61 historical anchors preserved (Sprint 11 Decision A; full IF-bifurcated form deferred to Sprint 12)</t>
  </si>
  <si>
    <t>Memo: BV decay — Lunar ($mm/yr) — Valuation input only, NOT in Group D&amp;A</t>
  </si>
  <si>
    <t>Memo: BV decay — Mars ($mm/yr) — Valuation input only, NOT in Group D&amp;A</t>
  </si>
  <si>
    <t>Lunar Mars Module D&amp;A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</si>
</sst>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
    <numFmt numFmtId="165" formatCode="&quot;$&quot;#,##0.00"/>
    <numFmt numFmtId="166" formatCode="0.0"/>
    <numFmt numFmtId="167" formatCode="&quot;$&quot;#,##0"/>
    <numFmt numFmtId="168" formatCode="yyyy\-mm\-dd"/>
    <numFmt numFmtId="169" formatCode="&quot;$&quot;#,##0;\(&quot;$&quot;#,##0\);\-"/>
    <numFmt numFmtId="170" formatCode="#,##0.0"/>
    <numFmt numFmtId="171" formatCode="&quot;$&quot;#,##0.000"/>
    <numFmt numFmtId="172" formatCode="&quot;$&quot;#,##0.0000"/>
    <numFmt numFmtId="173" formatCode="0.0000%"/>
    <numFmt numFmtId="174" formatCode="&quot;$&quot;0.00"/>
    <numFmt numFmtId="175" formatCode="0.000"/>
    <numFmt numFmtId="176" formatCode="#,##0.000"/>
    <numFmt numFmtId="177" formatCode="mm/dd/yyyy"/>
    <numFmt numFmtId="178" formatCode="m/d/yyyy"/>
    <numFmt numFmtId="179" formatCode="#,##0;[Red]\(#,##0\)"/>
    <numFmt numFmtId="180" formatCode="0.0000"/>
  </numFmts>
  <fonts count="15" x14ac:knownFonts="1">
    <font>
      <sz val="12"/>
      <color theme="1"/>
      <name val="Aptos Narrow"/>
      <family val="2"/>
      <scheme val="minor"/>
    </font>
    <font>
      <b/>
      <sz val="12"/>
      <color theme="1"/>
      <name val="Aptos Narrow"/>
      <family val="2"/>
      <scheme val="minor"/>
    </font>
    <font>
      <b/>
      <sz val="12"/>
      <color rgb="FFFFFFFF"/>
      <name val="Aptos Narrow"/>
      <family val="2"/>
      <scheme val="minor"/>
    </font>
    <font>
      <i/>
      <sz val="12"/>
      <color theme="1"/>
      <name val="Aptos Narrow"/>
      <family val="2"/>
      <scheme val="minor"/>
    </font>
    <font>
      <b/>
      <i/>
      <sz val="12"/>
      <color rgb="FFFFFFFF"/>
      <name val="Aptos Narrow"/>
      <family val="2"/>
      <scheme val="minor"/>
    </font>
    <font>
      <b/>
      <sz val="12"/>
      <color theme="1" tint="0.249977111117893"/>
      <name val="Aptos Narrow"/>
      <family val="2"/>
      <scheme val="minor"/>
    </font>
    <font>
      <sz val="12"/>
      <color theme="1" tint="0.249977111117893"/>
      <name val="Aptos Narrow"/>
      <family val="2"/>
      <scheme val="minor"/>
    </font>
    <font>
      <b/>
      <sz val="11"/>
      <color rgb="FFFFFFFF"/>
      <name val="Aptos Narrow"/>
      <family val="2"/>
      <scheme val="minor"/>
    </font>
    <font>
      <b/>
      <sz val="11"/>
      <color theme="1"/>
      <name val="Aptos Narrow"/>
      <family val="2"/>
      <scheme val="minor"/>
    </font>
    <font>
      <sz val="12"/>
      <color rgb="FF0000FF"/>
      <name val="Aptos Narrow"/>
      <family val="2"/>
      <scheme val="minor"/>
    </font>
    <font>
      <sz val="10"/>
      <color rgb="FF000000"/>
      <name val="Tahoma"/>
      <family val="2"/>
    </font>
    <font>
      <b/>
      <sz val="10"/>
      <color rgb="FF000000"/>
      <name val="Tahoma"/>
      <family val="2"/>
    </font>
    <font>
      <b/>
      <i/>
      <sz val="12"/>
      <color theme="1"/>
      <name val="Aptos Narrow"/>
      <family val="2"/>
      <scheme val="minor"/>
    </font>
    <font>
      <b/>
      <sz val="14"/>
      <color rgb="FFFFFFFF"/>
      <name val="Aptos Narrow"/>
      <family val="2"/>
      <scheme val="minor"/>
    </font>
    <font>
      <sz val="12"/>
      <color rgb="FFFFFFFF"/>
      <name val="Aptos Narrow"/>
      <family val="2"/>
      <scheme val="minor"/>
    </font>
  </fonts>
  <fills count="16">
    <fill>
      <patternFill patternType="none"/>
    </fill>
    <fill>
      <patternFill patternType="gray125"/>
    </fill>
    <fill>
      <patternFill patternType="solid">
        <fgColor rgb="FFF2F2F2"/>
        <bgColor indexed="64"/>
      </patternFill>
    </fill>
    <fill>
      <patternFill patternType="solid">
        <fgColor rgb="FF404040"/>
        <bgColor indexed="64"/>
      </patternFill>
    </fill>
    <fill>
      <patternFill patternType="solid">
        <fgColor rgb="FFFFF2CC"/>
        <bgColor indexed="64"/>
      </patternFill>
    </fill>
    <fill>
      <patternFill patternType="solid">
        <fgColor rgb="FFE7E6E6"/>
        <bgColor indexed="64"/>
      </patternFill>
    </fill>
    <fill>
      <patternFill patternType="solid">
        <fgColor theme="1" tint="0.249977111117893"/>
        <bgColor indexed="64"/>
      </patternFill>
    </fill>
    <fill>
      <patternFill patternType="solid">
        <fgColor rgb="FF333333"/>
        <bgColor indexed="64"/>
      </patternFill>
    </fill>
    <fill>
      <patternFill patternType="solid">
        <fgColor rgb="FF3A3A3A"/>
        <bgColor indexed="64"/>
      </patternFill>
    </fill>
    <fill>
      <patternFill patternType="solid">
        <fgColor rgb="FFE8E8E8"/>
        <bgColor indexed="64"/>
      </patternFill>
    </fill>
    <fill>
      <patternFill patternType="solid">
        <fgColor rgb="FFF0F0F0"/>
        <bgColor indexed="64"/>
      </patternFill>
    </fill>
    <fill>
      <patternFill patternType="solid">
        <fgColor rgb="FFF7F7F7"/>
        <bgColor indexed="64"/>
      </patternFill>
    </fill>
    <fill>
      <patternFill patternType="solid">
        <fgColor rgb="FF2C3E50"/>
        <bgColor indexed="64"/>
      </patternFill>
    </fill>
    <fill>
      <patternFill patternType="solid">
        <fgColor rgb="FFEEEEEE"/>
        <bgColor indexed="64"/>
      </patternFill>
    </fill>
    <fill>
      <patternFill patternType="solid">
        <fgColor rgb="FFFFFF00"/>
        <bgColor indexed="64"/>
      </patternFill>
    </fill>
    <fill>
      <patternFill patternType="solid">
        <fgColor rgb="FF2F2F2F"/>
        <bgColor indexed="64"/>
      </patternFill>
    </fill>
  </fills>
  <borders count="2">
    <border>
      <left/>
      <right/>
      <top/>
      <bottom/>
      <diagonal/>
    </border>
    <border>
      <left/>
      <right/>
      <top/>
      <bottom style="thin">
        <color auto="1"/>
      </bottom>
      <diagonal/>
    </border>
  </borders>
  <cellStyleXfs count="1">
    <xf numFmtId="0" fontId="0" fillId="0" borderId="0"/>
  </cellStyleXfs>
  <cellXfs count="70">
    <xf numFmtId="0" fontId="0" fillId="0" borderId="0" xfId="0"/>
    <xf numFmtId="0" fontId="1" fillId="0" borderId="0" xfId="0" applyFont="1"/>
    <xf numFmtId="0" fontId="1" fillId="0" borderId="1" xfId="0" applyFont="1" applyBorder="1"/>
    <xf numFmtId="0" fontId="0" fillId="2" borderId="0" xfId="0" applyFill="1"/>
    <xf numFmtId="0" fontId="2" fillId="3" borderId="0" xfId="0" applyFont="1" applyFill="1"/>
    <xf numFmtId="0" fontId="0" fillId="4" borderId="0" xfId="0" applyFill="1"/>
    <xf numFmtId="0" fontId="3" fillId="5" borderId="0" xfId="0" applyFont="1" applyFill="1"/>
    <xf numFmtId="0" fontId="4" fillId="3" borderId="0" xfId="0" applyFont="1" applyFill="1"/>
    <xf numFmtId="14" fontId="0" fillId="0" borderId="0" xfId="0" applyNumberFormat="1"/>
    <xf numFmtId="14" fontId="0" fillId="0" borderId="0" xfId="0" applyNumberFormat="1" applyAlignment="1">
      <alignment vertical="top" wrapText="1"/>
    </xf>
    <xf numFmtId="0" fontId="0" fillId="0" borderId="0" xfId="0" applyAlignment="1">
      <alignment vertical="top" wrapText="1"/>
    </xf>
    <xf numFmtId="0" fontId="5" fillId="6" borderId="0" xfId="0" applyFont="1" applyFill="1"/>
    <xf numFmtId="0" fontId="6" fillId="6" borderId="0" xfId="0" applyFont="1" applyFill="1"/>
    <xf numFmtId="0" fontId="7" fillId="7" borderId="0" xfId="0" applyFont="1" applyFill="1"/>
    <xf numFmtId="0" fontId="2" fillId="7" borderId="0" xfId="0" applyFont="1" applyFill="1"/>
    <xf numFmtId="3" fontId="0" fillId="0" borderId="0" xfId="0" applyNumberFormat="1"/>
    <xf numFmtId="0" fontId="0" fillId="0" borderId="0" xfId="0" quotePrefix="1"/>
    <xf numFmtId="164" fontId="0" fillId="0" borderId="0" xfId="0" applyNumberFormat="1"/>
    <xf numFmtId="0" fontId="3" fillId="0" borderId="0" xfId="0" applyFont="1"/>
    <xf numFmtId="0" fontId="8" fillId="0" borderId="0" xfId="0" applyFont="1"/>
    <xf numFmtId="0" fontId="7" fillId="8" borderId="0" xfId="0" applyFont="1" applyFill="1"/>
    <xf numFmtId="0" fontId="3" fillId="9" borderId="0" xfId="0" applyFont="1" applyFill="1"/>
    <xf numFmtId="0" fontId="2" fillId="8" borderId="0" xfId="0" applyFont="1" applyFill="1"/>
    <xf numFmtId="165" fontId="0" fillId="0" borderId="0" xfId="0" applyNumberFormat="1"/>
    <xf numFmtId="1" fontId="0" fillId="0" borderId="0" xfId="0" applyNumberFormat="1"/>
    <xf numFmtId="9" fontId="0" fillId="0" borderId="0" xfId="0" applyNumberFormat="1"/>
    <xf numFmtId="2" fontId="0" fillId="0" borderId="0" xfId="0" applyNumberFormat="1"/>
    <xf numFmtId="3" fontId="1" fillId="0" borderId="0" xfId="0" applyNumberFormat="1" applyFont="1"/>
    <xf numFmtId="165" fontId="1" fillId="0" borderId="0" xfId="0" applyNumberFormat="1" applyFont="1"/>
    <xf numFmtId="166" fontId="0" fillId="0" borderId="0" xfId="0" applyNumberFormat="1"/>
    <xf numFmtId="3" fontId="9" fillId="0" borderId="0" xfId="0" applyNumberFormat="1" applyFont="1"/>
    <xf numFmtId="167" fontId="0" fillId="0" borderId="0" xfId="0" applyNumberFormat="1"/>
    <xf numFmtId="167" fontId="1" fillId="0" borderId="0" xfId="0" applyNumberFormat="1" applyFont="1"/>
    <xf numFmtId="168" fontId="0" fillId="0" borderId="0" xfId="0" applyNumberFormat="1"/>
    <xf numFmtId="0" fontId="3" fillId="10" borderId="0" xfId="0" applyFont="1" applyFill="1"/>
    <xf numFmtId="169" fontId="0" fillId="0" borderId="0" xfId="0" applyNumberFormat="1"/>
    <xf numFmtId="169" fontId="3" fillId="0" borderId="0" xfId="0" applyNumberFormat="1" applyFont="1"/>
    <xf numFmtId="0" fontId="3" fillId="11" borderId="0" xfId="0" applyFont="1" applyFill="1"/>
    <xf numFmtId="0" fontId="2" fillId="12" borderId="0" xfId="0" applyFont="1" applyFill="1"/>
    <xf numFmtId="0" fontId="12" fillId="9" borderId="0" xfId="0" applyFont="1" applyFill="1"/>
    <xf numFmtId="170" fontId="0" fillId="0" borderId="0" xfId="0" applyNumberFormat="1"/>
    <xf numFmtId="4" fontId="0" fillId="0" borderId="0" xfId="0" applyNumberFormat="1"/>
    <xf numFmtId="171" fontId="0" fillId="0" borderId="0" xfId="0" applyNumberFormat="1"/>
    <xf numFmtId="172" fontId="0" fillId="0" borderId="0" xfId="0" applyNumberFormat="1"/>
    <xf numFmtId="173" fontId="0" fillId="0" borderId="0" xfId="0" applyNumberFormat="1"/>
    <xf numFmtId="171" fontId="3" fillId="0" borderId="0" xfId="0" applyNumberFormat="1" applyFont="1"/>
    <xf numFmtId="164" fontId="3" fillId="0" borderId="0" xfId="0" applyNumberFormat="1" applyFont="1"/>
    <xf numFmtId="0" fontId="13" fillId="7" borderId="0" xfId="0" applyFont="1" applyFill="1"/>
    <xf numFmtId="10" fontId="0" fillId="0" borderId="0" xfId="0" applyNumberFormat="1"/>
    <xf numFmtId="0" fontId="3" fillId="13" borderId="0" xfId="0" applyFont="1" applyFill="1"/>
    <xf numFmtId="174" fontId="0" fillId="0" borderId="0" xfId="0" applyNumberFormat="1"/>
    <xf numFmtId="175" fontId="0" fillId="0" borderId="0" xfId="0" applyNumberFormat="1"/>
    <xf numFmtId="176" fontId="0" fillId="0" borderId="0" xfId="0" applyNumberFormat="1"/>
    <xf numFmtId="177" fontId="0" fillId="0" borderId="0" xfId="0" applyNumberFormat="1"/>
    <xf numFmtId="0" fontId="14" fillId="3" borderId="0" xfId="0" applyFont="1" applyFill="1"/>
    <xf numFmtId="10" fontId="9" fillId="0" borderId="0" xfId="0" applyNumberFormat="1" applyFont="1"/>
    <xf numFmtId="170" fontId="1" fillId="0" borderId="0" xfId="0" applyNumberFormat="1" applyFont="1"/>
    <xf numFmtId="3" fontId="3" fillId="0" borderId="0" xfId="0" applyNumberFormat="1" applyFont="1"/>
    <xf numFmtId="170" fontId="1" fillId="14" borderId="0" xfId="0" applyNumberFormat="1" applyFont="1" applyFill="1"/>
    <xf numFmtId="170" fontId="3" fillId="0" borderId="0" xfId="0" applyNumberFormat="1" applyFont="1"/>
    <xf numFmtId="178" fontId="0" fillId="0" borderId="0" xfId="0" applyNumberFormat="1"/>
    <xf numFmtId="0" fontId="2" fillId="15" borderId="0" xfId="0" applyFont="1" applyFill="1"/>
    <xf numFmtId="0" fontId="12" fillId="0" borderId="0" xfId="0" applyFont="1"/>
    <xf numFmtId="0" fontId="4" fillId="15" borderId="0" xfId="0" applyFont="1" applyFill="1"/>
    <xf numFmtId="0" fontId="4" fillId="7" borderId="0" xfId="0" applyFont="1" applyFill="1"/>
    <xf numFmtId="14" fontId="0" fillId="0" borderId="0" xfId="0" applyNumberFormat="1" applyAlignment="1">
      <alignment wrapText="1"/>
    </xf>
    <xf numFmtId="0" fontId="0" fillId="0" borderId="0" xfId="0" applyAlignment="1">
      <alignment wrapText="1"/>
    </xf>
    <xf numFmtId="179" fontId="0" fillId="0" borderId="0" xfId="0" applyNumberFormat="1"/>
    <xf numFmtId="180"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C4F2EE-B2F5-0B40-AB77-5A7BB0D4E66C}">
  <we:reference id="wa200009404" version="1.0.0.8" store="en-US" storeType="OMEX"/>
  <we:alternateReferences>
    <we:reference id="WA200009404" version="1.0.0.8" store="" storeType="OMEX"/>
  </we:alternateReferences>
  <we:properties>
    <we:property name="claude.fileId" value="&quot;f827c172-edd7-4a8f-a13d-3d690f40ffb5&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582C-7AC2-4343-B50B-3F13AA8F8BF5}">
  <dimension ref="A1:AJ350"/>
  <sheetViews>
    <sheetView topLeftCell="A219" workbookViewId="0">
      <selection activeCell="K351" sqref="K351"/>
    </sheetView>
  </sheetViews>
  <sheetFormatPr baseColWidth="10" defaultRowHeight="16" x14ac:dyDescent="0.2"/>
  <cols>
    <col min="1" max="1" width="71.1640625" customWidth="1"/>
    <col min="2" max="2" width="12.33203125" customWidth="1"/>
    <col min="3" max="3" width="71.6640625" customWidth="1"/>
  </cols>
  <sheetData>
    <row r="1" spans="1:36" x14ac:dyDescent="0.2">
      <c r="D1" s="2">
        <v>2025</v>
      </c>
      <c r="E1" s="2">
        <v>2026</v>
      </c>
      <c r="F1" s="2">
        <v>2027</v>
      </c>
      <c r="G1" s="2">
        <v>2028</v>
      </c>
      <c r="H1" s="2">
        <v>2029</v>
      </c>
      <c r="I1" s="2">
        <v>2030</v>
      </c>
      <c r="J1" s="2">
        <v>2031</v>
      </c>
      <c r="K1" s="2">
        <v>2032</v>
      </c>
      <c r="L1" s="2">
        <v>2033</v>
      </c>
      <c r="M1" s="2">
        <v>2034</v>
      </c>
      <c r="N1" s="2">
        <v>2035</v>
      </c>
      <c r="O1" s="2">
        <v>2036</v>
      </c>
      <c r="P1" s="2">
        <v>2037</v>
      </c>
      <c r="Q1" s="2">
        <v>2038</v>
      </c>
      <c r="R1" s="2">
        <v>2039</v>
      </c>
      <c r="S1" s="2">
        <v>2040</v>
      </c>
      <c r="T1" s="2">
        <v>2041</v>
      </c>
      <c r="U1" s="2">
        <v>2042</v>
      </c>
      <c r="V1" s="2">
        <v>2043</v>
      </c>
      <c r="W1" s="2">
        <v>2044</v>
      </c>
      <c r="X1" s="2">
        <v>2045</v>
      </c>
      <c r="Y1" s="2">
        <v>2046</v>
      </c>
      <c r="Z1" s="2">
        <v>2047</v>
      </c>
      <c r="AA1" s="2">
        <v>2048</v>
      </c>
      <c r="AB1" s="2">
        <v>2049</v>
      </c>
      <c r="AC1" s="2">
        <v>2050</v>
      </c>
    </row>
    <row r="2" spans="1:36" x14ac:dyDescent="0.2">
      <c r="A2" s="4" t="s">
        <v>0</v>
      </c>
      <c r="B2" s="4"/>
      <c r="C2" s="11"/>
      <c r="D2" s="12">
        <v>0</v>
      </c>
      <c r="E2" s="12">
        <v>1</v>
      </c>
      <c r="F2" s="12">
        <v>2</v>
      </c>
      <c r="G2" s="12">
        <v>3</v>
      </c>
      <c r="H2" s="12">
        <v>4</v>
      </c>
      <c r="I2" s="12">
        <v>5</v>
      </c>
      <c r="J2" s="12">
        <v>6</v>
      </c>
      <c r="K2" s="12">
        <v>7</v>
      </c>
      <c r="L2" s="12">
        <v>8</v>
      </c>
      <c r="M2" s="12">
        <v>9</v>
      </c>
      <c r="N2" s="12">
        <v>10</v>
      </c>
      <c r="O2" s="12">
        <v>11</v>
      </c>
      <c r="P2" s="12">
        <v>12</v>
      </c>
      <c r="Q2" s="12">
        <v>13</v>
      </c>
      <c r="R2" s="12">
        <v>14</v>
      </c>
      <c r="S2" s="12">
        <v>15</v>
      </c>
      <c r="T2" s="12">
        <v>16</v>
      </c>
      <c r="U2" s="12">
        <v>17</v>
      </c>
      <c r="V2" s="12">
        <v>18</v>
      </c>
      <c r="W2" s="12">
        <v>19</v>
      </c>
      <c r="X2" s="12">
        <v>20</v>
      </c>
      <c r="Y2" s="12">
        <v>21</v>
      </c>
      <c r="Z2" s="12">
        <v>22</v>
      </c>
      <c r="AA2" s="12">
        <v>23</v>
      </c>
      <c r="AB2" s="12">
        <v>24</v>
      </c>
      <c r="AC2" s="12">
        <v>25</v>
      </c>
      <c r="AD2" s="4"/>
      <c r="AE2" s="4"/>
      <c r="AF2" s="4"/>
      <c r="AG2" s="4"/>
      <c r="AH2" s="4"/>
      <c r="AI2" s="4"/>
      <c r="AJ2" s="4"/>
    </row>
    <row r="3" spans="1:36" x14ac:dyDescent="0.2">
      <c r="A3" t="s">
        <v>1</v>
      </c>
      <c r="B3">
        <v>0.21</v>
      </c>
      <c r="C3" t="s">
        <v>2</v>
      </c>
      <c r="AG3" s="5">
        <v>0.18</v>
      </c>
      <c r="AH3" s="5">
        <v>0.27</v>
      </c>
      <c r="AI3" s="5" t="s">
        <v>3</v>
      </c>
      <c r="AJ3" s="5" t="s">
        <v>4</v>
      </c>
    </row>
    <row r="4" spans="1:36" x14ac:dyDescent="0.2">
      <c r="A4" t="s">
        <v>5</v>
      </c>
      <c r="B4">
        <v>2.5000000000000001E-2</v>
      </c>
      <c r="C4" t="s">
        <v>6</v>
      </c>
      <c r="AG4" s="5">
        <v>0.01</v>
      </c>
      <c r="AH4" s="5">
        <v>0.05</v>
      </c>
      <c r="AI4" s="5" t="s">
        <v>3</v>
      </c>
      <c r="AJ4" s="5" t="s">
        <v>7</v>
      </c>
    </row>
    <row r="5" spans="1:36" x14ac:dyDescent="0.2">
      <c r="A5" t="s">
        <v>8</v>
      </c>
      <c r="B5">
        <v>0.03</v>
      </c>
      <c r="C5" t="s">
        <v>9</v>
      </c>
      <c r="AG5" s="5">
        <v>0.01</v>
      </c>
      <c r="AH5" s="5">
        <v>0.06</v>
      </c>
      <c r="AI5" s="5" t="s">
        <v>3</v>
      </c>
      <c r="AJ5" s="5"/>
    </row>
    <row r="6" spans="1:36" x14ac:dyDescent="0.2">
      <c r="A6" s="4" t="s">
        <v>10</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36" x14ac:dyDescent="0.2">
      <c r="A7" s="6" t="s">
        <v>11</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spans="1:36" x14ac:dyDescent="0.2">
      <c r="A8" t="s">
        <v>12</v>
      </c>
      <c r="B8">
        <v>5000</v>
      </c>
      <c r="C8" t="s">
        <v>13</v>
      </c>
      <c r="AG8" s="5">
        <v>3000</v>
      </c>
      <c r="AH8" s="5">
        <v>7000</v>
      </c>
      <c r="AI8" s="5" t="s">
        <v>3</v>
      </c>
      <c r="AJ8" s="5" t="s">
        <v>14</v>
      </c>
    </row>
    <row r="9" spans="1:36" x14ac:dyDescent="0.2">
      <c r="A9" t="s">
        <v>15</v>
      </c>
      <c r="B9">
        <v>30000</v>
      </c>
      <c r="C9" t="s">
        <v>16</v>
      </c>
      <c r="AG9" s="5">
        <v>15000</v>
      </c>
      <c r="AH9" s="5">
        <v>60000</v>
      </c>
      <c r="AI9" s="5" t="s">
        <v>17</v>
      </c>
      <c r="AJ9" s="5" t="s">
        <v>18</v>
      </c>
    </row>
    <row r="10" spans="1:36" x14ac:dyDescent="0.2">
      <c r="A10" t="s">
        <v>19</v>
      </c>
      <c r="B10">
        <v>2027</v>
      </c>
      <c r="C10" t="s">
        <v>20</v>
      </c>
      <c r="AG10" s="5">
        <v>2026</v>
      </c>
      <c r="AH10" s="5">
        <v>2028</v>
      </c>
      <c r="AI10" s="5" t="s">
        <v>21</v>
      </c>
      <c r="AJ10" s="5" t="s">
        <v>22</v>
      </c>
    </row>
    <row r="11" spans="1:36" x14ac:dyDescent="0.2">
      <c r="A11" s="6" t="s">
        <v>23</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spans="1:36" x14ac:dyDescent="0.2">
      <c r="A12" t="s">
        <v>24</v>
      </c>
      <c r="B12">
        <v>0.15</v>
      </c>
      <c r="C12" t="s">
        <v>25</v>
      </c>
      <c r="AG12" s="5">
        <v>0.03</v>
      </c>
      <c r="AH12" s="5">
        <v>0.35</v>
      </c>
      <c r="AI12" s="5" t="s">
        <v>3</v>
      </c>
      <c r="AJ12" s="5" t="s">
        <v>26</v>
      </c>
    </row>
    <row r="13" spans="1:36" x14ac:dyDescent="0.2">
      <c r="A13" t="s">
        <v>27</v>
      </c>
      <c r="B13">
        <v>1000</v>
      </c>
      <c r="C13" t="s">
        <v>28</v>
      </c>
      <c r="AG13" s="5">
        <v>500</v>
      </c>
      <c r="AH13" s="5">
        <v>2500</v>
      </c>
      <c r="AI13" s="5" t="s">
        <v>3</v>
      </c>
      <c r="AJ13" s="5" t="s">
        <v>29</v>
      </c>
    </row>
    <row r="14" spans="1:36" x14ac:dyDescent="0.2">
      <c r="A14" t="s">
        <v>30</v>
      </c>
      <c r="B14">
        <v>1</v>
      </c>
      <c r="C14" t="s">
        <v>31</v>
      </c>
      <c r="AI14" t="s">
        <v>32</v>
      </c>
    </row>
    <row r="15" spans="1:36" x14ac:dyDescent="0.2">
      <c r="A15" s="6" t="s">
        <v>33</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spans="1:36" x14ac:dyDescent="0.2">
      <c r="A16" t="s">
        <v>34</v>
      </c>
      <c r="B16">
        <v>2</v>
      </c>
      <c r="C16" t="s">
        <v>35</v>
      </c>
      <c r="AG16" s="5">
        <v>1</v>
      </c>
      <c r="AH16" s="5">
        <v>3</v>
      </c>
      <c r="AI16" s="5" t="s">
        <v>3</v>
      </c>
      <c r="AJ16" s="5" t="s">
        <v>36</v>
      </c>
    </row>
    <row r="17" spans="1:36" x14ac:dyDescent="0.2">
      <c r="A17" t="s">
        <v>37</v>
      </c>
      <c r="B17">
        <v>0.7</v>
      </c>
      <c r="C17" t="s">
        <v>38</v>
      </c>
      <c r="AG17" s="5">
        <v>0.5</v>
      </c>
      <c r="AH17" s="5">
        <v>0.85</v>
      </c>
      <c r="AI17" s="5" t="s">
        <v>3</v>
      </c>
      <c r="AJ17" s="5" t="s">
        <v>39</v>
      </c>
    </row>
    <row r="18" spans="1:36" x14ac:dyDescent="0.2">
      <c r="A18" t="s">
        <v>40</v>
      </c>
      <c r="B18">
        <v>2</v>
      </c>
      <c r="C18" t="s">
        <v>41</v>
      </c>
      <c r="AI18" t="s">
        <v>32</v>
      </c>
      <c r="AJ18" t="s">
        <v>42</v>
      </c>
    </row>
    <row r="19" spans="1:36" x14ac:dyDescent="0.2">
      <c r="A19" t="s">
        <v>43</v>
      </c>
      <c r="B19">
        <v>5</v>
      </c>
      <c r="C19" t="s">
        <v>44</v>
      </c>
      <c r="AG19" s="5">
        <v>4</v>
      </c>
      <c r="AH19" s="5">
        <v>7</v>
      </c>
      <c r="AI19" s="5" t="s">
        <v>3</v>
      </c>
      <c r="AJ19" s="5"/>
    </row>
    <row r="20" spans="1:36" x14ac:dyDescent="0.2">
      <c r="A20" t="s">
        <v>45</v>
      </c>
      <c r="B20">
        <v>5</v>
      </c>
      <c r="C20" t="s">
        <v>46</v>
      </c>
      <c r="AG20" s="5">
        <v>4</v>
      </c>
      <c r="AH20" s="5">
        <v>7</v>
      </c>
      <c r="AI20" s="5" t="s">
        <v>3</v>
      </c>
      <c r="AJ20" s="5"/>
    </row>
    <row r="21" spans="1:36" x14ac:dyDescent="0.2">
      <c r="A21" t="s">
        <v>47</v>
      </c>
      <c r="B21">
        <v>5</v>
      </c>
      <c r="C21" t="s">
        <v>48</v>
      </c>
      <c r="AG21" s="5">
        <v>3</v>
      </c>
      <c r="AH21" s="5">
        <v>7</v>
      </c>
      <c r="AI21" s="5" t="s">
        <v>3</v>
      </c>
      <c r="AJ21" s="5"/>
    </row>
    <row r="22" spans="1:36" x14ac:dyDescent="0.2">
      <c r="A22" t="s">
        <v>49</v>
      </c>
      <c r="B22">
        <v>1</v>
      </c>
      <c r="C22" t="s">
        <v>50</v>
      </c>
      <c r="AI22" t="s">
        <v>32</v>
      </c>
    </row>
    <row r="23" spans="1:36" x14ac:dyDescent="0.2">
      <c r="A23" t="s">
        <v>51</v>
      </c>
      <c r="B23">
        <v>10</v>
      </c>
      <c r="C23" t="s">
        <v>52</v>
      </c>
      <c r="AI23" t="s">
        <v>32</v>
      </c>
    </row>
    <row r="24" spans="1:36" x14ac:dyDescent="0.2">
      <c r="A24" s="6" t="s">
        <v>53</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x14ac:dyDescent="0.2">
      <c r="A25" t="s">
        <v>54</v>
      </c>
      <c r="B25">
        <v>1</v>
      </c>
      <c r="C25" t="s">
        <v>55</v>
      </c>
      <c r="AI25" t="s">
        <v>32</v>
      </c>
      <c r="AJ25" t="s">
        <v>42</v>
      </c>
    </row>
    <row r="26" spans="1:36" x14ac:dyDescent="0.2">
      <c r="A26" t="s">
        <v>56</v>
      </c>
      <c r="B26">
        <v>2</v>
      </c>
      <c r="C26" t="s">
        <v>57</v>
      </c>
      <c r="AG26" s="5">
        <v>1</v>
      </c>
      <c r="AH26" s="5">
        <v>3</v>
      </c>
      <c r="AI26" s="5" t="s">
        <v>21</v>
      </c>
      <c r="AJ26" s="5"/>
    </row>
    <row r="27" spans="1:36" x14ac:dyDescent="0.2">
      <c r="A27" t="s">
        <v>58</v>
      </c>
      <c r="B27">
        <v>24</v>
      </c>
      <c r="C27" t="s">
        <v>59</v>
      </c>
      <c r="AG27" s="5">
        <v>18</v>
      </c>
      <c r="AH27" s="5">
        <v>36</v>
      </c>
      <c r="AI27" s="5" t="s">
        <v>3</v>
      </c>
      <c r="AJ27" s="5"/>
    </row>
    <row r="28" spans="1:36" x14ac:dyDescent="0.2">
      <c r="A28" t="s">
        <v>60</v>
      </c>
      <c r="B28">
        <v>1000000</v>
      </c>
      <c r="C28" t="s">
        <v>61</v>
      </c>
      <c r="AI28" t="s">
        <v>32</v>
      </c>
      <c r="AJ28" t="s">
        <v>42</v>
      </c>
    </row>
    <row r="29" spans="1:36" x14ac:dyDescent="0.2">
      <c r="A29" t="s">
        <v>62</v>
      </c>
      <c r="B29">
        <v>2</v>
      </c>
      <c r="C29" t="s">
        <v>63</v>
      </c>
      <c r="AG29" s="5">
        <v>1.5</v>
      </c>
      <c r="AH29" s="5">
        <v>3</v>
      </c>
      <c r="AI29" s="5" t="s">
        <v>3</v>
      </c>
      <c r="AJ29" s="5"/>
    </row>
    <row r="30" spans="1:36" x14ac:dyDescent="0.2">
      <c r="A30" s="4" t="s">
        <v>64</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spans="1:36" x14ac:dyDescent="0.2">
      <c r="A31" s="6" t="s">
        <v>65</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row>
    <row r="32" spans="1:36" x14ac:dyDescent="0.2">
      <c r="A32" t="s">
        <v>66</v>
      </c>
      <c r="B32">
        <v>54</v>
      </c>
      <c r="C32" t="s">
        <v>686</v>
      </c>
      <c r="AG32" s="5">
        <v>42</v>
      </c>
      <c r="AH32" s="5">
        <v>70</v>
      </c>
      <c r="AI32" s="5" t="s">
        <v>3</v>
      </c>
      <c r="AJ32" s="5"/>
    </row>
    <row r="33" spans="1:36" x14ac:dyDescent="0.2">
      <c r="A33" t="s">
        <v>67</v>
      </c>
      <c r="B33">
        <v>36</v>
      </c>
      <c r="C33" t="s">
        <v>687</v>
      </c>
      <c r="AG33" s="5">
        <v>27</v>
      </c>
      <c r="AH33" s="5">
        <v>50</v>
      </c>
      <c r="AI33" s="5" t="s">
        <v>3</v>
      </c>
      <c r="AJ33" s="5"/>
    </row>
    <row r="34" spans="1:36" x14ac:dyDescent="0.2">
      <c r="A34" t="s">
        <v>68</v>
      </c>
      <c r="B34">
        <v>150000</v>
      </c>
      <c r="C34" t="s">
        <v>69</v>
      </c>
      <c r="AG34" s="5">
        <v>130000</v>
      </c>
      <c r="AH34" s="5">
        <v>200000</v>
      </c>
      <c r="AI34" s="5" t="s">
        <v>3</v>
      </c>
      <c r="AJ34" s="5" t="s">
        <v>70</v>
      </c>
    </row>
    <row r="35" spans="1:36" x14ac:dyDescent="0.2">
      <c r="A35" t="s">
        <v>71</v>
      </c>
      <c r="B35">
        <v>100000</v>
      </c>
      <c r="C35" t="s">
        <v>72</v>
      </c>
      <c r="AG35" s="5">
        <v>80000</v>
      </c>
      <c r="AH35" s="5">
        <v>150000</v>
      </c>
      <c r="AI35" s="5" t="s">
        <v>3</v>
      </c>
      <c r="AJ35" s="5"/>
    </row>
    <row r="36" spans="1:36" x14ac:dyDescent="0.2">
      <c r="A36" t="s">
        <v>73</v>
      </c>
      <c r="B36">
        <v>30</v>
      </c>
      <c r="C36" t="s">
        <v>74</v>
      </c>
      <c r="AG36" s="5">
        <v>20</v>
      </c>
      <c r="AH36" s="5">
        <v>50</v>
      </c>
      <c r="AI36" s="5" t="s">
        <v>3</v>
      </c>
      <c r="AJ36" s="5"/>
    </row>
    <row r="37" spans="1:36" x14ac:dyDescent="0.2">
      <c r="A37" t="s">
        <v>75</v>
      </c>
      <c r="B37">
        <v>0.1</v>
      </c>
      <c r="C37" t="s">
        <v>76</v>
      </c>
      <c r="AG37" s="5">
        <v>0.05</v>
      </c>
      <c r="AH37" s="5">
        <v>0.2</v>
      </c>
      <c r="AI37" s="5" t="s">
        <v>3</v>
      </c>
      <c r="AJ37" s="5"/>
    </row>
    <row r="38" spans="1:36" x14ac:dyDescent="0.2">
      <c r="A38" s="6" t="s">
        <v>77</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spans="1:36" x14ac:dyDescent="0.2">
      <c r="A39" t="s">
        <v>78</v>
      </c>
      <c r="B39">
        <v>1</v>
      </c>
      <c r="C39" t="s">
        <v>79</v>
      </c>
      <c r="AG39" s="5">
        <v>0.8</v>
      </c>
      <c r="AH39" s="5">
        <v>1.5</v>
      </c>
      <c r="AI39" s="5" t="s">
        <v>3</v>
      </c>
      <c r="AJ39" s="5"/>
    </row>
    <row r="40" spans="1:36" x14ac:dyDescent="0.2">
      <c r="A40" t="s">
        <v>80</v>
      </c>
      <c r="B40">
        <v>0.14499999999999999</v>
      </c>
      <c r="C40" t="s">
        <v>81</v>
      </c>
      <c r="AG40" s="5">
        <v>0.05</v>
      </c>
      <c r="AH40" s="5">
        <v>0.25</v>
      </c>
      <c r="AI40" s="5" t="s">
        <v>3</v>
      </c>
      <c r="AJ40" s="5" t="s">
        <v>82</v>
      </c>
    </row>
    <row r="41" spans="1:36" x14ac:dyDescent="0.2">
      <c r="A41" t="s">
        <v>83</v>
      </c>
      <c r="B41">
        <v>2025</v>
      </c>
      <c r="C41" t="s">
        <v>84</v>
      </c>
      <c r="AI41" t="s">
        <v>32</v>
      </c>
    </row>
    <row r="42" spans="1:36" x14ac:dyDescent="0.2">
      <c r="A42" t="s">
        <v>85</v>
      </c>
      <c r="B42">
        <v>60</v>
      </c>
      <c r="C42" t="s">
        <v>86</v>
      </c>
      <c r="AG42" s="5">
        <v>40</v>
      </c>
      <c r="AH42" s="5">
        <v>100</v>
      </c>
      <c r="AI42" s="5" t="s">
        <v>3</v>
      </c>
      <c r="AJ42" s="5"/>
    </row>
    <row r="43" spans="1:36" x14ac:dyDescent="0.2">
      <c r="A43" t="s">
        <v>87</v>
      </c>
      <c r="B43">
        <v>2</v>
      </c>
      <c r="C43" t="s">
        <v>88</v>
      </c>
      <c r="AG43" s="5">
        <v>1.5</v>
      </c>
      <c r="AH43" s="5">
        <v>4</v>
      </c>
      <c r="AI43" s="5" t="s">
        <v>3</v>
      </c>
      <c r="AJ43" s="5"/>
    </row>
    <row r="44" spans="1:36" x14ac:dyDescent="0.2">
      <c r="A44" s="6" t="s">
        <v>89</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1:36" x14ac:dyDescent="0.2">
      <c r="A45" t="s">
        <v>90</v>
      </c>
      <c r="C45" t="s">
        <v>688</v>
      </c>
      <c r="D45">
        <v>0</v>
      </c>
      <c r="E45">
        <v>0</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G45" s="5"/>
      <c r="AH45" s="5"/>
      <c r="AI45" s="5" t="s">
        <v>91</v>
      </c>
      <c r="AJ45" s="5" t="s">
        <v>92</v>
      </c>
    </row>
    <row r="46" spans="1:36" x14ac:dyDescent="0.2">
      <c r="A46" t="s">
        <v>93</v>
      </c>
      <c r="C46" t="s">
        <v>94</v>
      </c>
      <c r="D46">
        <v>5</v>
      </c>
      <c r="E46">
        <v>8</v>
      </c>
      <c r="F46">
        <v>12</v>
      </c>
      <c r="G46">
        <v>18</v>
      </c>
      <c r="H46">
        <v>25</v>
      </c>
      <c r="I46">
        <v>30</v>
      </c>
      <c r="J46">
        <v>35</v>
      </c>
      <c r="K46">
        <v>42</v>
      </c>
      <c r="L46">
        <v>50</v>
      </c>
      <c r="M46">
        <v>58</v>
      </c>
      <c r="N46">
        <v>65</v>
      </c>
      <c r="O46">
        <v>70</v>
      </c>
      <c r="P46">
        <v>75</v>
      </c>
      <c r="Q46">
        <v>80</v>
      </c>
      <c r="R46">
        <v>85</v>
      </c>
      <c r="S46">
        <v>90</v>
      </c>
      <c r="T46">
        <v>92</v>
      </c>
      <c r="U46">
        <v>94</v>
      </c>
      <c r="V46">
        <v>96</v>
      </c>
      <c r="W46">
        <v>98</v>
      </c>
      <c r="X46">
        <v>100</v>
      </c>
      <c r="Y46">
        <v>100</v>
      </c>
      <c r="Z46">
        <v>100</v>
      </c>
      <c r="AA46">
        <v>100</v>
      </c>
      <c r="AB46">
        <v>100</v>
      </c>
      <c r="AC46">
        <v>100</v>
      </c>
      <c r="AG46" s="5"/>
      <c r="AH46" s="5"/>
      <c r="AI46" s="5" t="s">
        <v>91</v>
      </c>
      <c r="AJ46" s="5"/>
    </row>
    <row r="47" spans="1:36" x14ac:dyDescent="0.2">
      <c r="A47" s="6" t="s">
        <v>95</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1:36" x14ac:dyDescent="0.2">
      <c r="A48" t="s">
        <v>96</v>
      </c>
      <c r="B48">
        <v>30</v>
      </c>
      <c r="C48" t="s">
        <v>97</v>
      </c>
      <c r="AG48" s="5">
        <v>25</v>
      </c>
      <c r="AH48" s="5">
        <v>35</v>
      </c>
      <c r="AI48" s="5" t="s">
        <v>3</v>
      </c>
      <c r="AJ48" s="5"/>
    </row>
    <row r="49" spans="1:36" x14ac:dyDescent="0.2">
      <c r="A49" t="s">
        <v>98</v>
      </c>
      <c r="B49">
        <v>10</v>
      </c>
      <c r="C49" t="s">
        <v>99</v>
      </c>
      <c r="AG49" s="5">
        <v>8</v>
      </c>
      <c r="AH49" s="5">
        <v>13</v>
      </c>
      <c r="AI49" s="5" t="s">
        <v>3</v>
      </c>
      <c r="AJ49" s="5"/>
    </row>
    <row r="50" spans="1:36" x14ac:dyDescent="0.2">
      <c r="A50" t="s">
        <v>100</v>
      </c>
      <c r="B50">
        <v>1.25</v>
      </c>
      <c r="C50" t="s">
        <v>101</v>
      </c>
      <c r="AG50" s="5">
        <v>1</v>
      </c>
      <c r="AH50" s="5">
        <v>2</v>
      </c>
      <c r="AI50" s="5" t="s">
        <v>3</v>
      </c>
      <c r="AJ50" s="5"/>
    </row>
    <row r="51" spans="1:36" x14ac:dyDescent="0.2">
      <c r="A51" t="s">
        <v>102</v>
      </c>
      <c r="B51">
        <v>5</v>
      </c>
      <c r="C51" t="s">
        <v>103</v>
      </c>
      <c r="AG51" s="5">
        <v>3</v>
      </c>
      <c r="AH51" s="5">
        <v>8</v>
      </c>
      <c r="AI51" s="5" t="s">
        <v>3</v>
      </c>
      <c r="AJ51" s="5"/>
    </row>
    <row r="52" spans="1:36" x14ac:dyDescent="0.2">
      <c r="A52" t="s">
        <v>104</v>
      </c>
      <c r="B52">
        <v>0.03</v>
      </c>
      <c r="C52" t="s">
        <v>105</v>
      </c>
      <c r="AG52" s="5">
        <v>0.02</v>
      </c>
      <c r="AH52" s="5">
        <v>0.05</v>
      </c>
      <c r="AI52" s="5" t="s">
        <v>3</v>
      </c>
      <c r="AJ52" s="5"/>
    </row>
    <row r="53" spans="1:36" x14ac:dyDescent="0.2">
      <c r="A53" t="s">
        <v>106</v>
      </c>
      <c r="B53">
        <v>22800</v>
      </c>
      <c r="C53" t="s">
        <v>107</v>
      </c>
      <c r="AI53" t="s">
        <v>32</v>
      </c>
      <c r="AJ53" t="s">
        <v>108</v>
      </c>
    </row>
    <row r="54" spans="1:36" x14ac:dyDescent="0.2">
      <c r="A54" t="s">
        <v>109</v>
      </c>
      <c r="B54">
        <v>50</v>
      </c>
      <c r="C54" t="s">
        <v>110</v>
      </c>
      <c r="AG54" s="5">
        <v>30</v>
      </c>
      <c r="AH54" s="5">
        <v>100</v>
      </c>
      <c r="AI54" s="5" t="s">
        <v>3</v>
      </c>
      <c r="AJ54" s="5"/>
    </row>
    <row r="55" spans="1:36" x14ac:dyDescent="0.2">
      <c r="A55" t="s">
        <v>111</v>
      </c>
      <c r="B55">
        <v>0.02</v>
      </c>
      <c r="C55" t="s">
        <v>112</v>
      </c>
      <c r="AG55" s="5">
        <v>0</v>
      </c>
      <c r="AH55" s="5">
        <v>0.05</v>
      </c>
      <c r="AI55" s="5" t="s">
        <v>3</v>
      </c>
      <c r="AJ55" s="5"/>
    </row>
    <row r="56" spans="1:36" x14ac:dyDescent="0.2">
      <c r="A56" t="s">
        <v>113</v>
      </c>
      <c r="B56">
        <v>12</v>
      </c>
      <c r="C56" t="s">
        <v>114</v>
      </c>
      <c r="AG56" s="5">
        <v>10</v>
      </c>
      <c r="AH56" s="5">
        <v>15</v>
      </c>
      <c r="AI56" s="5" t="s">
        <v>3</v>
      </c>
      <c r="AJ56" s="5"/>
    </row>
    <row r="57" spans="1:36" x14ac:dyDescent="0.2">
      <c r="A57" t="s">
        <v>115</v>
      </c>
      <c r="B57">
        <v>8</v>
      </c>
      <c r="C57" t="s">
        <v>116</v>
      </c>
      <c r="AG57" s="5">
        <v>6</v>
      </c>
      <c r="AH57" s="5">
        <v>10</v>
      </c>
      <c r="AI57" s="5" t="s">
        <v>3</v>
      </c>
      <c r="AJ57" s="5"/>
    </row>
    <row r="58" spans="1:36" x14ac:dyDescent="0.2">
      <c r="A58" t="s">
        <v>117</v>
      </c>
      <c r="B58">
        <v>2027</v>
      </c>
      <c r="C58" t="s">
        <v>118</v>
      </c>
      <c r="AG58" s="5">
        <v>2026</v>
      </c>
      <c r="AH58" s="5">
        <v>2028</v>
      </c>
      <c r="AI58" s="5" t="s">
        <v>21</v>
      </c>
      <c r="AJ58" s="5"/>
    </row>
    <row r="59" spans="1:36" x14ac:dyDescent="0.2">
      <c r="A59" t="s">
        <v>119</v>
      </c>
      <c r="B59">
        <v>8</v>
      </c>
      <c r="C59" t="s">
        <v>120</v>
      </c>
      <c r="AG59" s="5">
        <v>6</v>
      </c>
      <c r="AH59" s="5">
        <v>12</v>
      </c>
      <c r="AI59" s="5" t="s">
        <v>3</v>
      </c>
      <c r="AJ59" s="5"/>
    </row>
    <row r="60" spans="1:36" x14ac:dyDescent="0.2">
      <c r="A60" t="s">
        <v>121</v>
      </c>
      <c r="B60">
        <v>28</v>
      </c>
      <c r="C60" t="s">
        <v>122</v>
      </c>
      <c r="AI60" t="s">
        <v>32</v>
      </c>
      <c r="AJ60" t="s">
        <v>123</v>
      </c>
    </row>
    <row r="61" spans="1:36" x14ac:dyDescent="0.2">
      <c r="A61" s="4" t="s">
        <v>124</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spans="1:36" x14ac:dyDescent="0.2">
      <c r="A62" t="s">
        <v>125</v>
      </c>
      <c r="C62" t="s">
        <v>126</v>
      </c>
      <c r="D62">
        <v>111</v>
      </c>
      <c r="E62">
        <v>107.67</v>
      </c>
      <c r="F62">
        <v>104.44</v>
      </c>
      <c r="G62">
        <v>101.3</v>
      </c>
      <c r="H62">
        <v>98.26</v>
      </c>
      <c r="I62">
        <v>95.31</v>
      </c>
      <c r="J62">
        <v>92.45</v>
      </c>
      <c r="K62">
        <v>89.68</v>
      </c>
      <c r="L62">
        <v>87</v>
      </c>
      <c r="M62">
        <v>84.39</v>
      </c>
      <c r="N62">
        <v>81.86</v>
      </c>
      <c r="O62">
        <v>79.400000000000006</v>
      </c>
      <c r="P62">
        <v>77.02</v>
      </c>
      <c r="Q62">
        <v>74.709999999999994</v>
      </c>
      <c r="R62">
        <v>72.47</v>
      </c>
      <c r="S62">
        <v>70.290000000000006</v>
      </c>
      <c r="T62">
        <v>68.180000000000007</v>
      </c>
      <c r="U62">
        <v>66.13</v>
      </c>
      <c r="V62">
        <v>64.150000000000006</v>
      </c>
      <c r="W62">
        <v>62.22</v>
      </c>
      <c r="X62">
        <v>60.36</v>
      </c>
      <c r="Y62">
        <v>58.55</v>
      </c>
      <c r="Z62">
        <v>56.79</v>
      </c>
      <c r="AA62">
        <v>55.09</v>
      </c>
      <c r="AB62">
        <v>53.43</v>
      </c>
      <c r="AC62">
        <v>51.83</v>
      </c>
      <c r="AG62" s="5"/>
      <c r="AH62" s="5"/>
      <c r="AI62" s="5" t="s">
        <v>91</v>
      </c>
      <c r="AJ62" s="5" t="s">
        <v>127</v>
      </c>
    </row>
    <row r="63" spans="1:36" x14ac:dyDescent="0.2">
      <c r="A63" t="s">
        <v>128</v>
      </c>
      <c r="C63" t="s">
        <v>129</v>
      </c>
      <c r="D63">
        <v>0</v>
      </c>
      <c r="E63">
        <v>0</v>
      </c>
      <c r="F63">
        <v>100</v>
      </c>
      <c r="G63">
        <v>92</v>
      </c>
      <c r="H63">
        <v>84.64</v>
      </c>
      <c r="I63">
        <v>77.87</v>
      </c>
      <c r="J63">
        <v>71.64</v>
      </c>
      <c r="K63">
        <v>65.91</v>
      </c>
      <c r="L63">
        <v>60.64</v>
      </c>
      <c r="M63">
        <v>55.79</v>
      </c>
      <c r="N63">
        <v>51.32</v>
      </c>
      <c r="O63">
        <v>47.21</v>
      </c>
      <c r="P63">
        <v>43.44</v>
      </c>
      <c r="Q63">
        <v>39.96</v>
      </c>
      <c r="R63">
        <v>36.770000000000003</v>
      </c>
      <c r="S63">
        <v>33.83</v>
      </c>
      <c r="T63">
        <v>31.13</v>
      </c>
      <c r="U63">
        <v>28.64</v>
      </c>
      <c r="V63">
        <v>26.35</v>
      </c>
      <c r="W63">
        <v>24.24</v>
      </c>
      <c r="X63">
        <v>22.3</v>
      </c>
      <c r="Y63">
        <v>20.52</v>
      </c>
      <c r="Z63">
        <v>18.88</v>
      </c>
      <c r="AA63">
        <v>17.37</v>
      </c>
      <c r="AB63">
        <v>15.98</v>
      </c>
      <c r="AC63">
        <v>14.7</v>
      </c>
      <c r="AG63" s="5"/>
      <c r="AH63" s="5"/>
      <c r="AI63" s="5" t="s">
        <v>91</v>
      </c>
      <c r="AJ63" s="5" t="s">
        <v>130</v>
      </c>
    </row>
    <row r="64" spans="1:36" x14ac:dyDescent="0.2">
      <c r="A64" t="s">
        <v>131</v>
      </c>
      <c r="C64" t="s">
        <v>132</v>
      </c>
      <c r="D64">
        <v>8000</v>
      </c>
      <c r="E64">
        <v>8640</v>
      </c>
      <c r="F64">
        <v>9331.2000000000007</v>
      </c>
      <c r="G64">
        <v>10077.700000000001</v>
      </c>
      <c r="H64">
        <v>10883.9</v>
      </c>
      <c r="I64">
        <v>11754.6</v>
      </c>
      <c r="J64">
        <v>12695</v>
      </c>
      <c r="K64">
        <v>13710.6</v>
      </c>
      <c r="L64">
        <v>14807.4</v>
      </c>
      <c r="M64">
        <v>15992</v>
      </c>
      <c r="N64">
        <v>17271.400000000001</v>
      </c>
      <c r="O64">
        <v>18653.099999999999</v>
      </c>
      <c r="P64">
        <v>20145.400000000001</v>
      </c>
      <c r="Q64">
        <v>21757</v>
      </c>
      <c r="R64">
        <v>23497.5</v>
      </c>
      <c r="S64">
        <v>25377.4</v>
      </c>
      <c r="T64">
        <v>27407.5</v>
      </c>
      <c r="U64">
        <v>29600.1</v>
      </c>
      <c r="V64">
        <v>31968.2</v>
      </c>
      <c r="W64">
        <v>34525.599999999999</v>
      </c>
      <c r="X64">
        <v>37287.699999999997</v>
      </c>
      <c r="Y64">
        <v>40270.699999999997</v>
      </c>
      <c r="Z64">
        <v>43492.3</v>
      </c>
      <c r="AA64">
        <v>46971.7</v>
      </c>
      <c r="AB64">
        <v>50729.4</v>
      </c>
      <c r="AC64">
        <v>54787.8</v>
      </c>
      <c r="AG64" s="5"/>
      <c r="AH64" s="5"/>
      <c r="AI64" s="5" t="s">
        <v>91</v>
      </c>
      <c r="AJ64" s="5" t="s">
        <v>133</v>
      </c>
    </row>
    <row r="65" spans="1:36" x14ac:dyDescent="0.2">
      <c r="A65" t="s">
        <v>134</v>
      </c>
      <c r="C65" t="s">
        <v>135</v>
      </c>
      <c r="D65">
        <v>4000</v>
      </c>
      <c r="E65">
        <v>4200</v>
      </c>
      <c r="F65">
        <v>4410</v>
      </c>
      <c r="G65">
        <v>4630.5</v>
      </c>
      <c r="H65">
        <v>4862.0200000000004</v>
      </c>
      <c r="I65">
        <v>5105.13</v>
      </c>
      <c r="J65">
        <v>5360.38</v>
      </c>
      <c r="K65">
        <v>5628.4</v>
      </c>
      <c r="L65">
        <v>5909.82</v>
      </c>
      <c r="M65">
        <v>6205.31</v>
      </c>
      <c r="N65">
        <v>6515.58</v>
      </c>
      <c r="O65">
        <v>6841.36</v>
      </c>
      <c r="P65">
        <v>7183.43</v>
      </c>
      <c r="Q65">
        <v>7542.6</v>
      </c>
      <c r="R65">
        <v>7919.73</v>
      </c>
      <c r="S65">
        <v>8315.7099999999991</v>
      </c>
      <c r="T65">
        <v>8731.5</v>
      </c>
      <c r="U65">
        <v>9168.07</v>
      </c>
      <c r="V65">
        <v>9626.48</v>
      </c>
      <c r="W65">
        <v>10107.799999999999</v>
      </c>
      <c r="X65">
        <v>10613.2</v>
      </c>
      <c r="Y65">
        <v>11143.9</v>
      </c>
      <c r="Z65">
        <v>11701</v>
      </c>
      <c r="AA65">
        <v>12286.1</v>
      </c>
      <c r="AB65">
        <v>12900.4</v>
      </c>
      <c r="AC65">
        <v>13545.4</v>
      </c>
      <c r="AG65" s="5"/>
      <c r="AH65" s="5"/>
      <c r="AI65" s="5" t="s">
        <v>91</v>
      </c>
      <c r="AJ65" s="5" t="s">
        <v>136</v>
      </c>
    </row>
    <row r="66" spans="1:36" x14ac:dyDescent="0.2">
      <c r="A66" t="s">
        <v>137</v>
      </c>
      <c r="C66" t="s">
        <v>138</v>
      </c>
      <c r="D66">
        <v>0.7</v>
      </c>
      <c r="E66">
        <v>0.70669999999999999</v>
      </c>
      <c r="F66">
        <v>0.71330000000000005</v>
      </c>
      <c r="G66">
        <v>0.72</v>
      </c>
      <c r="H66">
        <v>0.72670000000000001</v>
      </c>
      <c r="I66">
        <v>0.73329999999999995</v>
      </c>
      <c r="J66">
        <v>0.74</v>
      </c>
      <c r="K66">
        <v>0.74670000000000003</v>
      </c>
      <c r="L66">
        <v>0.75329999999999997</v>
      </c>
      <c r="M66">
        <v>0.76</v>
      </c>
      <c r="N66">
        <v>0.76670000000000005</v>
      </c>
      <c r="O66">
        <v>0.77329999999999999</v>
      </c>
      <c r="P66">
        <v>0.78</v>
      </c>
      <c r="Q66">
        <v>0.78669999999999995</v>
      </c>
      <c r="R66">
        <v>0.79330000000000001</v>
      </c>
      <c r="S66">
        <v>0.8</v>
      </c>
      <c r="T66">
        <v>0.8</v>
      </c>
      <c r="U66">
        <v>0.8</v>
      </c>
      <c r="V66">
        <v>0.8</v>
      </c>
      <c r="W66">
        <v>0.8</v>
      </c>
      <c r="X66">
        <v>0.8</v>
      </c>
      <c r="Y66">
        <v>0.8</v>
      </c>
      <c r="Z66">
        <v>0.8</v>
      </c>
      <c r="AA66">
        <v>0.8</v>
      </c>
      <c r="AB66">
        <v>0.8</v>
      </c>
      <c r="AC66">
        <v>0.8</v>
      </c>
      <c r="AG66" s="5"/>
      <c r="AH66" s="5"/>
      <c r="AI66" s="5" t="s">
        <v>91</v>
      </c>
      <c r="AJ66" s="5"/>
    </row>
    <row r="67" spans="1:36" x14ac:dyDescent="0.2">
      <c r="A67" t="s">
        <v>139</v>
      </c>
      <c r="C67" t="s">
        <v>140</v>
      </c>
      <c r="D67">
        <v>0.9</v>
      </c>
      <c r="E67">
        <v>0.89329999999999998</v>
      </c>
      <c r="F67">
        <v>0.88670000000000004</v>
      </c>
      <c r="G67">
        <v>0.88</v>
      </c>
      <c r="H67">
        <v>0.87329999999999997</v>
      </c>
      <c r="I67">
        <v>0.86670000000000003</v>
      </c>
      <c r="J67">
        <v>0.86</v>
      </c>
      <c r="K67">
        <v>0.85329999999999995</v>
      </c>
      <c r="L67">
        <v>0.84670000000000001</v>
      </c>
      <c r="M67">
        <v>0.84</v>
      </c>
      <c r="N67">
        <v>0.83330000000000004</v>
      </c>
      <c r="O67">
        <v>0.82669999999999999</v>
      </c>
      <c r="P67">
        <v>0.82</v>
      </c>
      <c r="Q67">
        <v>0.81330000000000002</v>
      </c>
      <c r="R67">
        <v>0.80669999999999997</v>
      </c>
      <c r="S67">
        <v>0.8</v>
      </c>
      <c r="T67">
        <v>0.8</v>
      </c>
      <c r="U67">
        <v>0.8</v>
      </c>
      <c r="V67">
        <v>0.8</v>
      </c>
      <c r="W67">
        <v>0.8</v>
      </c>
      <c r="X67">
        <v>0.8</v>
      </c>
      <c r="Y67">
        <v>0.8</v>
      </c>
      <c r="Z67">
        <v>0.8</v>
      </c>
      <c r="AA67">
        <v>0.8</v>
      </c>
      <c r="AB67">
        <v>0.8</v>
      </c>
      <c r="AC67">
        <v>0.8</v>
      </c>
      <c r="AG67" s="5"/>
      <c r="AH67" s="5"/>
      <c r="AI67" s="5" t="s">
        <v>91</v>
      </c>
      <c r="AJ67" s="5"/>
    </row>
    <row r="68" spans="1:36" x14ac:dyDescent="0.2">
      <c r="A68" t="s">
        <v>141</v>
      </c>
      <c r="B68">
        <v>0.05</v>
      </c>
      <c r="C68" t="s">
        <v>142</v>
      </c>
      <c r="AG68" s="5">
        <v>0.03</v>
      </c>
      <c r="AH68" s="5">
        <v>0.08</v>
      </c>
      <c r="AI68" s="5" t="s">
        <v>3</v>
      </c>
      <c r="AJ68" s="5"/>
    </row>
    <row r="69" spans="1:36" x14ac:dyDescent="0.2">
      <c r="A69" t="s">
        <v>143</v>
      </c>
      <c r="B69">
        <v>0.02</v>
      </c>
      <c r="C69" t="s">
        <v>144</v>
      </c>
      <c r="AG69" s="5">
        <v>0.01</v>
      </c>
      <c r="AH69" s="5">
        <v>0.04</v>
      </c>
      <c r="AI69" s="5" t="s">
        <v>3</v>
      </c>
      <c r="AJ69" s="5"/>
    </row>
    <row r="70" spans="1:36" x14ac:dyDescent="0.2">
      <c r="A70" t="s">
        <v>145</v>
      </c>
      <c r="B70">
        <v>5</v>
      </c>
      <c r="C70" t="s">
        <v>146</v>
      </c>
      <c r="AG70" s="5">
        <v>4</v>
      </c>
      <c r="AH70" s="5">
        <v>7</v>
      </c>
      <c r="AI70" s="5" t="s">
        <v>3</v>
      </c>
      <c r="AJ70" s="5"/>
    </row>
    <row r="71" spans="1:36" x14ac:dyDescent="0.2">
      <c r="A71" s="4" t="s">
        <v>147</v>
      </c>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spans="1:36" x14ac:dyDescent="0.2">
      <c r="A72" s="6" t="s">
        <v>148</v>
      </c>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spans="1:36" x14ac:dyDescent="0.2">
      <c r="A73" t="s">
        <v>149</v>
      </c>
      <c r="B73">
        <v>575</v>
      </c>
      <c r="C73" t="s">
        <v>150</v>
      </c>
      <c r="AI73" t="s">
        <v>32</v>
      </c>
      <c r="AJ73" t="s">
        <v>151</v>
      </c>
    </row>
    <row r="74" spans="1:36" x14ac:dyDescent="0.2">
      <c r="A74" t="s">
        <v>152</v>
      </c>
      <c r="B74">
        <v>2000</v>
      </c>
      <c r="C74" t="s">
        <v>153</v>
      </c>
      <c r="AG74" s="5">
        <v>1800</v>
      </c>
      <c r="AH74" s="5">
        <v>2200</v>
      </c>
      <c r="AI74" s="5" t="s">
        <v>3</v>
      </c>
      <c r="AJ74" s="5"/>
    </row>
    <row r="75" spans="1:36" x14ac:dyDescent="0.2">
      <c r="A75" t="s">
        <v>154</v>
      </c>
      <c r="B75">
        <v>96</v>
      </c>
      <c r="C75" t="s">
        <v>150</v>
      </c>
      <c r="AI75" t="s">
        <v>32</v>
      </c>
      <c r="AJ75" t="s">
        <v>151</v>
      </c>
    </row>
    <row r="76" spans="1:36" x14ac:dyDescent="0.2">
      <c r="A76" t="s">
        <v>155</v>
      </c>
      <c r="B76">
        <v>0.2</v>
      </c>
      <c r="C76" t="s">
        <v>156</v>
      </c>
      <c r="AG76" s="5">
        <v>0.1</v>
      </c>
      <c r="AH76" s="5">
        <v>5</v>
      </c>
      <c r="AI76" s="5" t="s">
        <v>3</v>
      </c>
      <c r="AJ76" s="5"/>
    </row>
    <row r="77" spans="1:36" x14ac:dyDescent="0.2">
      <c r="A77" t="s">
        <v>157</v>
      </c>
      <c r="B77">
        <v>1000</v>
      </c>
      <c r="C77" t="s">
        <v>158</v>
      </c>
      <c r="AG77" s="5">
        <v>500</v>
      </c>
      <c r="AH77" s="5">
        <v>2000</v>
      </c>
      <c r="AI77" s="5" t="s">
        <v>3</v>
      </c>
      <c r="AJ77" s="5"/>
    </row>
    <row r="78" spans="1:36" x14ac:dyDescent="0.2">
      <c r="A78" t="s">
        <v>159</v>
      </c>
      <c r="B78">
        <v>2.75</v>
      </c>
      <c r="C78" t="s">
        <v>160</v>
      </c>
      <c r="AG78" s="5">
        <v>1</v>
      </c>
      <c r="AH78" s="5">
        <v>8</v>
      </c>
      <c r="AI78" s="5" t="s">
        <v>3</v>
      </c>
      <c r="AJ78" s="5"/>
    </row>
    <row r="79" spans="1:36" x14ac:dyDescent="0.2">
      <c r="A79" t="s">
        <v>161</v>
      </c>
      <c r="B79">
        <v>5</v>
      </c>
      <c r="C79" t="s">
        <v>162</v>
      </c>
      <c r="AG79" s="5">
        <v>4</v>
      </c>
      <c r="AH79" s="5">
        <v>6</v>
      </c>
      <c r="AI79" s="5" t="s">
        <v>3</v>
      </c>
      <c r="AJ79" s="5"/>
    </row>
    <row r="80" spans="1:36" x14ac:dyDescent="0.2">
      <c r="A80" t="s">
        <v>163</v>
      </c>
      <c r="B80">
        <v>5</v>
      </c>
      <c r="C80" t="s">
        <v>164</v>
      </c>
      <c r="AG80" s="5">
        <v>4</v>
      </c>
      <c r="AH80" s="5">
        <v>7</v>
      </c>
      <c r="AI80" s="5" t="s">
        <v>3</v>
      </c>
      <c r="AJ80" s="5"/>
    </row>
    <row r="81" spans="1:36" x14ac:dyDescent="0.2">
      <c r="A81" t="s">
        <v>165</v>
      </c>
      <c r="B81">
        <v>1</v>
      </c>
      <c r="C81" t="s">
        <v>166</v>
      </c>
      <c r="AI81" t="s">
        <v>32</v>
      </c>
    </row>
    <row r="82" spans="1:36" x14ac:dyDescent="0.2">
      <c r="A82" s="6" t="s">
        <v>167</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row>
    <row r="83" spans="1:36" x14ac:dyDescent="0.2">
      <c r="A83" t="s">
        <v>168</v>
      </c>
      <c r="B83">
        <v>650</v>
      </c>
      <c r="C83" t="s">
        <v>169</v>
      </c>
      <c r="AG83" s="5">
        <v>500</v>
      </c>
      <c r="AH83" s="5">
        <v>800</v>
      </c>
      <c r="AI83" s="5" t="s">
        <v>3</v>
      </c>
      <c r="AJ83" s="5"/>
    </row>
    <row r="84" spans="1:36" x14ac:dyDescent="0.2">
      <c r="A84" t="s">
        <v>170</v>
      </c>
      <c r="B84">
        <v>0.05</v>
      </c>
      <c r="C84" t="s">
        <v>171</v>
      </c>
      <c r="AG84" s="5">
        <v>0.03</v>
      </c>
      <c r="AH84" s="5">
        <v>0.17</v>
      </c>
      <c r="AI84" s="5" t="s">
        <v>3</v>
      </c>
      <c r="AJ84" s="5" t="s">
        <v>172</v>
      </c>
    </row>
    <row r="85" spans="1:36" x14ac:dyDescent="0.2">
      <c r="A85" t="s">
        <v>173</v>
      </c>
      <c r="B85">
        <v>0.05</v>
      </c>
      <c r="C85" t="s">
        <v>174</v>
      </c>
      <c r="AG85" s="5">
        <v>0.03</v>
      </c>
      <c r="AH85" s="5">
        <v>0.17</v>
      </c>
      <c r="AI85" s="5" t="s">
        <v>3</v>
      </c>
      <c r="AJ85" s="5"/>
    </row>
    <row r="86" spans="1:36" x14ac:dyDescent="0.2">
      <c r="A86" t="s">
        <v>175</v>
      </c>
      <c r="B86">
        <v>7486</v>
      </c>
      <c r="C86" t="s">
        <v>176</v>
      </c>
      <c r="AI86" t="s">
        <v>32</v>
      </c>
      <c r="AJ86" t="s">
        <v>177</v>
      </c>
    </row>
    <row r="87" spans="1:36" x14ac:dyDescent="0.2">
      <c r="A87" t="s">
        <v>178</v>
      </c>
      <c r="B87">
        <v>400</v>
      </c>
      <c r="C87" t="s">
        <v>179</v>
      </c>
      <c r="AG87" s="5">
        <v>300</v>
      </c>
      <c r="AH87" s="5">
        <v>500</v>
      </c>
      <c r="AI87" s="5" t="s">
        <v>3</v>
      </c>
      <c r="AJ87" s="5"/>
    </row>
    <row r="88" spans="1:36" x14ac:dyDescent="0.2">
      <c r="A88" t="s">
        <v>180</v>
      </c>
      <c r="B88">
        <v>5000</v>
      </c>
      <c r="C88" t="s">
        <v>181</v>
      </c>
      <c r="AG88" s="5">
        <v>3000</v>
      </c>
      <c r="AH88" s="5">
        <v>7000</v>
      </c>
      <c r="AI88" s="5" t="s">
        <v>3</v>
      </c>
      <c r="AJ88" s="5"/>
    </row>
    <row r="89" spans="1:36" x14ac:dyDescent="0.2">
      <c r="A89" t="s">
        <v>182</v>
      </c>
      <c r="B89">
        <v>650</v>
      </c>
      <c r="C89" t="s">
        <v>183</v>
      </c>
      <c r="AG89" s="5">
        <v>500</v>
      </c>
      <c r="AH89" s="5">
        <v>800</v>
      </c>
      <c r="AI89" s="5" t="s">
        <v>3</v>
      </c>
      <c r="AJ89" s="5"/>
    </row>
    <row r="90" spans="1:36" x14ac:dyDescent="0.2">
      <c r="A90" t="s">
        <v>184</v>
      </c>
      <c r="B90">
        <v>0.05</v>
      </c>
      <c r="C90" t="s">
        <v>185</v>
      </c>
      <c r="AG90" s="5">
        <v>0.03</v>
      </c>
      <c r="AH90" s="5">
        <v>0.1</v>
      </c>
      <c r="AI90" s="5" t="s">
        <v>3</v>
      </c>
      <c r="AJ90" s="5"/>
    </row>
    <row r="91" spans="1:36" x14ac:dyDescent="0.2">
      <c r="A91" t="s">
        <v>186</v>
      </c>
      <c r="B91">
        <v>400</v>
      </c>
      <c r="C91" t="s">
        <v>187</v>
      </c>
      <c r="AG91" s="5">
        <v>300</v>
      </c>
      <c r="AH91" s="5">
        <v>500</v>
      </c>
      <c r="AI91" s="5" t="s">
        <v>3</v>
      </c>
      <c r="AJ91" s="5"/>
    </row>
    <row r="92" spans="1:36" x14ac:dyDescent="0.2">
      <c r="A92" s="6" t="s">
        <v>188</v>
      </c>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spans="1:36" x14ac:dyDescent="0.2">
      <c r="A93" t="s">
        <v>189</v>
      </c>
      <c r="B93">
        <v>2.5700000000000001E-2</v>
      </c>
      <c r="C93" t="s">
        <v>190</v>
      </c>
      <c r="AG93" s="5">
        <v>1.4999999999999999E-2</v>
      </c>
      <c r="AH93" s="5">
        <v>0.04</v>
      </c>
      <c r="AI93" s="5" t="s">
        <v>3</v>
      </c>
      <c r="AJ93" s="5"/>
    </row>
    <row r="94" spans="1:36" x14ac:dyDescent="0.2">
      <c r="A94" t="s">
        <v>191</v>
      </c>
      <c r="B94">
        <v>1E-4</v>
      </c>
      <c r="C94" t="s">
        <v>192</v>
      </c>
      <c r="AG94" s="5">
        <v>5.0000000000000002E-5</v>
      </c>
      <c r="AH94" s="5">
        <v>5.0000000000000001E-3</v>
      </c>
      <c r="AI94" s="5" t="s">
        <v>3</v>
      </c>
      <c r="AJ94" s="5"/>
    </row>
    <row r="95" spans="1:36" x14ac:dyDescent="0.2">
      <c r="A95" t="s">
        <v>193</v>
      </c>
      <c r="B95">
        <v>0.25</v>
      </c>
      <c r="C95" t="s">
        <v>194</v>
      </c>
      <c r="AG95" s="5">
        <v>0.15</v>
      </c>
      <c r="AH95" s="5">
        <v>0.4</v>
      </c>
      <c r="AI95" s="5" t="s">
        <v>3</v>
      </c>
      <c r="AJ95" s="5" t="s">
        <v>195</v>
      </c>
    </row>
    <row r="96" spans="1:36" x14ac:dyDescent="0.2">
      <c r="A96" t="s">
        <v>196</v>
      </c>
      <c r="B96">
        <v>164699</v>
      </c>
      <c r="C96" t="s">
        <v>197</v>
      </c>
      <c r="AG96" s="5">
        <v>120000</v>
      </c>
      <c r="AH96" s="5">
        <v>220000</v>
      </c>
      <c r="AI96" s="5" t="s">
        <v>3</v>
      </c>
      <c r="AJ96" s="5"/>
    </row>
    <row r="97" spans="1:36" x14ac:dyDescent="0.2">
      <c r="A97" t="s">
        <v>198</v>
      </c>
      <c r="B97">
        <v>0.05</v>
      </c>
      <c r="C97" t="s">
        <v>199</v>
      </c>
      <c r="AG97" s="5">
        <v>0.03</v>
      </c>
      <c r="AH97" s="5">
        <v>0.1</v>
      </c>
      <c r="AI97" s="5" t="s">
        <v>3</v>
      </c>
      <c r="AJ97" s="5"/>
    </row>
    <row r="98" spans="1:36" x14ac:dyDescent="0.2">
      <c r="A98" s="6" t="s">
        <v>200</v>
      </c>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row>
    <row r="99" spans="1:36" x14ac:dyDescent="0.2">
      <c r="A99" t="s">
        <v>201</v>
      </c>
      <c r="B99">
        <v>128.80000000000001</v>
      </c>
      <c r="C99" t="s">
        <v>202</v>
      </c>
      <c r="AG99" s="5">
        <v>110</v>
      </c>
      <c r="AH99" s="5">
        <v>150</v>
      </c>
      <c r="AI99" s="5" t="s">
        <v>3</v>
      </c>
      <c r="AJ99" s="5"/>
    </row>
    <row r="100" spans="1:36" x14ac:dyDescent="0.2">
      <c r="A100" t="s">
        <v>203</v>
      </c>
      <c r="B100">
        <v>0.01</v>
      </c>
      <c r="C100" t="s">
        <v>204</v>
      </c>
      <c r="AG100" s="5">
        <v>5.0000000000000001E-3</v>
      </c>
      <c r="AH100" s="5">
        <v>0.02</v>
      </c>
      <c r="AI100" s="5" t="s">
        <v>3</v>
      </c>
      <c r="AJ100" s="5"/>
    </row>
    <row r="101" spans="1:36" x14ac:dyDescent="0.2">
      <c r="A101" t="s">
        <v>205</v>
      </c>
      <c r="B101">
        <v>90650</v>
      </c>
      <c r="C101" t="s">
        <v>206</v>
      </c>
      <c r="AG101" s="5">
        <v>70000</v>
      </c>
      <c r="AH101" s="5">
        <v>120000</v>
      </c>
      <c r="AI101" s="5" t="s">
        <v>3</v>
      </c>
      <c r="AJ101" s="5"/>
    </row>
    <row r="102" spans="1:36" x14ac:dyDescent="0.2">
      <c r="A102" t="s">
        <v>207</v>
      </c>
      <c r="B102">
        <v>0.1</v>
      </c>
      <c r="C102" t="s">
        <v>208</v>
      </c>
      <c r="AG102" s="5">
        <v>0.05</v>
      </c>
      <c r="AH102" s="5">
        <v>0.15</v>
      </c>
      <c r="AI102" s="5" t="s">
        <v>3</v>
      </c>
      <c r="AJ102" s="5"/>
    </row>
    <row r="103" spans="1:36" x14ac:dyDescent="0.2">
      <c r="A103" s="6" t="s">
        <v>209</v>
      </c>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spans="1:36" x14ac:dyDescent="0.2">
      <c r="A104" t="s">
        <v>210</v>
      </c>
      <c r="B104">
        <v>5246</v>
      </c>
      <c r="C104" t="s">
        <v>211</v>
      </c>
      <c r="AI104" t="s">
        <v>32</v>
      </c>
      <c r="AJ104" t="s">
        <v>177</v>
      </c>
    </row>
    <row r="105" spans="1:36" x14ac:dyDescent="0.2">
      <c r="A105" t="s">
        <v>212</v>
      </c>
      <c r="B105">
        <v>650</v>
      </c>
      <c r="C105" t="s">
        <v>211</v>
      </c>
      <c r="AI105" t="s">
        <v>32</v>
      </c>
      <c r="AJ105" t="s">
        <v>177</v>
      </c>
    </row>
    <row r="106" spans="1:36" x14ac:dyDescent="0.2">
      <c r="A106" t="s">
        <v>213</v>
      </c>
      <c r="B106">
        <v>503616</v>
      </c>
      <c r="AI106" t="s">
        <v>32</v>
      </c>
      <c r="AJ106" t="s">
        <v>214</v>
      </c>
    </row>
    <row r="107" spans="1:36" x14ac:dyDescent="0.2">
      <c r="A107" t="s">
        <v>215</v>
      </c>
      <c r="B107">
        <v>1936</v>
      </c>
      <c r="C107" t="s">
        <v>216</v>
      </c>
      <c r="AI107" t="s">
        <v>32</v>
      </c>
      <c r="AJ107" t="s">
        <v>214</v>
      </c>
    </row>
    <row r="108" spans="1:36" x14ac:dyDescent="0.2">
      <c r="A108" t="s">
        <v>217</v>
      </c>
      <c r="B108">
        <v>71888</v>
      </c>
      <c r="C108" t="s">
        <v>218</v>
      </c>
      <c r="AI108" t="s">
        <v>32</v>
      </c>
      <c r="AJ108" t="s">
        <v>177</v>
      </c>
    </row>
    <row r="109" spans="1:36" x14ac:dyDescent="0.2">
      <c r="A109" t="s">
        <v>219</v>
      </c>
      <c r="B109">
        <v>2987</v>
      </c>
      <c r="C109" t="s">
        <v>220</v>
      </c>
      <c r="AI109" t="s">
        <v>32</v>
      </c>
      <c r="AJ109" t="s">
        <v>177</v>
      </c>
    </row>
    <row r="110" spans="1:36" x14ac:dyDescent="0.2">
      <c r="A110" t="s">
        <v>221</v>
      </c>
      <c r="B110">
        <v>182</v>
      </c>
      <c r="C110" t="s">
        <v>220</v>
      </c>
      <c r="AI110" t="s">
        <v>32</v>
      </c>
      <c r="AJ110" t="s">
        <v>177</v>
      </c>
    </row>
    <row r="111" spans="1:36" x14ac:dyDescent="0.2">
      <c r="A111" t="s">
        <v>222</v>
      </c>
      <c r="B111">
        <v>0</v>
      </c>
      <c r="C111" t="s">
        <v>223</v>
      </c>
      <c r="AI111" t="s">
        <v>32</v>
      </c>
      <c r="AJ111" t="s">
        <v>177</v>
      </c>
    </row>
    <row r="112" spans="1:36" x14ac:dyDescent="0.2">
      <c r="A112" t="s">
        <v>224</v>
      </c>
      <c r="B112">
        <v>0</v>
      </c>
      <c r="C112" t="s">
        <v>223</v>
      </c>
      <c r="AI112" t="s">
        <v>32</v>
      </c>
      <c r="AJ112" t="s">
        <v>177</v>
      </c>
    </row>
    <row r="113" spans="1:36" x14ac:dyDescent="0.2">
      <c r="A113" t="s">
        <v>225</v>
      </c>
      <c r="C113" t="s">
        <v>226</v>
      </c>
      <c r="D113">
        <v>71888</v>
      </c>
      <c r="E113">
        <v>53916</v>
      </c>
      <c r="F113">
        <v>35944</v>
      </c>
      <c r="G113">
        <v>17972</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G113" s="5"/>
      <c r="AH113" s="5"/>
      <c r="AI113" s="5" t="s">
        <v>91</v>
      </c>
      <c r="AJ113" s="5"/>
    </row>
    <row r="114" spans="1:36" x14ac:dyDescent="0.2">
      <c r="A114" t="s">
        <v>227</v>
      </c>
      <c r="B114">
        <v>5246</v>
      </c>
      <c r="C114" t="s">
        <v>228</v>
      </c>
      <c r="AI114" t="s">
        <v>32</v>
      </c>
      <c r="AJ114" t="s">
        <v>177</v>
      </c>
    </row>
    <row r="115" spans="1:36" x14ac:dyDescent="0.2">
      <c r="A115" t="s">
        <v>229</v>
      </c>
      <c r="B115">
        <v>650</v>
      </c>
      <c r="C115" t="s">
        <v>228</v>
      </c>
      <c r="AI115" t="s">
        <v>32</v>
      </c>
      <c r="AJ115" t="s">
        <v>177</v>
      </c>
    </row>
    <row r="116" spans="1:36" x14ac:dyDescent="0.2">
      <c r="A116" s="6" t="s">
        <v>230</v>
      </c>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spans="1:36" x14ac:dyDescent="0.2">
      <c r="A117" t="s">
        <v>231</v>
      </c>
      <c r="B117">
        <v>5</v>
      </c>
      <c r="C117" t="s">
        <v>232</v>
      </c>
      <c r="AG117" s="5">
        <v>4</v>
      </c>
      <c r="AH117" s="5">
        <v>6</v>
      </c>
      <c r="AI117" s="5" t="s">
        <v>3</v>
      </c>
      <c r="AJ117" s="5"/>
    </row>
    <row r="118" spans="1:36" x14ac:dyDescent="0.2">
      <c r="A118" t="s">
        <v>233</v>
      </c>
      <c r="B118">
        <v>5</v>
      </c>
      <c r="C118" t="s">
        <v>234</v>
      </c>
      <c r="AG118" s="5">
        <v>4</v>
      </c>
      <c r="AH118" s="5">
        <v>7</v>
      </c>
      <c r="AI118" s="5" t="s">
        <v>3</v>
      </c>
      <c r="AJ118" s="5"/>
    </row>
    <row r="119" spans="1:36" x14ac:dyDescent="0.2">
      <c r="A119" t="s">
        <v>235</v>
      </c>
      <c r="B119">
        <v>5</v>
      </c>
      <c r="C119" t="s">
        <v>236</v>
      </c>
      <c r="AG119" s="5">
        <v>4</v>
      </c>
      <c r="AH119" s="5">
        <v>6</v>
      </c>
      <c r="AI119" s="5" t="s">
        <v>3</v>
      </c>
      <c r="AJ119" s="5"/>
    </row>
    <row r="120" spans="1:36" x14ac:dyDescent="0.2">
      <c r="A120" t="s">
        <v>237</v>
      </c>
      <c r="B120">
        <v>5</v>
      </c>
      <c r="C120" t="s">
        <v>236</v>
      </c>
      <c r="AG120" s="5">
        <v>4</v>
      </c>
      <c r="AH120" s="5">
        <v>7</v>
      </c>
      <c r="AI120" s="5" t="s">
        <v>3</v>
      </c>
      <c r="AJ120" s="5"/>
    </row>
    <row r="121" spans="1:36" x14ac:dyDescent="0.2">
      <c r="A121" t="s">
        <v>238</v>
      </c>
      <c r="B121">
        <v>96</v>
      </c>
      <c r="C121" t="s">
        <v>239</v>
      </c>
      <c r="AI121" t="s">
        <v>32</v>
      </c>
      <c r="AJ121" t="s">
        <v>240</v>
      </c>
    </row>
    <row r="122" spans="1:36" x14ac:dyDescent="0.2">
      <c r="A122" t="s">
        <v>241</v>
      </c>
      <c r="B122">
        <v>2.9780000000000002</v>
      </c>
      <c r="C122" t="s">
        <v>242</v>
      </c>
      <c r="AI122" t="s">
        <v>32</v>
      </c>
      <c r="AJ122" t="s">
        <v>240</v>
      </c>
    </row>
    <row r="123" spans="1:36" x14ac:dyDescent="0.2">
      <c r="A123" t="s">
        <v>243</v>
      </c>
      <c r="B123">
        <v>1000</v>
      </c>
      <c r="C123" t="s">
        <v>244</v>
      </c>
      <c r="AI123" t="s">
        <v>32</v>
      </c>
      <c r="AJ123" t="s">
        <v>240</v>
      </c>
    </row>
    <row r="124" spans="1:36" x14ac:dyDescent="0.2">
      <c r="A124" t="s">
        <v>245</v>
      </c>
      <c r="B124">
        <v>5</v>
      </c>
      <c r="C124" t="s">
        <v>246</v>
      </c>
      <c r="AI124" t="s">
        <v>32</v>
      </c>
      <c r="AJ124" t="s">
        <v>240</v>
      </c>
    </row>
    <row r="125" spans="1:36" x14ac:dyDescent="0.2">
      <c r="A125" s="6" t="s">
        <v>247</v>
      </c>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spans="1:36" x14ac:dyDescent="0.2">
      <c r="A126" t="s">
        <v>248</v>
      </c>
      <c r="B126">
        <v>5</v>
      </c>
      <c r="C126" t="s">
        <v>249</v>
      </c>
      <c r="AG126" s="5">
        <v>3</v>
      </c>
      <c r="AH126" s="5">
        <v>8</v>
      </c>
      <c r="AI126" s="5" t="s">
        <v>3</v>
      </c>
      <c r="AJ126" s="5"/>
    </row>
    <row r="127" spans="1:36" x14ac:dyDescent="0.2">
      <c r="A127" t="s">
        <v>250</v>
      </c>
      <c r="C127" t="s">
        <v>251</v>
      </c>
      <c r="D127">
        <v>100</v>
      </c>
      <c r="E127">
        <v>95</v>
      </c>
      <c r="F127">
        <v>90</v>
      </c>
      <c r="G127">
        <v>85</v>
      </c>
      <c r="H127">
        <v>80</v>
      </c>
      <c r="I127">
        <v>75</v>
      </c>
      <c r="J127">
        <v>75</v>
      </c>
      <c r="K127">
        <v>75</v>
      </c>
      <c r="L127">
        <v>75</v>
      </c>
      <c r="M127">
        <v>75</v>
      </c>
      <c r="N127">
        <v>75</v>
      </c>
      <c r="O127">
        <v>75</v>
      </c>
      <c r="P127">
        <v>75</v>
      </c>
      <c r="Q127">
        <v>75</v>
      </c>
      <c r="R127">
        <v>75</v>
      </c>
      <c r="S127">
        <v>75</v>
      </c>
      <c r="T127">
        <v>75</v>
      </c>
      <c r="U127">
        <v>75</v>
      </c>
      <c r="V127">
        <v>75</v>
      </c>
      <c r="W127">
        <v>75</v>
      </c>
      <c r="X127">
        <v>75</v>
      </c>
      <c r="Y127">
        <v>75</v>
      </c>
      <c r="Z127">
        <v>75</v>
      </c>
      <c r="AA127">
        <v>75</v>
      </c>
      <c r="AB127">
        <v>75</v>
      </c>
      <c r="AC127">
        <v>75</v>
      </c>
      <c r="AG127" s="5"/>
      <c r="AH127" s="5"/>
      <c r="AI127" s="5" t="s">
        <v>91</v>
      </c>
      <c r="AJ127" s="5"/>
    </row>
    <row r="128" spans="1:36" x14ac:dyDescent="0.2">
      <c r="A128" t="s">
        <v>252</v>
      </c>
      <c r="C128" t="s">
        <v>253</v>
      </c>
      <c r="D128">
        <v>16</v>
      </c>
      <c r="E128">
        <v>14.8</v>
      </c>
      <c r="F128">
        <v>13.6</v>
      </c>
      <c r="G128">
        <v>12.4</v>
      </c>
      <c r="H128">
        <v>11.2</v>
      </c>
      <c r="I128">
        <v>10</v>
      </c>
      <c r="J128">
        <v>10</v>
      </c>
      <c r="K128">
        <v>10</v>
      </c>
      <c r="L128">
        <v>10</v>
      </c>
      <c r="M128">
        <v>10</v>
      </c>
      <c r="N128">
        <v>10</v>
      </c>
      <c r="O128">
        <v>10</v>
      </c>
      <c r="P128">
        <v>10</v>
      </c>
      <c r="Q128">
        <v>10</v>
      </c>
      <c r="R128">
        <v>10</v>
      </c>
      <c r="S128">
        <v>10</v>
      </c>
      <c r="T128">
        <v>10</v>
      </c>
      <c r="U128">
        <v>10</v>
      </c>
      <c r="V128">
        <v>10</v>
      </c>
      <c r="W128">
        <v>10</v>
      </c>
      <c r="X128">
        <v>10</v>
      </c>
      <c r="Y128">
        <v>10</v>
      </c>
      <c r="Z128">
        <v>10</v>
      </c>
      <c r="AA128">
        <v>10</v>
      </c>
      <c r="AB128">
        <v>10</v>
      </c>
      <c r="AC128">
        <v>10</v>
      </c>
      <c r="AG128" s="5"/>
      <c r="AH128" s="5"/>
      <c r="AI128" s="5" t="s">
        <v>91</v>
      </c>
      <c r="AJ128" s="5"/>
    </row>
    <row r="129" spans="1:36" x14ac:dyDescent="0.2">
      <c r="A129" t="s">
        <v>254</v>
      </c>
      <c r="B129">
        <v>0.5</v>
      </c>
      <c r="C129" t="s">
        <v>255</v>
      </c>
      <c r="AG129" s="5">
        <v>0.2</v>
      </c>
      <c r="AH129" s="5">
        <v>0.8</v>
      </c>
      <c r="AI129" s="5" t="s">
        <v>3</v>
      </c>
      <c r="AJ129" s="5"/>
    </row>
    <row r="130" spans="1:36" x14ac:dyDescent="0.2">
      <c r="A130" t="s">
        <v>256</v>
      </c>
      <c r="B130">
        <v>500</v>
      </c>
      <c r="C130" t="s">
        <v>150</v>
      </c>
      <c r="AG130" s="5">
        <v>400</v>
      </c>
      <c r="AH130" s="5">
        <v>600</v>
      </c>
      <c r="AI130" s="5" t="s">
        <v>3</v>
      </c>
      <c r="AJ130" s="5"/>
    </row>
    <row r="131" spans="1:36" x14ac:dyDescent="0.2">
      <c r="A131" t="s">
        <v>257</v>
      </c>
      <c r="B131">
        <v>300</v>
      </c>
      <c r="C131" t="s">
        <v>258</v>
      </c>
      <c r="AG131" s="5">
        <v>200</v>
      </c>
      <c r="AH131" s="5">
        <v>400</v>
      </c>
      <c r="AI131" s="5" t="s">
        <v>3</v>
      </c>
      <c r="AJ131" s="5"/>
    </row>
    <row r="132" spans="1:36" x14ac:dyDescent="0.2">
      <c r="A132" t="s">
        <v>259</v>
      </c>
      <c r="B132">
        <v>500</v>
      </c>
      <c r="C132" t="s">
        <v>260</v>
      </c>
      <c r="AG132" s="5">
        <v>400</v>
      </c>
      <c r="AH132" s="5">
        <v>700</v>
      </c>
      <c r="AI132" s="5" t="s">
        <v>3</v>
      </c>
      <c r="AJ132" s="5"/>
    </row>
    <row r="133" spans="1:36" x14ac:dyDescent="0.2">
      <c r="A133" s="6" t="s">
        <v>261</v>
      </c>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spans="1:36" x14ac:dyDescent="0.2">
      <c r="A134" t="s">
        <v>262</v>
      </c>
      <c r="B134">
        <v>0.85</v>
      </c>
      <c r="C134" t="s">
        <v>263</v>
      </c>
      <c r="AG134" s="5">
        <v>0.8</v>
      </c>
      <c r="AH134" s="5">
        <v>0.95</v>
      </c>
      <c r="AI134" s="5" t="s">
        <v>3</v>
      </c>
      <c r="AJ134" s="5"/>
    </row>
    <row r="135" spans="1:36" x14ac:dyDescent="0.2">
      <c r="A135" t="s">
        <v>264</v>
      </c>
      <c r="B135">
        <v>0.15</v>
      </c>
      <c r="AI135" t="s">
        <v>32</v>
      </c>
      <c r="AJ135" t="s">
        <v>265</v>
      </c>
    </row>
    <row r="136" spans="1:36" x14ac:dyDescent="0.2">
      <c r="A136" s="6" t="s">
        <v>266</v>
      </c>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spans="1:36" x14ac:dyDescent="0.2">
      <c r="A137" t="s">
        <v>944</v>
      </c>
      <c r="B137">
        <v>0.05</v>
      </c>
      <c r="C137" t="s">
        <v>267</v>
      </c>
      <c r="AG137" s="5">
        <v>0.01</v>
      </c>
      <c r="AH137" s="5">
        <v>0.5</v>
      </c>
      <c r="AI137" s="5" t="s">
        <v>17</v>
      </c>
      <c r="AJ137" s="5" t="s">
        <v>268</v>
      </c>
    </row>
    <row r="138" spans="1:36" x14ac:dyDescent="0.2">
      <c r="A138" t="s">
        <v>945</v>
      </c>
      <c r="B138">
        <v>0.5</v>
      </c>
      <c r="C138" t="s">
        <v>269</v>
      </c>
      <c r="AG138" s="5">
        <v>0.2</v>
      </c>
      <c r="AH138" s="5">
        <v>0.8</v>
      </c>
      <c r="AI138" s="5" t="s">
        <v>3</v>
      </c>
      <c r="AJ138" s="5" t="s">
        <v>270</v>
      </c>
    </row>
    <row r="139" spans="1:36" x14ac:dyDescent="0.2">
      <c r="A139" s="6" t="s">
        <v>271</v>
      </c>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spans="1:36" x14ac:dyDescent="0.2">
      <c r="A140" t="s">
        <v>272</v>
      </c>
      <c r="C140" t="s">
        <v>273</v>
      </c>
      <c r="D140">
        <v>10000000</v>
      </c>
      <c r="E140">
        <v>10000000</v>
      </c>
      <c r="F140">
        <v>10000000</v>
      </c>
      <c r="G140">
        <v>10000000</v>
      </c>
      <c r="H140">
        <v>10000000</v>
      </c>
      <c r="I140">
        <v>10000000</v>
      </c>
      <c r="J140">
        <v>10000000</v>
      </c>
      <c r="K140">
        <v>10000000</v>
      </c>
      <c r="L140">
        <v>10000000</v>
      </c>
      <c r="M140">
        <v>10000000</v>
      </c>
      <c r="N140">
        <v>10000000</v>
      </c>
      <c r="O140">
        <v>10000000</v>
      </c>
      <c r="P140">
        <v>10000000</v>
      </c>
      <c r="Q140">
        <v>10000000</v>
      </c>
      <c r="R140">
        <v>10000000</v>
      </c>
      <c r="S140">
        <v>10000000</v>
      </c>
      <c r="T140">
        <v>10000000</v>
      </c>
      <c r="U140">
        <v>10000000</v>
      </c>
      <c r="V140">
        <v>10000000</v>
      </c>
      <c r="W140">
        <v>10000000</v>
      </c>
      <c r="X140">
        <v>10000000</v>
      </c>
      <c r="Y140">
        <v>10000000</v>
      </c>
      <c r="Z140">
        <v>10000000</v>
      </c>
      <c r="AA140">
        <v>10000000</v>
      </c>
      <c r="AB140">
        <v>10000000</v>
      </c>
      <c r="AC140">
        <v>10000000</v>
      </c>
      <c r="AG140" s="5"/>
      <c r="AH140" s="5"/>
      <c r="AI140" s="5" t="s">
        <v>91</v>
      </c>
      <c r="AJ140" s="5" t="s">
        <v>42</v>
      </c>
    </row>
    <row r="141" spans="1:36" x14ac:dyDescent="0.2">
      <c r="A141" t="s">
        <v>274</v>
      </c>
      <c r="C141" t="s">
        <v>273</v>
      </c>
      <c r="D141">
        <v>100000</v>
      </c>
      <c r="E141">
        <v>100000</v>
      </c>
      <c r="F141">
        <v>100000</v>
      </c>
      <c r="G141">
        <v>100000</v>
      </c>
      <c r="H141">
        <v>100000</v>
      </c>
      <c r="I141">
        <v>100000</v>
      </c>
      <c r="J141">
        <v>100000</v>
      </c>
      <c r="K141">
        <v>100000</v>
      </c>
      <c r="L141">
        <v>100000</v>
      </c>
      <c r="M141">
        <v>100000</v>
      </c>
      <c r="N141">
        <v>100000</v>
      </c>
      <c r="O141">
        <v>100000</v>
      </c>
      <c r="P141">
        <v>100000</v>
      </c>
      <c r="Q141">
        <v>100000</v>
      </c>
      <c r="R141">
        <v>100000</v>
      </c>
      <c r="S141">
        <v>100000</v>
      </c>
      <c r="T141">
        <v>100000</v>
      </c>
      <c r="U141">
        <v>100000</v>
      </c>
      <c r="V141">
        <v>100000</v>
      </c>
      <c r="W141">
        <v>100000</v>
      </c>
      <c r="X141">
        <v>100000</v>
      </c>
      <c r="Y141">
        <v>100000</v>
      </c>
      <c r="Z141">
        <v>100000</v>
      </c>
      <c r="AA141">
        <v>100000</v>
      </c>
      <c r="AB141">
        <v>100000</v>
      </c>
      <c r="AC141">
        <v>100000</v>
      </c>
      <c r="AG141" s="5"/>
      <c r="AH141" s="5"/>
      <c r="AI141" s="5" t="s">
        <v>91</v>
      </c>
      <c r="AJ141" s="5" t="s">
        <v>42</v>
      </c>
    </row>
    <row r="142" spans="1:36" x14ac:dyDescent="0.2">
      <c r="A142" s="4" t="s">
        <v>275</v>
      </c>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spans="1:36" x14ac:dyDescent="0.2">
      <c r="A143" s="6" t="s">
        <v>276</v>
      </c>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spans="1:36" x14ac:dyDescent="0.2">
      <c r="A144" t="s">
        <v>277</v>
      </c>
      <c r="B144">
        <v>140</v>
      </c>
      <c r="C144" t="s">
        <v>278</v>
      </c>
      <c r="AG144" s="5">
        <v>80</v>
      </c>
      <c r="AH144" s="5">
        <v>200</v>
      </c>
      <c r="AI144" s="5" t="s">
        <v>3</v>
      </c>
      <c r="AJ144" s="5" t="s">
        <v>279</v>
      </c>
    </row>
    <row r="145" spans="1:36" x14ac:dyDescent="0.2">
      <c r="A145" t="s">
        <v>280</v>
      </c>
      <c r="B145">
        <v>156</v>
      </c>
      <c r="C145" t="s">
        <v>281</v>
      </c>
      <c r="AG145" s="5">
        <v>90</v>
      </c>
      <c r="AH145" s="5">
        <v>220</v>
      </c>
      <c r="AI145" s="5" t="s">
        <v>3</v>
      </c>
      <c r="AJ145" s="5"/>
    </row>
    <row r="146" spans="1:36" x14ac:dyDescent="0.2">
      <c r="A146" t="s">
        <v>282</v>
      </c>
      <c r="B146">
        <v>1400</v>
      </c>
      <c r="C146" t="s">
        <v>283</v>
      </c>
      <c r="AG146" s="5">
        <v>1000</v>
      </c>
      <c r="AH146" s="5">
        <v>1800</v>
      </c>
      <c r="AI146" s="5" t="s">
        <v>3</v>
      </c>
      <c r="AJ146" s="5"/>
    </row>
    <row r="147" spans="1:36" x14ac:dyDescent="0.2">
      <c r="A147" t="s">
        <v>284</v>
      </c>
      <c r="B147">
        <v>1979</v>
      </c>
      <c r="C147" t="s">
        <v>285</v>
      </c>
      <c r="AI147" t="s">
        <v>32</v>
      </c>
      <c r="AJ147" t="s">
        <v>286</v>
      </c>
    </row>
    <row r="148" spans="1:36" x14ac:dyDescent="0.2">
      <c r="A148" t="s">
        <v>287</v>
      </c>
      <c r="B148">
        <v>0.6</v>
      </c>
      <c r="C148" t="s">
        <v>288</v>
      </c>
      <c r="AG148" s="5">
        <v>0.4</v>
      </c>
      <c r="AH148" s="5">
        <v>0.8</v>
      </c>
      <c r="AI148" s="5" t="s">
        <v>3</v>
      </c>
      <c r="AJ148" s="5"/>
    </row>
    <row r="149" spans="1:36" x14ac:dyDescent="0.2">
      <c r="A149" t="s">
        <v>289</v>
      </c>
      <c r="B149">
        <v>0.85</v>
      </c>
      <c r="C149" t="s">
        <v>290</v>
      </c>
      <c r="AG149" s="5">
        <v>0.6</v>
      </c>
      <c r="AH149" s="5">
        <v>0.95</v>
      </c>
      <c r="AI149" s="5" t="s">
        <v>3</v>
      </c>
      <c r="AJ149" s="5"/>
    </row>
    <row r="150" spans="1:36" x14ac:dyDescent="0.2">
      <c r="A150" t="s">
        <v>291</v>
      </c>
      <c r="B150">
        <v>5</v>
      </c>
      <c r="C150" t="s">
        <v>292</v>
      </c>
      <c r="AG150" s="5">
        <v>4</v>
      </c>
      <c r="AH150" s="5">
        <v>7</v>
      </c>
      <c r="AI150" s="5" t="s">
        <v>3</v>
      </c>
      <c r="AJ150" s="5"/>
    </row>
    <row r="151" spans="1:36" x14ac:dyDescent="0.2">
      <c r="A151" t="s">
        <v>293</v>
      </c>
      <c r="B151">
        <v>156000</v>
      </c>
      <c r="AI151" t="s">
        <v>32</v>
      </c>
      <c r="AJ151" t="s">
        <v>240</v>
      </c>
    </row>
    <row r="152" spans="1:36" x14ac:dyDescent="0.2">
      <c r="A152" t="s">
        <v>294</v>
      </c>
      <c r="B152">
        <v>480</v>
      </c>
      <c r="C152" t="s">
        <v>295</v>
      </c>
      <c r="AG152" s="5">
        <v>350</v>
      </c>
      <c r="AH152" s="5">
        <v>600</v>
      </c>
      <c r="AI152" s="5" t="s">
        <v>3</v>
      </c>
      <c r="AJ152" s="5"/>
    </row>
    <row r="153" spans="1:36" x14ac:dyDescent="0.2">
      <c r="A153" s="6" t="s">
        <v>296</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row>
    <row r="154" spans="1:36" x14ac:dyDescent="0.2">
      <c r="A154" t="s">
        <v>297</v>
      </c>
      <c r="B154">
        <v>8</v>
      </c>
      <c r="C154" t="s">
        <v>298</v>
      </c>
      <c r="AG154" s="5">
        <v>5</v>
      </c>
      <c r="AH154" s="5">
        <v>12</v>
      </c>
      <c r="AI154" s="5" t="s">
        <v>3</v>
      </c>
      <c r="AJ154" s="5"/>
    </row>
    <row r="155" spans="1:36" x14ac:dyDescent="0.2">
      <c r="A155" t="s">
        <v>299</v>
      </c>
      <c r="B155">
        <v>3000</v>
      </c>
      <c r="C155" t="s">
        <v>300</v>
      </c>
      <c r="AG155" s="5">
        <v>2000</v>
      </c>
      <c r="AH155" s="5">
        <v>5000</v>
      </c>
      <c r="AI155" s="5" t="s">
        <v>3</v>
      </c>
      <c r="AJ155" s="5"/>
    </row>
    <row r="156" spans="1:36" x14ac:dyDescent="0.2">
      <c r="A156" t="s">
        <v>301</v>
      </c>
      <c r="B156">
        <v>75000</v>
      </c>
      <c r="C156" t="s">
        <v>302</v>
      </c>
      <c r="AG156" s="5">
        <v>50000</v>
      </c>
      <c r="AH156" s="5">
        <v>100000</v>
      </c>
      <c r="AI156" s="5" t="s">
        <v>3</v>
      </c>
      <c r="AJ156" s="5"/>
    </row>
    <row r="157" spans="1:36" x14ac:dyDescent="0.2">
      <c r="A157" t="s">
        <v>303</v>
      </c>
      <c r="B157">
        <v>150000</v>
      </c>
      <c r="C157" t="s">
        <v>304</v>
      </c>
      <c r="AG157" s="5">
        <v>100000</v>
      </c>
      <c r="AH157" s="5">
        <v>200000</v>
      </c>
      <c r="AI157" s="5" t="s">
        <v>3</v>
      </c>
      <c r="AJ157" s="5"/>
    </row>
    <row r="158" spans="1:36" x14ac:dyDescent="0.2">
      <c r="A158" t="s">
        <v>305</v>
      </c>
      <c r="B158">
        <v>65000</v>
      </c>
      <c r="C158" t="s">
        <v>304</v>
      </c>
      <c r="AG158" s="5">
        <v>45000</v>
      </c>
      <c r="AH158" s="5">
        <v>90000</v>
      </c>
      <c r="AI158" s="5" t="s">
        <v>3</v>
      </c>
      <c r="AJ158" s="5"/>
    </row>
    <row r="159" spans="1:36" x14ac:dyDescent="0.2">
      <c r="A159" t="s">
        <v>306</v>
      </c>
      <c r="B159">
        <v>40000</v>
      </c>
      <c r="C159" t="s">
        <v>304</v>
      </c>
      <c r="AG159" s="5">
        <v>25000</v>
      </c>
      <c r="AH159" s="5">
        <v>60000</v>
      </c>
      <c r="AI159" s="5" t="s">
        <v>3</v>
      </c>
      <c r="AJ159" s="5"/>
    </row>
    <row r="160" spans="1:36" x14ac:dyDescent="0.2">
      <c r="A160" t="s">
        <v>307</v>
      </c>
      <c r="B160">
        <v>25000</v>
      </c>
      <c r="C160" t="s">
        <v>304</v>
      </c>
      <c r="AG160" s="5">
        <v>15000</v>
      </c>
      <c r="AH160" s="5">
        <v>40000</v>
      </c>
      <c r="AI160" s="5" t="s">
        <v>3</v>
      </c>
      <c r="AJ160" s="5"/>
    </row>
    <row r="161" spans="1:36" x14ac:dyDescent="0.2">
      <c r="A161" t="s">
        <v>308</v>
      </c>
      <c r="B161">
        <v>150000</v>
      </c>
      <c r="C161" t="s">
        <v>304</v>
      </c>
      <c r="AG161" s="5">
        <v>100000</v>
      </c>
      <c r="AH161" s="5">
        <v>250000</v>
      </c>
      <c r="AI161" s="5" t="s">
        <v>3</v>
      </c>
      <c r="AJ161" s="5"/>
    </row>
    <row r="162" spans="1:36" x14ac:dyDescent="0.2">
      <c r="A162" s="6" t="s">
        <v>309</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row>
    <row r="163" spans="1:36" x14ac:dyDescent="0.2">
      <c r="A163" t="s">
        <v>310</v>
      </c>
      <c r="B163">
        <v>0</v>
      </c>
      <c r="C163" t="s">
        <v>311</v>
      </c>
      <c r="AI163" t="s">
        <v>32</v>
      </c>
      <c r="AJ163" t="s">
        <v>312</v>
      </c>
    </row>
    <row r="164" spans="1:36" x14ac:dyDescent="0.2">
      <c r="A164" t="s">
        <v>313</v>
      </c>
      <c r="B164">
        <v>0.15</v>
      </c>
      <c r="C164" t="s">
        <v>314</v>
      </c>
      <c r="AG164" s="5">
        <v>0.05</v>
      </c>
      <c r="AH164" s="5">
        <v>0.25</v>
      </c>
      <c r="AI164" s="5" t="s">
        <v>3</v>
      </c>
      <c r="AJ164" s="5"/>
    </row>
    <row r="165" spans="1:36" x14ac:dyDescent="0.2">
      <c r="A165" t="s">
        <v>946</v>
      </c>
      <c r="B165">
        <v>2026</v>
      </c>
      <c r="C165" t="s">
        <v>315</v>
      </c>
      <c r="AI165" t="s">
        <v>32</v>
      </c>
    </row>
    <row r="166" spans="1:36" x14ac:dyDescent="0.2">
      <c r="A166" s="6" t="s">
        <v>316</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spans="1:36" x14ac:dyDescent="0.2">
      <c r="A167" t="s">
        <v>317</v>
      </c>
      <c r="B167">
        <v>0.05</v>
      </c>
      <c r="C167" t="s">
        <v>318</v>
      </c>
      <c r="AG167" s="5">
        <v>0.02</v>
      </c>
      <c r="AH167" s="5">
        <v>0.1</v>
      </c>
      <c r="AI167" s="5" t="s">
        <v>3</v>
      </c>
      <c r="AJ167" s="5"/>
    </row>
    <row r="168" spans="1:36" x14ac:dyDescent="0.2">
      <c r="A168" t="s">
        <v>319</v>
      </c>
      <c r="B168">
        <v>0.02</v>
      </c>
      <c r="C168" t="s">
        <v>320</v>
      </c>
      <c r="AG168" s="5">
        <v>0.01</v>
      </c>
      <c r="AH168" s="5">
        <v>0.05</v>
      </c>
      <c r="AI168" s="5" t="s">
        <v>3</v>
      </c>
      <c r="AJ168" s="5"/>
    </row>
    <row r="169" spans="1:36" x14ac:dyDescent="0.2">
      <c r="A169" t="s">
        <v>321</v>
      </c>
      <c r="B169">
        <v>0.01</v>
      </c>
      <c r="C169" t="s">
        <v>322</v>
      </c>
      <c r="AG169" s="5">
        <v>5.0000000000000001E-3</v>
      </c>
      <c r="AH169" s="5">
        <v>2.5000000000000001E-2</v>
      </c>
      <c r="AI169" s="5" t="s">
        <v>3</v>
      </c>
      <c r="AJ169" s="5"/>
    </row>
    <row r="170" spans="1:36" x14ac:dyDescent="0.2">
      <c r="A170" t="s">
        <v>323</v>
      </c>
      <c r="B170">
        <v>0.03</v>
      </c>
      <c r="C170" t="s">
        <v>324</v>
      </c>
      <c r="AG170" s="5">
        <v>0.01</v>
      </c>
      <c r="AH170" s="5">
        <v>0.06</v>
      </c>
      <c r="AI170" s="5" t="s">
        <v>3</v>
      </c>
      <c r="AJ170" s="5"/>
    </row>
    <row r="171" spans="1:36" x14ac:dyDescent="0.2">
      <c r="A171" s="6" t="s">
        <v>325</v>
      </c>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spans="1:36" x14ac:dyDescent="0.2">
      <c r="A172" t="s">
        <v>326</v>
      </c>
      <c r="C172" t="s">
        <v>327</v>
      </c>
      <c r="D172">
        <v>700</v>
      </c>
      <c r="E172">
        <v>700</v>
      </c>
      <c r="F172">
        <v>600</v>
      </c>
      <c r="G172">
        <v>500</v>
      </c>
      <c r="H172">
        <v>533.33299999999997</v>
      </c>
      <c r="I172">
        <v>566.66700000000003</v>
      </c>
      <c r="J172">
        <v>600</v>
      </c>
      <c r="K172">
        <v>600</v>
      </c>
      <c r="L172">
        <v>600</v>
      </c>
      <c r="M172">
        <v>600</v>
      </c>
      <c r="N172">
        <v>600</v>
      </c>
      <c r="O172">
        <v>600</v>
      </c>
      <c r="P172">
        <v>600</v>
      </c>
      <c r="Q172">
        <v>600</v>
      </c>
      <c r="R172">
        <v>600</v>
      </c>
      <c r="S172">
        <v>600</v>
      </c>
      <c r="T172">
        <v>600</v>
      </c>
      <c r="U172">
        <v>600</v>
      </c>
      <c r="V172">
        <v>600</v>
      </c>
      <c r="W172">
        <v>600</v>
      </c>
      <c r="X172">
        <v>600</v>
      </c>
      <c r="Y172">
        <v>600</v>
      </c>
      <c r="Z172">
        <v>600</v>
      </c>
      <c r="AA172">
        <v>600</v>
      </c>
      <c r="AB172">
        <v>600</v>
      </c>
      <c r="AC172">
        <v>600</v>
      </c>
      <c r="AG172" s="5"/>
      <c r="AH172" s="5"/>
      <c r="AI172" s="5" t="s">
        <v>91</v>
      </c>
      <c r="AJ172" s="5" t="s">
        <v>328</v>
      </c>
    </row>
    <row r="173" spans="1:36" x14ac:dyDescent="0.2">
      <c r="A173" t="s">
        <v>329</v>
      </c>
      <c r="C173" t="s">
        <v>330</v>
      </c>
      <c r="D173">
        <v>1979</v>
      </c>
      <c r="E173">
        <v>1979</v>
      </c>
      <c r="F173">
        <v>1979</v>
      </c>
      <c r="G173">
        <v>1979</v>
      </c>
      <c r="H173">
        <v>2819.33</v>
      </c>
      <c r="I173">
        <v>3659.67</v>
      </c>
      <c r="J173">
        <v>4500</v>
      </c>
      <c r="K173">
        <v>4500</v>
      </c>
      <c r="L173">
        <v>4500</v>
      </c>
      <c r="M173">
        <v>4500</v>
      </c>
      <c r="N173">
        <v>4500</v>
      </c>
      <c r="O173">
        <v>4500</v>
      </c>
      <c r="P173">
        <v>4500</v>
      </c>
      <c r="Q173">
        <v>4500</v>
      </c>
      <c r="R173">
        <v>4500</v>
      </c>
      <c r="S173">
        <v>4500</v>
      </c>
      <c r="T173">
        <v>4500</v>
      </c>
      <c r="U173">
        <v>4500</v>
      </c>
      <c r="V173">
        <v>4500</v>
      </c>
      <c r="W173">
        <v>4500</v>
      </c>
      <c r="X173">
        <v>4500</v>
      </c>
      <c r="Y173">
        <v>4500</v>
      </c>
      <c r="Z173">
        <v>4500</v>
      </c>
      <c r="AA173">
        <v>4500</v>
      </c>
      <c r="AB173">
        <v>4500</v>
      </c>
      <c r="AC173">
        <v>4500</v>
      </c>
      <c r="AG173" s="5"/>
      <c r="AH173" s="5"/>
      <c r="AI173" s="5" t="s">
        <v>91</v>
      </c>
      <c r="AJ173" s="5" t="s">
        <v>328</v>
      </c>
    </row>
    <row r="174" spans="1:36" x14ac:dyDescent="0.2">
      <c r="A174" t="s">
        <v>331</v>
      </c>
      <c r="C174" t="s">
        <v>332</v>
      </c>
      <c r="D174">
        <v>1.2</v>
      </c>
      <c r="E174">
        <v>1.0667</v>
      </c>
      <c r="F174">
        <v>0.93330000000000002</v>
      </c>
      <c r="G174">
        <v>0.8</v>
      </c>
      <c r="H174">
        <v>0.8</v>
      </c>
      <c r="I174">
        <v>0.8</v>
      </c>
      <c r="J174">
        <v>0.8</v>
      </c>
      <c r="K174">
        <v>0.8</v>
      </c>
      <c r="L174">
        <v>0.8</v>
      </c>
      <c r="M174">
        <v>0.8</v>
      </c>
      <c r="N174">
        <v>0.8</v>
      </c>
      <c r="O174">
        <v>0.8</v>
      </c>
      <c r="P174">
        <v>0.8</v>
      </c>
      <c r="Q174">
        <v>0.8</v>
      </c>
      <c r="R174">
        <v>0.8</v>
      </c>
      <c r="S174">
        <v>0.8</v>
      </c>
      <c r="T174">
        <v>0.8</v>
      </c>
      <c r="U174">
        <v>0.8</v>
      </c>
      <c r="V174">
        <v>0.8</v>
      </c>
      <c r="W174">
        <v>0.8</v>
      </c>
      <c r="X174">
        <v>0.8</v>
      </c>
      <c r="Y174">
        <v>0.8</v>
      </c>
      <c r="Z174">
        <v>0.8</v>
      </c>
      <c r="AA174">
        <v>0.8</v>
      </c>
      <c r="AB174">
        <v>0.8</v>
      </c>
      <c r="AC174">
        <v>0.8</v>
      </c>
      <c r="AG174" s="5"/>
      <c r="AH174" s="5"/>
      <c r="AI174" s="5" t="s">
        <v>91</v>
      </c>
      <c r="AJ174" s="5"/>
    </row>
    <row r="175" spans="1:36" x14ac:dyDescent="0.2">
      <c r="A175" t="s">
        <v>333</v>
      </c>
      <c r="C175" t="s">
        <v>334</v>
      </c>
      <c r="D175">
        <v>30000</v>
      </c>
      <c r="E175">
        <v>21666.7</v>
      </c>
      <c r="F175">
        <v>13333.3</v>
      </c>
      <c r="G175">
        <v>5000</v>
      </c>
      <c r="H175">
        <v>4166.67</v>
      </c>
      <c r="I175">
        <v>3333.33</v>
      </c>
      <c r="J175">
        <v>2500</v>
      </c>
      <c r="K175">
        <v>2500</v>
      </c>
      <c r="L175">
        <v>2500</v>
      </c>
      <c r="M175">
        <v>2500</v>
      </c>
      <c r="N175">
        <v>2500</v>
      </c>
      <c r="O175">
        <v>2500</v>
      </c>
      <c r="P175">
        <v>2500</v>
      </c>
      <c r="Q175">
        <v>2500</v>
      </c>
      <c r="R175">
        <v>2500</v>
      </c>
      <c r="S175">
        <v>2500</v>
      </c>
      <c r="T175">
        <v>2500</v>
      </c>
      <c r="U175">
        <v>2500</v>
      </c>
      <c r="V175">
        <v>2500</v>
      </c>
      <c r="W175">
        <v>2500</v>
      </c>
      <c r="X175">
        <v>2500</v>
      </c>
      <c r="Y175">
        <v>2500</v>
      </c>
      <c r="Z175">
        <v>2500</v>
      </c>
      <c r="AA175">
        <v>2500</v>
      </c>
      <c r="AB175">
        <v>2500</v>
      </c>
      <c r="AC175">
        <v>2500</v>
      </c>
      <c r="AG175" s="5"/>
      <c r="AH175" s="5"/>
      <c r="AI175" s="5" t="s">
        <v>91</v>
      </c>
      <c r="AJ175" s="5" t="s">
        <v>328</v>
      </c>
    </row>
    <row r="176" spans="1:36" x14ac:dyDescent="0.2">
      <c r="A176" t="s">
        <v>335</v>
      </c>
      <c r="C176" t="s">
        <v>336</v>
      </c>
      <c r="D176">
        <v>2</v>
      </c>
      <c r="E176">
        <v>1.9</v>
      </c>
      <c r="F176">
        <v>1.8049999999999999</v>
      </c>
      <c r="G176">
        <v>1.7146999999999999</v>
      </c>
      <c r="H176">
        <v>1.629</v>
      </c>
      <c r="I176">
        <v>1.5476000000000001</v>
      </c>
      <c r="J176">
        <v>1.4702</v>
      </c>
      <c r="K176">
        <v>1.3967000000000001</v>
      </c>
      <c r="L176">
        <v>1.3268</v>
      </c>
      <c r="M176">
        <v>1.2605</v>
      </c>
      <c r="N176">
        <v>1.1975</v>
      </c>
      <c r="O176">
        <v>1.1375999999999999</v>
      </c>
      <c r="P176">
        <v>1.0807</v>
      </c>
      <c r="Q176">
        <v>1.0266999999999999</v>
      </c>
      <c r="R176">
        <v>0.97529999999999994</v>
      </c>
      <c r="S176">
        <v>0.92659999999999998</v>
      </c>
      <c r="T176">
        <v>0.88029999999999997</v>
      </c>
      <c r="U176">
        <v>0.83620000000000005</v>
      </c>
      <c r="V176">
        <v>0.7944</v>
      </c>
      <c r="W176">
        <v>0.75470000000000004</v>
      </c>
      <c r="X176">
        <v>0.71699999999999997</v>
      </c>
      <c r="Y176">
        <v>0.68110000000000004</v>
      </c>
      <c r="Z176">
        <v>0.64710000000000001</v>
      </c>
      <c r="AA176">
        <v>0.61470000000000002</v>
      </c>
      <c r="AB176">
        <v>0.58399999999999996</v>
      </c>
      <c r="AC176">
        <v>0.55479999999999996</v>
      </c>
      <c r="AG176" s="5"/>
      <c r="AH176" s="5"/>
      <c r="AI176" s="5" t="s">
        <v>91</v>
      </c>
      <c r="AJ176" s="5"/>
    </row>
    <row r="177" spans="1:36" x14ac:dyDescent="0.2">
      <c r="A177" t="s">
        <v>337</v>
      </c>
      <c r="C177" t="s">
        <v>338</v>
      </c>
      <c r="D177">
        <v>0.4</v>
      </c>
      <c r="E177">
        <v>0.51249999999999996</v>
      </c>
      <c r="F177">
        <v>0.625</v>
      </c>
      <c r="G177">
        <v>0.73750000000000004</v>
      </c>
      <c r="H177">
        <v>0.85</v>
      </c>
      <c r="I177">
        <v>0.85</v>
      </c>
      <c r="J177">
        <v>0.85</v>
      </c>
      <c r="K177">
        <v>0.85</v>
      </c>
      <c r="L177">
        <v>0.85</v>
      </c>
      <c r="M177">
        <v>0.85</v>
      </c>
      <c r="N177">
        <v>0.85</v>
      </c>
      <c r="O177">
        <v>0.85</v>
      </c>
      <c r="P177">
        <v>0.85</v>
      </c>
      <c r="Q177">
        <v>0.85</v>
      </c>
      <c r="R177">
        <v>0.85</v>
      </c>
      <c r="S177">
        <v>0.85</v>
      </c>
      <c r="T177">
        <v>0.85</v>
      </c>
      <c r="U177">
        <v>0.85</v>
      </c>
      <c r="V177">
        <v>0.85</v>
      </c>
      <c r="W177">
        <v>0.85</v>
      </c>
      <c r="X177">
        <v>0.85</v>
      </c>
      <c r="Y177">
        <v>0.85</v>
      </c>
      <c r="Z177">
        <v>0.85</v>
      </c>
      <c r="AA177">
        <v>0.85</v>
      </c>
      <c r="AB177">
        <v>0.85</v>
      </c>
      <c r="AC177">
        <v>0.85</v>
      </c>
      <c r="AG177" s="5"/>
      <c r="AH177" s="5"/>
      <c r="AI177" s="5" t="s">
        <v>91</v>
      </c>
      <c r="AJ177" s="5"/>
    </row>
    <row r="178" spans="1:36" x14ac:dyDescent="0.2">
      <c r="A178" s="6" t="s">
        <v>339</v>
      </c>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spans="1:36" x14ac:dyDescent="0.2">
      <c r="A179" t="s">
        <v>340</v>
      </c>
      <c r="B179">
        <v>0.6</v>
      </c>
      <c r="C179" t="s">
        <v>341</v>
      </c>
      <c r="AG179" s="5">
        <v>0.2</v>
      </c>
      <c r="AH179" s="5">
        <v>0.8</v>
      </c>
      <c r="AI179" s="5" t="s">
        <v>3</v>
      </c>
      <c r="AJ179" s="5" t="s">
        <v>342</v>
      </c>
    </row>
    <row r="180" spans="1:36" x14ac:dyDescent="0.2">
      <c r="A180" t="s">
        <v>343</v>
      </c>
      <c r="B180">
        <v>12</v>
      </c>
      <c r="C180" t="s">
        <v>344</v>
      </c>
      <c r="AG180" s="5">
        <v>8</v>
      </c>
      <c r="AH180" s="5">
        <v>16</v>
      </c>
      <c r="AI180" s="5" t="s">
        <v>3</v>
      </c>
      <c r="AJ180" s="5"/>
    </row>
    <row r="181" spans="1:36" x14ac:dyDescent="0.2">
      <c r="A181" t="s">
        <v>345</v>
      </c>
      <c r="B181">
        <v>1.4</v>
      </c>
      <c r="C181" t="s">
        <v>346</v>
      </c>
      <c r="AG181" s="5">
        <v>1.3</v>
      </c>
      <c r="AH181" s="5">
        <v>1.6</v>
      </c>
      <c r="AI181" s="5" t="s">
        <v>3</v>
      </c>
      <c r="AJ181" s="5"/>
    </row>
    <row r="182" spans="1:36" x14ac:dyDescent="0.2">
      <c r="A182" t="s">
        <v>347</v>
      </c>
      <c r="B182">
        <v>1.1200000000000001</v>
      </c>
      <c r="C182" t="s">
        <v>348</v>
      </c>
      <c r="AG182" s="5">
        <v>1.05</v>
      </c>
      <c r="AH182" s="5">
        <v>1.3</v>
      </c>
      <c r="AI182" s="5" t="s">
        <v>3</v>
      </c>
      <c r="AJ182" s="5"/>
    </row>
    <row r="183" spans="1:36" x14ac:dyDescent="0.2">
      <c r="A183" t="s">
        <v>349</v>
      </c>
      <c r="B183">
        <v>0.05</v>
      </c>
      <c r="C183" t="s">
        <v>350</v>
      </c>
      <c r="AG183" s="5">
        <v>0.02</v>
      </c>
      <c r="AH183" s="5">
        <v>0.1</v>
      </c>
      <c r="AI183" s="5" t="s">
        <v>3</v>
      </c>
      <c r="AJ183" s="5"/>
    </row>
    <row r="184" spans="1:36" x14ac:dyDescent="0.2">
      <c r="A184" t="s">
        <v>351</v>
      </c>
      <c r="B184">
        <v>0.85</v>
      </c>
      <c r="C184" t="s">
        <v>352</v>
      </c>
      <c r="AI184" t="s">
        <v>32</v>
      </c>
      <c r="AJ184" t="s">
        <v>353</v>
      </c>
    </row>
    <row r="185" spans="1:36" x14ac:dyDescent="0.2">
      <c r="A185" s="6" t="s">
        <v>354</v>
      </c>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spans="1:36" x14ac:dyDescent="0.2">
      <c r="A186" t="s">
        <v>355</v>
      </c>
      <c r="C186" t="s">
        <v>356</v>
      </c>
      <c r="D186">
        <v>0.95</v>
      </c>
      <c r="E186">
        <v>0.91669999999999996</v>
      </c>
      <c r="F186">
        <v>0.88329999999999997</v>
      </c>
      <c r="G186">
        <v>0.85</v>
      </c>
      <c r="H186">
        <v>0.8125</v>
      </c>
      <c r="I186">
        <v>0.77500000000000002</v>
      </c>
      <c r="J186">
        <v>0.73750000000000004</v>
      </c>
      <c r="K186">
        <v>0.7</v>
      </c>
      <c r="L186">
        <v>0.67500000000000004</v>
      </c>
      <c r="M186">
        <v>0.65</v>
      </c>
      <c r="N186">
        <v>0.625</v>
      </c>
      <c r="O186">
        <v>0.6</v>
      </c>
      <c r="P186">
        <v>0.57499999999999996</v>
      </c>
      <c r="Q186">
        <v>0.55000000000000004</v>
      </c>
      <c r="R186">
        <v>0.52500000000000002</v>
      </c>
      <c r="S186">
        <v>0.5</v>
      </c>
      <c r="T186">
        <v>0.49</v>
      </c>
      <c r="U186">
        <v>0.48</v>
      </c>
      <c r="V186">
        <v>0.47</v>
      </c>
      <c r="W186">
        <v>0.46</v>
      </c>
      <c r="X186">
        <v>0.45</v>
      </c>
      <c r="Y186">
        <v>0.44</v>
      </c>
      <c r="Z186">
        <v>0.43</v>
      </c>
      <c r="AA186">
        <v>0.42</v>
      </c>
      <c r="AB186">
        <v>0.41</v>
      </c>
      <c r="AC186">
        <v>0.4</v>
      </c>
      <c r="AG186" s="5">
        <v>0.3</v>
      </c>
      <c r="AH186" s="5">
        <v>0.99</v>
      </c>
      <c r="AI186" s="5" t="s">
        <v>357</v>
      </c>
      <c r="AJ186" s="5" t="s">
        <v>358</v>
      </c>
    </row>
    <row r="187" spans="1:36" x14ac:dyDescent="0.2">
      <c r="A187" t="s">
        <v>359</v>
      </c>
      <c r="C187" t="s">
        <v>360</v>
      </c>
      <c r="D187">
        <v>0.05</v>
      </c>
      <c r="E187">
        <v>8.3299999999999999E-2</v>
      </c>
      <c r="F187">
        <v>0.1167</v>
      </c>
      <c r="G187">
        <v>0.15</v>
      </c>
      <c r="H187">
        <v>0.1875</v>
      </c>
      <c r="I187">
        <v>0.22500000000000001</v>
      </c>
      <c r="J187">
        <v>0.26250000000000001</v>
      </c>
      <c r="K187">
        <v>0.3</v>
      </c>
      <c r="L187">
        <v>0.32500000000000001</v>
      </c>
      <c r="M187">
        <v>0.35</v>
      </c>
      <c r="N187">
        <v>0.375</v>
      </c>
      <c r="O187">
        <v>0.4</v>
      </c>
      <c r="P187">
        <v>0.42499999999999999</v>
      </c>
      <c r="Q187">
        <v>0.45</v>
      </c>
      <c r="R187">
        <v>0.47499999999999998</v>
      </c>
      <c r="S187">
        <v>0.5</v>
      </c>
      <c r="T187">
        <v>0.51</v>
      </c>
      <c r="U187">
        <v>0.52</v>
      </c>
      <c r="V187">
        <v>0.53</v>
      </c>
      <c r="W187">
        <v>0.54</v>
      </c>
      <c r="X187">
        <v>0.55000000000000004</v>
      </c>
      <c r="Y187">
        <v>0.56000000000000005</v>
      </c>
      <c r="Z187">
        <v>0.56999999999999995</v>
      </c>
      <c r="AA187">
        <v>0.57999999999999996</v>
      </c>
      <c r="AB187">
        <v>0.59</v>
      </c>
      <c r="AC187">
        <v>0.6</v>
      </c>
      <c r="AG187" s="5"/>
      <c r="AH187" s="5"/>
      <c r="AI187" s="5" t="s">
        <v>91</v>
      </c>
      <c r="AJ187" s="5" t="s">
        <v>240</v>
      </c>
    </row>
    <row r="188" spans="1:36" x14ac:dyDescent="0.2">
      <c r="A188" s="4" t="s">
        <v>361</v>
      </c>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spans="1:36" x14ac:dyDescent="0.2">
      <c r="A189" s="6" t="s">
        <v>362</v>
      </c>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spans="1:36" x14ac:dyDescent="0.2">
      <c r="A190" t="s">
        <v>363</v>
      </c>
      <c r="C190" t="s">
        <v>364</v>
      </c>
      <c r="D190">
        <v>1</v>
      </c>
      <c r="E190">
        <v>2</v>
      </c>
      <c r="F190">
        <v>5.25</v>
      </c>
      <c r="G190">
        <v>8.5</v>
      </c>
      <c r="H190">
        <v>11.75</v>
      </c>
      <c r="I190">
        <v>15</v>
      </c>
      <c r="J190">
        <v>22</v>
      </c>
      <c r="K190">
        <v>29</v>
      </c>
      <c r="L190">
        <v>36</v>
      </c>
      <c r="M190">
        <v>43</v>
      </c>
      <c r="N190">
        <v>50</v>
      </c>
      <c r="O190">
        <v>52</v>
      </c>
      <c r="P190">
        <v>54</v>
      </c>
      <c r="Q190">
        <v>56</v>
      </c>
      <c r="R190">
        <v>58</v>
      </c>
      <c r="S190">
        <v>60</v>
      </c>
      <c r="T190">
        <v>62</v>
      </c>
      <c r="U190">
        <v>64</v>
      </c>
      <c r="V190">
        <v>66</v>
      </c>
      <c r="W190">
        <v>68</v>
      </c>
      <c r="X190">
        <v>70</v>
      </c>
      <c r="Y190">
        <v>72</v>
      </c>
      <c r="Z190">
        <v>74</v>
      </c>
      <c r="AA190">
        <v>76</v>
      </c>
      <c r="AB190">
        <v>78</v>
      </c>
      <c r="AC190">
        <v>80</v>
      </c>
      <c r="AG190" s="5"/>
      <c r="AH190" s="5"/>
      <c r="AI190" s="5" t="s">
        <v>357</v>
      </c>
      <c r="AJ190" s="5" t="s">
        <v>365</v>
      </c>
    </row>
    <row r="191" spans="1:36" x14ac:dyDescent="0.2">
      <c r="A191" t="s">
        <v>366</v>
      </c>
      <c r="B191">
        <v>20</v>
      </c>
      <c r="C191" t="s">
        <v>367</v>
      </c>
      <c r="AG191" s="5">
        <v>15</v>
      </c>
      <c r="AH191" s="5">
        <v>30</v>
      </c>
      <c r="AI191" s="5" t="s">
        <v>3</v>
      </c>
      <c r="AJ191" s="5"/>
    </row>
    <row r="192" spans="1:36" x14ac:dyDescent="0.2">
      <c r="A192" t="s">
        <v>368</v>
      </c>
      <c r="B192">
        <v>60</v>
      </c>
      <c r="C192" t="s">
        <v>369</v>
      </c>
      <c r="AG192" s="5">
        <v>30</v>
      </c>
      <c r="AH192" s="5">
        <v>100</v>
      </c>
      <c r="AI192" s="5" t="s">
        <v>3</v>
      </c>
      <c r="AJ192" s="5"/>
    </row>
    <row r="193" spans="1:36" x14ac:dyDescent="0.2">
      <c r="A193" s="6" t="s">
        <v>370</v>
      </c>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spans="1:36" x14ac:dyDescent="0.2">
      <c r="A194" t="s">
        <v>371</v>
      </c>
      <c r="C194" t="s">
        <v>372</v>
      </c>
      <c r="D194">
        <v>2</v>
      </c>
      <c r="E194">
        <v>5</v>
      </c>
      <c r="F194">
        <v>11.25</v>
      </c>
      <c r="G194">
        <v>17.5</v>
      </c>
      <c r="H194">
        <v>23.75</v>
      </c>
      <c r="I194">
        <v>30</v>
      </c>
      <c r="J194">
        <v>40</v>
      </c>
      <c r="K194">
        <v>50</v>
      </c>
      <c r="L194">
        <v>60</v>
      </c>
      <c r="M194">
        <v>70</v>
      </c>
      <c r="N194">
        <v>80</v>
      </c>
      <c r="O194">
        <v>82.666700000000006</v>
      </c>
      <c r="P194">
        <v>85.333299999999994</v>
      </c>
      <c r="Q194">
        <v>88</v>
      </c>
      <c r="R194">
        <v>90.666700000000006</v>
      </c>
      <c r="S194">
        <v>93.333299999999994</v>
      </c>
      <c r="T194">
        <v>96</v>
      </c>
      <c r="U194">
        <v>98.666700000000006</v>
      </c>
      <c r="V194">
        <v>101.333</v>
      </c>
      <c r="W194">
        <v>104</v>
      </c>
      <c r="X194">
        <v>106.667</v>
      </c>
      <c r="Y194">
        <v>109.333</v>
      </c>
      <c r="Z194">
        <v>112</v>
      </c>
      <c r="AA194">
        <v>114.667</v>
      </c>
      <c r="AB194">
        <v>117.333</v>
      </c>
      <c r="AC194">
        <v>120</v>
      </c>
      <c r="AG194" s="5"/>
      <c r="AH194" s="5"/>
      <c r="AI194" s="5" t="s">
        <v>357</v>
      </c>
      <c r="AJ194" s="5" t="s">
        <v>373</v>
      </c>
    </row>
    <row r="195" spans="1:36" x14ac:dyDescent="0.2">
      <c r="A195" t="s">
        <v>374</v>
      </c>
      <c r="B195">
        <v>96</v>
      </c>
      <c r="C195" t="s">
        <v>375</v>
      </c>
      <c r="AG195" s="5">
        <v>60</v>
      </c>
      <c r="AH195" s="5">
        <v>150</v>
      </c>
      <c r="AI195" s="5" t="s">
        <v>3</v>
      </c>
      <c r="AJ195" s="5"/>
    </row>
    <row r="196" spans="1:36" x14ac:dyDescent="0.2">
      <c r="A196" s="6" t="s">
        <v>376</v>
      </c>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spans="1:36" x14ac:dyDescent="0.2">
      <c r="A197" t="s">
        <v>377</v>
      </c>
      <c r="C197" t="s">
        <v>378</v>
      </c>
      <c r="D197">
        <v>1</v>
      </c>
      <c r="E197">
        <v>5</v>
      </c>
      <c r="F197">
        <v>16.25</v>
      </c>
      <c r="G197">
        <v>27.5</v>
      </c>
      <c r="H197">
        <v>38.75</v>
      </c>
      <c r="I197">
        <v>50</v>
      </c>
      <c r="J197">
        <v>80</v>
      </c>
      <c r="K197">
        <v>110</v>
      </c>
      <c r="L197">
        <v>140</v>
      </c>
      <c r="M197">
        <v>170</v>
      </c>
      <c r="N197">
        <v>200</v>
      </c>
      <c r="O197">
        <v>220</v>
      </c>
      <c r="P197">
        <v>240</v>
      </c>
      <c r="Q197">
        <v>260</v>
      </c>
      <c r="R197">
        <v>280</v>
      </c>
      <c r="S197">
        <v>300</v>
      </c>
      <c r="T197">
        <v>320</v>
      </c>
      <c r="U197">
        <v>340</v>
      </c>
      <c r="V197">
        <v>360</v>
      </c>
      <c r="W197">
        <v>380</v>
      </c>
      <c r="X197">
        <v>400</v>
      </c>
      <c r="Y197">
        <v>420</v>
      </c>
      <c r="Z197">
        <v>440</v>
      </c>
      <c r="AA197">
        <v>460</v>
      </c>
      <c r="AB197">
        <v>480</v>
      </c>
      <c r="AC197">
        <v>500</v>
      </c>
      <c r="AG197" s="5"/>
      <c r="AH197" s="5"/>
      <c r="AI197" s="5" t="s">
        <v>357</v>
      </c>
      <c r="AJ197" s="5" t="s">
        <v>379</v>
      </c>
    </row>
    <row r="198" spans="1:36" x14ac:dyDescent="0.2">
      <c r="A198" t="s">
        <v>380</v>
      </c>
      <c r="C198" t="s">
        <v>381</v>
      </c>
      <c r="D198">
        <v>5</v>
      </c>
      <c r="E198">
        <v>4.75</v>
      </c>
      <c r="F198">
        <v>4.5125000000000002</v>
      </c>
      <c r="G198">
        <v>4.2869000000000002</v>
      </c>
      <c r="H198">
        <v>4.0724999999999998</v>
      </c>
      <c r="I198">
        <v>3.8689</v>
      </c>
      <c r="J198">
        <v>3.6755</v>
      </c>
      <c r="K198">
        <v>3.4916999999999998</v>
      </c>
      <c r="L198">
        <v>3.3170999999999999</v>
      </c>
      <c r="M198">
        <v>3.1511999999999998</v>
      </c>
      <c r="N198">
        <v>2.9937</v>
      </c>
      <c r="O198">
        <v>2.8439999999999999</v>
      </c>
      <c r="P198">
        <v>2.7018</v>
      </c>
      <c r="Q198">
        <v>2.5667</v>
      </c>
      <c r="R198">
        <v>2.4384000000000001</v>
      </c>
      <c r="S198">
        <v>2.3165</v>
      </c>
      <c r="T198">
        <v>2.2006000000000001</v>
      </c>
      <c r="U198">
        <v>2.0905999999999998</v>
      </c>
      <c r="V198">
        <v>1.9861</v>
      </c>
      <c r="W198">
        <v>1.8868</v>
      </c>
      <c r="X198">
        <v>1.7924</v>
      </c>
      <c r="Y198">
        <v>1.7028000000000001</v>
      </c>
      <c r="Z198">
        <v>1.6176999999999999</v>
      </c>
      <c r="AA198">
        <v>1.5367999999999999</v>
      </c>
      <c r="AB198">
        <v>1.4599</v>
      </c>
      <c r="AC198">
        <v>1.3869</v>
      </c>
      <c r="AG198" s="5"/>
      <c r="AH198" s="5"/>
      <c r="AI198" s="5" t="s">
        <v>91</v>
      </c>
      <c r="AJ198" s="5"/>
    </row>
    <row r="199" spans="1:36" x14ac:dyDescent="0.2">
      <c r="A199" s="6" t="s">
        <v>382</v>
      </c>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spans="1:36" x14ac:dyDescent="0.2">
      <c r="A200" t="s">
        <v>383</v>
      </c>
      <c r="B200">
        <v>0.01</v>
      </c>
      <c r="C200" t="s">
        <v>384</v>
      </c>
      <c r="AG200" s="5">
        <v>5.0000000000000001E-3</v>
      </c>
      <c r="AH200" s="5">
        <v>2.5000000000000001E-2</v>
      </c>
      <c r="AI200" s="5" t="s">
        <v>3</v>
      </c>
      <c r="AJ200" s="5"/>
    </row>
    <row r="201" spans="1:36" x14ac:dyDescent="0.2">
      <c r="A201" t="s">
        <v>385</v>
      </c>
      <c r="B201">
        <v>0.03</v>
      </c>
      <c r="C201" t="s">
        <v>386</v>
      </c>
      <c r="AG201" s="5">
        <v>0.01</v>
      </c>
      <c r="AH201" s="5">
        <v>0.06</v>
      </c>
      <c r="AI201" s="5" t="s">
        <v>3</v>
      </c>
      <c r="AJ201" s="5"/>
    </row>
    <row r="202" spans="1:36" x14ac:dyDescent="0.2">
      <c r="A202" s="4" t="s">
        <v>387</v>
      </c>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spans="1:36" x14ac:dyDescent="0.2">
      <c r="A203" s="6" t="s">
        <v>388</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spans="1:36" x14ac:dyDescent="0.2">
      <c r="A204" t="s">
        <v>389</v>
      </c>
      <c r="B204">
        <v>10</v>
      </c>
      <c r="C204" t="s">
        <v>390</v>
      </c>
      <c r="AG204" s="5">
        <v>7</v>
      </c>
      <c r="AH204" s="5">
        <v>15</v>
      </c>
      <c r="AI204" s="5" t="s">
        <v>3</v>
      </c>
      <c r="AJ204" s="5"/>
    </row>
    <row r="205" spans="1:36" x14ac:dyDescent="0.2">
      <c r="A205" t="s">
        <v>391</v>
      </c>
      <c r="B205">
        <v>0.05</v>
      </c>
      <c r="C205" t="s">
        <v>392</v>
      </c>
      <c r="AG205" s="5">
        <v>0.03</v>
      </c>
      <c r="AH205" s="5">
        <v>0.1</v>
      </c>
      <c r="AI205" s="5" t="s">
        <v>3</v>
      </c>
      <c r="AJ205" s="5"/>
    </row>
    <row r="206" spans="1:36" x14ac:dyDescent="0.2">
      <c r="A206" t="s">
        <v>393</v>
      </c>
      <c r="B206">
        <v>0.05</v>
      </c>
      <c r="C206" t="s">
        <v>234</v>
      </c>
      <c r="AG206" s="5">
        <v>0.03</v>
      </c>
      <c r="AH206" s="5">
        <v>0.1</v>
      </c>
      <c r="AI206" s="5" t="s">
        <v>3</v>
      </c>
      <c r="AJ206" s="5"/>
    </row>
    <row r="207" spans="1:36" x14ac:dyDescent="0.2">
      <c r="A207" s="6" t="s">
        <v>394</v>
      </c>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spans="1:36" x14ac:dyDescent="0.2">
      <c r="A208" t="s">
        <v>395</v>
      </c>
      <c r="B208">
        <v>60</v>
      </c>
      <c r="C208" t="s">
        <v>396</v>
      </c>
      <c r="AG208" s="5">
        <v>40</v>
      </c>
      <c r="AH208" s="5">
        <v>100</v>
      </c>
      <c r="AI208" s="5" t="s">
        <v>3</v>
      </c>
      <c r="AJ208" s="5"/>
    </row>
    <row r="209" spans="1:36" x14ac:dyDescent="0.2">
      <c r="A209" t="s">
        <v>397</v>
      </c>
      <c r="B209">
        <v>31.43</v>
      </c>
      <c r="AI209" t="s">
        <v>32</v>
      </c>
      <c r="AJ209" t="s">
        <v>240</v>
      </c>
    </row>
    <row r="210" spans="1:36" x14ac:dyDescent="0.2">
      <c r="A210" t="s">
        <v>398</v>
      </c>
      <c r="B210">
        <v>22</v>
      </c>
      <c r="C210" t="s">
        <v>399</v>
      </c>
      <c r="AG210" s="5">
        <v>18</v>
      </c>
      <c r="AH210" s="5">
        <v>24</v>
      </c>
      <c r="AI210" s="5" t="s">
        <v>3</v>
      </c>
      <c r="AJ210" s="5"/>
    </row>
    <row r="211" spans="1:36" x14ac:dyDescent="0.2">
      <c r="A211" t="s">
        <v>400</v>
      </c>
      <c r="B211">
        <v>1</v>
      </c>
      <c r="C211" t="s">
        <v>401</v>
      </c>
      <c r="AG211" s="5">
        <v>0.25</v>
      </c>
      <c r="AH211" s="5">
        <v>2</v>
      </c>
      <c r="AI211" s="5" t="s">
        <v>3</v>
      </c>
      <c r="AJ211" s="5" t="s">
        <v>402</v>
      </c>
    </row>
    <row r="212" spans="1:36" x14ac:dyDescent="0.2">
      <c r="A212" t="s">
        <v>403</v>
      </c>
      <c r="B212">
        <v>0.05</v>
      </c>
      <c r="C212" t="s">
        <v>404</v>
      </c>
      <c r="AG212" s="5">
        <v>0.02</v>
      </c>
      <c r="AH212" s="5">
        <v>0.15</v>
      </c>
      <c r="AI212" s="5" t="s">
        <v>3</v>
      </c>
      <c r="AJ212" s="5"/>
    </row>
    <row r="213" spans="1:36" x14ac:dyDescent="0.2">
      <c r="A213" t="s">
        <v>405</v>
      </c>
      <c r="B213">
        <v>5</v>
      </c>
      <c r="C213" t="s">
        <v>406</v>
      </c>
      <c r="AG213" s="5">
        <v>3</v>
      </c>
      <c r="AH213" s="5">
        <v>8</v>
      </c>
      <c r="AI213" s="5" t="s">
        <v>3</v>
      </c>
      <c r="AJ213" s="5"/>
    </row>
    <row r="214" spans="1:36" x14ac:dyDescent="0.2">
      <c r="A214" s="6" t="s">
        <v>407</v>
      </c>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spans="1:36" x14ac:dyDescent="0.2">
      <c r="A215" t="s">
        <v>408</v>
      </c>
      <c r="B215">
        <v>1</v>
      </c>
      <c r="C215" t="s">
        <v>409</v>
      </c>
      <c r="AG215" s="5">
        <v>0.5</v>
      </c>
      <c r="AH215" s="5">
        <v>2</v>
      </c>
      <c r="AI215" s="5" t="s">
        <v>3</v>
      </c>
      <c r="AJ215" s="5"/>
    </row>
    <row r="216" spans="1:36" x14ac:dyDescent="0.2">
      <c r="A216" t="s">
        <v>410</v>
      </c>
      <c r="B216">
        <v>50000</v>
      </c>
      <c r="C216" t="s">
        <v>411</v>
      </c>
      <c r="AG216" s="5">
        <v>40000</v>
      </c>
      <c r="AH216" s="5">
        <v>60000</v>
      </c>
      <c r="AI216" s="5" t="s">
        <v>3</v>
      </c>
      <c r="AJ216" s="5"/>
    </row>
    <row r="217" spans="1:36" x14ac:dyDescent="0.2">
      <c r="A217" t="s">
        <v>412</v>
      </c>
      <c r="B217">
        <v>0.3</v>
      </c>
      <c r="C217" t="s">
        <v>1091</v>
      </c>
      <c r="AG217" s="5">
        <v>0.1</v>
      </c>
      <c r="AH217" s="5">
        <v>0.5</v>
      </c>
      <c r="AI217" s="5" t="s">
        <v>3</v>
      </c>
      <c r="AJ217" s="5"/>
    </row>
    <row r="218" spans="1:36" x14ac:dyDescent="0.2">
      <c r="A218" s="6" t="s">
        <v>413</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spans="1:36" x14ac:dyDescent="0.2">
      <c r="A219" t="s">
        <v>414</v>
      </c>
      <c r="B219">
        <v>5</v>
      </c>
      <c r="C219" t="s">
        <v>415</v>
      </c>
      <c r="AG219" s="5">
        <v>3</v>
      </c>
      <c r="AH219" s="5">
        <v>8</v>
      </c>
      <c r="AI219" s="5" t="s">
        <v>3</v>
      </c>
      <c r="AJ219" s="5"/>
    </row>
    <row r="220" spans="1:36" x14ac:dyDescent="0.2">
      <c r="A220" t="s">
        <v>416</v>
      </c>
      <c r="B220">
        <v>100000</v>
      </c>
      <c r="C220" t="s">
        <v>417</v>
      </c>
      <c r="AG220" s="5">
        <v>70000</v>
      </c>
      <c r="AH220" s="5">
        <v>130000</v>
      </c>
      <c r="AI220" s="5" t="s">
        <v>3</v>
      </c>
      <c r="AJ220" s="5"/>
    </row>
    <row r="221" spans="1:36" x14ac:dyDescent="0.2">
      <c r="A221" t="s">
        <v>418</v>
      </c>
      <c r="B221">
        <v>0.3</v>
      </c>
      <c r="C221" t="s">
        <v>1092</v>
      </c>
      <c r="AG221" s="5">
        <v>0.1</v>
      </c>
      <c r="AH221" s="5">
        <v>0.5</v>
      </c>
      <c r="AI221" s="5" t="s">
        <v>3</v>
      </c>
      <c r="AJ221" s="5"/>
    </row>
    <row r="222" spans="1:36" x14ac:dyDescent="0.2">
      <c r="A222" s="6" t="s">
        <v>420</v>
      </c>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row>
    <row r="223" spans="1:36" x14ac:dyDescent="0.2">
      <c r="A223" t="s">
        <v>421</v>
      </c>
      <c r="C223" t="s">
        <v>422</v>
      </c>
      <c r="D223">
        <v>30000</v>
      </c>
      <c r="E223">
        <v>30000</v>
      </c>
      <c r="F223">
        <v>27500</v>
      </c>
      <c r="G223">
        <v>25000</v>
      </c>
      <c r="H223">
        <v>22500</v>
      </c>
      <c r="I223">
        <v>20000</v>
      </c>
      <c r="J223">
        <v>18400</v>
      </c>
      <c r="K223">
        <v>16800</v>
      </c>
      <c r="L223">
        <v>15200</v>
      </c>
      <c r="M223">
        <v>13600</v>
      </c>
      <c r="N223">
        <v>12000</v>
      </c>
      <c r="O223">
        <v>11200</v>
      </c>
      <c r="P223">
        <v>10400</v>
      </c>
      <c r="Q223">
        <v>9600</v>
      </c>
      <c r="R223">
        <v>8800</v>
      </c>
      <c r="S223">
        <v>8000</v>
      </c>
      <c r="T223">
        <v>8000</v>
      </c>
      <c r="U223">
        <v>8000</v>
      </c>
      <c r="V223">
        <v>8000</v>
      </c>
      <c r="W223">
        <v>8000</v>
      </c>
      <c r="X223">
        <v>8000</v>
      </c>
      <c r="Y223">
        <v>8000</v>
      </c>
      <c r="Z223">
        <v>8000</v>
      </c>
      <c r="AA223">
        <v>8000</v>
      </c>
      <c r="AB223">
        <v>8000</v>
      </c>
      <c r="AC223">
        <v>8000</v>
      </c>
      <c r="AG223" s="5"/>
      <c r="AH223" s="5"/>
      <c r="AI223" s="5" t="s">
        <v>357</v>
      </c>
      <c r="AJ223" s="5"/>
    </row>
    <row r="224" spans="1:36" x14ac:dyDescent="0.2">
      <c r="A224" t="s">
        <v>423</v>
      </c>
      <c r="C224" t="s">
        <v>424</v>
      </c>
      <c r="D224">
        <v>1000</v>
      </c>
      <c r="E224">
        <v>1000</v>
      </c>
      <c r="F224">
        <v>950</v>
      </c>
      <c r="G224">
        <v>900</v>
      </c>
      <c r="H224">
        <v>850</v>
      </c>
      <c r="I224">
        <v>800</v>
      </c>
      <c r="J224">
        <v>740</v>
      </c>
      <c r="K224">
        <v>680</v>
      </c>
      <c r="L224">
        <v>620</v>
      </c>
      <c r="M224">
        <v>560</v>
      </c>
      <c r="N224">
        <v>500</v>
      </c>
      <c r="O224">
        <v>486.66699999999997</v>
      </c>
      <c r="P224">
        <v>473.33300000000003</v>
      </c>
      <c r="Q224">
        <v>460</v>
      </c>
      <c r="R224">
        <v>446.66699999999997</v>
      </c>
      <c r="S224">
        <v>433.33300000000003</v>
      </c>
      <c r="T224">
        <v>420</v>
      </c>
      <c r="U224">
        <v>406.66699999999997</v>
      </c>
      <c r="V224">
        <v>393.33300000000003</v>
      </c>
      <c r="W224">
        <v>380</v>
      </c>
      <c r="X224">
        <v>366.66699999999997</v>
      </c>
      <c r="Y224">
        <v>353.33300000000003</v>
      </c>
      <c r="Z224">
        <v>340</v>
      </c>
      <c r="AA224">
        <v>326.66699999999997</v>
      </c>
      <c r="AB224">
        <v>313.33300000000003</v>
      </c>
      <c r="AC224">
        <v>300</v>
      </c>
      <c r="AG224" s="5"/>
      <c r="AH224" s="5"/>
      <c r="AI224" s="5" t="s">
        <v>357</v>
      </c>
      <c r="AJ224" s="5"/>
    </row>
    <row r="225" spans="1:36" x14ac:dyDescent="0.2">
      <c r="A225" s="6" t="s">
        <v>425</v>
      </c>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row>
    <row r="226" spans="1:36" x14ac:dyDescent="0.2">
      <c r="A226" t="s">
        <v>426</v>
      </c>
      <c r="C226" t="s">
        <v>427</v>
      </c>
      <c r="D226" s="17">
        <v>1</v>
      </c>
      <c r="E226" s="17">
        <v>1</v>
      </c>
      <c r="F226" s="17">
        <v>1</v>
      </c>
      <c r="G226" s="17">
        <v>0.7</v>
      </c>
      <c r="H226" s="17">
        <v>0.7</v>
      </c>
      <c r="I226" s="17">
        <v>0.7</v>
      </c>
      <c r="J226" s="17">
        <v>0.7</v>
      </c>
      <c r="K226" s="17">
        <v>0.7</v>
      </c>
      <c r="L226" s="17">
        <v>0.7</v>
      </c>
      <c r="M226" s="17">
        <v>0.7</v>
      </c>
      <c r="N226" s="17">
        <v>0.7</v>
      </c>
      <c r="O226" s="17">
        <v>0.7</v>
      </c>
      <c r="P226" s="17">
        <v>0.7</v>
      </c>
      <c r="Q226" s="17">
        <v>0.7</v>
      </c>
      <c r="R226" s="17">
        <v>0.7</v>
      </c>
      <c r="S226" s="17">
        <v>0.7</v>
      </c>
      <c r="T226" s="17">
        <v>0.7</v>
      </c>
      <c r="U226" s="17">
        <v>0.7</v>
      </c>
      <c r="V226" s="17">
        <v>0.7</v>
      </c>
      <c r="W226" s="17">
        <v>0.7</v>
      </c>
      <c r="X226" s="17">
        <v>0.7</v>
      </c>
      <c r="Y226" s="17">
        <v>0.7</v>
      </c>
      <c r="Z226" s="17">
        <v>0.7</v>
      </c>
      <c r="AA226" s="17">
        <v>0.7</v>
      </c>
      <c r="AB226" s="17">
        <v>0.7</v>
      </c>
      <c r="AC226" s="17">
        <v>0.7</v>
      </c>
      <c r="AG226" s="5">
        <v>0.4</v>
      </c>
      <c r="AH226" s="5">
        <v>1</v>
      </c>
      <c r="AI226" s="5" t="s">
        <v>357</v>
      </c>
      <c r="AJ226" s="5" t="s">
        <v>1089</v>
      </c>
    </row>
    <row r="227" spans="1:36" x14ac:dyDescent="0.2">
      <c r="A227" t="s">
        <v>428</v>
      </c>
      <c r="C227" t="s">
        <v>429</v>
      </c>
      <c r="D227" s="17">
        <f t="shared" ref="D227:AC227" si="0">1-D226</f>
        <v>0</v>
      </c>
      <c r="E227" s="17">
        <f t="shared" si="0"/>
        <v>0</v>
      </c>
      <c r="F227" s="17">
        <f t="shared" si="0"/>
        <v>0</v>
      </c>
      <c r="G227" s="17">
        <f t="shared" si="0"/>
        <v>0.30000000000000004</v>
      </c>
      <c r="H227" s="17">
        <f t="shared" si="0"/>
        <v>0.30000000000000004</v>
      </c>
      <c r="I227" s="17">
        <f t="shared" si="0"/>
        <v>0.30000000000000004</v>
      </c>
      <c r="J227" s="17">
        <f t="shared" si="0"/>
        <v>0.30000000000000004</v>
      </c>
      <c r="K227" s="17">
        <f t="shared" si="0"/>
        <v>0.30000000000000004</v>
      </c>
      <c r="L227" s="17">
        <f t="shared" si="0"/>
        <v>0.30000000000000004</v>
      </c>
      <c r="M227" s="17">
        <f t="shared" si="0"/>
        <v>0.30000000000000004</v>
      </c>
      <c r="N227" s="17">
        <f t="shared" si="0"/>
        <v>0.30000000000000004</v>
      </c>
      <c r="O227" s="17">
        <f t="shared" si="0"/>
        <v>0.30000000000000004</v>
      </c>
      <c r="P227" s="17">
        <f t="shared" si="0"/>
        <v>0.30000000000000004</v>
      </c>
      <c r="Q227" s="17">
        <f t="shared" si="0"/>
        <v>0.30000000000000004</v>
      </c>
      <c r="R227" s="17">
        <f t="shared" si="0"/>
        <v>0.30000000000000004</v>
      </c>
      <c r="S227" s="17">
        <f t="shared" si="0"/>
        <v>0.30000000000000004</v>
      </c>
      <c r="T227" s="17">
        <f t="shared" si="0"/>
        <v>0.30000000000000004</v>
      </c>
      <c r="U227" s="17">
        <f t="shared" si="0"/>
        <v>0.30000000000000004</v>
      </c>
      <c r="V227" s="17">
        <f t="shared" si="0"/>
        <v>0.30000000000000004</v>
      </c>
      <c r="W227" s="17">
        <f t="shared" si="0"/>
        <v>0.30000000000000004</v>
      </c>
      <c r="X227" s="17">
        <f t="shared" si="0"/>
        <v>0.30000000000000004</v>
      </c>
      <c r="Y227" s="17">
        <f t="shared" si="0"/>
        <v>0.30000000000000004</v>
      </c>
      <c r="Z227" s="17">
        <f t="shared" si="0"/>
        <v>0.30000000000000004</v>
      </c>
      <c r="AA227" s="17">
        <f t="shared" si="0"/>
        <v>0.30000000000000004</v>
      </c>
      <c r="AB227" s="17">
        <f t="shared" si="0"/>
        <v>0.30000000000000004</v>
      </c>
      <c r="AC227" s="17">
        <f t="shared" si="0"/>
        <v>0.30000000000000004</v>
      </c>
      <c r="AG227" s="5"/>
      <c r="AH227" s="5"/>
      <c r="AI227" s="5" t="s">
        <v>91</v>
      </c>
      <c r="AJ227" s="5" t="s">
        <v>1090</v>
      </c>
    </row>
    <row r="228" spans="1:36" x14ac:dyDescent="0.2">
      <c r="A228" s="4" t="s">
        <v>430</v>
      </c>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spans="1:36" x14ac:dyDescent="0.2">
      <c r="A229" s="6" t="s">
        <v>431</v>
      </c>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row>
    <row r="230" spans="1:36" x14ac:dyDescent="0.2">
      <c r="A230" t="s">
        <v>432</v>
      </c>
      <c r="B230">
        <v>0.08</v>
      </c>
      <c r="C230" t="s">
        <v>433</v>
      </c>
      <c r="AG230" s="5">
        <v>0.03</v>
      </c>
      <c r="AH230" s="5">
        <v>0.12</v>
      </c>
      <c r="AI230" s="5" t="s">
        <v>3</v>
      </c>
      <c r="AJ230" s="5"/>
    </row>
    <row r="231" spans="1:36" x14ac:dyDescent="0.2">
      <c r="A231" t="s">
        <v>434</v>
      </c>
      <c r="B231">
        <v>0.03</v>
      </c>
      <c r="C231" t="s">
        <v>435</v>
      </c>
      <c r="AG231" s="5">
        <v>0.02</v>
      </c>
      <c r="AH231" s="5">
        <v>0.05</v>
      </c>
      <c r="AI231" s="5" t="s">
        <v>3</v>
      </c>
      <c r="AJ231" s="5"/>
    </row>
    <row r="232" spans="1:36" x14ac:dyDescent="0.2">
      <c r="A232" t="s">
        <v>436</v>
      </c>
      <c r="B232">
        <v>-0.1</v>
      </c>
      <c r="C232" t="s">
        <v>437</v>
      </c>
      <c r="AG232" s="5">
        <v>-0.2</v>
      </c>
      <c r="AH232" s="5">
        <v>-0.05</v>
      </c>
      <c r="AI232" s="5" t="s">
        <v>3</v>
      </c>
      <c r="AJ232" s="5"/>
    </row>
    <row r="233" spans="1:36" x14ac:dyDescent="0.2">
      <c r="A233" t="s">
        <v>438</v>
      </c>
      <c r="B233">
        <v>0.25</v>
      </c>
      <c r="C233" t="s">
        <v>439</v>
      </c>
      <c r="AG233" s="5">
        <v>0.15</v>
      </c>
      <c r="AH233" s="5">
        <v>0.35</v>
      </c>
      <c r="AI233" s="5" t="s">
        <v>3</v>
      </c>
      <c r="AJ233" s="5"/>
    </row>
    <row r="234" spans="1:36" x14ac:dyDescent="0.2">
      <c r="A234" t="s">
        <v>440</v>
      </c>
      <c r="B234">
        <v>0.04</v>
      </c>
      <c r="C234" t="s">
        <v>441</v>
      </c>
      <c r="AG234" s="5">
        <v>0.02</v>
      </c>
      <c r="AH234" s="5">
        <v>0.08</v>
      </c>
      <c r="AI234" s="5" t="s">
        <v>3</v>
      </c>
      <c r="AJ234" s="5"/>
    </row>
    <row r="235" spans="1:36" x14ac:dyDescent="0.2">
      <c r="A235" t="s">
        <v>442</v>
      </c>
      <c r="B235">
        <v>-0.2</v>
      </c>
      <c r="C235" t="s">
        <v>443</v>
      </c>
      <c r="AG235" s="5">
        <v>-0.3</v>
      </c>
      <c r="AH235" s="5">
        <v>-0.1</v>
      </c>
      <c r="AI235" s="5" t="s">
        <v>3</v>
      </c>
      <c r="AJ235" s="5"/>
    </row>
    <row r="236" spans="1:36" x14ac:dyDescent="0.2">
      <c r="A236" t="s">
        <v>444</v>
      </c>
      <c r="B236">
        <v>0.3</v>
      </c>
      <c r="C236" t="s">
        <v>445</v>
      </c>
      <c r="AG236" s="5">
        <v>0.15</v>
      </c>
      <c r="AH236" s="5">
        <v>0.5</v>
      </c>
      <c r="AI236" s="5" t="s">
        <v>3</v>
      </c>
      <c r="AJ236" s="5"/>
    </row>
    <row r="237" spans="1:36" x14ac:dyDescent="0.2">
      <c r="A237" t="s">
        <v>446</v>
      </c>
      <c r="B237">
        <v>0.08</v>
      </c>
      <c r="C237" t="s">
        <v>447</v>
      </c>
      <c r="AG237" s="5">
        <v>0.05</v>
      </c>
      <c r="AH237" s="5">
        <v>0.15</v>
      </c>
      <c r="AI237" s="5" t="s">
        <v>3</v>
      </c>
      <c r="AJ237" s="5"/>
    </row>
    <row r="238" spans="1:36" x14ac:dyDescent="0.2">
      <c r="A238" t="s">
        <v>448</v>
      </c>
      <c r="B238">
        <v>-0.15</v>
      </c>
      <c r="C238" t="s">
        <v>449</v>
      </c>
      <c r="AG238" s="5">
        <v>-0.25</v>
      </c>
      <c r="AH238" s="5">
        <v>-0.1</v>
      </c>
      <c r="AI238" s="5" t="s">
        <v>3</v>
      </c>
      <c r="AJ238" s="5"/>
    </row>
    <row r="239" spans="1:36" x14ac:dyDescent="0.2">
      <c r="A239" t="s">
        <v>450</v>
      </c>
      <c r="B239">
        <v>0.15</v>
      </c>
      <c r="C239" t="s">
        <v>451</v>
      </c>
      <c r="AG239" s="5">
        <v>0.1</v>
      </c>
      <c r="AH239" s="5">
        <v>0.3</v>
      </c>
      <c r="AI239" s="5" t="s">
        <v>3</v>
      </c>
      <c r="AJ239" s="5"/>
    </row>
    <row r="240" spans="1:36" x14ac:dyDescent="0.2">
      <c r="A240" t="s">
        <v>452</v>
      </c>
      <c r="B240">
        <v>0.05</v>
      </c>
      <c r="C240" t="s">
        <v>453</v>
      </c>
      <c r="AG240" s="5">
        <v>0.03</v>
      </c>
      <c r="AH240" s="5">
        <v>0.1</v>
      </c>
      <c r="AI240" s="5" t="s">
        <v>3</v>
      </c>
      <c r="AJ240" s="5"/>
    </row>
    <row r="241" spans="1:36" x14ac:dyDescent="0.2">
      <c r="A241" t="s">
        <v>454</v>
      </c>
      <c r="B241">
        <v>-0.1</v>
      </c>
      <c r="C241" t="s">
        <v>455</v>
      </c>
      <c r="AG241" s="5">
        <v>-0.2</v>
      </c>
      <c r="AH241" s="5">
        <v>-0.05</v>
      </c>
      <c r="AI241" s="5" t="s">
        <v>3</v>
      </c>
      <c r="AJ241" s="5"/>
    </row>
    <row r="242" spans="1:36" x14ac:dyDescent="0.2">
      <c r="A242" s="6" t="s">
        <v>456</v>
      </c>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row>
    <row r="243" spans="1:36" x14ac:dyDescent="0.2">
      <c r="A243" t="s">
        <v>457</v>
      </c>
      <c r="C243" t="s">
        <v>458</v>
      </c>
      <c r="D243">
        <v>700</v>
      </c>
      <c r="E243">
        <v>833.33299999999997</v>
      </c>
      <c r="F243">
        <v>966.66700000000003</v>
      </c>
      <c r="G243">
        <v>1100</v>
      </c>
      <c r="H243">
        <v>1300</v>
      </c>
      <c r="I243">
        <v>1500</v>
      </c>
      <c r="J243">
        <v>1750</v>
      </c>
      <c r="K243">
        <v>2000</v>
      </c>
      <c r="L243">
        <v>2166.67</v>
      </c>
      <c r="M243">
        <v>2333.33</v>
      </c>
      <c r="N243">
        <v>2500</v>
      </c>
      <c r="O243">
        <v>2300</v>
      </c>
      <c r="P243">
        <v>2100</v>
      </c>
      <c r="Q243">
        <v>1900</v>
      </c>
      <c r="R243">
        <v>1700</v>
      </c>
      <c r="S243">
        <v>1500</v>
      </c>
      <c r="T243">
        <v>1410</v>
      </c>
      <c r="U243">
        <v>1320</v>
      </c>
      <c r="V243">
        <v>1230</v>
      </c>
      <c r="W243">
        <v>1140</v>
      </c>
      <c r="X243">
        <v>1050</v>
      </c>
      <c r="Y243">
        <v>960</v>
      </c>
      <c r="Z243">
        <v>870</v>
      </c>
      <c r="AA243">
        <v>780</v>
      </c>
      <c r="AB243">
        <v>690</v>
      </c>
      <c r="AC243">
        <v>600</v>
      </c>
      <c r="AG243" s="5"/>
      <c r="AH243" s="5"/>
      <c r="AI243" s="5" t="s">
        <v>357</v>
      </c>
      <c r="AJ243" s="5" t="s">
        <v>459</v>
      </c>
    </row>
    <row r="244" spans="1:36" x14ac:dyDescent="0.2">
      <c r="A244" s="6" t="s">
        <v>460</v>
      </c>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row>
    <row r="245" spans="1:36" x14ac:dyDescent="0.2">
      <c r="A245" t="s">
        <v>461</v>
      </c>
      <c r="B245">
        <v>0.04</v>
      </c>
      <c r="C245" t="s">
        <v>462</v>
      </c>
      <c r="AG245" s="5">
        <v>0.02</v>
      </c>
      <c r="AH245" s="5">
        <v>0.06</v>
      </c>
      <c r="AI245" s="5" t="s">
        <v>3</v>
      </c>
      <c r="AJ245" s="5"/>
    </row>
    <row r="246" spans="1:36" x14ac:dyDescent="0.2">
      <c r="A246" s="6" t="s">
        <v>463</v>
      </c>
      <c r="B246">
        <v>0.02</v>
      </c>
      <c r="C246" s="6" t="s">
        <v>464</v>
      </c>
      <c r="AG246" s="5">
        <v>0.01</v>
      </c>
      <c r="AH246" s="5">
        <v>0.04</v>
      </c>
      <c r="AI246" s="5" t="s">
        <v>3</v>
      </c>
      <c r="AJ246" s="5"/>
    </row>
    <row r="247" spans="1:36" x14ac:dyDescent="0.2">
      <c r="A247" t="s">
        <v>465</v>
      </c>
      <c r="B247">
        <v>-0.08</v>
      </c>
      <c r="C247" t="s">
        <v>455</v>
      </c>
      <c r="AG247" s="5">
        <v>-0.15</v>
      </c>
      <c r="AH247" s="5">
        <v>-0.04</v>
      </c>
      <c r="AI247" s="5" t="s">
        <v>3</v>
      </c>
      <c r="AJ247" s="5"/>
    </row>
    <row r="248" spans="1:36" x14ac:dyDescent="0.2">
      <c r="A248" s="6" t="s">
        <v>466</v>
      </c>
      <c r="B248">
        <v>0.05</v>
      </c>
      <c r="C248" s="6" t="s">
        <v>467</v>
      </c>
      <c r="AG248" s="5">
        <v>0.03</v>
      </c>
      <c r="AH248" s="5">
        <v>7.0000000000000007E-2</v>
      </c>
      <c r="AI248" s="5" t="s">
        <v>3</v>
      </c>
      <c r="AJ248" s="5"/>
    </row>
    <row r="249" spans="1:36" x14ac:dyDescent="0.2">
      <c r="A249" t="s">
        <v>468</v>
      </c>
      <c r="B249">
        <v>0.06</v>
      </c>
      <c r="C249" t="s">
        <v>469</v>
      </c>
      <c r="AG249" s="5">
        <v>0.04</v>
      </c>
      <c r="AH249" s="5">
        <v>0.08</v>
      </c>
      <c r="AI249" s="5" t="s">
        <v>3</v>
      </c>
      <c r="AJ249" s="5"/>
    </row>
    <row r="250" spans="1:36" x14ac:dyDescent="0.2">
      <c r="A250" s="6" t="s">
        <v>470</v>
      </c>
      <c r="B250">
        <v>0.01</v>
      </c>
      <c r="C250" s="6" t="s">
        <v>471</v>
      </c>
      <c r="AG250" s="5">
        <v>0</v>
      </c>
      <c r="AH250" s="5">
        <v>0.03</v>
      </c>
      <c r="AI250" s="5" t="s">
        <v>3</v>
      </c>
      <c r="AJ250" s="5"/>
    </row>
    <row r="251" spans="1:36" x14ac:dyDescent="0.2">
      <c r="A251" t="s">
        <v>472</v>
      </c>
      <c r="B251">
        <v>0.02</v>
      </c>
      <c r="C251" t="s">
        <v>473</v>
      </c>
      <c r="AG251" s="5">
        <v>0.01</v>
      </c>
      <c r="AH251" s="5">
        <v>0.04</v>
      </c>
      <c r="AI251" s="5" t="s">
        <v>3</v>
      </c>
      <c r="AJ251" s="5"/>
    </row>
    <row r="252" spans="1:36" x14ac:dyDescent="0.2">
      <c r="A252" s="6" t="s">
        <v>474</v>
      </c>
      <c r="B252">
        <v>0.01</v>
      </c>
      <c r="C252" s="6" t="s">
        <v>475</v>
      </c>
      <c r="AG252" s="5">
        <v>5.0000000000000001E-3</v>
      </c>
      <c r="AH252" s="5">
        <v>2.5000000000000001E-2</v>
      </c>
      <c r="AI252" s="5" t="s">
        <v>3</v>
      </c>
      <c r="AJ252" s="5"/>
    </row>
    <row r="253" spans="1:36" x14ac:dyDescent="0.2">
      <c r="A253" s="4" t="s">
        <v>476</v>
      </c>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spans="1:36" x14ac:dyDescent="0.2">
      <c r="A254" s="6" t="s">
        <v>477</v>
      </c>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row>
    <row r="255" spans="1:36" x14ac:dyDescent="0.2">
      <c r="A255" s="6" t="s">
        <v>478</v>
      </c>
      <c r="B255">
        <v>50</v>
      </c>
      <c r="C255" s="6" t="s">
        <v>479</v>
      </c>
      <c r="AG255" s="5">
        <v>20</v>
      </c>
      <c r="AH255" s="5">
        <v>150</v>
      </c>
      <c r="AI255" s="5" t="s">
        <v>3</v>
      </c>
      <c r="AJ255" s="5"/>
    </row>
    <row r="256" spans="1:36" x14ac:dyDescent="0.2">
      <c r="A256" s="6" t="s">
        <v>480</v>
      </c>
      <c r="B256">
        <v>30</v>
      </c>
      <c r="C256" s="6" t="s">
        <v>481</v>
      </c>
      <c r="AG256" s="5">
        <v>10</v>
      </c>
      <c r="AH256" s="5">
        <v>80</v>
      </c>
      <c r="AI256" s="5" t="s">
        <v>3</v>
      </c>
      <c r="AJ256" s="5"/>
    </row>
    <row r="257" spans="1:36" x14ac:dyDescent="0.2">
      <c r="A257" s="6" t="s">
        <v>482</v>
      </c>
      <c r="B257">
        <v>20</v>
      </c>
      <c r="C257" s="6" t="s">
        <v>481</v>
      </c>
      <c r="AG257" s="5">
        <v>5</v>
      </c>
      <c r="AH257" s="5">
        <v>60</v>
      </c>
      <c r="AI257" s="5" t="s">
        <v>3</v>
      </c>
      <c r="AJ257" s="5"/>
    </row>
    <row r="258" spans="1:36" x14ac:dyDescent="0.2">
      <c r="A258" s="6" t="s">
        <v>483</v>
      </c>
      <c r="B258">
        <v>10</v>
      </c>
      <c r="C258" s="6" t="s">
        <v>481</v>
      </c>
      <c r="AG258" s="5">
        <v>5</v>
      </c>
      <c r="AH258" s="5">
        <v>30</v>
      </c>
      <c r="AI258" s="5" t="s">
        <v>3</v>
      </c>
      <c r="AJ258" s="5"/>
    </row>
    <row r="259" spans="1:36" x14ac:dyDescent="0.2">
      <c r="A259" s="6" t="s">
        <v>484</v>
      </c>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row>
    <row r="260" spans="1:36" x14ac:dyDescent="0.2">
      <c r="A260" s="6" t="s">
        <v>485</v>
      </c>
      <c r="B260">
        <v>30</v>
      </c>
      <c r="C260" s="6" t="s">
        <v>486</v>
      </c>
      <c r="AG260" s="5">
        <v>25</v>
      </c>
      <c r="AH260" s="5">
        <v>40</v>
      </c>
      <c r="AI260" s="5" t="s">
        <v>3</v>
      </c>
      <c r="AJ260" s="5"/>
    </row>
    <row r="261" spans="1:36" x14ac:dyDescent="0.2">
      <c r="A261" s="6" t="s">
        <v>487</v>
      </c>
      <c r="B261">
        <v>7</v>
      </c>
      <c r="C261" s="6" t="s">
        <v>488</v>
      </c>
      <c r="AG261" s="5">
        <v>5</v>
      </c>
      <c r="AH261" s="5">
        <v>10</v>
      </c>
      <c r="AI261" s="5" t="s">
        <v>3</v>
      </c>
      <c r="AJ261" s="5"/>
    </row>
    <row r="262" spans="1:36" x14ac:dyDescent="0.2">
      <c r="A262" s="6" t="s">
        <v>489</v>
      </c>
      <c r="B262">
        <v>20</v>
      </c>
      <c r="C262" s="6" t="s">
        <v>490</v>
      </c>
      <c r="AG262" s="5">
        <v>15</v>
      </c>
      <c r="AH262" s="5">
        <v>30</v>
      </c>
      <c r="AI262" s="5" t="s">
        <v>3</v>
      </c>
      <c r="AJ262" s="5"/>
    </row>
    <row r="263" spans="1:36" x14ac:dyDescent="0.2">
      <c r="A263" s="6" t="s">
        <v>491</v>
      </c>
      <c r="B263">
        <v>20</v>
      </c>
      <c r="C263" s="6" t="s">
        <v>492</v>
      </c>
      <c r="AG263" s="5">
        <v>15</v>
      </c>
      <c r="AH263" s="5">
        <v>30</v>
      </c>
      <c r="AI263" s="5" t="s">
        <v>3</v>
      </c>
      <c r="AJ263" s="5"/>
    </row>
    <row r="264" spans="1:36" x14ac:dyDescent="0.2">
      <c r="A264" s="6" t="s">
        <v>493</v>
      </c>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row>
    <row r="265" spans="1:36" x14ac:dyDescent="0.2">
      <c r="A265" s="6" t="s">
        <v>494</v>
      </c>
      <c r="B265">
        <v>2000</v>
      </c>
      <c r="C265" s="6" t="s">
        <v>495</v>
      </c>
      <c r="AG265" s="5">
        <v>1000</v>
      </c>
      <c r="AH265" s="5">
        <v>3000</v>
      </c>
      <c r="AI265" s="5" t="s">
        <v>3</v>
      </c>
      <c r="AJ265" s="5"/>
    </row>
    <row r="266" spans="1:36" x14ac:dyDescent="0.2">
      <c r="A266" s="6" t="s">
        <v>496</v>
      </c>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row>
    <row r="267" spans="1:36" x14ac:dyDescent="0.2">
      <c r="A267" s="6" t="s">
        <v>497</v>
      </c>
      <c r="C267" s="6" t="s">
        <v>498</v>
      </c>
      <c r="D267">
        <v>5000</v>
      </c>
      <c r="E267">
        <v>8000</v>
      </c>
      <c r="F267">
        <v>5000</v>
      </c>
      <c r="G267">
        <v>2000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G267" s="5"/>
      <c r="AH267" s="5"/>
      <c r="AI267" s="5" t="s">
        <v>357</v>
      </c>
      <c r="AJ267" s="5" t="s">
        <v>499</v>
      </c>
    </row>
    <row r="268" spans="1:36" x14ac:dyDescent="0.2">
      <c r="A268" s="6" t="s">
        <v>500</v>
      </c>
      <c r="B268">
        <v>15</v>
      </c>
      <c r="C268" s="6" t="s">
        <v>501</v>
      </c>
      <c r="AG268" s="5">
        <v>10</v>
      </c>
      <c r="AH268" s="5">
        <v>25</v>
      </c>
      <c r="AI268" s="5" t="s">
        <v>3</v>
      </c>
      <c r="AJ268" s="5"/>
    </row>
    <row r="269" spans="1:36" x14ac:dyDescent="0.2">
      <c r="A269" s="7" t="s">
        <v>502</v>
      </c>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spans="1:36" x14ac:dyDescent="0.2">
      <c r="A270" s="6" t="s">
        <v>503</v>
      </c>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row>
    <row r="271" spans="1:36" x14ac:dyDescent="0.2">
      <c r="A271" s="6" t="s">
        <v>504</v>
      </c>
      <c r="B271">
        <v>0.1</v>
      </c>
      <c r="C271" t="s">
        <v>505</v>
      </c>
      <c r="AG271" s="5">
        <v>0.08</v>
      </c>
      <c r="AH271" s="5">
        <v>0.14000000000000001</v>
      </c>
      <c r="AI271" s="5" t="s">
        <v>3</v>
      </c>
      <c r="AJ271" s="5"/>
    </row>
    <row r="272" spans="1:36" x14ac:dyDescent="0.2">
      <c r="A272" s="6" t="s">
        <v>506</v>
      </c>
      <c r="B272">
        <v>0</v>
      </c>
      <c r="C272" s="6" t="s">
        <v>507</v>
      </c>
      <c r="AG272" s="5">
        <v>0</v>
      </c>
      <c r="AH272" s="5">
        <v>0.02</v>
      </c>
      <c r="AI272" s="5" t="s">
        <v>3</v>
      </c>
      <c r="AJ272" s="5"/>
    </row>
    <row r="273" spans="1:36" x14ac:dyDescent="0.2">
      <c r="A273" s="6" t="s">
        <v>508</v>
      </c>
      <c r="B273">
        <v>0.01</v>
      </c>
      <c r="C273" s="6" t="s">
        <v>509</v>
      </c>
      <c r="AG273" s="5">
        <v>0</v>
      </c>
      <c r="AH273" s="5">
        <v>0.03</v>
      </c>
      <c r="AI273" s="5" t="s">
        <v>3</v>
      </c>
      <c r="AJ273" s="5"/>
    </row>
    <row r="274" spans="1:36" x14ac:dyDescent="0.2">
      <c r="A274" s="6" t="s">
        <v>510</v>
      </c>
      <c r="B274">
        <v>0.02</v>
      </c>
      <c r="C274" s="6" t="s">
        <v>511</v>
      </c>
      <c r="AG274" s="5">
        <v>0.01</v>
      </c>
      <c r="AH274" s="5">
        <v>0.04</v>
      </c>
      <c r="AI274" s="5" t="s">
        <v>3</v>
      </c>
      <c r="AJ274" s="5"/>
    </row>
    <row r="275" spans="1:36" x14ac:dyDescent="0.2">
      <c r="A275" s="6" t="s">
        <v>512</v>
      </c>
      <c r="B275">
        <v>0.03</v>
      </c>
      <c r="C275" s="6" t="s">
        <v>513</v>
      </c>
      <c r="AG275" s="5">
        <v>0.02</v>
      </c>
      <c r="AH275" s="5">
        <v>0.05</v>
      </c>
      <c r="AI275" s="5" t="s">
        <v>3</v>
      </c>
      <c r="AJ275" s="5"/>
    </row>
    <row r="276" spans="1:36" x14ac:dyDescent="0.2">
      <c r="A276" s="6" t="s">
        <v>514</v>
      </c>
      <c r="B276">
        <v>0.05</v>
      </c>
      <c r="C276" s="6" t="s">
        <v>515</v>
      </c>
      <c r="AG276" s="5">
        <v>0.02</v>
      </c>
      <c r="AH276" s="5">
        <v>0.08</v>
      </c>
      <c r="AI276" s="5" t="s">
        <v>3</v>
      </c>
      <c r="AJ276" s="5"/>
    </row>
    <row r="277" spans="1:36" x14ac:dyDescent="0.2">
      <c r="A277" s="6" t="s">
        <v>516</v>
      </c>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spans="1:36" x14ac:dyDescent="0.2">
      <c r="A278" s="6" t="s">
        <v>517</v>
      </c>
      <c r="B278">
        <v>0.115</v>
      </c>
      <c r="C278" s="6" t="s">
        <v>518</v>
      </c>
      <c r="AI278" t="s">
        <v>32</v>
      </c>
      <c r="AJ278" t="s">
        <v>519</v>
      </c>
    </row>
    <row r="279" spans="1:36" x14ac:dyDescent="0.2">
      <c r="A279" s="6" t="s">
        <v>520</v>
      </c>
      <c r="B279">
        <v>0.09</v>
      </c>
      <c r="C279" s="6" t="s">
        <v>521</v>
      </c>
      <c r="AI279" t="s">
        <v>32</v>
      </c>
      <c r="AJ279" t="s">
        <v>519</v>
      </c>
    </row>
    <row r="280" spans="1:36" x14ac:dyDescent="0.2">
      <c r="A280" s="6" t="s">
        <v>522</v>
      </c>
      <c r="B280">
        <v>0.7</v>
      </c>
      <c r="C280" s="6" t="s">
        <v>523</v>
      </c>
      <c r="AI280" t="s">
        <v>32</v>
      </c>
      <c r="AJ280" t="s">
        <v>519</v>
      </c>
    </row>
    <row r="281" spans="1:36" x14ac:dyDescent="0.2">
      <c r="A281" s="6" t="s">
        <v>524</v>
      </c>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row>
    <row r="282" spans="1:36" x14ac:dyDescent="0.2">
      <c r="A282" s="6" t="s">
        <v>525</v>
      </c>
      <c r="B282">
        <v>2.5000000000000001E-2</v>
      </c>
      <c r="C282" s="6" t="s">
        <v>526</v>
      </c>
      <c r="AG282" s="5">
        <v>1.4999999999999999E-2</v>
      </c>
      <c r="AH282" s="5">
        <v>3.5000000000000003E-2</v>
      </c>
      <c r="AI282" s="5" t="s">
        <v>3</v>
      </c>
      <c r="AJ282" s="5"/>
    </row>
    <row r="283" spans="1:36" x14ac:dyDescent="0.2">
      <c r="A283" s="6" t="s">
        <v>527</v>
      </c>
      <c r="B283">
        <v>8</v>
      </c>
      <c r="C283" s="6" t="s">
        <v>528</v>
      </c>
      <c r="AG283" s="5">
        <v>5</v>
      </c>
      <c r="AH283" s="5">
        <v>12</v>
      </c>
      <c r="AI283" s="5" t="s">
        <v>3</v>
      </c>
      <c r="AJ283" s="5"/>
    </row>
    <row r="284" spans="1:36" x14ac:dyDescent="0.2">
      <c r="A284" s="6" t="s">
        <v>529</v>
      </c>
      <c r="B284">
        <v>1.5</v>
      </c>
      <c r="C284" s="6" t="s">
        <v>530</v>
      </c>
      <c r="AG284" s="5">
        <v>0.5</v>
      </c>
      <c r="AH284" s="5">
        <v>3</v>
      </c>
      <c r="AI284" s="5" t="s">
        <v>3</v>
      </c>
      <c r="AJ284" s="5"/>
    </row>
    <row r="285" spans="1:36" x14ac:dyDescent="0.2">
      <c r="A285" s="6" t="s">
        <v>531</v>
      </c>
      <c r="B285">
        <v>8</v>
      </c>
      <c r="C285" s="6" t="s">
        <v>532</v>
      </c>
      <c r="AG285" s="5">
        <v>5</v>
      </c>
      <c r="AH285" s="5">
        <v>12</v>
      </c>
      <c r="AI285" s="5" t="s">
        <v>3</v>
      </c>
      <c r="AJ285" s="5"/>
    </row>
    <row r="286" spans="1:36" x14ac:dyDescent="0.2">
      <c r="A286" s="6" t="s">
        <v>533</v>
      </c>
      <c r="B286">
        <v>5</v>
      </c>
      <c r="C286" s="6" t="s">
        <v>534</v>
      </c>
      <c r="AI286" t="s">
        <v>32</v>
      </c>
      <c r="AJ286" t="s">
        <v>535</v>
      </c>
    </row>
    <row r="287" spans="1:36" x14ac:dyDescent="0.2">
      <c r="A287" s="6" t="s">
        <v>536</v>
      </c>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row>
    <row r="288" spans="1:36" x14ac:dyDescent="0.2">
      <c r="A288" s="6" t="s">
        <v>537</v>
      </c>
      <c r="B288">
        <v>350</v>
      </c>
      <c r="C288" s="6" t="s">
        <v>538</v>
      </c>
      <c r="AG288" s="5">
        <v>200</v>
      </c>
      <c r="AH288" s="5">
        <v>500</v>
      </c>
      <c r="AI288" s="5" t="s">
        <v>3</v>
      </c>
      <c r="AJ288" s="5"/>
    </row>
    <row r="289" spans="1:36" x14ac:dyDescent="0.2">
      <c r="A289" s="6" t="s">
        <v>539</v>
      </c>
      <c r="B289">
        <v>2500</v>
      </c>
      <c r="C289" s="6" t="s">
        <v>540</v>
      </c>
      <c r="AI289" t="s">
        <v>32</v>
      </c>
      <c r="AJ289" t="s">
        <v>541</v>
      </c>
    </row>
    <row r="290" spans="1:36" x14ac:dyDescent="0.2">
      <c r="A290" s="6" t="s">
        <v>542</v>
      </c>
      <c r="B290">
        <v>150</v>
      </c>
      <c r="C290" s="6" t="s">
        <v>543</v>
      </c>
      <c r="AG290" s="5">
        <v>100</v>
      </c>
      <c r="AH290" s="5">
        <v>250</v>
      </c>
      <c r="AI290" s="5" t="s">
        <v>3</v>
      </c>
      <c r="AJ290" s="5"/>
    </row>
    <row r="291" spans="1:36" x14ac:dyDescent="0.2">
      <c r="A291" s="6" t="s">
        <v>544</v>
      </c>
      <c r="B291">
        <v>50</v>
      </c>
      <c r="C291" s="6" t="s">
        <v>545</v>
      </c>
      <c r="AG291" s="5">
        <v>20</v>
      </c>
      <c r="AH291" s="5">
        <v>100</v>
      </c>
      <c r="AI291" s="5" t="s">
        <v>3</v>
      </c>
      <c r="AJ291" s="5"/>
    </row>
    <row r="292" spans="1:36" x14ac:dyDescent="0.2">
      <c r="A292" s="6" t="s">
        <v>546</v>
      </c>
      <c r="B292">
        <v>40</v>
      </c>
      <c r="C292" s="6" t="s">
        <v>547</v>
      </c>
      <c r="AG292" s="5">
        <v>20</v>
      </c>
      <c r="AH292" s="5">
        <v>80</v>
      </c>
      <c r="AI292" s="5" t="s">
        <v>3</v>
      </c>
      <c r="AJ292" s="5"/>
    </row>
    <row r="293" spans="1:36" x14ac:dyDescent="0.2">
      <c r="A293" s="6" t="s">
        <v>548</v>
      </c>
      <c r="B293">
        <v>0</v>
      </c>
      <c r="C293" s="6" t="s">
        <v>549</v>
      </c>
      <c r="AI293" t="s">
        <v>32</v>
      </c>
      <c r="AJ293" t="s">
        <v>550</v>
      </c>
    </row>
    <row r="294" spans="1:36" x14ac:dyDescent="0.2">
      <c r="A294" s="6" t="s">
        <v>551</v>
      </c>
      <c r="B294">
        <v>50</v>
      </c>
      <c r="C294" s="6" t="s">
        <v>552</v>
      </c>
      <c r="AG294" s="5">
        <v>10</v>
      </c>
      <c r="AH294" s="5">
        <v>200</v>
      </c>
      <c r="AI294" s="5" t="s">
        <v>3</v>
      </c>
      <c r="AJ294" s="5" t="s">
        <v>553</v>
      </c>
    </row>
    <row r="295" spans="1:36" x14ac:dyDescent="0.2">
      <c r="A295" s="6" t="s">
        <v>554</v>
      </c>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row>
    <row r="296" spans="1:36" x14ac:dyDescent="0.2">
      <c r="A296" s="6" t="s">
        <v>555</v>
      </c>
      <c r="B296">
        <v>5</v>
      </c>
      <c r="C296" s="6" t="s">
        <v>556</v>
      </c>
      <c r="AG296" s="5">
        <v>3</v>
      </c>
      <c r="AH296" s="5">
        <v>8</v>
      </c>
      <c r="AI296" s="5" t="s">
        <v>3</v>
      </c>
      <c r="AJ296" s="5"/>
    </row>
    <row r="297" spans="1:36" x14ac:dyDescent="0.2">
      <c r="A297" s="6" t="s">
        <v>557</v>
      </c>
      <c r="B297">
        <v>10</v>
      </c>
      <c r="C297" s="6" t="s">
        <v>558</v>
      </c>
      <c r="AG297" s="5">
        <v>6</v>
      </c>
      <c r="AH297" s="5">
        <v>14</v>
      </c>
      <c r="AI297" s="5" t="s">
        <v>3</v>
      </c>
      <c r="AJ297" s="5"/>
    </row>
    <row r="298" spans="1:36" x14ac:dyDescent="0.2">
      <c r="A298" s="6" t="s">
        <v>559</v>
      </c>
      <c r="B298">
        <v>6</v>
      </c>
      <c r="C298" s="6" t="s">
        <v>560</v>
      </c>
      <c r="AG298" s="5">
        <v>3</v>
      </c>
      <c r="AH298" s="5">
        <v>10</v>
      </c>
      <c r="AI298" s="5" t="s">
        <v>3</v>
      </c>
      <c r="AJ298" s="5"/>
    </row>
    <row r="299" spans="1:36" x14ac:dyDescent="0.2">
      <c r="A299" s="6" t="s">
        <v>561</v>
      </c>
      <c r="B299">
        <v>5</v>
      </c>
      <c r="C299" s="6" t="s">
        <v>562</v>
      </c>
      <c r="AG299" s="5">
        <v>3</v>
      </c>
      <c r="AH299" s="5">
        <v>10</v>
      </c>
      <c r="AI299" s="5" t="s">
        <v>3</v>
      </c>
      <c r="AJ299" s="5"/>
    </row>
    <row r="300" spans="1:36" x14ac:dyDescent="0.2">
      <c r="A300" s="6" t="s">
        <v>563</v>
      </c>
      <c r="B300">
        <v>50</v>
      </c>
      <c r="C300" s="6" t="s">
        <v>564</v>
      </c>
      <c r="AI300" t="s">
        <v>32</v>
      </c>
      <c r="AJ300" t="s">
        <v>565</v>
      </c>
    </row>
    <row r="301" spans="1:36" x14ac:dyDescent="0.2">
      <c r="A301" t="s">
        <v>689</v>
      </c>
      <c r="B301">
        <v>0.01</v>
      </c>
      <c r="C301" t="s">
        <v>704</v>
      </c>
      <c r="AG301">
        <v>5.0000000000000001E-3</v>
      </c>
      <c r="AH301">
        <v>0.02</v>
      </c>
      <c r="AI301" t="s">
        <v>3</v>
      </c>
      <c r="AJ301" t="s">
        <v>719</v>
      </c>
    </row>
    <row r="302" spans="1:36" x14ac:dyDescent="0.2">
      <c r="A302" t="s">
        <v>690</v>
      </c>
      <c r="B302">
        <v>90</v>
      </c>
      <c r="C302" t="s">
        <v>705</v>
      </c>
      <c r="AG302">
        <v>70</v>
      </c>
      <c r="AH302">
        <v>130</v>
      </c>
      <c r="AI302" t="s">
        <v>3</v>
      </c>
      <c r="AJ302" t="s">
        <v>720</v>
      </c>
    </row>
    <row r="303" spans="1:36" x14ac:dyDescent="0.2">
      <c r="A303" t="s">
        <v>691</v>
      </c>
      <c r="B303">
        <v>0.15</v>
      </c>
      <c r="C303" t="s">
        <v>706</v>
      </c>
      <c r="AG303">
        <v>0.1</v>
      </c>
      <c r="AH303">
        <v>0.25</v>
      </c>
      <c r="AI303" t="s">
        <v>3</v>
      </c>
    </row>
    <row r="304" spans="1:36" x14ac:dyDescent="0.2">
      <c r="A304" t="s">
        <v>692</v>
      </c>
      <c r="B304">
        <v>4</v>
      </c>
      <c r="C304" t="s">
        <v>707</v>
      </c>
      <c r="AG304">
        <v>2</v>
      </c>
      <c r="AH304">
        <v>10</v>
      </c>
      <c r="AI304" t="s">
        <v>3</v>
      </c>
      <c r="AJ304" t="s">
        <v>721</v>
      </c>
    </row>
    <row r="305" spans="1:36" x14ac:dyDescent="0.2">
      <c r="A305" t="s">
        <v>693</v>
      </c>
      <c r="B305">
        <v>12</v>
      </c>
      <c r="C305" t="s">
        <v>708</v>
      </c>
      <c r="AG305">
        <v>8</v>
      </c>
      <c r="AH305">
        <v>20</v>
      </c>
      <c r="AI305" t="s">
        <v>3</v>
      </c>
    </row>
    <row r="306" spans="1:36" x14ac:dyDescent="0.2">
      <c r="A306" t="s">
        <v>694</v>
      </c>
      <c r="B306">
        <v>0.1</v>
      </c>
      <c r="C306" t="s">
        <v>709</v>
      </c>
      <c r="AG306">
        <v>0.05</v>
      </c>
      <c r="AH306">
        <v>0.15</v>
      </c>
      <c r="AI306" t="s">
        <v>3</v>
      </c>
    </row>
    <row r="307" spans="1:36" x14ac:dyDescent="0.2">
      <c r="A307" t="s">
        <v>695</v>
      </c>
      <c r="B307">
        <v>0.6</v>
      </c>
      <c r="C307" t="s">
        <v>710</v>
      </c>
      <c r="AG307">
        <v>0.5</v>
      </c>
      <c r="AH307">
        <v>0.7</v>
      </c>
      <c r="AI307" t="s">
        <v>3</v>
      </c>
      <c r="AJ307" t="s">
        <v>722</v>
      </c>
    </row>
    <row r="308" spans="1:36" x14ac:dyDescent="0.2">
      <c r="A308" t="s">
        <v>696</v>
      </c>
      <c r="B308">
        <v>100000</v>
      </c>
      <c r="C308" t="s">
        <v>711</v>
      </c>
      <c r="AG308">
        <v>75000</v>
      </c>
      <c r="AH308">
        <v>130000</v>
      </c>
      <c r="AI308" t="s">
        <v>3</v>
      </c>
    </row>
    <row r="309" spans="1:36" x14ac:dyDescent="0.2">
      <c r="A309" t="s">
        <v>697</v>
      </c>
      <c r="B309">
        <v>200000</v>
      </c>
      <c r="C309" t="s">
        <v>712</v>
      </c>
      <c r="AG309">
        <v>150000</v>
      </c>
      <c r="AH309">
        <v>250000</v>
      </c>
      <c r="AI309" t="s">
        <v>3</v>
      </c>
    </row>
    <row r="310" spans="1:36" x14ac:dyDescent="0.2">
      <c r="A310" t="s">
        <v>698</v>
      </c>
      <c r="B310">
        <v>250000</v>
      </c>
      <c r="C310" t="s">
        <v>713</v>
      </c>
      <c r="AG310">
        <v>200000</v>
      </c>
      <c r="AH310">
        <v>300000</v>
      </c>
      <c r="AI310" t="s">
        <v>3</v>
      </c>
    </row>
    <row r="311" spans="1:36" x14ac:dyDescent="0.2">
      <c r="A311" t="s">
        <v>699</v>
      </c>
      <c r="B311">
        <v>50000</v>
      </c>
      <c r="C311" t="s">
        <v>714</v>
      </c>
      <c r="AG311">
        <v>30000</v>
      </c>
      <c r="AH311">
        <v>80000</v>
      </c>
      <c r="AI311" t="s">
        <v>3</v>
      </c>
    </row>
    <row r="312" spans="1:36" x14ac:dyDescent="0.2">
      <c r="A312" t="s">
        <v>700</v>
      </c>
      <c r="B312">
        <v>38.58</v>
      </c>
      <c r="C312" t="s">
        <v>715</v>
      </c>
      <c r="AG312">
        <v>30</v>
      </c>
      <c r="AH312">
        <v>50</v>
      </c>
      <c r="AI312" t="s">
        <v>3</v>
      </c>
    </row>
    <row r="313" spans="1:36" x14ac:dyDescent="0.2">
      <c r="A313" t="s">
        <v>701</v>
      </c>
      <c r="B313">
        <v>0.05</v>
      </c>
      <c r="C313" t="s">
        <v>716</v>
      </c>
      <c r="AG313">
        <v>-0.02</v>
      </c>
      <c r="AH313">
        <v>0.12</v>
      </c>
      <c r="AI313" t="s">
        <v>3</v>
      </c>
    </row>
    <row r="314" spans="1:36" x14ac:dyDescent="0.2">
      <c r="A314" t="s">
        <v>702</v>
      </c>
      <c r="B314">
        <v>4</v>
      </c>
      <c r="C314" t="s">
        <v>717</v>
      </c>
      <c r="AG314">
        <v>2</v>
      </c>
      <c r="AH314">
        <v>6</v>
      </c>
      <c r="AI314" t="s">
        <v>3</v>
      </c>
      <c r="AJ314" t="s">
        <v>723</v>
      </c>
    </row>
    <row r="315" spans="1:36" x14ac:dyDescent="0.2">
      <c r="A315" t="s">
        <v>703</v>
      </c>
      <c r="B315">
        <v>1.5</v>
      </c>
      <c r="C315" t="s">
        <v>718</v>
      </c>
      <c r="AG315">
        <v>1.2</v>
      </c>
      <c r="AH315">
        <v>2.5</v>
      </c>
      <c r="AI315" t="s">
        <v>3</v>
      </c>
    </row>
    <row r="318" spans="1:36" x14ac:dyDescent="0.2">
      <c r="A318" t="s">
        <v>797</v>
      </c>
      <c r="B318">
        <v>2026</v>
      </c>
      <c r="C318" t="s">
        <v>798</v>
      </c>
      <c r="AG318">
        <v>2026</v>
      </c>
      <c r="AH318">
        <v>2027</v>
      </c>
      <c r="AI318" t="s">
        <v>21</v>
      </c>
      <c r="AJ318" t="s">
        <v>799</v>
      </c>
    </row>
    <row r="319" spans="1:36" x14ac:dyDescent="0.2">
      <c r="A319" t="s">
        <v>800</v>
      </c>
      <c r="B319">
        <v>2028</v>
      </c>
      <c r="C319" t="s">
        <v>801</v>
      </c>
      <c r="AG319">
        <v>2027</v>
      </c>
      <c r="AH319">
        <v>2028</v>
      </c>
      <c r="AI319" t="s">
        <v>21</v>
      </c>
      <c r="AJ319" t="s">
        <v>802</v>
      </c>
    </row>
    <row r="320" spans="1:36" x14ac:dyDescent="0.2">
      <c r="A320" t="s">
        <v>1699</v>
      </c>
      <c r="C320" t="s">
        <v>803</v>
      </c>
      <c r="AI320" t="s">
        <v>32</v>
      </c>
      <c r="AJ320" t="s">
        <v>804</v>
      </c>
    </row>
    <row r="321" spans="1:36" x14ac:dyDescent="0.2">
      <c r="A321" t="s">
        <v>805</v>
      </c>
      <c r="B321">
        <v>0.04</v>
      </c>
      <c r="C321" t="s">
        <v>806</v>
      </c>
      <c r="AG321">
        <v>0.02</v>
      </c>
      <c r="AH321">
        <v>0.08</v>
      </c>
      <c r="AI321" t="s">
        <v>3</v>
      </c>
      <c r="AJ321" t="s">
        <v>807</v>
      </c>
    </row>
    <row r="322" spans="1:36" x14ac:dyDescent="0.2">
      <c r="A322" t="s">
        <v>808</v>
      </c>
      <c r="B322">
        <v>0.01</v>
      </c>
      <c r="C322" t="s">
        <v>809</v>
      </c>
      <c r="AG322">
        <v>5.0000000000000001E-3</v>
      </c>
      <c r="AH322">
        <v>2.5000000000000001E-2</v>
      </c>
      <c r="AI322" t="s">
        <v>3</v>
      </c>
      <c r="AJ322" t="s">
        <v>810</v>
      </c>
    </row>
    <row r="323" spans="1:36" x14ac:dyDescent="0.2">
      <c r="A323" t="s">
        <v>811</v>
      </c>
      <c r="B323">
        <v>0.02</v>
      </c>
      <c r="C323" t="s">
        <v>812</v>
      </c>
      <c r="AG323">
        <v>0.01</v>
      </c>
      <c r="AH323">
        <v>0.05</v>
      </c>
      <c r="AI323" t="s">
        <v>3</v>
      </c>
      <c r="AJ323" t="s">
        <v>813</v>
      </c>
    </row>
    <row r="324" spans="1:36" x14ac:dyDescent="0.2">
      <c r="A324" t="s">
        <v>814</v>
      </c>
      <c r="C324" t="s">
        <v>815</v>
      </c>
      <c r="D324">
        <v>0</v>
      </c>
      <c r="E324">
        <v>200</v>
      </c>
      <c r="F324">
        <v>1000</v>
      </c>
      <c r="G324">
        <v>2000</v>
      </c>
      <c r="H324">
        <v>3000</v>
      </c>
      <c r="I324">
        <v>3500</v>
      </c>
      <c r="J324">
        <v>4000</v>
      </c>
      <c r="K324">
        <v>4500</v>
      </c>
      <c r="L324">
        <v>4500</v>
      </c>
      <c r="M324">
        <v>4500</v>
      </c>
      <c r="N324">
        <v>4500</v>
      </c>
      <c r="O324">
        <v>4500</v>
      </c>
      <c r="P324">
        <v>4500</v>
      </c>
      <c r="Q324">
        <v>4500</v>
      </c>
      <c r="R324">
        <v>4500</v>
      </c>
      <c r="S324">
        <v>4500</v>
      </c>
      <c r="T324">
        <v>4500</v>
      </c>
      <c r="U324">
        <v>4500</v>
      </c>
      <c r="V324">
        <v>4500</v>
      </c>
      <c r="W324">
        <v>4500</v>
      </c>
      <c r="X324">
        <v>4500</v>
      </c>
      <c r="Y324">
        <v>4500</v>
      </c>
      <c r="Z324">
        <v>4500</v>
      </c>
      <c r="AA324">
        <v>4500</v>
      </c>
      <c r="AB324">
        <v>4500</v>
      </c>
      <c r="AC324">
        <v>4500</v>
      </c>
      <c r="AG324">
        <v>0.5</v>
      </c>
      <c r="AH324">
        <v>2</v>
      </c>
      <c r="AI324" t="s">
        <v>357</v>
      </c>
      <c r="AJ324" t="s">
        <v>816</v>
      </c>
    </row>
    <row r="325" spans="1:36" x14ac:dyDescent="0.2">
      <c r="A325" t="s">
        <v>817</v>
      </c>
      <c r="C325" t="s">
        <v>818</v>
      </c>
      <c r="D325">
        <v>0</v>
      </c>
      <c r="E325">
        <v>0</v>
      </c>
      <c r="F325">
        <v>50</v>
      </c>
      <c r="G325">
        <v>100</v>
      </c>
      <c r="H325">
        <v>200</v>
      </c>
      <c r="I325">
        <v>300</v>
      </c>
      <c r="J325">
        <v>400</v>
      </c>
      <c r="K325">
        <v>500</v>
      </c>
      <c r="L325">
        <v>500</v>
      </c>
      <c r="M325">
        <v>500</v>
      </c>
      <c r="N325">
        <v>500</v>
      </c>
      <c r="O325">
        <v>500</v>
      </c>
      <c r="P325">
        <v>500</v>
      </c>
      <c r="Q325">
        <v>500</v>
      </c>
      <c r="R325">
        <v>500</v>
      </c>
      <c r="S325">
        <v>500</v>
      </c>
      <c r="T325">
        <v>500</v>
      </c>
      <c r="U325">
        <v>500</v>
      </c>
      <c r="V325">
        <v>500</v>
      </c>
      <c r="W325">
        <v>500</v>
      </c>
      <c r="X325">
        <v>500</v>
      </c>
      <c r="Y325">
        <v>500</v>
      </c>
      <c r="Z325">
        <v>500</v>
      </c>
      <c r="AA325">
        <v>500</v>
      </c>
      <c r="AB325">
        <v>500</v>
      </c>
      <c r="AC325">
        <v>500</v>
      </c>
      <c r="AG325">
        <v>0.5</v>
      </c>
      <c r="AH325">
        <v>2</v>
      </c>
      <c r="AI325" t="s">
        <v>357</v>
      </c>
      <c r="AJ325" t="s">
        <v>819</v>
      </c>
    </row>
    <row r="326" spans="1:36" x14ac:dyDescent="0.2">
      <c r="A326" t="s">
        <v>820</v>
      </c>
      <c r="B326">
        <v>29</v>
      </c>
      <c r="C326" t="s">
        <v>821</v>
      </c>
      <c r="AG326">
        <v>22</v>
      </c>
      <c r="AH326">
        <v>32</v>
      </c>
      <c r="AI326" t="s">
        <v>3</v>
      </c>
      <c r="AJ326" t="s">
        <v>822</v>
      </c>
    </row>
    <row r="327" spans="1:36" x14ac:dyDescent="0.2">
      <c r="A327" t="s">
        <v>823</v>
      </c>
      <c r="B327">
        <v>7</v>
      </c>
      <c r="C327" t="s">
        <v>824</v>
      </c>
      <c r="AG327">
        <v>5</v>
      </c>
      <c r="AH327">
        <v>12</v>
      </c>
      <c r="AI327" t="s">
        <v>3</v>
      </c>
      <c r="AJ327" t="s">
        <v>825</v>
      </c>
    </row>
    <row r="328" spans="1:36" x14ac:dyDescent="0.2">
      <c r="A328" t="s">
        <v>826</v>
      </c>
      <c r="B328">
        <v>60</v>
      </c>
      <c r="C328" t="s">
        <v>827</v>
      </c>
      <c r="AG328">
        <v>40</v>
      </c>
      <c r="AH328">
        <v>100</v>
      </c>
      <c r="AI328" t="s">
        <v>3</v>
      </c>
      <c r="AJ328" t="s">
        <v>828</v>
      </c>
    </row>
    <row r="329" spans="1:36" x14ac:dyDescent="0.2">
      <c r="A329" t="s">
        <v>829</v>
      </c>
      <c r="B329">
        <v>15</v>
      </c>
      <c r="C329" t="s">
        <v>830</v>
      </c>
      <c r="AG329">
        <v>8</v>
      </c>
      <c r="AH329">
        <v>25</v>
      </c>
      <c r="AI329" t="s">
        <v>3</v>
      </c>
      <c r="AJ329" t="s">
        <v>831</v>
      </c>
    </row>
    <row r="330" spans="1:36" x14ac:dyDescent="0.2">
      <c r="A330" t="s">
        <v>954</v>
      </c>
      <c r="B330" s="31">
        <v>50000</v>
      </c>
      <c r="C330" t="s">
        <v>955</v>
      </c>
      <c r="AG330">
        <v>10000</v>
      </c>
      <c r="AH330">
        <v>200000</v>
      </c>
      <c r="AI330" t="s">
        <v>17</v>
      </c>
      <c r="AJ330" t="s">
        <v>956</v>
      </c>
    </row>
    <row r="331" spans="1:36" x14ac:dyDescent="0.2">
      <c r="A331" t="s">
        <v>957</v>
      </c>
      <c r="B331" s="15">
        <v>50000000</v>
      </c>
      <c r="C331" t="s">
        <v>958</v>
      </c>
      <c r="AG331">
        <v>10000000</v>
      </c>
      <c r="AH331">
        <v>200000000</v>
      </c>
      <c r="AI331" t="s">
        <v>17</v>
      </c>
      <c r="AJ331" t="s">
        <v>959</v>
      </c>
    </row>
    <row r="332" spans="1:36" x14ac:dyDescent="0.2">
      <c r="A332" t="s">
        <v>960</v>
      </c>
      <c r="B332" s="31">
        <v>130</v>
      </c>
      <c r="C332" t="s">
        <v>961</v>
      </c>
      <c r="AG332">
        <v>80</v>
      </c>
      <c r="AH332">
        <v>200</v>
      </c>
      <c r="AI332" t="s">
        <v>3</v>
      </c>
      <c r="AJ332" t="s">
        <v>962</v>
      </c>
    </row>
    <row r="333" spans="1:36" x14ac:dyDescent="0.2">
      <c r="A333" t="s">
        <v>963</v>
      </c>
      <c r="B333" s="24">
        <v>4</v>
      </c>
      <c r="C333" t="s">
        <v>964</v>
      </c>
      <c r="AG333">
        <v>3</v>
      </c>
      <c r="AH333">
        <v>5</v>
      </c>
      <c r="AI333" t="s">
        <v>3</v>
      </c>
    </row>
    <row r="334" spans="1:36" x14ac:dyDescent="0.2">
      <c r="A334" t="s">
        <v>965</v>
      </c>
      <c r="B334" s="31">
        <v>140</v>
      </c>
      <c r="C334" t="s">
        <v>966</v>
      </c>
      <c r="AG334">
        <v>80</v>
      </c>
      <c r="AH334">
        <v>250</v>
      </c>
      <c r="AI334" t="s">
        <v>3</v>
      </c>
      <c r="AJ334" t="s">
        <v>967</v>
      </c>
    </row>
    <row r="336" spans="1:36" x14ac:dyDescent="0.2">
      <c r="A336" t="s">
        <v>968</v>
      </c>
      <c r="B336" s="15">
        <v>100</v>
      </c>
      <c r="C336" t="s">
        <v>969</v>
      </c>
      <c r="AG336">
        <v>50</v>
      </c>
      <c r="AH336">
        <v>500</v>
      </c>
      <c r="AI336" t="s">
        <v>3</v>
      </c>
    </row>
    <row r="337" spans="1:36" x14ac:dyDescent="0.2">
      <c r="A337" t="s">
        <v>970</v>
      </c>
      <c r="B337" s="48">
        <v>0.1</v>
      </c>
      <c r="C337" t="s">
        <v>971</v>
      </c>
      <c r="AG337">
        <v>0.05</v>
      </c>
      <c r="AH337">
        <v>0.2</v>
      </c>
      <c r="AI337" t="s">
        <v>3</v>
      </c>
      <c r="AJ337" t="s">
        <v>972</v>
      </c>
    </row>
    <row r="338" spans="1:36" x14ac:dyDescent="0.2">
      <c r="A338" t="s">
        <v>973</v>
      </c>
      <c r="B338" s="15">
        <v>150000</v>
      </c>
      <c r="C338" t="s">
        <v>974</v>
      </c>
      <c r="AG338">
        <v>120000</v>
      </c>
      <c r="AH338">
        <v>180000</v>
      </c>
      <c r="AI338" t="s">
        <v>3</v>
      </c>
    </row>
    <row r="339" spans="1:36" x14ac:dyDescent="0.2">
      <c r="A339" t="s">
        <v>1080</v>
      </c>
      <c r="C339" t="s">
        <v>1081</v>
      </c>
      <c r="D339" s="51">
        <v>0.3</v>
      </c>
      <c r="E339" s="51">
        <v>0.316</v>
      </c>
      <c r="F339" s="51">
        <v>0.33200000000000002</v>
      </c>
      <c r="G339" s="51">
        <v>0.34799999999999998</v>
      </c>
      <c r="H339" s="51">
        <v>0.36399999999999999</v>
      </c>
      <c r="I339" s="51">
        <v>0.38</v>
      </c>
      <c r="J339" s="51">
        <v>0.39600000000000002</v>
      </c>
      <c r="K339" s="51">
        <v>0.41199999999999998</v>
      </c>
      <c r="L339" s="51">
        <v>0.42799999999999999</v>
      </c>
      <c r="M339" s="51">
        <v>0.44400000000000001</v>
      </c>
      <c r="N339" s="51">
        <v>0.46</v>
      </c>
      <c r="O339" s="51">
        <v>0.47599999999999998</v>
      </c>
      <c r="P339" s="51">
        <v>0.49199999999999999</v>
      </c>
      <c r="Q339" s="51">
        <v>0.50800000000000001</v>
      </c>
      <c r="R339" s="51">
        <v>0.52400000000000002</v>
      </c>
      <c r="S339" s="51">
        <v>0.54</v>
      </c>
      <c r="T339" s="51">
        <v>0.55600000000000005</v>
      </c>
      <c r="U339" s="51">
        <v>0.57199999999999995</v>
      </c>
      <c r="V339" s="51">
        <v>0.58799999999999997</v>
      </c>
      <c r="W339" s="51">
        <v>0.60399999999999998</v>
      </c>
      <c r="X339" s="51">
        <v>0.62</v>
      </c>
      <c r="Y339" s="51">
        <v>0.63600000000000001</v>
      </c>
      <c r="Z339" s="51">
        <v>0.65200000000000002</v>
      </c>
      <c r="AA339" s="51">
        <v>0.66800000000000004</v>
      </c>
      <c r="AB339" s="51">
        <v>0.68400000000000005</v>
      </c>
      <c r="AC339" s="51">
        <v>0.7</v>
      </c>
      <c r="AG339">
        <v>0.1</v>
      </c>
      <c r="AH339">
        <v>0.7</v>
      </c>
      <c r="AI339" t="s">
        <v>357</v>
      </c>
      <c r="AJ339" t="s">
        <v>1082</v>
      </c>
    </row>
    <row r="340" spans="1:36" x14ac:dyDescent="0.2">
      <c r="A340" t="s">
        <v>1083</v>
      </c>
      <c r="C340" t="s">
        <v>1084</v>
      </c>
      <c r="D340" s="51">
        <v>0.3</v>
      </c>
      <c r="E340" s="51">
        <v>0.316</v>
      </c>
      <c r="F340" s="51">
        <v>0.33200000000000002</v>
      </c>
      <c r="G340" s="51">
        <v>0.34799999999999998</v>
      </c>
      <c r="H340" s="51">
        <v>0.36399999999999999</v>
      </c>
      <c r="I340" s="51">
        <v>0.38</v>
      </c>
      <c r="J340" s="51">
        <v>0.39600000000000002</v>
      </c>
      <c r="K340" s="51">
        <v>0.41199999999999998</v>
      </c>
      <c r="L340" s="51">
        <v>0.42799999999999999</v>
      </c>
      <c r="M340" s="51">
        <v>0.44400000000000001</v>
      </c>
      <c r="N340" s="51">
        <v>0.46</v>
      </c>
      <c r="O340" s="51">
        <v>0.47599999999999998</v>
      </c>
      <c r="P340" s="51">
        <v>0.49199999999999999</v>
      </c>
      <c r="Q340" s="51">
        <v>0.50800000000000001</v>
      </c>
      <c r="R340" s="51">
        <v>0.52400000000000002</v>
      </c>
      <c r="S340" s="51">
        <v>0.54</v>
      </c>
      <c r="T340" s="51">
        <v>0.55600000000000005</v>
      </c>
      <c r="U340" s="51">
        <v>0.57199999999999995</v>
      </c>
      <c r="V340" s="51">
        <v>0.58799999999999997</v>
      </c>
      <c r="W340" s="51">
        <v>0.60399999999999998</v>
      </c>
      <c r="X340" s="51">
        <v>0.62</v>
      </c>
      <c r="Y340" s="51">
        <v>0.63600000000000001</v>
      </c>
      <c r="Z340" s="51">
        <v>0.65200000000000002</v>
      </c>
      <c r="AA340" s="51">
        <v>0.66800000000000004</v>
      </c>
      <c r="AB340" s="51">
        <v>0.68400000000000005</v>
      </c>
      <c r="AC340" s="51">
        <v>0.7</v>
      </c>
      <c r="AG340">
        <v>0.1</v>
      </c>
      <c r="AH340">
        <v>0.7</v>
      </c>
      <c r="AI340" t="s">
        <v>357</v>
      </c>
      <c r="AJ340" t="s">
        <v>1085</v>
      </c>
    </row>
    <row r="341" spans="1:36" x14ac:dyDescent="0.2">
      <c r="A341" t="s">
        <v>1086</v>
      </c>
      <c r="B341" s="24">
        <v>2028</v>
      </c>
      <c r="C341" t="s">
        <v>1087</v>
      </c>
      <c r="AG341">
        <v>2026</v>
      </c>
      <c r="AH341">
        <v>2032</v>
      </c>
      <c r="AI341" t="s">
        <v>21</v>
      </c>
      <c r="AJ341" t="s">
        <v>1088</v>
      </c>
    </row>
    <row r="342" spans="1:36" x14ac:dyDescent="0.2">
      <c r="A342" t="s">
        <v>1262</v>
      </c>
      <c r="B342" s="55">
        <f>((1.5/4)^(1/23))-1</f>
        <v>-4.1748251584531548E-2</v>
      </c>
      <c r="C342" t="s">
        <v>1263</v>
      </c>
      <c r="AG342">
        <v>-0.06</v>
      </c>
      <c r="AH342">
        <v>-0.02</v>
      </c>
      <c r="AI342" t="s">
        <v>3</v>
      </c>
      <c r="AJ342" t="s">
        <v>1264</v>
      </c>
    </row>
    <row r="343" spans="1:36" x14ac:dyDescent="0.2">
      <c r="A343" t="s">
        <v>1265</v>
      </c>
      <c r="C343" t="s">
        <v>1266</v>
      </c>
      <c r="D343" s="30">
        <v>200</v>
      </c>
      <c r="E343" s="30">
        <v>300</v>
      </c>
      <c r="F343" s="30">
        <v>500</v>
      </c>
      <c r="G343" s="30">
        <v>450</v>
      </c>
      <c r="H343" s="30">
        <v>400</v>
      </c>
      <c r="I343" s="30">
        <v>350</v>
      </c>
      <c r="J343" s="30">
        <v>300</v>
      </c>
      <c r="K343" s="30">
        <v>250</v>
      </c>
      <c r="L343" s="30">
        <v>200</v>
      </c>
      <c r="M343" s="30">
        <v>150</v>
      </c>
      <c r="N343" s="30">
        <v>100</v>
      </c>
      <c r="O343" s="30">
        <v>75</v>
      </c>
      <c r="P343" s="30">
        <v>50</v>
      </c>
      <c r="Q343" s="30">
        <v>35</v>
      </c>
      <c r="R343" s="30">
        <v>25</v>
      </c>
      <c r="S343" s="30">
        <v>20</v>
      </c>
      <c r="T343" s="30">
        <v>15</v>
      </c>
      <c r="U343" s="30">
        <v>12</v>
      </c>
      <c r="V343" s="30">
        <v>10</v>
      </c>
      <c r="W343" s="30">
        <v>8</v>
      </c>
      <c r="X343" s="30">
        <v>6</v>
      </c>
      <c r="Y343" s="30">
        <v>5</v>
      </c>
      <c r="Z343" s="30">
        <v>4</v>
      </c>
      <c r="AA343" s="30">
        <v>3</v>
      </c>
      <c r="AB343" s="30">
        <v>2</v>
      </c>
      <c r="AC343" s="30">
        <v>1</v>
      </c>
      <c r="AG343">
        <v>50</v>
      </c>
      <c r="AH343">
        <v>1500</v>
      </c>
      <c r="AI343" t="s">
        <v>357</v>
      </c>
      <c r="AJ343" t="s">
        <v>1267</v>
      </c>
    </row>
    <row r="344" spans="1:36" x14ac:dyDescent="0.2">
      <c r="A344" t="s">
        <v>1268</v>
      </c>
      <c r="C344" t="s">
        <v>1269</v>
      </c>
      <c r="D344" s="30">
        <v>50</v>
      </c>
      <c r="E344" s="30">
        <v>100</v>
      </c>
      <c r="F344" s="30">
        <v>200</v>
      </c>
      <c r="G344" s="30">
        <v>300</v>
      </c>
      <c r="H344" s="30">
        <v>275</v>
      </c>
      <c r="I344" s="30">
        <v>250</v>
      </c>
      <c r="J344" s="30">
        <v>225</v>
      </c>
      <c r="K344" s="30">
        <v>200</v>
      </c>
      <c r="L344" s="30">
        <v>175</v>
      </c>
      <c r="M344" s="30">
        <v>150</v>
      </c>
      <c r="N344" s="30">
        <v>125</v>
      </c>
      <c r="O344" s="30">
        <v>100</v>
      </c>
      <c r="P344" s="30">
        <v>80</v>
      </c>
      <c r="Q344" s="30">
        <v>65</v>
      </c>
      <c r="R344" s="30">
        <v>50</v>
      </c>
      <c r="S344" s="30">
        <v>40</v>
      </c>
      <c r="T344" s="30">
        <v>30</v>
      </c>
      <c r="U344" s="30">
        <v>25</v>
      </c>
      <c r="V344" s="30">
        <v>20</v>
      </c>
      <c r="W344" s="30">
        <v>15</v>
      </c>
      <c r="X344" s="30">
        <v>12</v>
      </c>
      <c r="Y344" s="30">
        <v>10</v>
      </c>
      <c r="Z344" s="30">
        <v>8</v>
      </c>
      <c r="AA344" s="30">
        <v>6</v>
      </c>
      <c r="AB344" s="30">
        <v>5</v>
      </c>
      <c r="AC344" s="30">
        <v>4</v>
      </c>
      <c r="AG344">
        <v>25</v>
      </c>
      <c r="AH344">
        <v>500</v>
      </c>
      <c r="AI344" t="s">
        <v>357</v>
      </c>
      <c r="AJ344" t="s">
        <v>1270</v>
      </c>
    </row>
    <row r="346" spans="1:36" x14ac:dyDescent="0.2">
      <c r="A346" s="1" t="s">
        <v>1507</v>
      </c>
    </row>
    <row r="347" spans="1:36" x14ac:dyDescent="0.2">
      <c r="A347" s="18" t="s">
        <v>1508</v>
      </c>
    </row>
    <row r="348" spans="1:36" x14ac:dyDescent="0.2">
      <c r="A348" t="s">
        <v>1509</v>
      </c>
      <c r="B348" s="48">
        <v>2.5000000000000001E-2</v>
      </c>
      <c r="C348" s="48">
        <v>0.01</v>
      </c>
      <c r="D348" s="48">
        <v>0.05</v>
      </c>
      <c r="E348" t="s">
        <v>3</v>
      </c>
      <c r="F348" t="s">
        <v>1510</v>
      </c>
    </row>
    <row r="349" spans="1:36" x14ac:dyDescent="0.2">
      <c r="A349" t="s">
        <v>1511</v>
      </c>
      <c r="B349" s="48">
        <v>0.03</v>
      </c>
      <c r="C349" s="48">
        <v>0.01</v>
      </c>
      <c r="D349" s="48">
        <v>0.06</v>
      </c>
      <c r="E349" t="s">
        <v>3</v>
      </c>
      <c r="F349" t="s">
        <v>1512</v>
      </c>
    </row>
    <row r="350" spans="1:36" x14ac:dyDescent="0.2">
      <c r="A350" t="s">
        <v>1649</v>
      </c>
      <c r="B350">
        <v>2028</v>
      </c>
      <c r="C350">
        <v>2026</v>
      </c>
      <c r="D350">
        <v>2032</v>
      </c>
      <c r="E350" t="s">
        <v>3</v>
      </c>
      <c r="F350" t="s">
        <v>1650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6793-4CE4-8549-A59F-5555625C3367}">
  <dimension ref="A2:AE171"/>
  <sheetViews>
    <sheetView topLeftCell="A61" workbookViewId="0">
      <selection activeCell="D125" sqref="D125"/>
    </sheetView>
  </sheetViews>
  <sheetFormatPr baseColWidth="10" defaultRowHeight="16" x14ac:dyDescent="0.2"/>
  <sheetData>
    <row r="2" spans="1:31" x14ac:dyDescent="0.2">
      <c r="AE2">
        <f>IFERROR(MATCH("Vehicle build claim ($mm)", $A:$A, 0), "NOT FOUND")</f>
        <v>23</v>
      </c>
    </row>
    <row r="3" spans="1:31" x14ac:dyDescent="0.2">
      <c r="AE3" t="str">
        <f>IFERROR(MATCH("Vehicle build claim", $A:$A, 0), "NOT FOUND")</f>
        <v>NOT FOUND</v>
      </c>
    </row>
    <row r="4" spans="1:31"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c r="AE4" t="str">
        <f>IFERROR(MATCH("Required vehicles ($mm)", $A:$A, 0), "NOT FOUND")</f>
        <v>NOT FOUND</v>
      </c>
    </row>
    <row r="5" spans="1:31"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c r="AE5" t="str">
        <f>IFERROR(MATCH("Total vehicle build claim ($mm)", $A:$A, 0), "NOT FOUND")</f>
        <v>NOT FOUND</v>
      </c>
    </row>
    <row r="7" spans="1:31" x14ac:dyDescent="0.2">
      <c r="A7" s="13" t="s">
        <v>574</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31" x14ac:dyDescent="0.2">
      <c r="A8" t="s">
        <v>12</v>
      </c>
      <c r="D8" s="67">
        <f>IF(D$5=0, INDEX(Assumptions!$B:$B, MATCH("Starting cash position EoY 2024 ($mm)", Assumptions!$A:$A, 0)), 0)</f>
        <v>5000</v>
      </c>
      <c r="E8" s="67">
        <f>0</f>
        <v>0</v>
      </c>
      <c r="F8" s="67">
        <f>0</f>
        <v>0</v>
      </c>
      <c r="G8" s="67">
        <f>0</f>
        <v>0</v>
      </c>
      <c r="H8" s="67">
        <f>0</f>
        <v>0</v>
      </c>
      <c r="I8" s="67">
        <f>0</f>
        <v>0</v>
      </c>
      <c r="J8" s="67">
        <f>0</f>
        <v>0</v>
      </c>
      <c r="K8" s="67">
        <f>0</f>
        <v>0</v>
      </c>
      <c r="L8" s="67">
        <f>0</f>
        <v>0</v>
      </c>
      <c r="M8" s="67">
        <f>0</f>
        <v>0</v>
      </c>
      <c r="N8" s="67">
        <f>0</f>
        <v>0</v>
      </c>
      <c r="O8" s="67">
        <f>0</f>
        <v>0</v>
      </c>
      <c r="P8" s="67">
        <f>0</f>
        <v>0</v>
      </c>
      <c r="Q8" s="67">
        <f>0</f>
        <v>0</v>
      </c>
      <c r="R8" s="67">
        <f>0</f>
        <v>0</v>
      </c>
      <c r="S8" s="67">
        <f>0</f>
        <v>0</v>
      </c>
      <c r="T8" s="67">
        <f>0</f>
        <v>0</v>
      </c>
      <c r="U8" s="67">
        <f>0</f>
        <v>0</v>
      </c>
      <c r="V8" s="67">
        <f>0</f>
        <v>0</v>
      </c>
      <c r="W8" s="67">
        <f>0</f>
        <v>0</v>
      </c>
      <c r="X8" s="67">
        <f>0</f>
        <v>0</v>
      </c>
      <c r="Y8" s="67">
        <f>0</f>
        <v>0</v>
      </c>
      <c r="Z8" s="67">
        <f>0</f>
        <v>0</v>
      </c>
      <c r="AA8" s="67">
        <f>0</f>
        <v>0</v>
      </c>
      <c r="AB8" s="67">
        <f>0</f>
        <v>0</v>
      </c>
      <c r="AC8" s="67">
        <f>0</f>
        <v>0</v>
      </c>
    </row>
    <row r="9" spans="1:31" x14ac:dyDescent="0.2">
      <c r="A9" t="s">
        <v>1442</v>
      </c>
      <c r="D9" s="67">
        <f>IF(D$4=INDEX(Assumptions!$B:$B, MATCH("IPO injection year", Assumptions!$A:$A, 0)), INDEX(Assumptions!$B:$B, MATCH("IPO injection amount ($mm)", Assumptions!$A:$A, 0)), 0)</f>
        <v>0</v>
      </c>
      <c r="E9" s="67">
        <f>IF(E$4=INDEX(Assumptions!$B:$B, MATCH("IPO injection year", Assumptions!$A:$A, 0)), INDEX(Assumptions!$B:$B, MATCH("IPO injection amount ($mm)", Assumptions!$A:$A, 0)), 0)</f>
        <v>0</v>
      </c>
      <c r="F9" s="67">
        <f>IF(F$4=INDEX(Assumptions!$B:$B, MATCH("IPO injection year", Assumptions!$A:$A, 0)), INDEX(Assumptions!$B:$B, MATCH("IPO injection amount ($mm)", Assumptions!$A:$A, 0)), 0)</f>
        <v>30000</v>
      </c>
      <c r="G9" s="67">
        <f>IF(G$4=INDEX(Assumptions!$B:$B, MATCH("IPO injection year", Assumptions!$A:$A, 0)), INDEX(Assumptions!$B:$B, MATCH("IPO injection amount ($mm)", Assumptions!$A:$A, 0)), 0)</f>
        <v>0</v>
      </c>
      <c r="H9" s="67">
        <f>IF(H$4=INDEX(Assumptions!$B:$B, MATCH("IPO injection year", Assumptions!$A:$A, 0)), INDEX(Assumptions!$B:$B, MATCH("IPO injection amount ($mm)", Assumptions!$A:$A, 0)), 0)</f>
        <v>0</v>
      </c>
      <c r="I9" s="67">
        <f>IF(I$4=INDEX(Assumptions!$B:$B, MATCH("IPO injection year", Assumptions!$A:$A, 0)), INDEX(Assumptions!$B:$B, MATCH("IPO injection amount ($mm)", Assumptions!$A:$A, 0)), 0)</f>
        <v>0</v>
      </c>
      <c r="J9" s="67">
        <f>IF(J$4=INDEX(Assumptions!$B:$B, MATCH("IPO injection year", Assumptions!$A:$A, 0)), INDEX(Assumptions!$B:$B, MATCH("IPO injection amount ($mm)", Assumptions!$A:$A, 0)), 0)</f>
        <v>0</v>
      </c>
      <c r="K9" s="67">
        <f>IF(K$4=INDEX(Assumptions!$B:$B, MATCH("IPO injection year", Assumptions!$A:$A, 0)), INDEX(Assumptions!$B:$B, MATCH("IPO injection amount ($mm)", Assumptions!$A:$A, 0)), 0)</f>
        <v>0</v>
      </c>
      <c r="L9" s="67">
        <f>IF(L$4=INDEX(Assumptions!$B:$B, MATCH("IPO injection year", Assumptions!$A:$A, 0)), INDEX(Assumptions!$B:$B, MATCH("IPO injection amount ($mm)", Assumptions!$A:$A, 0)), 0)</f>
        <v>0</v>
      </c>
      <c r="M9" s="67">
        <f>IF(M$4=INDEX(Assumptions!$B:$B, MATCH("IPO injection year", Assumptions!$A:$A, 0)), INDEX(Assumptions!$B:$B, MATCH("IPO injection amount ($mm)", Assumptions!$A:$A, 0)), 0)</f>
        <v>0</v>
      </c>
      <c r="N9" s="67">
        <f>IF(N$4=INDEX(Assumptions!$B:$B, MATCH("IPO injection year", Assumptions!$A:$A, 0)), INDEX(Assumptions!$B:$B, MATCH("IPO injection amount ($mm)", Assumptions!$A:$A, 0)), 0)</f>
        <v>0</v>
      </c>
      <c r="O9" s="67">
        <f>IF(O$4=INDEX(Assumptions!$B:$B, MATCH("IPO injection year", Assumptions!$A:$A, 0)), INDEX(Assumptions!$B:$B, MATCH("IPO injection amount ($mm)", Assumptions!$A:$A, 0)), 0)</f>
        <v>0</v>
      </c>
      <c r="P9" s="67">
        <f>IF(P$4=INDEX(Assumptions!$B:$B, MATCH("IPO injection year", Assumptions!$A:$A, 0)), INDEX(Assumptions!$B:$B, MATCH("IPO injection amount ($mm)", Assumptions!$A:$A, 0)), 0)</f>
        <v>0</v>
      </c>
      <c r="Q9" s="67">
        <f>IF(Q$4=INDEX(Assumptions!$B:$B, MATCH("IPO injection year", Assumptions!$A:$A, 0)), INDEX(Assumptions!$B:$B, MATCH("IPO injection amount ($mm)", Assumptions!$A:$A, 0)), 0)</f>
        <v>0</v>
      </c>
      <c r="R9" s="67">
        <f>IF(R$4=INDEX(Assumptions!$B:$B, MATCH("IPO injection year", Assumptions!$A:$A, 0)), INDEX(Assumptions!$B:$B, MATCH("IPO injection amount ($mm)", Assumptions!$A:$A, 0)), 0)</f>
        <v>0</v>
      </c>
      <c r="S9" s="67">
        <f>IF(S$4=INDEX(Assumptions!$B:$B, MATCH("IPO injection year", Assumptions!$A:$A, 0)), INDEX(Assumptions!$B:$B, MATCH("IPO injection amount ($mm)", Assumptions!$A:$A, 0)), 0)</f>
        <v>0</v>
      </c>
      <c r="T9" s="67">
        <f>IF(T$4=INDEX(Assumptions!$B:$B, MATCH("IPO injection year", Assumptions!$A:$A, 0)), INDEX(Assumptions!$B:$B, MATCH("IPO injection amount ($mm)", Assumptions!$A:$A, 0)), 0)</f>
        <v>0</v>
      </c>
      <c r="U9" s="67">
        <f>IF(U$4=INDEX(Assumptions!$B:$B, MATCH("IPO injection year", Assumptions!$A:$A, 0)), INDEX(Assumptions!$B:$B, MATCH("IPO injection amount ($mm)", Assumptions!$A:$A, 0)), 0)</f>
        <v>0</v>
      </c>
      <c r="V9" s="67">
        <f>IF(V$4=INDEX(Assumptions!$B:$B, MATCH("IPO injection year", Assumptions!$A:$A, 0)), INDEX(Assumptions!$B:$B, MATCH("IPO injection amount ($mm)", Assumptions!$A:$A, 0)), 0)</f>
        <v>0</v>
      </c>
      <c r="W9" s="67">
        <f>IF(W$4=INDEX(Assumptions!$B:$B, MATCH("IPO injection year", Assumptions!$A:$A, 0)), INDEX(Assumptions!$B:$B, MATCH("IPO injection amount ($mm)", Assumptions!$A:$A, 0)), 0)</f>
        <v>0</v>
      </c>
      <c r="X9" s="67">
        <f>IF(X$4=INDEX(Assumptions!$B:$B, MATCH("IPO injection year", Assumptions!$A:$A, 0)), INDEX(Assumptions!$B:$B, MATCH("IPO injection amount ($mm)", Assumptions!$A:$A, 0)), 0)</f>
        <v>0</v>
      </c>
      <c r="Y9" s="67">
        <f>IF(Y$4=INDEX(Assumptions!$B:$B, MATCH("IPO injection year", Assumptions!$A:$A, 0)), INDEX(Assumptions!$B:$B, MATCH("IPO injection amount ($mm)", Assumptions!$A:$A, 0)), 0)</f>
        <v>0</v>
      </c>
      <c r="Z9" s="67">
        <f>IF(Z$4=INDEX(Assumptions!$B:$B, MATCH("IPO injection year", Assumptions!$A:$A, 0)), INDEX(Assumptions!$B:$B, MATCH("IPO injection amount ($mm)", Assumptions!$A:$A, 0)), 0)</f>
        <v>0</v>
      </c>
      <c r="AA9" s="67">
        <f>IF(AA$4=INDEX(Assumptions!$B:$B, MATCH("IPO injection year", Assumptions!$A:$A, 0)), INDEX(Assumptions!$B:$B, MATCH("IPO injection amount ($mm)", Assumptions!$A:$A, 0)), 0)</f>
        <v>0</v>
      </c>
      <c r="AB9" s="67">
        <f>IF(AB$4=INDEX(Assumptions!$B:$B, MATCH("IPO injection year", Assumptions!$A:$A, 0)), INDEX(Assumptions!$B:$B, MATCH("IPO injection amount ($mm)", Assumptions!$A:$A, 0)), 0)</f>
        <v>0</v>
      </c>
      <c r="AC9" s="67">
        <f>IF(AC$4=INDEX(Assumptions!$B:$B, MATCH("IPO injection year", Assumptions!$A:$A, 0)), INDEX(Assumptions!$B:$B, MATCH("IPO injection amount ($mm)", Assumptions!$A:$A, 0)), 0)</f>
        <v>0</v>
      </c>
    </row>
    <row r="10" spans="1:31" x14ac:dyDescent="0.2">
      <c r="A10" t="s">
        <v>1443</v>
      </c>
      <c r="D10" s="67" cm="1">
        <f t="array" aca="1" ref="D10" ca="1">IFERROR(IF(D$5=0, 0, INDEX('Group P&amp;L'!$D:$AC, MATCH("GROUP FCF ($mm)", 'Group P&amp;L'!$A:$A, 0), D$5)), 0)</f>
        <v>0</v>
      </c>
      <c r="E10" s="67" cm="1">
        <f t="array" aca="1" ref="E10" ca="1">IFERROR(IF(E$5=0, 0, INDEX('Group P&amp;L'!$D:$AC, MATCH("GROUP FCF ($mm)", 'Group P&amp;L'!$A:$A, 0), E$5)), 0)</f>
        <v>-2982.4363299713032</v>
      </c>
      <c r="F10" s="67" cm="1">
        <f t="array" aca="1" ref="F10" ca="1">IFERROR(IF(F$5=0, 0, INDEX('Group P&amp;L'!$D:$AC, MATCH("GROUP FCF ($mm)", 'Group P&amp;L'!$A:$A, 0), F$5)), 0)</f>
        <v>-3764.0124923332587</v>
      </c>
      <c r="G10" s="67" cm="1">
        <f t="array" aca="1" ref="G10" ca="1">IFERROR(IF(G$5=0, 0, INDEX('Group P&amp;L'!$D:$AC, MATCH("GROUP FCF ($mm)", 'Group P&amp;L'!$A:$A, 0), G$5)), 0)</f>
        <v>-1752.1012678918178</v>
      </c>
      <c r="H10" s="67" cm="1">
        <f t="array" aca="1" ref="H10" ca="1">IFERROR(IF(H$5=0, 0, INDEX('Group P&amp;L'!$D:$AC, MATCH("GROUP FCF ($mm)", 'Group P&amp;L'!$A:$A, 0), H$5)), 0)</f>
        <v>-560.14791240472687</v>
      </c>
      <c r="I10" s="67" cm="1">
        <f t="array" aca="1" ref="I10" ca="1">IFERROR(IF(I$5=0, 0, INDEX('Group P&amp;L'!$D:$AC, MATCH("GROUP FCF ($mm)", 'Group P&amp;L'!$A:$A, 0), I$5)), 0)</f>
        <v>693.50069917681935</v>
      </c>
      <c r="J10" s="67" cm="1">
        <f t="array" aca="1" ref="J10" ca="1">IFERROR(IF(J$5=0, 0, INDEX('Group P&amp;L'!$D:$AC, MATCH("GROUP FCF ($mm)", 'Group P&amp;L'!$A:$A, 0), J$5)), 0)</f>
        <v>552.68544717725877</v>
      </c>
      <c r="K10" s="67" cm="1">
        <f t="array" aca="1" ref="K10" ca="1">IFERROR(IF(K$5=0, 0, INDEX('Group P&amp;L'!$D:$AC, MATCH("GROUP FCF ($mm)", 'Group P&amp;L'!$A:$A, 0), K$5)), 0)</f>
        <v>732.04703178713908</v>
      </c>
      <c r="L10" s="67" cm="1">
        <f t="array" aca="1" ref="L10" ca="1">IFERROR(IF(L$5=0, 0, INDEX('Group P&amp;L'!$D:$AC, MATCH("GROUP FCF ($mm)", 'Group P&amp;L'!$A:$A, 0), L$5)), 0)</f>
        <v>558.37123444929603</v>
      </c>
      <c r="M10" s="67" cm="1">
        <f t="array" aca="1" ref="M10" ca="1">IFERROR(IF(M$5=0, 0, INDEX('Group P&amp;L'!$D:$AC, MATCH("GROUP FCF ($mm)", 'Group P&amp;L'!$A:$A, 0), M$5)), 0)</f>
        <v>909.08545733231995</v>
      </c>
      <c r="N10" s="67" cm="1">
        <f t="array" aca="1" ref="N10" ca="1">IFERROR(IF(N$5=0, 0, INDEX('Group P&amp;L'!$D:$AC, MATCH("GROUP FCF ($mm)", 'Group P&amp;L'!$A:$A, 0), N$5)), 0)</f>
        <v>665.30162176252838</v>
      </c>
      <c r="O10" s="67" cm="1">
        <f t="array" aca="1" ref="O10" ca="1">IFERROR(IF(O$5=0, 0, INDEX('Group P&amp;L'!$D:$AC, MATCH("GROUP FCF ($mm)", 'Group P&amp;L'!$A:$A, 0), O$5)), 0)</f>
        <v>-27.93979191125436</v>
      </c>
      <c r="P10" s="67" cm="1">
        <f t="array" aca="1" ref="P10" ca="1">IFERROR(IF(P$5=0, 0, INDEX('Group P&amp;L'!$D:$AC, MATCH("GROUP FCF ($mm)", 'Group P&amp;L'!$A:$A, 0), P$5)), 0)</f>
        <v>1925.9982635437859</v>
      </c>
      <c r="Q10" s="67" cm="1">
        <f t="array" aca="1" ref="Q10" ca="1">IFERROR(IF(Q$5=0, 0, INDEX('Group P&amp;L'!$D:$AC, MATCH("GROUP FCF ($mm)", 'Group P&amp;L'!$A:$A, 0), Q$5)), 0)</f>
        <v>646.24495064074517</v>
      </c>
      <c r="R10" s="67" cm="1">
        <f t="array" aca="1" ref="R10" ca="1">IFERROR(IF(R$5=0, 0, INDEX('Group P&amp;L'!$D:$AC, MATCH("GROUP FCF ($mm)", 'Group P&amp;L'!$A:$A, 0), R$5)), 0)</f>
        <v>2460.6675160964983</v>
      </c>
      <c r="S10" s="67" cm="1">
        <f t="array" aca="1" ref="S10" ca="1">IFERROR(IF(S$5=0, 0, INDEX('Group P&amp;L'!$D:$AC, MATCH("GROUP FCF ($mm)", 'Group P&amp;L'!$A:$A, 0), S$5)), 0)</f>
        <v>1798.8638534093266</v>
      </c>
      <c r="T10" s="67" cm="1">
        <f t="array" aca="1" ref="T10" ca="1">IFERROR(IF(T$5=0, 0, INDEX('Group P&amp;L'!$D:$AC, MATCH("GROUP FCF ($mm)", 'Group P&amp;L'!$A:$A, 0), T$5)), 0)</f>
        <v>1723.6490080811964</v>
      </c>
      <c r="U10" s="67" cm="1">
        <f t="array" aca="1" ref="U10" ca="1">IFERROR(IF(U$5=0, 0, INDEX('Group P&amp;L'!$D:$AC, MATCH("GROUP FCF ($mm)", 'Group P&amp;L'!$A:$A, 0), U$5)), 0)</f>
        <v>4104.7972867614117</v>
      </c>
      <c r="V10" s="67" cm="1">
        <f t="array" aca="1" ref="V10" ca="1">IFERROR(IF(V$5=0, 0, INDEX('Group P&amp;L'!$D:$AC, MATCH("GROUP FCF ($mm)", 'Group P&amp;L'!$A:$A, 0), V$5)), 0)</f>
        <v>2699.5864544867004</v>
      </c>
      <c r="W10" s="67" cm="1">
        <f t="array" aca="1" ref="W10" ca="1">IFERROR(IF(W$5=0, 0, INDEX('Group P&amp;L'!$D:$AC, MATCH("GROUP FCF ($mm)", 'Group P&amp;L'!$A:$A, 0), W$5)), 0)</f>
        <v>4008.9173350460451</v>
      </c>
      <c r="X10" s="67" cm="1">
        <f t="array" aca="1" ref="X10" ca="1">IFERROR(IF(X$5=0, 0, INDEX('Group P&amp;L'!$D:$AC, MATCH("GROUP FCF ($mm)", 'Group P&amp;L'!$A:$A, 0), X$5)), 0)</f>
        <v>4827.9365585401902</v>
      </c>
      <c r="Y10" s="67" cm="1">
        <f t="array" aca="1" ref="Y10" ca="1">IFERROR(IF(Y$5=0, 0, INDEX('Group P&amp;L'!$D:$AC, MATCH("GROUP FCF ($mm)", 'Group P&amp;L'!$A:$A, 0), Y$5)), 0)</f>
        <v>3740.6675652986369</v>
      </c>
      <c r="Z10" s="67" cm="1">
        <f t="array" aca="1" ref="Z10" ca="1">IFERROR(IF(Z$5=0, 0, INDEX('Group P&amp;L'!$D:$AC, MATCH("GROUP FCF ($mm)", 'Group P&amp;L'!$A:$A, 0), Z$5)), 0)</f>
        <v>6103.5176952023476</v>
      </c>
      <c r="AA10" s="67" cm="1">
        <f t="array" aca="1" ref="AA10" ca="1">IFERROR(IF(AA$5=0, 0, INDEX('Group P&amp;L'!$D:$AC, MATCH("GROUP FCF ($mm)", 'Group P&amp;L'!$A:$A, 0), AA$5)), 0)</f>
        <v>4848.4482289570606</v>
      </c>
      <c r="AB10" s="67" cm="1">
        <f t="array" aca="1" ref="AB10" ca="1">IFERROR(IF(AB$5=0, 0, INDEX('Group P&amp;L'!$D:$AC, MATCH("GROUP FCF ($mm)", 'Group P&amp;L'!$A:$A, 0), AB$5)), 0)</f>
        <v>5397.1510061936315</v>
      </c>
      <c r="AC10" s="67" cm="1">
        <f t="array" aca="1" ref="AC10" ca="1">IFERROR(IF(AC$5=0, 0, INDEX('Group P&amp;L'!$D:$AC, MATCH("GROUP FCF ($mm)", 'Group P&amp;L'!$A:$A, 0), AC$5)), 0)</f>
        <v>7872.0421324768295</v>
      </c>
    </row>
    <row r="15" spans="1:31" x14ac:dyDescent="0.2">
      <c r="A15" t="s">
        <v>1444</v>
      </c>
      <c r="D15" s="67">
        <f ca="1">D8+D9+D10</f>
        <v>5000</v>
      </c>
      <c r="E15" s="67">
        <f ca="1">D15+E10+E9</f>
        <v>2017.5636700286968</v>
      </c>
      <c r="F15" s="67">
        <f t="shared" ref="F15:AC15" ca="1" si="0">E15+F10+F9</f>
        <v>28253.551177695437</v>
      </c>
      <c r="G15" s="67">
        <f t="shared" ca="1" si="0"/>
        <v>26501.449909803618</v>
      </c>
      <c r="H15" s="67">
        <f t="shared" ca="1" si="0"/>
        <v>25941.301997398892</v>
      </c>
      <c r="I15" s="67">
        <f t="shared" ca="1" si="0"/>
        <v>26634.802696575713</v>
      </c>
      <c r="J15" s="67">
        <f t="shared" ca="1" si="0"/>
        <v>27187.488143752973</v>
      </c>
      <c r="K15" s="67">
        <f t="shared" ca="1" si="0"/>
        <v>27919.535175540113</v>
      </c>
      <c r="L15" s="67">
        <f t="shared" ca="1" si="0"/>
        <v>28477.906409989409</v>
      </c>
      <c r="M15" s="67">
        <f t="shared" ca="1" si="0"/>
        <v>29386.991867321729</v>
      </c>
      <c r="N15" s="67">
        <f t="shared" ca="1" si="0"/>
        <v>30052.293489084259</v>
      </c>
      <c r="O15" s="67">
        <f t="shared" ca="1" si="0"/>
        <v>30024.353697173006</v>
      </c>
      <c r="P15" s="67">
        <f t="shared" ca="1" si="0"/>
        <v>31950.351960716791</v>
      </c>
      <c r="Q15" s="67">
        <f t="shared" ca="1" si="0"/>
        <v>32596.596911357537</v>
      </c>
      <c r="R15" s="67">
        <f t="shared" ca="1" si="0"/>
        <v>35057.264427454036</v>
      </c>
      <c r="S15" s="67">
        <f t="shared" ca="1" si="0"/>
        <v>36856.128280863362</v>
      </c>
      <c r="T15" s="67">
        <f t="shared" ca="1" si="0"/>
        <v>38579.777288944562</v>
      </c>
      <c r="U15" s="67">
        <f t="shared" ca="1" si="0"/>
        <v>42684.574575705978</v>
      </c>
      <c r="V15" s="67">
        <f t="shared" ca="1" si="0"/>
        <v>45384.161030192678</v>
      </c>
      <c r="W15" s="67">
        <f t="shared" ca="1" si="0"/>
        <v>49393.078365238725</v>
      </c>
      <c r="X15" s="67">
        <f t="shared" ca="1" si="0"/>
        <v>54221.014923778916</v>
      </c>
      <c r="Y15" s="67">
        <f t="shared" ca="1" si="0"/>
        <v>57961.682489077553</v>
      </c>
      <c r="Z15" s="67">
        <f t="shared" ca="1" si="0"/>
        <v>64065.2001842799</v>
      </c>
      <c r="AA15" s="67">
        <f t="shared" ca="1" si="0"/>
        <v>68913.648413236966</v>
      </c>
      <c r="AB15" s="67">
        <f t="shared" ca="1" si="0"/>
        <v>74310.799419430594</v>
      </c>
      <c r="AC15" s="67">
        <f t="shared" ca="1" si="0"/>
        <v>82182.841551907419</v>
      </c>
    </row>
    <row r="17" spans="1:29" x14ac:dyDescent="0.2">
      <c r="A17" s="13" t="s">
        <v>575</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x14ac:dyDescent="0.2">
      <c r="A18" t="s">
        <v>1445</v>
      </c>
      <c r="D18" s="67" cm="1">
        <f t="array" aca="1" ref="D18" ca="1">IFERROR(INDEX(OpEx!$D:$AC, MATCH("Total OpEx ($mm)", OpEx!$A:$A, 0), D$5+1), 0)</f>
        <v>4309.6782425077163</v>
      </c>
      <c r="E18" s="67" cm="1">
        <f t="array" aca="1" ref="E18" ca="1">IFERROR(INDEX(OpEx!$D:$AC, MATCH("Total OpEx ($mm)", OpEx!$A:$A, 0), E$5+1), 0)</f>
        <v>3948.6143974918905</v>
      </c>
      <c r="F18" s="67" cm="1">
        <f t="array" aca="1" ref="F18" ca="1">IFERROR(INDEX(OpEx!$D:$AC, MATCH("Total OpEx ($mm)", OpEx!$A:$A, 0), F$5+1), 0)</f>
        <v>3884.7615593593728</v>
      </c>
      <c r="G18" s="67" cm="1">
        <f t="array" aca="1" ref="G18" ca="1">IFERROR(INDEX(OpEx!$D:$AC, MATCH("Total OpEx ($mm)", OpEx!$A:$A, 0), G$5+1), 0)</f>
        <v>3657.8935509055973</v>
      </c>
      <c r="H18" s="67" cm="1">
        <f t="array" aca="1" ref="H18" ca="1">IFERROR(INDEX(OpEx!$D:$AC, MATCH("Total OpEx ($mm)", OpEx!$A:$A, 0), H$5+1), 0)</f>
        <v>3414.6506848881527</v>
      </c>
      <c r="I18" s="67" cm="1">
        <f t="array" aca="1" ref="I18" ca="1">IFERROR(INDEX(OpEx!$D:$AC, MATCH("Total OpEx ($mm)", OpEx!$A:$A, 0), I$5+1), 0)</f>
        <v>3435.6385574750875</v>
      </c>
      <c r="J18" s="67" cm="1">
        <f t="array" aca="1" ref="J18" ca="1">IFERROR(INDEX(OpEx!$D:$AC, MATCH("Total OpEx ($mm)", OpEx!$A:$A, 0), J$5+1), 0)</f>
        <v>3525.0708103214824</v>
      </c>
      <c r="K18" s="67" cm="1">
        <f t="array" aca="1" ref="K18" ca="1">IFERROR(INDEX(OpEx!$D:$AC, MATCH("Total OpEx ($mm)", OpEx!$A:$A, 0), K$5+1), 0)</f>
        <v>3568.630272975643</v>
      </c>
      <c r="L18" s="67" cm="1">
        <f t="array" aca="1" ref="L18" ca="1">IFERROR(INDEX(OpEx!$D:$AC, MATCH("Total OpEx ($mm)", OpEx!$A:$A, 0), L$5+1), 0)</f>
        <v>3695.4015944751495</v>
      </c>
      <c r="M18" s="67" cm="1">
        <f t="array" aca="1" ref="M18" ca="1">IFERROR(INDEX(OpEx!$D:$AC, MATCH("Total OpEx ($mm)", OpEx!$A:$A, 0), M$5+1), 0)</f>
        <v>3679.2627442665967</v>
      </c>
      <c r="N18" s="67" cm="1">
        <f t="array" aca="1" ref="N18" ca="1">IFERROR(INDEX(OpEx!$D:$AC, MATCH("Total OpEx ($mm)", OpEx!$A:$A, 0), N$5+1), 0)</f>
        <v>3744.0586098017861</v>
      </c>
      <c r="O18" s="67" cm="1">
        <f t="array" aca="1" ref="O18" ca="1">IFERROR(INDEX(OpEx!$D:$AC, MATCH("Total OpEx ($mm)", OpEx!$A:$A, 0), O$5+1), 0)</f>
        <v>3729.36100836572</v>
      </c>
      <c r="P18" s="67" cm="1">
        <f t="array" aca="1" ref="P18" ca="1">IFERROR(INDEX(OpEx!$D:$AC, MATCH("Total OpEx ($mm)", OpEx!$A:$A, 0), P$5+1), 0)</f>
        <v>3258.834246071915</v>
      </c>
      <c r="Q18" s="67" cm="1">
        <f t="array" aca="1" ref="Q18" ca="1">IFERROR(INDEX(OpEx!$D:$AC, MATCH("Total OpEx ($mm)", OpEx!$A:$A, 0), Q$5+1), 0)</f>
        <v>3328.6176258402388</v>
      </c>
      <c r="R18" s="67" cm="1">
        <f t="array" aca="1" ref="R18" ca="1">IFERROR(INDEX(OpEx!$D:$AC, MATCH("Total OpEx ($mm)", OpEx!$A:$A, 0), R$5+1), 0)</f>
        <v>2902.1815349322724</v>
      </c>
      <c r="S18" s="67" cm="1">
        <f t="array" aca="1" ref="S18" ca="1">IFERROR(INDEX(OpEx!$D:$AC, MATCH("Total OpEx ($mm)", OpEx!$A:$A, 0), S$5+1), 0)</f>
        <v>2734.723287281513</v>
      </c>
      <c r="T18" s="67" cm="1">
        <f t="array" aca="1" ref="T18" ca="1">IFERROR(INDEX(OpEx!$D:$AC, MATCH("Total OpEx ($mm)", OpEx!$A:$A, 0), T$5+1), 0)</f>
        <v>3001.6561140389367</v>
      </c>
      <c r="U18" s="67" cm="1">
        <f t="array" aca="1" ref="U18" ca="1">IFERROR(INDEX(OpEx!$D:$AC, MATCH("Total OpEx ($mm)", OpEx!$A:$A, 0), U$5+1), 0)</f>
        <v>2647.6797529339797</v>
      </c>
      <c r="V18" s="67" cm="1">
        <f t="array" aca="1" ref="V18" ca="1">IFERROR(INDEX(OpEx!$D:$AC, MATCH("Total OpEx ($mm)", OpEx!$A:$A, 0), V$5+1), 0)</f>
        <v>2845.6612215656069</v>
      </c>
      <c r="W18" s="67" cm="1">
        <f t="array" aca="1" ref="W18" ca="1">IFERROR(INDEX(OpEx!$D:$AC, MATCH("Total OpEx ($mm)", OpEx!$A:$A, 0), W$5+1), 0)</f>
        <v>2782.2842395754028</v>
      </c>
      <c r="X18" s="67" cm="1">
        <f t="array" aca="1" ref="X18" ca="1">IFERROR(INDEX(OpEx!$D:$AC, MATCH("Total OpEx ($mm)", OpEx!$A:$A, 0), X$5+1), 0)</f>
        <v>2550.7352282528391</v>
      </c>
      <c r="Y18" s="67" cm="1">
        <f t="array" aca="1" ref="Y18" ca="1">IFERROR(INDEX(OpEx!$D:$AC, MATCH("Total OpEx ($mm)", OpEx!$A:$A, 0), Y$5+1), 0)</f>
        <v>2887.8584204544568</v>
      </c>
      <c r="Z18" s="67" cm="1">
        <f t="array" aca="1" ref="Z18" ca="1">IFERROR(INDEX(OpEx!$D:$AC, MATCH("Total OpEx ($mm)", OpEx!$A:$A, 0), Z$5+1), 0)</f>
        <v>2504.8467970367437</v>
      </c>
      <c r="AA18" s="67" cm="1">
        <f t="array" aca="1" ref="AA18" ca="1">IFERROR(INDEX(OpEx!$D:$AC, MATCH("Total OpEx ($mm)", OpEx!$A:$A, 0), AA$5+1), 0)</f>
        <v>2638.6144509159085</v>
      </c>
      <c r="AB18" s="67" cm="1">
        <f t="array" aca="1" ref="AB18" ca="1">IFERROR(INDEX(OpEx!$D:$AC, MATCH("Total OpEx ($mm)", OpEx!$A:$A, 0), AB$5+1), 0)</f>
        <v>2857.1964570023119</v>
      </c>
      <c r="AC18" s="67" cm="1">
        <f t="array" aca="1" ref="AC18" ca="1">IFERROR(INDEX(OpEx!$D:$AC, MATCH("Total OpEx ($mm)", OpEx!$A:$A, 0), AC$5+1), 0)</f>
        <v>2471.9799125310637</v>
      </c>
    </row>
    <row r="19" spans="1:29" x14ac:dyDescent="0.2">
      <c r="A19" t="s">
        <v>1446</v>
      </c>
      <c r="D19" s="67" cm="1">
        <f t="array" aca="1" ref="D19" ca="1">IFERROR(INDEX(CapEx!$D:$AC, MATCH("Total Corporate CapEx ($mm)", CapEx!$A:$A, 0), D$5+1), 0)</f>
        <v>110</v>
      </c>
      <c r="E19" s="67" cm="1">
        <f t="array" aca="1" ref="E19" ca="1">IFERROR(INDEX(CapEx!$D:$AC, MATCH("Total Corporate CapEx ($mm)", CapEx!$A:$A, 0), E$5+1), 0)</f>
        <v>110</v>
      </c>
      <c r="F19" s="67" cm="1">
        <f t="array" aca="1" ref="F19" ca="1">IFERROR(INDEX(CapEx!$D:$AC, MATCH("Total Corporate CapEx ($mm)", CapEx!$A:$A, 0), F$5+1), 0)</f>
        <v>110</v>
      </c>
      <c r="G19" s="67" cm="1">
        <f t="array" aca="1" ref="G19" ca="1">IFERROR(INDEX(CapEx!$D:$AC, MATCH("Total Corporate CapEx ($mm)", CapEx!$A:$A, 0), G$5+1), 0)</f>
        <v>110</v>
      </c>
      <c r="H19" s="67" cm="1">
        <f t="array" aca="1" ref="H19" ca="1">IFERROR(INDEX(CapEx!$D:$AC, MATCH("Total Corporate CapEx ($mm)", CapEx!$A:$A, 0), H$5+1), 0)</f>
        <v>110</v>
      </c>
      <c r="I19" s="67" cm="1">
        <f t="array" aca="1" ref="I19" ca="1">IFERROR(INDEX(CapEx!$D:$AC, MATCH("Total Corporate CapEx ($mm)", CapEx!$A:$A, 0), I$5+1), 0)</f>
        <v>110</v>
      </c>
      <c r="J19" s="67" cm="1">
        <f t="array" aca="1" ref="J19" ca="1">IFERROR(INDEX(CapEx!$D:$AC, MATCH("Total Corporate CapEx ($mm)", CapEx!$A:$A, 0), J$5+1), 0)</f>
        <v>110</v>
      </c>
      <c r="K19" s="67" cm="1">
        <f t="array" aca="1" ref="K19" ca="1">IFERROR(INDEX(CapEx!$D:$AC, MATCH("Total Corporate CapEx ($mm)", CapEx!$A:$A, 0), K$5+1), 0)</f>
        <v>110</v>
      </c>
      <c r="L19" s="67" cm="1">
        <f t="array" aca="1" ref="L19" ca="1">IFERROR(INDEX(CapEx!$D:$AC, MATCH("Total Corporate CapEx ($mm)", CapEx!$A:$A, 0), L$5+1), 0)</f>
        <v>110</v>
      </c>
      <c r="M19" s="67" cm="1">
        <f t="array" aca="1" ref="M19" ca="1">IFERROR(INDEX(CapEx!$D:$AC, MATCH("Total Corporate CapEx ($mm)", CapEx!$A:$A, 0), M$5+1), 0)</f>
        <v>110</v>
      </c>
      <c r="N19" s="67" cm="1">
        <f t="array" aca="1" ref="N19" ca="1">IFERROR(INDEX(CapEx!$D:$AC, MATCH("Total Corporate CapEx ($mm)", CapEx!$A:$A, 0), N$5+1), 0)</f>
        <v>110</v>
      </c>
      <c r="O19" s="67" cm="1">
        <f t="array" aca="1" ref="O19" ca="1">IFERROR(INDEX(CapEx!$D:$AC, MATCH("Total Corporate CapEx ($mm)", CapEx!$A:$A, 0), O$5+1), 0)</f>
        <v>110</v>
      </c>
      <c r="P19" s="67" cm="1">
        <f t="array" aca="1" ref="P19" ca="1">IFERROR(INDEX(CapEx!$D:$AC, MATCH("Total Corporate CapEx ($mm)", CapEx!$A:$A, 0), P$5+1), 0)</f>
        <v>110</v>
      </c>
      <c r="Q19" s="67" cm="1">
        <f t="array" aca="1" ref="Q19" ca="1">IFERROR(INDEX(CapEx!$D:$AC, MATCH("Total Corporate CapEx ($mm)", CapEx!$A:$A, 0), Q$5+1), 0)</f>
        <v>110</v>
      </c>
      <c r="R19" s="67" cm="1">
        <f t="array" aca="1" ref="R19" ca="1">IFERROR(INDEX(CapEx!$D:$AC, MATCH("Total Corporate CapEx ($mm)", CapEx!$A:$A, 0), R$5+1), 0)</f>
        <v>110</v>
      </c>
      <c r="S19" s="67" cm="1">
        <f t="array" aca="1" ref="S19" ca="1">IFERROR(INDEX(CapEx!$D:$AC, MATCH("Total Corporate CapEx ($mm)", CapEx!$A:$A, 0), S$5+1), 0)</f>
        <v>110</v>
      </c>
      <c r="T19" s="67" cm="1">
        <f t="array" aca="1" ref="T19" ca="1">IFERROR(INDEX(CapEx!$D:$AC, MATCH("Total Corporate CapEx ($mm)", CapEx!$A:$A, 0), T$5+1), 0)</f>
        <v>110</v>
      </c>
      <c r="U19" s="67" cm="1">
        <f t="array" aca="1" ref="U19" ca="1">IFERROR(INDEX(CapEx!$D:$AC, MATCH("Total Corporate CapEx ($mm)", CapEx!$A:$A, 0), U$5+1), 0)</f>
        <v>110</v>
      </c>
      <c r="V19" s="67" cm="1">
        <f t="array" aca="1" ref="V19" ca="1">IFERROR(INDEX(CapEx!$D:$AC, MATCH("Total Corporate CapEx ($mm)", CapEx!$A:$A, 0), V$5+1), 0)</f>
        <v>110</v>
      </c>
      <c r="W19" s="67" cm="1">
        <f t="array" aca="1" ref="W19" ca="1">IFERROR(INDEX(CapEx!$D:$AC, MATCH("Total Corporate CapEx ($mm)", CapEx!$A:$A, 0), W$5+1), 0)</f>
        <v>110</v>
      </c>
      <c r="X19" s="67" cm="1">
        <f t="array" aca="1" ref="X19" ca="1">IFERROR(INDEX(CapEx!$D:$AC, MATCH("Total Corporate CapEx ($mm)", CapEx!$A:$A, 0), X$5+1), 0)</f>
        <v>110</v>
      </c>
      <c r="Y19" s="67" cm="1">
        <f t="array" aca="1" ref="Y19" ca="1">IFERROR(INDEX(CapEx!$D:$AC, MATCH("Total Corporate CapEx ($mm)", CapEx!$A:$A, 0), Y$5+1), 0)</f>
        <v>110</v>
      </c>
      <c r="Z19" s="67" cm="1">
        <f t="array" aca="1" ref="Z19" ca="1">IFERROR(INDEX(CapEx!$D:$AC, MATCH("Total Corporate CapEx ($mm)", CapEx!$A:$A, 0), Z$5+1), 0)</f>
        <v>110</v>
      </c>
      <c r="AA19" s="67" cm="1">
        <f t="array" aca="1" ref="AA19" ca="1">IFERROR(INDEX(CapEx!$D:$AC, MATCH("Total Corporate CapEx ($mm)", CapEx!$A:$A, 0), AA$5+1), 0)</f>
        <v>110</v>
      </c>
      <c r="AB19" s="67" cm="1">
        <f t="array" aca="1" ref="AB19" ca="1">IFERROR(INDEX(CapEx!$D:$AC, MATCH("Total Corporate CapEx ($mm)", CapEx!$A:$A, 0), AB$5+1), 0)</f>
        <v>110</v>
      </c>
      <c r="AC19" s="67" cm="1">
        <f t="array" aca="1" ref="AC19" ca="1">IFERROR(INDEX(CapEx!$D:$AC, MATCH("Total Corporate CapEx ($mm)", CapEx!$A:$A, 0), AC$5+1), 0)</f>
        <v>110</v>
      </c>
    </row>
    <row r="20" spans="1:29" x14ac:dyDescent="0.2">
      <c r="A20" t="s">
        <v>1447</v>
      </c>
      <c r="D20" s="67" cm="1">
        <f t="array" aca="1" ref="D20" ca="1">IFERROR(INDEX(CapEx!$D:$AC, MATCH("EchoStar mid-band CapEx ($mm)", CapEx!$A:$A, 0), D$5+1), 0)</f>
        <v>5000</v>
      </c>
      <c r="E20" s="67" cm="1">
        <f t="array" aca="1" ref="E20" ca="1">IFERROR(INDEX(CapEx!$D:$AC, MATCH("EchoStar mid-band CapEx ($mm)", CapEx!$A:$A, 0), E$5+1), 0)</f>
        <v>8000</v>
      </c>
      <c r="F20" s="67" cm="1">
        <f t="array" aca="1" ref="F20" ca="1">IFERROR(INDEX(CapEx!$D:$AC, MATCH("EchoStar mid-band CapEx ($mm)", CapEx!$A:$A, 0), F$5+1), 0)</f>
        <v>5000</v>
      </c>
      <c r="G20" s="67" cm="1">
        <f t="array" aca="1" ref="G20" ca="1">IFERROR(INDEX(CapEx!$D:$AC, MATCH("EchoStar mid-band CapEx ($mm)", CapEx!$A:$A, 0), G$5+1), 0)</f>
        <v>2000</v>
      </c>
      <c r="H20" s="67" cm="1">
        <f t="array" aca="1" ref="H20" ca="1">IFERROR(INDEX(CapEx!$D:$AC, MATCH("EchoStar mid-band CapEx ($mm)", CapEx!$A:$A, 0), H$5+1), 0)</f>
        <v>0</v>
      </c>
      <c r="I20" s="67" cm="1">
        <f t="array" aca="1" ref="I20" ca="1">IFERROR(INDEX(CapEx!$D:$AC, MATCH("EchoStar mid-band CapEx ($mm)", CapEx!$A:$A, 0), I$5+1), 0)</f>
        <v>0</v>
      </c>
      <c r="J20" s="67" cm="1">
        <f t="array" aca="1" ref="J20" ca="1">IFERROR(INDEX(CapEx!$D:$AC, MATCH("EchoStar mid-band CapEx ($mm)", CapEx!$A:$A, 0), J$5+1), 0)</f>
        <v>0</v>
      </c>
      <c r="K20" s="67" cm="1">
        <f t="array" aca="1" ref="K20" ca="1">IFERROR(INDEX(CapEx!$D:$AC, MATCH("EchoStar mid-band CapEx ($mm)", CapEx!$A:$A, 0), K$5+1), 0)</f>
        <v>0</v>
      </c>
      <c r="L20" s="67" cm="1">
        <f t="array" aca="1" ref="L20" ca="1">IFERROR(INDEX(CapEx!$D:$AC, MATCH("EchoStar mid-band CapEx ($mm)", CapEx!$A:$A, 0), L$5+1), 0)</f>
        <v>0</v>
      </c>
      <c r="M20" s="67" cm="1">
        <f t="array" aca="1" ref="M20" ca="1">IFERROR(INDEX(CapEx!$D:$AC, MATCH("EchoStar mid-band CapEx ($mm)", CapEx!$A:$A, 0), M$5+1), 0)</f>
        <v>0</v>
      </c>
      <c r="N20" s="67" cm="1">
        <f t="array" aca="1" ref="N20" ca="1">IFERROR(INDEX(CapEx!$D:$AC, MATCH("EchoStar mid-band CapEx ($mm)", CapEx!$A:$A, 0), N$5+1), 0)</f>
        <v>0</v>
      </c>
      <c r="O20" s="67" cm="1">
        <f t="array" aca="1" ref="O20" ca="1">IFERROR(INDEX(CapEx!$D:$AC, MATCH("EchoStar mid-band CapEx ($mm)", CapEx!$A:$A, 0), O$5+1), 0)</f>
        <v>0</v>
      </c>
      <c r="P20" s="67" cm="1">
        <f t="array" aca="1" ref="P20" ca="1">IFERROR(INDEX(CapEx!$D:$AC, MATCH("EchoStar mid-band CapEx ($mm)", CapEx!$A:$A, 0), P$5+1), 0)</f>
        <v>0</v>
      </c>
      <c r="Q20" s="67" cm="1">
        <f t="array" aca="1" ref="Q20" ca="1">IFERROR(INDEX(CapEx!$D:$AC, MATCH("EchoStar mid-band CapEx ($mm)", CapEx!$A:$A, 0), Q$5+1), 0)</f>
        <v>0</v>
      </c>
      <c r="R20" s="67" cm="1">
        <f t="array" aca="1" ref="R20" ca="1">IFERROR(INDEX(CapEx!$D:$AC, MATCH("EchoStar mid-band CapEx ($mm)", CapEx!$A:$A, 0), R$5+1), 0)</f>
        <v>0</v>
      </c>
      <c r="S20" s="67" cm="1">
        <f t="array" aca="1" ref="S20" ca="1">IFERROR(INDEX(CapEx!$D:$AC, MATCH("EchoStar mid-band CapEx ($mm)", CapEx!$A:$A, 0), S$5+1), 0)</f>
        <v>0</v>
      </c>
      <c r="T20" s="67" cm="1">
        <f t="array" aca="1" ref="T20" ca="1">IFERROR(INDEX(CapEx!$D:$AC, MATCH("EchoStar mid-band CapEx ($mm)", CapEx!$A:$A, 0), T$5+1), 0)</f>
        <v>0</v>
      </c>
      <c r="U20" s="67" cm="1">
        <f t="array" aca="1" ref="U20" ca="1">IFERROR(INDEX(CapEx!$D:$AC, MATCH("EchoStar mid-band CapEx ($mm)", CapEx!$A:$A, 0), U$5+1), 0)</f>
        <v>0</v>
      </c>
      <c r="V20" s="67" cm="1">
        <f t="array" aca="1" ref="V20" ca="1">IFERROR(INDEX(CapEx!$D:$AC, MATCH("EchoStar mid-band CapEx ($mm)", CapEx!$A:$A, 0), V$5+1), 0)</f>
        <v>0</v>
      </c>
      <c r="W20" s="67" cm="1">
        <f t="array" aca="1" ref="W20" ca="1">IFERROR(INDEX(CapEx!$D:$AC, MATCH("EchoStar mid-band CapEx ($mm)", CapEx!$A:$A, 0), W$5+1), 0)</f>
        <v>0</v>
      </c>
      <c r="X20" s="67" cm="1">
        <f t="array" aca="1" ref="X20" ca="1">IFERROR(INDEX(CapEx!$D:$AC, MATCH("EchoStar mid-band CapEx ($mm)", CapEx!$A:$A, 0), X$5+1), 0)</f>
        <v>0</v>
      </c>
      <c r="Y20" s="67" cm="1">
        <f t="array" aca="1" ref="Y20" ca="1">IFERROR(INDEX(CapEx!$D:$AC, MATCH("EchoStar mid-band CapEx ($mm)", CapEx!$A:$A, 0), Y$5+1), 0)</f>
        <v>0</v>
      </c>
      <c r="Z20" s="67" cm="1">
        <f t="array" aca="1" ref="Z20" ca="1">IFERROR(INDEX(CapEx!$D:$AC, MATCH("EchoStar mid-band CapEx ($mm)", CapEx!$A:$A, 0), Z$5+1), 0)</f>
        <v>0</v>
      </c>
      <c r="AA20" s="67" cm="1">
        <f t="array" aca="1" ref="AA20" ca="1">IFERROR(INDEX(CapEx!$D:$AC, MATCH("EchoStar mid-band CapEx ($mm)", CapEx!$A:$A, 0), AA$5+1), 0)</f>
        <v>0</v>
      </c>
      <c r="AB20" s="67" cm="1">
        <f t="array" aca="1" ref="AB20" ca="1">IFERROR(INDEX(CapEx!$D:$AC, MATCH("EchoStar mid-band CapEx ($mm)", CapEx!$A:$A, 0), AB$5+1), 0)</f>
        <v>0</v>
      </c>
      <c r="AC20" s="67" cm="1">
        <f t="array" aca="1" ref="AC20" ca="1">IFERROR(INDEX(CapEx!$D:$AC, MATCH("EchoStar mid-band CapEx ($mm)", CapEx!$A:$A, 0), AC$5+1), 0)</f>
        <v>0</v>
      </c>
    </row>
    <row r="21" spans="1:29" x14ac:dyDescent="0.2">
      <c r="A21" t="s">
        <v>1448</v>
      </c>
      <c r="D21" s="67" cm="1">
        <f t="array" aca="1" ref="D21" ca="1">IFERROR(INDEX('Group P&amp;L'!$D:$AC, MATCH("Taxes ($mm)", 'Group P&amp;L'!$A:$A, 0), D$5+1), 0)</f>
        <v>819.83327102855537</v>
      </c>
      <c r="E21" s="67" cm="1">
        <f t="array" aca="1" ref="E21" ca="1">IFERROR(INDEX('Group P&amp;L'!$D:$AC, MATCH("Taxes ($mm)", 'Group P&amp;L'!$A:$A, 0), E$5+1), 0)</f>
        <v>1023.0915920515563</v>
      </c>
      <c r="F21" s="67" cm="1">
        <f t="array" aca="1" ref="F21" ca="1">IFERROR(INDEX('Group P&amp;L'!$D:$AC, MATCH("Taxes ($mm)", 'Group P&amp;L'!$A:$A, 0), F$5+1), 0)</f>
        <v>710.21718601512248</v>
      </c>
      <c r="G21" s="67" cm="1">
        <f t="array" aca="1" ref="G21" ca="1">IFERROR(INDEX('Group P&amp;L'!$D:$AC, MATCH("Taxes ($mm)", 'Group P&amp;L'!$A:$A, 0), G$5+1), 0)</f>
        <v>492.51791376779329</v>
      </c>
      <c r="H21" s="67" cm="1">
        <f t="array" aca="1" ref="H21" ca="1">IFERROR(INDEX('Group P&amp;L'!$D:$AC, MATCH("Taxes ($mm)", 'Group P&amp;L'!$A:$A, 0), H$5+1), 0)</f>
        <v>285.70274263482628</v>
      </c>
      <c r="I21" s="67" cm="1">
        <f t="array" aca="1" ref="I21" ca="1">IFERROR(INDEX('Group P&amp;L'!$D:$AC, MATCH("Taxes ($mm)", 'Group P&amp;L'!$A:$A, 0), I$5+1), 0)</f>
        <v>226.4592613374181</v>
      </c>
      <c r="J21" s="67" cm="1">
        <f t="array" aca="1" ref="J21" ca="1">IFERROR(INDEX('Group P&amp;L'!$D:$AC, MATCH("Taxes ($mm)", 'Group P&amp;L'!$A:$A, 0), J$5+1), 0)</f>
        <v>190.39147790894387</v>
      </c>
      <c r="K21" s="67" cm="1">
        <f t="array" aca="1" ref="K21" ca="1">IFERROR(INDEX('Group P&amp;L'!$D:$AC, MATCH("Taxes ($mm)", 'Group P&amp;L'!$A:$A, 0), K$5+1), 0)</f>
        <v>11.024267474418149</v>
      </c>
      <c r="L21" s="67" cm="1">
        <f t="array" aca="1" ref="L21" ca="1">IFERROR(INDEX('Group P&amp;L'!$D:$AC, MATCH("Taxes ($mm)", 'Group P&amp;L'!$A:$A, 0), L$5+1), 0)</f>
        <v>34.169865351985671</v>
      </c>
      <c r="M21" s="67" cm="1">
        <f t="array" aca="1" ref="M21" ca="1">IFERROR(INDEX('Group P&amp;L'!$D:$AC, MATCH("Taxes ($mm)", 'Group P&amp;L'!$A:$A, 0), M$5+1), 0)</f>
        <v>0</v>
      </c>
      <c r="N21" s="67" cm="1">
        <f t="array" aca="1" ref="N21" ca="1">IFERROR(INDEX('Group P&amp;L'!$D:$AC, MATCH("Taxes ($mm)", 'Group P&amp;L'!$A:$A, 0), N$5+1), 0)</f>
        <v>0</v>
      </c>
      <c r="O21" s="67" cm="1">
        <f t="array" aca="1" ref="O21" ca="1">IFERROR(INDEX('Group P&amp;L'!$D:$AC, MATCH("Taxes ($mm)", 'Group P&amp;L'!$A:$A, 0), O$5+1), 0)</f>
        <v>0</v>
      </c>
      <c r="P21" s="67" cm="1">
        <f t="array" aca="1" ref="P21" ca="1">IFERROR(INDEX('Group P&amp;L'!$D:$AC, MATCH("Taxes ($mm)", 'Group P&amp;L'!$A:$A, 0), P$5+1), 0)</f>
        <v>0</v>
      </c>
      <c r="Q21" s="67" cm="1">
        <f t="array" aca="1" ref="Q21" ca="1">IFERROR(INDEX('Group P&amp;L'!$D:$AC, MATCH("Taxes ($mm)", 'Group P&amp;L'!$A:$A, 0), Q$5+1), 0)</f>
        <v>0</v>
      </c>
      <c r="R21" s="67" cm="1">
        <f t="array" aca="1" ref="R21" ca="1">IFERROR(INDEX('Group P&amp;L'!$D:$AC, MATCH("Taxes ($mm)", 'Group P&amp;L'!$A:$A, 0), R$5+1), 0)</f>
        <v>0</v>
      </c>
      <c r="S21" s="67" cm="1">
        <f t="array" aca="1" ref="S21" ca="1">IFERROR(INDEX('Group P&amp;L'!$D:$AC, MATCH("Taxes ($mm)", 'Group P&amp;L'!$A:$A, 0), S$5+1), 0)</f>
        <v>0</v>
      </c>
      <c r="T21" s="67" cm="1">
        <f t="array" aca="1" ref="T21" ca="1">IFERROR(INDEX('Group P&amp;L'!$D:$AC, MATCH("Taxes ($mm)", 'Group P&amp;L'!$A:$A, 0), T$5+1), 0)</f>
        <v>0</v>
      </c>
      <c r="U21" s="67" cm="1">
        <f t="array" aca="1" ref="U21" ca="1">IFERROR(INDEX('Group P&amp;L'!$D:$AC, MATCH("Taxes ($mm)", 'Group P&amp;L'!$A:$A, 0), U$5+1), 0)</f>
        <v>0</v>
      </c>
      <c r="V21" s="67" cm="1">
        <f t="array" aca="1" ref="V21" ca="1">IFERROR(INDEX('Group P&amp;L'!$D:$AC, MATCH("Taxes ($mm)", 'Group P&amp;L'!$A:$A, 0), V$5+1), 0)</f>
        <v>0</v>
      </c>
      <c r="W21" s="67" cm="1">
        <f t="array" aca="1" ref="W21" ca="1">IFERROR(INDEX('Group P&amp;L'!$D:$AC, MATCH("Taxes ($mm)", 'Group P&amp;L'!$A:$A, 0), W$5+1), 0)</f>
        <v>0</v>
      </c>
      <c r="X21" s="67" cm="1">
        <f t="array" aca="1" ref="X21" ca="1">IFERROR(INDEX('Group P&amp;L'!$D:$AC, MATCH("Taxes ($mm)", 'Group P&amp;L'!$A:$A, 0), X$5+1), 0)</f>
        <v>0</v>
      </c>
      <c r="Y21" s="67" cm="1">
        <f t="array" aca="1" ref="Y21" ca="1">IFERROR(INDEX('Group P&amp;L'!$D:$AC, MATCH("Taxes ($mm)", 'Group P&amp;L'!$A:$A, 0), Y$5+1), 0)</f>
        <v>0</v>
      </c>
      <c r="Z21" s="67" cm="1">
        <f t="array" aca="1" ref="Z21" ca="1">IFERROR(INDEX('Group P&amp;L'!$D:$AC, MATCH("Taxes ($mm)", 'Group P&amp;L'!$A:$A, 0), Z$5+1), 0)</f>
        <v>0</v>
      </c>
      <c r="AA21" s="67" cm="1">
        <f t="array" aca="1" ref="AA21" ca="1">IFERROR(INDEX('Group P&amp;L'!$D:$AC, MATCH("Taxes ($mm)", 'Group P&amp;L'!$A:$A, 0), AA$5+1), 0)</f>
        <v>0</v>
      </c>
      <c r="AB21" s="67" cm="1">
        <f t="array" aca="1" ref="AB21" ca="1">IFERROR(INDEX('Group P&amp;L'!$D:$AC, MATCH("Taxes ($mm)", 'Group P&amp;L'!$A:$A, 0), AB$5+1), 0)</f>
        <v>0</v>
      </c>
      <c r="AC21" s="67" cm="1">
        <f t="array" aca="1" ref="AC21" ca="1">IFERROR(INDEX('Group P&amp;L'!$D:$AC, MATCH("Taxes ($mm)", 'Group P&amp;L'!$A:$A, 0), AC$5+1), 0)</f>
        <v>0</v>
      </c>
    </row>
    <row r="22" spans="1:29" x14ac:dyDescent="0.2">
      <c r="A22" t="s">
        <v>1449</v>
      </c>
      <c r="D22" s="67">
        <f ca="1">D35</f>
        <v>1000</v>
      </c>
      <c r="E22" s="67">
        <f t="shared" ref="E22:AC22" ca="1" si="1">E35</f>
        <v>1000</v>
      </c>
      <c r="F22" s="67">
        <f t="shared" ca="1" si="1"/>
        <v>1000</v>
      </c>
      <c r="G22" s="67">
        <f t="shared" ca="1" si="1"/>
        <v>1000</v>
      </c>
      <c r="H22" s="67">
        <f t="shared" ca="1" si="1"/>
        <v>1000</v>
      </c>
      <c r="I22" s="67">
        <f t="shared" ca="1" si="1"/>
        <v>1000</v>
      </c>
      <c r="J22" s="67">
        <f t="shared" ca="1" si="1"/>
        <v>1000</v>
      </c>
      <c r="K22" s="67">
        <f t="shared" ca="1" si="1"/>
        <v>1000</v>
      </c>
      <c r="L22" s="67">
        <f t="shared" ca="1" si="1"/>
        <v>1000</v>
      </c>
      <c r="M22" s="67">
        <f t="shared" ca="1" si="1"/>
        <v>1000</v>
      </c>
      <c r="N22" s="67">
        <f t="shared" ca="1" si="1"/>
        <v>1000</v>
      </c>
      <c r="O22" s="67">
        <f t="shared" ca="1" si="1"/>
        <v>1000</v>
      </c>
      <c r="P22" s="67">
        <f t="shared" ca="1" si="1"/>
        <v>1000</v>
      </c>
      <c r="Q22" s="67">
        <f t="shared" ca="1" si="1"/>
        <v>1000</v>
      </c>
      <c r="R22" s="67">
        <f t="shared" ca="1" si="1"/>
        <v>1000</v>
      </c>
      <c r="S22" s="67">
        <f t="shared" ca="1" si="1"/>
        <v>1000</v>
      </c>
      <c r="T22" s="67">
        <f t="shared" ca="1" si="1"/>
        <v>1000</v>
      </c>
      <c r="U22" s="67">
        <f t="shared" ca="1" si="1"/>
        <v>1000</v>
      </c>
      <c r="V22" s="67">
        <f t="shared" ca="1" si="1"/>
        <v>1000</v>
      </c>
      <c r="W22" s="67">
        <f t="shared" ca="1" si="1"/>
        <v>1000</v>
      </c>
      <c r="X22" s="67">
        <f t="shared" ca="1" si="1"/>
        <v>1000</v>
      </c>
      <c r="Y22" s="67">
        <f t="shared" ca="1" si="1"/>
        <v>1000</v>
      </c>
      <c r="Z22" s="67">
        <f t="shared" ca="1" si="1"/>
        <v>1000</v>
      </c>
      <c r="AA22" s="67">
        <f t="shared" ca="1" si="1"/>
        <v>1000</v>
      </c>
      <c r="AB22" s="67">
        <f t="shared" ca="1" si="1"/>
        <v>1109.4774128314027</v>
      </c>
      <c r="AC22" s="67">
        <f t="shared" ca="1" si="1"/>
        <v>1000</v>
      </c>
    </row>
    <row r="23" spans="1:29" x14ac:dyDescent="0.2">
      <c r="A23" t="s">
        <v>1450</v>
      </c>
      <c r="D23" s="67">
        <f ca="1">D156</f>
        <v>0</v>
      </c>
      <c r="E23" s="67">
        <f t="shared" ref="E23:AC23" ca="1" si="2">E156</f>
        <v>83.711001067696643</v>
      </c>
      <c r="F23" s="67">
        <f t="shared" ca="1" si="2"/>
        <v>126.98605804635768</v>
      </c>
      <c r="G23" s="67">
        <f t="shared" ca="1" si="2"/>
        <v>126.48847853225371</v>
      </c>
      <c r="H23" s="67">
        <f t="shared" ca="1" si="2"/>
        <v>152.6740640196457</v>
      </c>
      <c r="I23" s="67">
        <f t="shared" ca="1" si="2"/>
        <v>97.909677880552252</v>
      </c>
      <c r="J23" s="67">
        <f t="shared" ca="1" si="2"/>
        <v>185.01994182648582</v>
      </c>
      <c r="K23" s="67">
        <f t="shared" ca="1" si="2"/>
        <v>152.2335314703339</v>
      </c>
      <c r="L23" s="67">
        <f t="shared" ca="1" si="2"/>
        <v>36.273766787218882</v>
      </c>
      <c r="M23" s="67">
        <f t="shared" ca="1" si="2"/>
        <v>311.16892566095288</v>
      </c>
      <c r="N23" s="67">
        <f t="shared" ca="1" si="2"/>
        <v>0</v>
      </c>
      <c r="O23" s="67">
        <f t="shared" ca="1" si="2"/>
        <v>280.56468229345631</v>
      </c>
      <c r="P23" s="67">
        <f t="shared" ca="1" si="2"/>
        <v>155.70743789135295</v>
      </c>
      <c r="Q23" s="67">
        <f t="shared" ca="1" si="2"/>
        <v>0</v>
      </c>
      <c r="R23" s="67">
        <f t="shared" ca="1" si="2"/>
        <v>356.67973753112261</v>
      </c>
      <c r="S23" s="67">
        <f t="shared" ca="1" si="2"/>
        <v>0</v>
      </c>
      <c r="T23" s="67">
        <f t="shared" ca="1" si="2"/>
        <v>181.57053798840116</v>
      </c>
      <c r="U23" s="67">
        <f t="shared" ca="1" si="2"/>
        <v>294.56222454753276</v>
      </c>
      <c r="V23" s="67">
        <f t="shared" ca="1" si="2"/>
        <v>0</v>
      </c>
      <c r="W23" s="67">
        <f t="shared" ca="1" si="2"/>
        <v>414.53650387584167</v>
      </c>
      <c r="X23" s="67">
        <f t="shared" ca="1" si="2"/>
        <v>0</v>
      </c>
      <c r="Y23" s="67">
        <f t="shared" ca="1" si="2"/>
        <v>13.499151214885501</v>
      </c>
      <c r="Z23" s="67">
        <f t="shared" ca="1" si="2"/>
        <v>447.82531901337171</v>
      </c>
      <c r="AA23" s="67">
        <f t="shared" ca="1" si="2"/>
        <v>0</v>
      </c>
      <c r="AB23" s="67">
        <f t="shared" ca="1" si="2"/>
        <v>0</v>
      </c>
      <c r="AC23" s="67">
        <f t="shared" ca="1" si="2"/>
        <v>0</v>
      </c>
    </row>
    <row r="28" spans="1:29" x14ac:dyDescent="0.2">
      <c r="A28" t="s">
        <v>1451</v>
      </c>
      <c r="D28" s="67">
        <f ca="1">SUM(D18:D23)</f>
        <v>11239.511513536272</v>
      </c>
      <c r="E28" s="67">
        <f t="shared" ref="E28:AC28" ca="1" si="3">SUM(E18:E23)</f>
        <v>14165.416990611144</v>
      </c>
      <c r="F28" s="67">
        <f t="shared" ca="1" si="3"/>
        <v>10831.964803420853</v>
      </c>
      <c r="G28" s="67">
        <f t="shared" ca="1" si="3"/>
        <v>7386.8999432056444</v>
      </c>
      <c r="H28" s="67">
        <f t="shared" ca="1" si="3"/>
        <v>4963.0274915426253</v>
      </c>
      <c r="I28" s="67">
        <f t="shared" ca="1" si="3"/>
        <v>4870.0074966930579</v>
      </c>
      <c r="J28" s="67">
        <f t="shared" ca="1" si="3"/>
        <v>5010.4822300569122</v>
      </c>
      <c r="K28" s="67">
        <f t="shared" ca="1" si="3"/>
        <v>4841.8880719203953</v>
      </c>
      <c r="L28" s="67">
        <f t="shared" ca="1" si="3"/>
        <v>4875.845226614354</v>
      </c>
      <c r="M28" s="67">
        <f t="shared" ca="1" si="3"/>
        <v>5100.4316699275487</v>
      </c>
      <c r="N28" s="67">
        <f t="shared" ca="1" si="3"/>
        <v>4854.0586098017866</v>
      </c>
      <c r="O28" s="67">
        <f t="shared" ca="1" si="3"/>
        <v>5119.9256906591763</v>
      </c>
      <c r="P28" s="67">
        <f t="shared" ca="1" si="3"/>
        <v>4524.541683963268</v>
      </c>
      <c r="Q28" s="67">
        <f t="shared" ca="1" si="3"/>
        <v>4438.6176258402393</v>
      </c>
      <c r="R28" s="67">
        <f t="shared" ca="1" si="3"/>
        <v>4368.8612724633949</v>
      </c>
      <c r="S28" s="67">
        <f t="shared" ca="1" si="3"/>
        <v>3844.723287281513</v>
      </c>
      <c r="T28" s="67">
        <f t="shared" ca="1" si="3"/>
        <v>4293.2266520273379</v>
      </c>
      <c r="U28" s="67">
        <f t="shared" ca="1" si="3"/>
        <v>4052.2419774815125</v>
      </c>
      <c r="V28" s="67">
        <f t="shared" ca="1" si="3"/>
        <v>3955.6612215656069</v>
      </c>
      <c r="W28" s="67">
        <f t="shared" ca="1" si="3"/>
        <v>4306.8207434512442</v>
      </c>
      <c r="X28" s="67">
        <f t="shared" ca="1" si="3"/>
        <v>3660.7352282528391</v>
      </c>
      <c r="Y28" s="67">
        <f t="shared" ca="1" si="3"/>
        <v>4011.3575716693422</v>
      </c>
      <c r="Z28" s="67">
        <f t="shared" ca="1" si="3"/>
        <v>4062.6721160501156</v>
      </c>
      <c r="AA28" s="67">
        <f t="shared" ca="1" si="3"/>
        <v>3748.6144509159085</v>
      </c>
      <c r="AB28" s="67">
        <f t="shared" ca="1" si="3"/>
        <v>4076.6738698337149</v>
      </c>
      <c r="AC28" s="67">
        <f t="shared" ca="1" si="3"/>
        <v>3581.9799125310637</v>
      </c>
    </row>
    <row r="29" spans="1:29" x14ac:dyDescent="0.2">
      <c r="A29" t="s">
        <v>1452</v>
      </c>
      <c r="D29" s="67">
        <f ca="1">MAX(0, D15-D28)</f>
        <v>0</v>
      </c>
      <c r="E29" s="67">
        <f t="shared" ref="E29:AC29" ca="1" si="4">MAX(0, E15-E28)</f>
        <v>0</v>
      </c>
      <c r="F29" s="67">
        <f t="shared" ca="1" si="4"/>
        <v>17421.586374274586</v>
      </c>
      <c r="G29" s="67">
        <f t="shared" ca="1" si="4"/>
        <v>19114.549966597973</v>
      </c>
      <c r="H29" s="67">
        <f t="shared" ca="1" si="4"/>
        <v>20978.274505856265</v>
      </c>
      <c r="I29" s="67">
        <f t="shared" ca="1" si="4"/>
        <v>21764.795199882654</v>
      </c>
      <c r="J29" s="67">
        <f t="shared" ca="1" si="4"/>
        <v>22177.005913696063</v>
      </c>
      <c r="K29" s="67">
        <f t="shared" ca="1" si="4"/>
        <v>23077.647103619718</v>
      </c>
      <c r="L29" s="67">
        <f t="shared" ca="1" si="4"/>
        <v>23602.061183375055</v>
      </c>
      <c r="M29" s="67">
        <f t="shared" ca="1" si="4"/>
        <v>24286.560197394181</v>
      </c>
      <c r="N29" s="67">
        <f t="shared" ca="1" si="4"/>
        <v>25198.234879282471</v>
      </c>
      <c r="O29" s="67">
        <f t="shared" ca="1" si="4"/>
        <v>24904.42800651383</v>
      </c>
      <c r="P29" s="67">
        <f t="shared" ca="1" si="4"/>
        <v>27425.810276753524</v>
      </c>
      <c r="Q29" s="67">
        <f t="shared" ca="1" si="4"/>
        <v>28157.9792855173</v>
      </c>
      <c r="R29" s="67">
        <f t="shared" ca="1" si="4"/>
        <v>30688.403154990643</v>
      </c>
      <c r="S29" s="67">
        <f t="shared" ca="1" si="4"/>
        <v>33011.404993581848</v>
      </c>
      <c r="T29" s="67">
        <f t="shared" ca="1" si="4"/>
        <v>34286.550636917222</v>
      </c>
      <c r="U29" s="67">
        <f t="shared" ca="1" si="4"/>
        <v>38632.332598224464</v>
      </c>
      <c r="V29" s="67">
        <f t="shared" ca="1" si="4"/>
        <v>41428.499808627072</v>
      </c>
      <c r="W29" s="67">
        <f t="shared" ca="1" si="4"/>
        <v>45086.257621787481</v>
      </c>
      <c r="X29" s="67">
        <f t="shared" ca="1" si="4"/>
        <v>50560.279695526078</v>
      </c>
      <c r="Y29" s="67">
        <f t="shared" ca="1" si="4"/>
        <v>53950.324917408208</v>
      </c>
      <c r="Z29" s="67">
        <f t="shared" ca="1" si="4"/>
        <v>60002.528068229782</v>
      </c>
      <c r="AA29" s="67">
        <f t="shared" ca="1" si="4"/>
        <v>65165.03396232106</v>
      </c>
      <c r="AB29" s="67">
        <f t="shared" ca="1" si="4"/>
        <v>70234.12554959688</v>
      </c>
      <c r="AC29" s="67">
        <f t="shared" ca="1" si="4"/>
        <v>78600.861639376351</v>
      </c>
    </row>
    <row r="31" spans="1:29" x14ac:dyDescent="0.2">
      <c r="A31" s="13" t="s">
        <v>576</v>
      </c>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x14ac:dyDescent="0.2">
      <c r="A32" t="s">
        <v>1093</v>
      </c>
      <c r="C32" t="s">
        <v>1100</v>
      </c>
      <c r="D32" s="17">
        <f>INDEX(Assumptions!$B:$B, MATCH("Mars carve-out % of prior-year Group FCF", Assumptions!$A:$A, 0))</f>
        <v>0.15</v>
      </c>
      <c r="E32" s="17">
        <f>INDEX(Assumptions!$B:$B, MATCH("Mars carve-out % of prior-year Group FCF", Assumptions!$A:$A, 0))</f>
        <v>0.15</v>
      </c>
      <c r="F32" s="17">
        <f>INDEX(Assumptions!$B:$B, MATCH("Mars carve-out % of prior-year Group FCF", Assumptions!$A:$A, 0))</f>
        <v>0.15</v>
      </c>
      <c r="G32" s="17">
        <f>INDEX(Assumptions!$B:$B, MATCH("Mars carve-out % of prior-year Group FCF", Assumptions!$A:$A, 0))</f>
        <v>0.15</v>
      </c>
      <c r="H32" s="17">
        <f>INDEX(Assumptions!$B:$B, MATCH("Mars carve-out % of prior-year Group FCF", Assumptions!$A:$A, 0))</f>
        <v>0.15</v>
      </c>
      <c r="I32" s="17">
        <f>INDEX(Assumptions!$B:$B, MATCH("Mars carve-out % of prior-year Group FCF", Assumptions!$A:$A, 0))</f>
        <v>0.15</v>
      </c>
      <c r="J32" s="17">
        <f>INDEX(Assumptions!$B:$B, MATCH("Mars carve-out % of prior-year Group FCF", Assumptions!$A:$A, 0))</f>
        <v>0.15</v>
      </c>
      <c r="K32" s="17">
        <f>INDEX(Assumptions!$B:$B, MATCH("Mars carve-out % of prior-year Group FCF", Assumptions!$A:$A, 0))</f>
        <v>0.15</v>
      </c>
      <c r="L32" s="17">
        <f>INDEX(Assumptions!$B:$B, MATCH("Mars carve-out % of prior-year Group FCF", Assumptions!$A:$A, 0))</f>
        <v>0.15</v>
      </c>
      <c r="M32" s="17">
        <f>INDEX(Assumptions!$B:$B, MATCH("Mars carve-out % of prior-year Group FCF", Assumptions!$A:$A, 0))</f>
        <v>0.15</v>
      </c>
      <c r="N32" s="17">
        <f>INDEX(Assumptions!$B:$B, MATCH("Mars carve-out % of prior-year Group FCF", Assumptions!$A:$A, 0))</f>
        <v>0.15</v>
      </c>
      <c r="O32" s="17">
        <f>INDEX(Assumptions!$B:$B, MATCH("Mars carve-out % of prior-year Group FCF", Assumptions!$A:$A, 0))</f>
        <v>0.15</v>
      </c>
      <c r="P32" s="17">
        <f>INDEX(Assumptions!$B:$B, MATCH("Mars carve-out % of prior-year Group FCF", Assumptions!$A:$A, 0))</f>
        <v>0.15</v>
      </c>
      <c r="Q32" s="17">
        <f>INDEX(Assumptions!$B:$B, MATCH("Mars carve-out % of prior-year Group FCF", Assumptions!$A:$A, 0))</f>
        <v>0.15</v>
      </c>
      <c r="R32" s="17">
        <f>INDEX(Assumptions!$B:$B, MATCH("Mars carve-out % of prior-year Group FCF", Assumptions!$A:$A, 0))</f>
        <v>0.15</v>
      </c>
      <c r="S32" s="17">
        <f>INDEX(Assumptions!$B:$B, MATCH("Mars carve-out % of prior-year Group FCF", Assumptions!$A:$A, 0))</f>
        <v>0.15</v>
      </c>
      <c r="T32" s="17">
        <f>INDEX(Assumptions!$B:$B, MATCH("Mars carve-out % of prior-year Group FCF", Assumptions!$A:$A, 0))</f>
        <v>0.15</v>
      </c>
      <c r="U32" s="17">
        <f>INDEX(Assumptions!$B:$B, MATCH("Mars carve-out % of prior-year Group FCF", Assumptions!$A:$A, 0))</f>
        <v>0.15</v>
      </c>
      <c r="V32" s="17">
        <f>INDEX(Assumptions!$B:$B, MATCH("Mars carve-out % of prior-year Group FCF", Assumptions!$A:$A, 0))</f>
        <v>0.15</v>
      </c>
      <c r="W32" s="17">
        <f>INDEX(Assumptions!$B:$B, MATCH("Mars carve-out % of prior-year Group FCF", Assumptions!$A:$A, 0))</f>
        <v>0.15</v>
      </c>
      <c r="X32" s="17">
        <f>INDEX(Assumptions!$B:$B, MATCH("Mars carve-out % of prior-year Group FCF", Assumptions!$A:$A, 0))</f>
        <v>0.15</v>
      </c>
      <c r="Y32" s="17">
        <f>INDEX(Assumptions!$B:$B, MATCH("Mars carve-out % of prior-year Group FCF", Assumptions!$A:$A, 0))</f>
        <v>0.15</v>
      </c>
      <c r="Z32" s="17">
        <f>INDEX(Assumptions!$B:$B, MATCH("Mars carve-out % of prior-year Group FCF", Assumptions!$A:$A, 0))</f>
        <v>0.15</v>
      </c>
      <c r="AA32" s="17">
        <f>INDEX(Assumptions!$B:$B, MATCH("Mars carve-out % of prior-year Group FCF", Assumptions!$A:$A, 0))</f>
        <v>0.15</v>
      </c>
      <c r="AB32" s="17">
        <f>INDEX(Assumptions!$B:$B, MATCH("Mars carve-out % of prior-year Group FCF", Assumptions!$A:$A, 0))</f>
        <v>0.15</v>
      </c>
      <c r="AC32" s="17">
        <f>INDEX(Assumptions!$B:$B, MATCH("Mars carve-out % of prior-year Group FCF", Assumptions!$A:$A, 0))</f>
        <v>0.15</v>
      </c>
    </row>
    <row r="33" spans="1:29" x14ac:dyDescent="0.2">
      <c r="A33" t="s">
        <v>1094</v>
      </c>
      <c r="C33" t="s">
        <v>1095</v>
      </c>
      <c r="D33" s="15">
        <f>INDEX(Assumptions!$B:$B, MATCH("Mars carve-out floor ($mm/yr)", Assumptions!$A:$A, 0))</f>
        <v>1000</v>
      </c>
      <c r="E33" s="15">
        <f>INDEX(Assumptions!$B:$B, MATCH("Mars carve-out floor ($mm/yr)", Assumptions!$A:$A, 0))</f>
        <v>1000</v>
      </c>
      <c r="F33" s="15">
        <f>INDEX(Assumptions!$B:$B, MATCH("Mars carve-out floor ($mm/yr)", Assumptions!$A:$A, 0))</f>
        <v>1000</v>
      </c>
      <c r="G33" s="15">
        <f>INDEX(Assumptions!$B:$B, MATCH("Mars carve-out floor ($mm/yr)", Assumptions!$A:$A, 0))</f>
        <v>1000</v>
      </c>
      <c r="H33" s="15">
        <f>INDEX(Assumptions!$B:$B, MATCH("Mars carve-out floor ($mm/yr)", Assumptions!$A:$A, 0))</f>
        <v>1000</v>
      </c>
      <c r="I33" s="15">
        <f>INDEX(Assumptions!$B:$B, MATCH("Mars carve-out floor ($mm/yr)", Assumptions!$A:$A, 0))</f>
        <v>1000</v>
      </c>
      <c r="J33" s="15">
        <f>INDEX(Assumptions!$B:$B, MATCH("Mars carve-out floor ($mm/yr)", Assumptions!$A:$A, 0))</f>
        <v>1000</v>
      </c>
      <c r="K33" s="15">
        <f>INDEX(Assumptions!$B:$B, MATCH("Mars carve-out floor ($mm/yr)", Assumptions!$A:$A, 0))</f>
        <v>1000</v>
      </c>
      <c r="L33" s="15">
        <f>INDEX(Assumptions!$B:$B, MATCH("Mars carve-out floor ($mm/yr)", Assumptions!$A:$A, 0))</f>
        <v>1000</v>
      </c>
      <c r="M33" s="15">
        <f>INDEX(Assumptions!$B:$B, MATCH("Mars carve-out floor ($mm/yr)", Assumptions!$A:$A, 0))</f>
        <v>1000</v>
      </c>
      <c r="N33" s="15">
        <f>INDEX(Assumptions!$B:$B, MATCH("Mars carve-out floor ($mm/yr)", Assumptions!$A:$A, 0))</f>
        <v>1000</v>
      </c>
      <c r="O33" s="15">
        <f>INDEX(Assumptions!$B:$B, MATCH("Mars carve-out floor ($mm/yr)", Assumptions!$A:$A, 0))</f>
        <v>1000</v>
      </c>
      <c r="P33" s="15">
        <f>INDEX(Assumptions!$B:$B, MATCH("Mars carve-out floor ($mm/yr)", Assumptions!$A:$A, 0))</f>
        <v>1000</v>
      </c>
      <c r="Q33" s="15">
        <f>INDEX(Assumptions!$B:$B, MATCH("Mars carve-out floor ($mm/yr)", Assumptions!$A:$A, 0))</f>
        <v>1000</v>
      </c>
      <c r="R33" s="15">
        <f>INDEX(Assumptions!$B:$B, MATCH("Mars carve-out floor ($mm/yr)", Assumptions!$A:$A, 0))</f>
        <v>1000</v>
      </c>
      <c r="S33" s="15">
        <f>INDEX(Assumptions!$B:$B, MATCH("Mars carve-out floor ($mm/yr)", Assumptions!$A:$A, 0))</f>
        <v>1000</v>
      </c>
      <c r="T33" s="15">
        <f>INDEX(Assumptions!$B:$B, MATCH("Mars carve-out floor ($mm/yr)", Assumptions!$A:$A, 0))</f>
        <v>1000</v>
      </c>
      <c r="U33" s="15">
        <f>INDEX(Assumptions!$B:$B, MATCH("Mars carve-out floor ($mm/yr)", Assumptions!$A:$A, 0))</f>
        <v>1000</v>
      </c>
      <c r="V33" s="15">
        <f>INDEX(Assumptions!$B:$B, MATCH("Mars carve-out floor ($mm/yr)", Assumptions!$A:$A, 0))</f>
        <v>1000</v>
      </c>
      <c r="W33" s="15">
        <f>INDEX(Assumptions!$B:$B, MATCH("Mars carve-out floor ($mm/yr)", Assumptions!$A:$A, 0))</f>
        <v>1000</v>
      </c>
      <c r="X33" s="15">
        <f>INDEX(Assumptions!$B:$B, MATCH("Mars carve-out floor ($mm/yr)", Assumptions!$A:$A, 0))</f>
        <v>1000</v>
      </c>
      <c r="Y33" s="15">
        <f>INDEX(Assumptions!$B:$B, MATCH("Mars carve-out floor ($mm/yr)", Assumptions!$A:$A, 0))</f>
        <v>1000</v>
      </c>
      <c r="Z33" s="15">
        <f>INDEX(Assumptions!$B:$B, MATCH("Mars carve-out floor ($mm/yr)", Assumptions!$A:$A, 0))</f>
        <v>1000</v>
      </c>
      <c r="AA33" s="15">
        <f>INDEX(Assumptions!$B:$B, MATCH("Mars carve-out floor ($mm/yr)", Assumptions!$A:$A, 0))</f>
        <v>1000</v>
      </c>
      <c r="AB33" s="15">
        <f>INDEX(Assumptions!$B:$B, MATCH("Mars carve-out floor ($mm/yr)", Assumptions!$A:$A, 0))</f>
        <v>1000</v>
      </c>
      <c r="AC33" s="15">
        <f>INDEX(Assumptions!$B:$B, MATCH("Mars carve-out floor ($mm/yr)", Assumptions!$A:$A, 0))</f>
        <v>1000</v>
      </c>
    </row>
    <row r="34" spans="1:29" x14ac:dyDescent="0.2">
      <c r="A34" t="s">
        <v>1096</v>
      </c>
      <c r="C34" t="s">
        <v>1437</v>
      </c>
      <c r="D34" s="15" cm="1">
        <f t="array" aca="1" ref="D34" ca="1">IFERROR(IF(D$5=0, 0, INDEX('Group P&amp;L'!$D:$AC, MATCH("GROUP FCF ($mm)", 'Group P&amp;L'!$A:$A, 0), D$5)), 0)</f>
        <v>0</v>
      </c>
      <c r="E34" s="15" cm="1">
        <f t="array" aca="1" ref="E34" ca="1">IFERROR(IF(E$5=0, 0, INDEX('Group P&amp;L'!$D:$AC, MATCH("GROUP FCF ($mm)", 'Group P&amp;L'!$A:$A, 0), E$5)), 0)</f>
        <v>-2982.4363299713032</v>
      </c>
      <c r="F34" s="15" cm="1">
        <f t="array" aca="1" ref="F34" ca="1">IFERROR(IF(F$5=0, 0, INDEX('Group P&amp;L'!$D:$AC, MATCH("GROUP FCF ($mm)", 'Group P&amp;L'!$A:$A, 0), F$5)), 0)</f>
        <v>-3764.0124923332587</v>
      </c>
      <c r="G34" s="15" cm="1">
        <f t="array" aca="1" ref="G34" ca="1">IFERROR(IF(G$5=0, 0, INDEX('Group P&amp;L'!$D:$AC, MATCH("GROUP FCF ($mm)", 'Group P&amp;L'!$A:$A, 0), G$5)), 0)</f>
        <v>-1752.1012678918178</v>
      </c>
      <c r="H34" s="15" cm="1">
        <f t="array" aca="1" ref="H34" ca="1">IFERROR(IF(H$5=0, 0, INDEX('Group P&amp;L'!$D:$AC, MATCH("GROUP FCF ($mm)", 'Group P&amp;L'!$A:$A, 0), H$5)), 0)</f>
        <v>-560.14791240472687</v>
      </c>
      <c r="I34" s="15" cm="1">
        <f t="array" aca="1" ref="I34" ca="1">IFERROR(IF(I$5=0, 0, INDEX('Group P&amp;L'!$D:$AC, MATCH("GROUP FCF ($mm)", 'Group P&amp;L'!$A:$A, 0), I$5)), 0)</f>
        <v>693.50069917681935</v>
      </c>
      <c r="J34" s="15" cm="1">
        <f t="array" aca="1" ref="J34" ca="1">IFERROR(IF(J$5=0, 0, INDEX('Group P&amp;L'!$D:$AC, MATCH("GROUP FCF ($mm)", 'Group P&amp;L'!$A:$A, 0), J$5)), 0)</f>
        <v>552.68544717725877</v>
      </c>
      <c r="K34" s="15" cm="1">
        <f t="array" aca="1" ref="K34" ca="1">IFERROR(IF(K$5=0, 0, INDEX('Group P&amp;L'!$D:$AC, MATCH("GROUP FCF ($mm)", 'Group P&amp;L'!$A:$A, 0), K$5)), 0)</f>
        <v>732.04703178713908</v>
      </c>
      <c r="L34" s="15" cm="1">
        <f t="array" aca="1" ref="L34" ca="1">IFERROR(IF(L$5=0, 0, INDEX('Group P&amp;L'!$D:$AC, MATCH("GROUP FCF ($mm)", 'Group P&amp;L'!$A:$A, 0), L$5)), 0)</f>
        <v>558.37123444929603</v>
      </c>
      <c r="M34" s="15" cm="1">
        <f t="array" aca="1" ref="M34" ca="1">IFERROR(IF(M$5=0, 0, INDEX('Group P&amp;L'!$D:$AC, MATCH("GROUP FCF ($mm)", 'Group P&amp;L'!$A:$A, 0), M$5)), 0)</f>
        <v>909.08545733231995</v>
      </c>
      <c r="N34" s="15" cm="1">
        <f t="array" aca="1" ref="N34" ca="1">IFERROR(IF(N$5=0, 0, INDEX('Group P&amp;L'!$D:$AC, MATCH("GROUP FCF ($mm)", 'Group P&amp;L'!$A:$A, 0), N$5)), 0)</f>
        <v>665.30162176252838</v>
      </c>
      <c r="O34" s="15" cm="1">
        <f t="array" aca="1" ref="O34" ca="1">IFERROR(IF(O$5=0, 0, INDEX('Group P&amp;L'!$D:$AC, MATCH("GROUP FCF ($mm)", 'Group P&amp;L'!$A:$A, 0), O$5)), 0)</f>
        <v>-27.93979191125436</v>
      </c>
      <c r="P34" s="15" cm="1">
        <f t="array" aca="1" ref="P34" ca="1">IFERROR(IF(P$5=0, 0, INDEX('Group P&amp;L'!$D:$AC, MATCH("GROUP FCF ($mm)", 'Group P&amp;L'!$A:$A, 0), P$5)), 0)</f>
        <v>1925.9982635437859</v>
      </c>
      <c r="Q34" s="15" cm="1">
        <f t="array" aca="1" ref="Q34" ca="1">IFERROR(IF(Q$5=0, 0, INDEX('Group P&amp;L'!$D:$AC, MATCH("GROUP FCF ($mm)", 'Group P&amp;L'!$A:$A, 0), Q$5)), 0)</f>
        <v>646.24495064074517</v>
      </c>
      <c r="R34" s="15" cm="1">
        <f t="array" aca="1" ref="R34" ca="1">IFERROR(IF(R$5=0, 0, INDEX('Group P&amp;L'!$D:$AC, MATCH("GROUP FCF ($mm)", 'Group P&amp;L'!$A:$A, 0), R$5)), 0)</f>
        <v>2460.6675160964983</v>
      </c>
      <c r="S34" s="15" cm="1">
        <f t="array" aca="1" ref="S34" ca="1">IFERROR(IF(S$5=0, 0, INDEX('Group P&amp;L'!$D:$AC, MATCH("GROUP FCF ($mm)", 'Group P&amp;L'!$A:$A, 0), S$5)), 0)</f>
        <v>1798.8638534093266</v>
      </c>
      <c r="T34" s="15" cm="1">
        <f t="array" aca="1" ref="T34" ca="1">IFERROR(IF(T$5=0, 0, INDEX('Group P&amp;L'!$D:$AC, MATCH("GROUP FCF ($mm)", 'Group P&amp;L'!$A:$A, 0), T$5)), 0)</f>
        <v>1723.6490080811964</v>
      </c>
      <c r="U34" s="15" cm="1">
        <f t="array" aca="1" ref="U34" ca="1">IFERROR(IF(U$5=0, 0, INDEX('Group P&amp;L'!$D:$AC, MATCH("GROUP FCF ($mm)", 'Group P&amp;L'!$A:$A, 0), U$5)), 0)</f>
        <v>4104.7972867614117</v>
      </c>
      <c r="V34" s="15" cm="1">
        <f t="array" aca="1" ref="V34" ca="1">IFERROR(IF(V$5=0, 0, INDEX('Group P&amp;L'!$D:$AC, MATCH("GROUP FCF ($mm)", 'Group P&amp;L'!$A:$A, 0), V$5)), 0)</f>
        <v>2699.5864544867004</v>
      </c>
      <c r="W34" s="15" cm="1">
        <f t="array" aca="1" ref="W34" ca="1">IFERROR(IF(W$5=0, 0, INDEX('Group P&amp;L'!$D:$AC, MATCH("GROUP FCF ($mm)", 'Group P&amp;L'!$A:$A, 0), W$5)), 0)</f>
        <v>4008.9173350460451</v>
      </c>
      <c r="X34" s="15" cm="1">
        <f t="array" aca="1" ref="X34" ca="1">IFERROR(IF(X$5=0, 0, INDEX('Group P&amp;L'!$D:$AC, MATCH("GROUP FCF ($mm)", 'Group P&amp;L'!$A:$A, 0), X$5)), 0)</f>
        <v>4827.9365585401902</v>
      </c>
      <c r="Y34" s="15" cm="1">
        <f t="array" aca="1" ref="Y34" ca="1">IFERROR(IF(Y$5=0, 0, INDEX('Group P&amp;L'!$D:$AC, MATCH("GROUP FCF ($mm)", 'Group P&amp;L'!$A:$A, 0), Y$5)), 0)</f>
        <v>3740.6675652986369</v>
      </c>
      <c r="Z34" s="15" cm="1">
        <f t="array" aca="1" ref="Z34" ca="1">IFERROR(IF(Z$5=0, 0, INDEX('Group P&amp;L'!$D:$AC, MATCH("GROUP FCF ($mm)", 'Group P&amp;L'!$A:$A, 0), Z$5)), 0)</f>
        <v>6103.5176952023476</v>
      </c>
      <c r="AA34" s="15" cm="1">
        <f t="array" aca="1" ref="AA34" ca="1">IFERROR(IF(AA$5=0, 0, INDEX('Group P&amp;L'!$D:$AC, MATCH("GROUP FCF ($mm)", 'Group P&amp;L'!$A:$A, 0), AA$5)), 0)</f>
        <v>4848.4482289570606</v>
      </c>
      <c r="AB34" s="15" cm="1">
        <f t="array" aca="1" ref="AB34" ca="1">IFERROR(IF(AB$5=0, 0, INDEX('Group P&amp;L'!$D:$AC, MATCH("GROUP FCF ($mm)", 'Group P&amp;L'!$A:$A, 0), AB$5)), 0)</f>
        <v>5397.1510061936315</v>
      </c>
      <c r="AC34" s="15" cm="1">
        <f t="array" aca="1" ref="AC34" ca="1">IFERROR(IF(AC$5=0, 0, INDEX('Group P&amp;L'!$D:$AC, MATCH("GROUP FCF ($mm)", 'Group P&amp;L'!$A:$A, 0), AC$5)), 0)</f>
        <v>7872.0421324768295</v>
      </c>
    </row>
    <row r="35" spans="1:29" x14ac:dyDescent="0.2">
      <c r="A35" t="s">
        <v>1097</v>
      </c>
      <c r="C35" t="s">
        <v>1101</v>
      </c>
      <c r="D35" s="15">
        <f t="shared" ref="D35:AC35" ca="1" si="5">MAX(D33, D32*D34)</f>
        <v>1000</v>
      </c>
      <c r="E35" s="15">
        <f t="shared" ca="1" si="5"/>
        <v>1000</v>
      </c>
      <c r="F35" s="15">
        <f t="shared" ca="1" si="5"/>
        <v>1000</v>
      </c>
      <c r="G35" s="15">
        <f t="shared" ca="1" si="5"/>
        <v>1000</v>
      </c>
      <c r="H35" s="15">
        <f t="shared" ca="1" si="5"/>
        <v>1000</v>
      </c>
      <c r="I35" s="15">
        <f t="shared" ca="1" si="5"/>
        <v>1000</v>
      </c>
      <c r="J35" s="15">
        <f t="shared" ca="1" si="5"/>
        <v>1000</v>
      </c>
      <c r="K35" s="15">
        <f t="shared" ca="1" si="5"/>
        <v>1000</v>
      </c>
      <c r="L35" s="15">
        <f t="shared" ca="1" si="5"/>
        <v>1000</v>
      </c>
      <c r="M35" s="15">
        <f t="shared" ca="1" si="5"/>
        <v>1000</v>
      </c>
      <c r="N35" s="15">
        <f t="shared" ca="1" si="5"/>
        <v>1000</v>
      </c>
      <c r="O35" s="15">
        <f t="shared" ca="1" si="5"/>
        <v>1000</v>
      </c>
      <c r="P35" s="15">
        <f t="shared" ca="1" si="5"/>
        <v>1000</v>
      </c>
      <c r="Q35" s="15">
        <f t="shared" ca="1" si="5"/>
        <v>1000</v>
      </c>
      <c r="R35" s="15">
        <f t="shared" ca="1" si="5"/>
        <v>1000</v>
      </c>
      <c r="S35" s="15">
        <f t="shared" ca="1" si="5"/>
        <v>1000</v>
      </c>
      <c r="T35" s="15">
        <f t="shared" ca="1" si="5"/>
        <v>1000</v>
      </c>
      <c r="U35" s="15">
        <f t="shared" ca="1" si="5"/>
        <v>1000</v>
      </c>
      <c r="V35" s="15">
        <f t="shared" ca="1" si="5"/>
        <v>1000</v>
      </c>
      <c r="W35" s="15">
        <f t="shared" ca="1" si="5"/>
        <v>1000</v>
      </c>
      <c r="X35" s="15">
        <f t="shared" ca="1" si="5"/>
        <v>1000</v>
      </c>
      <c r="Y35" s="15">
        <f t="shared" ca="1" si="5"/>
        <v>1000</v>
      </c>
      <c r="Z35" s="15">
        <f t="shared" ca="1" si="5"/>
        <v>1000</v>
      </c>
      <c r="AA35" s="15">
        <f t="shared" ca="1" si="5"/>
        <v>1000</v>
      </c>
      <c r="AB35" s="15">
        <f t="shared" ca="1" si="5"/>
        <v>1000</v>
      </c>
      <c r="AC35" s="15">
        <f t="shared" ca="1" si="5"/>
        <v>1180.8063198715245</v>
      </c>
    </row>
    <row r="36" spans="1:29" x14ac:dyDescent="0.2">
      <c r="A36" t="s">
        <v>1098</v>
      </c>
      <c r="C36" t="s">
        <v>1102</v>
      </c>
      <c r="D36" s="17" cm="1">
        <f t="array" ref="D36">INDEX(Assumptions!$D:$AC, MATCH("Lunar share of Mars/Moon carve-out cash — year-row", Assumptions!$A:$A, 0), D$5+1)</f>
        <v>1</v>
      </c>
      <c r="E36" s="17" cm="1">
        <f t="array" ref="E36">INDEX(Assumptions!$D:$AC, MATCH("Lunar share of Mars/Moon carve-out cash — year-row", Assumptions!$A:$A, 0), E$5+1)</f>
        <v>1</v>
      </c>
      <c r="F36" s="17" cm="1">
        <f t="array" ref="F36">INDEX(Assumptions!$D:$AC, MATCH("Lunar share of Mars/Moon carve-out cash — year-row", Assumptions!$A:$A, 0), F$5+1)</f>
        <v>1</v>
      </c>
      <c r="G36" s="17" cm="1">
        <f t="array" ref="G36">INDEX(Assumptions!$D:$AC, MATCH("Lunar share of Mars/Moon carve-out cash — year-row", Assumptions!$A:$A, 0), G$5+1)</f>
        <v>0.7</v>
      </c>
      <c r="H36" s="17" cm="1">
        <f t="array" ref="H36">INDEX(Assumptions!$D:$AC, MATCH("Lunar share of Mars/Moon carve-out cash — year-row", Assumptions!$A:$A, 0), H$5+1)</f>
        <v>0.7</v>
      </c>
      <c r="I36" s="17" cm="1">
        <f t="array" ref="I36">INDEX(Assumptions!$D:$AC, MATCH("Lunar share of Mars/Moon carve-out cash — year-row", Assumptions!$A:$A, 0), I$5+1)</f>
        <v>0.7</v>
      </c>
      <c r="J36" s="17" cm="1">
        <f t="array" ref="J36">INDEX(Assumptions!$D:$AC, MATCH("Lunar share of Mars/Moon carve-out cash — year-row", Assumptions!$A:$A, 0), J$5+1)</f>
        <v>0.7</v>
      </c>
      <c r="K36" s="17" cm="1">
        <f t="array" ref="K36">INDEX(Assumptions!$D:$AC, MATCH("Lunar share of Mars/Moon carve-out cash — year-row", Assumptions!$A:$A, 0), K$5+1)</f>
        <v>0.7</v>
      </c>
      <c r="L36" s="17" cm="1">
        <f t="array" ref="L36">INDEX(Assumptions!$D:$AC, MATCH("Lunar share of Mars/Moon carve-out cash — year-row", Assumptions!$A:$A, 0), L$5+1)</f>
        <v>0.7</v>
      </c>
      <c r="M36" s="17" cm="1">
        <f t="array" ref="M36">INDEX(Assumptions!$D:$AC, MATCH("Lunar share of Mars/Moon carve-out cash — year-row", Assumptions!$A:$A, 0), M$5+1)</f>
        <v>0.7</v>
      </c>
      <c r="N36" s="17" cm="1">
        <f t="array" ref="N36">INDEX(Assumptions!$D:$AC, MATCH("Lunar share of Mars/Moon carve-out cash — year-row", Assumptions!$A:$A, 0), N$5+1)</f>
        <v>0.7</v>
      </c>
      <c r="O36" s="17" cm="1">
        <f t="array" ref="O36">INDEX(Assumptions!$D:$AC, MATCH("Lunar share of Mars/Moon carve-out cash — year-row", Assumptions!$A:$A, 0), O$5+1)</f>
        <v>0.7</v>
      </c>
      <c r="P36" s="17" cm="1">
        <f t="array" ref="P36">INDEX(Assumptions!$D:$AC, MATCH("Lunar share of Mars/Moon carve-out cash — year-row", Assumptions!$A:$A, 0), P$5+1)</f>
        <v>0.7</v>
      </c>
      <c r="Q36" s="17" cm="1">
        <f t="array" ref="Q36">INDEX(Assumptions!$D:$AC, MATCH("Lunar share of Mars/Moon carve-out cash — year-row", Assumptions!$A:$A, 0), Q$5+1)</f>
        <v>0.7</v>
      </c>
      <c r="R36" s="17" cm="1">
        <f t="array" ref="R36">INDEX(Assumptions!$D:$AC, MATCH("Lunar share of Mars/Moon carve-out cash — year-row", Assumptions!$A:$A, 0), R$5+1)</f>
        <v>0.7</v>
      </c>
      <c r="S36" s="17" cm="1">
        <f t="array" ref="S36">INDEX(Assumptions!$D:$AC, MATCH("Lunar share of Mars/Moon carve-out cash — year-row", Assumptions!$A:$A, 0), S$5+1)</f>
        <v>0.7</v>
      </c>
      <c r="T36" s="17" cm="1">
        <f t="array" ref="T36">INDEX(Assumptions!$D:$AC, MATCH("Lunar share of Mars/Moon carve-out cash — year-row", Assumptions!$A:$A, 0), T$5+1)</f>
        <v>0.7</v>
      </c>
      <c r="U36" s="17" cm="1">
        <f t="array" ref="U36">INDEX(Assumptions!$D:$AC, MATCH("Lunar share of Mars/Moon carve-out cash — year-row", Assumptions!$A:$A, 0), U$5+1)</f>
        <v>0.7</v>
      </c>
      <c r="V36" s="17" cm="1">
        <f t="array" ref="V36">INDEX(Assumptions!$D:$AC, MATCH("Lunar share of Mars/Moon carve-out cash — year-row", Assumptions!$A:$A, 0), V$5+1)</f>
        <v>0.7</v>
      </c>
      <c r="W36" s="17" cm="1">
        <f t="array" ref="W36">INDEX(Assumptions!$D:$AC, MATCH("Lunar share of Mars/Moon carve-out cash — year-row", Assumptions!$A:$A, 0), W$5+1)</f>
        <v>0.7</v>
      </c>
      <c r="X36" s="17" cm="1">
        <f t="array" ref="X36">INDEX(Assumptions!$D:$AC, MATCH("Lunar share of Mars/Moon carve-out cash — year-row", Assumptions!$A:$A, 0), X$5+1)</f>
        <v>0.7</v>
      </c>
      <c r="Y36" s="17" cm="1">
        <f t="array" ref="Y36">INDEX(Assumptions!$D:$AC, MATCH("Lunar share of Mars/Moon carve-out cash — year-row", Assumptions!$A:$A, 0), Y$5+1)</f>
        <v>0.7</v>
      </c>
      <c r="Z36" s="17" cm="1">
        <f t="array" ref="Z36">INDEX(Assumptions!$D:$AC, MATCH("Lunar share of Mars/Moon carve-out cash — year-row", Assumptions!$A:$A, 0), Z$5+1)</f>
        <v>0.7</v>
      </c>
      <c r="AA36" s="17" cm="1">
        <f t="array" ref="AA36">INDEX(Assumptions!$D:$AC, MATCH("Lunar share of Mars/Moon carve-out cash — year-row", Assumptions!$A:$A, 0), AA$5+1)</f>
        <v>0.7</v>
      </c>
      <c r="AB36" s="17" cm="1">
        <f t="array" ref="AB36">INDEX(Assumptions!$D:$AC, MATCH("Lunar share of Mars/Moon carve-out cash — year-row", Assumptions!$A:$A, 0), AB$5+1)</f>
        <v>0.7</v>
      </c>
      <c r="AC36" s="17" cm="1">
        <f t="array" ref="AC36">INDEX(Assumptions!$D:$AC, MATCH("Lunar share of Mars/Moon carve-out cash — year-row", Assumptions!$A:$A, 0), AC$5+1)</f>
        <v>0.7</v>
      </c>
    </row>
    <row r="37" spans="1:29" x14ac:dyDescent="0.2">
      <c r="A37" t="s">
        <v>1099</v>
      </c>
      <c r="C37" t="s">
        <v>1103</v>
      </c>
      <c r="D37" s="17" cm="1">
        <f t="array" ref="D37">INDEX(Assumptions!$D:$AC, MATCH("Mars share of carve-out cash — year-row", Assumptions!$A:$A, 0), D$5+1)</f>
        <v>0</v>
      </c>
      <c r="E37" s="17" cm="1">
        <f t="array" ref="E37">INDEX(Assumptions!$D:$AC, MATCH("Mars share of carve-out cash — year-row", Assumptions!$A:$A, 0), E$5+1)</f>
        <v>0</v>
      </c>
      <c r="F37" s="17" cm="1">
        <f t="array" ref="F37">INDEX(Assumptions!$D:$AC, MATCH("Mars share of carve-out cash — year-row", Assumptions!$A:$A, 0), F$5+1)</f>
        <v>0</v>
      </c>
      <c r="G37" s="17" cm="1">
        <f t="array" ref="G37">INDEX(Assumptions!$D:$AC, MATCH("Mars share of carve-out cash — year-row", Assumptions!$A:$A, 0), G$5+1)</f>
        <v>0.30000000000000004</v>
      </c>
      <c r="H37" s="17" cm="1">
        <f t="array" ref="H37">INDEX(Assumptions!$D:$AC, MATCH("Mars share of carve-out cash — year-row", Assumptions!$A:$A, 0), H$5+1)</f>
        <v>0.30000000000000004</v>
      </c>
      <c r="I37" s="17" cm="1">
        <f t="array" ref="I37">INDEX(Assumptions!$D:$AC, MATCH("Mars share of carve-out cash — year-row", Assumptions!$A:$A, 0), I$5+1)</f>
        <v>0.30000000000000004</v>
      </c>
      <c r="J37" s="17" cm="1">
        <f t="array" ref="J37">INDEX(Assumptions!$D:$AC, MATCH("Mars share of carve-out cash — year-row", Assumptions!$A:$A, 0), J$5+1)</f>
        <v>0.30000000000000004</v>
      </c>
      <c r="K37" s="17" cm="1">
        <f t="array" ref="K37">INDEX(Assumptions!$D:$AC, MATCH("Mars share of carve-out cash — year-row", Assumptions!$A:$A, 0), K$5+1)</f>
        <v>0.30000000000000004</v>
      </c>
      <c r="L37" s="17" cm="1">
        <f t="array" ref="L37">INDEX(Assumptions!$D:$AC, MATCH("Mars share of carve-out cash — year-row", Assumptions!$A:$A, 0), L$5+1)</f>
        <v>0.30000000000000004</v>
      </c>
      <c r="M37" s="17" cm="1">
        <f t="array" ref="M37">INDEX(Assumptions!$D:$AC, MATCH("Mars share of carve-out cash — year-row", Assumptions!$A:$A, 0), M$5+1)</f>
        <v>0.30000000000000004</v>
      </c>
      <c r="N37" s="17" cm="1">
        <f t="array" ref="N37">INDEX(Assumptions!$D:$AC, MATCH("Mars share of carve-out cash — year-row", Assumptions!$A:$A, 0), N$5+1)</f>
        <v>0.30000000000000004</v>
      </c>
      <c r="O37" s="17" cm="1">
        <f t="array" ref="O37">INDEX(Assumptions!$D:$AC, MATCH("Mars share of carve-out cash — year-row", Assumptions!$A:$A, 0), O$5+1)</f>
        <v>0.30000000000000004</v>
      </c>
      <c r="P37" s="17" cm="1">
        <f t="array" ref="P37">INDEX(Assumptions!$D:$AC, MATCH("Mars share of carve-out cash — year-row", Assumptions!$A:$A, 0), P$5+1)</f>
        <v>0.30000000000000004</v>
      </c>
      <c r="Q37" s="17" cm="1">
        <f t="array" ref="Q37">INDEX(Assumptions!$D:$AC, MATCH("Mars share of carve-out cash — year-row", Assumptions!$A:$A, 0), Q$5+1)</f>
        <v>0.30000000000000004</v>
      </c>
      <c r="R37" s="17" cm="1">
        <f t="array" ref="R37">INDEX(Assumptions!$D:$AC, MATCH("Mars share of carve-out cash — year-row", Assumptions!$A:$A, 0), R$5+1)</f>
        <v>0.30000000000000004</v>
      </c>
      <c r="S37" s="17" cm="1">
        <f t="array" ref="S37">INDEX(Assumptions!$D:$AC, MATCH("Mars share of carve-out cash — year-row", Assumptions!$A:$A, 0), S$5+1)</f>
        <v>0.30000000000000004</v>
      </c>
      <c r="T37" s="17" cm="1">
        <f t="array" ref="T37">INDEX(Assumptions!$D:$AC, MATCH("Mars share of carve-out cash — year-row", Assumptions!$A:$A, 0), T$5+1)</f>
        <v>0.30000000000000004</v>
      </c>
      <c r="U37" s="17" cm="1">
        <f t="array" ref="U37">INDEX(Assumptions!$D:$AC, MATCH("Mars share of carve-out cash — year-row", Assumptions!$A:$A, 0), U$5+1)</f>
        <v>0.30000000000000004</v>
      </c>
      <c r="V37" s="17" cm="1">
        <f t="array" ref="V37">INDEX(Assumptions!$D:$AC, MATCH("Mars share of carve-out cash — year-row", Assumptions!$A:$A, 0), V$5+1)</f>
        <v>0.30000000000000004</v>
      </c>
      <c r="W37" s="17" cm="1">
        <f t="array" ref="W37">INDEX(Assumptions!$D:$AC, MATCH("Mars share of carve-out cash — year-row", Assumptions!$A:$A, 0), W$5+1)</f>
        <v>0.30000000000000004</v>
      </c>
      <c r="X37" s="17" cm="1">
        <f t="array" ref="X37">INDEX(Assumptions!$D:$AC, MATCH("Mars share of carve-out cash — year-row", Assumptions!$A:$A, 0), X$5+1)</f>
        <v>0.30000000000000004</v>
      </c>
      <c r="Y37" s="17" cm="1">
        <f t="array" ref="Y37">INDEX(Assumptions!$D:$AC, MATCH("Mars share of carve-out cash — year-row", Assumptions!$A:$A, 0), Y$5+1)</f>
        <v>0.30000000000000004</v>
      </c>
      <c r="Z37" s="17" cm="1">
        <f t="array" ref="Z37">INDEX(Assumptions!$D:$AC, MATCH("Mars share of carve-out cash — year-row", Assumptions!$A:$A, 0), Z$5+1)</f>
        <v>0.30000000000000004</v>
      </c>
      <c r="AA37" s="17" cm="1">
        <f t="array" ref="AA37">INDEX(Assumptions!$D:$AC, MATCH("Mars share of carve-out cash — year-row", Assumptions!$A:$A, 0), AA$5+1)</f>
        <v>0.30000000000000004</v>
      </c>
      <c r="AB37" s="17" cm="1">
        <f t="array" ref="AB37">INDEX(Assumptions!$D:$AC, MATCH("Mars share of carve-out cash — year-row", Assumptions!$A:$A, 0), AB$5+1)</f>
        <v>0.30000000000000004</v>
      </c>
      <c r="AC37" s="17" cm="1">
        <f t="array" ref="AC37">INDEX(Assumptions!$D:$AC, MATCH("Mars share of carve-out cash — year-row", Assumptions!$A:$A, 0), AC$5+1)</f>
        <v>0.30000000000000004</v>
      </c>
    </row>
    <row r="39" spans="1:29" x14ac:dyDescent="0.2">
      <c r="A39" s="13" t="s">
        <v>577</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x14ac:dyDescent="0.2">
      <c r="A40" s="18"/>
    </row>
    <row r="41" spans="1:29" x14ac:dyDescent="0.2">
      <c r="A41" s="18" t="s">
        <v>1453</v>
      </c>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2">
      <c r="A42" t="s">
        <v>1454</v>
      </c>
      <c r="D42" s="67" cm="1">
        <f t="array" aca="1" ref="D42" ca="1">IFERROR(INDEX('Customer Launch'!$D:$AC, MATCH("Blended IRR", 'Customer Launch'!$A:$A, 0), D$5+1), 0)</f>
        <v>2.6729609938732311</v>
      </c>
      <c r="E42" s="67" cm="1">
        <f t="array" aca="1" ref="E42" ca="1">IFERROR(INDEX('Customer Launch'!$D:$AC, MATCH("Blended IRR", 'Customer Launch'!$A:$A, 0), E$5+1), 0)</f>
        <v>2.5531328578014794</v>
      </c>
      <c r="F42" s="67" cm="1">
        <f t="array" aca="1" ref="F42" ca="1">IFERROR(INDEX('Customer Launch'!$D:$AC, MATCH("Blended IRR", 'Customer Launch'!$A:$A, 0), F$5+1), 0)</f>
        <v>2.385410366781537</v>
      </c>
      <c r="G42" s="67" cm="1">
        <f t="array" aca="1" ref="G42" ca="1">IFERROR(INDEX('Customer Launch'!$D:$AC, MATCH("Blended IRR", 'Customer Launch'!$A:$A, 0), G$5+1), 0)</f>
        <v>2.2397200506051984</v>
      </c>
      <c r="H42" s="67" cm="1">
        <f t="array" aca="1" ref="H42" ca="1">IFERROR(INDEX('Customer Launch'!$D:$AC, MATCH("Blended IRR", 'Customer Launch'!$A:$A, 0), H$5+1), 0)</f>
        <v>2.1144672296581288</v>
      </c>
      <c r="I42" s="67" cm="1">
        <f t="array" aca="1" ref="I42" ca="1">IFERROR(INDEX('Customer Launch'!$D:$AC, MATCH("Blended IRR", 'Customer Launch'!$A:$A, 0), I$5+1), 0)</f>
        <v>1.8066340620968684</v>
      </c>
      <c r="J42" s="67" cm="1">
        <f t="array" aca="1" ref="J42" ca="1">IFERROR(INDEX('Customer Launch'!$D:$AC, MATCH("Blended IRR", 'Customer Launch'!$A:$A, 0), J$5+1), 0)</f>
        <v>1.8979413410835315</v>
      </c>
      <c r="K42" s="67" cm="1">
        <f t="array" aca="1" ref="K42" ca="1">IFERROR(INDEX('Customer Launch'!$D:$AC, MATCH("Blended IRR", 'Customer Launch'!$A:$A, 0), K$5+1), 0)</f>
        <v>1.4068518232209775</v>
      </c>
      <c r="L42" s="67" cm="1">
        <f t="array" aca="1" ref="L42" ca="1">IFERROR(INDEX('Customer Launch'!$D:$AC, MATCH("Blended IRR", 'Customer Launch'!$A:$A, 0), L$5+1), 0)</f>
        <v>1.1943528533349572</v>
      </c>
      <c r="M42" s="67" cm="1">
        <f t="array" aca="1" ref="M42" ca="1">IFERROR(INDEX('Customer Launch'!$D:$AC, MATCH("Blended IRR", 'Customer Launch'!$A:$A, 0), M$5+1), 0)</f>
        <v>1.5256964421579511</v>
      </c>
      <c r="N42" s="67" cm="1">
        <f t="array" aca="1" ref="N42" ca="1">IFERROR(INDEX('Customer Launch'!$D:$AC, MATCH("Blended IRR", 'Customer Launch'!$A:$A, 0), N$5+1), 0)</f>
        <v>0.44117181651968673</v>
      </c>
      <c r="O42" s="67" cm="1">
        <f t="array" aca="1" ref="O42" ca="1">IFERROR(INDEX('Customer Launch'!$D:$AC, MATCH("Blended IRR", 'Customer Launch'!$A:$A, 0), O$5+1), 0)</f>
        <v>1.4881756933046209</v>
      </c>
      <c r="P42" s="67" cm="1">
        <f t="array" aca="1" ref="P42" ca="1">IFERROR(INDEX('Customer Launch'!$D:$AC, MATCH("Blended IRR", 'Customer Launch'!$A:$A, 0), P$5+1), 0)</f>
        <v>0.23602864488235883</v>
      </c>
      <c r="Q42" s="67" cm="1">
        <f t="array" aca="1" ref="Q42" ca="1">IFERROR(INDEX('Customer Launch'!$D:$AC, MATCH("Blended IRR", 'Customer Launch'!$A:$A, 0), Q$5+1), 0)</f>
        <v>0.55206074836605967</v>
      </c>
      <c r="R42" s="67" cm="1">
        <f t="array" aca="1" ref="R42" ca="1">IFERROR(INDEX('Customer Launch'!$D:$AC, MATCH("Blended IRR", 'Customer Launch'!$A:$A, 0), R$5+1), 0)</f>
        <v>0.9988449968312334</v>
      </c>
      <c r="S42" s="67" cm="1">
        <f t="array" aca="1" ref="S42" ca="1">IFERROR(INDEX('Customer Launch'!$D:$AC, MATCH("Blended IRR", 'Customer Launch'!$A:$A, 0), S$5+1), 0)</f>
        <v>0.14857168812240409</v>
      </c>
      <c r="T42" s="67" cm="1">
        <f t="array" aca="1" ref="T42" ca="1">IFERROR(INDEX('Customer Launch'!$D:$AC, MATCH("Blended IRR", 'Customer Launch'!$A:$A, 0), T$5+1), 0)</f>
        <v>1.1328111362973075</v>
      </c>
      <c r="U42" s="67" cm="1">
        <f t="array" aca="1" ref="U42" ca="1">IFERROR(INDEX('Customer Launch'!$D:$AC, MATCH("Blended IRR", 'Customer Launch'!$A:$A, 0), U$5+1), 0)</f>
        <v>0.69061777500816091</v>
      </c>
      <c r="V42" s="67" cm="1">
        <f t="array" aca="1" ref="V42" ca="1">IFERROR(INDEX('Customer Launch'!$D:$AC, MATCH("Blended IRR", 'Customer Launch'!$A:$A, 0), V$5+1), 0)</f>
        <v>0.37055207039127175</v>
      </c>
      <c r="W42" s="67" cm="1">
        <f t="array" aca="1" ref="W42" ca="1">IFERROR(INDEX('Customer Launch'!$D:$AC, MATCH("Blended IRR", 'Customer Launch'!$A:$A, 0), W$5+1), 0)</f>
        <v>1.0270801831989065</v>
      </c>
      <c r="X42" s="67" cm="1">
        <f t="array" aca="1" ref="X42" ca="1">IFERROR(INDEX('Customer Launch'!$D:$AC, MATCH("Blended IRR", 'Customer Launch'!$A:$A, 0), X$5+1), 0)</f>
        <v>5.3156906932147294E-2</v>
      </c>
      <c r="Y42" s="67" cm="1">
        <f t="array" aca="1" ref="Y42" ca="1">IFERROR(INDEX('Customer Launch'!$D:$AC, MATCH("Blended IRR", 'Customer Launch'!$A:$A, 0), Y$5+1), 0)</f>
        <v>0.76127027544127024</v>
      </c>
      <c r="Z42" s="67" cm="1">
        <f t="array" aca="1" ref="Z42" ca="1">IFERROR(INDEX('Customer Launch'!$D:$AC, MATCH("Blended IRR", 'Customer Launch'!$A:$A, 0), Z$5+1), 0)</f>
        <v>0.65724961006046656</v>
      </c>
      <c r="AA42" s="67" cm="1">
        <f t="array" aca="1" ref="AA42" ca="1">IFERROR(INDEX('Customer Launch'!$D:$AC, MATCH("Blended IRR", 'Customer Launch'!$A:$A, 0), AA$5+1), 0)</f>
        <v>0.17690261450231012</v>
      </c>
      <c r="AB42" s="67" cm="1">
        <f t="array" aca="1" ref="AB42" ca="1">IFERROR(INDEX('Customer Launch'!$D:$AC, MATCH("Blended IRR", 'Customer Launch'!$A:$A, 0), AB$5+1), 0)</f>
        <v>0.27628642393847724</v>
      </c>
      <c r="AC42" s="67" cm="1">
        <f t="array" aca="1" ref="AC42" ca="1">IFERROR(INDEX('Customer Launch'!$D:$AC, MATCH("Blended IRR", 'Customer Launch'!$A:$A, 0), AC$5+1), 0)</f>
        <v>-5.0735922023684051E-3</v>
      </c>
    </row>
    <row r="43" spans="1:29" x14ac:dyDescent="0.2">
      <c r="A43" t="s">
        <v>1455</v>
      </c>
      <c r="D43" s="67" cm="1">
        <f t="array" aca="1" ref="D43" ca="1">IFERROR(INDEX('Customer Launch'!$D:$AC, MATCH("Module CapEx ($mm)", 'Customer Launch'!$A:$A, 0), D$5+1), 0)</f>
        <v>32.86065</v>
      </c>
      <c r="E43" s="67" cm="1">
        <f t="array" aca="1" ref="E43" ca="1">IFERROR(INDEX('Customer Launch'!$D:$AC, MATCH("Module CapEx ($mm)", 'Customer Launch'!$A:$A, 0), E$5+1), 0)</f>
        <v>21.808020150000001</v>
      </c>
      <c r="F43" s="67" cm="1">
        <f t="array" aca="1" ref="F43" ca="1">IFERROR(INDEX('Customer Launch'!$D:$AC, MATCH("Module CapEx ($mm)", 'Customer Launch'!$A:$A, 0), F$5+1), 0)</f>
        <v>21.780007641173597</v>
      </c>
      <c r="G43" s="67" cm="1">
        <f t="array" aca="1" ref="G43" ca="1">IFERROR(INDEX('Customer Launch'!$D:$AC, MATCH("Module CapEx ($mm)", 'Customer Launch'!$A:$A, 0), G$5+1), 0)</f>
        <v>21.752738003821573</v>
      </c>
      <c r="H43" s="67" cm="1">
        <f t="array" aca="1" ref="H43" ca="1">IFERROR(INDEX('Customer Launch'!$D:$AC, MATCH("Module CapEx ($mm)", 'Customer Launch'!$A:$A, 0), H$5+1), 0)</f>
        <v>21.278336583307627</v>
      </c>
      <c r="I43" s="67" cm="1">
        <f t="array" aca="1" ref="I43" ca="1">IFERROR(INDEX('Customer Launch'!$D:$AC, MATCH("Module CapEx ($mm)", 'Customer Launch'!$A:$A, 0), I$5+1), 0)</f>
        <v>20.738220771227518</v>
      </c>
      <c r="J43" s="67" cm="1">
        <f t="array" aca="1" ref="J43" ca="1">IFERROR(INDEX('Customer Launch'!$D:$AC, MATCH("Module CapEx ($mm)", 'Customer Launch'!$A:$A, 0), J$5+1), 0)</f>
        <v>20.554165424060848</v>
      </c>
      <c r="K43" s="67" cm="1">
        <f t="array" aca="1" ref="K43" ca="1">IFERROR(INDEX('Customer Launch'!$D:$AC, MATCH("Module CapEx ($mm)", 'Customer Launch'!$A:$A, 0), K$5+1), 0)</f>
        <v>17.606898198878618</v>
      </c>
      <c r="L43" s="67" cm="1">
        <f t="array" aca="1" ref="L43" ca="1">IFERROR(INDEX('Customer Launch'!$D:$AC, MATCH("Module CapEx ($mm)", 'Customer Launch'!$A:$A, 0), L$5+1), 0)</f>
        <v>20.164357361710092</v>
      </c>
      <c r="M43" s="67" cm="1">
        <f t="array" aca="1" ref="M43" ca="1">IFERROR(INDEX('Customer Launch'!$D:$AC, MATCH("Module CapEx ($mm)", 'Customer Launch'!$A:$A, 0), M$5+1), 0)</f>
        <v>15.389672862545268</v>
      </c>
      <c r="N43" s="67" cm="1">
        <f t="array" aca="1" ref="N43" ca="1">IFERROR(INDEX('Customer Launch'!$D:$AC, MATCH("Module CapEx ($mm)", 'Customer Launch'!$A:$A, 0), N$5+1), 0)</f>
        <v>12.867818078450918</v>
      </c>
      <c r="O43" s="67" cm="1">
        <f t="array" aca="1" ref="O43" ca="1">IFERROR(INDEX('Customer Launch'!$D:$AC, MATCH("Module CapEx ($mm)", 'Customer Launch'!$A:$A, 0), O$5+1), 0)</f>
        <v>20.500840811642526</v>
      </c>
      <c r="P43" s="67" cm="1">
        <f t="array" aca="1" ref="P43" ca="1">IFERROR(INDEX('Customer Launch'!$D:$AC, MATCH("Module CapEx ($mm)", 'Customer Launch'!$A:$A, 0), P$5+1), 0)</f>
        <v>9.728152425278326</v>
      </c>
      <c r="Q43" s="67" cm="1">
        <f t="array" aca="1" ref="Q43" ca="1">IFERROR(INDEX('Customer Launch'!$D:$AC, MATCH("Module CapEx ($mm)", 'Customer Launch'!$A:$A, 0), Q$5+1), 0)</f>
        <v>19.641346809201558</v>
      </c>
      <c r="R43" s="67" cm="1">
        <f t="array" aca="1" ref="R43" ca="1">IFERROR(INDEX('Customer Launch'!$D:$AC, MATCH("Module CapEx ($mm)", 'Customer Launch'!$A:$A, 0), R$5+1), 0)</f>
        <v>9.6940183218469755</v>
      </c>
      <c r="S43" s="67" cm="1">
        <f t="array" aca="1" ref="S43" ca="1">IFERROR(INDEX('Customer Launch'!$D:$AC, MATCH("Module CapEx ($mm)", 'Customer Launch'!$A:$A, 0), S$5+1), 0)</f>
        <v>9.4389669670404555</v>
      </c>
      <c r="T43" s="67" cm="1">
        <f t="array" aca="1" ref="T43" ca="1">IFERROR(INDEX('Customer Launch'!$D:$AC, MATCH("Module CapEx ($mm)", 'Customer Launch'!$A:$A, 0), T$5+1), 0)</f>
        <v>21.670540924447689</v>
      </c>
      <c r="U43" s="67" cm="1">
        <f t="array" aca="1" ref="U43" ca="1">IFERROR(INDEX('Customer Launch'!$D:$AC, MATCH("Module CapEx ($mm)", 'Customer Launch'!$A:$A, 0), U$5+1), 0)</f>
        <v>9.3618295321011438</v>
      </c>
      <c r="V43" s="67" cm="1">
        <f t="array" aca="1" ref="V43" ca="1">IFERROR(INDEX('Customer Launch'!$D:$AC, MATCH("Module CapEx ($mm)", 'Customer Launch'!$A:$A, 0), V$5+1), 0)</f>
        <v>18.247315463124096</v>
      </c>
      <c r="W43" s="67" cm="1">
        <f t="array" aca="1" ref="W43" ca="1">IFERROR(INDEX('Customer Launch'!$D:$AC, MATCH("Module CapEx ($mm)", 'Customer Launch'!$A:$A, 0), W$5+1), 0)</f>
        <v>17.066814007914708</v>
      </c>
      <c r="X43" s="67" cm="1">
        <f t="array" aca="1" ref="X43" ca="1">IFERROR(INDEX('Customer Launch'!$D:$AC, MATCH("Module CapEx ($mm)", 'Customer Launch'!$A:$A, 0), X$5+1), 0)</f>
        <v>9.2942847473600985</v>
      </c>
      <c r="Y43" s="67" cm="1">
        <f t="array" aca="1" ref="Y43" ca="1">IFERROR(INDEX('Customer Launch'!$D:$AC, MATCH("Module CapEx ($mm)", 'Customer Launch'!$A:$A, 0), Y$5+1), 0)</f>
        <v>23.176314323045514</v>
      </c>
      <c r="Z43" s="67" cm="1">
        <f t="array" aca="1" ref="Z43" ca="1">IFERROR(INDEX('Customer Launch'!$D:$AC, MATCH("Module CapEx ($mm)", 'Customer Launch'!$A:$A, 0), Z$5+1), 0)</f>
        <v>9.2124907558610865</v>
      </c>
      <c r="AA43" s="67" cm="1">
        <f t="array" aca="1" ref="AA43" ca="1">IFERROR(INDEX('Customer Launch'!$D:$AC, MATCH("Module CapEx ($mm)", 'Customer Launch'!$A:$A, 0), AA$5+1), 0)</f>
        <v>14.968161921052891</v>
      </c>
      <c r="AB43" s="67" cm="1">
        <f t="array" aca="1" ref="AB43" ca="1">IFERROR(INDEX('Customer Launch'!$D:$AC, MATCH("Module CapEx ($mm)", 'Customer Launch'!$A:$A, 0), AB$5+1), 0)</f>
        <v>23.782098503837815</v>
      </c>
      <c r="AC43" s="67" cm="1">
        <f t="array" aca="1" ref="AC43" ca="1">IFERROR(INDEX('Customer Launch'!$D:$AC, MATCH("Module CapEx ($mm)", 'Customer Launch'!$A:$A, 0), AC$5+1), 0)</f>
        <v>9.1984313819988142</v>
      </c>
    </row>
    <row r="44" spans="1:29" x14ac:dyDescent="0.2">
      <c r="A44" t="s">
        <v>1456</v>
      </c>
      <c r="D44" s="68">
        <f ca="1">MAX(D42, 0)^INDEX(Assumptions!$B:$B, MATCH("Sigmoid IRR-blend exponent k", Assumptions!$A:$A, 0)) * IF(D43 &gt; 0, 1, 0)</f>
        <v>7.1447204747677713</v>
      </c>
      <c r="E44" s="68">
        <f ca="1">MAX(E42, 0)^INDEX(Assumptions!$B:$B, MATCH("Sigmoid IRR-blend exponent k", Assumptions!$A:$A, 0)) * IF(E43 &gt; 0, 1, 0)</f>
        <v>6.5184873895855491</v>
      </c>
      <c r="F44" s="68">
        <f ca="1">MAX(F42, 0)^INDEX(Assumptions!$B:$B, MATCH("Sigmoid IRR-blend exponent k", Assumptions!$A:$A, 0)) * IF(F43 &gt; 0, 1, 0)</f>
        <v>5.6901826179488264</v>
      </c>
      <c r="G44" s="68">
        <f ca="1">MAX(G42, 0)^INDEX(Assumptions!$B:$B, MATCH("Sigmoid IRR-blend exponent k", Assumptions!$A:$A, 0)) * IF(G43 &gt; 0, 1, 0)</f>
        <v>5.0163459050829529</v>
      </c>
      <c r="H44" s="68">
        <f ca="1">MAX(H42, 0)^INDEX(Assumptions!$B:$B, MATCH("Sigmoid IRR-blend exponent k", Assumptions!$A:$A, 0)) * IF(H43 &gt; 0, 1, 0)</f>
        <v>4.470971665298122</v>
      </c>
      <c r="I44" s="68">
        <f ca="1">MAX(I42, 0)^INDEX(Assumptions!$B:$B, MATCH("Sigmoid IRR-blend exponent k", Assumptions!$A:$A, 0)) * IF(I43 &gt; 0, 1, 0)</f>
        <v>3.2639266343286315</v>
      </c>
      <c r="J44" s="68">
        <f ca="1">MAX(J42, 0)^INDEX(Assumptions!$B:$B, MATCH("Sigmoid IRR-blend exponent k", Assumptions!$A:$A, 0)) * IF(J43 &gt; 0, 1, 0)</f>
        <v>3.6021813341939541</v>
      </c>
      <c r="K44" s="68">
        <f ca="1">MAX(K42, 0)^INDEX(Assumptions!$B:$B, MATCH("Sigmoid IRR-blend exponent k", Assumptions!$A:$A, 0)) * IF(K43 &gt; 0, 1, 0)</f>
        <v>1.9792320525001885</v>
      </c>
      <c r="L44" s="68">
        <f ca="1">MAX(L42, 0)^INDEX(Assumptions!$B:$B, MATCH("Sigmoid IRR-blend exponent k", Assumptions!$A:$A, 0)) * IF(L43 &gt; 0, 1, 0)</f>
        <v>1.4264787382693538</v>
      </c>
      <c r="M44" s="68">
        <f ca="1">MAX(M42, 0)^INDEX(Assumptions!$B:$B, MATCH("Sigmoid IRR-blend exponent k", Assumptions!$A:$A, 0)) * IF(M43 &gt; 0, 1, 0)</f>
        <v>2.32774963361343</v>
      </c>
      <c r="N44" s="68">
        <f ca="1">MAX(N42, 0)^INDEX(Assumptions!$B:$B, MATCH("Sigmoid IRR-blend exponent k", Assumptions!$A:$A, 0)) * IF(N43 &gt; 0, 1, 0)</f>
        <v>0.19463257169128015</v>
      </c>
      <c r="O44" s="68">
        <f ca="1">MAX(O42, 0)^INDEX(Assumptions!$B:$B, MATCH("Sigmoid IRR-blend exponent k", Assumptions!$A:$A, 0)) * IF(O43 &gt; 0, 1, 0)</f>
        <v>2.214666894142689</v>
      </c>
      <c r="P44" s="68">
        <f ca="1">MAX(P42, 0)^INDEX(Assumptions!$B:$B, MATCH("Sigmoid IRR-blend exponent k", Assumptions!$A:$A, 0)) * IF(P43 &gt; 0, 1, 0)</f>
        <v>5.5709521205002659E-2</v>
      </c>
      <c r="Q44" s="68">
        <f ca="1">MAX(Q42, 0)^INDEX(Assumptions!$B:$B, MATCH("Sigmoid IRR-blend exponent k", Assumptions!$A:$A, 0)) * IF(Q43 &gt; 0, 1, 0)</f>
        <v>0.30477106988649388</v>
      </c>
      <c r="R44" s="68">
        <f ca="1">MAX(R42, 0)^INDEX(Assumptions!$B:$B, MATCH("Sigmoid IRR-blend exponent k", Assumptions!$A:$A, 0)) * IF(R43 &gt; 0, 1, 0)</f>
        <v>0.99769132769478663</v>
      </c>
      <c r="S44" s="68">
        <f ca="1">MAX(S42, 0)^INDEX(Assumptions!$B:$B, MATCH("Sigmoid IRR-blend exponent k", Assumptions!$A:$A, 0)) * IF(S43 &gt; 0, 1, 0)</f>
        <v>2.207354651154091E-2</v>
      </c>
      <c r="T44" s="68">
        <f ca="1">MAX(T42, 0)^INDEX(Assumptions!$B:$B, MATCH("Sigmoid IRR-blend exponent k", Assumptions!$A:$A, 0)) * IF(T43 &gt; 0, 1, 0)</f>
        <v>1.2832610705191969</v>
      </c>
      <c r="U44" s="68">
        <f ca="1">MAX(U42, 0)^INDEX(Assumptions!$B:$B, MATCH("Sigmoid IRR-blend exponent k", Assumptions!$A:$A, 0)) * IF(U43 &gt; 0, 1, 0)</f>
        <v>0.47695291115722277</v>
      </c>
      <c r="V44" s="68">
        <f ca="1">MAX(V42, 0)^INDEX(Assumptions!$B:$B, MATCH("Sigmoid IRR-blend exponent k", Assumptions!$A:$A, 0)) * IF(V43 &gt; 0, 1, 0)</f>
        <v>0.137308836871258</v>
      </c>
      <c r="W44" s="68">
        <f ca="1">MAX(W42, 0)^INDEX(Assumptions!$B:$B, MATCH("Sigmoid IRR-blend exponent k", Assumptions!$A:$A, 0)) * IF(W43 &gt; 0, 1, 0)</f>
        <v>1.0548937027198992</v>
      </c>
      <c r="X44" s="68">
        <f ca="1">MAX(X42, 0)^INDEX(Assumptions!$B:$B, MATCH("Sigmoid IRR-blend exponent k", Assumptions!$A:$A, 0)) * IF(X43 &gt; 0, 1, 0)</f>
        <v>2.825656754592969E-3</v>
      </c>
      <c r="Y44" s="68">
        <f ca="1">MAX(Y42, 0)^INDEX(Assumptions!$B:$B, MATCH("Sigmoid IRR-blend exponent k", Assumptions!$A:$A, 0)) * IF(Y43 &gt; 0, 1, 0)</f>
        <v>0.5795324322704275</v>
      </c>
      <c r="Z44" s="68">
        <f ca="1">MAX(Z42, 0)^INDEX(Assumptions!$B:$B, MATCH("Sigmoid IRR-blend exponent k", Assumptions!$A:$A, 0)) * IF(Z43 &gt; 0, 1, 0)</f>
        <v>0.43197704992463537</v>
      </c>
      <c r="AA44" s="68">
        <f ca="1">MAX(AA42, 0)^INDEX(Assumptions!$B:$B, MATCH("Sigmoid IRR-blend exponent k", Assumptions!$A:$A, 0)) * IF(AA43 &gt; 0, 1, 0)</f>
        <v>3.1294535017752943E-2</v>
      </c>
      <c r="AB44" s="68">
        <f ca="1">MAX(AB42, 0)^INDEX(Assumptions!$B:$B, MATCH("Sigmoid IRR-blend exponent k", Assumptions!$A:$A, 0)) * IF(AB43 &gt; 0, 1, 0)</f>
        <v>7.6334188052711971E-2</v>
      </c>
      <c r="AC44" s="68">
        <f ca="1">MAX(AC42, 0)^INDEX(Assumptions!$B:$B, MATCH("Sigmoid IRR-blend exponent k", Assumptions!$A:$A, 0)) * IF(AC43 &gt; 0, 1, 0)</f>
        <v>0</v>
      </c>
    </row>
    <row r="45" spans="1:29" x14ac:dyDescent="0.2">
      <c r="A45" t="s">
        <v>1457</v>
      </c>
      <c r="D45" s="17">
        <f ca="1">MIN(IF(D42 &gt; 0, D43, 0), $D$29 * D44 / IF($D$80 &gt; 0, $D$80, 1))</f>
        <v>0</v>
      </c>
      <c r="E45" s="17">
        <f t="shared" ref="E45:AC45" ca="1" si="6">MIN(IF(E42 &gt; 0, E43, 0), $D$29 * E44 / IF($D$80 &gt; 0, $D$80, 1))</f>
        <v>0</v>
      </c>
      <c r="F45" s="17">
        <f t="shared" ca="1" si="6"/>
        <v>0</v>
      </c>
      <c r="G45" s="17">
        <f t="shared" ca="1" si="6"/>
        <v>0</v>
      </c>
      <c r="H45" s="17">
        <f t="shared" ca="1" si="6"/>
        <v>0</v>
      </c>
      <c r="I45" s="17">
        <f t="shared" ca="1" si="6"/>
        <v>0</v>
      </c>
      <c r="J45" s="17">
        <f t="shared" ca="1" si="6"/>
        <v>0</v>
      </c>
      <c r="K45" s="17">
        <f t="shared" ca="1" si="6"/>
        <v>0</v>
      </c>
      <c r="L45" s="17">
        <f t="shared" ca="1" si="6"/>
        <v>0</v>
      </c>
      <c r="M45" s="17">
        <f t="shared" ca="1" si="6"/>
        <v>0</v>
      </c>
      <c r="N45" s="17">
        <f t="shared" ca="1" si="6"/>
        <v>0</v>
      </c>
      <c r="O45" s="17">
        <f t="shared" ca="1" si="6"/>
        <v>0</v>
      </c>
      <c r="P45" s="17">
        <f t="shared" ca="1" si="6"/>
        <v>0</v>
      </c>
      <c r="Q45" s="17">
        <f t="shared" ca="1" si="6"/>
        <v>0</v>
      </c>
      <c r="R45" s="17">
        <f t="shared" ca="1" si="6"/>
        <v>0</v>
      </c>
      <c r="S45" s="17">
        <f t="shared" ca="1" si="6"/>
        <v>0</v>
      </c>
      <c r="T45" s="17">
        <f t="shared" ca="1" si="6"/>
        <v>0</v>
      </c>
      <c r="U45" s="17">
        <f t="shared" ca="1" si="6"/>
        <v>0</v>
      </c>
      <c r="V45" s="17">
        <f t="shared" ca="1" si="6"/>
        <v>0</v>
      </c>
      <c r="W45" s="17">
        <f t="shared" ca="1" si="6"/>
        <v>0</v>
      </c>
      <c r="X45" s="17">
        <f t="shared" ca="1" si="6"/>
        <v>0</v>
      </c>
      <c r="Y45" s="17">
        <f t="shared" ca="1" si="6"/>
        <v>0</v>
      </c>
      <c r="Z45" s="17">
        <f t="shared" ca="1" si="6"/>
        <v>0</v>
      </c>
      <c r="AA45" s="17">
        <f t="shared" ca="1" si="6"/>
        <v>0</v>
      </c>
      <c r="AB45" s="17">
        <f t="shared" ca="1" si="6"/>
        <v>0</v>
      </c>
      <c r="AC45" s="17">
        <f t="shared" ca="1" si="6"/>
        <v>0</v>
      </c>
    </row>
    <row r="46" spans="1:29" x14ac:dyDescent="0.2">
      <c r="A46" s="18" t="s">
        <v>1656</v>
      </c>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row>
    <row r="47" spans="1:29" x14ac:dyDescent="0.2">
      <c r="A47" t="s">
        <v>1657</v>
      </c>
      <c r="D47" cm="1">
        <f t="array" aca="1" ref="D47" ca="1">IFERROR(INDEX(Starlink!$D:$AC, MATCH("Memo: V2 BB Blended IRR", Starlink!$A:$A, 0), D$5+1), 0)</f>
        <v>1.0015766789108715</v>
      </c>
      <c r="E47" cm="1">
        <f t="array" aca="1" ref="E47" ca="1">IFERROR(INDEX(Starlink!$D:$AC, MATCH("Memo: V2 BB Blended IRR", Starlink!$A:$A, 0), E$5+1), 0)</f>
        <v>1.3773794124583358</v>
      </c>
      <c r="F47" cm="1">
        <f t="array" aca="1" ref="F47" ca="1">IFERROR(INDEX(Starlink!$D:$AC, MATCH("Memo: V2 BB Blended IRR", Starlink!$A:$A, 0), F$5+1), 0)</f>
        <v>1.8274459502889016</v>
      </c>
      <c r="G47" cm="1">
        <f t="array" aca="1" ref="G47" ca="1">IFERROR(INDEX(Starlink!$D:$AC, MATCH("Memo: V2 BB Blended IRR", Starlink!$A:$A, 0), G$5+1), 0)</f>
        <v>-0.21617068512511844</v>
      </c>
      <c r="H47" cm="1">
        <f t="array" aca="1" ref="H47" ca="1">IFERROR(INDEX(Starlink!$D:$AC, MATCH("Memo: V2 BB Blended IRR", Starlink!$A:$A, 0), H$5+1), 0)</f>
        <v>-7.1710159733237133E-2</v>
      </c>
      <c r="I47" cm="1">
        <f t="array" aca="1" ref="I47" ca="1">IFERROR(INDEX(Starlink!$D:$AC, MATCH("Memo: V2 BB Blended IRR", Starlink!$A:$A, 0), I$5+1), 0)</f>
        <v>-1</v>
      </c>
      <c r="J47" cm="1">
        <f t="array" aca="1" ref="J47" ca="1">IFERROR(INDEX(Starlink!$D:$AC, MATCH("Memo: V2 BB Blended IRR", Starlink!$A:$A, 0), J$5+1), 0)</f>
        <v>-1</v>
      </c>
      <c r="K47" cm="1">
        <f t="array" aca="1" ref="K47" ca="1">IFERROR(INDEX(Starlink!$D:$AC, MATCH("Memo: V2 BB Blended IRR", Starlink!$A:$A, 0), K$5+1), 0)</f>
        <v>-1</v>
      </c>
      <c r="L47" cm="1">
        <f t="array" aca="1" ref="L47" ca="1">IFERROR(INDEX(Starlink!$D:$AC, MATCH("Memo: V2 BB Blended IRR", Starlink!$A:$A, 0), L$5+1), 0)</f>
        <v>-1</v>
      </c>
      <c r="M47" cm="1">
        <f t="array" aca="1" ref="M47" ca="1">IFERROR(INDEX(Starlink!$D:$AC, MATCH("Memo: V2 BB Blended IRR", Starlink!$A:$A, 0), M$5+1), 0)</f>
        <v>-1</v>
      </c>
      <c r="N47" cm="1">
        <f t="array" aca="1" ref="N47" ca="1">IFERROR(INDEX(Starlink!$D:$AC, MATCH("Memo: V2 BB Blended IRR", Starlink!$A:$A, 0), N$5+1), 0)</f>
        <v>-1</v>
      </c>
      <c r="O47" cm="1">
        <f t="array" aca="1" ref="O47" ca="1">IFERROR(INDEX(Starlink!$D:$AC, MATCH("Memo: V2 BB Blended IRR", Starlink!$A:$A, 0), O$5+1), 0)</f>
        <v>-1</v>
      </c>
      <c r="P47" cm="1">
        <f t="array" aca="1" ref="P47" ca="1">IFERROR(INDEX(Starlink!$D:$AC, MATCH("Memo: V2 BB Blended IRR", Starlink!$A:$A, 0), P$5+1), 0)</f>
        <v>-1</v>
      </c>
      <c r="Q47" cm="1">
        <f t="array" aca="1" ref="Q47" ca="1">IFERROR(INDEX(Starlink!$D:$AC, MATCH("Memo: V2 BB Blended IRR", Starlink!$A:$A, 0), Q$5+1), 0)</f>
        <v>-1</v>
      </c>
      <c r="R47" cm="1">
        <f t="array" aca="1" ref="R47" ca="1">IFERROR(INDEX(Starlink!$D:$AC, MATCH("Memo: V2 BB Blended IRR", Starlink!$A:$A, 0), R$5+1), 0)</f>
        <v>-1</v>
      </c>
      <c r="S47" cm="1">
        <f t="array" aca="1" ref="S47" ca="1">IFERROR(INDEX(Starlink!$D:$AC, MATCH("Memo: V2 BB Blended IRR", Starlink!$A:$A, 0), S$5+1), 0)</f>
        <v>-1</v>
      </c>
      <c r="T47" cm="1">
        <f t="array" aca="1" ref="T47" ca="1">IFERROR(INDEX(Starlink!$D:$AC, MATCH("Memo: V2 BB Blended IRR", Starlink!$A:$A, 0), T$5+1), 0)</f>
        <v>-1</v>
      </c>
      <c r="U47" cm="1">
        <f t="array" aca="1" ref="U47" ca="1">IFERROR(INDEX(Starlink!$D:$AC, MATCH("Memo: V2 BB Blended IRR", Starlink!$A:$A, 0), U$5+1), 0)</f>
        <v>-1</v>
      </c>
      <c r="V47" cm="1">
        <f t="array" aca="1" ref="V47" ca="1">IFERROR(INDEX(Starlink!$D:$AC, MATCH("Memo: V2 BB Blended IRR", Starlink!$A:$A, 0), V$5+1), 0)</f>
        <v>-1</v>
      </c>
      <c r="W47" cm="1">
        <f t="array" aca="1" ref="W47" ca="1">IFERROR(INDEX(Starlink!$D:$AC, MATCH("Memo: V2 BB Blended IRR", Starlink!$A:$A, 0), W$5+1), 0)</f>
        <v>-1</v>
      </c>
      <c r="X47" cm="1">
        <f t="array" aca="1" ref="X47" ca="1">IFERROR(INDEX(Starlink!$D:$AC, MATCH("Memo: V2 BB Blended IRR", Starlink!$A:$A, 0), X$5+1), 0)</f>
        <v>-1</v>
      </c>
      <c r="Y47" cm="1">
        <f t="array" aca="1" ref="Y47" ca="1">IFERROR(INDEX(Starlink!$D:$AC, MATCH("Memo: V2 BB Blended IRR", Starlink!$A:$A, 0), Y$5+1), 0)</f>
        <v>-1</v>
      </c>
      <c r="Z47" cm="1">
        <f t="array" aca="1" ref="Z47" ca="1">IFERROR(INDEX(Starlink!$D:$AC, MATCH("Memo: V2 BB Blended IRR", Starlink!$A:$A, 0), Z$5+1), 0)</f>
        <v>-1</v>
      </c>
      <c r="AA47" cm="1">
        <f t="array" aca="1" ref="AA47" ca="1">IFERROR(INDEX(Starlink!$D:$AC, MATCH("Memo: V2 BB Blended IRR", Starlink!$A:$A, 0), AA$5+1), 0)</f>
        <v>-1</v>
      </c>
      <c r="AB47" cm="1">
        <f t="array" aca="1" ref="AB47" ca="1">IFERROR(INDEX(Starlink!$D:$AC, MATCH("Memo: V2 BB Blended IRR", Starlink!$A:$A, 0), AB$5+1), 0)</f>
        <v>-1</v>
      </c>
      <c r="AC47" cm="1">
        <f t="array" aca="1" ref="AC47" ca="1">IFERROR(INDEX(Starlink!$D:$AC, MATCH("Memo: V2 BB Blended IRR", Starlink!$A:$A, 0), AC$5+1), 0)</f>
        <v>-1</v>
      </c>
    </row>
    <row r="48" spans="1:29" x14ac:dyDescent="0.2">
      <c r="A48" s="18" t="s">
        <v>1658</v>
      </c>
      <c r="D48" cm="1">
        <f t="array" aca="1" ref="D48" ca="1">IF(D$4 &gt;= INDEX(Assumptions!$B:$B, MATCH("V2 phase-out year (no V2 BB / V2 DTC launches from this year)", Assumptions!$A:$A, 0)), 0, IFERROR(INDEX(Starlink!$D:$AC, MATCH("V2 BB sat CapEx ($mm)", Starlink!$A:$A, 0), D$5+1) + INDEX(Starlink!$D:$AC, MATCH("V2 BB facility CapEx ($mm)", Starlink!$A:$A, 0), D$5+1), 0))</f>
        <v>1116.3912500000001</v>
      </c>
      <c r="E48" cm="1">
        <f t="array" aca="1" ref="E48" ca="1">IF(E$4 &gt;= INDEX(Assumptions!$B:$B, MATCH("V2 phase-out year (no V2 BB / V2 DTC launches from this year)", Assumptions!$A:$A, 0)), 0, IFERROR(INDEX(Starlink!$D:$AC, MATCH("V2 BB sat CapEx ($mm)", Starlink!$A:$A, 0), E$5+1) + INDEX(Starlink!$D:$AC, MATCH("V2 BB facility CapEx ($mm)", Starlink!$A:$A, 0), E$5+1), 0))</f>
        <v>0</v>
      </c>
      <c r="F48" cm="1">
        <f t="array" aca="1" ref="F48" ca="1">IF(F$4 &gt;= INDEX(Assumptions!$B:$B, MATCH("V2 phase-out year (no V2 BB / V2 DTC launches from this year)", Assumptions!$A:$A, 0)), 0, IFERROR(INDEX(Starlink!$D:$AC, MATCH("V2 BB sat CapEx ($mm)", Starlink!$A:$A, 0), F$5+1) + INDEX(Starlink!$D:$AC, MATCH("V2 BB facility CapEx ($mm)", Starlink!$A:$A, 0), F$5+1), 0))</f>
        <v>0</v>
      </c>
      <c r="G48" cm="1">
        <f t="array" aca="1" ref="G48" ca="1">IF(G$4 &gt;= INDEX(Assumptions!$B:$B, MATCH("V2 phase-out year (no V2 BB / V2 DTC launches from this year)", Assumptions!$A:$A, 0)), 0, IFERROR(INDEX(Starlink!$D:$AC, MATCH("V2 BB sat CapEx ($mm)", Starlink!$A:$A, 0), G$5+1) + INDEX(Starlink!$D:$AC, MATCH("V2 BB facility CapEx ($mm)", Starlink!$A:$A, 0), G$5+1), 0))</f>
        <v>0</v>
      </c>
      <c r="H48" cm="1">
        <f t="array" aca="1" ref="H48" ca="1">IF(H$4 &gt;= INDEX(Assumptions!$B:$B, MATCH("V2 phase-out year (no V2 BB / V2 DTC launches from this year)", Assumptions!$A:$A, 0)), 0, IFERROR(INDEX(Starlink!$D:$AC, MATCH("V2 BB sat CapEx ($mm)", Starlink!$A:$A, 0), H$5+1) + INDEX(Starlink!$D:$AC, MATCH("V2 BB facility CapEx ($mm)", Starlink!$A:$A, 0), H$5+1), 0))</f>
        <v>0</v>
      </c>
      <c r="I48" cm="1">
        <f t="array" aca="1" ref="I48" ca="1">IF(I$4 &gt;= INDEX(Assumptions!$B:$B, MATCH("V2 phase-out year (no V2 BB / V2 DTC launches from this year)", Assumptions!$A:$A, 0)), 0, IFERROR(INDEX(Starlink!$D:$AC, MATCH("V2 BB sat CapEx ($mm)", Starlink!$A:$A, 0), I$5+1) + INDEX(Starlink!$D:$AC, MATCH("V2 BB facility CapEx ($mm)", Starlink!$A:$A, 0), I$5+1), 0))</f>
        <v>0</v>
      </c>
      <c r="J48" cm="1">
        <f t="array" aca="1" ref="J48" ca="1">IF(J$4 &gt;= INDEX(Assumptions!$B:$B, MATCH("V2 phase-out year (no V2 BB / V2 DTC launches from this year)", Assumptions!$A:$A, 0)), 0, IFERROR(INDEX(Starlink!$D:$AC, MATCH("V2 BB sat CapEx ($mm)", Starlink!$A:$A, 0), J$5+1) + INDEX(Starlink!$D:$AC, MATCH("V2 BB facility CapEx ($mm)", Starlink!$A:$A, 0), J$5+1), 0))</f>
        <v>0</v>
      </c>
      <c r="K48" cm="1">
        <f t="array" aca="1" ref="K48" ca="1">IF(K$4 &gt;= INDEX(Assumptions!$B:$B, MATCH("V2 phase-out year (no V2 BB / V2 DTC launches from this year)", Assumptions!$A:$A, 0)), 0, IFERROR(INDEX(Starlink!$D:$AC, MATCH("V2 BB sat CapEx ($mm)", Starlink!$A:$A, 0), K$5+1) + INDEX(Starlink!$D:$AC, MATCH("V2 BB facility CapEx ($mm)", Starlink!$A:$A, 0), K$5+1), 0))</f>
        <v>0</v>
      </c>
      <c r="L48" cm="1">
        <f t="array" aca="1" ref="L48" ca="1">IF(L$4 &gt;= INDEX(Assumptions!$B:$B, MATCH("V2 phase-out year (no V2 BB / V2 DTC launches from this year)", Assumptions!$A:$A, 0)), 0, IFERROR(INDEX(Starlink!$D:$AC, MATCH("V2 BB sat CapEx ($mm)", Starlink!$A:$A, 0), L$5+1) + INDEX(Starlink!$D:$AC, MATCH("V2 BB facility CapEx ($mm)", Starlink!$A:$A, 0), L$5+1), 0))</f>
        <v>0</v>
      </c>
      <c r="M48" cm="1">
        <f t="array" aca="1" ref="M48" ca="1">IF(M$4 &gt;= INDEX(Assumptions!$B:$B, MATCH("V2 phase-out year (no V2 BB / V2 DTC launches from this year)", Assumptions!$A:$A, 0)), 0, IFERROR(INDEX(Starlink!$D:$AC, MATCH("V2 BB sat CapEx ($mm)", Starlink!$A:$A, 0), M$5+1) + INDEX(Starlink!$D:$AC, MATCH("V2 BB facility CapEx ($mm)", Starlink!$A:$A, 0), M$5+1), 0))</f>
        <v>0</v>
      </c>
      <c r="N48" cm="1">
        <f t="array" aca="1" ref="N48" ca="1">IF(N$4 &gt;= INDEX(Assumptions!$B:$B, MATCH("V2 phase-out year (no V2 BB / V2 DTC launches from this year)", Assumptions!$A:$A, 0)), 0, IFERROR(INDEX(Starlink!$D:$AC, MATCH("V2 BB sat CapEx ($mm)", Starlink!$A:$A, 0), N$5+1) + INDEX(Starlink!$D:$AC, MATCH("V2 BB facility CapEx ($mm)", Starlink!$A:$A, 0), N$5+1), 0))</f>
        <v>0</v>
      </c>
      <c r="O48" cm="1">
        <f t="array" aca="1" ref="O48" ca="1">IF(O$4 &gt;= INDEX(Assumptions!$B:$B, MATCH("V2 phase-out year (no V2 BB / V2 DTC launches from this year)", Assumptions!$A:$A, 0)), 0, IFERROR(INDEX(Starlink!$D:$AC, MATCH("V2 BB sat CapEx ($mm)", Starlink!$A:$A, 0), O$5+1) + INDEX(Starlink!$D:$AC, MATCH("V2 BB facility CapEx ($mm)", Starlink!$A:$A, 0), O$5+1), 0))</f>
        <v>0</v>
      </c>
      <c r="P48" cm="1">
        <f t="array" aca="1" ref="P48" ca="1">IF(P$4 &gt;= INDEX(Assumptions!$B:$B, MATCH("V2 phase-out year (no V2 BB / V2 DTC launches from this year)", Assumptions!$A:$A, 0)), 0, IFERROR(INDEX(Starlink!$D:$AC, MATCH("V2 BB sat CapEx ($mm)", Starlink!$A:$A, 0), P$5+1) + INDEX(Starlink!$D:$AC, MATCH("V2 BB facility CapEx ($mm)", Starlink!$A:$A, 0), P$5+1), 0))</f>
        <v>0</v>
      </c>
      <c r="Q48" cm="1">
        <f t="array" aca="1" ref="Q48" ca="1">IF(Q$4 &gt;= INDEX(Assumptions!$B:$B, MATCH("V2 phase-out year (no V2 BB / V2 DTC launches from this year)", Assumptions!$A:$A, 0)), 0, IFERROR(INDEX(Starlink!$D:$AC, MATCH("V2 BB sat CapEx ($mm)", Starlink!$A:$A, 0), Q$5+1) + INDEX(Starlink!$D:$AC, MATCH("V2 BB facility CapEx ($mm)", Starlink!$A:$A, 0), Q$5+1), 0))</f>
        <v>0</v>
      </c>
      <c r="R48" cm="1">
        <f t="array" aca="1" ref="R48" ca="1">IF(R$4 &gt;= INDEX(Assumptions!$B:$B, MATCH("V2 phase-out year (no V2 BB / V2 DTC launches from this year)", Assumptions!$A:$A, 0)), 0, IFERROR(INDEX(Starlink!$D:$AC, MATCH("V2 BB sat CapEx ($mm)", Starlink!$A:$A, 0), R$5+1) + INDEX(Starlink!$D:$AC, MATCH("V2 BB facility CapEx ($mm)", Starlink!$A:$A, 0), R$5+1), 0))</f>
        <v>0</v>
      </c>
      <c r="S48" cm="1">
        <f t="array" aca="1" ref="S48" ca="1">IF(S$4 &gt;= INDEX(Assumptions!$B:$B, MATCH("V2 phase-out year (no V2 BB / V2 DTC launches from this year)", Assumptions!$A:$A, 0)), 0, IFERROR(INDEX(Starlink!$D:$AC, MATCH("V2 BB sat CapEx ($mm)", Starlink!$A:$A, 0), S$5+1) + INDEX(Starlink!$D:$AC, MATCH("V2 BB facility CapEx ($mm)", Starlink!$A:$A, 0), S$5+1), 0))</f>
        <v>0</v>
      </c>
      <c r="T48" cm="1">
        <f t="array" aca="1" ref="T48" ca="1">IF(T$4 &gt;= INDEX(Assumptions!$B:$B, MATCH("V2 phase-out year (no V2 BB / V2 DTC launches from this year)", Assumptions!$A:$A, 0)), 0, IFERROR(INDEX(Starlink!$D:$AC, MATCH("V2 BB sat CapEx ($mm)", Starlink!$A:$A, 0), T$5+1) + INDEX(Starlink!$D:$AC, MATCH("V2 BB facility CapEx ($mm)", Starlink!$A:$A, 0), T$5+1), 0))</f>
        <v>0</v>
      </c>
      <c r="U48" cm="1">
        <f t="array" aca="1" ref="U48" ca="1">IF(U$4 &gt;= INDEX(Assumptions!$B:$B, MATCH("V2 phase-out year (no V2 BB / V2 DTC launches from this year)", Assumptions!$A:$A, 0)), 0, IFERROR(INDEX(Starlink!$D:$AC, MATCH("V2 BB sat CapEx ($mm)", Starlink!$A:$A, 0), U$5+1) + INDEX(Starlink!$D:$AC, MATCH("V2 BB facility CapEx ($mm)", Starlink!$A:$A, 0), U$5+1), 0))</f>
        <v>0</v>
      </c>
      <c r="V48" cm="1">
        <f t="array" aca="1" ref="V48" ca="1">IF(V$4 &gt;= INDEX(Assumptions!$B:$B, MATCH("V2 phase-out year (no V2 BB / V2 DTC launches from this year)", Assumptions!$A:$A, 0)), 0, IFERROR(INDEX(Starlink!$D:$AC, MATCH("V2 BB sat CapEx ($mm)", Starlink!$A:$A, 0), V$5+1) + INDEX(Starlink!$D:$AC, MATCH("V2 BB facility CapEx ($mm)", Starlink!$A:$A, 0), V$5+1), 0))</f>
        <v>0</v>
      </c>
      <c r="W48" cm="1">
        <f t="array" aca="1" ref="W48" ca="1">IF(W$4 &gt;= INDEX(Assumptions!$B:$B, MATCH("V2 phase-out year (no V2 BB / V2 DTC launches from this year)", Assumptions!$A:$A, 0)), 0, IFERROR(INDEX(Starlink!$D:$AC, MATCH("V2 BB sat CapEx ($mm)", Starlink!$A:$A, 0), W$5+1) + INDEX(Starlink!$D:$AC, MATCH("V2 BB facility CapEx ($mm)", Starlink!$A:$A, 0), W$5+1), 0))</f>
        <v>0</v>
      </c>
      <c r="X48" cm="1">
        <f t="array" aca="1" ref="X48" ca="1">IF(X$4 &gt;= INDEX(Assumptions!$B:$B, MATCH("V2 phase-out year (no V2 BB / V2 DTC launches from this year)", Assumptions!$A:$A, 0)), 0, IFERROR(INDEX(Starlink!$D:$AC, MATCH("V2 BB sat CapEx ($mm)", Starlink!$A:$A, 0), X$5+1) + INDEX(Starlink!$D:$AC, MATCH("V2 BB facility CapEx ($mm)", Starlink!$A:$A, 0), X$5+1), 0))</f>
        <v>0</v>
      </c>
      <c r="Y48" cm="1">
        <f t="array" aca="1" ref="Y48" ca="1">IF(Y$4 &gt;= INDEX(Assumptions!$B:$B, MATCH("V2 phase-out year (no V2 BB / V2 DTC launches from this year)", Assumptions!$A:$A, 0)), 0, IFERROR(INDEX(Starlink!$D:$AC, MATCH("V2 BB sat CapEx ($mm)", Starlink!$A:$A, 0), Y$5+1) + INDEX(Starlink!$D:$AC, MATCH("V2 BB facility CapEx ($mm)", Starlink!$A:$A, 0), Y$5+1), 0))</f>
        <v>0</v>
      </c>
      <c r="Z48" cm="1">
        <f t="array" aca="1" ref="Z48" ca="1">IF(Z$4 &gt;= INDEX(Assumptions!$B:$B, MATCH("V2 phase-out year (no V2 BB / V2 DTC launches from this year)", Assumptions!$A:$A, 0)), 0, IFERROR(INDEX(Starlink!$D:$AC, MATCH("V2 BB sat CapEx ($mm)", Starlink!$A:$A, 0), Z$5+1) + INDEX(Starlink!$D:$AC, MATCH("V2 BB facility CapEx ($mm)", Starlink!$A:$A, 0), Z$5+1), 0))</f>
        <v>0</v>
      </c>
      <c r="AA48" cm="1">
        <f t="array" aca="1" ref="AA48" ca="1">IF(AA$4 &gt;= INDEX(Assumptions!$B:$B, MATCH("V2 phase-out year (no V2 BB / V2 DTC launches from this year)", Assumptions!$A:$A, 0)), 0, IFERROR(INDEX(Starlink!$D:$AC, MATCH("V2 BB sat CapEx ($mm)", Starlink!$A:$A, 0), AA$5+1) + INDEX(Starlink!$D:$AC, MATCH("V2 BB facility CapEx ($mm)", Starlink!$A:$A, 0), AA$5+1), 0))</f>
        <v>0</v>
      </c>
      <c r="AB48" cm="1">
        <f t="array" aca="1" ref="AB48" ca="1">IF(AB$4 &gt;= INDEX(Assumptions!$B:$B, MATCH("V2 phase-out year (no V2 BB / V2 DTC launches from this year)", Assumptions!$A:$A, 0)), 0, IFERROR(INDEX(Starlink!$D:$AC, MATCH("V2 BB sat CapEx ($mm)", Starlink!$A:$A, 0), AB$5+1) + INDEX(Starlink!$D:$AC, MATCH("V2 BB facility CapEx ($mm)", Starlink!$A:$A, 0), AB$5+1), 0))</f>
        <v>0</v>
      </c>
      <c r="AC48" cm="1">
        <f t="array" aca="1" ref="AC48" ca="1">IF(AC$4 &gt;= INDEX(Assumptions!$B:$B, MATCH("V2 phase-out year (no V2 BB / V2 DTC launches from this year)", Assumptions!$A:$A, 0)), 0, IFERROR(INDEX(Starlink!$D:$AC, MATCH("V2 BB sat CapEx ($mm)", Starlink!$A:$A, 0), AC$5+1) + INDEX(Starlink!$D:$AC, MATCH("V2 BB facility CapEx ($mm)", Starlink!$A:$A, 0), AC$5+1), 0))</f>
        <v>0</v>
      </c>
    </row>
    <row r="49" spans="1:29" x14ac:dyDescent="0.2">
      <c r="A49" t="s">
        <v>1659</v>
      </c>
      <c r="D49" s="17">
        <f ca="1">MAX(D47, 0)^INDEX(Assumptions!$B:$B, MATCH("Sigmoid IRR-blend exponent k", Assumptions!$A:$A, 0)) * IF(D48 &gt; 0, 1, 0)</f>
        <v>1.0031558437381312</v>
      </c>
      <c r="E49" s="17">
        <f ca="1">MAX(E47, 0)^INDEX(Assumptions!$B:$B, MATCH("Sigmoid IRR-blend exponent k", Assumptions!$A:$A, 0)) * IF(E48 &gt; 0, 1, 0)</f>
        <v>0</v>
      </c>
      <c r="F49" s="17">
        <f ca="1">MAX(F47, 0)^INDEX(Assumptions!$B:$B, MATCH("Sigmoid IRR-blend exponent k", Assumptions!$A:$A, 0)) * IF(F48 &gt; 0, 1, 0)</f>
        <v>0</v>
      </c>
      <c r="G49" s="17">
        <f ca="1">MAX(G47, 0)^INDEX(Assumptions!$B:$B, MATCH("Sigmoid IRR-blend exponent k", Assumptions!$A:$A, 0)) * IF(G48 &gt; 0, 1, 0)</f>
        <v>0</v>
      </c>
      <c r="H49" s="17">
        <f ca="1">MAX(H47, 0)^INDEX(Assumptions!$B:$B, MATCH("Sigmoid IRR-blend exponent k", Assumptions!$A:$A, 0)) * IF(H48 &gt; 0, 1, 0)</f>
        <v>0</v>
      </c>
      <c r="I49" s="17">
        <f ca="1">MAX(I47, 0)^INDEX(Assumptions!$B:$B, MATCH("Sigmoid IRR-blend exponent k", Assumptions!$A:$A, 0)) * IF(I48 &gt; 0, 1, 0)</f>
        <v>0</v>
      </c>
      <c r="J49" s="17">
        <f ca="1">MAX(J47, 0)^INDEX(Assumptions!$B:$B, MATCH("Sigmoid IRR-blend exponent k", Assumptions!$A:$A, 0)) * IF(J48 &gt; 0, 1, 0)</f>
        <v>0</v>
      </c>
      <c r="K49" s="17">
        <f ca="1">MAX(K47, 0)^INDEX(Assumptions!$B:$B, MATCH("Sigmoid IRR-blend exponent k", Assumptions!$A:$A, 0)) * IF(K48 &gt; 0, 1, 0)</f>
        <v>0</v>
      </c>
      <c r="L49" s="17">
        <f ca="1">MAX(L47, 0)^INDEX(Assumptions!$B:$B, MATCH("Sigmoid IRR-blend exponent k", Assumptions!$A:$A, 0)) * IF(L48 &gt; 0, 1, 0)</f>
        <v>0</v>
      </c>
      <c r="M49" s="17">
        <f ca="1">MAX(M47, 0)^INDEX(Assumptions!$B:$B, MATCH("Sigmoid IRR-blend exponent k", Assumptions!$A:$A, 0)) * IF(M48 &gt; 0, 1, 0)</f>
        <v>0</v>
      </c>
      <c r="N49" s="17">
        <f ca="1">MAX(N47, 0)^INDEX(Assumptions!$B:$B, MATCH("Sigmoid IRR-blend exponent k", Assumptions!$A:$A, 0)) * IF(N48 &gt; 0, 1, 0)</f>
        <v>0</v>
      </c>
      <c r="O49" s="17">
        <f ca="1">MAX(O47, 0)^INDEX(Assumptions!$B:$B, MATCH("Sigmoid IRR-blend exponent k", Assumptions!$A:$A, 0)) * IF(O48 &gt; 0, 1, 0)</f>
        <v>0</v>
      </c>
      <c r="P49" s="17">
        <f ca="1">MAX(P47, 0)^INDEX(Assumptions!$B:$B, MATCH("Sigmoid IRR-blend exponent k", Assumptions!$A:$A, 0)) * IF(P48 &gt; 0, 1, 0)</f>
        <v>0</v>
      </c>
      <c r="Q49" s="17">
        <f ca="1">MAX(Q47, 0)^INDEX(Assumptions!$B:$B, MATCH("Sigmoid IRR-blend exponent k", Assumptions!$A:$A, 0)) * IF(Q48 &gt; 0, 1, 0)</f>
        <v>0</v>
      </c>
      <c r="R49" s="17">
        <f ca="1">MAX(R47, 0)^INDEX(Assumptions!$B:$B, MATCH("Sigmoid IRR-blend exponent k", Assumptions!$A:$A, 0)) * IF(R48 &gt; 0, 1, 0)</f>
        <v>0</v>
      </c>
      <c r="S49" s="17">
        <f ca="1">MAX(S47, 0)^INDEX(Assumptions!$B:$B, MATCH("Sigmoid IRR-blend exponent k", Assumptions!$A:$A, 0)) * IF(S48 &gt; 0, 1, 0)</f>
        <v>0</v>
      </c>
      <c r="T49" s="17">
        <f ca="1">MAX(T47, 0)^INDEX(Assumptions!$B:$B, MATCH("Sigmoid IRR-blend exponent k", Assumptions!$A:$A, 0)) * IF(T48 &gt; 0, 1, 0)</f>
        <v>0</v>
      </c>
      <c r="U49" s="17">
        <f ca="1">MAX(U47, 0)^INDEX(Assumptions!$B:$B, MATCH("Sigmoid IRR-blend exponent k", Assumptions!$A:$A, 0)) * IF(U48 &gt; 0, 1, 0)</f>
        <v>0</v>
      </c>
      <c r="V49" s="17">
        <f ca="1">MAX(V47, 0)^INDEX(Assumptions!$B:$B, MATCH("Sigmoid IRR-blend exponent k", Assumptions!$A:$A, 0)) * IF(V48 &gt; 0, 1, 0)</f>
        <v>0</v>
      </c>
      <c r="W49" s="17">
        <f ca="1">MAX(W47, 0)^INDEX(Assumptions!$B:$B, MATCH("Sigmoid IRR-blend exponent k", Assumptions!$A:$A, 0)) * IF(W48 &gt; 0, 1, 0)</f>
        <v>0</v>
      </c>
      <c r="X49" s="17">
        <f ca="1">MAX(X47, 0)^INDEX(Assumptions!$B:$B, MATCH("Sigmoid IRR-blend exponent k", Assumptions!$A:$A, 0)) * IF(X48 &gt; 0, 1, 0)</f>
        <v>0</v>
      </c>
      <c r="Y49" s="17">
        <f ca="1">MAX(Y47, 0)^INDEX(Assumptions!$B:$B, MATCH("Sigmoid IRR-blend exponent k", Assumptions!$A:$A, 0)) * IF(Y48 &gt; 0, 1, 0)</f>
        <v>0</v>
      </c>
      <c r="Z49" s="17">
        <f ca="1">MAX(Z47, 0)^INDEX(Assumptions!$B:$B, MATCH("Sigmoid IRR-blend exponent k", Assumptions!$A:$A, 0)) * IF(Z48 &gt; 0, 1, 0)</f>
        <v>0</v>
      </c>
      <c r="AA49" s="17">
        <f ca="1">MAX(AA47, 0)^INDEX(Assumptions!$B:$B, MATCH("Sigmoid IRR-blend exponent k", Assumptions!$A:$A, 0)) * IF(AA48 &gt; 0, 1, 0)</f>
        <v>0</v>
      </c>
      <c r="AB49" s="17">
        <f ca="1">MAX(AB47, 0)^INDEX(Assumptions!$B:$B, MATCH("Sigmoid IRR-blend exponent k", Assumptions!$A:$A, 0)) * IF(AB48 &gt; 0, 1, 0)</f>
        <v>0</v>
      </c>
      <c r="AC49" s="17">
        <f ca="1">MAX(AC47, 0)^INDEX(Assumptions!$B:$B, MATCH("Sigmoid IRR-blend exponent k", Assumptions!$A:$A, 0)) * IF(AC48 &gt; 0, 1, 0)</f>
        <v>0</v>
      </c>
    </row>
    <row r="50" spans="1:29" x14ac:dyDescent="0.2">
      <c r="A50" s="18" t="s">
        <v>1660</v>
      </c>
      <c r="D50" s="67">
        <f ca="1">MIN(IF(D47 &gt; 0, D48, 0), $D$29 * D49 / IF($D$80 &gt; 0, $D$80, 1))</f>
        <v>0</v>
      </c>
      <c r="E50" s="67">
        <f t="shared" ref="E50:AC50" ca="1" si="7">MIN(IF(E47 &gt; 0, E48, 0), $D$29 * E49 / IF($D$80 &gt; 0, $D$80, 1))</f>
        <v>0</v>
      </c>
      <c r="F50" s="67">
        <f t="shared" ca="1" si="7"/>
        <v>0</v>
      </c>
      <c r="G50" s="67">
        <f t="shared" ca="1" si="7"/>
        <v>0</v>
      </c>
      <c r="H50" s="67">
        <f t="shared" ca="1" si="7"/>
        <v>0</v>
      </c>
      <c r="I50" s="67">
        <f t="shared" ca="1" si="7"/>
        <v>0</v>
      </c>
      <c r="J50" s="67">
        <f t="shared" ca="1" si="7"/>
        <v>0</v>
      </c>
      <c r="K50" s="67">
        <f t="shared" ca="1" si="7"/>
        <v>0</v>
      </c>
      <c r="L50" s="67">
        <f t="shared" ca="1" si="7"/>
        <v>0</v>
      </c>
      <c r="M50" s="67">
        <f t="shared" ca="1" si="7"/>
        <v>0</v>
      </c>
      <c r="N50" s="67">
        <f t="shared" ca="1" si="7"/>
        <v>0</v>
      </c>
      <c r="O50" s="67">
        <f t="shared" ca="1" si="7"/>
        <v>0</v>
      </c>
      <c r="P50" s="67">
        <f t="shared" ca="1" si="7"/>
        <v>0</v>
      </c>
      <c r="Q50" s="67">
        <f t="shared" ca="1" si="7"/>
        <v>0</v>
      </c>
      <c r="R50" s="67">
        <f t="shared" ca="1" si="7"/>
        <v>0</v>
      </c>
      <c r="S50" s="67">
        <f t="shared" ca="1" si="7"/>
        <v>0</v>
      </c>
      <c r="T50" s="67">
        <f t="shared" ca="1" si="7"/>
        <v>0</v>
      </c>
      <c r="U50" s="67">
        <f t="shared" ca="1" si="7"/>
        <v>0</v>
      </c>
      <c r="V50" s="67">
        <f t="shared" ca="1" si="7"/>
        <v>0</v>
      </c>
      <c r="W50" s="67">
        <f t="shared" ca="1" si="7"/>
        <v>0</v>
      </c>
      <c r="X50" s="67">
        <f t="shared" ca="1" si="7"/>
        <v>0</v>
      </c>
      <c r="Y50" s="67">
        <f t="shared" ca="1" si="7"/>
        <v>0</v>
      </c>
      <c r="Z50" s="67">
        <f t="shared" ca="1" si="7"/>
        <v>0</v>
      </c>
      <c r="AA50" s="67">
        <f t="shared" ca="1" si="7"/>
        <v>0</v>
      </c>
      <c r="AB50" s="67">
        <f t="shared" ca="1" si="7"/>
        <v>0</v>
      </c>
      <c r="AC50" s="67">
        <f t="shared" ca="1" si="7"/>
        <v>0</v>
      </c>
    </row>
    <row r="51" spans="1:29" x14ac:dyDescent="0.2">
      <c r="A51" s="18" t="s">
        <v>1661</v>
      </c>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row>
    <row r="52" spans="1:29" x14ac:dyDescent="0.2">
      <c r="A52" s="18" t="s">
        <v>1662</v>
      </c>
      <c r="D52" s="68" cm="1">
        <f t="array" aca="1" ref="D52" ca="1">IFERROR(INDEX(Starlink!$D:$AC, MATCH("Memo: V2 DTC Blended IRR", Starlink!$A:$A, 0), D$5+1), 0)</f>
        <v>0.13805576074730466</v>
      </c>
      <c r="E52" s="68" cm="1">
        <f t="array" aca="1" ref="E52" ca="1">IFERROR(INDEX(Starlink!$D:$AC, MATCH("Memo: V2 DTC Blended IRR", Starlink!$A:$A, 0), E$5+1), 0)</f>
        <v>0.27607670847804006</v>
      </c>
      <c r="F52" s="68" cm="1">
        <f t="array" aca="1" ref="F52" ca="1">IFERROR(INDEX(Starlink!$D:$AC, MATCH("Memo: V2 DTC Blended IRR", Starlink!$A:$A, 0), F$5+1), 0)</f>
        <v>0.42717675703309455</v>
      </c>
      <c r="G52" s="68" cm="1">
        <f t="array" aca="1" ref="G52" ca="1">IFERROR(INDEX(Starlink!$D:$AC, MATCH("Memo: V2 DTC Blended IRR", Starlink!$A:$A, 0), G$5+1), 0)</f>
        <v>0.52736311141045666</v>
      </c>
      <c r="H52" s="68" cm="1">
        <f t="array" aca="1" ref="H52" ca="1">IFERROR(INDEX(Starlink!$D:$AC, MATCH("Memo: V2 DTC Blended IRR", Starlink!$A:$A, 0), H$5+1), 0)</f>
        <v>0.63751435125731659</v>
      </c>
      <c r="I52" s="68" cm="1">
        <f t="array" aca="1" ref="I52" ca="1">IFERROR(INDEX(Starlink!$D:$AC, MATCH("Memo: V2 DTC Blended IRR", Starlink!$A:$A, 0), I$5+1), 0)</f>
        <v>0.73028364353297137</v>
      </c>
      <c r="J52" s="68" cm="1">
        <f t="array" aca="1" ref="J52" ca="1">IFERROR(INDEX(Starlink!$D:$AC, MATCH("Memo: V2 DTC Blended IRR", Starlink!$A:$A, 0), J$5+1), 0)</f>
        <v>0.83195988233635876</v>
      </c>
      <c r="K52" s="68" cm="1">
        <f t="array" aca="1" ref="K52" ca="1">IFERROR(INDEX(Starlink!$D:$AC, MATCH("Memo: V2 DTC Blended IRR", Starlink!$A:$A, 0), K$5+1), 0)</f>
        <v>0.94366018963011356</v>
      </c>
      <c r="L52" s="68" cm="1">
        <f t="array" aca="1" ref="L52" ca="1">IFERROR(INDEX(Starlink!$D:$AC, MATCH("Memo: V2 DTC Blended IRR", Starlink!$A:$A, 0), L$5+1), 0)</f>
        <v>1.0463990626995239</v>
      </c>
      <c r="M52" s="68" cm="1">
        <f t="array" aca="1" ref="M52" ca="1">IFERROR(INDEX(Starlink!$D:$AC, MATCH("Memo: V2 DTC Blended IRR", Starlink!$A:$A, 0), M$5+1), 0)</f>
        <v>1.1386650693699061</v>
      </c>
      <c r="N52" s="68" cm="1">
        <f t="array" aca="1" ref="N52" ca="1">IFERROR(INDEX(Starlink!$D:$AC, MATCH("Memo: V2 DTC Blended IRR", Starlink!$A:$A, 0), N$5+1), 0)</f>
        <v>1.2284176547664782</v>
      </c>
      <c r="O52" s="68" cm="1">
        <f t="array" aca="1" ref="O52" ca="1">IFERROR(INDEX(Starlink!$D:$AC, MATCH("Memo: V2 DTC Blended IRR", Starlink!$A:$A, 0), O$5+1), 0)</f>
        <v>1.3150152276405853</v>
      </c>
      <c r="P52" s="68" cm="1">
        <f t="array" aca="1" ref="P52" ca="1">IFERROR(INDEX(Starlink!$D:$AC, MATCH("Memo: V2 DTC Blended IRR", Starlink!$A:$A, 0), P$5+1), 0)</f>
        <v>1.405584300212368</v>
      </c>
      <c r="Q52" s="68" cm="1">
        <f t="array" aca="1" ref="Q52" ca="1">IFERROR(INDEX(Starlink!$D:$AC, MATCH("Memo: V2 DTC Blended IRR", Starlink!$A:$A, 0), Q$5+1), 0)</f>
        <v>1.5003735530915741</v>
      </c>
      <c r="R52" s="68" cm="1">
        <f t="array" aca="1" ref="R52" ca="1">IFERROR(INDEX(Starlink!$D:$AC, MATCH("Memo: V2 DTC Blended IRR", Starlink!$A:$A, 0), R$5+1), 0)</f>
        <v>1.5996468256897911</v>
      </c>
      <c r="S52" s="68" cm="1">
        <f t="array" aca="1" ref="S52" ca="1">IFERROR(INDEX(Starlink!$D:$AC, MATCH("Memo: V2 DTC Blended IRR", Starlink!$A:$A, 0), S$5+1), 0)</f>
        <v>1.7036836200899912</v>
      </c>
      <c r="T52" s="68" cm="1">
        <f t="array" aca="1" ref="T52" ca="1">IFERROR(INDEX(Starlink!$D:$AC, MATCH("Memo: V2 DTC Blended IRR", Starlink!$A:$A, 0), T$5+1), 0)</f>
        <v>1.8127796539888643</v>
      </c>
      <c r="U52" s="68" cm="1">
        <f t="array" aca="1" ref="U52" ca="1">IFERROR(INDEX(Starlink!$D:$AC, MATCH("Memo: V2 DTC Blended IRR", Starlink!$A:$A, 0), U$5+1), 0)</f>
        <v>1.9272474693679196</v>
      </c>
      <c r="V52" s="68" cm="1">
        <f t="array" aca="1" ref="V52" ca="1">IFERROR(INDEX(Starlink!$D:$AC, MATCH("Memo: V2 DTC Blended IRR", Starlink!$A:$A, 0), V$5+1), 0)</f>
        <v>2.0474171027230978</v>
      </c>
      <c r="W52" s="68" cm="1">
        <f t="array" aca="1" ref="W52" ca="1">IFERROR(INDEX(Starlink!$D:$AC, MATCH("Memo: V2 DTC Blended IRR", Starlink!$A:$A, 0), W$5+1), 0)</f>
        <v>2.1736368219262894</v>
      </c>
      <c r="X52" s="68" cm="1">
        <f t="array" aca="1" ref="X52" ca="1">IFERROR(INDEX(Starlink!$D:$AC, MATCH("Memo: V2 DTC Blended IRR", Starlink!$A:$A, 0), X$5+1), 0)</f>
        <v>2.3062739341233987</v>
      </c>
      <c r="Y52" s="68" cm="1">
        <f t="array" aca="1" ref="Y52" ca="1">IFERROR(INDEX(Starlink!$D:$AC, MATCH("Memo: V2 DTC Blended IRR", Starlink!$A:$A, 0), Y$5+1), 0)</f>
        <v>2.4457156685688437</v>
      </c>
      <c r="Z52" s="68" cm="1">
        <f t="array" aca="1" ref="Z52" ca="1">IFERROR(INDEX(Starlink!$D:$AC, MATCH("Memo: V2 DTC Blended IRR", Starlink!$A:$A, 0), Z$5+1), 0)</f>
        <v>2.5923701374245907</v>
      </c>
      <c r="AA52" s="68" cm="1">
        <f t="array" aca="1" ref="AA52" ca="1">IFERROR(INDEX(Starlink!$D:$AC, MATCH("Memo: V2 DTC Blended IRR", Starlink!$A:$A, 0), AA$5+1), 0)</f>
        <v>2.7466673783005278</v>
      </c>
      <c r="AB52" s="68" cm="1">
        <f t="array" aca="1" ref="AB52" ca="1">IFERROR(INDEX(Starlink!$D:$AC, MATCH("Memo: V2 DTC Blended IRR", Starlink!$A:$A, 0), AB$5+1), 0)</f>
        <v>0.10422038521462806</v>
      </c>
      <c r="AC52" s="68" cm="1">
        <f t="array" aca="1" ref="AC52" ca="1">IFERROR(INDEX(Starlink!$D:$AC, MATCH("Memo: V2 DTC Blended IRR", Starlink!$A:$A, 0), AC$5+1), 0)</f>
        <v>0.15189201683451592</v>
      </c>
    </row>
    <row r="53" spans="1:29" x14ac:dyDescent="0.2">
      <c r="A53" s="18" t="s">
        <v>1663</v>
      </c>
      <c r="D53" s="17" cm="1">
        <f t="array" aca="1" ref="D53" ca="1">IF(D$4 &gt;= INDEX(Assumptions!$B:$B, MATCH("V2 phase-out year (no V2 BB / V2 DTC launches from this year)", Assumptions!$A:$A, 0)), 0, IFERROR(INDEX(Starlink!$D:$AC, MATCH("V2 DTC sat CapEx ($mm)", Starlink!$A:$A, 0), D$5+1) + INDEX(Starlink!$D:$AC, MATCH("V2 DTC facility CapEx ($mm)", Starlink!$A:$A, 0), D$5+1), 0))</f>
        <v>68.022500000000008</v>
      </c>
      <c r="E53" s="17" cm="1">
        <f t="array" aca="1" ref="E53" ca="1">IF(E$4 &gt;= INDEX(Assumptions!$B:$B, MATCH("V2 phase-out year (no V2 BB / V2 DTC launches from this year)", Assumptions!$A:$A, 0)), 0, IFERROR(INDEX(Starlink!$D:$AC, MATCH("V2 DTC sat CapEx ($mm)", Starlink!$A:$A, 0), E$5+1) + INDEX(Starlink!$D:$AC, MATCH("V2 DTC facility CapEx ($mm)", Starlink!$A:$A, 0), E$5+1), 0))</f>
        <v>0</v>
      </c>
      <c r="F53" s="17" cm="1">
        <f t="array" aca="1" ref="F53" ca="1">IF(F$4 &gt;= INDEX(Assumptions!$B:$B, MATCH("V2 phase-out year (no V2 BB / V2 DTC launches from this year)", Assumptions!$A:$A, 0)), 0, IFERROR(INDEX(Starlink!$D:$AC, MATCH("V2 DTC sat CapEx ($mm)", Starlink!$A:$A, 0), F$5+1) + INDEX(Starlink!$D:$AC, MATCH("V2 DTC facility CapEx ($mm)", Starlink!$A:$A, 0), F$5+1), 0))</f>
        <v>0</v>
      </c>
      <c r="G53" s="17" cm="1">
        <f t="array" aca="1" ref="G53" ca="1">IF(G$4 &gt;= INDEX(Assumptions!$B:$B, MATCH("V2 phase-out year (no V2 BB / V2 DTC launches from this year)", Assumptions!$A:$A, 0)), 0, IFERROR(INDEX(Starlink!$D:$AC, MATCH("V2 DTC sat CapEx ($mm)", Starlink!$A:$A, 0), G$5+1) + INDEX(Starlink!$D:$AC, MATCH("V2 DTC facility CapEx ($mm)", Starlink!$A:$A, 0), G$5+1), 0))</f>
        <v>0</v>
      </c>
      <c r="H53" s="17" cm="1">
        <f t="array" aca="1" ref="H53" ca="1">IF(H$4 &gt;= INDEX(Assumptions!$B:$B, MATCH("V2 phase-out year (no V2 BB / V2 DTC launches from this year)", Assumptions!$A:$A, 0)), 0, IFERROR(INDEX(Starlink!$D:$AC, MATCH("V2 DTC sat CapEx ($mm)", Starlink!$A:$A, 0), H$5+1) + INDEX(Starlink!$D:$AC, MATCH("V2 DTC facility CapEx ($mm)", Starlink!$A:$A, 0), H$5+1), 0))</f>
        <v>0</v>
      </c>
      <c r="I53" s="17" cm="1">
        <f t="array" aca="1" ref="I53" ca="1">IF(I$4 &gt;= INDEX(Assumptions!$B:$B, MATCH("V2 phase-out year (no V2 BB / V2 DTC launches from this year)", Assumptions!$A:$A, 0)), 0, IFERROR(INDEX(Starlink!$D:$AC, MATCH("V2 DTC sat CapEx ($mm)", Starlink!$A:$A, 0), I$5+1) + INDEX(Starlink!$D:$AC, MATCH("V2 DTC facility CapEx ($mm)", Starlink!$A:$A, 0), I$5+1), 0))</f>
        <v>0</v>
      </c>
      <c r="J53" s="17" cm="1">
        <f t="array" aca="1" ref="J53" ca="1">IF(J$4 &gt;= INDEX(Assumptions!$B:$B, MATCH("V2 phase-out year (no V2 BB / V2 DTC launches from this year)", Assumptions!$A:$A, 0)), 0, IFERROR(INDEX(Starlink!$D:$AC, MATCH("V2 DTC sat CapEx ($mm)", Starlink!$A:$A, 0), J$5+1) + INDEX(Starlink!$D:$AC, MATCH("V2 DTC facility CapEx ($mm)", Starlink!$A:$A, 0), J$5+1), 0))</f>
        <v>0</v>
      </c>
      <c r="K53" s="17" cm="1">
        <f t="array" aca="1" ref="K53" ca="1">IF(K$4 &gt;= INDEX(Assumptions!$B:$B, MATCH("V2 phase-out year (no V2 BB / V2 DTC launches from this year)", Assumptions!$A:$A, 0)), 0, IFERROR(INDEX(Starlink!$D:$AC, MATCH("V2 DTC sat CapEx ($mm)", Starlink!$A:$A, 0), K$5+1) + INDEX(Starlink!$D:$AC, MATCH("V2 DTC facility CapEx ($mm)", Starlink!$A:$A, 0), K$5+1), 0))</f>
        <v>0</v>
      </c>
      <c r="L53" s="17" cm="1">
        <f t="array" aca="1" ref="L53" ca="1">IF(L$4 &gt;= INDEX(Assumptions!$B:$B, MATCH("V2 phase-out year (no V2 BB / V2 DTC launches from this year)", Assumptions!$A:$A, 0)), 0, IFERROR(INDEX(Starlink!$D:$AC, MATCH("V2 DTC sat CapEx ($mm)", Starlink!$A:$A, 0), L$5+1) + INDEX(Starlink!$D:$AC, MATCH("V2 DTC facility CapEx ($mm)", Starlink!$A:$A, 0), L$5+1), 0))</f>
        <v>0</v>
      </c>
      <c r="M53" s="17" cm="1">
        <f t="array" aca="1" ref="M53" ca="1">IF(M$4 &gt;= INDEX(Assumptions!$B:$B, MATCH("V2 phase-out year (no V2 BB / V2 DTC launches from this year)", Assumptions!$A:$A, 0)), 0, IFERROR(INDEX(Starlink!$D:$AC, MATCH("V2 DTC sat CapEx ($mm)", Starlink!$A:$A, 0), M$5+1) + INDEX(Starlink!$D:$AC, MATCH("V2 DTC facility CapEx ($mm)", Starlink!$A:$A, 0), M$5+1), 0))</f>
        <v>0</v>
      </c>
      <c r="N53" s="17" cm="1">
        <f t="array" aca="1" ref="N53" ca="1">IF(N$4 &gt;= INDEX(Assumptions!$B:$B, MATCH("V2 phase-out year (no V2 BB / V2 DTC launches from this year)", Assumptions!$A:$A, 0)), 0, IFERROR(INDEX(Starlink!$D:$AC, MATCH("V2 DTC sat CapEx ($mm)", Starlink!$A:$A, 0), N$5+1) + INDEX(Starlink!$D:$AC, MATCH("V2 DTC facility CapEx ($mm)", Starlink!$A:$A, 0), N$5+1), 0))</f>
        <v>0</v>
      </c>
      <c r="O53" s="17" cm="1">
        <f t="array" aca="1" ref="O53" ca="1">IF(O$4 &gt;= INDEX(Assumptions!$B:$B, MATCH("V2 phase-out year (no V2 BB / V2 DTC launches from this year)", Assumptions!$A:$A, 0)), 0, IFERROR(INDEX(Starlink!$D:$AC, MATCH("V2 DTC sat CapEx ($mm)", Starlink!$A:$A, 0), O$5+1) + INDEX(Starlink!$D:$AC, MATCH("V2 DTC facility CapEx ($mm)", Starlink!$A:$A, 0), O$5+1), 0))</f>
        <v>0</v>
      </c>
      <c r="P53" s="17" cm="1">
        <f t="array" aca="1" ref="P53" ca="1">IF(P$4 &gt;= INDEX(Assumptions!$B:$B, MATCH("V2 phase-out year (no V2 BB / V2 DTC launches from this year)", Assumptions!$A:$A, 0)), 0, IFERROR(INDEX(Starlink!$D:$AC, MATCH("V2 DTC sat CapEx ($mm)", Starlink!$A:$A, 0), P$5+1) + INDEX(Starlink!$D:$AC, MATCH("V2 DTC facility CapEx ($mm)", Starlink!$A:$A, 0), P$5+1), 0))</f>
        <v>0</v>
      </c>
      <c r="Q53" s="17" cm="1">
        <f t="array" aca="1" ref="Q53" ca="1">IF(Q$4 &gt;= INDEX(Assumptions!$B:$B, MATCH("V2 phase-out year (no V2 BB / V2 DTC launches from this year)", Assumptions!$A:$A, 0)), 0, IFERROR(INDEX(Starlink!$D:$AC, MATCH("V2 DTC sat CapEx ($mm)", Starlink!$A:$A, 0), Q$5+1) + INDEX(Starlink!$D:$AC, MATCH("V2 DTC facility CapEx ($mm)", Starlink!$A:$A, 0), Q$5+1), 0))</f>
        <v>0</v>
      </c>
      <c r="R53" s="17" cm="1">
        <f t="array" aca="1" ref="R53" ca="1">IF(R$4 &gt;= INDEX(Assumptions!$B:$B, MATCH("V2 phase-out year (no V2 BB / V2 DTC launches from this year)", Assumptions!$A:$A, 0)), 0, IFERROR(INDEX(Starlink!$D:$AC, MATCH("V2 DTC sat CapEx ($mm)", Starlink!$A:$A, 0), R$5+1) + INDEX(Starlink!$D:$AC, MATCH("V2 DTC facility CapEx ($mm)", Starlink!$A:$A, 0), R$5+1), 0))</f>
        <v>0</v>
      </c>
      <c r="S53" s="17" cm="1">
        <f t="array" aca="1" ref="S53" ca="1">IF(S$4 &gt;= INDEX(Assumptions!$B:$B, MATCH("V2 phase-out year (no V2 BB / V2 DTC launches from this year)", Assumptions!$A:$A, 0)), 0, IFERROR(INDEX(Starlink!$D:$AC, MATCH("V2 DTC sat CapEx ($mm)", Starlink!$A:$A, 0), S$5+1) + INDEX(Starlink!$D:$AC, MATCH("V2 DTC facility CapEx ($mm)", Starlink!$A:$A, 0), S$5+1), 0))</f>
        <v>0</v>
      </c>
      <c r="T53" s="17" cm="1">
        <f t="array" aca="1" ref="T53" ca="1">IF(T$4 &gt;= INDEX(Assumptions!$B:$B, MATCH("V2 phase-out year (no V2 BB / V2 DTC launches from this year)", Assumptions!$A:$A, 0)), 0, IFERROR(INDEX(Starlink!$D:$AC, MATCH("V2 DTC sat CapEx ($mm)", Starlink!$A:$A, 0), T$5+1) + INDEX(Starlink!$D:$AC, MATCH("V2 DTC facility CapEx ($mm)", Starlink!$A:$A, 0), T$5+1), 0))</f>
        <v>0</v>
      </c>
      <c r="U53" s="17" cm="1">
        <f t="array" aca="1" ref="U53" ca="1">IF(U$4 &gt;= INDEX(Assumptions!$B:$B, MATCH("V2 phase-out year (no V2 BB / V2 DTC launches from this year)", Assumptions!$A:$A, 0)), 0, IFERROR(INDEX(Starlink!$D:$AC, MATCH("V2 DTC sat CapEx ($mm)", Starlink!$A:$A, 0), U$5+1) + INDEX(Starlink!$D:$AC, MATCH("V2 DTC facility CapEx ($mm)", Starlink!$A:$A, 0), U$5+1), 0))</f>
        <v>0</v>
      </c>
      <c r="V53" s="17" cm="1">
        <f t="array" aca="1" ref="V53" ca="1">IF(V$4 &gt;= INDEX(Assumptions!$B:$B, MATCH("V2 phase-out year (no V2 BB / V2 DTC launches from this year)", Assumptions!$A:$A, 0)), 0, IFERROR(INDEX(Starlink!$D:$AC, MATCH("V2 DTC sat CapEx ($mm)", Starlink!$A:$A, 0), V$5+1) + INDEX(Starlink!$D:$AC, MATCH("V2 DTC facility CapEx ($mm)", Starlink!$A:$A, 0), V$5+1), 0))</f>
        <v>0</v>
      </c>
      <c r="W53" s="17" cm="1">
        <f t="array" aca="1" ref="W53" ca="1">IF(W$4 &gt;= INDEX(Assumptions!$B:$B, MATCH("V2 phase-out year (no V2 BB / V2 DTC launches from this year)", Assumptions!$A:$A, 0)), 0, IFERROR(INDEX(Starlink!$D:$AC, MATCH("V2 DTC sat CapEx ($mm)", Starlink!$A:$A, 0), W$5+1) + INDEX(Starlink!$D:$AC, MATCH("V2 DTC facility CapEx ($mm)", Starlink!$A:$A, 0), W$5+1), 0))</f>
        <v>0</v>
      </c>
      <c r="X53" s="17" cm="1">
        <f t="array" aca="1" ref="X53" ca="1">IF(X$4 &gt;= INDEX(Assumptions!$B:$B, MATCH("V2 phase-out year (no V2 BB / V2 DTC launches from this year)", Assumptions!$A:$A, 0)), 0, IFERROR(INDEX(Starlink!$D:$AC, MATCH("V2 DTC sat CapEx ($mm)", Starlink!$A:$A, 0), X$5+1) + INDEX(Starlink!$D:$AC, MATCH("V2 DTC facility CapEx ($mm)", Starlink!$A:$A, 0), X$5+1), 0))</f>
        <v>0</v>
      </c>
      <c r="Y53" s="17" cm="1">
        <f t="array" aca="1" ref="Y53" ca="1">IF(Y$4 &gt;= INDEX(Assumptions!$B:$B, MATCH("V2 phase-out year (no V2 BB / V2 DTC launches from this year)", Assumptions!$A:$A, 0)), 0, IFERROR(INDEX(Starlink!$D:$AC, MATCH("V2 DTC sat CapEx ($mm)", Starlink!$A:$A, 0), Y$5+1) + INDEX(Starlink!$D:$AC, MATCH("V2 DTC facility CapEx ($mm)", Starlink!$A:$A, 0), Y$5+1), 0))</f>
        <v>0</v>
      </c>
      <c r="Z53" s="17" cm="1">
        <f t="array" aca="1" ref="Z53" ca="1">IF(Z$4 &gt;= INDEX(Assumptions!$B:$B, MATCH("V2 phase-out year (no V2 BB / V2 DTC launches from this year)", Assumptions!$A:$A, 0)), 0, IFERROR(INDEX(Starlink!$D:$AC, MATCH("V2 DTC sat CapEx ($mm)", Starlink!$A:$A, 0), Z$5+1) + INDEX(Starlink!$D:$AC, MATCH("V2 DTC facility CapEx ($mm)", Starlink!$A:$A, 0), Z$5+1), 0))</f>
        <v>0</v>
      </c>
      <c r="AA53" s="17" cm="1">
        <f t="array" aca="1" ref="AA53" ca="1">IF(AA$4 &gt;= INDEX(Assumptions!$B:$B, MATCH("V2 phase-out year (no V2 BB / V2 DTC launches from this year)", Assumptions!$A:$A, 0)), 0, IFERROR(INDEX(Starlink!$D:$AC, MATCH("V2 DTC sat CapEx ($mm)", Starlink!$A:$A, 0), AA$5+1) + INDEX(Starlink!$D:$AC, MATCH("V2 DTC facility CapEx ($mm)", Starlink!$A:$A, 0), AA$5+1), 0))</f>
        <v>0</v>
      </c>
      <c r="AB53" s="17" cm="1">
        <f t="array" aca="1" ref="AB53" ca="1">IF(AB$4 &gt;= INDEX(Assumptions!$B:$B, MATCH("V2 phase-out year (no V2 BB / V2 DTC launches from this year)", Assumptions!$A:$A, 0)), 0, IFERROR(INDEX(Starlink!$D:$AC, MATCH("V2 DTC sat CapEx ($mm)", Starlink!$A:$A, 0), AB$5+1) + INDEX(Starlink!$D:$AC, MATCH("V2 DTC facility CapEx ($mm)", Starlink!$A:$A, 0), AB$5+1), 0))</f>
        <v>0</v>
      </c>
      <c r="AC53" s="17" cm="1">
        <f t="array" aca="1" ref="AC53" ca="1">IF(AC$4 &gt;= INDEX(Assumptions!$B:$B, MATCH("V2 phase-out year (no V2 BB / V2 DTC launches from this year)", Assumptions!$A:$A, 0)), 0, IFERROR(INDEX(Starlink!$D:$AC, MATCH("V2 DTC sat CapEx ($mm)", Starlink!$A:$A, 0), AC$5+1) + INDEX(Starlink!$D:$AC, MATCH("V2 DTC facility CapEx ($mm)", Starlink!$A:$A, 0), AC$5+1), 0))</f>
        <v>0</v>
      </c>
    </row>
    <row r="54" spans="1:29" x14ac:dyDescent="0.2">
      <c r="A54" s="18" t="s">
        <v>1664</v>
      </c>
      <c r="D54" s="67">
        <f ca="1">MAX(D52, 0)^INDEX(Assumptions!$B:$B, MATCH("Sigmoid IRR-blend exponent k", Assumptions!$A:$A, 0)) * IF(D53 &gt; 0, 1, 0)</f>
        <v>1.9059393075517028E-2</v>
      </c>
      <c r="E54" s="67">
        <f ca="1">MAX(E52, 0)^INDEX(Assumptions!$B:$B, MATCH("Sigmoid IRR-blend exponent k", Assumptions!$A:$A, 0)) * IF(E53 &gt; 0, 1, 0)</f>
        <v>0</v>
      </c>
      <c r="F54" s="67">
        <f ca="1">MAX(F52, 0)^INDEX(Assumptions!$B:$B, MATCH("Sigmoid IRR-blend exponent k", Assumptions!$A:$A, 0)) * IF(F53 &gt; 0, 1, 0)</f>
        <v>0</v>
      </c>
      <c r="G54" s="67">
        <f ca="1">MAX(G52, 0)^INDEX(Assumptions!$B:$B, MATCH("Sigmoid IRR-blend exponent k", Assumptions!$A:$A, 0)) * IF(G53 &gt; 0, 1, 0)</f>
        <v>0</v>
      </c>
      <c r="H54" s="67">
        <f ca="1">MAX(H52, 0)^INDEX(Assumptions!$B:$B, MATCH("Sigmoid IRR-blend exponent k", Assumptions!$A:$A, 0)) * IF(H53 &gt; 0, 1, 0)</f>
        <v>0</v>
      </c>
      <c r="I54" s="67">
        <f ca="1">MAX(I52, 0)^INDEX(Assumptions!$B:$B, MATCH("Sigmoid IRR-blend exponent k", Assumptions!$A:$A, 0)) * IF(I53 &gt; 0, 1, 0)</f>
        <v>0</v>
      </c>
      <c r="J54" s="67">
        <f ca="1">MAX(J52, 0)^INDEX(Assumptions!$B:$B, MATCH("Sigmoid IRR-blend exponent k", Assumptions!$A:$A, 0)) * IF(J53 &gt; 0, 1, 0)</f>
        <v>0</v>
      </c>
      <c r="K54" s="67">
        <f ca="1">MAX(K52, 0)^INDEX(Assumptions!$B:$B, MATCH("Sigmoid IRR-blend exponent k", Assumptions!$A:$A, 0)) * IF(K53 &gt; 0, 1, 0)</f>
        <v>0</v>
      </c>
      <c r="L54" s="67">
        <f ca="1">MAX(L52, 0)^INDEX(Assumptions!$B:$B, MATCH("Sigmoid IRR-blend exponent k", Assumptions!$A:$A, 0)) * IF(L53 &gt; 0, 1, 0)</f>
        <v>0</v>
      </c>
      <c r="M54" s="67">
        <f ca="1">MAX(M52, 0)^INDEX(Assumptions!$B:$B, MATCH("Sigmoid IRR-blend exponent k", Assumptions!$A:$A, 0)) * IF(M53 &gt; 0, 1, 0)</f>
        <v>0</v>
      </c>
      <c r="N54" s="67">
        <f ca="1">MAX(N52, 0)^INDEX(Assumptions!$B:$B, MATCH("Sigmoid IRR-blend exponent k", Assumptions!$A:$A, 0)) * IF(N53 &gt; 0, 1, 0)</f>
        <v>0</v>
      </c>
      <c r="O54" s="67">
        <f ca="1">MAX(O52, 0)^INDEX(Assumptions!$B:$B, MATCH("Sigmoid IRR-blend exponent k", Assumptions!$A:$A, 0)) * IF(O53 &gt; 0, 1, 0)</f>
        <v>0</v>
      </c>
      <c r="P54" s="67">
        <f ca="1">MAX(P52, 0)^INDEX(Assumptions!$B:$B, MATCH("Sigmoid IRR-blend exponent k", Assumptions!$A:$A, 0)) * IF(P53 &gt; 0, 1, 0)</f>
        <v>0</v>
      </c>
      <c r="Q54" s="67">
        <f ca="1">MAX(Q52, 0)^INDEX(Assumptions!$B:$B, MATCH("Sigmoid IRR-blend exponent k", Assumptions!$A:$A, 0)) * IF(Q53 &gt; 0, 1, 0)</f>
        <v>0</v>
      </c>
      <c r="R54" s="67">
        <f ca="1">MAX(R52, 0)^INDEX(Assumptions!$B:$B, MATCH("Sigmoid IRR-blend exponent k", Assumptions!$A:$A, 0)) * IF(R53 &gt; 0, 1, 0)</f>
        <v>0</v>
      </c>
      <c r="S54" s="67">
        <f ca="1">MAX(S52, 0)^INDEX(Assumptions!$B:$B, MATCH("Sigmoid IRR-blend exponent k", Assumptions!$A:$A, 0)) * IF(S53 &gt; 0, 1, 0)</f>
        <v>0</v>
      </c>
      <c r="T54" s="67">
        <f ca="1">MAX(T52, 0)^INDEX(Assumptions!$B:$B, MATCH("Sigmoid IRR-blend exponent k", Assumptions!$A:$A, 0)) * IF(T53 &gt; 0, 1, 0)</f>
        <v>0</v>
      </c>
      <c r="U54" s="67">
        <f ca="1">MAX(U52, 0)^INDEX(Assumptions!$B:$B, MATCH("Sigmoid IRR-blend exponent k", Assumptions!$A:$A, 0)) * IF(U53 &gt; 0, 1, 0)</f>
        <v>0</v>
      </c>
      <c r="V54" s="67">
        <f ca="1">MAX(V52, 0)^INDEX(Assumptions!$B:$B, MATCH("Sigmoid IRR-blend exponent k", Assumptions!$A:$A, 0)) * IF(V53 &gt; 0, 1, 0)</f>
        <v>0</v>
      </c>
      <c r="W54" s="67">
        <f ca="1">MAX(W52, 0)^INDEX(Assumptions!$B:$B, MATCH("Sigmoid IRR-blend exponent k", Assumptions!$A:$A, 0)) * IF(W53 &gt; 0, 1, 0)</f>
        <v>0</v>
      </c>
      <c r="X54" s="67">
        <f ca="1">MAX(X52, 0)^INDEX(Assumptions!$B:$B, MATCH("Sigmoid IRR-blend exponent k", Assumptions!$A:$A, 0)) * IF(X53 &gt; 0, 1, 0)</f>
        <v>0</v>
      </c>
      <c r="Y54" s="67">
        <f ca="1">MAX(Y52, 0)^INDEX(Assumptions!$B:$B, MATCH("Sigmoid IRR-blend exponent k", Assumptions!$A:$A, 0)) * IF(Y53 &gt; 0, 1, 0)</f>
        <v>0</v>
      </c>
      <c r="Z54" s="67">
        <f ca="1">MAX(Z52, 0)^INDEX(Assumptions!$B:$B, MATCH("Sigmoid IRR-blend exponent k", Assumptions!$A:$A, 0)) * IF(Z53 &gt; 0, 1, 0)</f>
        <v>0</v>
      </c>
      <c r="AA54" s="67">
        <f ca="1">MAX(AA52, 0)^INDEX(Assumptions!$B:$B, MATCH("Sigmoid IRR-blend exponent k", Assumptions!$A:$A, 0)) * IF(AA53 &gt; 0, 1, 0)</f>
        <v>0</v>
      </c>
      <c r="AB54" s="67">
        <f ca="1">MAX(AB52, 0)^INDEX(Assumptions!$B:$B, MATCH("Sigmoid IRR-blend exponent k", Assumptions!$A:$A, 0)) * IF(AB53 &gt; 0, 1, 0)</f>
        <v>0</v>
      </c>
      <c r="AC54" s="67">
        <f ca="1">MAX(AC52, 0)^INDEX(Assumptions!$B:$B, MATCH("Sigmoid IRR-blend exponent k", Assumptions!$A:$A, 0)) * IF(AC53 &gt; 0, 1, 0)</f>
        <v>0</v>
      </c>
    </row>
    <row r="55" spans="1:29" x14ac:dyDescent="0.2">
      <c r="A55" s="18" t="s">
        <v>1665</v>
      </c>
      <c r="D55">
        <f ca="1">MIN(IF(D52 &gt; 0, D53, 0), $D$29 * D54 / IF($D$80 &gt; 0, $D$80, 1))</f>
        <v>0</v>
      </c>
      <c r="E55">
        <f t="shared" ref="E55:AC55" ca="1" si="8">MIN(IF(E52 &gt; 0, E53, 0), $D$29 * E54 / IF($D$80 &gt; 0, $D$80, 1))</f>
        <v>0</v>
      </c>
      <c r="F55">
        <f t="shared" ca="1" si="8"/>
        <v>0</v>
      </c>
      <c r="G55">
        <f t="shared" ca="1" si="8"/>
        <v>0</v>
      </c>
      <c r="H55">
        <f t="shared" ca="1" si="8"/>
        <v>0</v>
      </c>
      <c r="I55">
        <f t="shared" ca="1" si="8"/>
        <v>0</v>
      </c>
      <c r="J55">
        <f t="shared" ca="1" si="8"/>
        <v>0</v>
      </c>
      <c r="K55">
        <f t="shared" ca="1" si="8"/>
        <v>0</v>
      </c>
      <c r="L55">
        <f t="shared" ca="1" si="8"/>
        <v>0</v>
      </c>
      <c r="M55">
        <f t="shared" ca="1" si="8"/>
        <v>0</v>
      </c>
      <c r="N55">
        <f t="shared" ca="1" si="8"/>
        <v>0</v>
      </c>
      <c r="O55">
        <f t="shared" ca="1" si="8"/>
        <v>0</v>
      </c>
      <c r="P55">
        <f t="shared" ca="1" si="8"/>
        <v>0</v>
      </c>
      <c r="Q55">
        <f t="shared" ca="1" si="8"/>
        <v>0</v>
      </c>
      <c r="R55">
        <f t="shared" ca="1" si="8"/>
        <v>0</v>
      </c>
      <c r="S55">
        <f t="shared" ca="1" si="8"/>
        <v>0</v>
      </c>
      <c r="T55">
        <f t="shared" ca="1" si="8"/>
        <v>0</v>
      </c>
      <c r="U55">
        <f t="shared" ca="1" si="8"/>
        <v>0</v>
      </c>
      <c r="V55">
        <f t="shared" ca="1" si="8"/>
        <v>0</v>
      </c>
      <c r="W55">
        <f t="shared" ca="1" si="8"/>
        <v>0</v>
      </c>
      <c r="X55">
        <f t="shared" ca="1" si="8"/>
        <v>0</v>
      </c>
      <c r="Y55">
        <f t="shared" ca="1" si="8"/>
        <v>0</v>
      </c>
      <c r="Z55">
        <f t="shared" ca="1" si="8"/>
        <v>0</v>
      </c>
      <c r="AA55">
        <f t="shared" ca="1" si="8"/>
        <v>0</v>
      </c>
      <c r="AB55">
        <f t="shared" ca="1" si="8"/>
        <v>0</v>
      </c>
      <c r="AC55">
        <f t="shared" ca="1" si="8"/>
        <v>0</v>
      </c>
    </row>
    <row r="56" spans="1:29" x14ac:dyDescent="0.2">
      <c r="A56" s="18" t="s">
        <v>1666</v>
      </c>
    </row>
    <row r="57" spans="1:29" x14ac:dyDescent="0.2">
      <c r="A57" s="18" t="s">
        <v>1667</v>
      </c>
      <c r="D57" s="17" cm="1">
        <f t="array" aca="1" ref="D57" ca="1">IFERROR(INDEX(Starlink!$D:$AC, MATCH("Memo: V3 BB Blended IRR", Starlink!$A:$A, 0), D$5+1), 0)</f>
        <v>3.5735863467735176</v>
      </c>
      <c r="E57" s="17" cm="1">
        <f t="array" aca="1" ref="E57" ca="1">IFERROR(INDEX(Starlink!$D:$AC, MATCH("Memo: V3 BB Blended IRR", Starlink!$A:$A, 0), E$5+1), 0)</f>
        <v>4.7830800680715635</v>
      </c>
      <c r="F57" s="17" cm="1">
        <f t="array" aca="1" ref="F57" ca="1">IFERROR(INDEX(Starlink!$D:$AC, MATCH("Memo: V3 BB Blended IRR", Starlink!$A:$A, 0), F$5+1), 0)</f>
        <v>6.2508512954746109</v>
      </c>
      <c r="G57" s="17" cm="1">
        <f t="array" aca="1" ref="G57" ca="1">IFERROR(INDEX(Starlink!$D:$AC, MATCH("Memo: V3 BB Blended IRR", Starlink!$A:$A, 0), G$5+1), 0)</f>
        <v>0.9634816162351687</v>
      </c>
      <c r="H57" s="17" cm="1">
        <f t="array" aca="1" ref="H57" ca="1">IFERROR(INDEX(Starlink!$D:$AC, MATCH("Memo: V3 BB Blended IRR", Starlink!$A:$A, 0), H$5+1), 0)</f>
        <v>1.4370640537638912</v>
      </c>
      <c r="I57" s="17" cm="1">
        <f t="array" aca="1" ref="I57" ca="1">IFERROR(INDEX(Starlink!$D:$AC, MATCH("Memo: V3 BB Blended IRR", Starlink!$A:$A, 0), I$5+1), 0)</f>
        <v>-1</v>
      </c>
      <c r="J57" s="17" cm="1">
        <f t="array" aca="1" ref="J57" ca="1">IFERROR(INDEX(Starlink!$D:$AC, MATCH("Memo: V3 BB Blended IRR", Starlink!$A:$A, 0), J$5+1), 0)</f>
        <v>-1</v>
      </c>
      <c r="K57" s="17" cm="1">
        <f t="array" aca="1" ref="K57" ca="1">IFERROR(INDEX(Starlink!$D:$AC, MATCH("Memo: V3 BB Blended IRR", Starlink!$A:$A, 0), K$5+1), 0)</f>
        <v>-1</v>
      </c>
      <c r="L57" s="17" cm="1">
        <f t="array" aca="1" ref="L57" ca="1">IFERROR(INDEX(Starlink!$D:$AC, MATCH("Memo: V3 BB Blended IRR", Starlink!$A:$A, 0), L$5+1), 0)</f>
        <v>-1</v>
      </c>
      <c r="M57" s="17" cm="1">
        <f t="array" aca="1" ref="M57" ca="1">IFERROR(INDEX(Starlink!$D:$AC, MATCH("Memo: V3 BB Blended IRR", Starlink!$A:$A, 0), M$5+1), 0)</f>
        <v>-1</v>
      </c>
      <c r="N57" s="17" cm="1">
        <f t="array" aca="1" ref="N57" ca="1">IFERROR(INDEX(Starlink!$D:$AC, MATCH("Memo: V3 BB Blended IRR", Starlink!$A:$A, 0), N$5+1), 0)</f>
        <v>-1</v>
      </c>
      <c r="O57" s="17" cm="1">
        <f t="array" aca="1" ref="O57" ca="1">IFERROR(INDEX(Starlink!$D:$AC, MATCH("Memo: V3 BB Blended IRR", Starlink!$A:$A, 0), O$5+1), 0)</f>
        <v>-1</v>
      </c>
      <c r="P57" s="17" cm="1">
        <f t="array" aca="1" ref="P57" ca="1">IFERROR(INDEX(Starlink!$D:$AC, MATCH("Memo: V3 BB Blended IRR", Starlink!$A:$A, 0), P$5+1), 0)</f>
        <v>-1</v>
      </c>
      <c r="Q57" s="17" cm="1">
        <f t="array" aca="1" ref="Q57" ca="1">IFERROR(INDEX(Starlink!$D:$AC, MATCH("Memo: V3 BB Blended IRR", Starlink!$A:$A, 0), Q$5+1), 0)</f>
        <v>-1</v>
      </c>
      <c r="R57" s="17" cm="1">
        <f t="array" aca="1" ref="R57" ca="1">IFERROR(INDEX(Starlink!$D:$AC, MATCH("Memo: V3 BB Blended IRR", Starlink!$A:$A, 0), R$5+1), 0)</f>
        <v>-1</v>
      </c>
      <c r="S57" s="17" cm="1">
        <f t="array" aca="1" ref="S57" ca="1">IFERROR(INDEX(Starlink!$D:$AC, MATCH("Memo: V3 BB Blended IRR", Starlink!$A:$A, 0), S$5+1), 0)</f>
        <v>-1</v>
      </c>
      <c r="T57" s="17" cm="1">
        <f t="array" aca="1" ref="T57" ca="1">IFERROR(INDEX(Starlink!$D:$AC, MATCH("Memo: V3 BB Blended IRR", Starlink!$A:$A, 0), T$5+1), 0)</f>
        <v>-1</v>
      </c>
      <c r="U57" s="17" cm="1">
        <f t="array" aca="1" ref="U57" ca="1">IFERROR(INDEX(Starlink!$D:$AC, MATCH("Memo: V3 BB Blended IRR", Starlink!$A:$A, 0), U$5+1), 0)</f>
        <v>-1</v>
      </c>
      <c r="V57" s="17" cm="1">
        <f t="array" aca="1" ref="V57" ca="1">IFERROR(INDEX(Starlink!$D:$AC, MATCH("Memo: V3 BB Blended IRR", Starlink!$A:$A, 0), V$5+1), 0)</f>
        <v>-1</v>
      </c>
      <c r="W57" s="17" cm="1">
        <f t="array" aca="1" ref="W57" ca="1">IFERROR(INDEX(Starlink!$D:$AC, MATCH("Memo: V3 BB Blended IRR", Starlink!$A:$A, 0), W$5+1), 0)</f>
        <v>-1</v>
      </c>
      <c r="X57" s="17" cm="1">
        <f t="array" aca="1" ref="X57" ca="1">IFERROR(INDEX(Starlink!$D:$AC, MATCH("Memo: V3 BB Blended IRR", Starlink!$A:$A, 0), X$5+1), 0)</f>
        <v>-1</v>
      </c>
      <c r="Y57" s="17" cm="1">
        <f t="array" aca="1" ref="Y57" ca="1">IFERROR(INDEX(Starlink!$D:$AC, MATCH("Memo: V3 BB Blended IRR", Starlink!$A:$A, 0), Y$5+1), 0)</f>
        <v>-1</v>
      </c>
      <c r="Z57" s="17" cm="1">
        <f t="array" aca="1" ref="Z57" ca="1">IFERROR(INDEX(Starlink!$D:$AC, MATCH("Memo: V3 BB Blended IRR", Starlink!$A:$A, 0), Z$5+1), 0)</f>
        <v>-1</v>
      </c>
      <c r="AA57" s="17" cm="1">
        <f t="array" aca="1" ref="AA57" ca="1">IFERROR(INDEX(Starlink!$D:$AC, MATCH("Memo: V3 BB Blended IRR", Starlink!$A:$A, 0), AA$5+1), 0)</f>
        <v>-1</v>
      </c>
      <c r="AB57" s="17" cm="1">
        <f t="array" aca="1" ref="AB57" ca="1">IFERROR(INDEX(Starlink!$D:$AC, MATCH("Memo: V3 BB Blended IRR", Starlink!$A:$A, 0), AB$5+1), 0)</f>
        <v>-1</v>
      </c>
      <c r="AC57" s="17" cm="1">
        <f t="array" aca="1" ref="AC57" ca="1">IFERROR(INDEX(Starlink!$D:$AC, MATCH("Memo: V3 BB Blended IRR", Starlink!$A:$A, 0), AC$5+1), 0)</f>
        <v>-1</v>
      </c>
    </row>
    <row r="58" spans="1:29" x14ac:dyDescent="0.2">
      <c r="A58" s="18" t="s">
        <v>1668</v>
      </c>
      <c r="D58" s="67" cm="1">
        <f t="array" aca="1" ref="D58" ca="1">IF(D$4 &lt; INDEX('Launch Capacity'!$D:$AC, MATCH("V3 Starlink launch trigger year", 'Launch Capacity'!$A:$A, 0), 1), 0, IFERROR(INDEX(Starlink!$D:$AC, MATCH("V3 BB sat CapEx ($mm)", Starlink!$A:$A, 0), D$5+1) + INDEX(Starlink!$D:$AC, MATCH("V3 BB facility CapEx ($mm)", Starlink!$A:$A, 0), D$5+1), 0))</f>
        <v>0</v>
      </c>
      <c r="E58" s="67" cm="1">
        <f t="array" aca="1" ref="E58" ca="1">IF(E$4 &lt; INDEX('Launch Capacity'!$D:$AC, MATCH("V3 Starlink launch trigger year", 'Launch Capacity'!$A:$A, 0), 1), 0, IFERROR(INDEX(Starlink!$D:$AC, MATCH("V3 BB sat CapEx ($mm)", Starlink!$A:$A, 0), E$5+1) + INDEX(Starlink!$D:$AC, MATCH("V3 BB facility CapEx ($mm)", Starlink!$A:$A, 0), E$5+1), 0))</f>
        <v>0</v>
      </c>
      <c r="F58" s="67" cm="1">
        <f t="array" aca="1" ref="F58" ca="1">IF(F$4 &lt; INDEX('Launch Capacity'!$D:$AC, MATCH("V3 Starlink launch trigger year", 'Launch Capacity'!$A:$A, 0), 1), 0, IFERROR(INDEX(Starlink!$D:$AC, MATCH("V3 BB sat CapEx ($mm)", Starlink!$A:$A, 0), F$5+1) + INDEX(Starlink!$D:$AC, MATCH("V3 BB facility CapEx ($mm)", Starlink!$A:$A, 0), F$5+1), 0))</f>
        <v>0</v>
      </c>
      <c r="G58" s="67" cm="1">
        <f t="array" aca="1" ref="G58" ca="1">IF(G$4 &lt; INDEX('Launch Capacity'!$D:$AC, MATCH("V3 Starlink launch trigger year", 'Launch Capacity'!$A:$A, 0), 1), 0, IFERROR(INDEX(Starlink!$D:$AC, MATCH("V3 BB sat CapEx ($mm)", Starlink!$A:$A, 0), G$5+1) + INDEX(Starlink!$D:$AC, MATCH("V3 BB facility CapEx ($mm)", Starlink!$A:$A, 0), G$5+1), 0))</f>
        <v>0</v>
      </c>
      <c r="H58" s="67" cm="1">
        <f t="array" aca="1" ref="H58" ca="1">IF(H$4 &lt; INDEX('Launch Capacity'!$D:$AC, MATCH("V3 Starlink launch trigger year", 'Launch Capacity'!$A:$A, 0), 1), 0, IFERROR(INDEX(Starlink!$D:$AC, MATCH("V3 BB sat CapEx ($mm)", Starlink!$A:$A, 0), H$5+1) + INDEX(Starlink!$D:$AC, MATCH("V3 BB facility CapEx ($mm)", Starlink!$A:$A, 0), H$5+1), 0))</f>
        <v>0</v>
      </c>
      <c r="I58" s="67" cm="1">
        <f t="array" aca="1" ref="I58" ca="1">IF(I$4 &lt; INDEX('Launch Capacity'!$D:$AC, MATCH("V3 Starlink launch trigger year", 'Launch Capacity'!$A:$A, 0), 1), 0, IFERROR(INDEX(Starlink!$D:$AC, MATCH("V3 BB sat CapEx ($mm)", Starlink!$A:$A, 0), I$5+1) + INDEX(Starlink!$D:$AC, MATCH("V3 BB facility CapEx ($mm)", Starlink!$A:$A, 0), I$5+1), 0))</f>
        <v>0</v>
      </c>
      <c r="J58" s="67" cm="1">
        <f t="array" aca="1" ref="J58" ca="1">IF(J$4 &lt; INDEX('Launch Capacity'!$D:$AC, MATCH("V3 Starlink launch trigger year", 'Launch Capacity'!$A:$A, 0), 1), 0, IFERROR(INDEX(Starlink!$D:$AC, MATCH("V3 BB sat CapEx ($mm)", Starlink!$A:$A, 0), J$5+1) + INDEX(Starlink!$D:$AC, MATCH("V3 BB facility CapEx ($mm)", Starlink!$A:$A, 0), J$5+1), 0))</f>
        <v>0</v>
      </c>
      <c r="K58" s="67" cm="1">
        <f t="array" aca="1" ref="K58" ca="1">IF(K$4 &lt; INDEX('Launch Capacity'!$D:$AC, MATCH("V3 Starlink launch trigger year", 'Launch Capacity'!$A:$A, 0), 1), 0, IFERROR(INDEX(Starlink!$D:$AC, MATCH("V3 BB sat CapEx ($mm)", Starlink!$A:$A, 0), K$5+1) + INDEX(Starlink!$D:$AC, MATCH("V3 BB facility CapEx ($mm)", Starlink!$A:$A, 0), K$5+1), 0))</f>
        <v>0</v>
      </c>
      <c r="L58" s="67" cm="1">
        <f t="array" aca="1" ref="L58" ca="1">IF(L$4 &lt; INDEX('Launch Capacity'!$D:$AC, MATCH("V3 Starlink launch trigger year", 'Launch Capacity'!$A:$A, 0), 1), 0, IFERROR(INDEX(Starlink!$D:$AC, MATCH("V3 BB sat CapEx ($mm)", Starlink!$A:$A, 0), L$5+1) + INDEX(Starlink!$D:$AC, MATCH("V3 BB facility CapEx ($mm)", Starlink!$A:$A, 0), L$5+1), 0))</f>
        <v>0</v>
      </c>
      <c r="M58" s="67" cm="1">
        <f t="array" aca="1" ref="M58" ca="1">IF(M$4 &lt; INDEX('Launch Capacity'!$D:$AC, MATCH("V3 Starlink launch trigger year", 'Launch Capacity'!$A:$A, 0), 1), 0, IFERROR(INDEX(Starlink!$D:$AC, MATCH("V3 BB sat CapEx ($mm)", Starlink!$A:$A, 0), M$5+1) + INDEX(Starlink!$D:$AC, MATCH("V3 BB facility CapEx ($mm)", Starlink!$A:$A, 0), M$5+1), 0))</f>
        <v>0</v>
      </c>
      <c r="N58" s="67" cm="1">
        <f t="array" aca="1" ref="N58" ca="1">IF(N$4 &lt; INDEX('Launch Capacity'!$D:$AC, MATCH("V3 Starlink launch trigger year", 'Launch Capacity'!$A:$A, 0), 1), 0, IFERROR(INDEX(Starlink!$D:$AC, MATCH("V3 BB sat CapEx ($mm)", Starlink!$A:$A, 0), N$5+1) + INDEX(Starlink!$D:$AC, MATCH("V3 BB facility CapEx ($mm)", Starlink!$A:$A, 0), N$5+1), 0))</f>
        <v>0</v>
      </c>
      <c r="O58" s="67" cm="1">
        <f t="array" aca="1" ref="O58" ca="1">IF(O$4 &lt; INDEX('Launch Capacity'!$D:$AC, MATCH("V3 Starlink launch trigger year", 'Launch Capacity'!$A:$A, 0), 1), 0, IFERROR(INDEX(Starlink!$D:$AC, MATCH("V3 BB sat CapEx ($mm)", Starlink!$A:$A, 0), O$5+1) + INDEX(Starlink!$D:$AC, MATCH("V3 BB facility CapEx ($mm)", Starlink!$A:$A, 0), O$5+1), 0))</f>
        <v>0</v>
      </c>
      <c r="P58" s="67" cm="1">
        <f t="array" aca="1" ref="P58" ca="1">IF(P$4 &lt; INDEX('Launch Capacity'!$D:$AC, MATCH("V3 Starlink launch trigger year", 'Launch Capacity'!$A:$A, 0), 1), 0, IFERROR(INDEX(Starlink!$D:$AC, MATCH("V3 BB sat CapEx ($mm)", Starlink!$A:$A, 0), P$5+1) + INDEX(Starlink!$D:$AC, MATCH("V3 BB facility CapEx ($mm)", Starlink!$A:$A, 0), P$5+1), 0))</f>
        <v>0</v>
      </c>
      <c r="Q58" s="67" cm="1">
        <f t="array" aca="1" ref="Q58" ca="1">IF(Q$4 &lt; INDEX('Launch Capacity'!$D:$AC, MATCH("V3 Starlink launch trigger year", 'Launch Capacity'!$A:$A, 0), 1), 0, IFERROR(INDEX(Starlink!$D:$AC, MATCH("V3 BB sat CapEx ($mm)", Starlink!$A:$A, 0), Q$5+1) + INDEX(Starlink!$D:$AC, MATCH("V3 BB facility CapEx ($mm)", Starlink!$A:$A, 0), Q$5+1), 0))</f>
        <v>0</v>
      </c>
      <c r="R58" s="67" cm="1">
        <f t="array" aca="1" ref="R58" ca="1">IF(R$4 &lt; INDEX('Launch Capacity'!$D:$AC, MATCH("V3 Starlink launch trigger year", 'Launch Capacity'!$A:$A, 0), 1), 0, IFERROR(INDEX(Starlink!$D:$AC, MATCH("V3 BB sat CapEx ($mm)", Starlink!$A:$A, 0), R$5+1) + INDEX(Starlink!$D:$AC, MATCH("V3 BB facility CapEx ($mm)", Starlink!$A:$A, 0), R$5+1), 0))</f>
        <v>0</v>
      </c>
      <c r="S58" s="67" cm="1">
        <f t="array" aca="1" ref="S58" ca="1">IF(S$4 &lt; INDEX('Launch Capacity'!$D:$AC, MATCH("V3 Starlink launch trigger year", 'Launch Capacity'!$A:$A, 0), 1), 0, IFERROR(INDEX(Starlink!$D:$AC, MATCH("V3 BB sat CapEx ($mm)", Starlink!$A:$A, 0), S$5+1) + INDEX(Starlink!$D:$AC, MATCH("V3 BB facility CapEx ($mm)", Starlink!$A:$A, 0), S$5+1), 0))</f>
        <v>0</v>
      </c>
      <c r="T58" s="67" cm="1">
        <f t="array" aca="1" ref="T58" ca="1">IF(T$4 &lt; INDEX('Launch Capacity'!$D:$AC, MATCH("V3 Starlink launch trigger year", 'Launch Capacity'!$A:$A, 0), 1), 0, IFERROR(INDEX(Starlink!$D:$AC, MATCH("V3 BB sat CapEx ($mm)", Starlink!$A:$A, 0), T$5+1) + INDEX(Starlink!$D:$AC, MATCH("V3 BB facility CapEx ($mm)", Starlink!$A:$A, 0), T$5+1), 0))</f>
        <v>0</v>
      </c>
      <c r="U58" s="67" cm="1">
        <f t="array" aca="1" ref="U58" ca="1">IF(U$4 &lt; INDEX('Launch Capacity'!$D:$AC, MATCH("V3 Starlink launch trigger year", 'Launch Capacity'!$A:$A, 0), 1), 0, IFERROR(INDEX(Starlink!$D:$AC, MATCH("V3 BB sat CapEx ($mm)", Starlink!$A:$A, 0), U$5+1) + INDEX(Starlink!$D:$AC, MATCH("V3 BB facility CapEx ($mm)", Starlink!$A:$A, 0), U$5+1), 0))</f>
        <v>0</v>
      </c>
      <c r="V58" s="67" cm="1">
        <f t="array" aca="1" ref="V58" ca="1">IF(V$4 &lt; INDEX('Launch Capacity'!$D:$AC, MATCH("V3 Starlink launch trigger year", 'Launch Capacity'!$A:$A, 0), 1), 0, IFERROR(INDEX(Starlink!$D:$AC, MATCH("V3 BB sat CapEx ($mm)", Starlink!$A:$A, 0), V$5+1) + INDEX(Starlink!$D:$AC, MATCH("V3 BB facility CapEx ($mm)", Starlink!$A:$A, 0), V$5+1), 0))</f>
        <v>0</v>
      </c>
      <c r="W58" s="67" cm="1">
        <f t="array" aca="1" ref="W58" ca="1">IF(W$4 &lt; INDEX('Launch Capacity'!$D:$AC, MATCH("V3 Starlink launch trigger year", 'Launch Capacity'!$A:$A, 0), 1), 0, IFERROR(INDEX(Starlink!$D:$AC, MATCH("V3 BB sat CapEx ($mm)", Starlink!$A:$A, 0), W$5+1) + INDEX(Starlink!$D:$AC, MATCH("V3 BB facility CapEx ($mm)", Starlink!$A:$A, 0), W$5+1), 0))</f>
        <v>0</v>
      </c>
      <c r="X58" s="67" cm="1">
        <f t="array" aca="1" ref="X58" ca="1">IF(X$4 &lt; INDEX('Launch Capacity'!$D:$AC, MATCH("V3 Starlink launch trigger year", 'Launch Capacity'!$A:$A, 0), 1), 0, IFERROR(INDEX(Starlink!$D:$AC, MATCH("V3 BB sat CapEx ($mm)", Starlink!$A:$A, 0), X$5+1) + INDEX(Starlink!$D:$AC, MATCH("V3 BB facility CapEx ($mm)", Starlink!$A:$A, 0), X$5+1), 0))</f>
        <v>0</v>
      </c>
      <c r="Y58" s="67" cm="1">
        <f t="array" aca="1" ref="Y58" ca="1">IF(Y$4 &lt; INDEX('Launch Capacity'!$D:$AC, MATCH("V3 Starlink launch trigger year", 'Launch Capacity'!$A:$A, 0), 1), 0, IFERROR(INDEX(Starlink!$D:$AC, MATCH("V3 BB sat CapEx ($mm)", Starlink!$A:$A, 0), Y$5+1) + INDEX(Starlink!$D:$AC, MATCH("V3 BB facility CapEx ($mm)", Starlink!$A:$A, 0), Y$5+1), 0))</f>
        <v>0</v>
      </c>
      <c r="Z58" s="67" cm="1">
        <f t="array" aca="1" ref="Z58" ca="1">IF(Z$4 &lt; INDEX('Launch Capacity'!$D:$AC, MATCH("V3 Starlink launch trigger year", 'Launch Capacity'!$A:$A, 0), 1), 0, IFERROR(INDEX(Starlink!$D:$AC, MATCH("V3 BB sat CapEx ($mm)", Starlink!$A:$A, 0), Z$5+1) + INDEX(Starlink!$D:$AC, MATCH("V3 BB facility CapEx ($mm)", Starlink!$A:$A, 0), Z$5+1), 0))</f>
        <v>0</v>
      </c>
      <c r="AA58" s="67" cm="1">
        <f t="array" aca="1" ref="AA58" ca="1">IF(AA$4 &lt; INDEX('Launch Capacity'!$D:$AC, MATCH("V3 Starlink launch trigger year", 'Launch Capacity'!$A:$A, 0), 1), 0, IFERROR(INDEX(Starlink!$D:$AC, MATCH("V3 BB sat CapEx ($mm)", Starlink!$A:$A, 0), AA$5+1) + INDEX(Starlink!$D:$AC, MATCH("V3 BB facility CapEx ($mm)", Starlink!$A:$A, 0), AA$5+1), 0))</f>
        <v>0</v>
      </c>
      <c r="AB58" s="67" cm="1">
        <f t="array" aca="1" ref="AB58" ca="1">IF(AB$4 &lt; INDEX('Launch Capacity'!$D:$AC, MATCH("V3 Starlink launch trigger year", 'Launch Capacity'!$A:$A, 0), 1), 0, IFERROR(INDEX(Starlink!$D:$AC, MATCH("V3 BB sat CapEx ($mm)", Starlink!$A:$A, 0), AB$5+1) + INDEX(Starlink!$D:$AC, MATCH("V3 BB facility CapEx ($mm)", Starlink!$A:$A, 0), AB$5+1), 0))</f>
        <v>0</v>
      </c>
      <c r="AC58" s="67" cm="1">
        <f t="array" aca="1" ref="AC58" ca="1">IF(AC$4 &lt; INDEX('Launch Capacity'!$D:$AC, MATCH("V3 Starlink launch trigger year", 'Launch Capacity'!$A:$A, 0), 1), 0, IFERROR(INDEX(Starlink!$D:$AC, MATCH("V3 BB sat CapEx ($mm)", Starlink!$A:$A, 0), AC$5+1) + INDEX(Starlink!$D:$AC, MATCH("V3 BB facility CapEx ($mm)", Starlink!$A:$A, 0), AC$5+1), 0))</f>
        <v>0</v>
      </c>
    </row>
    <row r="59" spans="1:29" x14ac:dyDescent="0.2">
      <c r="A59" s="18" t="s">
        <v>1669</v>
      </c>
      <c r="D59" s="67">
        <f ca="1">MAX(D57, 0)^INDEX(Assumptions!$B:$B, MATCH("Sigmoid IRR-blend exponent k", Assumptions!$A:$A, 0)) * IF(D58 &gt; 0, 1, 0)</f>
        <v>0</v>
      </c>
      <c r="E59" s="67">
        <f ca="1">MAX(E57, 0)^INDEX(Assumptions!$B:$B, MATCH("Sigmoid IRR-blend exponent k", Assumptions!$A:$A, 0)) * IF(E58 &gt; 0, 1, 0)</f>
        <v>0</v>
      </c>
      <c r="F59" s="67">
        <f ca="1">MAX(F57, 0)^INDEX(Assumptions!$B:$B, MATCH("Sigmoid IRR-blend exponent k", Assumptions!$A:$A, 0)) * IF(F58 &gt; 0, 1, 0)</f>
        <v>0</v>
      </c>
      <c r="G59" s="67">
        <f ca="1">MAX(G57, 0)^INDEX(Assumptions!$B:$B, MATCH("Sigmoid IRR-blend exponent k", Assumptions!$A:$A, 0)) * IF(G58 &gt; 0, 1, 0)</f>
        <v>0</v>
      </c>
      <c r="H59" s="67">
        <f ca="1">MAX(H57, 0)^INDEX(Assumptions!$B:$B, MATCH("Sigmoid IRR-blend exponent k", Assumptions!$A:$A, 0)) * IF(H58 &gt; 0, 1, 0)</f>
        <v>0</v>
      </c>
      <c r="I59" s="67">
        <f ca="1">MAX(I57, 0)^INDEX(Assumptions!$B:$B, MATCH("Sigmoid IRR-blend exponent k", Assumptions!$A:$A, 0)) * IF(I58 &gt; 0, 1, 0)</f>
        <v>0</v>
      </c>
      <c r="J59" s="67">
        <f ca="1">MAX(J57, 0)^INDEX(Assumptions!$B:$B, MATCH("Sigmoid IRR-blend exponent k", Assumptions!$A:$A, 0)) * IF(J58 &gt; 0, 1, 0)</f>
        <v>0</v>
      </c>
      <c r="K59" s="67">
        <f ca="1">MAX(K57, 0)^INDEX(Assumptions!$B:$B, MATCH("Sigmoid IRR-blend exponent k", Assumptions!$A:$A, 0)) * IF(K58 &gt; 0, 1, 0)</f>
        <v>0</v>
      </c>
      <c r="L59" s="67">
        <f ca="1">MAX(L57, 0)^INDEX(Assumptions!$B:$B, MATCH("Sigmoid IRR-blend exponent k", Assumptions!$A:$A, 0)) * IF(L58 &gt; 0, 1, 0)</f>
        <v>0</v>
      </c>
      <c r="M59" s="67">
        <f ca="1">MAX(M57, 0)^INDEX(Assumptions!$B:$B, MATCH("Sigmoid IRR-blend exponent k", Assumptions!$A:$A, 0)) * IF(M58 &gt; 0, 1, 0)</f>
        <v>0</v>
      </c>
      <c r="N59" s="67">
        <f ca="1">MAX(N57, 0)^INDEX(Assumptions!$B:$B, MATCH("Sigmoid IRR-blend exponent k", Assumptions!$A:$A, 0)) * IF(N58 &gt; 0, 1, 0)</f>
        <v>0</v>
      </c>
      <c r="O59" s="67">
        <f ca="1">MAX(O57, 0)^INDEX(Assumptions!$B:$B, MATCH("Sigmoid IRR-blend exponent k", Assumptions!$A:$A, 0)) * IF(O58 &gt; 0, 1, 0)</f>
        <v>0</v>
      </c>
      <c r="P59" s="67">
        <f ca="1">MAX(P57, 0)^INDEX(Assumptions!$B:$B, MATCH("Sigmoid IRR-blend exponent k", Assumptions!$A:$A, 0)) * IF(P58 &gt; 0, 1, 0)</f>
        <v>0</v>
      </c>
      <c r="Q59" s="67">
        <f ca="1">MAX(Q57, 0)^INDEX(Assumptions!$B:$B, MATCH("Sigmoid IRR-blend exponent k", Assumptions!$A:$A, 0)) * IF(Q58 &gt; 0, 1, 0)</f>
        <v>0</v>
      </c>
      <c r="R59" s="67">
        <f ca="1">MAX(R57, 0)^INDEX(Assumptions!$B:$B, MATCH("Sigmoid IRR-blend exponent k", Assumptions!$A:$A, 0)) * IF(R58 &gt; 0, 1, 0)</f>
        <v>0</v>
      </c>
      <c r="S59" s="67">
        <f ca="1">MAX(S57, 0)^INDEX(Assumptions!$B:$B, MATCH("Sigmoid IRR-blend exponent k", Assumptions!$A:$A, 0)) * IF(S58 &gt; 0, 1, 0)</f>
        <v>0</v>
      </c>
      <c r="T59" s="67">
        <f ca="1">MAX(T57, 0)^INDEX(Assumptions!$B:$B, MATCH("Sigmoid IRR-blend exponent k", Assumptions!$A:$A, 0)) * IF(T58 &gt; 0, 1, 0)</f>
        <v>0</v>
      </c>
      <c r="U59" s="67">
        <f ca="1">MAX(U57, 0)^INDEX(Assumptions!$B:$B, MATCH("Sigmoid IRR-blend exponent k", Assumptions!$A:$A, 0)) * IF(U58 &gt; 0, 1, 0)</f>
        <v>0</v>
      </c>
      <c r="V59" s="67">
        <f ca="1">MAX(V57, 0)^INDEX(Assumptions!$B:$B, MATCH("Sigmoid IRR-blend exponent k", Assumptions!$A:$A, 0)) * IF(V58 &gt; 0, 1, 0)</f>
        <v>0</v>
      </c>
      <c r="W59" s="67">
        <f ca="1">MAX(W57, 0)^INDEX(Assumptions!$B:$B, MATCH("Sigmoid IRR-blend exponent k", Assumptions!$A:$A, 0)) * IF(W58 &gt; 0, 1, 0)</f>
        <v>0</v>
      </c>
      <c r="X59" s="67">
        <f ca="1">MAX(X57, 0)^INDEX(Assumptions!$B:$B, MATCH("Sigmoid IRR-blend exponent k", Assumptions!$A:$A, 0)) * IF(X58 &gt; 0, 1, 0)</f>
        <v>0</v>
      </c>
      <c r="Y59" s="67">
        <f ca="1">MAX(Y57, 0)^INDEX(Assumptions!$B:$B, MATCH("Sigmoid IRR-blend exponent k", Assumptions!$A:$A, 0)) * IF(Y58 &gt; 0, 1, 0)</f>
        <v>0</v>
      </c>
      <c r="Z59" s="67">
        <f ca="1">MAX(Z57, 0)^INDEX(Assumptions!$B:$B, MATCH("Sigmoid IRR-blend exponent k", Assumptions!$A:$A, 0)) * IF(Z58 &gt; 0, 1, 0)</f>
        <v>0</v>
      </c>
      <c r="AA59" s="67">
        <f ca="1">MAX(AA57, 0)^INDEX(Assumptions!$B:$B, MATCH("Sigmoid IRR-blend exponent k", Assumptions!$A:$A, 0)) * IF(AA58 &gt; 0, 1, 0)</f>
        <v>0</v>
      </c>
      <c r="AB59" s="67">
        <f ca="1">MAX(AB57, 0)^INDEX(Assumptions!$B:$B, MATCH("Sigmoid IRR-blend exponent k", Assumptions!$A:$A, 0)) * IF(AB58 &gt; 0, 1, 0)</f>
        <v>0</v>
      </c>
      <c r="AC59" s="67">
        <f ca="1">MAX(AC57, 0)^INDEX(Assumptions!$B:$B, MATCH("Sigmoid IRR-blend exponent k", Assumptions!$A:$A, 0)) * IF(AC58 &gt; 0, 1, 0)</f>
        <v>0</v>
      </c>
    </row>
    <row r="60" spans="1:29" x14ac:dyDescent="0.2">
      <c r="A60" s="18" t="s">
        <v>1670</v>
      </c>
      <c r="D60" s="68">
        <f ca="1">MIN(IF(D57 &gt; 0, D58, 0), $D$29 * D59 / IF($D$80 &gt; 0, $D$80, 1))</f>
        <v>0</v>
      </c>
      <c r="E60" s="68">
        <f t="shared" ref="E60:AC60" ca="1" si="9">MIN(IF(E57 &gt; 0, E58, 0), $D$29 * E59 / IF($D$80 &gt; 0, $D$80, 1))</f>
        <v>0</v>
      </c>
      <c r="F60" s="68">
        <f t="shared" ca="1" si="9"/>
        <v>0</v>
      </c>
      <c r="G60" s="68">
        <f t="shared" ca="1" si="9"/>
        <v>0</v>
      </c>
      <c r="H60" s="68">
        <f t="shared" ca="1" si="9"/>
        <v>0</v>
      </c>
      <c r="I60" s="68">
        <f t="shared" ca="1" si="9"/>
        <v>0</v>
      </c>
      <c r="J60" s="68">
        <f t="shared" ca="1" si="9"/>
        <v>0</v>
      </c>
      <c r="K60" s="68">
        <f t="shared" ca="1" si="9"/>
        <v>0</v>
      </c>
      <c r="L60" s="68">
        <f t="shared" ca="1" si="9"/>
        <v>0</v>
      </c>
      <c r="M60" s="68">
        <f t="shared" ca="1" si="9"/>
        <v>0</v>
      </c>
      <c r="N60" s="68">
        <f t="shared" ca="1" si="9"/>
        <v>0</v>
      </c>
      <c r="O60" s="68">
        <f t="shared" ca="1" si="9"/>
        <v>0</v>
      </c>
      <c r="P60" s="68">
        <f t="shared" ca="1" si="9"/>
        <v>0</v>
      </c>
      <c r="Q60" s="68">
        <f t="shared" ca="1" si="9"/>
        <v>0</v>
      </c>
      <c r="R60" s="68">
        <f t="shared" ca="1" si="9"/>
        <v>0</v>
      </c>
      <c r="S60" s="68">
        <f t="shared" ca="1" si="9"/>
        <v>0</v>
      </c>
      <c r="T60" s="68">
        <f t="shared" ca="1" si="9"/>
        <v>0</v>
      </c>
      <c r="U60" s="68">
        <f t="shared" ca="1" si="9"/>
        <v>0</v>
      </c>
      <c r="V60" s="68">
        <f t="shared" ca="1" si="9"/>
        <v>0</v>
      </c>
      <c r="W60" s="68">
        <f t="shared" ca="1" si="9"/>
        <v>0</v>
      </c>
      <c r="X60" s="68">
        <f t="shared" ca="1" si="9"/>
        <v>0</v>
      </c>
      <c r="Y60" s="68">
        <f t="shared" ca="1" si="9"/>
        <v>0</v>
      </c>
      <c r="Z60" s="68">
        <f t="shared" ca="1" si="9"/>
        <v>0</v>
      </c>
      <c r="AA60" s="68">
        <f t="shared" ca="1" si="9"/>
        <v>0</v>
      </c>
      <c r="AB60" s="68">
        <f t="shared" ca="1" si="9"/>
        <v>0</v>
      </c>
      <c r="AC60" s="68">
        <f t="shared" ca="1" si="9"/>
        <v>0</v>
      </c>
    </row>
    <row r="61" spans="1:29" x14ac:dyDescent="0.2">
      <c r="A61" s="18" t="s">
        <v>1671</v>
      </c>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x14ac:dyDescent="0.2">
      <c r="A62" s="18" t="s">
        <v>1672</v>
      </c>
      <c r="D62" s="67" cm="1">
        <f t="array" aca="1" ref="D62" ca="1">IFERROR(INDEX(Starlink!$D:$AC, MATCH("Memo: V3 DTC Blended IRR", Starlink!$A:$A, 0), D$5+1), 0)</f>
        <v>1.3133112485537981</v>
      </c>
      <c r="E62" s="67" cm="1">
        <f t="array" aca="1" ref="E62" ca="1">IFERROR(INDEX(Starlink!$D:$AC, MATCH("Memo: V3 DTC Blended IRR", Starlink!$A:$A, 0), E$5+1), 0)</f>
        <v>1.7738377440728457</v>
      </c>
      <c r="F62" s="67" cm="1">
        <f t="array" aca="1" ref="F62" ca="1">IFERROR(INDEX(Starlink!$D:$AC, MATCH("Memo: V3 DTC Blended IRR", Starlink!$A:$A, 0), F$5+1), 0)</f>
        <v>2.3146496839706137</v>
      </c>
      <c r="G62" s="67" cm="1">
        <f t="array" aca="1" ref="G62" ca="1">IFERROR(INDEX(Starlink!$D:$AC, MATCH("Memo: V3 DTC Blended IRR", Starlink!$A:$A, 0), G$5+1), 0)</f>
        <v>2.6775147463707953</v>
      </c>
      <c r="H62" s="67" cm="1">
        <f t="array" aca="1" ref="H62" ca="1">IFERROR(INDEX(Starlink!$D:$AC, MATCH("Memo: V3 DTC Blended IRR", Starlink!$A:$A, 0), H$5+1), 0)</f>
        <v>3.0909263736058041</v>
      </c>
      <c r="I62" s="67" cm="1">
        <f t="array" aca="1" ref="I62" ca="1">IFERROR(INDEX(Starlink!$D:$AC, MATCH("Memo: V3 DTC Blended IRR", Starlink!$A:$A, 0), I$5+1), 0)</f>
        <v>3.4450013726471127</v>
      </c>
      <c r="J62" s="67" cm="1">
        <f t="array" aca="1" ref="J62" ca="1">IFERROR(INDEX(Starlink!$D:$AC, MATCH("Memo: V3 DTC Blended IRR", Starlink!$A:$A, 0), J$5+1), 0)</f>
        <v>3.838749130784433</v>
      </c>
      <c r="K62" s="67" cm="1">
        <f t="array" aca="1" ref="K62" ca="1">IFERROR(INDEX(Starlink!$D:$AC, MATCH("Memo: V3 DTC Blended IRR", Starlink!$A:$A, 0), K$5+1), 0)</f>
        <v>4.2766720198603672</v>
      </c>
      <c r="L62" s="67" cm="1">
        <f t="array" aca="1" ref="L62" ca="1">IFERROR(INDEX(Starlink!$D:$AC, MATCH("Memo: V3 DTC Blended IRR", Starlink!$A:$A, 0), L$5+1), 0)</f>
        <v>4.6715699821409853</v>
      </c>
      <c r="M62" s="67" cm="1">
        <f t="array" aca="1" ref="M62" ca="1">IFERROR(INDEX(Starlink!$D:$AC, MATCH("Memo: V3 DTC Blended IRR", Starlink!$A:$A, 0), M$5+1), 0)</f>
        <v>5.0172136997834498</v>
      </c>
      <c r="N62" s="67" cm="1">
        <f t="array" aca="1" ref="N62" ca="1">IFERROR(INDEX(Starlink!$D:$AC, MATCH("Memo: V3 DTC Blended IRR", Starlink!$A:$A, 0), N$5+1), 0)</f>
        <v>5.3498868965123414</v>
      </c>
      <c r="O62" s="67" cm="1">
        <f t="array" aca="1" ref="O62" ca="1">IFERROR(INDEX(Starlink!$D:$AC, MATCH("Memo: V3 DTC Blended IRR", Starlink!$A:$A, 0), O$5+1), 0)</f>
        <v>5.6669329784111877</v>
      </c>
      <c r="P62" s="67" cm="1">
        <f t="array" aca="1" ref="P62" ca="1">IFERROR(INDEX(Starlink!$D:$AC, MATCH("Memo: V3 DTC Blended IRR", Starlink!$A:$A, 0), P$5+1), 0)</f>
        <v>6.0008170703851675</v>
      </c>
      <c r="Q62" s="67" cm="1">
        <f t="array" aca="1" ref="Q62" ca="1">IFERROR(INDEX(Starlink!$D:$AC, MATCH("Memo: V3 DTC Blended IRR", Starlink!$A:$A, 0), Q$5+1), 0)</f>
        <v>6.3525063788218556</v>
      </c>
      <c r="R62" s="67" cm="1">
        <f t="array" aca="1" ref="R62" ca="1">IFERROR(INDEX(Starlink!$D:$AC, MATCH("Memo: V3 DTC Blended IRR", Starlink!$A:$A, 0), R$5+1), 0)</f>
        <v>6.7230223120796344</v>
      </c>
      <c r="S62" s="67" cm="1">
        <f t="array" aca="1" ref="S62" ca="1">IFERROR(INDEX(Starlink!$D:$AC, MATCH("Memo: V3 DTC Blended IRR", Starlink!$A:$A, 0), S$5+1), 0)</f>
        <v>7.113443285996401</v>
      </c>
      <c r="T62" s="67" cm="1">
        <f t="array" aca="1" ref="T62" ca="1">IFERROR(INDEX(Starlink!$D:$AC, MATCH("Memo: V3 DTC Blended IRR", Starlink!$A:$A, 0), T$5+1), 0)</f>
        <v>7.5249077169246554</v>
      </c>
      <c r="U62" s="67" cm="1">
        <f t="array" aca="1" ref="U62" ca="1">IFERROR(INDEX(Starlink!$D:$AC, MATCH("Memo: V3 DTC Blended IRR", Starlink!$A:$A, 0), U$5+1), 0)</f>
        <v>7.9586172100598525</v>
      </c>
      <c r="V62" s="67" cm="1">
        <f t="array" aca="1" ref="V62" ca="1">IFERROR(INDEX(Starlink!$D:$AC, MATCH("Memo: V3 DTC Blended IRR", Starlink!$A:$A, 0), V$5+1), 0)</f>
        <v>8.415839951208401</v>
      </c>
      <c r="W62" s="67" cm="1">
        <f t="array" aca="1" ref="W62" ca="1">IFERROR(INDEX(Starlink!$D:$AC, MATCH("Memo: V3 DTC Blended IRR", Starlink!$A:$A, 0), W$5+1), 0)</f>
        <v>8.8979143106355636</v>
      </c>
      <c r="X62" s="67" cm="1">
        <f t="array" aca="1" ref="X62" ca="1">IFERROR(INDEX(Starlink!$D:$AC, MATCH("Memo: V3 DTC Blended IRR", Starlink!$A:$A, 0), X$5+1), 0)</f>
        <v>9.4062526682200627</v>
      </c>
      <c r="Y62" s="67" cm="1">
        <f t="array" aca="1" ref="Y62" ca="1">IFERROR(INDEX(Starlink!$D:$AC, MATCH("Memo: V3 DTC Blended IRR", Starlink!$A:$A, 0), Y$5+1), 0)</f>
        <v>9.9423454698055878</v>
      </c>
      <c r="Z62" s="67" cm="1">
        <f t="array" aca="1" ref="Z62" ca="1">IFERROR(INDEX(Starlink!$D:$AC, MATCH("Memo: V3 DTC Blended IRR", Starlink!$A:$A, 0), Z$5+1), 0)</f>
        <v>10.507765525367116</v>
      </c>
      <c r="AA62" s="67" cm="1">
        <f t="array" aca="1" ref="AA62" ca="1">IFERROR(INDEX(Starlink!$D:$AC, MATCH("Memo: V3 DTC Blended IRR", Starlink!$A:$A, 0), AA$5+1), 0)</f>
        <v>11.104172560391842</v>
      </c>
      <c r="AB62" s="67" cm="1">
        <f t="array" aca="1" ref="AB62" ca="1">IFERROR(INDEX(Starlink!$D:$AC, MATCH("Memo: V3 DTC Blended IRR", Starlink!$A:$A, 0), AB$5+1), 0)</f>
        <v>2.5545626095634217</v>
      </c>
      <c r="AC62" s="67" cm="1">
        <f t="array" aca="1" ref="AC62" ca="1">IFERROR(INDEX(Starlink!$D:$AC, MATCH("Memo: V3 DTC Blended IRR", Starlink!$A:$A, 0), AC$5+1), 0)</f>
        <v>2.7390883527282979</v>
      </c>
    </row>
    <row r="63" spans="1:29" x14ac:dyDescent="0.2">
      <c r="A63" s="18" t="s">
        <v>1673</v>
      </c>
      <c r="D63" cm="1">
        <f t="array" aca="1" ref="D63" ca="1">IF(D$4 &lt; INDEX('Launch Capacity'!$D:$AC, MATCH("V3 Starlink launch trigger year", 'Launch Capacity'!$A:$A, 0), 1), 0, IFERROR(INDEX(Starlink!$D:$AC, MATCH("V3 DTC sat CapEx ($mm)", Starlink!$A:$A, 0), D$5+1) + INDEX(Starlink!$D:$AC, MATCH("V3 DTC facility CapEx ($mm)", Starlink!$A:$A, 0), D$5+1), 0))</f>
        <v>0</v>
      </c>
      <c r="E63" cm="1">
        <f t="array" aca="1" ref="E63" ca="1">IF(E$4 &lt; INDEX('Launch Capacity'!$D:$AC, MATCH("V3 Starlink launch trigger year", 'Launch Capacity'!$A:$A, 0), 1), 0, IFERROR(INDEX(Starlink!$D:$AC, MATCH("V3 DTC sat CapEx ($mm)", Starlink!$A:$A, 0), E$5+1) + INDEX(Starlink!$D:$AC, MATCH("V3 DTC facility CapEx ($mm)", Starlink!$A:$A, 0), E$5+1), 0))</f>
        <v>0</v>
      </c>
      <c r="F63" cm="1">
        <f t="array" aca="1" ref="F63" ca="1">IF(F$4 &lt; INDEX('Launch Capacity'!$D:$AC, MATCH("V3 Starlink launch trigger year", 'Launch Capacity'!$A:$A, 0), 1), 0, IFERROR(INDEX(Starlink!$D:$AC, MATCH("V3 DTC sat CapEx ($mm)", Starlink!$A:$A, 0), F$5+1) + INDEX(Starlink!$D:$AC, MATCH("V3 DTC facility CapEx ($mm)", Starlink!$A:$A, 0), F$5+1), 0))</f>
        <v>0</v>
      </c>
      <c r="G63" cm="1">
        <f t="array" aca="1" ref="G63" ca="1">IF(G$4 &lt; INDEX('Launch Capacity'!$D:$AC, MATCH("V3 Starlink launch trigger year", 'Launch Capacity'!$A:$A, 0), 1), 0, IFERROR(INDEX(Starlink!$D:$AC, MATCH("V3 DTC sat CapEx ($mm)", Starlink!$A:$A, 0), G$5+1) + INDEX(Starlink!$D:$AC, MATCH("V3 DTC facility CapEx ($mm)", Starlink!$A:$A, 0), G$5+1), 0))</f>
        <v>0</v>
      </c>
      <c r="H63" cm="1">
        <f t="array" aca="1" ref="H63" ca="1">IF(H$4 &lt; INDEX('Launch Capacity'!$D:$AC, MATCH("V3 Starlink launch trigger year", 'Launch Capacity'!$A:$A, 0), 1), 0, IFERROR(INDEX(Starlink!$D:$AC, MATCH("V3 DTC sat CapEx ($mm)", Starlink!$A:$A, 0), H$5+1) + INDEX(Starlink!$D:$AC, MATCH("V3 DTC facility CapEx ($mm)", Starlink!$A:$A, 0), H$5+1), 0))</f>
        <v>0</v>
      </c>
      <c r="I63" cm="1">
        <f t="array" aca="1" ref="I63" ca="1">IF(I$4 &lt; INDEX('Launch Capacity'!$D:$AC, MATCH("V3 Starlink launch trigger year", 'Launch Capacity'!$A:$A, 0), 1), 0, IFERROR(INDEX(Starlink!$D:$AC, MATCH("V3 DTC sat CapEx ($mm)", Starlink!$A:$A, 0), I$5+1) + INDEX(Starlink!$D:$AC, MATCH("V3 DTC facility CapEx ($mm)", Starlink!$A:$A, 0), I$5+1), 0))</f>
        <v>0</v>
      </c>
      <c r="J63" cm="1">
        <f t="array" aca="1" ref="J63" ca="1">IF(J$4 &lt; INDEX('Launch Capacity'!$D:$AC, MATCH("V3 Starlink launch trigger year", 'Launch Capacity'!$A:$A, 0), 1), 0, IFERROR(INDEX(Starlink!$D:$AC, MATCH("V3 DTC sat CapEx ($mm)", Starlink!$A:$A, 0), J$5+1) + INDEX(Starlink!$D:$AC, MATCH("V3 DTC facility CapEx ($mm)", Starlink!$A:$A, 0), J$5+1), 0))</f>
        <v>0</v>
      </c>
      <c r="K63" cm="1">
        <f t="array" aca="1" ref="K63" ca="1">IF(K$4 &lt; INDEX('Launch Capacity'!$D:$AC, MATCH("V3 Starlink launch trigger year", 'Launch Capacity'!$A:$A, 0), 1), 0, IFERROR(INDEX(Starlink!$D:$AC, MATCH("V3 DTC sat CapEx ($mm)", Starlink!$A:$A, 0), K$5+1) + INDEX(Starlink!$D:$AC, MATCH("V3 DTC facility CapEx ($mm)", Starlink!$A:$A, 0), K$5+1), 0))</f>
        <v>0</v>
      </c>
      <c r="L63" cm="1">
        <f t="array" aca="1" ref="L63" ca="1">IF(L$4 &lt; INDEX('Launch Capacity'!$D:$AC, MATCH("V3 Starlink launch trigger year", 'Launch Capacity'!$A:$A, 0), 1), 0, IFERROR(INDEX(Starlink!$D:$AC, MATCH("V3 DTC sat CapEx ($mm)", Starlink!$A:$A, 0), L$5+1) + INDEX(Starlink!$D:$AC, MATCH("V3 DTC facility CapEx ($mm)", Starlink!$A:$A, 0), L$5+1), 0))</f>
        <v>0</v>
      </c>
      <c r="M63" cm="1">
        <f t="array" aca="1" ref="M63" ca="1">IF(M$4 &lt; INDEX('Launch Capacity'!$D:$AC, MATCH("V3 Starlink launch trigger year", 'Launch Capacity'!$A:$A, 0), 1), 0, IFERROR(INDEX(Starlink!$D:$AC, MATCH("V3 DTC sat CapEx ($mm)", Starlink!$A:$A, 0), M$5+1) + INDEX(Starlink!$D:$AC, MATCH("V3 DTC facility CapEx ($mm)", Starlink!$A:$A, 0), M$5+1), 0))</f>
        <v>0</v>
      </c>
      <c r="N63" cm="1">
        <f t="array" aca="1" ref="N63" ca="1">IF(N$4 &lt; INDEX('Launch Capacity'!$D:$AC, MATCH("V3 Starlink launch trigger year", 'Launch Capacity'!$A:$A, 0), 1), 0, IFERROR(INDEX(Starlink!$D:$AC, MATCH("V3 DTC sat CapEx ($mm)", Starlink!$A:$A, 0), N$5+1) + INDEX(Starlink!$D:$AC, MATCH("V3 DTC facility CapEx ($mm)", Starlink!$A:$A, 0), N$5+1), 0))</f>
        <v>0</v>
      </c>
      <c r="O63" cm="1">
        <f t="array" aca="1" ref="O63" ca="1">IF(O$4 &lt; INDEX('Launch Capacity'!$D:$AC, MATCH("V3 Starlink launch trigger year", 'Launch Capacity'!$A:$A, 0), 1), 0, IFERROR(INDEX(Starlink!$D:$AC, MATCH("V3 DTC sat CapEx ($mm)", Starlink!$A:$A, 0), O$5+1) + INDEX(Starlink!$D:$AC, MATCH("V3 DTC facility CapEx ($mm)", Starlink!$A:$A, 0), O$5+1), 0))</f>
        <v>0</v>
      </c>
      <c r="P63" cm="1">
        <f t="array" aca="1" ref="P63" ca="1">IF(P$4 &lt; INDEX('Launch Capacity'!$D:$AC, MATCH("V3 Starlink launch trigger year", 'Launch Capacity'!$A:$A, 0), 1), 0, IFERROR(INDEX(Starlink!$D:$AC, MATCH("V3 DTC sat CapEx ($mm)", Starlink!$A:$A, 0), P$5+1) + INDEX(Starlink!$D:$AC, MATCH("V3 DTC facility CapEx ($mm)", Starlink!$A:$A, 0), P$5+1), 0))</f>
        <v>0</v>
      </c>
      <c r="Q63" cm="1">
        <f t="array" aca="1" ref="Q63" ca="1">IF(Q$4 &lt; INDEX('Launch Capacity'!$D:$AC, MATCH("V3 Starlink launch trigger year", 'Launch Capacity'!$A:$A, 0), 1), 0, IFERROR(INDEX(Starlink!$D:$AC, MATCH("V3 DTC sat CapEx ($mm)", Starlink!$A:$A, 0), Q$5+1) + INDEX(Starlink!$D:$AC, MATCH("V3 DTC facility CapEx ($mm)", Starlink!$A:$A, 0), Q$5+1), 0))</f>
        <v>0</v>
      </c>
      <c r="R63" cm="1">
        <f t="array" aca="1" ref="R63" ca="1">IF(R$4 &lt; INDEX('Launch Capacity'!$D:$AC, MATCH("V3 Starlink launch trigger year", 'Launch Capacity'!$A:$A, 0), 1), 0, IFERROR(INDEX(Starlink!$D:$AC, MATCH("V3 DTC sat CapEx ($mm)", Starlink!$A:$A, 0), R$5+1) + INDEX(Starlink!$D:$AC, MATCH("V3 DTC facility CapEx ($mm)", Starlink!$A:$A, 0), R$5+1), 0))</f>
        <v>0</v>
      </c>
      <c r="S63" cm="1">
        <f t="array" aca="1" ref="S63" ca="1">IF(S$4 &lt; INDEX('Launch Capacity'!$D:$AC, MATCH("V3 Starlink launch trigger year", 'Launch Capacity'!$A:$A, 0), 1), 0, IFERROR(INDEX(Starlink!$D:$AC, MATCH("V3 DTC sat CapEx ($mm)", Starlink!$A:$A, 0), S$5+1) + INDEX(Starlink!$D:$AC, MATCH("V3 DTC facility CapEx ($mm)", Starlink!$A:$A, 0), S$5+1), 0))</f>
        <v>0</v>
      </c>
      <c r="T63" cm="1">
        <f t="array" aca="1" ref="T63" ca="1">IF(T$4 &lt; INDEX('Launch Capacity'!$D:$AC, MATCH("V3 Starlink launch trigger year", 'Launch Capacity'!$A:$A, 0), 1), 0, IFERROR(INDEX(Starlink!$D:$AC, MATCH("V3 DTC sat CapEx ($mm)", Starlink!$A:$A, 0), T$5+1) + INDEX(Starlink!$D:$AC, MATCH("V3 DTC facility CapEx ($mm)", Starlink!$A:$A, 0), T$5+1), 0))</f>
        <v>0</v>
      </c>
      <c r="U63" cm="1">
        <f t="array" aca="1" ref="U63" ca="1">IF(U$4 &lt; INDEX('Launch Capacity'!$D:$AC, MATCH("V3 Starlink launch trigger year", 'Launch Capacity'!$A:$A, 0), 1), 0, IFERROR(INDEX(Starlink!$D:$AC, MATCH("V3 DTC sat CapEx ($mm)", Starlink!$A:$A, 0), U$5+1) + INDEX(Starlink!$D:$AC, MATCH("V3 DTC facility CapEx ($mm)", Starlink!$A:$A, 0), U$5+1), 0))</f>
        <v>0</v>
      </c>
      <c r="V63" cm="1">
        <f t="array" aca="1" ref="V63" ca="1">IF(V$4 &lt; INDEX('Launch Capacity'!$D:$AC, MATCH("V3 Starlink launch trigger year", 'Launch Capacity'!$A:$A, 0), 1), 0, IFERROR(INDEX(Starlink!$D:$AC, MATCH("V3 DTC sat CapEx ($mm)", Starlink!$A:$A, 0), V$5+1) + INDEX(Starlink!$D:$AC, MATCH("V3 DTC facility CapEx ($mm)", Starlink!$A:$A, 0), V$5+1), 0))</f>
        <v>0</v>
      </c>
      <c r="W63" cm="1">
        <f t="array" aca="1" ref="W63" ca="1">IF(W$4 &lt; INDEX('Launch Capacity'!$D:$AC, MATCH("V3 Starlink launch trigger year", 'Launch Capacity'!$A:$A, 0), 1), 0, IFERROR(INDEX(Starlink!$D:$AC, MATCH("V3 DTC sat CapEx ($mm)", Starlink!$A:$A, 0), W$5+1) + INDEX(Starlink!$D:$AC, MATCH("V3 DTC facility CapEx ($mm)", Starlink!$A:$A, 0), W$5+1), 0))</f>
        <v>0</v>
      </c>
      <c r="X63" cm="1">
        <f t="array" aca="1" ref="X63" ca="1">IF(X$4 &lt; INDEX('Launch Capacity'!$D:$AC, MATCH("V3 Starlink launch trigger year", 'Launch Capacity'!$A:$A, 0), 1), 0, IFERROR(INDEX(Starlink!$D:$AC, MATCH("V3 DTC sat CapEx ($mm)", Starlink!$A:$A, 0), X$5+1) + INDEX(Starlink!$D:$AC, MATCH("V3 DTC facility CapEx ($mm)", Starlink!$A:$A, 0), X$5+1), 0))</f>
        <v>0</v>
      </c>
      <c r="Y63" cm="1">
        <f t="array" aca="1" ref="Y63" ca="1">IF(Y$4 &lt; INDEX('Launch Capacity'!$D:$AC, MATCH("V3 Starlink launch trigger year", 'Launch Capacity'!$A:$A, 0), 1), 0, IFERROR(INDEX(Starlink!$D:$AC, MATCH("V3 DTC sat CapEx ($mm)", Starlink!$A:$A, 0), Y$5+1) + INDEX(Starlink!$D:$AC, MATCH("V3 DTC facility CapEx ($mm)", Starlink!$A:$A, 0), Y$5+1), 0))</f>
        <v>0</v>
      </c>
      <c r="Z63" cm="1">
        <f t="array" aca="1" ref="Z63" ca="1">IF(Z$4 &lt; INDEX('Launch Capacity'!$D:$AC, MATCH("V3 Starlink launch trigger year", 'Launch Capacity'!$A:$A, 0), 1), 0, IFERROR(INDEX(Starlink!$D:$AC, MATCH("V3 DTC sat CapEx ($mm)", Starlink!$A:$A, 0), Z$5+1) + INDEX(Starlink!$D:$AC, MATCH("V3 DTC facility CapEx ($mm)", Starlink!$A:$A, 0), Z$5+1), 0))</f>
        <v>0</v>
      </c>
      <c r="AA63" cm="1">
        <f t="array" aca="1" ref="AA63" ca="1">IF(AA$4 &lt; INDEX('Launch Capacity'!$D:$AC, MATCH("V3 Starlink launch trigger year", 'Launch Capacity'!$A:$A, 0), 1), 0, IFERROR(INDEX(Starlink!$D:$AC, MATCH("V3 DTC sat CapEx ($mm)", Starlink!$A:$A, 0), AA$5+1) + INDEX(Starlink!$D:$AC, MATCH("V3 DTC facility CapEx ($mm)", Starlink!$A:$A, 0), AA$5+1), 0))</f>
        <v>0</v>
      </c>
      <c r="AB63" cm="1">
        <f t="array" aca="1" ref="AB63" ca="1">IF(AB$4 &lt; INDEX('Launch Capacity'!$D:$AC, MATCH("V3 Starlink launch trigger year", 'Launch Capacity'!$A:$A, 0), 1), 0, IFERROR(INDEX(Starlink!$D:$AC, MATCH("V3 DTC sat CapEx ($mm)", Starlink!$A:$A, 0), AB$5+1) + INDEX(Starlink!$D:$AC, MATCH("V3 DTC facility CapEx ($mm)", Starlink!$A:$A, 0), AB$5+1), 0))</f>
        <v>0</v>
      </c>
      <c r="AC63" cm="1">
        <f t="array" aca="1" ref="AC63" ca="1">IF(AC$4 &lt; INDEX('Launch Capacity'!$D:$AC, MATCH("V3 Starlink launch trigger year", 'Launch Capacity'!$A:$A, 0), 1), 0, IFERROR(INDEX(Starlink!$D:$AC, MATCH("V3 DTC sat CapEx ($mm)", Starlink!$A:$A, 0), AC$5+1) + INDEX(Starlink!$D:$AC, MATCH("V3 DTC facility CapEx ($mm)", Starlink!$A:$A, 0), AC$5+1), 0))</f>
        <v>0</v>
      </c>
    </row>
    <row r="64" spans="1:29" x14ac:dyDescent="0.2">
      <c r="A64" s="18" t="s">
        <v>1674</v>
      </c>
      <c r="D64">
        <f ca="1">MAX(D62, 0)^INDEX(Assumptions!$B:$B, MATCH("Sigmoid IRR-blend exponent k", Assumptions!$A:$A, 0)) * IF(D63 &gt; 0, 1, 0)</f>
        <v>0</v>
      </c>
      <c r="E64">
        <f ca="1">MAX(E62, 0)^INDEX(Assumptions!$B:$B, MATCH("Sigmoid IRR-blend exponent k", Assumptions!$A:$A, 0)) * IF(E63 &gt; 0, 1, 0)</f>
        <v>0</v>
      </c>
      <c r="F64">
        <f ca="1">MAX(F62, 0)^INDEX(Assumptions!$B:$B, MATCH("Sigmoid IRR-blend exponent k", Assumptions!$A:$A, 0)) * IF(F63 &gt; 0, 1, 0)</f>
        <v>0</v>
      </c>
      <c r="G64">
        <f ca="1">MAX(G62, 0)^INDEX(Assumptions!$B:$B, MATCH("Sigmoid IRR-blend exponent k", Assumptions!$A:$A, 0)) * IF(G63 &gt; 0, 1, 0)</f>
        <v>0</v>
      </c>
      <c r="H64">
        <f ca="1">MAX(H62, 0)^INDEX(Assumptions!$B:$B, MATCH("Sigmoid IRR-blend exponent k", Assumptions!$A:$A, 0)) * IF(H63 &gt; 0, 1, 0)</f>
        <v>0</v>
      </c>
      <c r="I64">
        <f ca="1">MAX(I62, 0)^INDEX(Assumptions!$B:$B, MATCH("Sigmoid IRR-blend exponent k", Assumptions!$A:$A, 0)) * IF(I63 &gt; 0, 1, 0)</f>
        <v>0</v>
      </c>
      <c r="J64">
        <f ca="1">MAX(J62, 0)^INDEX(Assumptions!$B:$B, MATCH("Sigmoid IRR-blend exponent k", Assumptions!$A:$A, 0)) * IF(J63 &gt; 0, 1, 0)</f>
        <v>0</v>
      </c>
      <c r="K64">
        <f ca="1">MAX(K62, 0)^INDEX(Assumptions!$B:$B, MATCH("Sigmoid IRR-blend exponent k", Assumptions!$A:$A, 0)) * IF(K63 &gt; 0, 1, 0)</f>
        <v>0</v>
      </c>
      <c r="L64">
        <f ca="1">MAX(L62, 0)^INDEX(Assumptions!$B:$B, MATCH("Sigmoid IRR-blend exponent k", Assumptions!$A:$A, 0)) * IF(L63 &gt; 0, 1, 0)</f>
        <v>0</v>
      </c>
      <c r="M64">
        <f ca="1">MAX(M62, 0)^INDEX(Assumptions!$B:$B, MATCH("Sigmoid IRR-blend exponent k", Assumptions!$A:$A, 0)) * IF(M63 &gt; 0, 1, 0)</f>
        <v>0</v>
      </c>
      <c r="N64">
        <f ca="1">MAX(N62, 0)^INDEX(Assumptions!$B:$B, MATCH("Sigmoid IRR-blend exponent k", Assumptions!$A:$A, 0)) * IF(N63 &gt; 0, 1, 0)</f>
        <v>0</v>
      </c>
      <c r="O64">
        <f ca="1">MAX(O62, 0)^INDEX(Assumptions!$B:$B, MATCH("Sigmoid IRR-blend exponent k", Assumptions!$A:$A, 0)) * IF(O63 &gt; 0, 1, 0)</f>
        <v>0</v>
      </c>
      <c r="P64">
        <f ca="1">MAX(P62, 0)^INDEX(Assumptions!$B:$B, MATCH("Sigmoid IRR-blend exponent k", Assumptions!$A:$A, 0)) * IF(P63 &gt; 0, 1, 0)</f>
        <v>0</v>
      </c>
      <c r="Q64">
        <f ca="1">MAX(Q62, 0)^INDEX(Assumptions!$B:$B, MATCH("Sigmoid IRR-blend exponent k", Assumptions!$A:$A, 0)) * IF(Q63 &gt; 0, 1, 0)</f>
        <v>0</v>
      </c>
      <c r="R64">
        <f ca="1">MAX(R62, 0)^INDEX(Assumptions!$B:$B, MATCH("Sigmoid IRR-blend exponent k", Assumptions!$A:$A, 0)) * IF(R63 &gt; 0, 1, 0)</f>
        <v>0</v>
      </c>
      <c r="S64">
        <f ca="1">MAX(S62, 0)^INDEX(Assumptions!$B:$B, MATCH("Sigmoid IRR-blend exponent k", Assumptions!$A:$A, 0)) * IF(S63 &gt; 0, 1, 0)</f>
        <v>0</v>
      </c>
      <c r="T64">
        <f ca="1">MAX(T62, 0)^INDEX(Assumptions!$B:$B, MATCH("Sigmoid IRR-blend exponent k", Assumptions!$A:$A, 0)) * IF(T63 &gt; 0, 1, 0)</f>
        <v>0</v>
      </c>
      <c r="U64">
        <f ca="1">MAX(U62, 0)^INDEX(Assumptions!$B:$B, MATCH("Sigmoid IRR-blend exponent k", Assumptions!$A:$A, 0)) * IF(U63 &gt; 0, 1, 0)</f>
        <v>0</v>
      </c>
      <c r="V64">
        <f ca="1">MAX(V62, 0)^INDEX(Assumptions!$B:$B, MATCH("Sigmoid IRR-blend exponent k", Assumptions!$A:$A, 0)) * IF(V63 &gt; 0, 1, 0)</f>
        <v>0</v>
      </c>
      <c r="W64">
        <f ca="1">MAX(W62, 0)^INDEX(Assumptions!$B:$B, MATCH("Sigmoid IRR-blend exponent k", Assumptions!$A:$A, 0)) * IF(W63 &gt; 0, 1, 0)</f>
        <v>0</v>
      </c>
      <c r="X64">
        <f ca="1">MAX(X62, 0)^INDEX(Assumptions!$B:$B, MATCH("Sigmoid IRR-blend exponent k", Assumptions!$A:$A, 0)) * IF(X63 &gt; 0, 1, 0)</f>
        <v>0</v>
      </c>
      <c r="Y64">
        <f ca="1">MAX(Y62, 0)^INDEX(Assumptions!$B:$B, MATCH("Sigmoid IRR-blend exponent k", Assumptions!$A:$A, 0)) * IF(Y63 &gt; 0, 1, 0)</f>
        <v>0</v>
      </c>
      <c r="Z64">
        <f ca="1">MAX(Z62, 0)^INDEX(Assumptions!$B:$B, MATCH("Sigmoid IRR-blend exponent k", Assumptions!$A:$A, 0)) * IF(Z63 &gt; 0, 1, 0)</f>
        <v>0</v>
      </c>
      <c r="AA64">
        <f ca="1">MAX(AA62, 0)^INDEX(Assumptions!$B:$B, MATCH("Sigmoid IRR-blend exponent k", Assumptions!$A:$A, 0)) * IF(AA63 &gt; 0, 1, 0)</f>
        <v>0</v>
      </c>
      <c r="AB64">
        <f ca="1">MAX(AB62, 0)^INDEX(Assumptions!$B:$B, MATCH("Sigmoid IRR-blend exponent k", Assumptions!$A:$A, 0)) * IF(AB63 &gt; 0, 1, 0)</f>
        <v>0</v>
      </c>
      <c r="AC64">
        <f ca="1">MAX(AC62, 0)^INDEX(Assumptions!$B:$B, MATCH("Sigmoid IRR-blend exponent k", Assumptions!$A:$A, 0)) * IF(AC63 &gt; 0, 1, 0)</f>
        <v>0</v>
      </c>
    </row>
    <row r="65" spans="1:29" x14ac:dyDescent="0.2">
      <c r="A65" s="18" t="s">
        <v>1675</v>
      </c>
      <c r="D65" s="17">
        <f ca="1">MIN(IF(D62 &gt; 0, D63, 0), $D$29 * D64 / IF($D$80 &gt; 0, $D$80, 1))</f>
        <v>0</v>
      </c>
      <c r="E65" s="17">
        <f t="shared" ref="E65:AC65" ca="1" si="10">MIN(IF(E62 &gt; 0, E63, 0), $D$29 * E64 / IF($D$80 &gt; 0, $D$80, 1))</f>
        <v>0</v>
      </c>
      <c r="F65" s="17">
        <f t="shared" ca="1" si="10"/>
        <v>0</v>
      </c>
      <c r="G65" s="17">
        <f t="shared" ca="1" si="10"/>
        <v>0</v>
      </c>
      <c r="H65" s="17">
        <f t="shared" ca="1" si="10"/>
        <v>0</v>
      </c>
      <c r="I65" s="17">
        <f t="shared" ca="1" si="10"/>
        <v>0</v>
      </c>
      <c r="J65" s="17">
        <f t="shared" ca="1" si="10"/>
        <v>0</v>
      </c>
      <c r="K65" s="17">
        <f t="shared" ca="1" si="10"/>
        <v>0</v>
      </c>
      <c r="L65" s="17">
        <f t="shared" ca="1" si="10"/>
        <v>0</v>
      </c>
      <c r="M65" s="17">
        <f t="shared" ca="1" si="10"/>
        <v>0</v>
      </c>
      <c r="N65" s="17">
        <f t="shared" ca="1" si="10"/>
        <v>0</v>
      </c>
      <c r="O65" s="17">
        <f t="shared" ca="1" si="10"/>
        <v>0</v>
      </c>
      <c r="P65" s="17">
        <f t="shared" ca="1" si="10"/>
        <v>0</v>
      </c>
      <c r="Q65" s="17">
        <f t="shared" ca="1" si="10"/>
        <v>0</v>
      </c>
      <c r="R65" s="17">
        <f t="shared" ca="1" si="10"/>
        <v>0</v>
      </c>
      <c r="S65" s="17">
        <f t="shared" ca="1" si="10"/>
        <v>0</v>
      </c>
      <c r="T65" s="17">
        <f t="shared" ca="1" si="10"/>
        <v>0</v>
      </c>
      <c r="U65" s="17">
        <f t="shared" ca="1" si="10"/>
        <v>0</v>
      </c>
      <c r="V65" s="17">
        <f t="shared" ca="1" si="10"/>
        <v>0</v>
      </c>
      <c r="W65" s="17">
        <f t="shared" ca="1" si="10"/>
        <v>0</v>
      </c>
      <c r="X65" s="17">
        <f t="shared" ca="1" si="10"/>
        <v>0</v>
      </c>
      <c r="Y65" s="17">
        <f t="shared" ca="1" si="10"/>
        <v>0</v>
      </c>
      <c r="Z65" s="17">
        <f t="shared" ca="1" si="10"/>
        <v>0</v>
      </c>
      <c r="AA65" s="17">
        <f t="shared" ca="1" si="10"/>
        <v>0</v>
      </c>
      <c r="AB65" s="17">
        <f t="shared" ca="1" si="10"/>
        <v>0</v>
      </c>
      <c r="AC65" s="17">
        <f t="shared" ca="1" si="10"/>
        <v>0</v>
      </c>
    </row>
    <row r="66" spans="1:29" x14ac:dyDescent="0.2">
      <c r="A66" s="18" t="s">
        <v>1459</v>
      </c>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row>
    <row r="67" spans="1:29" x14ac:dyDescent="0.2">
      <c r="A67" s="18" t="s">
        <v>1460</v>
      </c>
      <c r="D67" s="67" cm="1">
        <f t="array" aca="1" ref="D67" ca="1">IFERROR(INDEX(ODC!$D:$AC, MATCH("Blended IRR", ODC!$A:$A, 0), D$5+1), 0)</f>
        <v>-0.29679998660744167</v>
      </c>
      <c r="E67" s="67" cm="1">
        <f t="array" aca="1" ref="E67" ca="1">IFERROR(INDEX(ODC!$D:$AC, MATCH("Blended IRR", ODC!$A:$A, 0), E$5+1), 0)</f>
        <v>-0.21105040626378579</v>
      </c>
      <c r="F67" s="67" cm="1">
        <f t="array" aca="1" ref="F67" ca="1">IFERROR(INDEX(ODC!$D:$AC, MATCH("Blended IRR", ODC!$A:$A, 0), F$5+1), 0)</f>
        <v>-0.16557325825774769</v>
      </c>
      <c r="G67" s="67" cm="1">
        <f t="array" aca="1" ref="G67" ca="1">IFERROR(INDEX(ODC!$D:$AC, MATCH("Blended IRR", ODC!$A:$A, 0), G$5+1), 0)</f>
        <v>-0.11544121971082108</v>
      </c>
      <c r="H67" s="67" cm="1">
        <f t="array" aca="1" ref="H67" ca="1">IFERROR(INDEX(ODC!$D:$AC, MATCH("Blended IRR", ODC!$A:$A, 0), H$5+1), 0)</f>
        <v>-8.5999093382365138E-2</v>
      </c>
      <c r="I67" s="67" cm="1">
        <f t="array" aca="1" ref="I67" ca="1">IFERROR(INDEX(ODC!$D:$AC, MATCH("Blended IRR", ODC!$A:$A, 0), I$5+1), 0)</f>
        <v>-7.2553759258421252E-2</v>
      </c>
      <c r="J67" s="67" cm="1">
        <f t="array" aca="1" ref="J67" ca="1">IFERROR(INDEX(ODC!$D:$AC, MATCH("Blended IRR", ODC!$A:$A, 0), J$5+1), 0)</f>
        <v>-6.1917273098353973E-2</v>
      </c>
      <c r="K67" s="67" cm="1">
        <f t="array" aca="1" ref="K67" ca="1">IFERROR(INDEX(ODC!$D:$AC, MATCH("Blended IRR", ODC!$A:$A, 0), K$5+1), 0)</f>
        <v>-5.804590671649254E-2</v>
      </c>
      <c r="L67" s="67" cm="1">
        <f t="array" aca="1" ref="L67" ca="1">IFERROR(INDEX(ODC!$D:$AC, MATCH("Blended IRR", ODC!$A:$A, 0), L$5+1), 0)</f>
        <v>-5.5542956900281222E-2</v>
      </c>
      <c r="M67" s="67" cm="1">
        <f t="array" aca="1" ref="M67" ca="1">IFERROR(INDEX(ODC!$D:$AC, MATCH("Blended IRR", ODC!$A:$A, 0), M$5+1), 0)</f>
        <v>-5.5203458002136246E-2</v>
      </c>
      <c r="N67" s="67" cm="1">
        <f t="array" aca="1" ref="N67" ca="1">IFERROR(INDEX(ODC!$D:$AC, MATCH("Blended IRR", ODC!$A:$A, 0), N$5+1), 0)</f>
        <v>-5.7110041390647653E-2</v>
      </c>
      <c r="O67" s="67" cm="1">
        <f t="array" aca="1" ref="O67" ca="1">IFERROR(INDEX(ODC!$D:$AC, MATCH("Blended IRR", ODC!$A:$A, 0), O$5+1), 0)</f>
        <v>-6.1503736284865093E-2</v>
      </c>
      <c r="P67" s="67" cm="1">
        <f t="array" aca="1" ref="P67" ca="1">IFERROR(INDEX(ODC!$D:$AC, MATCH("Blended IRR", ODC!$A:$A, 0), P$5+1), 0)</f>
        <v>-6.7945227384861778E-2</v>
      </c>
      <c r="Q67" s="67" cm="1">
        <f t="array" aca="1" ref="Q67" ca="1">IFERROR(INDEX(ODC!$D:$AC, MATCH("Blended IRR", ODC!$A:$A, 0), Q$5+1), 0)</f>
        <v>-7.6439826399589295E-2</v>
      </c>
      <c r="R67" s="67" cm="1">
        <f t="array" aca="1" ref="R67" ca="1">IFERROR(INDEX(ODC!$D:$AC, MATCH("Blended IRR", ODC!$A:$A, 0), R$5+1), 0)</f>
        <v>-8.5385596191325699E-2</v>
      </c>
      <c r="S67" s="67" cm="1">
        <f t="array" aca="1" ref="S67" ca="1">IFERROR(INDEX(ODC!$D:$AC, MATCH("Blended IRR", ODC!$A:$A, 0), S$5+1), 0)</f>
        <v>-9.4830951257844659E-2</v>
      </c>
      <c r="T67" s="67" cm="1">
        <f t="array" aca="1" ref="T67" ca="1">IFERROR(INDEX(ODC!$D:$AC, MATCH("Blended IRR", ODC!$A:$A, 0), T$5+1), 0)</f>
        <v>-0.10428388278356032</v>
      </c>
      <c r="U67" s="67" cm="1">
        <f t="array" aca="1" ref="U67" ca="1">IFERROR(INDEX(ODC!$D:$AC, MATCH("Blended IRR", ODC!$A:$A, 0), U$5+1), 0)</f>
        <v>-0.11355656722826211</v>
      </c>
      <c r="V67" s="67" cm="1">
        <f t="array" aca="1" ref="V67" ca="1">IFERROR(INDEX(ODC!$D:$AC, MATCH("Blended IRR", ODC!$A:$A, 0), V$5+1), 0)</f>
        <v>-0.12290153352282088</v>
      </c>
      <c r="W67" s="67" cm="1">
        <f t="array" aca="1" ref="W67" ca="1">IFERROR(INDEX(ODC!$D:$AC, MATCH("Blended IRR", ODC!$A:$A, 0), W$5+1), 0)</f>
        <v>-0.73574725441737465</v>
      </c>
      <c r="X67" s="67" cm="1">
        <f t="array" aca="1" ref="X67" ca="1">IFERROR(INDEX(ODC!$D:$AC, MATCH("Blended IRR", ODC!$A:$A, 0), X$5+1), 0)</f>
        <v>-0.73853830615208693</v>
      </c>
      <c r="Y67" s="67" cm="1">
        <f t="array" aca="1" ref="Y67" ca="1">IFERROR(INDEX(ODC!$D:$AC, MATCH("Blended IRR", ODC!$A:$A, 0), Y$5+1), 0)</f>
        <v>-1</v>
      </c>
      <c r="Z67" s="67" cm="1">
        <f t="array" aca="1" ref="Z67" ca="1">IFERROR(INDEX(ODC!$D:$AC, MATCH("Blended IRR", ODC!$A:$A, 0), Z$5+1), 0)</f>
        <v>-1</v>
      </c>
      <c r="AA67" s="67" cm="1">
        <f t="array" aca="1" ref="AA67" ca="1">IFERROR(INDEX(ODC!$D:$AC, MATCH("Blended IRR", ODC!$A:$A, 0), AA$5+1), 0)</f>
        <v>-0.40081703667194529</v>
      </c>
      <c r="AB67" s="67" cm="1">
        <f t="array" aca="1" ref="AB67" ca="1">IFERROR(INDEX(ODC!$D:$AC, MATCH("Blended IRR", ODC!$A:$A, 0), AB$5+1), 0)</f>
        <v>-0.40081703667194529</v>
      </c>
      <c r="AC67" s="67" cm="1">
        <f t="array" aca="1" ref="AC67" ca="1">IFERROR(INDEX(ODC!$D:$AC, MATCH("Blended IRR", ODC!$A:$A, 0), AC$5+1), 0)</f>
        <v>-0.14402433810277893</v>
      </c>
    </row>
    <row r="68" spans="1:29" x14ac:dyDescent="0.2">
      <c r="A68" s="18" t="s">
        <v>1461</v>
      </c>
      <c r="D68" s="68" cm="1">
        <f t="array" aca="1" ref="D68" ca="1">IFERROR(INDEX(ODC!$D:$AC, MATCH("Module CapEx ($mm)", ODC!$A:$A, 0), D$5+1), 0)</f>
        <v>0</v>
      </c>
      <c r="E68" s="68" cm="1">
        <f t="array" aca="1" ref="E68" ca="1">IFERROR(INDEX(ODC!$D:$AC, MATCH("Module CapEx ($mm)", ODC!$A:$A, 0), E$5+1), 0)</f>
        <v>0</v>
      </c>
      <c r="F68" s="68" cm="1">
        <f t="array" aca="1" ref="F68" ca="1">IFERROR(INDEX(ODC!$D:$AC, MATCH("Module CapEx ($mm)", ODC!$A:$A, 0), F$5+1), 0)</f>
        <v>0</v>
      </c>
      <c r="G68" s="68" cm="1">
        <f t="array" aca="1" ref="G68" ca="1">IFERROR(INDEX(ODC!$D:$AC, MATCH("Module CapEx ($mm)", ODC!$A:$A, 0), G$5+1), 0)</f>
        <v>0</v>
      </c>
      <c r="H68" s="68" cm="1">
        <f t="array" aca="1" ref="H68" ca="1">IFERROR(INDEX(ODC!$D:$AC, MATCH("Module CapEx ($mm)", ODC!$A:$A, 0), H$5+1), 0)</f>
        <v>0</v>
      </c>
      <c r="I68" s="68" cm="1">
        <f t="array" aca="1" ref="I68" ca="1">IFERROR(INDEX(ODC!$D:$AC, MATCH("Module CapEx ($mm)", ODC!$A:$A, 0), I$5+1), 0)</f>
        <v>0</v>
      </c>
      <c r="J68" s="68" cm="1">
        <f t="array" aca="1" ref="J68" ca="1">IFERROR(INDEX(ODC!$D:$AC, MATCH("Module CapEx ($mm)", ODC!$A:$A, 0), J$5+1), 0)</f>
        <v>0</v>
      </c>
      <c r="K68" s="68" cm="1">
        <f t="array" aca="1" ref="K68" ca="1">IFERROR(INDEX(ODC!$D:$AC, MATCH("Module CapEx ($mm)", ODC!$A:$A, 0), K$5+1), 0)</f>
        <v>0</v>
      </c>
      <c r="L68" s="68" cm="1">
        <f t="array" aca="1" ref="L68" ca="1">IFERROR(INDEX(ODC!$D:$AC, MATCH("Module CapEx ($mm)", ODC!$A:$A, 0), L$5+1), 0)</f>
        <v>0</v>
      </c>
      <c r="M68" s="68" cm="1">
        <f t="array" aca="1" ref="M68" ca="1">IFERROR(INDEX(ODC!$D:$AC, MATCH("Module CapEx ($mm)", ODC!$A:$A, 0), M$5+1), 0)</f>
        <v>0</v>
      </c>
      <c r="N68" s="68" cm="1">
        <f t="array" aca="1" ref="N68" ca="1">IFERROR(INDEX(ODC!$D:$AC, MATCH("Module CapEx ($mm)", ODC!$A:$A, 0), N$5+1), 0)</f>
        <v>0</v>
      </c>
      <c r="O68" s="68" cm="1">
        <f t="array" aca="1" ref="O68" ca="1">IFERROR(INDEX(ODC!$D:$AC, MATCH("Module CapEx ($mm)", ODC!$A:$A, 0), O$5+1), 0)</f>
        <v>0</v>
      </c>
      <c r="P68" s="68" cm="1">
        <f t="array" aca="1" ref="P68" ca="1">IFERROR(INDEX(ODC!$D:$AC, MATCH("Module CapEx ($mm)", ODC!$A:$A, 0), P$5+1), 0)</f>
        <v>0</v>
      </c>
      <c r="Q68" s="68" cm="1">
        <f t="array" aca="1" ref="Q68" ca="1">IFERROR(INDEX(ODC!$D:$AC, MATCH("Module CapEx ($mm)", ODC!$A:$A, 0), Q$5+1), 0)</f>
        <v>0</v>
      </c>
      <c r="R68" s="68" cm="1">
        <f t="array" aca="1" ref="R68" ca="1">IFERROR(INDEX(ODC!$D:$AC, MATCH("Module CapEx ($mm)", ODC!$A:$A, 0), R$5+1), 0)</f>
        <v>0</v>
      </c>
      <c r="S68" s="68" cm="1">
        <f t="array" aca="1" ref="S68" ca="1">IFERROR(INDEX(ODC!$D:$AC, MATCH("Module CapEx ($mm)", ODC!$A:$A, 0), S$5+1), 0)</f>
        <v>0</v>
      </c>
      <c r="T68" s="68" cm="1">
        <f t="array" aca="1" ref="T68" ca="1">IFERROR(INDEX(ODC!$D:$AC, MATCH("Module CapEx ($mm)", ODC!$A:$A, 0), T$5+1), 0)</f>
        <v>0</v>
      </c>
      <c r="U68" s="68" cm="1">
        <f t="array" aca="1" ref="U68" ca="1">IFERROR(INDEX(ODC!$D:$AC, MATCH("Module CapEx ($mm)", ODC!$A:$A, 0), U$5+1), 0)</f>
        <v>0</v>
      </c>
      <c r="V68" s="68" cm="1">
        <f t="array" aca="1" ref="V68" ca="1">IFERROR(INDEX(ODC!$D:$AC, MATCH("Module CapEx ($mm)", ODC!$A:$A, 0), V$5+1), 0)</f>
        <v>0</v>
      </c>
      <c r="W68" s="68" cm="1">
        <f t="array" aca="1" ref="W68" ca="1">IFERROR(INDEX(ODC!$D:$AC, MATCH("Module CapEx ($mm)", ODC!$A:$A, 0), W$5+1), 0)</f>
        <v>0</v>
      </c>
      <c r="X68" s="68" cm="1">
        <f t="array" aca="1" ref="X68" ca="1">IFERROR(INDEX(ODC!$D:$AC, MATCH("Module CapEx ($mm)", ODC!$A:$A, 0), X$5+1), 0)</f>
        <v>0</v>
      </c>
      <c r="Y68" s="68" cm="1">
        <f t="array" aca="1" ref="Y68" ca="1">IFERROR(INDEX(ODC!$D:$AC, MATCH("Module CapEx ($mm)", ODC!$A:$A, 0), Y$5+1), 0)</f>
        <v>0</v>
      </c>
      <c r="Z68" s="68" cm="1">
        <f t="array" aca="1" ref="Z68" ca="1">IFERROR(INDEX(ODC!$D:$AC, MATCH("Module CapEx ($mm)", ODC!$A:$A, 0), Z$5+1), 0)</f>
        <v>0</v>
      </c>
      <c r="AA68" s="68" cm="1">
        <f t="array" aca="1" ref="AA68" ca="1">IFERROR(INDEX(ODC!$D:$AC, MATCH("Module CapEx ($mm)", ODC!$A:$A, 0), AA$5+1), 0)</f>
        <v>0</v>
      </c>
      <c r="AB68" s="68" cm="1">
        <f t="array" aca="1" ref="AB68" ca="1">IFERROR(INDEX(ODC!$D:$AC, MATCH("Module CapEx ($mm)", ODC!$A:$A, 0), AB$5+1), 0)</f>
        <v>0</v>
      </c>
      <c r="AC68" s="68" cm="1">
        <f t="array" aca="1" ref="AC68" ca="1">IFERROR(INDEX(ODC!$D:$AC, MATCH("Module CapEx ($mm)", ODC!$A:$A, 0), AC$5+1), 0)</f>
        <v>0</v>
      </c>
    </row>
    <row r="69" spans="1:29" x14ac:dyDescent="0.2">
      <c r="A69" s="18" t="s">
        <v>1462</v>
      </c>
      <c r="D69" s="17">
        <f ca="1">MAX(D67, 0)^INDEX(Assumptions!$B:$B, MATCH("Sigmoid IRR-blend exponent k", Assumptions!$A:$A, 0)) * IF(D68 &gt; 0, 1, 0)</f>
        <v>0</v>
      </c>
      <c r="E69" s="17">
        <f ca="1">MAX(E67, 0)^INDEX(Assumptions!$B:$B, MATCH("Sigmoid IRR-blend exponent k", Assumptions!$A:$A, 0)) * IF(E68 &gt; 0, 1, 0)</f>
        <v>0</v>
      </c>
      <c r="F69" s="17">
        <f ca="1">MAX(F67, 0)^INDEX(Assumptions!$B:$B, MATCH("Sigmoid IRR-blend exponent k", Assumptions!$A:$A, 0)) * IF(F68 &gt; 0, 1, 0)</f>
        <v>0</v>
      </c>
      <c r="G69" s="17">
        <f ca="1">MAX(G67, 0)^INDEX(Assumptions!$B:$B, MATCH("Sigmoid IRR-blend exponent k", Assumptions!$A:$A, 0)) * IF(G68 &gt; 0, 1, 0)</f>
        <v>0</v>
      </c>
      <c r="H69" s="17">
        <f ca="1">MAX(H67, 0)^INDEX(Assumptions!$B:$B, MATCH("Sigmoid IRR-blend exponent k", Assumptions!$A:$A, 0)) * IF(H68 &gt; 0, 1, 0)</f>
        <v>0</v>
      </c>
      <c r="I69" s="17">
        <f ca="1">MAX(I67, 0)^INDEX(Assumptions!$B:$B, MATCH("Sigmoid IRR-blend exponent k", Assumptions!$A:$A, 0)) * IF(I68 &gt; 0, 1, 0)</f>
        <v>0</v>
      </c>
      <c r="J69" s="17">
        <f ca="1">MAX(J67, 0)^INDEX(Assumptions!$B:$B, MATCH("Sigmoid IRR-blend exponent k", Assumptions!$A:$A, 0)) * IF(J68 &gt; 0, 1, 0)</f>
        <v>0</v>
      </c>
      <c r="K69" s="17">
        <f ca="1">MAX(K67, 0)^INDEX(Assumptions!$B:$B, MATCH("Sigmoid IRR-blend exponent k", Assumptions!$A:$A, 0)) * IF(K68 &gt; 0, 1, 0)</f>
        <v>0</v>
      </c>
      <c r="L69" s="17">
        <f ca="1">MAX(L67, 0)^INDEX(Assumptions!$B:$B, MATCH("Sigmoid IRR-blend exponent k", Assumptions!$A:$A, 0)) * IF(L68 &gt; 0, 1, 0)</f>
        <v>0</v>
      </c>
      <c r="M69" s="17">
        <f ca="1">MAX(M67, 0)^INDEX(Assumptions!$B:$B, MATCH("Sigmoid IRR-blend exponent k", Assumptions!$A:$A, 0)) * IF(M68 &gt; 0, 1, 0)</f>
        <v>0</v>
      </c>
      <c r="N69" s="17">
        <f ca="1">MAX(N67, 0)^INDEX(Assumptions!$B:$B, MATCH("Sigmoid IRR-blend exponent k", Assumptions!$A:$A, 0)) * IF(N68 &gt; 0, 1, 0)</f>
        <v>0</v>
      </c>
      <c r="O69" s="17">
        <f ca="1">MAX(O67, 0)^INDEX(Assumptions!$B:$B, MATCH("Sigmoid IRR-blend exponent k", Assumptions!$A:$A, 0)) * IF(O68 &gt; 0, 1, 0)</f>
        <v>0</v>
      </c>
      <c r="P69" s="17">
        <f ca="1">MAX(P67, 0)^INDEX(Assumptions!$B:$B, MATCH("Sigmoid IRR-blend exponent k", Assumptions!$A:$A, 0)) * IF(P68 &gt; 0, 1, 0)</f>
        <v>0</v>
      </c>
      <c r="Q69" s="17">
        <f ca="1">MAX(Q67, 0)^INDEX(Assumptions!$B:$B, MATCH("Sigmoid IRR-blend exponent k", Assumptions!$A:$A, 0)) * IF(Q68 &gt; 0, 1, 0)</f>
        <v>0</v>
      </c>
      <c r="R69" s="17">
        <f ca="1">MAX(R67, 0)^INDEX(Assumptions!$B:$B, MATCH("Sigmoid IRR-blend exponent k", Assumptions!$A:$A, 0)) * IF(R68 &gt; 0, 1, 0)</f>
        <v>0</v>
      </c>
      <c r="S69" s="17">
        <f ca="1">MAX(S67, 0)^INDEX(Assumptions!$B:$B, MATCH("Sigmoid IRR-blend exponent k", Assumptions!$A:$A, 0)) * IF(S68 &gt; 0, 1, 0)</f>
        <v>0</v>
      </c>
      <c r="T69" s="17">
        <f ca="1">MAX(T67, 0)^INDEX(Assumptions!$B:$B, MATCH("Sigmoid IRR-blend exponent k", Assumptions!$A:$A, 0)) * IF(T68 &gt; 0, 1, 0)</f>
        <v>0</v>
      </c>
      <c r="U69" s="17">
        <f ca="1">MAX(U67, 0)^INDEX(Assumptions!$B:$B, MATCH("Sigmoid IRR-blend exponent k", Assumptions!$A:$A, 0)) * IF(U68 &gt; 0, 1, 0)</f>
        <v>0</v>
      </c>
      <c r="V69" s="17">
        <f ca="1">MAX(V67, 0)^INDEX(Assumptions!$B:$B, MATCH("Sigmoid IRR-blend exponent k", Assumptions!$A:$A, 0)) * IF(V68 &gt; 0, 1, 0)</f>
        <v>0</v>
      </c>
      <c r="W69" s="17">
        <f ca="1">MAX(W67, 0)^INDEX(Assumptions!$B:$B, MATCH("Sigmoid IRR-blend exponent k", Assumptions!$A:$A, 0)) * IF(W68 &gt; 0, 1, 0)</f>
        <v>0</v>
      </c>
      <c r="X69" s="17">
        <f ca="1">MAX(X67, 0)^INDEX(Assumptions!$B:$B, MATCH("Sigmoid IRR-blend exponent k", Assumptions!$A:$A, 0)) * IF(X68 &gt; 0, 1, 0)</f>
        <v>0</v>
      </c>
      <c r="Y69" s="17">
        <f ca="1">MAX(Y67, 0)^INDEX(Assumptions!$B:$B, MATCH("Sigmoid IRR-blend exponent k", Assumptions!$A:$A, 0)) * IF(Y68 &gt; 0, 1, 0)</f>
        <v>0</v>
      </c>
      <c r="Z69" s="17">
        <f ca="1">MAX(Z67, 0)^INDEX(Assumptions!$B:$B, MATCH("Sigmoid IRR-blend exponent k", Assumptions!$A:$A, 0)) * IF(Z68 &gt; 0, 1, 0)</f>
        <v>0</v>
      </c>
      <c r="AA69" s="17">
        <f ca="1">MAX(AA67, 0)^INDEX(Assumptions!$B:$B, MATCH("Sigmoid IRR-blend exponent k", Assumptions!$A:$A, 0)) * IF(AA68 &gt; 0, 1, 0)</f>
        <v>0</v>
      </c>
      <c r="AB69" s="17">
        <f ca="1">MAX(AB67, 0)^INDEX(Assumptions!$B:$B, MATCH("Sigmoid IRR-blend exponent k", Assumptions!$A:$A, 0)) * IF(AB68 &gt; 0, 1, 0)</f>
        <v>0</v>
      </c>
      <c r="AC69" s="17">
        <f ca="1">MAX(AC67, 0)^INDEX(Assumptions!$B:$B, MATCH("Sigmoid IRR-blend exponent k", Assumptions!$A:$A, 0)) * IF(AC68 &gt; 0, 1, 0)</f>
        <v>0</v>
      </c>
    </row>
    <row r="70" spans="1:29" x14ac:dyDescent="0.2">
      <c r="A70" s="18" t="s">
        <v>1463</v>
      </c>
      <c r="D70" s="67">
        <f ca="1">MIN(IF(D67 &gt; 0, D68, 0), $D$29 * D69 / IF($D$80 &gt; 0, $D$80, 1))</f>
        <v>0</v>
      </c>
      <c r="E70" s="67">
        <f t="shared" ref="E70:AC70" ca="1" si="11">MIN(IF(E67 &gt; 0, E68, 0), $D$29 * E69 / IF($D$80 &gt; 0, $D$80, 1))</f>
        <v>0</v>
      </c>
      <c r="F70" s="67">
        <f t="shared" ca="1" si="11"/>
        <v>0</v>
      </c>
      <c r="G70" s="67">
        <f t="shared" ca="1" si="11"/>
        <v>0</v>
      </c>
      <c r="H70" s="67">
        <f t="shared" ca="1" si="11"/>
        <v>0</v>
      </c>
      <c r="I70" s="67">
        <f t="shared" ca="1" si="11"/>
        <v>0</v>
      </c>
      <c r="J70" s="67">
        <f t="shared" ca="1" si="11"/>
        <v>0</v>
      </c>
      <c r="K70" s="67">
        <f t="shared" ca="1" si="11"/>
        <v>0</v>
      </c>
      <c r="L70" s="67">
        <f t="shared" ca="1" si="11"/>
        <v>0</v>
      </c>
      <c r="M70" s="67">
        <f t="shared" ca="1" si="11"/>
        <v>0</v>
      </c>
      <c r="N70" s="67">
        <f t="shared" ca="1" si="11"/>
        <v>0</v>
      </c>
      <c r="O70" s="67">
        <f t="shared" ca="1" si="11"/>
        <v>0</v>
      </c>
      <c r="P70" s="67">
        <f t="shared" ca="1" si="11"/>
        <v>0</v>
      </c>
      <c r="Q70" s="67">
        <f t="shared" ca="1" si="11"/>
        <v>0</v>
      </c>
      <c r="R70" s="67">
        <f t="shared" ca="1" si="11"/>
        <v>0</v>
      </c>
      <c r="S70" s="67">
        <f t="shared" ca="1" si="11"/>
        <v>0</v>
      </c>
      <c r="T70" s="67">
        <f t="shared" ca="1" si="11"/>
        <v>0</v>
      </c>
      <c r="U70" s="67">
        <f t="shared" ca="1" si="11"/>
        <v>0</v>
      </c>
      <c r="V70" s="67">
        <f t="shared" ca="1" si="11"/>
        <v>0</v>
      </c>
      <c r="W70" s="67">
        <f t="shared" ca="1" si="11"/>
        <v>0</v>
      </c>
      <c r="X70" s="67">
        <f t="shared" ca="1" si="11"/>
        <v>0</v>
      </c>
      <c r="Y70" s="67">
        <f t="shared" ca="1" si="11"/>
        <v>0</v>
      </c>
      <c r="Z70" s="67">
        <f t="shared" ca="1" si="11"/>
        <v>0</v>
      </c>
      <c r="AA70" s="67">
        <f t="shared" ca="1" si="11"/>
        <v>0</v>
      </c>
      <c r="AB70" s="67">
        <f t="shared" ca="1" si="11"/>
        <v>0</v>
      </c>
      <c r="AC70" s="67">
        <f t="shared" ca="1" si="11"/>
        <v>0</v>
      </c>
    </row>
    <row r="71" spans="1:29" x14ac:dyDescent="0.2">
      <c r="A71" s="18" t="s">
        <v>1464</v>
      </c>
    </row>
    <row r="72" spans="1:29" x14ac:dyDescent="0.2">
      <c r="A72" s="18" t="s">
        <v>1465</v>
      </c>
      <c r="D72" cm="1">
        <f t="array" aca="1" ref="D72" ca="1">IFERROR(INDEX('AI Stack'!$D:$AC, MATCH("Blended IRR", 'AI Stack'!$A:$A, 0), D$5+1), 0)</f>
        <v>0</v>
      </c>
      <c r="E72" cm="1">
        <f t="array" aca="1" ref="E72" ca="1">IFERROR(INDEX('AI Stack'!$D:$AC, MATCH("Blended IRR", 'AI Stack'!$A:$A, 0), E$5+1), 0)</f>
        <v>0</v>
      </c>
      <c r="F72" cm="1">
        <f t="array" aca="1" ref="F72" ca="1">IFERROR(INDEX('AI Stack'!$D:$AC, MATCH("Blended IRR", 'AI Stack'!$A:$A, 0), F$5+1), 0)</f>
        <v>0</v>
      </c>
      <c r="G72" cm="1">
        <f t="array" aca="1" ref="G72" ca="1">IFERROR(INDEX('AI Stack'!$D:$AC, MATCH("Blended IRR", 'AI Stack'!$A:$A, 0), G$5+1), 0)</f>
        <v>0</v>
      </c>
      <c r="H72" cm="1">
        <f t="array" aca="1" ref="H72" ca="1">IFERROR(INDEX('AI Stack'!$D:$AC, MATCH("Blended IRR", 'AI Stack'!$A:$A, 0), H$5+1), 0)</f>
        <v>0</v>
      </c>
      <c r="I72" cm="1">
        <f t="array" aca="1" ref="I72" ca="1">IFERROR(INDEX('AI Stack'!$D:$AC, MATCH("Blended IRR", 'AI Stack'!$A:$A, 0), I$5+1), 0)</f>
        <v>0</v>
      </c>
      <c r="J72" cm="1">
        <f t="array" aca="1" ref="J72" ca="1">IFERROR(INDEX('AI Stack'!$D:$AC, MATCH("Blended IRR", 'AI Stack'!$A:$A, 0), J$5+1), 0)</f>
        <v>0</v>
      </c>
      <c r="K72" cm="1">
        <f t="array" aca="1" ref="K72" ca="1">IFERROR(INDEX('AI Stack'!$D:$AC, MATCH("Blended IRR", 'AI Stack'!$A:$A, 0), K$5+1), 0)</f>
        <v>0</v>
      </c>
      <c r="L72" cm="1">
        <f t="array" aca="1" ref="L72" ca="1">IFERROR(INDEX('AI Stack'!$D:$AC, MATCH("Blended IRR", 'AI Stack'!$A:$A, 0), L$5+1), 0)</f>
        <v>0</v>
      </c>
      <c r="M72" cm="1">
        <f t="array" aca="1" ref="M72" ca="1">IFERROR(INDEX('AI Stack'!$D:$AC, MATCH("Blended IRR", 'AI Stack'!$A:$A, 0), M$5+1), 0)</f>
        <v>0</v>
      </c>
      <c r="N72" cm="1">
        <f t="array" aca="1" ref="N72" ca="1">IFERROR(INDEX('AI Stack'!$D:$AC, MATCH("Blended IRR", 'AI Stack'!$A:$A, 0), N$5+1), 0)</f>
        <v>0</v>
      </c>
      <c r="O72" cm="1">
        <f t="array" aca="1" ref="O72" ca="1">IFERROR(INDEX('AI Stack'!$D:$AC, MATCH("Blended IRR", 'AI Stack'!$A:$A, 0), O$5+1), 0)</f>
        <v>0</v>
      </c>
      <c r="P72" cm="1">
        <f t="array" aca="1" ref="P72" ca="1">IFERROR(INDEX('AI Stack'!$D:$AC, MATCH("Blended IRR", 'AI Stack'!$A:$A, 0), P$5+1), 0)</f>
        <v>0</v>
      </c>
      <c r="Q72" cm="1">
        <f t="array" aca="1" ref="Q72" ca="1">IFERROR(INDEX('AI Stack'!$D:$AC, MATCH("Blended IRR", 'AI Stack'!$A:$A, 0), Q$5+1), 0)</f>
        <v>0</v>
      </c>
      <c r="R72" cm="1">
        <f t="array" aca="1" ref="R72" ca="1">IFERROR(INDEX('AI Stack'!$D:$AC, MATCH("Blended IRR", 'AI Stack'!$A:$A, 0), R$5+1), 0)</f>
        <v>0</v>
      </c>
      <c r="S72" cm="1">
        <f t="array" aca="1" ref="S72" ca="1">IFERROR(INDEX('AI Stack'!$D:$AC, MATCH("Blended IRR", 'AI Stack'!$A:$A, 0), S$5+1), 0)</f>
        <v>0</v>
      </c>
      <c r="T72" cm="1">
        <f t="array" aca="1" ref="T72" ca="1">IFERROR(INDEX('AI Stack'!$D:$AC, MATCH("Blended IRR", 'AI Stack'!$A:$A, 0), T$5+1), 0)</f>
        <v>0</v>
      </c>
      <c r="U72" cm="1">
        <f t="array" aca="1" ref="U72" ca="1">IFERROR(INDEX('AI Stack'!$D:$AC, MATCH("Blended IRR", 'AI Stack'!$A:$A, 0), U$5+1), 0)</f>
        <v>0</v>
      </c>
      <c r="V72" cm="1">
        <f t="array" aca="1" ref="V72" ca="1">IFERROR(INDEX('AI Stack'!$D:$AC, MATCH("Blended IRR", 'AI Stack'!$A:$A, 0), V$5+1), 0)</f>
        <v>0</v>
      </c>
      <c r="W72" cm="1">
        <f t="array" aca="1" ref="W72" ca="1">IFERROR(INDEX('AI Stack'!$D:$AC, MATCH("Blended IRR", 'AI Stack'!$A:$A, 0), W$5+1), 0)</f>
        <v>0</v>
      </c>
      <c r="X72" cm="1">
        <f t="array" aca="1" ref="X72" ca="1">IFERROR(INDEX('AI Stack'!$D:$AC, MATCH("Blended IRR", 'AI Stack'!$A:$A, 0), X$5+1), 0)</f>
        <v>0</v>
      </c>
      <c r="Y72" cm="1">
        <f t="array" aca="1" ref="Y72" ca="1">IFERROR(INDEX('AI Stack'!$D:$AC, MATCH("Blended IRR", 'AI Stack'!$A:$A, 0), Y$5+1), 0)</f>
        <v>0</v>
      </c>
      <c r="Z72" cm="1">
        <f t="array" aca="1" ref="Z72" ca="1">IFERROR(INDEX('AI Stack'!$D:$AC, MATCH("Blended IRR", 'AI Stack'!$A:$A, 0), Z$5+1), 0)</f>
        <v>0</v>
      </c>
      <c r="AA72" cm="1">
        <f t="array" aca="1" ref="AA72" ca="1">IFERROR(INDEX('AI Stack'!$D:$AC, MATCH("Blended IRR", 'AI Stack'!$A:$A, 0), AA$5+1), 0)</f>
        <v>0</v>
      </c>
      <c r="AB72" cm="1">
        <f t="array" aca="1" ref="AB72" ca="1">IFERROR(INDEX('AI Stack'!$D:$AC, MATCH("Blended IRR", 'AI Stack'!$A:$A, 0), AB$5+1), 0)</f>
        <v>0</v>
      </c>
      <c r="AC72" cm="1">
        <f t="array" aca="1" ref="AC72" ca="1">IFERROR(INDEX('AI Stack'!$D:$AC, MATCH("Blended IRR", 'AI Stack'!$A:$A, 0), AC$5+1), 0)</f>
        <v>0</v>
      </c>
    </row>
    <row r="73" spans="1:29" x14ac:dyDescent="0.2">
      <c r="A73" s="18" t="s">
        <v>1466</v>
      </c>
      <c r="D73" cm="1">
        <f t="array" aca="1" ref="D73" ca="1">IFERROR(INDEX('AI Stack'!$D:$AC, MATCH("Module CapEx ($mm)", 'AI Stack'!$A:$A, 0), D$5+1), 0)</f>
        <v>0</v>
      </c>
      <c r="E73" cm="1">
        <f t="array" aca="1" ref="E73" ca="1">IFERROR(INDEX('AI Stack'!$D:$AC, MATCH("Module CapEx ($mm)", 'AI Stack'!$A:$A, 0), E$5+1), 0)</f>
        <v>0</v>
      </c>
      <c r="F73" cm="1">
        <f t="array" aca="1" ref="F73" ca="1">IFERROR(INDEX('AI Stack'!$D:$AC, MATCH("Module CapEx ($mm)", 'AI Stack'!$A:$A, 0), F$5+1), 0)</f>
        <v>0</v>
      </c>
      <c r="G73" cm="1">
        <f t="array" aca="1" ref="G73" ca="1">IFERROR(INDEX('AI Stack'!$D:$AC, MATCH("Module CapEx ($mm)", 'AI Stack'!$A:$A, 0), G$5+1), 0)</f>
        <v>0</v>
      </c>
      <c r="H73" cm="1">
        <f t="array" aca="1" ref="H73" ca="1">IFERROR(INDEX('AI Stack'!$D:$AC, MATCH("Module CapEx ($mm)", 'AI Stack'!$A:$A, 0), H$5+1), 0)</f>
        <v>0</v>
      </c>
      <c r="I73" cm="1">
        <f t="array" aca="1" ref="I73" ca="1">IFERROR(INDEX('AI Stack'!$D:$AC, MATCH("Module CapEx ($mm)", 'AI Stack'!$A:$A, 0), I$5+1), 0)</f>
        <v>0</v>
      </c>
      <c r="J73" cm="1">
        <f t="array" aca="1" ref="J73" ca="1">IFERROR(INDEX('AI Stack'!$D:$AC, MATCH("Module CapEx ($mm)", 'AI Stack'!$A:$A, 0), J$5+1), 0)</f>
        <v>0</v>
      </c>
      <c r="K73" cm="1">
        <f t="array" aca="1" ref="K73" ca="1">IFERROR(INDEX('AI Stack'!$D:$AC, MATCH("Module CapEx ($mm)", 'AI Stack'!$A:$A, 0), K$5+1), 0)</f>
        <v>0</v>
      </c>
      <c r="L73" cm="1">
        <f t="array" aca="1" ref="L73" ca="1">IFERROR(INDEX('AI Stack'!$D:$AC, MATCH("Module CapEx ($mm)", 'AI Stack'!$A:$A, 0), L$5+1), 0)</f>
        <v>0</v>
      </c>
      <c r="M73" cm="1">
        <f t="array" aca="1" ref="M73" ca="1">IFERROR(INDEX('AI Stack'!$D:$AC, MATCH("Module CapEx ($mm)", 'AI Stack'!$A:$A, 0), M$5+1), 0)</f>
        <v>0</v>
      </c>
      <c r="N73" cm="1">
        <f t="array" aca="1" ref="N73" ca="1">IFERROR(INDEX('AI Stack'!$D:$AC, MATCH("Module CapEx ($mm)", 'AI Stack'!$A:$A, 0), N$5+1), 0)</f>
        <v>0</v>
      </c>
      <c r="O73" cm="1">
        <f t="array" aca="1" ref="O73" ca="1">IFERROR(INDEX('AI Stack'!$D:$AC, MATCH("Module CapEx ($mm)", 'AI Stack'!$A:$A, 0), O$5+1), 0)</f>
        <v>0</v>
      </c>
      <c r="P73" cm="1">
        <f t="array" aca="1" ref="P73" ca="1">IFERROR(INDEX('AI Stack'!$D:$AC, MATCH("Module CapEx ($mm)", 'AI Stack'!$A:$A, 0), P$5+1), 0)</f>
        <v>0</v>
      </c>
      <c r="Q73" cm="1">
        <f t="array" aca="1" ref="Q73" ca="1">IFERROR(INDEX('AI Stack'!$D:$AC, MATCH("Module CapEx ($mm)", 'AI Stack'!$A:$A, 0), Q$5+1), 0)</f>
        <v>0</v>
      </c>
      <c r="R73" cm="1">
        <f t="array" aca="1" ref="R73" ca="1">IFERROR(INDEX('AI Stack'!$D:$AC, MATCH("Module CapEx ($mm)", 'AI Stack'!$A:$A, 0), R$5+1), 0)</f>
        <v>0</v>
      </c>
      <c r="S73" cm="1">
        <f t="array" aca="1" ref="S73" ca="1">IFERROR(INDEX('AI Stack'!$D:$AC, MATCH("Module CapEx ($mm)", 'AI Stack'!$A:$A, 0), S$5+1), 0)</f>
        <v>0</v>
      </c>
      <c r="T73" cm="1">
        <f t="array" aca="1" ref="T73" ca="1">IFERROR(INDEX('AI Stack'!$D:$AC, MATCH("Module CapEx ($mm)", 'AI Stack'!$A:$A, 0), T$5+1), 0)</f>
        <v>0</v>
      </c>
      <c r="U73" cm="1">
        <f t="array" aca="1" ref="U73" ca="1">IFERROR(INDEX('AI Stack'!$D:$AC, MATCH("Module CapEx ($mm)", 'AI Stack'!$A:$A, 0), U$5+1), 0)</f>
        <v>0</v>
      </c>
      <c r="V73" cm="1">
        <f t="array" aca="1" ref="V73" ca="1">IFERROR(INDEX('AI Stack'!$D:$AC, MATCH("Module CapEx ($mm)", 'AI Stack'!$A:$A, 0), V$5+1), 0)</f>
        <v>0</v>
      </c>
      <c r="W73" cm="1">
        <f t="array" aca="1" ref="W73" ca="1">IFERROR(INDEX('AI Stack'!$D:$AC, MATCH("Module CapEx ($mm)", 'AI Stack'!$A:$A, 0), W$5+1), 0)</f>
        <v>0</v>
      </c>
      <c r="X73" cm="1">
        <f t="array" aca="1" ref="X73" ca="1">IFERROR(INDEX('AI Stack'!$D:$AC, MATCH("Module CapEx ($mm)", 'AI Stack'!$A:$A, 0), X$5+1), 0)</f>
        <v>0</v>
      </c>
      <c r="Y73" cm="1">
        <f t="array" aca="1" ref="Y73" ca="1">IFERROR(INDEX('AI Stack'!$D:$AC, MATCH("Module CapEx ($mm)", 'AI Stack'!$A:$A, 0), Y$5+1), 0)</f>
        <v>0</v>
      </c>
      <c r="Z73" cm="1">
        <f t="array" aca="1" ref="Z73" ca="1">IFERROR(INDEX('AI Stack'!$D:$AC, MATCH("Module CapEx ($mm)", 'AI Stack'!$A:$A, 0), Z$5+1), 0)</f>
        <v>0</v>
      </c>
      <c r="AA73" cm="1">
        <f t="array" aca="1" ref="AA73" ca="1">IFERROR(INDEX('AI Stack'!$D:$AC, MATCH("Module CapEx ($mm)", 'AI Stack'!$A:$A, 0), AA$5+1), 0)</f>
        <v>0</v>
      </c>
      <c r="AB73" cm="1">
        <f t="array" aca="1" ref="AB73" ca="1">IFERROR(INDEX('AI Stack'!$D:$AC, MATCH("Module CapEx ($mm)", 'AI Stack'!$A:$A, 0), AB$5+1), 0)</f>
        <v>0</v>
      </c>
      <c r="AC73" cm="1">
        <f t="array" aca="1" ref="AC73" ca="1">IFERROR(INDEX('AI Stack'!$D:$AC, MATCH("Module CapEx ($mm)", 'AI Stack'!$A:$A, 0), AC$5+1), 0)</f>
        <v>0</v>
      </c>
    </row>
    <row r="74" spans="1:29" x14ac:dyDescent="0.2">
      <c r="A74" s="18" t="s">
        <v>1467</v>
      </c>
      <c r="D74">
        <f ca="1">MAX(D72, 0)^INDEX(Assumptions!$B:$B, MATCH("Sigmoid IRR-blend exponent k", Assumptions!$A:$A, 0)) * IF(D73 &gt; 0, 1, 0)</f>
        <v>0</v>
      </c>
      <c r="E74">
        <f ca="1">MAX(E72, 0)^INDEX(Assumptions!$B:$B, MATCH("Sigmoid IRR-blend exponent k", Assumptions!$A:$A, 0)) * IF(E73 &gt; 0, 1, 0)</f>
        <v>0</v>
      </c>
      <c r="F74">
        <f ca="1">MAX(F72, 0)^INDEX(Assumptions!$B:$B, MATCH("Sigmoid IRR-blend exponent k", Assumptions!$A:$A, 0)) * IF(F73 &gt; 0, 1, 0)</f>
        <v>0</v>
      </c>
      <c r="G74">
        <f ca="1">MAX(G72, 0)^INDEX(Assumptions!$B:$B, MATCH("Sigmoid IRR-blend exponent k", Assumptions!$A:$A, 0)) * IF(G73 &gt; 0, 1, 0)</f>
        <v>0</v>
      </c>
      <c r="H74">
        <f ca="1">MAX(H72, 0)^INDEX(Assumptions!$B:$B, MATCH("Sigmoid IRR-blend exponent k", Assumptions!$A:$A, 0)) * IF(H73 &gt; 0, 1, 0)</f>
        <v>0</v>
      </c>
      <c r="I74">
        <f ca="1">MAX(I72, 0)^INDEX(Assumptions!$B:$B, MATCH("Sigmoid IRR-blend exponent k", Assumptions!$A:$A, 0)) * IF(I73 &gt; 0, 1, 0)</f>
        <v>0</v>
      </c>
      <c r="J74">
        <f ca="1">MAX(J72, 0)^INDEX(Assumptions!$B:$B, MATCH("Sigmoid IRR-blend exponent k", Assumptions!$A:$A, 0)) * IF(J73 &gt; 0, 1, 0)</f>
        <v>0</v>
      </c>
      <c r="K74">
        <f ca="1">MAX(K72, 0)^INDEX(Assumptions!$B:$B, MATCH("Sigmoid IRR-blend exponent k", Assumptions!$A:$A, 0)) * IF(K73 &gt; 0, 1, 0)</f>
        <v>0</v>
      </c>
      <c r="L74">
        <f ca="1">MAX(L72, 0)^INDEX(Assumptions!$B:$B, MATCH("Sigmoid IRR-blend exponent k", Assumptions!$A:$A, 0)) * IF(L73 &gt; 0, 1, 0)</f>
        <v>0</v>
      </c>
      <c r="M74">
        <f ca="1">MAX(M72, 0)^INDEX(Assumptions!$B:$B, MATCH("Sigmoid IRR-blend exponent k", Assumptions!$A:$A, 0)) * IF(M73 &gt; 0, 1, 0)</f>
        <v>0</v>
      </c>
      <c r="N74">
        <f ca="1">MAX(N72, 0)^INDEX(Assumptions!$B:$B, MATCH("Sigmoid IRR-blend exponent k", Assumptions!$A:$A, 0)) * IF(N73 &gt; 0, 1, 0)</f>
        <v>0</v>
      </c>
      <c r="O74">
        <f ca="1">MAX(O72, 0)^INDEX(Assumptions!$B:$B, MATCH("Sigmoid IRR-blend exponent k", Assumptions!$A:$A, 0)) * IF(O73 &gt; 0, 1, 0)</f>
        <v>0</v>
      </c>
      <c r="P74">
        <f ca="1">MAX(P72, 0)^INDEX(Assumptions!$B:$B, MATCH("Sigmoid IRR-blend exponent k", Assumptions!$A:$A, 0)) * IF(P73 &gt; 0, 1, 0)</f>
        <v>0</v>
      </c>
      <c r="Q74">
        <f ca="1">MAX(Q72, 0)^INDEX(Assumptions!$B:$B, MATCH("Sigmoid IRR-blend exponent k", Assumptions!$A:$A, 0)) * IF(Q73 &gt; 0, 1, 0)</f>
        <v>0</v>
      </c>
      <c r="R74">
        <f ca="1">MAX(R72, 0)^INDEX(Assumptions!$B:$B, MATCH("Sigmoid IRR-blend exponent k", Assumptions!$A:$A, 0)) * IF(R73 &gt; 0, 1, 0)</f>
        <v>0</v>
      </c>
      <c r="S74">
        <f ca="1">MAX(S72, 0)^INDEX(Assumptions!$B:$B, MATCH("Sigmoid IRR-blend exponent k", Assumptions!$A:$A, 0)) * IF(S73 &gt; 0, 1, 0)</f>
        <v>0</v>
      </c>
      <c r="T74">
        <f ca="1">MAX(T72, 0)^INDEX(Assumptions!$B:$B, MATCH("Sigmoid IRR-blend exponent k", Assumptions!$A:$A, 0)) * IF(T73 &gt; 0, 1, 0)</f>
        <v>0</v>
      </c>
      <c r="U74">
        <f ca="1">MAX(U72, 0)^INDEX(Assumptions!$B:$B, MATCH("Sigmoid IRR-blend exponent k", Assumptions!$A:$A, 0)) * IF(U73 &gt; 0, 1, 0)</f>
        <v>0</v>
      </c>
      <c r="V74">
        <f ca="1">MAX(V72, 0)^INDEX(Assumptions!$B:$B, MATCH("Sigmoid IRR-blend exponent k", Assumptions!$A:$A, 0)) * IF(V73 &gt; 0, 1, 0)</f>
        <v>0</v>
      </c>
      <c r="W74">
        <f ca="1">MAX(W72, 0)^INDEX(Assumptions!$B:$B, MATCH("Sigmoid IRR-blend exponent k", Assumptions!$A:$A, 0)) * IF(W73 &gt; 0, 1, 0)</f>
        <v>0</v>
      </c>
      <c r="X74">
        <f ca="1">MAX(X72, 0)^INDEX(Assumptions!$B:$B, MATCH("Sigmoid IRR-blend exponent k", Assumptions!$A:$A, 0)) * IF(X73 &gt; 0, 1, 0)</f>
        <v>0</v>
      </c>
      <c r="Y74">
        <f ca="1">MAX(Y72, 0)^INDEX(Assumptions!$B:$B, MATCH("Sigmoid IRR-blend exponent k", Assumptions!$A:$A, 0)) * IF(Y73 &gt; 0, 1, 0)</f>
        <v>0</v>
      </c>
      <c r="Z74">
        <f ca="1">MAX(Z72, 0)^INDEX(Assumptions!$B:$B, MATCH("Sigmoid IRR-blend exponent k", Assumptions!$A:$A, 0)) * IF(Z73 &gt; 0, 1, 0)</f>
        <v>0</v>
      </c>
      <c r="AA74">
        <f ca="1">MAX(AA72, 0)^INDEX(Assumptions!$B:$B, MATCH("Sigmoid IRR-blend exponent k", Assumptions!$A:$A, 0)) * IF(AA73 &gt; 0, 1, 0)</f>
        <v>0</v>
      </c>
      <c r="AB74">
        <f ca="1">MAX(AB72, 0)^INDEX(Assumptions!$B:$B, MATCH("Sigmoid IRR-blend exponent k", Assumptions!$A:$A, 0)) * IF(AB73 &gt; 0, 1, 0)</f>
        <v>0</v>
      </c>
      <c r="AC74">
        <f ca="1">MAX(AC72, 0)^INDEX(Assumptions!$B:$B, MATCH("Sigmoid IRR-blend exponent k", Assumptions!$A:$A, 0)) * IF(AC73 &gt; 0, 1, 0)</f>
        <v>0</v>
      </c>
    </row>
    <row r="75" spans="1:29" x14ac:dyDescent="0.2">
      <c r="A75" s="18" t="s">
        <v>1468</v>
      </c>
      <c r="D75">
        <f ca="1">MIN(IF(D72 &gt; 0, D73, 0), $D$29 * D74 / IF($D$80 &gt; 0, $D$80, 1))</f>
        <v>0</v>
      </c>
      <c r="E75">
        <f t="shared" ref="E75:AC75" ca="1" si="12">MIN(IF(E72 &gt; 0, E73, 0), $D$29 * E74 / IF($D$80 &gt; 0, $D$80, 1))</f>
        <v>0</v>
      </c>
      <c r="F75">
        <f t="shared" ca="1" si="12"/>
        <v>0</v>
      </c>
      <c r="G75">
        <f t="shared" ca="1" si="12"/>
        <v>0</v>
      </c>
      <c r="H75">
        <f t="shared" ca="1" si="12"/>
        <v>0</v>
      </c>
      <c r="I75">
        <f t="shared" ca="1" si="12"/>
        <v>0</v>
      </c>
      <c r="J75">
        <f t="shared" ca="1" si="12"/>
        <v>0</v>
      </c>
      <c r="K75">
        <f t="shared" ca="1" si="12"/>
        <v>0</v>
      </c>
      <c r="L75">
        <f t="shared" ca="1" si="12"/>
        <v>0</v>
      </c>
      <c r="M75">
        <f t="shared" ca="1" si="12"/>
        <v>0</v>
      </c>
      <c r="N75">
        <f t="shared" ca="1" si="12"/>
        <v>0</v>
      </c>
      <c r="O75">
        <f t="shared" ca="1" si="12"/>
        <v>0</v>
      </c>
      <c r="P75">
        <f t="shared" ca="1" si="12"/>
        <v>0</v>
      </c>
      <c r="Q75">
        <f t="shared" ca="1" si="12"/>
        <v>0</v>
      </c>
      <c r="R75">
        <f t="shared" ca="1" si="12"/>
        <v>0</v>
      </c>
      <c r="S75">
        <f t="shared" ca="1" si="12"/>
        <v>0</v>
      </c>
      <c r="T75">
        <f t="shared" ca="1" si="12"/>
        <v>0</v>
      </c>
      <c r="U75">
        <f t="shared" ca="1" si="12"/>
        <v>0</v>
      </c>
      <c r="V75">
        <f t="shared" ca="1" si="12"/>
        <v>0</v>
      </c>
      <c r="W75">
        <f t="shared" ca="1" si="12"/>
        <v>0</v>
      </c>
      <c r="X75">
        <f t="shared" ca="1" si="12"/>
        <v>0</v>
      </c>
      <c r="Y75">
        <f t="shared" ca="1" si="12"/>
        <v>0</v>
      </c>
      <c r="Z75">
        <f t="shared" ca="1" si="12"/>
        <v>0</v>
      </c>
      <c r="AA75">
        <f t="shared" ca="1" si="12"/>
        <v>0</v>
      </c>
      <c r="AB75">
        <f t="shared" ca="1" si="12"/>
        <v>0</v>
      </c>
      <c r="AC75">
        <f t="shared" ca="1" si="12"/>
        <v>0</v>
      </c>
    </row>
    <row r="80" spans="1:29" x14ac:dyDescent="0.2">
      <c r="A80" s="1" t="s">
        <v>1469</v>
      </c>
      <c r="D80" s="68">
        <f ca="1">D44+D49+D54+D59+D64+D69+D74</f>
        <v>8.1669357115814201</v>
      </c>
      <c r="E80" s="68">
        <f t="shared" ref="E80:AC80" ca="1" si="13">E44+E49+E54+E59+E64+E69+E74</f>
        <v>6.5184873895855491</v>
      </c>
      <c r="F80" s="68">
        <f t="shared" ca="1" si="13"/>
        <v>5.6901826179488264</v>
      </c>
      <c r="G80" s="68">
        <f t="shared" ca="1" si="13"/>
        <v>5.0163459050829529</v>
      </c>
      <c r="H80" s="68">
        <f t="shared" ca="1" si="13"/>
        <v>4.470971665298122</v>
      </c>
      <c r="I80" s="68">
        <f t="shared" ca="1" si="13"/>
        <v>3.2639266343286315</v>
      </c>
      <c r="J80" s="68">
        <f t="shared" ca="1" si="13"/>
        <v>3.6021813341939541</v>
      </c>
      <c r="K80" s="68">
        <f t="shared" ca="1" si="13"/>
        <v>1.9792320525001885</v>
      </c>
      <c r="L80" s="68">
        <f t="shared" ca="1" si="13"/>
        <v>1.4264787382693538</v>
      </c>
      <c r="M80" s="68">
        <f t="shared" ca="1" si="13"/>
        <v>2.32774963361343</v>
      </c>
      <c r="N80" s="68">
        <f t="shared" ca="1" si="13"/>
        <v>0.19463257169128015</v>
      </c>
      <c r="O80" s="68">
        <f t="shared" ca="1" si="13"/>
        <v>2.214666894142689</v>
      </c>
      <c r="P80" s="68">
        <f t="shared" ca="1" si="13"/>
        <v>5.5709521205002659E-2</v>
      </c>
      <c r="Q80" s="68">
        <f t="shared" ca="1" si="13"/>
        <v>0.30477106988649388</v>
      </c>
      <c r="R80" s="68">
        <f t="shared" ca="1" si="13"/>
        <v>0.99769132769478663</v>
      </c>
      <c r="S80" s="68">
        <f t="shared" ca="1" si="13"/>
        <v>2.207354651154091E-2</v>
      </c>
      <c r="T80" s="68">
        <f t="shared" ca="1" si="13"/>
        <v>1.2832610705191969</v>
      </c>
      <c r="U80" s="68">
        <f t="shared" ca="1" si="13"/>
        <v>0.47695291115722277</v>
      </c>
      <c r="V80" s="68">
        <f t="shared" ca="1" si="13"/>
        <v>0.137308836871258</v>
      </c>
      <c r="W80" s="68">
        <f t="shared" ca="1" si="13"/>
        <v>1.0548937027198992</v>
      </c>
      <c r="X80" s="68">
        <f t="shared" ca="1" si="13"/>
        <v>2.825656754592969E-3</v>
      </c>
      <c r="Y80" s="68">
        <f t="shared" ca="1" si="13"/>
        <v>0.5795324322704275</v>
      </c>
      <c r="Z80" s="68">
        <f t="shared" ca="1" si="13"/>
        <v>0.43197704992463537</v>
      </c>
      <c r="AA80" s="68">
        <f t="shared" ca="1" si="13"/>
        <v>3.1294535017752943E-2</v>
      </c>
      <c r="AB80" s="68">
        <f t="shared" ca="1" si="13"/>
        <v>7.6334188052711971E-2</v>
      </c>
      <c r="AC80" s="68">
        <f t="shared" ca="1" si="13"/>
        <v>0</v>
      </c>
    </row>
    <row r="82" spans="1:29" x14ac:dyDescent="0.2">
      <c r="A82" s="13" t="s">
        <v>578</v>
      </c>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x14ac:dyDescent="0.2">
      <c r="A83" t="s">
        <v>583</v>
      </c>
      <c r="C83" t="s">
        <v>593</v>
      </c>
      <c r="D83" s="67">
        <f ca="1">IFERROR(INDEX('Customer Launch'!$D:$AC, MATCH("Module CapEx ($mm)", 'Customer Launch'!$A:$A, 0), 1), 0)</f>
        <v>32.86065</v>
      </c>
      <c r="E83" s="67">
        <f>D46</f>
        <v>0</v>
      </c>
      <c r="F83" s="67">
        <f t="shared" ref="F83:AC83" si="14">E46</f>
        <v>0</v>
      </c>
      <c r="G83" s="67">
        <f t="shared" si="14"/>
        <v>0</v>
      </c>
      <c r="H83" s="67">
        <f t="shared" si="14"/>
        <v>0</v>
      </c>
      <c r="I83" s="67">
        <f t="shared" si="14"/>
        <v>0</v>
      </c>
      <c r="J83" s="67">
        <f t="shared" si="14"/>
        <v>0</v>
      </c>
      <c r="K83" s="67">
        <f t="shared" si="14"/>
        <v>0</v>
      </c>
      <c r="L83" s="67">
        <f t="shared" si="14"/>
        <v>0</v>
      </c>
      <c r="M83" s="67">
        <f t="shared" si="14"/>
        <v>0</v>
      </c>
      <c r="N83" s="67">
        <f t="shared" si="14"/>
        <v>0</v>
      </c>
      <c r="O83" s="67">
        <f t="shared" si="14"/>
        <v>0</v>
      </c>
      <c r="P83" s="67">
        <f t="shared" si="14"/>
        <v>0</v>
      </c>
      <c r="Q83" s="67">
        <f t="shared" si="14"/>
        <v>0</v>
      </c>
      <c r="R83" s="67">
        <f t="shared" si="14"/>
        <v>0</v>
      </c>
      <c r="S83" s="67">
        <f t="shared" si="14"/>
        <v>0</v>
      </c>
      <c r="T83" s="67">
        <f t="shared" si="14"/>
        <v>0</v>
      </c>
      <c r="U83" s="67">
        <f t="shared" si="14"/>
        <v>0</v>
      </c>
      <c r="V83" s="67">
        <f t="shared" si="14"/>
        <v>0</v>
      </c>
      <c r="W83" s="67">
        <f t="shared" si="14"/>
        <v>0</v>
      </c>
      <c r="X83" s="67">
        <f t="shared" si="14"/>
        <v>0</v>
      </c>
      <c r="Y83" s="67">
        <f t="shared" si="14"/>
        <v>0</v>
      </c>
      <c r="Z83" s="67">
        <f t="shared" si="14"/>
        <v>0</v>
      </c>
      <c r="AA83" s="67">
        <f t="shared" si="14"/>
        <v>0</v>
      </c>
      <c r="AB83" s="67">
        <f t="shared" si="14"/>
        <v>0</v>
      </c>
      <c r="AC83" s="67">
        <f t="shared" si="14"/>
        <v>0</v>
      </c>
    </row>
    <row r="84" spans="1:29" x14ac:dyDescent="0.2">
      <c r="A84" t="s">
        <v>584</v>
      </c>
      <c r="C84" t="s">
        <v>593</v>
      </c>
      <c r="D84" s="67">
        <f ca="1">D88+D89+D90+D91</f>
        <v>1184.4137500000002</v>
      </c>
      <c r="E84" s="67">
        <f ca="1">E88+E89+E90+E91</f>
        <v>0</v>
      </c>
      <c r="F84" s="67">
        <f t="shared" ref="F84:AC84" ca="1" si="15">F88+F89+F90+F91</f>
        <v>0</v>
      </c>
      <c r="G84" s="67">
        <f t="shared" ca="1" si="15"/>
        <v>0</v>
      </c>
      <c r="H84" s="67">
        <f t="shared" ca="1" si="15"/>
        <v>0</v>
      </c>
      <c r="I84" s="67">
        <f t="shared" ca="1" si="15"/>
        <v>0</v>
      </c>
      <c r="J84" s="67">
        <f t="shared" ca="1" si="15"/>
        <v>0</v>
      </c>
      <c r="K84" s="67">
        <f t="shared" ca="1" si="15"/>
        <v>0</v>
      </c>
      <c r="L84" s="67">
        <f t="shared" ca="1" si="15"/>
        <v>0</v>
      </c>
      <c r="M84" s="67">
        <f t="shared" ca="1" si="15"/>
        <v>0</v>
      </c>
      <c r="N84" s="67">
        <f t="shared" ca="1" si="15"/>
        <v>0</v>
      </c>
      <c r="O84" s="67">
        <f t="shared" ca="1" si="15"/>
        <v>0</v>
      </c>
      <c r="P84" s="67">
        <f t="shared" ca="1" si="15"/>
        <v>0</v>
      </c>
      <c r="Q84" s="67">
        <f t="shared" ca="1" si="15"/>
        <v>0</v>
      </c>
      <c r="R84" s="67">
        <f t="shared" ca="1" si="15"/>
        <v>0</v>
      </c>
      <c r="S84" s="67">
        <f t="shared" ca="1" si="15"/>
        <v>0</v>
      </c>
      <c r="T84" s="67">
        <f t="shared" ca="1" si="15"/>
        <v>0</v>
      </c>
      <c r="U84" s="67">
        <f t="shared" ca="1" si="15"/>
        <v>0</v>
      </c>
      <c r="V84" s="67">
        <f t="shared" ca="1" si="15"/>
        <v>0</v>
      </c>
      <c r="W84" s="67">
        <f t="shared" ca="1" si="15"/>
        <v>0</v>
      </c>
      <c r="X84" s="67">
        <f t="shared" ca="1" si="15"/>
        <v>0</v>
      </c>
      <c r="Y84" s="67">
        <f t="shared" ca="1" si="15"/>
        <v>0</v>
      </c>
      <c r="Z84" s="67">
        <f t="shared" ca="1" si="15"/>
        <v>0</v>
      </c>
      <c r="AA84" s="67">
        <f t="shared" ca="1" si="15"/>
        <v>0</v>
      </c>
      <c r="AB84" s="67">
        <f t="shared" ca="1" si="15"/>
        <v>0</v>
      </c>
      <c r="AC84" s="67">
        <f t="shared" ca="1" si="15"/>
        <v>0</v>
      </c>
    </row>
    <row r="85" spans="1:29" x14ac:dyDescent="0.2">
      <c r="A85" t="s">
        <v>585</v>
      </c>
      <c r="C85" t="s">
        <v>593</v>
      </c>
      <c r="D85" s="67">
        <f ca="1">IFERROR(INDEX(ODC!$D:$AC, MATCH("Module CapEx ($mm)", ODC!$A:$A, 0), 1), 0)</f>
        <v>0</v>
      </c>
      <c r="E85" s="67">
        <f ca="1">D62</f>
        <v>1.3133112485537981</v>
      </c>
      <c r="F85" s="67">
        <f t="shared" ref="F85:AC85" ca="1" si="16">E62</f>
        <v>1.7738377440728457</v>
      </c>
      <c r="G85" s="67">
        <f t="shared" ca="1" si="16"/>
        <v>2.3146496839706137</v>
      </c>
      <c r="H85" s="67">
        <f t="shared" ca="1" si="16"/>
        <v>2.6775147463707953</v>
      </c>
      <c r="I85" s="67">
        <f t="shared" ca="1" si="16"/>
        <v>3.0909263736058041</v>
      </c>
      <c r="J85" s="67">
        <f t="shared" ca="1" si="16"/>
        <v>3.4450013726471127</v>
      </c>
      <c r="K85" s="67">
        <f t="shared" ca="1" si="16"/>
        <v>3.838749130784433</v>
      </c>
      <c r="L85" s="67">
        <f t="shared" ca="1" si="16"/>
        <v>4.2766720198603672</v>
      </c>
      <c r="M85" s="67">
        <f t="shared" ca="1" si="16"/>
        <v>4.6715699821409853</v>
      </c>
      <c r="N85" s="67">
        <f t="shared" ca="1" si="16"/>
        <v>5.0172136997834498</v>
      </c>
      <c r="O85" s="67">
        <f t="shared" ca="1" si="16"/>
        <v>5.3498868965123414</v>
      </c>
      <c r="P85" s="67">
        <f t="shared" ca="1" si="16"/>
        <v>5.6669329784111877</v>
      </c>
      <c r="Q85" s="67">
        <f t="shared" ca="1" si="16"/>
        <v>6.0008170703851675</v>
      </c>
      <c r="R85" s="67">
        <f t="shared" ca="1" si="16"/>
        <v>6.3525063788218556</v>
      </c>
      <c r="S85" s="67">
        <f t="shared" ca="1" si="16"/>
        <v>6.7230223120796344</v>
      </c>
      <c r="T85" s="67">
        <f t="shared" ca="1" si="16"/>
        <v>7.113443285996401</v>
      </c>
      <c r="U85" s="67">
        <f t="shared" ca="1" si="16"/>
        <v>7.5249077169246554</v>
      </c>
      <c r="V85" s="67">
        <f t="shared" ca="1" si="16"/>
        <v>7.9586172100598525</v>
      </c>
      <c r="W85" s="67">
        <f t="shared" ca="1" si="16"/>
        <v>8.415839951208401</v>
      </c>
      <c r="X85" s="67">
        <f t="shared" ca="1" si="16"/>
        <v>8.8979143106355636</v>
      </c>
      <c r="Y85" s="67">
        <f t="shared" ca="1" si="16"/>
        <v>9.4062526682200627</v>
      </c>
      <c r="Z85" s="67">
        <f t="shared" ca="1" si="16"/>
        <v>9.9423454698055878</v>
      </c>
      <c r="AA85" s="67">
        <f t="shared" ca="1" si="16"/>
        <v>10.507765525367116</v>
      </c>
      <c r="AB85" s="67">
        <f t="shared" ca="1" si="16"/>
        <v>11.104172560391842</v>
      </c>
      <c r="AC85" s="67">
        <f t="shared" ca="1" si="16"/>
        <v>2.5545626095634217</v>
      </c>
    </row>
    <row r="86" spans="1:29" x14ac:dyDescent="0.2">
      <c r="A86" t="s">
        <v>586</v>
      </c>
      <c r="C86" t="s">
        <v>593</v>
      </c>
      <c r="D86" s="67">
        <f ca="1">IFERROR(INDEX('AI Stack'!$D:$AC, MATCH("Module CapEx ($mm)", 'AI Stack'!$A:$A, 0), 1), 0)</f>
        <v>0</v>
      </c>
      <c r="E86" s="67">
        <f ca="1">D70</f>
        <v>0</v>
      </c>
      <c r="F86" s="67">
        <f t="shared" ref="F86:AC86" ca="1" si="17">E70</f>
        <v>0</v>
      </c>
      <c r="G86" s="67">
        <f t="shared" ca="1" si="17"/>
        <v>0</v>
      </c>
      <c r="H86" s="67">
        <f t="shared" ca="1" si="17"/>
        <v>0</v>
      </c>
      <c r="I86" s="67">
        <f t="shared" ca="1" si="17"/>
        <v>0</v>
      </c>
      <c r="J86" s="67">
        <f t="shared" ca="1" si="17"/>
        <v>0</v>
      </c>
      <c r="K86" s="67">
        <f t="shared" ca="1" si="17"/>
        <v>0</v>
      </c>
      <c r="L86" s="67">
        <f t="shared" ca="1" si="17"/>
        <v>0</v>
      </c>
      <c r="M86" s="67">
        <f t="shared" ca="1" si="17"/>
        <v>0</v>
      </c>
      <c r="N86" s="67">
        <f t="shared" ca="1" si="17"/>
        <v>0</v>
      </c>
      <c r="O86" s="67">
        <f t="shared" ca="1" si="17"/>
        <v>0</v>
      </c>
      <c r="P86" s="67">
        <f t="shared" ca="1" si="17"/>
        <v>0</v>
      </c>
      <c r="Q86" s="67">
        <f t="shared" ca="1" si="17"/>
        <v>0</v>
      </c>
      <c r="R86" s="67">
        <f t="shared" ca="1" si="17"/>
        <v>0</v>
      </c>
      <c r="S86" s="67">
        <f t="shared" ca="1" si="17"/>
        <v>0</v>
      </c>
      <c r="T86" s="67">
        <f t="shared" ca="1" si="17"/>
        <v>0</v>
      </c>
      <c r="U86" s="67">
        <f t="shared" ca="1" si="17"/>
        <v>0</v>
      </c>
      <c r="V86" s="67">
        <f t="shared" ca="1" si="17"/>
        <v>0</v>
      </c>
      <c r="W86" s="67">
        <f t="shared" ca="1" si="17"/>
        <v>0</v>
      </c>
      <c r="X86" s="67">
        <f t="shared" ca="1" si="17"/>
        <v>0</v>
      </c>
      <c r="Y86" s="67">
        <f t="shared" ca="1" si="17"/>
        <v>0</v>
      </c>
      <c r="Z86" s="67">
        <f t="shared" ca="1" si="17"/>
        <v>0</v>
      </c>
      <c r="AA86" s="67">
        <f t="shared" ca="1" si="17"/>
        <v>0</v>
      </c>
      <c r="AB86" s="67">
        <f t="shared" ca="1" si="17"/>
        <v>0</v>
      </c>
      <c r="AC86" s="67">
        <f t="shared" ca="1" si="17"/>
        <v>0</v>
      </c>
    </row>
    <row r="87" spans="1:29" x14ac:dyDescent="0.2">
      <c r="A87" t="s">
        <v>587</v>
      </c>
      <c r="C87" t="s">
        <v>593</v>
      </c>
      <c r="D87" s="67">
        <f ca="1">D35</f>
        <v>1000</v>
      </c>
      <c r="E87" s="67">
        <f ca="1">E35</f>
        <v>1000</v>
      </c>
      <c r="F87" s="67">
        <f t="shared" ref="F87:AC87" ca="1" si="18">F35</f>
        <v>1000</v>
      </c>
      <c r="G87" s="67">
        <f t="shared" ca="1" si="18"/>
        <v>1000</v>
      </c>
      <c r="H87" s="67">
        <f t="shared" ca="1" si="18"/>
        <v>1000</v>
      </c>
      <c r="I87" s="67">
        <f t="shared" ca="1" si="18"/>
        <v>1000</v>
      </c>
      <c r="J87" s="67">
        <f t="shared" ca="1" si="18"/>
        <v>1000</v>
      </c>
      <c r="K87" s="67">
        <f t="shared" ca="1" si="18"/>
        <v>1000</v>
      </c>
      <c r="L87" s="67">
        <f t="shared" ca="1" si="18"/>
        <v>1000</v>
      </c>
      <c r="M87" s="67">
        <f t="shared" ca="1" si="18"/>
        <v>1000</v>
      </c>
      <c r="N87" s="67">
        <f t="shared" ca="1" si="18"/>
        <v>1000</v>
      </c>
      <c r="O87" s="67">
        <f t="shared" ca="1" si="18"/>
        <v>1000</v>
      </c>
      <c r="P87" s="67">
        <f t="shared" ca="1" si="18"/>
        <v>1000</v>
      </c>
      <c r="Q87" s="67">
        <f t="shared" ca="1" si="18"/>
        <v>1000</v>
      </c>
      <c r="R87" s="67">
        <f t="shared" ca="1" si="18"/>
        <v>1000</v>
      </c>
      <c r="S87" s="67">
        <f t="shared" ca="1" si="18"/>
        <v>1000</v>
      </c>
      <c r="T87" s="67">
        <f t="shared" ca="1" si="18"/>
        <v>1000</v>
      </c>
      <c r="U87" s="67">
        <f t="shared" ca="1" si="18"/>
        <v>1000</v>
      </c>
      <c r="V87" s="67">
        <f t="shared" ca="1" si="18"/>
        <v>1000</v>
      </c>
      <c r="W87" s="67">
        <f t="shared" ca="1" si="18"/>
        <v>1000</v>
      </c>
      <c r="X87" s="67">
        <f t="shared" ca="1" si="18"/>
        <v>1000</v>
      </c>
      <c r="Y87" s="67">
        <f t="shared" ca="1" si="18"/>
        <v>1000</v>
      </c>
      <c r="Z87" s="67">
        <f t="shared" ca="1" si="18"/>
        <v>1000</v>
      </c>
      <c r="AA87" s="67">
        <f t="shared" ca="1" si="18"/>
        <v>1000</v>
      </c>
      <c r="AB87" s="67">
        <f t="shared" ca="1" si="18"/>
        <v>1000</v>
      </c>
      <c r="AC87" s="67">
        <f t="shared" ca="1" si="18"/>
        <v>1180.8063198715245</v>
      </c>
    </row>
    <row r="88" spans="1:29" x14ac:dyDescent="0.2">
      <c r="A88" t="s">
        <v>1676</v>
      </c>
      <c r="D88" s="67">
        <f ca="1">IFERROR(INDEX(Starlink!$D:$AC, MATCH("V2 BB sat CapEx ($mm)", Starlink!$A:$A, 0), 1) + INDEX(Starlink!$D:$AC, MATCH("V2 BB facility CapEx ($mm)", Starlink!$A:$A, 0), 1), 0)</f>
        <v>1116.3912500000001</v>
      </c>
      <c r="E88" s="67">
        <f ca="1">D50</f>
        <v>0</v>
      </c>
      <c r="F88" s="67">
        <f t="shared" ref="F88:AC88" ca="1" si="19">E50</f>
        <v>0</v>
      </c>
      <c r="G88" s="67">
        <f t="shared" ca="1" si="19"/>
        <v>0</v>
      </c>
      <c r="H88" s="67">
        <f t="shared" ca="1" si="19"/>
        <v>0</v>
      </c>
      <c r="I88" s="67">
        <f t="shared" ca="1" si="19"/>
        <v>0</v>
      </c>
      <c r="J88" s="67">
        <f t="shared" ca="1" si="19"/>
        <v>0</v>
      </c>
      <c r="K88" s="67">
        <f t="shared" ca="1" si="19"/>
        <v>0</v>
      </c>
      <c r="L88" s="67">
        <f t="shared" ca="1" si="19"/>
        <v>0</v>
      </c>
      <c r="M88" s="67">
        <f t="shared" ca="1" si="19"/>
        <v>0</v>
      </c>
      <c r="N88" s="67">
        <f t="shared" ca="1" si="19"/>
        <v>0</v>
      </c>
      <c r="O88" s="67">
        <f t="shared" ca="1" si="19"/>
        <v>0</v>
      </c>
      <c r="P88" s="67">
        <f t="shared" ca="1" si="19"/>
        <v>0</v>
      </c>
      <c r="Q88" s="67">
        <f t="shared" ca="1" si="19"/>
        <v>0</v>
      </c>
      <c r="R88" s="67">
        <f t="shared" ca="1" si="19"/>
        <v>0</v>
      </c>
      <c r="S88" s="67">
        <f t="shared" ca="1" si="19"/>
        <v>0</v>
      </c>
      <c r="T88" s="67">
        <f t="shared" ca="1" si="19"/>
        <v>0</v>
      </c>
      <c r="U88" s="67">
        <f t="shared" ca="1" si="19"/>
        <v>0</v>
      </c>
      <c r="V88" s="67">
        <f t="shared" ca="1" si="19"/>
        <v>0</v>
      </c>
      <c r="W88" s="67">
        <f t="shared" ca="1" si="19"/>
        <v>0</v>
      </c>
      <c r="X88" s="67">
        <f t="shared" ca="1" si="19"/>
        <v>0</v>
      </c>
      <c r="Y88" s="67">
        <f t="shared" ca="1" si="19"/>
        <v>0</v>
      </c>
      <c r="Z88" s="67">
        <f t="shared" ca="1" si="19"/>
        <v>0</v>
      </c>
      <c r="AA88" s="67">
        <f t="shared" ca="1" si="19"/>
        <v>0</v>
      </c>
      <c r="AB88" s="67">
        <f t="shared" ca="1" si="19"/>
        <v>0</v>
      </c>
      <c r="AC88" s="67">
        <f t="shared" ca="1" si="19"/>
        <v>0</v>
      </c>
    </row>
    <row r="89" spans="1:29" x14ac:dyDescent="0.2">
      <c r="A89" t="s">
        <v>1677</v>
      </c>
      <c r="D89" s="67">
        <f ca="1">IFERROR(INDEX(Starlink!$D:$AC, MATCH("V2 DTC sat CapEx ($mm)", Starlink!$A:$A, 0), 1) + INDEX(Starlink!$D:$AC, MATCH("V2 DTC facility CapEx ($mm)", Starlink!$A:$A, 0), 1), 0)</f>
        <v>68.022500000000008</v>
      </c>
      <c r="E89" s="67">
        <f ca="1">D55</f>
        <v>0</v>
      </c>
      <c r="F89" s="67">
        <f t="shared" ref="F89:AC89" ca="1" si="20">E55</f>
        <v>0</v>
      </c>
      <c r="G89" s="67">
        <f t="shared" ca="1" si="20"/>
        <v>0</v>
      </c>
      <c r="H89" s="67">
        <f t="shared" ca="1" si="20"/>
        <v>0</v>
      </c>
      <c r="I89" s="67">
        <f t="shared" ca="1" si="20"/>
        <v>0</v>
      </c>
      <c r="J89" s="67">
        <f t="shared" ca="1" si="20"/>
        <v>0</v>
      </c>
      <c r="K89" s="67">
        <f t="shared" ca="1" si="20"/>
        <v>0</v>
      </c>
      <c r="L89" s="67">
        <f t="shared" ca="1" si="20"/>
        <v>0</v>
      </c>
      <c r="M89" s="67">
        <f t="shared" ca="1" si="20"/>
        <v>0</v>
      </c>
      <c r="N89" s="67">
        <f t="shared" ca="1" si="20"/>
        <v>0</v>
      </c>
      <c r="O89" s="67">
        <f t="shared" ca="1" si="20"/>
        <v>0</v>
      </c>
      <c r="P89" s="67">
        <f t="shared" ca="1" si="20"/>
        <v>0</v>
      </c>
      <c r="Q89" s="67">
        <f t="shared" ca="1" si="20"/>
        <v>0</v>
      </c>
      <c r="R89" s="67">
        <f t="shared" ca="1" si="20"/>
        <v>0</v>
      </c>
      <c r="S89" s="67">
        <f t="shared" ca="1" si="20"/>
        <v>0</v>
      </c>
      <c r="T89" s="67">
        <f t="shared" ca="1" si="20"/>
        <v>0</v>
      </c>
      <c r="U89" s="67">
        <f t="shared" ca="1" si="20"/>
        <v>0</v>
      </c>
      <c r="V89" s="67">
        <f t="shared" ca="1" si="20"/>
        <v>0</v>
      </c>
      <c r="W89" s="67">
        <f t="shared" ca="1" si="20"/>
        <v>0</v>
      </c>
      <c r="X89" s="67">
        <f t="shared" ca="1" si="20"/>
        <v>0</v>
      </c>
      <c r="Y89" s="67">
        <f t="shared" ca="1" si="20"/>
        <v>0</v>
      </c>
      <c r="Z89" s="67">
        <f t="shared" ca="1" si="20"/>
        <v>0</v>
      </c>
      <c r="AA89" s="67">
        <f t="shared" ca="1" si="20"/>
        <v>0</v>
      </c>
      <c r="AB89" s="67">
        <f t="shared" ca="1" si="20"/>
        <v>0</v>
      </c>
      <c r="AC89" s="67">
        <f t="shared" ca="1" si="20"/>
        <v>0</v>
      </c>
    </row>
    <row r="90" spans="1:29" x14ac:dyDescent="0.2">
      <c r="A90" t="s">
        <v>1678</v>
      </c>
      <c r="D90" s="67">
        <f ca="1">IFERROR(INDEX(Starlink!$D:$AC, MATCH("V3 BB facility CapEx ($mm)", Starlink!$A:$A, 0), 1), 0)</f>
        <v>0</v>
      </c>
      <c r="E90" s="67">
        <f ca="1">D60</f>
        <v>0</v>
      </c>
      <c r="F90" s="67">
        <f t="shared" ref="F90:AC90" ca="1" si="21">E60</f>
        <v>0</v>
      </c>
      <c r="G90" s="67">
        <f t="shared" ca="1" si="21"/>
        <v>0</v>
      </c>
      <c r="H90" s="67">
        <f t="shared" ca="1" si="21"/>
        <v>0</v>
      </c>
      <c r="I90" s="67">
        <f t="shared" ca="1" si="21"/>
        <v>0</v>
      </c>
      <c r="J90" s="67">
        <f t="shared" ca="1" si="21"/>
        <v>0</v>
      </c>
      <c r="K90" s="67">
        <f t="shared" ca="1" si="21"/>
        <v>0</v>
      </c>
      <c r="L90" s="67">
        <f t="shared" ca="1" si="21"/>
        <v>0</v>
      </c>
      <c r="M90" s="67">
        <f t="shared" ca="1" si="21"/>
        <v>0</v>
      </c>
      <c r="N90" s="67">
        <f t="shared" ca="1" si="21"/>
        <v>0</v>
      </c>
      <c r="O90" s="67">
        <f t="shared" ca="1" si="21"/>
        <v>0</v>
      </c>
      <c r="P90" s="67">
        <f t="shared" ca="1" si="21"/>
        <v>0</v>
      </c>
      <c r="Q90" s="67">
        <f t="shared" ca="1" si="21"/>
        <v>0</v>
      </c>
      <c r="R90" s="67">
        <f t="shared" ca="1" si="21"/>
        <v>0</v>
      </c>
      <c r="S90" s="67">
        <f t="shared" ca="1" si="21"/>
        <v>0</v>
      </c>
      <c r="T90" s="67">
        <f t="shared" ca="1" si="21"/>
        <v>0</v>
      </c>
      <c r="U90" s="67">
        <f t="shared" ca="1" si="21"/>
        <v>0</v>
      </c>
      <c r="V90" s="67">
        <f t="shared" ca="1" si="21"/>
        <v>0</v>
      </c>
      <c r="W90" s="67">
        <f t="shared" ca="1" si="21"/>
        <v>0</v>
      </c>
      <c r="X90" s="67">
        <f t="shared" ca="1" si="21"/>
        <v>0</v>
      </c>
      <c r="Y90" s="67">
        <f t="shared" ca="1" si="21"/>
        <v>0</v>
      </c>
      <c r="Z90" s="67">
        <f t="shared" ca="1" si="21"/>
        <v>0</v>
      </c>
      <c r="AA90" s="67">
        <f t="shared" ca="1" si="21"/>
        <v>0</v>
      </c>
      <c r="AB90" s="67">
        <f t="shared" ca="1" si="21"/>
        <v>0</v>
      </c>
      <c r="AC90" s="67">
        <f t="shared" ca="1" si="21"/>
        <v>0</v>
      </c>
    </row>
    <row r="91" spans="1:29" x14ac:dyDescent="0.2">
      <c r="A91" t="s">
        <v>1679</v>
      </c>
      <c r="D91" s="67">
        <f ca="1">IFERROR(INDEX(Starlink!$D:$AC, MATCH("V3 DTC facility CapEx ($mm)", Starlink!$A:$A, 0), 1), 0)</f>
        <v>0</v>
      </c>
      <c r="E91" s="67">
        <f ca="1">D65</f>
        <v>0</v>
      </c>
      <c r="F91" s="67">
        <f t="shared" ref="F91:AC91" ca="1" si="22">E65</f>
        <v>0</v>
      </c>
      <c r="G91" s="67">
        <f t="shared" ca="1" si="22"/>
        <v>0</v>
      </c>
      <c r="H91" s="67">
        <f t="shared" ca="1" si="22"/>
        <v>0</v>
      </c>
      <c r="I91" s="67">
        <f t="shared" ca="1" si="22"/>
        <v>0</v>
      </c>
      <c r="J91" s="67">
        <f t="shared" ca="1" si="22"/>
        <v>0</v>
      </c>
      <c r="K91" s="67">
        <f t="shared" ca="1" si="22"/>
        <v>0</v>
      </c>
      <c r="L91" s="67">
        <f t="shared" ca="1" si="22"/>
        <v>0</v>
      </c>
      <c r="M91" s="67">
        <f t="shared" ca="1" si="22"/>
        <v>0</v>
      </c>
      <c r="N91" s="67">
        <f t="shared" ca="1" si="22"/>
        <v>0</v>
      </c>
      <c r="O91" s="67">
        <f t="shared" ca="1" si="22"/>
        <v>0</v>
      </c>
      <c r="P91" s="67">
        <f t="shared" ca="1" si="22"/>
        <v>0</v>
      </c>
      <c r="Q91" s="67">
        <f t="shared" ca="1" si="22"/>
        <v>0</v>
      </c>
      <c r="R91" s="67">
        <f t="shared" ca="1" si="22"/>
        <v>0</v>
      </c>
      <c r="S91" s="67">
        <f t="shared" ca="1" si="22"/>
        <v>0</v>
      </c>
      <c r="T91" s="67">
        <f t="shared" ca="1" si="22"/>
        <v>0</v>
      </c>
      <c r="U91" s="67">
        <f t="shared" ca="1" si="22"/>
        <v>0</v>
      </c>
      <c r="V91" s="67">
        <f t="shared" ca="1" si="22"/>
        <v>0</v>
      </c>
      <c r="W91" s="67">
        <f t="shared" ca="1" si="22"/>
        <v>0</v>
      </c>
      <c r="X91" s="67">
        <f t="shared" ca="1" si="22"/>
        <v>0</v>
      </c>
      <c r="Y91" s="67">
        <f t="shared" ca="1" si="22"/>
        <v>0</v>
      </c>
      <c r="Z91" s="67">
        <f t="shared" ca="1" si="22"/>
        <v>0</v>
      </c>
      <c r="AA91" s="67">
        <f t="shared" ca="1" si="22"/>
        <v>0</v>
      </c>
      <c r="AB91" s="67">
        <f t="shared" ca="1" si="22"/>
        <v>0</v>
      </c>
      <c r="AC91" s="67">
        <f t="shared" ca="1" si="22"/>
        <v>0</v>
      </c>
    </row>
    <row r="93" spans="1:29" x14ac:dyDescent="0.2">
      <c r="A93" s="13" t="s">
        <v>579</v>
      </c>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x14ac:dyDescent="0.2">
      <c r="A94" t="s">
        <v>1470</v>
      </c>
      <c r="D94" s="67" cm="1">
        <f t="array" aca="1" ref="D94" ca="1">IFERROR(INDEX('Launch Capacity'!$D:$AC, MATCH("Total Annual Capacity (kg-to-LEO)", 'Launch Capacity'!$A:$A, 0), D$5+1), 0)</f>
        <v>242.05560740075455</v>
      </c>
      <c r="E94" s="67" cm="1">
        <f t="array" aca="1" ref="E94" ca="1">IFERROR(INDEX('Launch Capacity'!$D:$AC, MATCH("Total Annual Capacity (kg-to-LEO)", 'Launch Capacity'!$A:$A, 0), E$5+1), 0)</f>
        <v>138407.53589217493</v>
      </c>
      <c r="F94" s="67" cm="1">
        <f t="array" aca="1" ref="F94" ca="1">IFERROR(INDEX('Launch Capacity'!$D:$AC, MATCH("Total Annual Capacity (kg-to-LEO)", 'Launch Capacity'!$A:$A, 0), F$5+1), 0)</f>
        <v>232172.86773745186</v>
      </c>
      <c r="G94" s="67" cm="1">
        <f t="array" aca="1" ref="G94" ca="1">IFERROR(INDEX('Launch Capacity'!$D:$AC, MATCH("Total Annual Capacity (kg-to-LEO)", 'Launch Capacity'!$A:$A, 0), G$5+1), 0)</f>
        <v>423134.28148913663</v>
      </c>
      <c r="H94" s="67" cm="1">
        <f t="array" aca="1" ref="H94" ca="1">IFERROR(INDEX('Launch Capacity'!$D:$AC, MATCH("Total Annual Capacity (kg-to-LEO)", 'Launch Capacity'!$A:$A, 0), H$5+1), 0)</f>
        <v>665049.24496605981</v>
      </c>
      <c r="I94" s="67" cm="1">
        <f t="array" aca="1" ref="I94" ca="1">IFERROR(INDEX('Launch Capacity'!$D:$AC, MATCH("Total Annual Capacity (kg-to-LEO)", 'Launch Capacity'!$A:$A, 0), I$5+1), 0)</f>
        <v>1155020.150754624</v>
      </c>
      <c r="J94" s="67" cm="1">
        <f t="array" aca="1" ref="J94" ca="1">IFERROR(INDEX('Launch Capacity'!$D:$AC, MATCH("Total Annual Capacity (kg-to-LEO)", 'Launch Capacity'!$A:$A, 0), J$5+1), 0)</f>
        <v>1578855.7733065963</v>
      </c>
      <c r="K94" s="67" cm="1">
        <f t="array" aca="1" ref="K94" ca="1">IFERROR(INDEX('Launch Capacity'!$D:$AC, MATCH("Total Annual Capacity (kg-to-LEO)", 'Launch Capacity'!$A:$A, 0), K$5+1), 0)</f>
        <v>1644199.4179229192</v>
      </c>
      <c r="L94" s="67" cm="1">
        <f t="array" aca="1" ref="L94" ca="1">IFERROR(INDEX('Launch Capacity'!$D:$AC, MATCH("Total Annual Capacity (kg-to-LEO)", 'Launch Capacity'!$A:$A, 0), L$5+1), 0)</f>
        <v>3760146.1456427388</v>
      </c>
      <c r="M94" s="67" cm="1">
        <f t="array" aca="1" ref="M94" ca="1">IFERROR(INDEX('Launch Capacity'!$D:$AC, MATCH("Total Annual Capacity (kg-to-LEO)", 'Launch Capacity'!$A:$A, 0), M$5+1), 0)</f>
        <v>1974432.3048974934</v>
      </c>
      <c r="N94" s="67" cm="1">
        <f t="array" aca="1" ref="N94" ca="1">IFERROR(INDEX('Launch Capacity'!$D:$AC, MATCH("Total Annual Capacity (kg-to-LEO)", 'Launch Capacity'!$A:$A, 0), N$5+1), 0)</f>
        <v>5002826.816693252</v>
      </c>
      <c r="O94" s="67" cm="1">
        <f t="array" aca="1" ref="O94" ca="1">IFERROR(INDEX('Launch Capacity'!$D:$AC, MATCH("Total Annual Capacity (kg-to-LEO)", 'Launch Capacity'!$A:$A, 0), O$5+1), 0)</f>
        <v>6088290.9280479504</v>
      </c>
      <c r="P94" s="67" cm="1">
        <f t="array" aca="1" ref="P94" ca="1">IFERROR(INDEX('Launch Capacity'!$D:$AC, MATCH("Total Annual Capacity (kg-to-LEO)", 'Launch Capacity'!$A:$A, 0), P$5+1), 0)</f>
        <v>2432227.2387335724</v>
      </c>
      <c r="Q94" s="67" cm="1">
        <f t="array" aca="1" ref="Q94" ca="1">IFERROR(INDEX('Launch Capacity'!$D:$AC, MATCH("Total Annual Capacity (kg-to-LEO)", 'Launch Capacity'!$A:$A, 0), Q$5+1), 0)</f>
        <v>11502718.1572091</v>
      </c>
      <c r="R94" s="67" cm="1">
        <f t="array" aca="1" ref="R94" ca="1">IFERROR(INDEX('Launch Capacity'!$D:$AC, MATCH("Total Annual Capacity (kg-to-LEO)", 'Launch Capacity'!$A:$A, 0), R$5+1), 0)</f>
        <v>3272512.0032541063</v>
      </c>
      <c r="S94" s="67" cm="1">
        <f t="array" aca="1" ref="S94" ca="1">IFERROR(INDEX('Launch Capacity'!$D:$AC, MATCH("Total Annual Capacity (kg-to-LEO)", 'Launch Capacity'!$A:$A, 0), S$5+1), 0)</f>
        <v>8683234.4933169354</v>
      </c>
      <c r="T94" s="67" cm="1">
        <f t="array" aca="1" ref="T94" ca="1">IFERROR(INDEX('Launch Capacity'!$D:$AC, MATCH("Total Annual Capacity (kg-to-LEO)", 'Launch Capacity'!$A:$A, 0), T$5+1), 0)</f>
        <v>15414203.638301549</v>
      </c>
      <c r="U94" s="67" cm="1">
        <f t="array" aca="1" ref="U94" ca="1">IFERROR(INDEX('Launch Capacity'!$D:$AC, MATCH("Total Annual Capacity (kg-to-LEO)", 'Launch Capacity'!$A:$A, 0), U$5+1), 0)</f>
        <v>3192866.433320045</v>
      </c>
      <c r="V94" s="67" cm="1">
        <f t="array" aca="1" ref="V94" ca="1">IFERROR(INDEX('Launch Capacity'!$D:$AC, MATCH("Total Annual Capacity (kg-to-LEO)", 'Launch Capacity'!$A:$A, 0), V$5+1), 0)</f>
        <v>22844934.074447524</v>
      </c>
      <c r="W94" s="67" cm="1">
        <f t="array" aca="1" ref="W94" ca="1">IFERROR(INDEX('Launch Capacity'!$D:$AC, MATCH("Total Annual Capacity (kg-to-LEO)", 'Launch Capacity'!$A:$A, 0), W$5+1), 0)</f>
        <v>5407115.5079087652</v>
      </c>
      <c r="X94" s="67" cm="1">
        <f t="array" aca="1" ref="X94" ca="1">IFERROR(INDEX('Launch Capacity'!$D:$AC, MATCH("Total Annual Capacity (kg-to-LEO)", 'Launch Capacity'!$A:$A, 0), X$5+1), 0)</f>
        <v>6416915.8774405876</v>
      </c>
      <c r="Y94" s="67" cm="1">
        <f t="array" aca="1" ref="Y94" ca="1">IFERROR(INDEX('Launch Capacity'!$D:$AC, MATCH("Total Annual Capacity (kg-to-LEO)", 'Launch Capacity'!$A:$A, 0), Y$5+1), 0)</f>
        <v>31168198.416217029</v>
      </c>
      <c r="Z94" s="67" cm="1">
        <f t="array" aca="1" ref="Z94" ca="1">IFERROR(INDEX('Launch Capacity'!$D:$AC, MATCH("Total Annual Capacity (kg-to-LEO)", 'Launch Capacity'!$A:$A, 0), Z$5+1), 0)</f>
        <v>4127248.9400326586</v>
      </c>
      <c r="AA94" s="67" cm="1">
        <f t="array" aca="1" ref="AA94" ca="1">IFERROR(INDEX('Launch Capacity'!$D:$AC, MATCH("Total Annual Capacity (kg-to-LEO)", 'Launch Capacity'!$A:$A, 0), AA$5+1), 0)</f>
        <v>37192737.972736612</v>
      </c>
      <c r="AB94" s="67" cm="1">
        <f t="array" aca="1" ref="AB94" ca="1">IFERROR(INDEX('Launch Capacity'!$D:$AC, MATCH("Total Annual Capacity (kg-to-LEO)", 'Launch Capacity'!$A:$A, 0), AB$5+1), 0)</f>
        <v>9158664.1331653539</v>
      </c>
      <c r="AC94" s="67" cm="1">
        <f t="array" aca="1" ref="AC94" ca="1">IFERROR(INDEX('Launch Capacity'!$D:$AC, MATCH("Total Annual Capacity (kg-to-LEO)", 'Launch Capacity'!$A:$A, 0), AC$5+1), 0)</f>
        <v>5026680.7159921201</v>
      </c>
    </row>
    <row r="95" spans="1:29" x14ac:dyDescent="0.2">
      <c r="A95" t="s">
        <v>1471</v>
      </c>
      <c r="D95" s="67" cm="1">
        <f t="array" aca="1" ref="D95" ca="1">IFERROR(INDEX('Lunar Mars'!$D:$AC, MATCH("Capacity Demand (kg-to-LEO)", 'Lunar Mars'!$A:$A, 0), D$5+1), 0)</f>
        <v>0</v>
      </c>
      <c r="E95" s="67" cm="1">
        <f t="array" aca="1" ref="E95" ca="1">IFERROR(INDEX('Lunar Mars'!$D:$AC, MATCH("Capacity Demand (kg-to-LEO)", 'Lunar Mars'!$A:$A, 0), E$5+1), 0)</f>
        <v>0</v>
      </c>
      <c r="F95" s="67" cm="1">
        <f t="array" aca="1" ref="F95" ca="1">IFERROR(INDEX('Lunar Mars'!$D:$AC, MATCH("Capacity Demand (kg-to-LEO)", 'Lunar Mars'!$A:$A, 0), F$5+1), 0)</f>
        <v>0</v>
      </c>
      <c r="G95" s="67" cm="1">
        <f t="array" aca="1" ref="G95" ca="1">IFERROR(INDEX('Lunar Mars'!$D:$AC, MATCH("Capacity Demand (kg-to-LEO)", 'Lunar Mars'!$A:$A, 0), G$5+1), 0)</f>
        <v>3326909.6657904722</v>
      </c>
      <c r="H95" s="67" cm="1">
        <f t="array" aca="1" ref="H95" ca="1">IFERROR(INDEX('Lunar Mars'!$D:$AC, MATCH("Capacity Demand (kg-to-LEO)", 'Lunar Mars'!$A:$A, 0), H$5+1), 0)</f>
        <v>3404225.1238186788</v>
      </c>
      <c r="I95" s="67" cm="1">
        <f t="array" aca="1" ref="I95" ca="1">IFERROR(INDEX('Lunar Mars'!$D:$AC, MATCH("Capacity Demand (kg-to-LEO)", 'Lunar Mars'!$A:$A, 0), I$5+1), 0)</f>
        <v>3482414.5337390373</v>
      </c>
      <c r="J95" s="67" cm="1">
        <f t="array" aca="1" ref="J95" ca="1">IFERROR(INDEX('Lunar Mars'!$D:$AC, MATCH("Capacity Demand (kg-to-LEO)", 'Lunar Mars'!$A:$A, 0), J$5+1), 0)</f>
        <v>3572722.9582877513</v>
      </c>
      <c r="K95" s="67" cm="1">
        <f t="array" aca="1" ref="K95" ca="1">IFERROR(INDEX('Lunar Mars'!$D:$AC, MATCH("Capacity Demand (kg-to-LEO)", 'Lunar Mars'!$A:$A, 0), K$5+1), 0)</f>
        <v>3664111.4884932735</v>
      </c>
      <c r="L95" s="67" cm="1">
        <f t="array" aca="1" ref="L95" ca="1">IFERROR(INDEX('Lunar Mars'!$D:$AC, MATCH("Capacity Demand (kg-to-LEO)", 'Lunar Mars'!$A:$A, 0), L$5+1), 0)</f>
        <v>3756374.0929118125</v>
      </c>
      <c r="M95" s="67" cm="1">
        <f t="array" aca="1" ref="M95" ca="1">IFERROR(INDEX('Lunar Mars'!$D:$AC, MATCH("Capacity Demand (kg-to-LEO)", 'Lunar Mars'!$A:$A, 0), M$5+1), 0)</f>
        <v>3849276.3403376373</v>
      </c>
      <c r="N95" s="67" cm="1">
        <f t="array" aca="1" ref="N95" ca="1">IFERROR(INDEX('Lunar Mars'!$D:$AC, MATCH("Capacity Demand (kg-to-LEO)", 'Lunar Mars'!$A:$A, 0), N$5+1), 0)</f>
        <v>3942554.1316836067</v>
      </c>
      <c r="O95" s="67" cm="1">
        <f t="array" aca="1" ref="O95" ca="1">IFERROR(INDEX('Lunar Mars'!$D:$AC, MATCH("Capacity Demand (kg-to-LEO)", 'Lunar Mars'!$A:$A, 0), O$5+1), 0)</f>
        <v>3977503.8745412761</v>
      </c>
      <c r="P95" s="67" cm="1">
        <f t="array" aca="1" ref="P95" ca="1">IFERROR(INDEX('Lunar Mars'!$D:$AC, MATCH("Capacity Demand (kg-to-LEO)", 'Lunar Mars'!$A:$A, 0), P$5+1), 0)</f>
        <v>4012072.1556890355</v>
      </c>
      <c r="Q95" s="67" cm="1">
        <f t="array" aca="1" ref="Q95" ca="1">IFERROR(INDEX('Lunar Mars'!$D:$AC, MATCH("Capacity Demand (kg-to-LEO)", 'Lunar Mars'!$A:$A, 0), Q$5+1), 0)</f>
        <v>4046219.2893405715</v>
      </c>
      <c r="R95" s="67" cm="1">
        <f t="array" aca="1" ref="R95" ca="1">IFERROR(INDEX('Lunar Mars'!$D:$AC, MATCH("Capacity Demand (kg-to-LEO)", 'Lunar Mars'!$A:$A, 0), R$5+1), 0)</f>
        <v>4079908.5802376084</v>
      </c>
      <c r="S95" s="67" cm="1">
        <f t="array" aca="1" ref="S95" ca="1">IFERROR(INDEX('Lunar Mars'!$D:$AC, MATCH("Capacity Demand (kg-to-LEO)", 'Lunar Mars'!$A:$A, 0), S$5+1), 0)</f>
        <v>4113102.6357317055</v>
      </c>
      <c r="T95" s="67" cm="1">
        <f t="array" aca="1" ref="T95" ca="1">IFERROR(INDEX('Lunar Mars'!$D:$AC, MATCH("Capacity Demand (kg-to-LEO)", 'Lunar Mars'!$A:$A, 0), T$5+1), 0)</f>
        <v>4145760.0160535835</v>
      </c>
      <c r="U95" s="67" cm="1">
        <f t="array" aca="1" ref="U95" ca="1">IFERROR(INDEX('Lunar Mars'!$D:$AC, MATCH("Capacity Demand (kg-to-LEO)", 'Lunar Mars'!$A:$A, 0), U$5+1), 0)</f>
        <v>4177842.3380771549</v>
      </c>
      <c r="V95" s="67" cm="1">
        <f t="array" aca="1" ref="V95" ca="1">IFERROR(INDEX('Lunar Mars'!$D:$AC, MATCH("Capacity Demand (kg-to-LEO)", 'Lunar Mars'!$A:$A, 0), V$5+1), 0)</f>
        <v>4209310.7527944883</v>
      </c>
      <c r="W95" s="67" cm="1">
        <f t="array" aca="1" ref="W95" ca="1">IFERROR(INDEX('Lunar Mars'!$D:$AC, MATCH("Capacity Demand (kg-to-LEO)", 'Lunar Mars'!$A:$A, 0), W$5+1), 0)</f>
        <v>4240122.8393316511</v>
      </c>
      <c r="X95" s="67" cm="1">
        <f t="array" aca="1" ref="X95" ca="1">IFERROR(INDEX('Lunar Mars'!$D:$AC, MATCH("Capacity Demand (kg-to-LEO)", 'Lunar Mars'!$A:$A, 0), X$5+1), 0)</f>
        <v>4270239.3168777013</v>
      </c>
      <c r="Y95" s="67" cm="1">
        <f t="array" aca="1" ref="Y95" ca="1">IFERROR(INDEX('Lunar Mars'!$D:$AC, MATCH("Capacity Demand (kg-to-LEO)", 'Lunar Mars'!$A:$A, 0), Y$5+1), 0)</f>
        <v>4299620.7250806373</v>
      </c>
      <c r="Z95" s="67" cm="1">
        <f t="array" aca="1" ref="Z95" ca="1">IFERROR(INDEX('Lunar Mars'!$D:$AC, MATCH("Capacity Demand (kg-to-LEO)", 'Lunar Mars'!$A:$A, 0), Z$5+1), 0)</f>
        <v>4328224.600711246</v>
      </c>
      <c r="AA95" s="67" cm="1">
        <f t="array" aca="1" ref="AA95" ca="1">IFERROR(INDEX('Lunar Mars'!$D:$AC, MATCH("Capacity Demand (kg-to-LEO)", 'Lunar Mars'!$A:$A, 0), AA$5+1), 0)</f>
        <v>4356011.7147960393</v>
      </c>
      <c r="AB95" s="67" cm="1">
        <f t="array" aca="1" ref="AB95" ca="1">IFERROR(INDEX('Lunar Mars'!$D:$AC, MATCH("Capacity Demand (kg-to-LEO)", 'Lunar Mars'!$A:$A, 0), AB$5+1), 0)</f>
        <v>4862776.2526990287</v>
      </c>
      <c r="AC95" s="67" cm="1">
        <f t="array" aca="1" ref="AC95" ca="1">IFERROR(INDEX('Lunar Mars'!$D:$AC, MATCH("Capacity Demand (kg-to-LEO)", 'Lunar Mars'!$A:$A, 0), AC$5+1), 0)</f>
        <v>4408977.0127464868</v>
      </c>
    </row>
    <row r="96" spans="1:29" x14ac:dyDescent="0.2">
      <c r="A96" t="s">
        <v>1472</v>
      </c>
      <c r="D96" s="67">
        <f ca="1">MAX(0, D94 - D95)</f>
        <v>242.05560740075455</v>
      </c>
      <c r="E96" s="67">
        <f t="shared" ref="E96:AC96" ca="1" si="23">MAX(0, E94 - E95)</f>
        <v>138407.53589217493</v>
      </c>
      <c r="F96" s="67">
        <f t="shared" ca="1" si="23"/>
        <v>232172.86773745186</v>
      </c>
      <c r="G96" s="67">
        <f t="shared" ca="1" si="23"/>
        <v>0</v>
      </c>
      <c r="H96" s="67">
        <f t="shared" ca="1" si="23"/>
        <v>0</v>
      </c>
      <c r="I96" s="67">
        <f t="shared" ca="1" si="23"/>
        <v>0</v>
      </c>
      <c r="J96" s="67">
        <f t="shared" ca="1" si="23"/>
        <v>0</v>
      </c>
      <c r="K96" s="67">
        <f t="shared" ca="1" si="23"/>
        <v>0</v>
      </c>
      <c r="L96" s="67">
        <f t="shared" ca="1" si="23"/>
        <v>3772.0527309263125</v>
      </c>
      <c r="M96" s="67">
        <f t="shared" ca="1" si="23"/>
        <v>0</v>
      </c>
      <c r="N96" s="67">
        <f t="shared" ca="1" si="23"/>
        <v>1060272.6850096453</v>
      </c>
      <c r="O96" s="67">
        <f t="shared" ca="1" si="23"/>
        <v>2110787.0535066742</v>
      </c>
      <c r="P96" s="67">
        <f t="shared" ca="1" si="23"/>
        <v>0</v>
      </c>
      <c r="Q96" s="67">
        <f t="shared" ca="1" si="23"/>
        <v>7456498.8678685287</v>
      </c>
      <c r="R96" s="67">
        <f t="shared" ca="1" si="23"/>
        <v>0</v>
      </c>
      <c r="S96" s="67">
        <f t="shared" ca="1" si="23"/>
        <v>4570131.8575852299</v>
      </c>
      <c r="T96" s="67">
        <f t="shared" ca="1" si="23"/>
        <v>11268443.622247966</v>
      </c>
      <c r="U96" s="67">
        <f t="shared" ca="1" si="23"/>
        <v>0</v>
      </c>
      <c r="V96" s="67">
        <f t="shared" ca="1" si="23"/>
        <v>18635623.321653035</v>
      </c>
      <c r="W96" s="67">
        <f t="shared" ca="1" si="23"/>
        <v>1166992.6685771141</v>
      </c>
      <c r="X96" s="67">
        <f t="shared" ca="1" si="23"/>
        <v>2146676.5605628863</v>
      </c>
      <c r="Y96" s="67">
        <f t="shared" ca="1" si="23"/>
        <v>26868577.69113639</v>
      </c>
      <c r="Z96" s="67">
        <f t="shared" ca="1" si="23"/>
        <v>0</v>
      </c>
      <c r="AA96" s="67">
        <f t="shared" ca="1" si="23"/>
        <v>32836726.257940572</v>
      </c>
      <c r="AB96" s="67">
        <f t="shared" ca="1" si="23"/>
        <v>4295887.8804663252</v>
      </c>
      <c r="AC96" s="67">
        <f t="shared" ca="1" si="23"/>
        <v>617703.70324563328</v>
      </c>
    </row>
    <row r="98" spans="1:29" x14ac:dyDescent="0.2">
      <c r="A98" s="18" t="s">
        <v>1680</v>
      </c>
    </row>
    <row r="99" spans="1:29" x14ac:dyDescent="0.2">
      <c r="A99" t="s">
        <v>1454</v>
      </c>
      <c r="D99" s="17" cm="1">
        <f t="array" aca="1" ref="D99" ca="1">IFERROR(INDEX('Customer Launch'!$D:$AC, MATCH("Blended IRR", 'Customer Launch'!$A:$A, 0), D$5+1), 0)</f>
        <v>2.6729609938732311</v>
      </c>
      <c r="E99" s="17" cm="1">
        <f t="array" aca="1" ref="E99" ca="1">IFERROR(INDEX('Customer Launch'!$D:$AC, MATCH("Blended IRR", 'Customer Launch'!$A:$A, 0), E$5+1), 0)</f>
        <v>2.5531328578014794</v>
      </c>
      <c r="F99" s="17" cm="1">
        <f t="array" aca="1" ref="F99" ca="1">IFERROR(INDEX('Customer Launch'!$D:$AC, MATCH("Blended IRR", 'Customer Launch'!$A:$A, 0), F$5+1), 0)</f>
        <v>2.385410366781537</v>
      </c>
      <c r="G99" s="17" cm="1">
        <f t="array" aca="1" ref="G99" ca="1">IFERROR(INDEX('Customer Launch'!$D:$AC, MATCH("Blended IRR", 'Customer Launch'!$A:$A, 0), G$5+1), 0)</f>
        <v>2.2397200506051984</v>
      </c>
      <c r="H99" s="17" cm="1">
        <f t="array" aca="1" ref="H99" ca="1">IFERROR(INDEX('Customer Launch'!$D:$AC, MATCH("Blended IRR", 'Customer Launch'!$A:$A, 0), H$5+1), 0)</f>
        <v>2.1144672296581288</v>
      </c>
      <c r="I99" s="17" cm="1">
        <f t="array" aca="1" ref="I99" ca="1">IFERROR(INDEX('Customer Launch'!$D:$AC, MATCH("Blended IRR", 'Customer Launch'!$A:$A, 0), I$5+1), 0)</f>
        <v>1.8066340620968684</v>
      </c>
      <c r="J99" s="17" cm="1">
        <f t="array" aca="1" ref="J99" ca="1">IFERROR(INDEX('Customer Launch'!$D:$AC, MATCH("Blended IRR", 'Customer Launch'!$A:$A, 0), J$5+1), 0)</f>
        <v>1.8979413410835315</v>
      </c>
      <c r="K99" s="17" cm="1">
        <f t="array" aca="1" ref="K99" ca="1">IFERROR(INDEX('Customer Launch'!$D:$AC, MATCH("Blended IRR", 'Customer Launch'!$A:$A, 0), K$5+1), 0)</f>
        <v>1.4068518232209775</v>
      </c>
      <c r="L99" s="17" cm="1">
        <f t="array" aca="1" ref="L99" ca="1">IFERROR(INDEX('Customer Launch'!$D:$AC, MATCH("Blended IRR", 'Customer Launch'!$A:$A, 0), L$5+1), 0)</f>
        <v>1.1943528533349572</v>
      </c>
      <c r="M99" s="17" cm="1">
        <f t="array" aca="1" ref="M99" ca="1">IFERROR(INDEX('Customer Launch'!$D:$AC, MATCH("Blended IRR", 'Customer Launch'!$A:$A, 0), M$5+1), 0)</f>
        <v>1.5256964421579511</v>
      </c>
      <c r="N99" s="17" cm="1">
        <f t="array" aca="1" ref="N99" ca="1">IFERROR(INDEX('Customer Launch'!$D:$AC, MATCH("Blended IRR", 'Customer Launch'!$A:$A, 0), N$5+1), 0)</f>
        <v>0.44117181651968673</v>
      </c>
      <c r="O99" s="17" cm="1">
        <f t="array" aca="1" ref="O99" ca="1">IFERROR(INDEX('Customer Launch'!$D:$AC, MATCH("Blended IRR", 'Customer Launch'!$A:$A, 0), O$5+1), 0)</f>
        <v>1.4881756933046209</v>
      </c>
      <c r="P99" s="17" cm="1">
        <f t="array" aca="1" ref="P99" ca="1">IFERROR(INDEX('Customer Launch'!$D:$AC, MATCH("Blended IRR", 'Customer Launch'!$A:$A, 0), P$5+1), 0)</f>
        <v>0.23602864488235883</v>
      </c>
      <c r="Q99" s="17" cm="1">
        <f t="array" aca="1" ref="Q99" ca="1">IFERROR(INDEX('Customer Launch'!$D:$AC, MATCH("Blended IRR", 'Customer Launch'!$A:$A, 0), Q$5+1), 0)</f>
        <v>0.55206074836605967</v>
      </c>
      <c r="R99" s="17" cm="1">
        <f t="array" aca="1" ref="R99" ca="1">IFERROR(INDEX('Customer Launch'!$D:$AC, MATCH("Blended IRR", 'Customer Launch'!$A:$A, 0), R$5+1), 0)</f>
        <v>0.9988449968312334</v>
      </c>
      <c r="S99" s="17" cm="1">
        <f t="array" aca="1" ref="S99" ca="1">IFERROR(INDEX('Customer Launch'!$D:$AC, MATCH("Blended IRR", 'Customer Launch'!$A:$A, 0), S$5+1), 0)</f>
        <v>0.14857168812240409</v>
      </c>
      <c r="T99" s="17" cm="1">
        <f t="array" aca="1" ref="T99" ca="1">IFERROR(INDEX('Customer Launch'!$D:$AC, MATCH("Blended IRR", 'Customer Launch'!$A:$A, 0), T$5+1), 0)</f>
        <v>1.1328111362973075</v>
      </c>
      <c r="U99" s="17" cm="1">
        <f t="array" aca="1" ref="U99" ca="1">IFERROR(INDEX('Customer Launch'!$D:$AC, MATCH("Blended IRR", 'Customer Launch'!$A:$A, 0), U$5+1), 0)</f>
        <v>0.69061777500816091</v>
      </c>
      <c r="V99" s="17" cm="1">
        <f t="array" aca="1" ref="V99" ca="1">IFERROR(INDEX('Customer Launch'!$D:$AC, MATCH("Blended IRR", 'Customer Launch'!$A:$A, 0), V$5+1), 0)</f>
        <v>0.37055207039127175</v>
      </c>
      <c r="W99" s="17" cm="1">
        <f t="array" aca="1" ref="W99" ca="1">IFERROR(INDEX('Customer Launch'!$D:$AC, MATCH("Blended IRR", 'Customer Launch'!$A:$A, 0), W$5+1), 0)</f>
        <v>1.0270801831989065</v>
      </c>
      <c r="X99" s="17" cm="1">
        <f t="array" aca="1" ref="X99" ca="1">IFERROR(INDEX('Customer Launch'!$D:$AC, MATCH("Blended IRR", 'Customer Launch'!$A:$A, 0), X$5+1), 0)</f>
        <v>5.3156906932147294E-2</v>
      </c>
      <c r="Y99" s="17" cm="1">
        <f t="array" aca="1" ref="Y99" ca="1">IFERROR(INDEX('Customer Launch'!$D:$AC, MATCH("Blended IRR", 'Customer Launch'!$A:$A, 0), Y$5+1), 0)</f>
        <v>0.76127027544127024</v>
      </c>
      <c r="Z99" s="17" cm="1">
        <f t="array" aca="1" ref="Z99" ca="1">IFERROR(INDEX('Customer Launch'!$D:$AC, MATCH("Blended IRR", 'Customer Launch'!$A:$A, 0), Z$5+1), 0)</f>
        <v>0.65724961006046656</v>
      </c>
      <c r="AA99" s="17" cm="1">
        <f t="array" aca="1" ref="AA99" ca="1">IFERROR(INDEX('Customer Launch'!$D:$AC, MATCH("Blended IRR", 'Customer Launch'!$A:$A, 0), AA$5+1), 0)</f>
        <v>0.17690261450231012</v>
      </c>
      <c r="AB99" s="17" cm="1">
        <f t="array" aca="1" ref="AB99" ca="1">IFERROR(INDEX('Customer Launch'!$D:$AC, MATCH("Blended IRR", 'Customer Launch'!$A:$A, 0), AB$5+1), 0)</f>
        <v>0.27628642393847724</v>
      </c>
      <c r="AC99" s="17" cm="1">
        <f t="array" aca="1" ref="AC99" ca="1">IFERROR(INDEX('Customer Launch'!$D:$AC, MATCH("Blended IRR", 'Customer Launch'!$A:$A, 0), AC$5+1), 0)</f>
        <v>-5.0735922023684051E-3</v>
      </c>
    </row>
    <row r="100" spans="1:29" x14ac:dyDescent="0.2">
      <c r="A100" t="s">
        <v>1473</v>
      </c>
      <c r="D100" s="15" cm="1">
        <f t="array" aca="1" ref="D100" ca="1">IFERROR(INDEX('Customer Launch'!$D:$AC, MATCH("Capacity Demand (kg-to-LEO)", 'Customer Launch'!$A:$A, 0), D$5+1), 0)</f>
        <v>0</v>
      </c>
      <c r="E100" s="15" cm="1">
        <f t="array" aca="1" ref="E100" ca="1">IFERROR(INDEX('Customer Launch'!$D:$AC, MATCH("Capacity Demand (kg-to-LEO)", 'Customer Launch'!$A:$A, 0), E$5+1), 0)</f>
        <v>0</v>
      </c>
      <c r="F100" s="15" cm="1">
        <f t="array" aca="1" ref="F100" ca="1">IFERROR(INDEX('Customer Launch'!$D:$AC, MATCH("Capacity Demand (kg-to-LEO)", 'Customer Launch'!$A:$A, 0), F$5+1), 0)</f>
        <v>238331.6501933971</v>
      </c>
      <c r="G100" s="15" cm="1">
        <f t="array" aca="1" ref="G100" ca="1">IFERROR(INDEX('Customer Launch'!$D:$AC, MATCH("Capacity Demand (kg-to-LEO)", 'Customer Launch'!$A:$A, 0), G$5+1), 0)</f>
        <v>394502.65165960212</v>
      </c>
      <c r="H100" s="15" cm="1">
        <f t="array" aca="1" ref="H100" ca="1">IFERROR(INDEX('Customer Launch'!$D:$AC, MATCH("Capacity Demand (kg-to-LEO)", 'Customer Launch'!$A:$A, 0), H$5+1), 0)</f>
        <v>736505.22241947078</v>
      </c>
      <c r="I100" s="15" cm="1">
        <f t="array" aca="1" ref="I100" ca="1">IFERROR(INDEX('Customer Launch'!$D:$AC, MATCH("Capacity Demand (kg-to-LEO)", 'Customer Launch'!$A:$A, 0), I$5+1), 0)</f>
        <v>1101048.1119618125</v>
      </c>
      <c r="J100" s="15" cm="1">
        <f t="array" aca="1" ref="J100" ca="1">IFERROR(INDEX('Customer Launch'!$D:$AC, MATCH("Capacity Demand (kg-to-LEO)", 'Customer Launch'!$A:$A, 0), J$5+1), 0)</f>
        <v>1327302.2183607819</v>
      </c>
      <c r="K100" s="15" cm="1">
        <f t="array" aca="1" ref="K100" ca="1">IFERROR(INDEX('Customer Launch'!$D:$AC, MATCH("Capacity Demand (kg-to-LEO)", 'Customer Launch'!$A:$A, 0), K$5+1), 0)</f>
        <v>2661825.2259647194</v>
      </c>
      <c r="L100" s="15" cm="1">
        <f t="array" aca="1" ref="L100" ca="1">IFERROR(INDEX('Customer Launch'!$D:$AC, MATCH("Capacity Demand (kg-to-LEO)", 'Customer Launch'!$A:$A, 0), L$5+1), 0)</f>
        <v>1804908.4074925326</v>
      </c>
      <c r="M100" s="15" cm="1">
        <f t="array" aca="1" ref="M100" ca="1">IFERROR(INDEX('Customer Launch'!$D:$AC, MATCH("Capacity Demand (kg-to-LEO)", 'Customer Launch'!$A:$A, 0), M$5+1), 0)</f>
        <v>3902581.4855232057</v>
      </c>
      <c r="N100" s="15" cm="1">
        <f t="array" aca="1" ref="N100" ca="1">IFERROR(INDEX('Customer Launch'!$D:$AC, MATCH("Capacity Demand (kg-to-LEO)", 'Customer Launch'!$A:$A, 0), N$5+1), 0)</f>
        <v>5095953.9558281228</v>
      </c>
      <c r="O100" s="15" cm="1">
        <f t="array" aca="1" ref="O100" ca="1">IFERROR(INDEX('Customer Launch'!$D:$AC, MATCH("Capacity Demand (kg-to-LEO)", 'Customer Launch'!$A:$A, 0), O$5+1), 0)</f>
        <v>2278155.1005286053</v>
      </c>
      <c r="P100" s="15" cm="1">
        <f t="array" aca="1" ref="P100" ca="1">IFERROR(INDEX('Customer Launch'!$D:$AC, MATCH("Capacity Demand (kg-to-LEO)", 'Customer Launch'!$A:$A, 0), P$5+1), 0)</f>
        <v>6928413.7057933751</v>
      </c>
      <c r="Q100" s="15" cm="1">
        <f t="array" aca="1" ref="Q100" ca="1">IFERROR(INDEX('Customer Launch'!$D:$AC, MATCH("Capacity Demand (kg-to-LEO)", 'Customer Launch'!$A:$A, 0), Q$5+1), 0)</f>
        <v>3098658.7841902208</v>
      </c>
      <c r="R100" s="15" cm="1">
        <f t="array" aca="1" ref="R100" ca="1">IFERROR(INDEX('Customer Launch'!$D:$AC, MATCH("Capacity Demand (kg-to-LEO)", 'Customer Launch'!$A:$A, 0), R$5+1), 0)</f>
        <v>7566286.3471053923</v>
      </c>
      <c r="S100" s="15" cm="1">
        <f t="array" aca="1" ref="S100" ca="1">IFERROR(INDEX('Customer Launch'!$D:$AC, MATCH("Capacity Demand (kg-to-LEO)", 'Customer Launch'!$A:$A, 0), S$5+1), 0)</f>
        <v>8020504.9161690567</v>
      </c>
      <c r="T100" s="15" cm="1">
        <f t="array" aca="1" ref="T100" ca="1">IFERROR(INDEX('Customer Launch'!$D:$AC, MATCH("Capacity Demand (kg-to-LEO)", 'Customer Launch'!$A:$A, 0), T$5+1), 0)</f>
        <v>3055830.5105344891</v>
      </c>
      <c r="U100" s="15" cm="1">
        <f t="array" aca="1" ref="U100" ca="1">IFERROR(INDEX('Customer Launch'!$D:$AC, MATCH("Capacity Demand (kg-to-LEO)", 'Customer Launch'!$A:$A, 0), U$5+1), 0)</f>
        <v>8842606.6700763851</v>
      </c>
      <c r="V100" s="15" cm="1">
        <f t="array" aca="1" ref="V100" ca="1">IFERROR(INDEX('Customer Launch'!$D:$AC, MATCH("Capacity Demand (kg-to-LEO)", 'Customer Launch'!$A:$A, 0), V$5+1), 0)</f>
        <v>5203469.2227904061</v>
      </c>
      <c r="W100" s="15" cm="1">
        <f t="array" aca="1" ref="W100" ca="1">IFERROR(INDEX('Customer Launch'!$D:$AC, MATCH("Capacity Demand (kg-to-LEO)", 'Customer Launch'!$A:$A, 0), W$5+1), 0)</f>
        <v>6134104.0384899918</v>
      </c>
      <c r="X100" s="15" cm="1">
        <f t="array" aca="1" ref="X100" ca="1">IFERROR(INDEX('Customer Launch'!$D:$AC, MATCH("Capacity Demand (kg-to-LEO)", 'Customer Launch'!$A:$A, 0), X$5+1), 0)</f>
        <v>10236422.546447176</v>
      </c>
      <c r="Y100" s="15" cm="1">
        <f t="array" aca="1" ref="Y100" ca="1">IFERROR(INDEX('Customer Launch'!$D:$AC, MATCH("Capacity Demand (kg-to-LEO)", 'Customer Launch'!$A:$A, 0), Y$5+1), 0)</f>
        <v>3993557.6288277255</v>
      </c>
      <c r="Z100" s="15" cm="1">
        <f t="array" aca="1" ref="Z100" ca="1">IFERROR(INDEX('Customer Launch'!$D:$AC, MATCH("Capacity Demand (kg-to-LEO)", 'Customer Launch'!$A:$A, 0), Z$5+1), 0)</f>
        <v>11285655.857458008</v>
      </c>
      <c r="AA100" s="15" cm="1">
        <f t="array" aca="1" ref="AA100" ca="1">IFERROR(INDEX('Customer Launch'!$D:$AC, MATCH("Capacity Demand (kg-to-LEO)", 'Customer Launch'!$A:$A, 0), AA$5+1), 0)</f>
        <v>8890750.3554545008</v>
      </c>
      <c r="AB100" s="15" cm="1">
        <f t="array" aca="1" ref="AB100" ca="1">IFERROR(INDEX('Customer Launch'!$D:$AC, MATCH("Capacity Demand (kg-to-LEO)", 'Customer Launch'!$A:$A, 0), AB$5+1), 0)</f>
        <v>4883370.0690386035</v>
      </c>
      <c r="AC100" s="15" cm="1">
        <f t="array" aca="1" ref="AC100" ca="1">IFERROR(INDEX('Customer Launch'!$D:$AC, MATCH("Capacity Demand (kg-to-LEO)", 'Customer Launch'!$A:$A, 0), AC$5+1), 0)</f>
        <v>13064557.36198983</v>
      </c>
    </row>
    <row r="101" spans="1:29" x14ac:dyDescent="0.2">
      <c r="A101" t="s">
        <v>1474</v>
      </c>
      <c r="D101" s="15">
        <f ca="1">MAX(D99, 0)^INDEX(Assumptions!$B:$B, MATCH("Sigmoid IRR-blend exponent k", Assumptions!$A:$A, 0)) * IF(D100 &gt; 0, 1, 0)</f>
        <v>0</v>
      </c>
      <c r="E101" s="15">
        <f ca="1">MAX(E99, 0)^INDEX(Assumptions!$B:$B, MATCH("Sigmoid IRR-blend exponent k", Assumptions!$A:$A, 0)) * IF(E100 &gt; 0, 1, 0)</f>
        <v>0</v>
      </c>
      <c r="F101" s="15">
        <f ca="1">MAX(F99, 0)^INDEX(Assumptions!$B:$B, MATCH("Sigmoid IRR-blend exponent k", Assumptions!$A:$A, 0)) * IF(F100 &gt; 0, 1, 0)</f>
        <v>5.6901826179488264</v>
      </c>
      <c r="G101" s="15">
        <f ca="1">MAX(G99, 0)^INDEX(Assumptions!$B:$B, MATCH("Sigmoid IRR-blend exponent k", Assumptions!$A:$A, 0)) * IF(G100 &gt; 0, 1, 0)</f>
        <v>5.0163459050829529</v>
      </c>
      <c r="H101" s="15">
        <f ca="1">MAX(H99, 0)^INDEX(Assumptions!$B:$B, MATCH("Sigmoid IRR-blend exponent k", Assumptions!$A:$A, 0)) * IF(H100 &gt; 0, 1, 0)</f>
        <v>4.470971665298122</v>
      </c>
      <c r="I101" s="15">
        <f ca="1">MAX(I99, 0)^INDEX(Assumptions!$B:$B, MATCH("Sigmoid IRR-blend exponent k", Assumptions!$A:$A, 0)) * IF(I100 &gt; 0, 1, 0)</f>
        <v>3.2639266343286315</v>
      </c>
      <c r="J101" s="15">
        <f ca="1">MAX(J99, 0)^INDEX(Assumptions!$B:$B, MATCH("Sigmoid IRR-blend exponent k", Assumptions!$A:$A, 0)) * IF(J100 &gt; 0, 1, 0)</f>
        <v>3.6021813341939541</v>
      </c>
      <c r="K101" s="15">
        <f ca="1">MAX(K99, 0)^INDEX(Assumptions!$B:$B, MATCH("Sigmoid IRR-blend exponent k", Assumptions!$A:$A, 0)) * IF(K100 &gt; 0, 1, 0)</f>
        <v>1.9792320525001885</v>
      </c>
      <c r="L101" s="15">
        <f ca="1">MAX(L99, 0)^INDEX(Assumptions!$B:$B, MATCH("Sigmoid IRR-blend exponent k", Assumptions!$A:$A, 0)) * IF(L100 &gt; 0, 1, 0)</f>
        <v>1.4264787382693538</v>
      </c>
      <c r="M101" s="15">
        <f ca="1">MAX(M99, 0)^INDEX(Assumptions!$B:$B, MATCH("Sigmoid IRR-blend exponent k", Assumptions!$A:$A, 0)) * IF(M100 &gt; 0, 1, 0)</f>
        <v>2.32774963361343</v>
      </c>
      <c r="N101" s="15">
        <f ca="1">MAX(N99, 0)^INDEX(Assumptions!$B:$B, MATCH("Sigmoid IRR-blend exponent k", Assumptions!$A:$A, 0)) * IF(N100 &gt; 0, 1, 0)</f>
        <v>0.19463257169128015</v>
      </c>
      <c r="O101" s="15">
        <f ca="1">MAX(O99, 0)^INDEX(Assumptions!$B:$B, MATCH("Sigmoid IRR-blend exponent k", Assumptions!$A:$A, 0)) * IF(O100 &gt; 0, 1, 0)</f>
        <v>2.214666894142689</v>
      </c>
      <c r="P101" s="15">
        <f ca="1">MAX(P99, 0)^INDEX(Assumptions!$B:$B, MATCH("Sigmoid IRR-blend exponent k", Assumptions!$A:$A, 0)) * IF(P100 &gt; 0, 1, 0)</f>
        <v>5.5709521205002659E-2</v>
      </c>
      <c r="Q101" s="15">
        <f ca="1">MAX(Q99, 0)^INDEX(Assumptions!$B:$B, MATCH("Sigmoid IRR-blend exponent k", Assumptions!$A:$A, 0)) * IF(Q100 &gt; 0, 1, 0)</f>
        <v>0.30477106988649388</v>
      </c>
      <c r="R101" s="15">
        <f ca="1">MAX(R99, 0)^INDEX(Assumptions!$B:$B, MATCH("Sigmoid IRR-blend exponent k", Assumptions!$A:$A, 0)) * IF(R100 &gt; 0, 1, 0)</f>
        <v>0.99769132769478663</v>
      </c>
      <c r="S101" s="15">
        <f ca="1">MAX(S99, 0)^INDEX(Assumptions!$B:$B, MATCH("Sigmoid IRR-blend exponent k", Assumptions!$A:$A, 0)) * IF(S100 &gt; 0, 1, 0)</f>
        <v>2.207354651154091E-2</v>
      </c>
      <c r="T101" s="15">
        <f ca="1">MAX(T99, 0)^INDEX(Assumptions!$B:$B, MATCH("Sigmoid IRR-blend exponent k", Assumptions!$A:$A, 0)) * IF(T100 &gt; 0, 1, 0)</f>
        <v>1.2832610705191969</v>
      </c>
      <c r="U101" s="15">
        <f ca="1">MAX(U99, 0)^INDEX(Assumptions!$B:$B, MATCH("Sigmoid IRR-blend exponent k", Assumptions!$A:$A, 0)) * IF(U100 &gt; 0, 1, 0)</f>
        <v>0.47695291115722277</v>
      </c>
      <c r="V101" s="15">
        <f ca="1">MAX(V99, 0)^INDEX(Assumptions!$B:$B, MATCH("Sigmoid IRR-blend exponent k", Assumptions!$A:$A, 0)) * IF(V100 &gt; 0, 1, 0)</f>
        <v>0.137308836871258</v>
      </c>
      <c r="W101" s="15">
        <f ca="1">MAX(W99, 0)^INDEX(Assumptions!$B:$B, MATCH("Sigmoid IRR-blend exponent k", Assumptions!$A:$A, 0)) * IF(W100 &gt; 0, 1, 0)</f>
        <v>1.0548937027198992</v>
      </c>
      <c r="X101" s="15">
        <f ca="1">MAX(X99, 0)^INDEX(Assumptions!$B:$B, MATCH("Sigmoid IRR-blend exponent k", Assumptions!$A:$A, 0)) * IF(X100 &gt; 0, 1, 0)</f>
        <v>2.825656754592969E-3</v>
      </c>
      <c r="Y101" s="15">
        <f ca="1">MAX(Y99, 0)^INDEX(Assumptions!$B:$B, MATCH("Sigmoid IRR-blend exponent k", Assumptions!$A:$A, 0)) * IF(Y100 &gt; 0, 1, 0)</f>
        <v>0.5795324322704275</v>
      </c>
      <c r="Z101" s="15">
        <f ca="1">MAX(Z99, 0)^INDEX(Assumptions!$B:$B, MATCH("Sigmoid IRR-blend exponent k", Assumptions!$A:$A, 0)) * IF(Z100 &gt; 0, 1, 0)</f>
        <v>0.43197704992463537</v>
      </c>
      <c r="AA101" s="15">
        <f ca="1">MAX(AA99, 0)^INDEX(Assumptions!$B:$B, MATCH("Sigmoid IRR-blend exponent k", Assumptions!$A:$A, 0)) * IF(AA100 &gt; 0, 1, 0)</f>
        <v>3.1294535017752943E-2</v>
      </c>
      <c r="AB101" s="15">
        <f ca="1">MAX(AB99, 0)^INDEX(Assumptions!$B:$B, MATCH("Sigmoid IRR-blend exponent k", Assumptions!$A:$A, 0)) * IF(AB100 &gt; 0, 1, 0)</f>
        <v>7.6334188052711971E-2</v>
      </c>
      <c r="AC101" s="15">
        <f ca="1">MAX(AC99, 0)^INDEX(Assumptions!$B:$B, MATCH("Sigmoid IRR-blend exponent k", Assumptions!$A:$A, 0)) * IF(AC100 &gt; 0, 1, 0)</f>
        <v>0</v>
      </c>
    </row>
    <row r="102" spans="1:29" x14ac:dyDescent="0.2">
      <c r="A102" t="s">
        <v>1475</v>
      </c>
      <c r="D102" s="68">
        <f ca="1">MIN(IF(D99 &gt; 0, D100, 0), $D$96 * D101 / IF($D$134 &gt; 0, $D$134, 1))</f>
        <v>0</v>
      </c>
      <c r="E102" s="68">
        <f t="shared" ref="E102:AC102" ca="1" si="24">MIN(IF(E99 &gt; 0, E100, 0), $D$96 * E101 / IF($D$134 &gt; 0, $D$134, 1))</f>
        <v>0</v>
      </c>
      <c r="F102" s="68">
        <f t="shared" ca="1" si="24"/>
        <v>1377.340609808819</v>
      </c>
      <c r="G102" s="68">
        <f t="shared" ca="1" si="24"/>
        <v>1214.234654987142</v>
      </c>
      <c r="H102" s="68">
        <f t="shared" ca="1" si="24"/>
        <v>1082.2237621152999</v>
      </c>
      <c r="I102" s="68">
        <f t="shared" ca="1" si="24"/>
        <v>790.05174398391739</v>
      </c>
      <c r="J102" s="68">
        <f t="shared" ca="1" si="24"/>
        <v>871.92819081597804</v>
      </c>
      <c r="K102" s="68">
        <f t="shared" ca="1" si="24"/>
        <v>479.08421665497525</v>
      </c>
      <c r="L102" s="68">
        <f t="shared" ca="1" si="24"/>
        <v>345.2871774360504</v>
      </c>
      <c r="M102" s="68">
        <f t="shared" ca="1" si="24"/>
        <v>563.44485144118266</v>
      </c>
      <c r="N102" s="68">
        <f t="shared" ca="1" si="24"/>
        <v>47.111905360703723</v>
      </c>
      <c r="O102" s="68">
        <f t="shared" ca="1" si="24"/>
        <v>536.07254025205123</v>
      </c>
      <c r="P102" s="68">
        <f t="shared" ca="1" si="24"/>
        <v>13.484801993282135</v>
      </c>
      <c r="Q102" s="68">
        <f t="shared" ca="1" si="24"/>
        <v>73.771546439553092</v>
      </c>
      <c r="R102" s="68">
        <f t="shared" ca="1" si="24"/>
        <v>241.49678032362684</v>
      </c>
      <c r="S102" s="68">
        <f t="shared" ca="1" si="24"/>
        <v>5.3430257083398418</v>
      </c>
      <c r="T102" s="68">
        <f t="shared" ca="1" si="24"/>
        <v>310.6205378782667</v>
      </c>
      <c r="U102" s="68">
        <f t="shared" ca="1" si="24"/>
        <v>115.44912661171968</v>
      </c>
      <c r="V102" s="68">
        <f t="shared" ca="1" si="24"/>
        <v>33.236373910363476</v>
      </c>
      <c r="W102" s="68">
        <f t="shared" ca="1" si="24"/>
        <v>255.34293595509621</v>
      </c>
      <c r="X102" s="68">
        <f t="shared" ca="1" si="24"/>
        <v>0.68396606203904597</v>
      </c>
      <c r="Y102" s="68">
        <f t="shared" ca="1" si="24"/>
        <v>140.27907490165498</v>
      </c>
      <c r="Z102" s="68">
        <f t="shared" ca="1" si="24"/>
        <v>104.56246720269368</v>
      </c>
      <c r="AA102" s="68">
        <f t="shared" ca="1" si="24"/>
        <v>7.5750176820463722</v>
      </c>
      <c r="AB102" s="68">
        <f t="shared" ca="1" si="24"/>
        <v>18.477118254542617</v>
      </c>
      <c r="AC102" s="68">
        <f t="shared" ca="1" si="24"/>
        <v>0</v>
      </c>
    </row>
    <row r="103" spans="1:29" x14ac:dyDescent="0.2">
      <c r="A103" t="s">
        <v>1681</v>
      </c>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x14ac:dyDescent="0.2">
      <c r="A104" t="s">
        <v>1667</v>
      </c>
      <c r="D104" s="15" cm="1">
        <f t="array" aca="1" ref="D104" ca="1">IFERROR(INDEX(Starlink!$D:$AC, MATCH("Memo: V3 BB Blended IRR", Starlink!$A:$A, 0), D$5+1), 0)</f>
        <v>3.5735863467735176</v>
      </c>
      <c r="E104" s="15" cm="1">
        <f t="array" aca="1" ref="E104" ca="1">IFERROR(INDEX(Starlink!$D:$AC, MATCH("Memo: V3 BB Blended IRR", Starlink!$A:$A, 0), E$5+1), 0)</f>
        <v>4.7830800680715635</v>
      </c>
      <c r="F104" s="15" cm="1">
        <f t="array" aca="1" ref="F104" ca="1">IFERROR(INDEX(Starlink!$D:$AC, MATCH("Memo: V3 BB Blended IRR", Starlink!$A:$A, 0), F$5+1), 0)</f>
        <v>6.2508512954746109</v>
      </c>
      <c r="G104" s="15" cm="1">
        <f t="array" aca="1" ref="G104" ca="1">IFERROR(INDEX(Starlink!$D:$AC, MATCH("Memo: V3 BB Blended IRR", Starlink!$A:$A, 0), G$5+1), 0)</f>
        <v>0.9634816162351687</v>
      </c>
      <c r="H104" s="15" cm="1">
        <f t="array" aca="1" ref="H104" ca="1">IFERROR(INDEX(Starlink!$D:$AC, MATCH("Memo: V3 BB Blended IRR", Starlink!$A:$A, 0), H$5+1), 0)</f>
        <v>1.4370640537638912</v>
      </c>
      <c r="I104" s="15" cm="1">
        <f t="array" aca="1" ref="I104" ca="1">IFERROR(INDEX(Starlink!$D:$AC, MATCH("Memo: V3 BB Blended IRR", Starlink!$A:$A, 0), I$5+1), 0)</f>
        <v>-1</v>
      </c>
      <c r="J104" s="15" cm="1">
        <f t="array" aca="1" ref="J104" ca="1">IFERROR(INDEX(Starlink!$D:$AC, MATCH("Memo: V3 BB Blended IRR", Starlink!$A:$A, 0), J$5+1), 0)</f>
        <v>-1</v>
      </c>
      <c r="K104" s="15" cm="1">
        <f t="array" aca="1" ref="K104" ca="1">IFERROR(INDEX(Starlink!$D:$AC, MATCH("Memo: V3 BB Blended IRR", Starlink!$A:$A, 0), K$5+1), 0)</f>
        <v>-1</v>
      </c>
      <c r="L104" s="15" cm="1">
        <f t="array" aca="1" ref="L104" ca="1">IFERROR(INDEX(Starlink!$D:$AC, MATCH("Memo: V3 BB Blended IRR", Starlink!$A:$A, 0), L$5+1), 0)</f>
        <v>-1</v>
      </c>
      <c r="M104" s="15" cm="1">
        <f t="array" aca="1" ref="M104" ca="1">IFERROR(INDEX(Starlink!$D:$AC, MATCH("Memo: V3 BB Blended IRR", Starlink!$A:$A, 0), M$5+1), 0)</f>
        <v>-1</v>
      </c>
      <c r="N104" s="15" cm="1">
        <f t="array" aca="1" ref="N104" ca="1">IFERROR(INDEX(Starlink!$D:$AC, MATCH("Memo: V3 BB Blended IRR", Starlink!$A:$A, 0), N$5+1), 0)</f>
        <v>-1</v>
      </c>
      <c r="O104" s="15" cm="1">
        <f t="array" aca="1" ref="O104" ca="1">IFERROR(INDEX(Starlink!$D:$AC, MATCH("Memo: V3 BB Blended IRR", Starlink!$A:$A, 0), O$5+1), 0)</f>
        <v>-1</v>
      </c>
      <c r="P104" s="15" cm="1">
        <f t="array" aca="1" ref="P104" ca="1">IFERROR(INDEX(Starlink!$D:$AC, MATCH("Memo: V3 BB Blended IRR", Starlink!$A:$A, 0), P$5+1), 0)</f>
        <v>-1</v>
      </c>
      <c r="Q104" s="15" cm="1">
        <f t="array" aca="1" ref="Q104" ca="1">IFERROR(INDEX(Starlink!$D:$AC, MATCH("Memo: V3 BB Blended IRR", Starlink!$A:$A, 0), Q$5+1), 0)</f>
        <v>-1</v>
      </c>
      <c r="R104" s="15" cm="1">
        <f t="array" aca="1" ref="R104" ca="1">IFERROR(INDEX(Starlink!$D:$AC, MATCH("Memo: V3 BB Blended IRR", Starlink!$A:$A, 0), R$5+1), 0)</f>
        <v>-1</v>
      </c>
      <c r="S104" s="15" cm="1">
        <f t="array" aca="1" ref="S104" ca="1">IFERROR(INDEX(Starlink!$D:$AC, MATCH("Memo: V3 BB Blended IRR", Starlink!$A:$A, 0), S$5+1), 0)</f>
        <v>-1</v>
      </c>
      <c r="T104" s="15" cm="1">
        <f t="array" aca="1" ref="T104" ca="1">IFERROR(INDEX(Starlink!$D:$AC, MATCH("Memo: V3 BB Blended IRR", Starlink!$A:$A, 0), T$5+1), 0)</f>
        <v>-1</v>
      </c>
      <c r="U104" s="15" cm="1">
        <f t="array" aca="1" ref="U104" ca="1">IFERROR(INDEX(Starlink!$D:$AC, MATCH("Memo: V3 BB Blended IRR", Starlink!$A:$A, 0), U$5+1), 0)</f>
        <v>-1</v>
      </c>
      <c r="V104" s="15" cm="1">
        <f t="array" aca="1" ref="V104" ca="1">IFERROR(INDEX(Starlink!$D:$AC, MATCH("Memo: V3 BB Blended IRR", Starlink!$A:$A, 0), V$5+1), 0)</f>
        <v>-1</v>
      </c>
      <c r="W104" s="15" cm="1">
        <f t="array" aca="1" ref="W104" ca="1">IFERROR(INDEX(Starlink!$D:$AC, MATCH("Memo: V3 BB Blended IRR", Starlink!$A:$A, 0), W$5+1), 0)</f>
        <v>-1</v>
      </c>
      <c r="X104" s="15" cm="1">
        <f t="array" aca="1" ref="X104" ca="1">IFERROR(INDEX(Starlink!$D:$AC, MATCH("Memo: V3 BB Blended IRR", Starlink!$A:$A, 0), X$5+1), 0)</f>
        <v>-1</v>
      </c>
      <c r="Y104" s="15" cm="1">
        <f t="array" aca="1" ref="Y104" ca="1">IFERROR(INDEX(Starlink!$D:$AC, MATCH("Memo: V3 BB Blended IRR", Starlink!$A:$A, 0), Y$5+1), 0)</f>
        <v>-1</v>
      </c>
      <c r="Z104" s="15" cm="1">
        <f t="array" aca="1" ref="Z104" ca="1">IFERROR(INDEX(Starlink!$D:$AC, MATCH("Memo: V3 BB Blended IRR", Starlink!$A:$A, 0), Z$5+1), 0)</f>
        <v>-1</v>
      </c>
      <c r="AA104" s="15" cm="1">
        <f t="array" aca="1" ref="AA104" ca="1">IFERROR(INDEX(Starlink!$D:$AC, MATCH("Memo: V3 BB Blended IRR", Starlink!$A:$A, 0), AA$5+1), 0)</f>
        <v>-1</v>
      </c>
      <c r="AB104" s="15" cm="1">
        <f t="array" aca="1" ref="AB104" ca="1">IFERROR(INDEX(Starlink!$D:$AC, MATCH("Memo: V3 BB Blended IRR", Starlink!$A:$A, 0), AB$5+1), 0)</f>
        <v>-1</v>
      </c>
      <c r="AC104" s="15" cm="1">
        <f t="array" aca="1" ref="AC104" ca="1">IFERROR(INDEX(Starlink!$D:$AC, MATCH("Memo: V3 BB Blended IRR", Starlink!$A:$A, 0), AC$5+1), 0)</f>
        <v>-1</v>
      </c>
    </row>
    <row r="105" spans="1:29" x14ac:dyDescent="0.2">
      <c r="A105" t="s">
        <v>1682</v>
      </c>
      <c r="D105" cm="1">
        <f t="array" aca="1" ref="D105" ca="1">IF(D$4 &lt; INDEX('Launch Capacity'!$D:$AC, MATCH("V3 Starlink launch trigger year", 'Launch Capacity'!$A:$A, 0), 1), 0, IFERROR(INDEX(Starlink!$D:$AC, MATCH("V3 BB Starship kg demand", Starlink!$A:$A, 0), D$5+1), 0))</f>
        <v>0</v>
      </c>
      <c r="E105" cm="1">
        <f t="array" aca="1" ref="E105" ca="1">IF(E$4 &lt; INDEX('Launch Capacity'!$D:$AC, MATCH("V3 Starlink launch trigger year", 'Launch Capacity'!$A:$A, 0), 1), 0, IFERROR(INDEX(Starlink!$D:$AC, MATCH("V3 BB Starship kg demand", Starlink!$A:$A, 0), E$5+1), 0))</f>
        <v>0</v>
      </c>
      <c r="F105" cm="1">
        <f t="array" aca="1" ref="F105" ca="1">IF(F$4 &lt; INDEX('Launch Capacity'!$D:$AC, MATCH("V3 Starlink launch trigger year", 'Launch Capacity'!$A:$A, 0), 1), 0, IFERROR(INDEX(Starlink!$D:$AC, MATCH("V3 BB Starship kg demand", Starlink!$A:$A, 0), F$5+1), 0))</f>
        <v>0</v>
      </c>
      <c r="G105" cm="1">
        <f t="array" aca="1" ref="G105" ca="1">IF(G$4 &lt; INDEX('Launch Capacity'!$D:$AC, MATCH("V3 Starlink launch trigger year", 'Launch Capacity'!$A:$A, 0), 1), 0, IFERROR(INDEX(Starlink!$D:$AC, MATCH("V3 BB Starship kg demand", Starlink!$A:$A, 0), G$5+1), 0))</f>
        <v>0</v>
      </c>
      <c r="H105" cm="1">
        <f t="array" aca="1" ref="H105" ca="1">IF(H$4 &lt; INDEX('Launch Capacity'!$D:$AC, MATCH("V3 Starlink launch trigger year", 'Launch Capacity'!$A:$A, 0), 1), 0, IFERROR(INDEX(Starlink!$D:$AC, MATCH("V3 BB Starship kg demand", Starlink!$A:$A, 0), H$5+1), 0))</f>
        <v>0</v>
      </c>
      <c r="I105" cm="1">
        <f t="array" aca="1" ref="I105" ca="1">IF(I$4 &lt; INDEX('Launch Capacity'!$D:$AC, MATCH("V3 Starlink launch trigger year", 'Launch Capacity'!$A:$A, 0), 1), 0, IFERROR(INDEX(Starlink!$D:$AC, MATCH("V3 BB Starship kg demand", Starlink!$A:$A, 0), I$5+1), 0))</f>
        <v>0</v>
      </c>
      <c r="J105" cm="1">
        <f t="array" aca="1" ref="J105" ca="1">IF(J$4 &lt; INDEX('Launch Capacity'!$D:$AC, MATCH("V3 Starlink launch trigger year", 'Launch Capacity'!$A:$A, 0), 1), 0, IFERROR(INDEX(Starlink!$D:$AC, MATCH("V3 BB Starship kg demand", Starlink!$A:$A, 0), J$5+1), 0))</f>
        <v>0</v>
      </c>
      <c r="K105" cm="1">
        <f t="array" aca="1" ref="K105" ca="1">IF(K$4 &lt; INDEX('Launch Capacity'!$D:$AC, MATCH("V3 Starlink launch trigger year", 'Launch Capacity'!$A:$A, 0), 1), 0, IFERROR(INDEX(Starlink!$D:$AC, MATCH("V3 BB Starship kg demand", Starlink!$A:$A, 0), K$5+1), 0))</f>
        <v>0</v>
      </c>
      <c r="L105" cm="1">
        <f t="array" aca="1" ref="L105" ca="1">IF(L$4 &lt; INDEX('Launch Capacity'!$D:$AC, MATCH("V3 Starlink launch trigger year", 'Launch Capacity'!$A:$A, 0), 1), 0, IFERROR(INDEX(Starlink!$D:$AC, MATCH("V3 BB Starship kg demand", Starlink!$A:$A, 0), L$5+1), 0))</f>
        <v>0</v>
      </c>
      <c r="M105" cm="1">
        <f t="array" aca="1" ref="M105" ca="1">IF(M$4 &lt; INDEX('Launch Capacity'!$D:$AC, MATCH("V3 Starlink launch trigger year", 'Launch Capacity'!$A:$A, 0), 1), 0, IFERROR(INDEX(Starlink!$D:$AC, MATCH("V3 BB Starship kg demand", Starlink!$A:$A, 0), M$5+1), 0))</f>
        <v>0</v>
      </c>
      <c r="N105" cm="1">
        <f t="array" aca="1" ref="N105" ca="1">IF(N$4 &lt; INDEX('Launch Capacity'!$D:$AC, MATCH("V3 Starlink launch trigger year", 'Launch Capacity'!$A:$A, 0), 1), 0, IFERROR(INDEX(Starlink!$D:$AC, MATCH("V3 BB Starship kg demand", Starlink!$A:$A, 0), N$5+1), 0))</f>
        <v>0</v>
      </c>
      <c r="O105" cm="1">
        <f t="array" aca="1" ref="O105" ca="1">IF(O$4 &lt; INDEX('Launch Capacity'!$D:$AC, MATCH("V3 Starlink launch trigger year", 'Launch Capacity'!$A:$A, 0), 1), 0, IFERROR(INDEX(Starlink!$D:$AC, MATCH("V3 BB Starship kg demand", Starlink!$A:$A, 0), O$5+1), 0))</f>
        <v>0</v>
      </c>
      <c r="P105" cm="1">
        <f t="array" aca="1" ref="P105" ca="1">IF(P$4 &lt; INDEX('Launch Capacity'!$D:$AC, MATCH("V3 Starlink launch trigger year", 'Launch Capacity'!$A:$A, 0), 1), 0, IFERROR(INDEX(Starlink!$D:$AC, MATCH("V3 BB Starship kg demand", Starlink!$A:$A, 0), P$5+1), 0))</f>
        <v>0</v>
      </c>
      <c r="Q105" cm="1">
        <f t="array" aca="1" ref="Q105" ca="1">IF(Q$4 &lt; INDEX('Launch Capacity'!$D:$AC, MATCH("V3 Starlink launch trigger year", 'Launch Capacity'!$A:$A, 0), 1), 0, IFERROR(INDEX(Starlink!$D:$AC, MATCH("V3 BB Starship kg demand", Starlink!$A:$A, 0), Q$5+1), 0))</f>
        <v>0</v>
      </c>
      <c r="R105" cm="1">
        <f t="array" aca="1" ref="R105" ca="1">IF(R$4 &lt; INDEX('Launch Capacity'!$D:$AC, MATCH("V3 Starlink launch trigger year", 'Launch Capacity'!$A:$A, 0), 1), 0, IFERROR(INDEX(Starlink!$D:$AC, MATCH("V3 BB Starship kg demand", Starlink!$A:$A, 0), R$5+1), 0))</f>
        <v>0</v>
      </c>
      <c r="S105" cm="1">
        <f t="array" aca="1" ref="S105" ca="1">IF(S$4 &lt; INDEX('Launch Capacity'!$D:$AC, MATCH("V3 Starlink launch trigger year", 'Launch Capacity'!$A:$A, 0), 1), 0, IFERROR(INDEX(Starlink!$D:$AC, MATCH("V3 BB Starship kg demand", Starlink!$A:$A, 0), S$5+1), 0))</f>
        <v>0</v>
      </c>
      <c r="T105" cm="1">
        <f t="array" aca="1" ref="T105" ca="1">IF(T$4 &lt; INDEX('Launch Capacity'!$D:$AC, MATCH("V3 Starlink launch trigger year", 'Launch Capacity'!$A:$A, 0), 1), 0, IFERROR(INDEX(Starlink!$D:$AC, MATCH("V3 BB Starship kg demand", Starlink!$A:$A, 0), T$5+1), 0))</f>
        <v>0</v>
      </c>
      <c r="U105" cm="1">
        <f t="array" aca="1" ref="U105" ca="1">IF(U$4 &lt; INDEX('Launch Capacity'!$D:$AC, MATCH("V3 Starlink launch trigger year", 'Launch Capacity'!$A:$A, 0), 1), 0, IFERROR(INDEX(Starlink!$D:$AC, MATCH("V3 BB Starship kg demand", Starlink!$A:$A, 0), U$5+1), 0))</f>
        <v>0</v>
      </c>
      <c r="V105" cm="1">
        <f t="array" aca="1" ref="V105" ca="1">IF(V$4 &lt; INDEX('Launch Capacity'!$D:$AC, MATCH("V3 Starlink launch trigger year", 'Launch Capacity'!$A:$A, 0), 1), 0, IFERROR(INDEX(Starlink!$D:$AC, MATCH("V3 BB Starship kg demand", Starlink!$A:$A, 0), V$5+1), 0))</f>
        <v>0</v>
      </c>
      <c r="W105" cm="1">
        <f t="array" aca="1" ref="W105" ca="1">IF(W$4 &lt; INDEX('Launch Capacity'!$D:$AC, MATCH("V3 Starlink launch trigger year", 'Launch Capacity'!$A:$A, 0), 1), 0, IFERROR(INDEX(Starlink!$D:$AC, MATCH("V3 BB Starship kg demand", Starlink!$A:$A, 0), W$5+1), 0))</f>
        <v>0</v>
      </c>
      <c r="X105" cm="1">
        <f t="array" aca="1" ref="X105" ca="1">IF(X$4 &lt; INDEX('Launch Capacity'!$D:$AC, MATCH("V3 Starlink launch trigger year", 'Launch Capacity'!$A:$A, 0), 1), 0, IFERROR(INDEX(Starlink!$D:$AC, MATCH("V3 BB Starship kg demand", Starlink!$A:$A, 0), X$5+1), 0))</f>
        <v>0</v>
      </c>
      <c r="Y105" cm="1">
        <f t="array" aca="1" ref="Y105" ca="1">IF(Y$4 &lt; INDEX('Launch Capacity'!$D:$AC, MATCH("V3 Starlink launch trigger year", 'Launch Capacity'!$A:$A, 0), 1), 0, IFERROR(INDEX(Starlink!$D:$AC, MATCH("V3 BB Starship kg demand", Starlink!$A:$A, 0), Y$5+1), 0))</f>
        <v>0</v>
      </c>
      <c r="Z105" cm="1">
        <f t="array" aca="1" ref="Z105" ca="1">IF(Z$4 &lt; INDEX('Launch Capacity'!$D:$AC, MATCH("V3 Starlink launch trigger year", 'Launch Capacity'!$A:$A, 0), 1), 0, IFERROR(INDEX(Starlink!$D:$AC, MATCH("V3 BB Starship kg demand", Starlink!$A:$A, 0), Z$5+1), 0))</f>
        <v>0</v>
      </c>
      <c r="AA105" cm="1">
        <f t="array" aca="1" ref="AA105" ca="1">IF(AA$4 &lt; INDEX('Launch Capacity'!$D:$AC, MATCH("V3 Starlink launch trigger year", 'Launch Capacity'!$A:$A, 0), 1), 0, IFERROR(INDEX(Starlink!$D:$AC, MATCH("V3 BB Starship kg demand", Starlink!$A:$A, 0), AA$5+1), 0))</f>
        <v>0</v>
      </c>
      <c r="AB105" cm="1">
        <f t="array" aca="1" ref="AB105" ca="1">IF(AB$4 &lt; INDEX('Launch Capacity'!$D:$AC, MATCH("V3 Starlink launch trigger year", 'Launch Capacity'!$A:$A, 0), 1), 0, IFERROR(INDEX(Starlink!$D:$AC, MATCH("V3 BB Starship kg demand", Starlink!$A:$A, 0), AB$5+1), 0))</f>
        <v>0</v>
      </c>
      <c r="AC105" cm="1">
        <f t="array" aca="1" ref="AC105" ca="1">IF(AC$4 &lt; INDEX('Launch Capacity'!$D:$AC, MATCH("V3 Starlink launch trigger year", 'Launch Capacity'!$A:$A, 0), 1), 0, IFERROR(INDEX(Starlink!$D:$AC, MATCH("V3 BB Starship kg demand", Starlink!$A:$A, 0), AC$5+1), 0))</f>
        <v>0</v>
      </c>
    </row>
    <row r="106" spans="1:29" x14ac:dyDescent="0.2">
      <c r="A106" s="18" t="s">
        <v>1683</v>
      </c>
      <c r="D106">
        <f ca="1">MAX(D104, 0)^INDEX(Assumptions!$B:$B, MATCH("Sigmoid IRR-blend exponent k", Assumptions!$A:$A, 0)) * IF(D105 &gt; 0, 1, 0)</f>
        <v>0</v>
      </c>
      <c r="E106">
        <f ca="1">MAX(E104, 0)^INDEX(Assumptions!$B:$B, MATCH("Sigmoid IRR-blend exponent k", Assumptions!$A:$A, 0)) * IF(E105 &gt; 0, 1, 0)</f>
        <v>0</v>
      </c>
      <c r="F106">
        <f ca="1">MAX(F104, 0)^INDEX(Assumptions!$B:$B, MATCH("Sigmoid IRR-blend exponent k", Assumptions!$A:$A, 0)) * IF(F105 &gt; 0, 1, 0)</f>
        <v>0</v>
      </c>
      <c r="G106">
        <f ca="1">MAX(G104, 0)^INDEX(Assumptions!$B:$B, MATCH("Sigmoid IRR-blend exponent k", Assumptions!$A:$A, 0)) * IF(G105 &gt; 0, 1, 0)</f>
        <v>0</v>
      </c>
      <c r="H106">
        <f ca="1">MAX(H104, 0)^INDEX(Assumptions!$B:$B, MATCH("Sigmoid IRR-blend exponent k", Assumptions!$A:$A, 0)) * IF(H105 &gt; 0, 1, 0)</f>
        <v>0</v>
      </c>
      <c r="I106">
        <f ca="1">MAX(I104, 0)^INDEX(Assumptions!$B:$B, MATCH("Sigmoid IRR-blend exponent k", Assumptions!$A:$A, 0)) * IF(I105 &gt; 0, 1, 0)</f>
        <v>0</v>
      </c>
      <c r="J106">
        <f ca="1">MAX(J104, 0)^INDEX(Assumptions!$B:$B, MATCH("Sigmoid IRR-blend exponent k", Assumptions!$A:$A, 0)) * IF(J105 &gt; 0, 1, 0)</f>
        <v>0</v>
      </c>
      <c r="K106">
        <f ca="1">MAX(K104, 0)^INDEX(Assumptions!$B:$B, MATCH("Sigmoid IRR-blend exponent k", Assumptions!$A:$A, 0)) * IF(K105 &gt; 0, 1, 0)</f>
        <v>0</v>
      </c>
      <c r="L106">
        <f ca="1">MAX(L104, 0)^INDEX(Assumptions!$B:$B, MATCH("Sigmoid IRR-blend exponent k", Assumptions!$A:$A, 0)) * IF(L105 &gt; 0, 1, 0)</f>
        <v>0</v>
      </c>
      <c r="M106">
        <f ca="1">MAX(M104, 0)^INDEX(Assumptions!$B:$B, MATCH("Sigmoid IRR-blend exponent k", Assumptions!$A:$A, 0)) * IF(M105 &gt; 0, 1, 0)</f>
        <v>0</v>
      </c>
      <c r="N106">
        <f ca="1">MAX(N104, 0)^INDEX(Assumptions!$B:$B, MATCH("Sigmoid IRR-blend exponent k", Assumptions!$A:$A, 0)) * IF(N105 &gt; 0, 1, 0)</f>
        <v>0</v>
      </c>
      <c r="O106">
        <f ca="1">MAX(O104, 0)^INDEX(Assumptions!$B:$B, MATCH("Sigmoid IRR-blend exponent k", Assumptions!$A:$A, 0)) * IF(O105 &gt; 0, 1, 0)</f>
        <v>0</v>
      </c>
      <c r="P106">
        <f ca="1">MAX(P104, 0)^INDEX(Assumptions!$B:$B, MATCH("Sigmoid IRR-blend exponent k", Assumptions!$A:$A, 0)) * IF(P105 &gt; 0, 1, 0)</f>
        <v>0</v>
      </c>
      <c r="Q106">
        <f ca="1">MAX(Q104, 0)^INDEX(Assumptions!$B:$B, MATCH("Sigmoid IRR-blend exponent k", Assumptions!$A:$A, 0)) * IF(Q105 &gt; 0, 1, 0)</f>
        <v>0</v>
      </c>
      <c r="R106">
        <f ca="1">MAX(R104, 0)^INDEX(Assumptions!$B:$B, MATCH("Sigmoid IRR-blend exponent k", Assumptions!$A:$A, 0)) * IF(R105 &gt; 0, 1, 0)</f>
        <v>0</v>
      </c>
      <c r="S106">
        <f ca="1">MAX(S104, 0)^INDEX(Assumptions!$B:$B, MATCH("Sigmoid IRR-blend exponent k", Assumptions!$A:$A, 0)) * IF(S105 &gt; 0, 1, 0)</f>
        <v>0</v>
      </c>
      <c r="T106">
        <f ca="1">MAX(T104, 0)^INDEX(Assumptions!$B:$B, MATCH("Sigmoid IRR-blend exponent k", Assumptions!$A:$A, 0)) * IF(T105 &gt; 0, 1, 0)</f>
        <v>0</v>
      </c>
      <c r="U106">
        <f ca="1">MAX(U104, 0)^INDEX(Assumptions!$B:$B, MATCH("Sigmoid IRR-blend exponent k", Assumptions!$A:$A, 0)) * IF(U105 &gt; 0, 1, 0)</f>
        <v>0</v>
      </c>
      <c r="V106">
        <f ca="1">MAX(V104, 0)^INDEX(Assumptions!$B:$B, MATCH("Sigmoid IRR-blend exponent k", Assumptions!$A:$A, 0)) * IF(V105 &gt; 0, 1, 0)</f>
        <v>0</v>
      </c>
      <c r="W106">
        <f ca="1">MAX(W104, 0)^INDEX(Assumptions!$B:$B, MATCH("Sigmoid IRR-blend exponent k", Assumptions!$A:$A, 0)) * IF(W105 &gt; 0, 1, 0)</f>
        <v>0</v>
      </c>
      <c r="X106">
        <f ca="1">MAX(X104, 0)^INDEX(Assumptions!$B:$B, MATCH("Sigmoid IRR-blend exponent k", Assumptions!$A:$A, 0)) * IF(X105 &gt; 0, 1, 0)</f>
        <v>0</v>
      </c>
      <c r="Y106">
        <f ca="1">MAX(Y104, 0)^INDEX(Assumptions!$B:$B, MATCH("Sigmoid IRR-blend exponent k", Assumptions!$A:$A, 0)) * IF(Y105 &gt; 0, 1, 0)</f>
        <v>0</v>
      </c>
      <c r="Z106">
        <f ca="1">MAX(Z104, 0)^INDEX(Assumptions!$B:$B, MATCH("Sigmoid IRR-blend exponent k", Assumptions!$A:$A, 0)) * IF(Z105 &gt; 0, 1, 0)</f>
        <v>0</v>
      </c>
      <c r="AA106">
        <f ca="1">MAX(AA104, 0)^INDEX(Assumptions!$B:$B, MATCH("Sigmoid IRR-blend exponent k", Assumptions!$A:$A, 0)) * IF(AA105 &gt; 0, 1, 0)</f>
        <v>0</v>
      </c>
      <c r="AB106">
        <f ca="1">MAX(AB104, 0)^INDEX(Assumptions!$B:$B, MATCH("Sigmoid IRR-blend exponent k", Assumptions!$A:$A, 0)) * IF(AB105 &gt; 0, 1, 0)</f>
        <v>0</v>
      </c>
      <c r="AC106">
        <f ca="1">MAX(AC104, 0)^INDEX(Assumptions!$B:$B, MATCH("Sigmoid IRR-blend exponent k", Assumptions!$A:$A, 0)) * IF(AC105 &gt; 0, 1, 0)</f>
        <v>0</v>
      </c>
    </row>
    <row r="107" spans="1:29" x14ac:dyDescent="0.2">
      <c r="A107" t="s">
        <v>1684</v>
      </c>
      <c r="D107" s="17">
        <f ca="1">MIN(IF(D104 &gt; 0, D105, 0), $D$96 * D106 / IF($D$134 &gt; 0, $D$134, 1))</f>
        <v>0</v>
      </c>
      <c r="E107" s="17">
        <f t="shared" ref="E107:AC107" ca="1" si="25">MIN(IF(E104 &gt; 0, E105, 0), $D$96 * E106 / IF($D$134 &gt; 0, $D$134, 1))</f>
        <v>0</v>
      </c>
      <c r="F107" s="17">
        <f t="shared" ca="1" si="25"/>
        <v>0</v>
      </c>
      <c r="G107" s="17">
        <f t="shared" ca="1" si="25"/>
        <v>0</v>
      </c>
      <c r="H107" s="17">
        <f t="shared" ca="1" si="25"/>
        <v>0</v>
      </c>
      <c r="I107" s="17">
        <f t="shared" ca="1" si="25"/>
        <v>0</v>
      </c>
      <c r="J107" s="17">
        <f t="shared" ca="1" si="25"/>
        <v>0</v>
      </c>
      <c r="K107" s="17">
        <f t="shared" ca="1" si="25"/>
        <v>0</v>
      </c>
      <c r="L107" s="17">
        <f t="shared" ca="1" si="25"/>
        <v>0</v>
      </c>
      <c r="M107" s="17">
        <f t="shared" ca="1" si="25"/>
        <v>0</v>
      </c>
      <c r="N107" s="17">
        <f t="shared" ca="1" si="25"/>
        <v>0</v>
      </c>
      <c r="O107" s="17">
        <f t="shared" ca="1" si="25"/>
        <v>0</v>
      </c>
      <c r="P107" s="17">
        <f t="shared" ca="1" si="25"/>
        <v>0</v>
      </c>
      <c r="Q107" s="17">
        <f t="shared" ca="1" si="25"/>
        <v>0</v>
      </c>
      <c r="R107" s="17">
        <f t="shared" ca="1" si="25"/>
        <v>0</v>
      </c>
      <c r="S107" s="17">
        <f t="shared" ca="1" si="25"/>
        <v>0</v>
      </c>
      <c r="T107" s="17">
        <f t="shared" ca="1" si="25"/>
        <v>0</v>
      </c>
      <c r="U107" s="17">
        <f t="shared" ca="1" si="25"/>
        <v>0</v>
      </c>
      <c r="V107" s="17">
        <f t="shared" ca="1" si="25"/>
        <v>0</v>
      </c>
      <c r="W107" s="17">
        <f t="shared" ca="1" si="25"/>
        <v>0</v>
      </c>
      <c r="X107" s="17">
        <f t="shared" ca="1" si="25"/>
        <v>0</v>
      </c>
      <c r="Y107" s="17">
        <f t="shared" ca="1" si="25"/>
        <v>0</v>
      </c>
      <c r="Z107" s="17">
        <f t="shared" ca="1" si="25"/>
        <v>0</v>
      </c>
      <c r="AA107" s="17">
        <f t="shared" ca="1" si="25"/>
        <v>0</v>
      </c>
      <c r="AB107" s="17">
        <f t="shared" ca="1" si="25"/>
        <v>0</v>
      </c>
      <c r="AC107" s="17">
        <f t="shared" ca="1" si="25"/>
        <v>0</v>
      </c>
    </row>
    <row r="108" spans="1:29" x14ac:dyDescent="0.2">
      <c r="A108" t="s">
        <v>1685</v>
      </c>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spans="1:29" x14ac:dyDescent="0.2">
      <c r="A109" t="s">
        <v>1672</v>
      </c>
      <c r="D109" s="15" cm="1">
        <f t="array" aca="1" ref="D109" ca="1">IFERROR(INDEX(Starlink!$D:$AC, MATCH("Memo: V3 DTC Blended IRR", Starlink!$A:$A, 0), D$5+1), 0)</f>
        <v>1.3133112485537981</v>
      </c>
      <c r="E109" s="15" cm="1">
        <f t="array" aca="1" ref="E109" ca="1">IFERROR(INDEX(Starlink!$D:$AC, MATCH("Memo: V3 DTC Blended IRR", Starlink!$A:$A, 0), E$5+1), 0)</f>
        <v>1.7738377440728457</v>
      </c>
      <c r="F109" s="15" cm="1">
        <f t="array" aca="1" ref="F109" ca="1">IFERROR(INDEX(Starlink!$D:$AC, MATCH("Memo: V3 DTC Blended IRR", Starlink!$A:$A, 0), F$5+1), 0)</f>
        <v>2.3146496839706137</v>
      </c>
      <c r="G109" s="15" cm="1">
        <f t="array" aca="1" ref="G109" ca="1">IFERROR(INDEX(Starlink!$D:$AC, MATCH("Memo: V3 DTC Blended IRR", Starlink!$A:$A, 0), G$5+1), 0)</f>
        <v>2.6775147463707953</v>
      </c>
      <c r="H109" s="15" cm="1">
        <f t="array" aca="1" ref="H109" ca="1">IFERROR(INDEX(Starlink!$D:$AC, MATCH("Memo: V3 DTC Blended IRR", Starlink!$A:$A, 0), H$5+1), 0)</f>
        <v>3.0909263736058041</v>
      </c>
      <c r="I109" s="15" cm="1">
        <f t="array" aca="1" ref="I109" ca="1">IFERROR(INDEX(Starlink!$D:$AC, MATCH("Memo: V3 DTC Blended IRR", Starlink!$A:$A, 0), I$5+1), 0)</f>
        <v>3.4450013726471127</v>
      </c>
      <c r="J109" s="15" cm="1">
        <f t="array" aca="1" ref="J109" ca="1">IFERROR(INDEX(Starlink!$D:$AC, MATCH("Memo: V3 DTC Blended IRR", Starlink!$A:$A, 0), J$5+1), 0)</f>
        <v>3.838749130784433</v>
      </c>
      <c r="K109" s="15" cm="1">
        <f t="array" aca="1" ref="K109" ca="1">IFERROR(INDEX(Starlink!$D:$AC, MATCH("Memo: V3 DTC Blended IRR", Starlink!$A:$A, 0), K$5+1), 0)</f>
        <v>4.2766720198603672</v>
      </c>
      <c r="L109" s="15" cm="1">
        <f t="array" aca="1" ref="L109" ca="1">IFERROR(INDEX(Starlink!$D:$AC, MATCH("Memo: V3 DTC Blended IRR", Starlink!$A:$A, 0), L$5+1), 0)</f>
        <v>4.6715699821409853</v>
      </c>
      <c r="M109" s="15" cm="1">
        <f t="array" aca="1" ref="M109" ca="1">IFERROR(INDEX(Starlink!$D:$AC, MATCH("Memo: V3 DTC Blended IRR", Starlink!$A:$A, 0), M$5+1), 0)</f>
        <v>5.0172136997834498</v>
      </c>
      <c r="N109" s="15" cm="1">
        <f t="array" aca="1" ref="N109" ca="1">IFERROR(INDEX(Starlink!$D:$AC, MATCH("Memo: V3 DTC Blended IRR", Starlink!$A:$A, 0), N$5+1), 0)</f>
        <v>5.3498868965123414</v>
      </c>
      <c r="O109" s="15" cm="1">
        <f t="array" aca="1" ref="O109" ca="1">IFERROR(INDEX(Starlink!$D:$AC, MATCH("Memo: V3 DTC Blended IRR", Starlink!$A:$A, 0), O$5+1), 0)</f>
        <v>5.6669329784111877</v>
      </c>
      <c r="P109" s="15" cm="1">
        <f t="array" aca="1" ref="P109" ca="1">IFERROR(INDEX(Starlink!$D:$AC, MATCH("Memo: V3 DTC Blended IRR", Starlink!$A:$A, 0), P$5+1), 0)</f>
        <v>6.0008170703851675</v>
      </c>
      <c r="Q109" s="15" cm="1">
        <f t="array" aca="1" ref="Q109" ca="1">IFERROR(INDEX(Starlink!$D:$AC, MATCH("Memo: V3 DTC Blended IRR", Starlink!$A:$A, 0), Q$5+1), 0)</f>
        <v>6.3525063788218556</v>
      </c>
      <c r="R109" s="15" cm="1">
        <f t="array" aca="1" ref="R109" ca="1">IFERROR(INDEX(Starlink!$D:$AC, MATCH("Memo: V3 DTC Blended IRR", Starlink!$A:$A, 0), R$5+1), 0)</f>
        <v>6.7230223120796344</v>
      </c>
      <c r="S109" s="15" cm="1">
        <f t="array" aca="1" ref="S109" ca="1">IFERROR(INDEX(Starlink!$D:$AC, MATCH("Memo: V3 DTC Blended IRR", Starlink!$A:$A, 0), S$5+1), 0)</f>
        <v>7.113443285996401</v>
      </c>
      <c r="T109" s="15" cm="1">
        <f t="array" aca="1" ref="T109" ca="1">IFERROR(INDEX(Starlink!$D:$AC, MATCH("Memo: V3 DTC Blended IRR", Starlink!$A:$A, 0), T$5+1), 0)</f>
        <v>7.5249077169246554</v>
      </c>
      <c r="U109" s="15" cm="1">
        <f t="array" aca="1" ref="U109" ca="1">IFERROR(INDEX(Starlink!$D:$AC, MATCH("Memo: V3 DTC Blended IRR", Starlink!$A:$A, 0), U$5+1), 0)</f>
        <v>7.9586172100598525</v>
      </c>
      <c r="V109" s="15" cm="1">
        <f t="array" aca="1" ref="V109" ca="1">IFERROR(INDEX(Starlink!$D:$AC, MATCH("Memo: V3 DTC Blended IRR", Starlink!$A:$A, 0), V$5+1), 0)</f>
        <v>8.415839951208401</v>
      </c>
      <c r="W109" s="15" cm="1">
        <f t="array" aca="1" ref="W109" ca="1">IFERROR(INDEX(Starlink!$D:$AC, MATCH("Memo: V3 DTC Blended IRR", Starlink!$A:$A, 0), W$5+1), 0)</f>
        <v>8.8979143106355636</v>
      </c>
      <c r="X109" s="15" cm="1">
        <f t="array" aca="1" ref="X109" ca="1">IFERROR(INDEX(Starlink!$D:$AC, MATCH("Memo: V3 DTC Blended IRR", Starlink!$A:$A, 0), X$5+1), 0)</f>
        <v>9.4062526682200627</v>
      </c>
      <c r="Y109" s="15" cm="1">
        <f t="array" aca="1" ref="Y109" ca="1">IFERROR(INDEX(Starlink!$D:$AC, MATCH("Memo: V3 DTC Blended IRR", Starlink!$A:$A, 0), Y$5+1), 0)</f>
        <v>9.9423454698055878</v>
      </c>
      <c r="Z109" s="15" cm="1">
        <f t="array" aca="1" ref="Z109" ca="1">IFERROR(INDEX(Starlink!$D:$AC, MATCH("Memo: V3 DTC Blended IRR", Starlink!$A:$A, 0), Z$5+1), 0)</f>
        <v>10.507765525367116</v>
      </c>
      <c r="AA109" s="15" cm="1">
        <f t="array" aca="1" ref="AA109" ca="1">IFERROR(INDEX(Starlink!$D:$AC, MATCH("Memo: V3 DTC Blended IRR", Starlink!$A:$A, 0), AA$5+1), 0)</f>
        <v>11.104172560391842</v>
      </c>
      <c r="AB109" s="15" cm="1">
        <f t="array" aca="1" ref="AB109" ca="1">IFERROR(INDEX(Starlink!$D:$AC, MATCH("Memo: V3 DTC Blended IRR", Starlink!$A:$A, 0), AB$5+1), 0)</f>
        <v>2.5545626095634217</v>
      </c>
      <c r="AC109" s="15" cm="1">
        <f t="array" aca="1" ref="AC109" ca="1">IFERROR(INDEX(Starlink!$D:$AC, MATCH("Memo: V3 DTC Blended IRR", Starlink!$A:$A, 0), AC$5+1), 0)</f>
        <v>2.7390883527282979</v>
      </c>
    </row>
    <row r="110" spans="1:29" x14ac:dyDescent="0.2">
      <c r="A110" t="s">
        <v>1686</v>
      </c>
      <c r="D110" s="68" cm="1">
        <f t="array" aca="1" ref="D110" ca="1">IF(D$4 &lt; INDEX('Launch Capacity'!$D:$AC, MATCH("V3 Starlink launch trigger year", 'Launch Capacity'!$A:$A, 0), 1), 0, IFERROR(INDEX(Starlink!$D:$AC, MATCH("V3 DTC Starship kg demand", Starlink!$A:$A, 0), D$5+1), 0))</f>
        <v>0</v>
      </c>
      <c r="E110" s="68" cm="1">
        <f t="array" aca="1" ref="E110" ca="1">IF(E$4 &lt; INDEX('Launch Capacity'!$D:$AC, MATCH("V3 Starlink launch trigger year", 'Launch Capacity'!$A:$A, 0), 1), 0, IFERROR(INDEX(Starlink!$D:$AC, MATCH("V3 DTC Starship kg demand", Starlink!$A:$A, 0), E$5+1), 0))</f>
        <v>0</v>
      </c>
      <c r="F110" s="68" cm="1">
        <f t="array" aca="1" ref="F110" ca="1">IF(F$4 &lt; INDEX('Launch Capacity'!$D:$AC, MATCH("V3 Starlink launch trigger year", 'Launch Capacity'!$A:$A, 0), 1), 0, IFERROR(INDEX(Starlink!$D:$AC, MATCH("V3 DTC Starship kg demand", Starlink!$A:$A, 0), F$5+1), 0))</f>
        <v>0</v>
      </c>
      <c r="G110" s="68" cm="1">
        <f t="array" aca="1" ref="G110" ca="1">IF(G$4 &lt; INDEX('Launch Capacity'!$D:$AC, MATCH("V3 Starlink launch trigger year", 'Launch Capacity'!$A:$A, 0), 1), 0, IFERROR(INDEX(Starlink!$D:$AC, MATCH("V3 DTC Starship kg demand", Starlink!$A:$A, 0), G$5+1), 0))</f>
        <v>0</v>
      </c>
      <c r="H110" s="68" cm="1">
        <f t="array" aca="1" ref="H110" ca="1">IF(H$4 &lt; INDEX('Launch Capacity'!$D:$AC, MATCH("V3 Starlink launch trigger year", 'Launch Capacity'!$A:$A, 0), 1), 0, IFERROR(INDEX(Starlink!$D:$AC, MATCH("V3 DTC Starship kg demand", Starlink!$A:$A, 0), H$5+1), 0))</f>
        <v>0</v>
      </c>
      <c r="I110" s="68" cm="1">
        <f t="array" aca="1" ref="I110" ca="1">IF(I$4 &lt; INDEX('Launch Capacity'!$D:$AC, MATCH("V3 Starlink launch trigger year", 'Launch Capacity'!$A:$A, 0), 1), 0, IFERROR(INDEX(Starlink!$D:$AC, MATCH("V3 DTC Starship kg demand", Starlink!$A:$A, 0), I$5+1), 0))</f>
        <v>0</v>
      </c>
      <c r="J110" s="68" cm="1">
        <f t="array" aca="1" ref="J110" ca="1">IF(J$4 &lt; INDEX('Launch Capacity'!$D:$AC, MATCH("V3 Starlink launch trigger year", 'Launch Capacity'!$A:$A, 0), 1), 0, IFERROR(INDEX(Starlink!$D:$AC, MATCH("V3 DTC Starship kg demand", Starlink!$A:$A, 0), J$5+1), 0))</f>
        <v>0</v>
      </c>
      <c r="K110" s="68" cm="1">
        <f t="array" aca="1" ref="K110" ca="1">IF(K$4 &lt; INDEX('Launch Capacity'!$D:$AC, MATCH("V3 Starlink launch trigger year", 'Launch Capacity'!$A:$A, 0), 1), 0, IFERROR(INDEX(Starlink!$D:$AC, MATCH("V3 DTC Starship kg demand", Starlink!$A:$A, 0), K$5+1), 0))</f>
        <v>0</v>
      </c>
      <c r="L110" s="68" cm="1">
        <f t="array" aca="1" ref="L110" ca="1">IF(L$4 &lt; INDEX('Launch Capacity'!$D:$AC, MATCH("V3 Starlink launch trigger year", 'Launch Capacity'!$A:$A, 0), 1), 0, IFERROR(INDEX(Starlink!$D:$AC, MATCH("V3 DTC Starship kg demand", Starlink!$A:$A, 0), L$5+1), 0))</f>
        <v>0</v>
      </c>
      <c r="M110" s="68" cm="1">
        <f t="array" aca="1" ref="M110" ca="1">IF(M$4 &lt; INDEX('Launch Capacity'!$D:$AC, MATCH("V3 Starlink launch trigger year", 'Launch Capacity'!$A:$A, 0), 1), 0, IFERROR(INDEX(Starlink!$D:$AC, MATCH("V3 DTC Starship kg demand", Starlink!$A:$A, 0), M$5+1), 0))</f>
        <v>0</v>
      </c>
      <c r="N110" s="68" cm="1">
        <f t="array" aca="1" ref="N110" ca="1">IF(N$4 &lt; INDEX('Launch Capacity'!$D:$AC, MATCH("V3 Starlink launch trigger year", 'Launch Capacity'!$A:$A, 0), 1), 0, IFERROR(INDEX(Starlink!$D:$AC, MATCH("V3 DTC Starship kg demand", Starlink!$A:$A, 0), N$5+1), 0))</f>
        <v>0</v>
      </c>
      <c r="O110" s="68" cm="1">
        <f t="array" aca="1" ref="O110" ca="1">IF(O$4 &lt; INDEX('Launch Capacity'!$D:$AC, MATCH("V3 Starlink launch trigger year", 'Launch Capacity'!$A:$A, 0), 1), 0, IFERROR(INDEX(Starlink!$D:$AC, MATCH("V3 DTC Starship kg demand", Starlink!$A:$A, 0), O$5+1), 0))</f>
        <v>0</v>
      </c>
      <c r="P110" s="68" cm="1">
        <f t="array" aca="1" ref="P110" ca="1">IF(P$4 &lt; INDEX('Launch Capacity'!$D:$AC, MATCH("V3 Starlink launch trigger year", 'Launch Capacity'!$A:$A, 0), 1), 0, IFERROR(INDEX(Starlink!$D:$AC, MATCH("V3 DTC Starship kg demand", Starlink!$A:$A, 0), P$5+1), 0))</f>
        <v>0</v>
      </c>
      <c r="Q110" s="68" cm="1">
        <f t="array" aca="1" ref="Q110" ca="1">IF(Q$4 &lt; INDEX('Launch Capacity'!$D:$AC, MATCH("V3 Starlink launch trigger year", 'Launch Capacity'!$A:$A, 0), 1), 0, IFERROR(INDEX(Starlink!$D:$AC, MATCH("V3 DTC Starship kg demand", Starlink!$A:$A, 0), Q$5+1), 0))</f>
        <v>0</v>
      </c>
      <c r="R110" s="68" cm="1">
        <f t="array" aca="1" ref="R110" ca="1">IF(R$4 &lt; INDEX('Launch Capacity'!$D:$AC, MATCH("V3 Starlink launch trigger year", 'Launch Capacity'!$A:$A, 0), 1), 0, IFERROR(INDEX(Starlink!$D:$AC, MATCH("V3 DTC Starship kg demand", Starlink!$A:$A, 0), R$5+1), 0))</f>
        <v>0</v>
      </c>
      <c r="S110" s="68" cm="1">
        <f t="array" aca="1" ref="S110" ca="1">IF(S$4 &lt; INDEX('Launch Capacity'!$D:$AC, MATCH("V3 Starlink launch trigger year", 'Launch Capacity'!$A:$A, 0), 1), 0, IFERROR(INDEX(Starlink!$D:$AC, MATCH("V3 DTC Starship kg demand", Starlink!$A:$A, 0), S$5+1), 0))</f>
        <v>0</v>
      </c>
      <c r="T110" s="68" cm="1">
        <f t="array" aca="1" ref="T110" ca="1">IF(T$4 &lt; INDEX('Launch Capacity'!$D:$AC, MATCH("V3 Starlink launch trigger year", 'Launch Capacity'!$A:$A, 0), 1), 0, IFERROR(INDEX(Starlink!$D:$AC, MATCH("V3 DTC Starship kg demand", Starlink!$A:$A, 0), T$5+1), 0))</f>
        <v>0</v>
      </c>
      <c r="U110" s="68" cm="1">
        <f t="array" aca="1" ref="U110" ca="1">IF(U$4 &lt; INDEX('Launch Capacity'!$D:$AC, MATCH("V3 Starlink launch trigger year", 'Launch Capacity'!$A:$A, 0), 1), 0, IFERROR(INDEX(Starlink!$D:$AC, MATCH("V3 DTC Starship kg demand", Starlink!$A:$A, 0), U$5+1), 0))</f>
        <v>0</v>
      </c>
      <c r="V110" s="68" cm="1">
        <f t="array" aca="1" ref="V110" ca="1">IF(V$4 &lt; INDEX('Launch Capacity'!$D:$AC, MATCH("V3 Starlink launch trigger year", 'Launch Capacity'!$A:$A, 0), 1), 0, IFERROR(INDEX(Starlink!$D:$AC, MATCH("V3 DTC Starship kg demand", Starlink!$A:$A, 0), V$5+1), 0))</f>
        <v>0</v>
      </c>
      <c r="W110" s="68" cm="1">
        <f t="array" aca="1" ref="W110" ca="1">IF(W$4 &lt; INDEX('Launch Capacity'!$D:$AC, MATCH("V3 Starlink launch trigger year", 'Launch Capacity'!$A:$A, 0), 1), 0, IFERROR(INDEX(Starlink!$D:$AC, MATCH("V3 DTC Starship kg demand", Starlink!$A:$A, 0), W$5+1), 0))</f>
        <v>0</v>
      </c>
      <c r="X110" s="68" cm="1">
        <f t="array" aca="1" ref="X110" ca="1">IF(X$4 &lt; INDEX('Launch Capacity'!$D:$AC, MATCH("V3 Starlink launch trigger year", 'Launch Capacity'!$A:$A, 0), 1), 0, IFERROR(INDEX(Starlink!$D:$AC, MATCH("V3 DTC Starship kg demand", Starlink!$A:$A, 0), X$5+1), 0))</f>
        <v>0</v>
      </c>
      <c r="Y110" s="68" cm="1">
        <f t="array" aca="1" ref="Y110" ca="1">IF(Y$4 &lt; INDEX('Launch Capacity'!$D:$AC, MATCH("V3 Starlink launch trigger year", 'Launch Capacity'!$A:$A, 0), 1), 0, IFERROR(INDEX(Starlink!$D:$AC, MATCH("V3 DTC Starship kg demand", Starlink!$A:$A, 0), Y$5+1), 0))</f>
        <v>0</v>
      </c>
      <c r="Z110" s="68" cm="1">
        <f t="array" aca="1" ref="Z110" ca="1">IF(Z$4 &lt; INDEX('Launch Capacity'!$D:$AC, MATCH("V3 Starlink launch trigger year", 'Launch Capacity'!$A:$A, 0), 1), 0, IFERROR(INDEX(Starlink!$D:$AC, MATCH("V3 DTC Starship kg demand", Starlink!$A:$A, 0), Z$5+1), 0))</f>
        <v>0</v>
      </c>
      <c r="AA110" s="68" cm="1">
        <f t="array" aca="1" ref="AA110" ca="1">IF(AA$4 &lt; INDEX('Launch Capacity'!$D:$AC, MATCH("V3 Starlink launch trigger year", 'Launch Capacity'!$A:$A, 0), 1), 0, IFERROR(INDEX(Starlink!$D:$AC, MATCH("V3 DTC Starship kg demand", Starlink!$A:$A, 0), AA$5+1), 0))</f>
        <v>0</v>
      </c>
      <c r="AB110" s="68" cm="1">
        <f t="array" aca="1" ref="AB110" ca="1">IF(AB$4 &lt; INDEX('Launch Capacity'!$D:$AC, MATCH("V3 Starlink launch trigger year", 'Launch Capacity'!$A:$A, 0), 1), 0, IFERROR(INDEX(Starlink!$D:$AC, MATCH("V3 DTC Starship kg demand", Starlink!$A:$A, 0), AB$5+1), 0))</f>
        <v>0</v>
      </c>
      <c r="AC110" s="68" cm="1">
        <f t="array" aca="1" ref="AC110" ca="1">IF(AC$4 &lt; INDEX('Launch Capacity'!$D:$AC, MATCH("V3 Starlink launch trigger year", 'Launch Capacity'!$A:$A, 0), 1), 0, IFERROR(INDEX(Starlink!$D:$AC, MATCH("V3 DTC Starship kg demand", Starlink!$A:$A, 0), AC$5+1), 0))</f>
        <v>0</v>
      </c>
    </row>
    <row r="111" spans="1:29" x14ac:dyDescent="0.2">
      <c r="A111" t="s">
        <v>1687</v>
      </c>
      <c r="D111" s="17">
        <f ca="1">MAX(D109, 0)^INDEX(Assumptions!$B:$B, MATCH("Sigmoid IRR-blend exponent k", Assumptions!$A:$A, 0)) * IF(D110 &gt; 0, 1, 0)</f>
        <v>0</v>
      </c>
      <c r="E111" s="17">
        <f ca="1">MAX(E109, 0)^INDEX(Assumptions!$B:$B, MATCH("Sigmoid IRR-blend exponent k", Assumptions!$A:$A, 0)) * IF(E110 &gt; 0, 1, 0)</f>
        <v>0</v>
      </c>
      <c r="F111" s="17">
        <f ca="1">MAX(F109, 0)^INDEX(Assumptions!$B:$B, MATCH("Sigmoid IRR-blend exponent k", Assumptions!$A:$A, 0)) * IF(F110 &gt; 0, 1, 0)</f>
        <v>0</v>
      </c>
      <c r="G111" s="17">
        <f ca="1">MAX(G109, 0)^INDEX(Assumptions!$B:$B, MATCH("Sigmoid IRR-blend exponent k", Assumptions!$A:$A, 0)) * IF(G110 &gt; 0, 1, 0)</f>
        <v>0</v>
      </c>
      <c r="H111" s="17">
        <f ca="1">MAX(H109, 0)^INDEX(Assumptions!$B:$B, MATCH("Sigmoid IRR-blend exponent k", Assumptions!$A:$A, 0)) * IF(H110 &gt; 0, 1, 0)</f>
        <v>0</v>
      </c>
      <c r="I111" s="17">
        <f ca="1">MAX(I109, 0)^INDEX(Assumptions!$B:$B, MATCH("Sigmoid IRR-blend exponent k", Assumptions!$A:$A, 0)) * IF(I110 &gt; 0, 1, 0)</f>
        <v>0</v>
      </c>
      <c r="J111" s="17">
        <f ca="1">MAX(J109, 0)^INDEX(Assumptions!$B:$B, MATCH("Sigmoid IRR-blend exponent k", Assumptions!$A:$A, 0)) * IF(J110 &gt; 0, 1, 0)</f>
        <v>0</v>
      </c>
      <c r="K111" s="17">
        <f ca="1">MAX(K109, 0)^INDEX(Assumptions!$B:$B, MATCH("Sigmoid IRR-blend exponent k", Assumptions!$A:$A, 0)) * IF(K110 &gt; 0, 1, 0)</f>
        <v>0</v>
      </c>
      <c r="L111" s="17">
        <f ca="1">MAX(L109, 0)^INDEX(Assumptions!$B:$B, MATCH("Sigmoid IRR-blend exponent k", Assumptions!$A:$A, 0)) * IF(L110 &gt; 0, 1, 0)</f>
        <v>0</v>
      </c>
      <c r="M111" s="17">
        <f ca="1">MAX(M109, 0)^INDEX(Assumptions!$B:$B, MATCH("Sigmoid IRR-blend exponent k", Assumptions!$A:$A, 0)) * IF(M110 &gt; 0, 1, 0)</f>
        <v>0</v>
      </c>
      <c r="N111" s="17">
        <f ca="1">MAX(N109, 0)^INDEX(Assumptions!$B:$B, MATCH("Sigmoid IRR-blend exponent k", Assumptions!$A:$A, 0)) * IF(N110 &gt; 0, 1, 0)</f>
        <v>0</v>
      </c>
      <c r="O111" s="17">
        <f ca="1">MAX(O109, 0)^INDEX(Assumptions!$B:$B, MATCH("Sigmoid IRR-blend exponent k", Assumptions!$A:$A, 0)) * IF(O110 &gt; 0, 1, 0)</f>
        <v>0</v>
      </c>
      <c r="P111" s="17">
        <f ca="1">MAX(P109, 0)^INDEX(Assumptions!$B:$B, MATCH("Sigmoid IRR-blend exponent k", Assumptions!$A:$A, 0)) * IF(P110 &gt; 0, 1, 0)</f>
        <v>0</v>
      </c>
      <c r="Q111" s="17">
        <f ca="1">MAX(Q109, 0)^INDEX(Assumptions!$B:$B, MATCH("Sigmoid IRR-blend exponent k", Assumptions!$A:$A, 0)) * IF(Q110 &gt; 0, 1, 0)</f>
        <v>0</v>
      </c>
      <c r="R111" s="17">
        <f ca="1">MAX(R109, 0)^INDEX(Assumptions!$B:$B, MATCH("Sigmoid IRR-blend exponent k", Assumptions!$A:$A, 0)) * IF(R110 &gt; 0, 1, 0)</f>
        <v>0</v>
      </c>
      <c r="S111" s="17">
        <f ca="1">MAX(S109, 0)^INDEX(Assumptions!$B:$B, MATCH("Sigmoid IRR-blend exponent k", Assumptions!$A:$A, 0)) * IF(S110 &gt; 0, 1, 0)</f>
        <v>0</v>
      </c>
      <c r="T111" s="17">
        <f ca="1">MAX(T109, 0)^INDEX(Assumptions!$B:$B, MATCH("Sigmoid IRR-blend exponent k", Assumptions!$A:$A, 0)) * IF(T110 &gt; 0, 1, 0)</f>
        <v>0</v>
      </c>
      <c r="U111" s="17">
        <f ca="1">MAX(U109, 0)^INDEX(Assumptions!$B:$B, MATCH("Sigmoid IRR-blend exponent k", Assumptions!$A:$A, 0)) * IF(U110 &gt; 0, 1, 0)</f>
        <v>0</v>
      </c>
      <c r="V111" s="17">
        <f ca="1">MAX(V109, 0)^INDEX(Assumptions!$B:$B, MATCH("Sigmoid IRR-blend exponent k", Assumptions!$A:$A, 0)) * IF(V110 &gt; 0, 1, 0)</f>
        <v>0</v>
      </c>
      <c r="W111" s="17">
        <f ca="1">MAX(W109, 0)^INDEX(Assumptions!$B:$B, MATCH("Sigmoid IRR-blend exponent k", Assumptions!$A:$A, 0)) * IF(W110 &gt; 0, 1, 0)</f>
        <v>0</v>
      </c>
      <c r="X111" s="17">
        <f ca="1">MAX(X109, 0)^INDEX(Assumptions!$B:$B, MATCH("Sigmoid IRR-blend exponent k", Assumptions!$A:$A, 0)) * IF(X110 &gt; 0, 1, 0)</f>
        <v>0</v>
      </c>
      <c r="Y111" s="17">
        <f ca="1">MAX(Y109, 0)^INDEX(Assumptions!$B:$B, MATCH("Sigmoid IRR-blend exponent k", Assumptions!$A:$A, 0)) * IF(Y110 &gt; 0, 1, 0)</f>
        <v>0</v>
      </c>
      <c r="Z111" s="17">
        <f ca="1">MAX(Z109, 0)^INDEX(Assumptions!$B:$B, MATCH("Sigmoid IRR-blend exponent k", Assumptions!$A:$A, 0)) * IF(Z110 &gt; 0, 1, 0)</f>
        <v>0</v>
      </c>
      <c r="AA111" s="17">
        <f ca="1">MAX(AA109, 0)^INDEX(Assumptions!$B:$B, MATCH("Sigmoid IRR-blend exponent k", Assumptions!$A:$A, 0)) * IF(AA110 &gt; 0, 1, 0)</f>
        <v>0</v>
      </c>
      <c r="AB111" s="17">
        <f ca="1">MAX(AB109, 0)^INDEX(Assumptions!$B:$B, MATCH("Sigmoid IRR-blend exponent k", Assumptions!$A:$A, 0)) * IF(AB110 &gt; 0, 1, 0)</f>
        <v>0</v>
      </c>
      <c r="AC111" s="17">
        <f ca="1">MAX(AC109, 0)^INDEX(Assumptions!$B:$B, MATCH("Sigmoid IRR-blend exponent k", Assumptions!$A:$A, 0)) * IF(AC110 &gt; 0, 1, 0)</f>
        <v>0</v>
      </c>
    </row>
    <row r="112" spans="1:29" x14ac:dyDescent="0.2">
      <c r="A112" t="s">
        <v>1688</v>
      </c>
      <c r="D112" s="15">
        <f ca="1">MIN(IF(D109 &gt; 0, D110, 0), $D$96 * D111 / IF($D$134 &gt; 0, $D$134, 1))</f>
        <v>0</v>
      </c>
      <c r="E112" s="15">
        <f t="shared" ref="E112:AC112" ca="1" si="26">MIN(IF(E109 &gt; 0, E110, 0), $D$96 * E111 / IF($D$134 &gt; 0, $D$134, 1))</f>
        <v>0</v>
      </c>
      <c r="F112" s="15">
        <f t="shared" ca="1" si="26"/>
        <v>0</v>
      </c>
      <c r="G112" s="15">
        <f t="shared" ca="1" si="26"/>
        <v>0</v>
      </c>
      <c r="H112" s="15">
        <f t="shared" ca="1" si="26"/>
        <v>0</v>
      </c>
      <c r="I112" s="15">
        <f t="shared" ca="1" si="26"/>
        <v>0</v>
      </c>
      <c r="J112" s="15">
        <f t="shared" ca="1" si="26"/>
        <v>0</v>
      </c>
      <c r="K112" s="15">
        <f t="shared" ca="1" si="26"/>
        <v>0</v>
      </c>
      <c r="L112" s="15">
        <f t="shared" ca="1" si="26"/>
        <v>0</v>
      </c>
      <c r="M112" s="15">
        <f t="shared" ca="1" si="26"/>
        <v>0</v>
      </c>
      <c r="N112" s="15">
        <f t="shared" ca="1" si="26"/>
        <v>0</v>
      </c>
      <c r="O112" s="15">
        <f t="shared" ca="1" si="26"/>
        <v>0</v>
      </c>
      <c r="P112" s="15">
        <f t="shared" ca="1" si="26"/>
        <v>0</v>
      </c>
      <c r="Q112" s="15">
        <f t="shared" ca="1" si="26"/>
        <v>0</v>
      </c>
      <c r="R112" s="15">
        <f t="shared" ca="1" si="26"/>
        <v>0</v>
      </c>
      <c r="S112" s="15">
        <f t="shared" ca="1" si="26"/>
        <v>0</v>
      </c>
      <c r="T112" s="15">
        <f t="shared" ca="1" si="26"/>
        <v>0</v>
      </c>
      <c r="U112" s="15">
        <f t="shared" ca="1" si="26"/>
        <v>0</v>
      </c>
      <c r="V112" s="15">
        <f t="shared" ca="1" si="26"/>
        <v>0</v>
      </c>
      <c r="W112" s="15">
        <f t="shared" ca="1" si="26"/>
        <v>0</v>
      </c>
      <c r="X112" s="15">
        <f t="shared" ca="1" si="26"/>
        <v>0</v>
      </c>
      <c r="Y112" s="15">
        <f t="shared" ca="1" si="26"/>
        <v>0</v>
      </c>
      <c r="Z112" s="15">
        <f t="shared" ca="1" si="26"/>
        <v>0</v>
      </c>
      <c r="AA112" s="15">
        <f t="shared" ca="1" si="26"/>
        <v>0</v>
      </c>
      <c r="AB112" s="15">
        <f t="shared" ca="1" si="26"/>
        <v>0</v>
      </c>
      <c r="AC112" s="15">
        <f t="shared" ca="1" si="26"/>
        <v>0</v>
      </c>
    </row>
    <row r="113" spans="1:29" x14ac:dyDescent="0.2">
      <c r="A113" t="s">
        <v>1476</v>
      </c>
    </row>
    <row r="114" spans="1:29" x14ac:dyDescent="0.2">
      <c r="A114" s="18" t="s">
        <v>1460</v>
      </c>
      <c r="D114" cm="1">
        <f t="array" aca="1" ref="D114" ca="1">IFERROR(INDEX(ODC!$D:$AC, MATCH("Blended IRR", ODC!$A:$A, 0), D$5+1), 0)</f>
        <v>-0.29679998660744167</v>
      </c>
      <c r="E114" cm="1">
        <f t="array" aca="1" ref="E114" ca="1">IFERROR(INDEX(ODC!$D:$AC, MATCH("Blended IRR", ODC!$A:$A, 0), E$5+1), 0)</f>
        <v>-0.21105040626378579</v>
      </c>
      <c r="F114" cm="1">
        <f t="array" aca="1" ref="F114" ca="1">IFERROR(INDEX(ODC!$D:$AC, MATCH("Blended IRR", ODC!$A:$A, 0), F$5+1), 0)</f>
        <v>-0.16557325825774769</v>
      </c>
      <c r="G114" cm="1">
        <f t="array" aca="1" ref="G114" ca="1">IFERROR(INDEX(ODC!$D:$AC, MATCH("Blended IRR", ODC!$A:$A, 0), G$5+1), 0)</f>
        <v>-0.11544121971082108</v>
      </c>
      <c r="H114" cm="1">
        <f t="array" aca="1" ref="H114" ca="1">IFERROR(INDEX(ODC!$D:$AC, MATCH("Blended IRR", ODC!$A:$A, 0), H$5+1), 0)</f>
        <v>-8.5999093382365138E-2</v>
      </c>
      <c r="I114" cm="1">
        <f t="array" aca="1" ref="I114" ca="1">IFERROR(INDEX(ODC!$D:$AC, MATCH("Blended IRR", ODC!$A:$A, 0), I$5+1), 0)</f>
        <v>-7.2553759258421252E-2</v>
      </c>
      <c r="J114" cm="1">
        <f t="array" aca="1" ref="J114" ca="1">IFERROR(INDEX(ODC!$D:$AC, MATCH("Blended IRR", ODC!$A:$A, 0), J$5+1), 0)</f>
        <v>-6.1917273098353973E-2</v>
      </c>
      <c r="K114" cm="1">
        <f t="array" aca="1" ref="K114" ca="1">IFERROR(INDEX(ODC!$D:$AC, MATCH("Blended IRR", ODC!$A:$A, 0), K$5+1), 0)</f>
        <v>-5.804590671649254E-2</v>
      </c>
      <c r="L114" cm="1">
        <f t="array" aca="1" ref="L114" ca="1">IFERROR(INDEX(ODC!$D:$AC, MATCH("Blended IRR", ODC!$A:$A, 0), L$5+1), 0)</f>
        <v>-5.5542956900281222E-2</v>
      </c>
      <c r="M114" cm="1">
        <f t="array" aca="1" ref="M114" ca="1">IFERROR(INDEX(ODC!$D:$AC, MATCH("Blended IRR", ODC!$A:$A, 0), M$5+1), 0)</f>
        <v>-5.5203458002136246E-2</v>
      </c>
      <c r="N114" cm="1">
        <f t="array" aca="1" ref="N114" ca="1">IFERROR(INDEX(ODC!$D:$AC, MATCH("Blended IRR", ODC!$A:$A, 0), N$5+1), 0)</f>
        <v>-5.7110041390647653E-2</v>
      </c>
      <c r="O114" cm="1">
        <f t="array" aca="1" ref="O114" ca="1">IFERROR(INDEX(ODC!$D:$AC, MATCH("Blended IRR", ODC!$A:$A, 0), O$5+1), 0)</f>
        <v>-6.1503736284865093E-2</v>
      </c>
      <c r="P114" cm="1">
        <f t="array" aca="1" ref="P114" ca="1">IFERROR(INDEX(ODC!$D:$AC, MATCH("Blended IRR", ODC!$A:$A, 0), P$5+1), 0)</f>
        <v>-6.7945227384861778E-2</v>
      </c>
      <c r="Q114" cm="1">
        <f t="array" aca="1" ref="Q114" ca="1">IFERROR(INDEX(ODC!$D:$AC, MATCH("Blended IRR", ODC!$A:$A, 0), Q$5+1), 0)</f>
        <v>-7.6439826399589295E-2</v>
      </c>
      <c r="R114" cm="1">
        <f t="array" aca="1" ref="R114" ca="1">IFERROR(INDEX(ODC!$D:$AC, MATCH("Blended IRR", ODC!$A:$A, 0), R$5+1), 0)</f>
        <v>-8.5385596191325699E-2</v>
      </c>
      <c r="S114" cm="1">
        <f t="array" aca="1" ref="S114" ca="1">IFERROR(INDEX(ODC!$D:$AC, MATCH("Blended IRR", ODC!$A:$A, 0), S$5+1), 0)</f>
        <v>-9.4830951257844659E-2</v>
      </c>
      <c r="T114" cm="1">
        <f t="array" aca="1" ref="T114" ca="1">IFERROR(INDEX(ODC!$D:$AC, MATCH("Blended IRR", ODC!$A:$A, 0), T$5+1), 0)</f>
        <v>-0.10428388278356032</v>
      </c>
      <c r="U114" cm="1">
        <f t="array" aca="1" ref="U114" ca="1">IFERROR(INDEX(ODC!$D:$AC, MATCH("Blended IRR", ODC!$A:$A, 0), U$5+1), 0)</f>
        <v>-0.11355656722826211</v>
      </c>
      <c r="V114" cm="1">
        <f t="array" aca="1" ref="V114" ca="1">IFERROR(INDEX(ODC!$D:$AC, MATCH("Blended IRR", ODC!$A:$A, 0), V$5+1), 0)</f>
        <v>-0.12290153352282088</v>
      </c>
      <c r="W114" cm="1">
        <f t="array" aca="1" ref="W114" ca="1">IFERROR(INDEX(ODC!$D:$AC, MATCH("Blended IRR", ODC!$A:$A, 0), W$5+1), 0)</f>
        <v>-0.73574725441737465</v>
      </c>
      <c r="X114" cm="1">
        <f t="array" aca="1" ref="X114" ca="1">IFERROR(INDEX(ODC!$D:$AC, MATCH("Blended IRR", ODC!$A:$A, 0), X$5+1), 0)</f>
        <v>-0.73853830615208693</v>
      </c>
      <c r="Y114" cm="1">
        <f t="array" aca="1" ref="Y114" ca="1">IFERROR(INDEX(ODC!$D:$AC, MATCH("Blended IRR", ODC!$A:$A, 0), Y$5+1), 0)</f>
        <v>-1</v>
      </c>
      <c r="Z114" cm="1">
        <f t="array" aca="1" ref="Z114" ca="1">IFERROR(INDEX(ODC!$D:$AC, MATCH("Blended IRR", ODC!$A:$A, 0), Z$5+1), 0)</f>
        <v>-1</v>
      </c>
      <c r="AA114" cm="1">
        <f t="array" aca="1" ref="AA114" ca="1">IFERROR(INDEX(ODC!$D:$AC, MATCH("Blended IRR", ODC!$A:$A, 0), AA$5+1), 0)</f>
        <v>-0.40081703667194529</v>
      </c>
      <c r="AB114" cm="1">
        <f t="array" aca="1" ref="AB114" ca="1">IFERROR(INDEX(ODC!$D:$AC, MATCH("Blended IRR", ODC!$A:$A, 0), AB$5+1), 0)</f>
        <v>-0.40081703667194529</v>
      </c>
      <c r="AC114" cm="1">
        <f t="array" aca="1" ref="AC114" ca="1">IFERROR(INDEX(ODC!$D:$AC, MATCH("Blended IRR", ODC!$A:$A, 0), AC$5+1), 0)</f>
        <v>-0.14402433810277893</v>
      </c>
    </row>
    <row r="115" spans="1:29" x14ac:dyDescent="0.2">
      <c r="A115" t="s">
        <v>1477</v>
      </c>
      <c r="D115" s="17" cm="1">
        <f t="array" aca="1" ref="D115" ca="1">IFERROR(INDEX(ODC!$D:$AC, MATCH("Capacity Demand (kg-to-LEO)", ODC!$A:$A, 0), D$5+1), 0)</f>
        <v>0</v>
      </c>
      <c r="E115" s="17" cm="1">
        <f t="array" aca="1" ref="E115" ca="1">IFERROR(INDEX(ODC!$D:$AC, MATCH("Capacity Demand (kg-to-LEO)", ODC!$A:$A, 0), E$5+1), 0)</f>
        <v>0</v>
      </c>
      <c r="F115" s="17" cm="1">
        <f t="array" aca="1" ref="F115" ca="1">IFERROR(INDEX(ODC!$D:$AC, MATCH("Capacity Demand (kg-to-LEO)", ODC!$A:$A, 0), F$5+1), 0)</f>
        <v>0</v>
      </c>
      <c r="G115" s="17" cm="1">
        <f t="array" aca="1" ref="G115" ca="1">IFERROR(INDEX(ODC!$D:$AC, MATCH("Capacity Demand (kg-to-LEO)", ODC!$A:$A, 0), G$5+1), 0)</f>
        <v>0</v>
      </c>
      <c r="H115" s="17" cm="1">
        <f t="array" aca="1" ref="H115" ca="1">IFERROR(INDEX(ODC!$D:$AC, MATCH("Capacity Demand (kg-to-LEO)", ODC!$A:$A, 0), H$5+1), 0)</f>
        <v>0</v>
      </c>
      <c r="I115" s="17" cm="1">
        <f t="array" aca="1" ref="I115" ca="1">IFERROR(INDEX(ODC!$D:$AC, MATCH("Capacity Demand (kg-to-LEO)", ODC!$A:$A, 0), I$5+1), 0)</f>
        <v>0</v>
      </c>
      <c r="J115" s="17" cm="1">
        <f t="array" aca="1" ref="J115" ca="1">IFERROR(INDEX(ODC!$D:$AC, MATCH("Capacity Demand (kg-to-LEO)", ODC!$A:$A, 0), J$5+1), 0)</f>
        <v>0</v>
      </c>
      <c r="K115" s="17" cm="1">
        <f t="array" aca="1" ref="K115" ca="1">IFERROR(INDEX(ODC!$D:$AC, MATCH("Capacity Demand (kg-to-LEO)", ODC!$A:$A, 0), K$5+1), 0)</f>
        <v>0</v>
      </c>
      <c r="L115" s="17" cm="1">
        <f t="array" aca="1" ref="L115" ca="1">IFERROR(INDEX(ODC!$D:$AC, MATCH("Capacity Demand (kg-to-LEO)", ODC!$A:$A, 0), L$5+1), 0)</f>
        <v>0</v>
      </c>
      <c r="M115" s="17" cm="1">
        <f t="array" aca="1" ref="M115" ca="1">IFERROR(INDEX(ODC!$D:$AC, MATCH("Capacity Demand (kg-to-LEO)", ODC!$A:$A, 0), M$5+1), 0)</f>
        <v>0</v>
      </c>
      <c r="N115" s="17" cm="1">
        <f t="array" aca="1" ref="N115" ca="1">IFERROR(INDEX(ODC!$D:$AC, MATCH("Capacity Demand (kg-to-LEO)", ODC!$A:$A, 0), N$5+1), 0)</f>
        <v>0</v>
      </c>
      <c r="O115" s="17" cm="1">
        <f t="array" aca="1" ref="O115" ca="1">IFERROR(INDEX(ODC!$D:$AC, MATCH("Capacity Demand (kg-to-LEO)", ODC!$A:$A, 0), O$5+1), 0)</f>
        <v>0</v>
      </c>
      <c r="P115" s="17" cm="1">
        <f t="array" aca="1" ref="P115" ca="1">IFERROR(INDEX(ODC!$D:$AC, MATCH("Capacity Demand (kg-to-LEO)", ODC!$A:$A, 0), P$5+1), 0)</f>
        <v>0</v>
      </c>
      <c r="Q115" s="17" cm="1">
        <f t="array" aca="1" ref="Q115" ca="1">IFERROR(INDEX(ODC!$D:$AC, MATCH("Capacity Demand (kg-to-LEO)", ODC!$A:$A, 0), Q$5+1), 0)</f>
        <v>0</v>
      </c>
      <c r="R115" s="17" cm="1">
        <f t="array" aca="1" ref="R115" ca="1">IFERROR(INDEX(ODC!$D:$AC, MATCH("Capacity Demand (kg-to-LEO)", ODC!$A:$A, 0), R$5+1), 0)</f>
        <v>0</v>
      </c>
      <c r="S115" s="17" cm="1">
        <f t="array" aca="1" ref="S115" ca="1">IFERROR(INDEX(ODC!$D:$AC, MATCH("Capacity Demand (kg-to-LEO)", ODC!$A:$A, 0), S$5+1), 0)</f>
        <v>0</v>
      </c>
      <c r="T115" s="17" cm="1">
        <f t="array" aca="1" ref="T115" ca="1">IFERROR(INDEX(ODC!$D:$AC, MATCH("Capacity Demand (kg-to-LEO)", ODC!$A:$A, 0), T$5+1), 0)</f>
        <v>0</v>
      </c>
      <c r="U115" s="17" cm="1">
        <f t="array" aca="1" ref="U115" ca="1">IFERROR(INDEX(ODC!$D:$AC, MATCH("Capacity Demand (kg-to-LEO)", ODC!$A:$A, 0), U$5+1), 0)</f>
        <v>0</v>
      </c>
      <c r="V115" s="17" cm="1">
        <f t="array" aca="1" ref="V115" ca="1">IFERROR(INDEX(ODC!$D:$AC, MATCH("Capacity Demand (kg-to-LEO)", ODC!$A:$A, 0), V$5+1), 0)</f>
        <v>0</v>
      </c>
      <c r="W115" s="17" cm="1">
        <f t="array" aca="1" ref="W115" ca="1">IFERROR(INDEX(ODC!$D:$AC, MATCH("Capacity Demand (kg-to-LEO)", ODC!$A:$A, 0), W$5+1), 0)</f>
        <v>0</v>
      </c>
      <c r="X115" s="17" cm="1">
        <f t="array" aca="1" ref="X115" ca="1">IFERROR(INDEX(ODC!$D:$AC, MATCH("Capacity Demand (kg-to-LEO)", ODC!$A:$A, 0), X$5+1), 0)</f>
        <v>0</v>
      </c>
      <c r="Y115" s="17" cm="1">
        <f t="array" aca="1" ref="Y115" ca="1">IFERROR(INDEX(ODC!$D:$AC, MATCH("Capacity Demand (kg-to-LEO)", ODC!$A:$A, 0), Y$5+1), 0)</f>
        <v>0</v>
      </c>
      <c r="Z115" s="17" cm="1">
        <f t="array" aca="1" ref="Z115" ca="1">IFERROR(INDEX(ODC!$D:$AC, MATCH("Capacity Demand (kg-to-LEO)", ODC!$A:$A, 0), Z$5+1), 0)</f>
        <v>0</v>
      </c>
      <c r="AA115" s="17" cm="1">
        <f t="array" aca="1" ref="AA115" ca="1">IFERROR(INDEX(ODC!$D:$AC, MATCH("Capacity Demand (kg-to-LEO)", ODC!$A:$A, 0), AA$5+1), 0)</f>
        <v>0</v>
      </c>
      <c r="AB115" s="17" cm="1">
        <f t="array" aca="1" ref="AB115" ca="1">IFERROR(INDEX(ODC!$D:$AC, MATCH("Capacity Demand (kg-to-LEO)", ODC!$A:$A, 0), AB$5+1), 0)</f>
        <v>0</v>
      </c>
      <c r="AC115" s="17" cm="1">
        <f t="array" aca="1" ref="AC115" ca="1">IFERROR(INDEX(ODC!$D:$AC, MATCH("Capacity Demand (kg-to-LEO)", ODC!$A:$A, 0), AC$5+1), 0)</f>
        <v>0</v>
      </c>
    </row>
    <row r="116" spans="1:29" x14ac:dyDescent="0.2">
      <c r="A116" t="s">
        <v>1478</v>
      </c>
      <c r="D116" s="15">
        <f ca="1">MAX(D114, 0)^INDEX(Assumptions!$B:$B, MATCH("Sigmoid IRR-blend exponent k", Assumptions!$A:$A, 0)) * IF(D115 &gt; 0, 1, 0)</f>
        <v>0</v>
      </c>
      <c r="E116" s="15">
        <f ca="1">MAX(E114, 0)^INDEX(Assumptions!$B:$B, MATCH("Sigmoid IRR-blend exponent k", Assumptions!$A:$A, 0)) * IF(E115 &gt; 0, 1, 0)</f>
        <v>0</v>
      </c>
      <c r="F116" s="15">
        <f ca="1">MAX(F114, 0)^INDEX(Assumptions!$B:$B, MATCH("Sigmoid IRR-blend exponent k", Assumptions!$A:$A, 0)) * IF(F115 &gt; 0, 1, 0)</f>
        <v>0</v>
      </c>
      <c r="G116" s="15">
        <f ca="1">MAX(G114, 0)^INDEX(Assumptions!$B:$B, MATCH("Sigmoid IRR-blend exponent k", Assumptions!$A:$A, 0)) * IF(G115 &gt; 0, 1, 0)</f>
        <v>0</v>
      </c>
      <c r="H116" s="15">
        <f ca="1">MAX(H114, 0)^INDEX(Assumptions!$B:$B, MATCH("Sigmoid IRR-blend exponent k", Assumptions!$A:$A, 0)) * IF(H115 &gt; 0, 1, 0)</f>
        <v>0</v>
      </c>
      <c r="I116" s="15">
        <f ca="1">MAX(I114, 0)^INDEX(Assumptions!$B:$B, MATCH("Sigmoid IRR-blend exponent k", Assumptions!$A:$A, 0)) * IF(I115 &gt; 0, 1, 0)</f>
        <v>0</v>
      </c>
      <c r="J116" s="15">
        <f ca="1">MAX(J114, 0)^INDEX(Assumptions!$B:$B, MATCH("Sigmoid IRR-blend exponent k", Assumptions!$A:$A, 0)) * IF(J115 &gt; 0, 1, 0)</f>
        <v>0</v>
      </c>
      <c r="K116" s="15">
        <f ca="1">MAX(K114, 0)^INDEX(Assumptions!$B:$B, MATCH("Sigmoid IRR-blend exponent k", Assumptions!$A:$A, 0)) * IF(K115 &gt; 0, 1, 0)</f>
        <v>0</v>
      </c>
      <c r="L116" s="15">
        <f ca="1">MAX(L114, 0)^INDEX(Assumptions!$B:$B, MATCH("Sigmoid IRR-blend exponent k", Assumptions!$A:$A, 0)) * IF(L115 &gt; 0, 1, 0)</f>
        <v>0</v>
      </c>
      <c r="M116" s="15">
        <f ca="1">MAX(M114, 0)^INDEX(Assumptions!$B:$B, MATCH("Sigmoid IRR-blend exponent k", Assumptions!$A:$A, 0)) * IF(M115 &gt; 0, 1, 0)</f>
        <v>0</v>
      </c>
      <c r="N116" s="15">
        <f ca="1">MAX(N114, 0)^INDEX(Assumptions!$B:$B, MATCH("Sigmoid IRR-blend exponent k", Assumptions!$A:$A, 0)) * IF(N115 &gt; 0, 1, 0)</f>
        <v>0</v>
      </c>
      <c r="O116" s="15">
        <f ca="1">MAX(O114, 0)^INDEX(Assumptions!$B:$B, MATCH("Sigmoid IRR-blend exponent k", Assumptions!$A:$A, 0)) * IF(O115 &gt; 0, 1, 0)</f>
        <v>0</v>
      </c>
      <c r="P116" s="15">
        <f ca="1">MAX(P114, 0)^INDEX(Assumptions!$B:$B, MATCH("Sigmoid IRR-blend exponent k", Assumptions!$A:$A, 0)) * IF(P115 &gt; 0, 1, 0)</f>
        <v>0</v>
      </c>
      <c r="Q116" s="15">
        <f ca="1">MAX(Q114, 0)^INDEX(Assumptions!$B:$B, MATCH("Sigmoid IRR-blend exponent k", Assumptions!$A:$A, 0)) * IF(Q115 &gt; 0, 1, 0)</f>
        <v>0</v>
      </c>
      <c r="R116" s="15">
        <f ca="1">MAX(R114, 0)^INDEX(Assumptions!$B:$B, MATCH("Sigmoid IRR-blend exponent k", Assumptions!$A:$A, 0)) * IF(R115 &gt; 0, 1, 0)</f>
        <v>0</v>
      </c>
      <c r="S116" s="15">
        <f ca="1">MAX(S114, 0)^INDEX(Assumptions!$B:$B, MATCH("Sigmoid IRR-blend exponent k", Assumptions!$A:$A, 0)) * IF(S115 &gt; 0, 1, 0)</f>
        <v>0</v>
      </c>
      <c r="T116" s="15">
        <f ca="1">MAX(T114, 0)^INDEX(Assumptions!$B:$B, MATCH("Sigmoid IRR-blend exponent k", Assumptions!$A:$A, 0)) * IF(T115 &gt; 0, 1, 0)</f>
        <v>0</v>
      </c>
      <c r="U116" s="15">
        <f ca="1">MAX(U114, 0)^INDEX(Assumptions!$B:$B, MATCH("Sigmoid IRR-blend exponent k", Assumptions!$A:$A, 0)) * IF(U115 &gt; 0, 1, 0)</f>
        <v>0</v>
      </c>
      <c r="V116" s="15">
        <f ca="1">MAX(V114, 0)^INDEX(Assumptions!$B:$B, MATCH("Sigmoid IRR-blend exponent k", Assumptions!$A:$A, 0)) * IF(V115 &gt; 0, 1, 0)</f>
        <v>0</v>
      </c>
      <c r="W116" s="15">
        <f ca="1">MAX(W114, 0)^INDEX(Assumptions!$B:$B, MATCH("Sigmoid IRR-blend exponent k", Assumptions!$A:$A, 0)) * IF(W115 &gt; 0, 1, 0)</f>
        <v>0</v>
      </c>
      <c r="X116" s="15">
        <f ca="1">MAX(X114, 0)^INDEX(Assumptions!$B:$B, MATCH("Sigmoid IRR-blend exponent k", Assumptions!$A:$A, 0)) * IF(X115 &gt; 0, 1, 0)</f>
        <v>0</v>
      </c>
      <c r="Y116" s="15">
        <f ca="1">MAX(Y114, 0)^INDEX(Assumptions!$B:$B, MATCH("Sigmoid IRR-blend exponent k", Assumptions!$A:$A, 0)) * IF(Y115 &gt; 0, 1, 0)</f>
        <v>0</v>
      </c>
      <c r="Z116" s="15">
        <f ca="1">MAX(Z114, 0)^INDEX(Assumptions!$B:$B, MATCH("Sigmoid IRR-blend exponent k", Assumptions!$A:$A, 0)) * IF(Z115 &gt; 0, 1, 0)</f>
        <v>0</v>
      </c>
      <c r="AA116" s="15">
        <f ca="1">MAX(AA114, 0)^INDEX(Assumptions!$B:$B, MATCH("Sigmoid IRR-blend exponent k", Assumptions!$A:$A, 0)) * IF(AA115 &gt; 0, 1, 0)</f>
        <v>0</v>
      </c>
      <c r="AB116" s="15">
        <f ca="1">MAX(AB114, 0)^INDEX(Assumptions!$B:$B, MATCH("Sigmoid IRR-blend exponent k", Assumptions!$A:$A, 0)) * IF(AB115 &gt; 0, 1, 0)</f>
        <v>0</v>
      </c>
      <c r="AC116" s="15">
        <f ca="1">MAX(AC114, 0)^INDEX(Assumptions!$B:$B, MATCH("Sigmoid IRR-blend exponent k", Assumptions!$A:$A, 0)) * IF(AC115 &gt; 0, 1, 0)</f>
        <v>0</v>
      </c>
    </row>
    <row r="117" spans="1:29" x14ac:dyDescent="0.2">
      <c r="A117" t="s">
        <v>1479</v>
      </c>
      <c r="D117" s="15">
        <f ca="1">MIN(IF(D114 &gt; 0, D115, 0), $D$96 * D116 / IF($D$134 &gt; 0, $D$134, 1))</f>
        <v>0</v>
      </c>
      <c r="E117" s="15">
        <f t="shared" ref="E117:AC117" ca="1" si="27">MIN(IF(E114 &gt; 0, E115, 0), $D$96 * E116 / IF($D$134 &gt; 0, $D$134, 1))</f>
        <v>0</v>
      </c>
      <c r="F117" s="15">
        <f t="shared" ca="1" si="27"/>
        <v>0</v>
      </c>
      <c r="G117" s="15">
        <f t="shared" ca="1" si="27"/>
        <v>0</v>
      </c>
      <c r="H117" s="15">
        <f t="shared" ca="1" si="27"/>
        <v>0</v>
      </c>
      <c r="I117" s="15">
        <f t="shared" ca="1" si="27"/>
        <v>0</v>
      </c>
      <c r="J117" s="15">
        <f t="shared" ca="1" si="27"/>
        <v>0</v>
      </c>
      <c r="K117" s="15">
        <f t="shared" ca="1" si="27"/>
        <v>0</v>
      </c>
      <c r="L117" s="15">
        <f t="shared" ca="1" si="27"/>
        <v>0</v>
      </c>
      <c r="M117" s="15">
        <f t="shared" ca="1" si="27"/>
        <v>0</v>
      </c>
      <c r="N117" s="15">
        <f t="shared" ca="1" si="27"/>
        <v>0</v>
      </c>
      <c r="O117" s="15">
        <f t="shared" ca="1" si="27"/>
        <v>0</v>
      </c>
      <c r="P117" s="15">
        <f t="shared" ca="1" si="27"/>
        <v>0</v>
      </c>
      <c r="Q117" s="15">
        <f t="shared" ca="1" si="27"/>
        <v>0</v>
      </c>
      <c r="R117" s="15">
        <f t="shared" ca="1" si="27"/>
        <v>0</v>
      </c>
      <c r="S117" s="15">
        <f t="shared" ca="1" si="27"/>
        <v>0</v>
      </c>
      <c r="T117" s="15">
        <f t="shared" ca="1" si="27"/>
        <v>0</v>
      </c>
      <c r="U117" s="15">
        <f t="shared" ca="1" si="27"/>
        <v>0</v>
      </c>
      <c r="V117" s="15">
        <f t="shared" ca="1" si="27"/>
        <v>0</v>
      </c>
      <c r="W117" s="15">
        <f t="shared" ca="1" si="27"/>
        <v>0</v>
      </c>
      <c r="X117" s="15">
        <f t="shared" ca="1" si="27"/>
        <v>0</v>
      </c>
      <c r="Y117" s="15">
        <f t="shared" ca="1" si="27"/>
        <v>0</v>
      </c>
      <c r="Z117" s="15">
        <f t="shared" ca="1" si="27"/>
        <v>0</v>
      </c>
      <c r="AA117" s="15">
        <f t="shared" ca="1" si="27"/>
        <v>0</v>
      </c>
      <c r="AB117" s="15">
        <f t="shared" ca="1" si="27"/>
        <v>0</v>
      </c>
      <c r="AC117" s="15">
        <f t="shared" ca="1" si="27"/>
        <v>0</v>
      </c>
    </row>
    <row r="118" spans="1:29" x14ac:dyDescent="0.2">
      <c r="A118" t="s">
        <v>1480</v>
      </c>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row>
    <row r="119" spans="1:29" x14ac:dyDescent="0.2">
      <c r="A119" t="s">
        <v>1465</v>
      </c>
      <c r="D119" s="17" cm="1">
        <f t="array" aca="1" ref="D119" ca="1">IFERROR(INDEX('AI Stack'!$D:$AC, MATCH("Blended IRR", 'AI Stack'!$A:$A, 0), D$5+1), 0)</f>
        <v>0</v>
      </c>
      <c r="E119" s="17" cm="1">
        <f t="array" aca="1" ref="E119" ca="1">IFERROR(INDEX('AI Stack'!$D:$AC, MATCH("Blended IRR", 'AI Stack'!$A:$A, 0), E$5+1), 0)</f>
        <v>0</v>
      </c>
      <c r="F119" s="17" cm="1">
        <f t="array" aca="1" ref="F119" ca="1">IFERROR(INDEX('AI Stack'!$D:$AC, MATCH("Blended IRR", 'AI Stack'!$A:$A, 0), F$5+1), 0)</f>
        <v>0</v>
      </c>
      <c r="G119" s="17" cm="1">
        <f t="array" aca="1" ref="G119" ca="1">IFERROR(INDEX('AI Stack'!$D:$AC, MATCH("Blended IRR", 'AI Stack'!$A:$A, 0), G$5+1), 0)</f>
        <v>0</v>
      </c>
      <c r="H119" s="17" cm="1">
        <f t="array" aca="1" ref="H119" ca="1">IFERROR(INDEX('AI Stack'!$D:$AC, MATCH("Blended IRR", 'AI Stack'!$A:$A, 0), H$5+1), 0)</f>
        <v>0</v>
      </c>
      <c r="I119" s="17" cm="1">
        <f t="array" aca="1" ref="I119" ca="1">IFERROR(INDEX('AI Stack'!$D:$AC, MATCH("Blended IRR", 'AI Stack'!$A:$A, 0), I$5+1), 0)</f>
        <v>0</v>
      </c>
      <c r="J119" s="17" cm="1">
        <f t="array" aca="1" ref="J119" ca="1">IFERROR(INDEX('AI Stack'!$D:$AC, MATCH("Blended IRR", 'AI Stack'!$A:$A, 0), J$5+1), 0)</f>
        <v>0</v>
      </c>
      <c r="K119" s="17" cm="1">
        <f t="array" aca="1" ref="K119" ca="1">IFERROR(INDEX('AI Stack'!$D:$AC, MATCH("Blended IRR", 'AI Stack'!$A:$A, 0), K$5+1), 0)</f>
        <v>0</v>
      </c>
      <c r="L119" s="17" cm="1">
        <f t="array" aca="1" ref="L119" ca="1">IFERROR(INDEX('AI Stack'!$D:$AC, MATCH("Blended IRR", 'AI Stack'!$A:$A, 0), L$5+1), 0)</f>
        <v>0</v>
      </c>
      <c r="M119" s="17" cm="1">
        <f t="array" aca="1" ref="M119" ca="1">IFERROR(INDEX('AI Stack'!$D:$AC, MATCH("Blended IRR", 'AI Stack'!$A:$A, 0), M$5+1), 0)</f>
        <v>0</v>
      </c>
      <c r="N119" s="17" cm="1">
        <f t="array" aca="1" ref="N119" ca="1">IFERROR(INDEX('AI Stack'!$D:$AC, MATCH("Blended IRR", 'AI Stack'!$A:$A, 0), N$5+1), 0)</f>
        <v>0</v>
      </c>
      <c r="O119" s="17" cm="1">
        <f t="array" aca="1" ref="O119" ca="1">IFERROR(INDEX('AI Stack'!$D:$AC, MATCH("Blended IRR", 'AI Stack'!$A:$A, 0), O$5+1), 0)</f>
        <v>0</v>
      </c>
      <c r="P119" s="17" cm="1">
        <f t="array" aca="1" ref="P119" ca="1">IFERROR(INDEX('AI Stack'!$D:$AC, MATCH("Blended IRR", 'AI Stack'!$A:$A, 0), P$5+1), 0)</f>
        <v>0</v>
      </c>
      <c r="Q119" s="17" cm="1">
        <f t="array" aca="1" ref="Q119" ca="1">IFERROR(INDEX('AI Stack'!$D:$AC, MATCH("Blended IRR", 'AI Stack'!$A:$A, 0), Q$5+1), 0)</f>
        <v>0</v>
      </c>
      <c r="R119" s="17" cm="1">
        <f t="array" aca="1" ref="R119" ca="1">IFERROR(INDEX('AI Stack'!$D:$AC, MATCH("Blended IRR", 'AI Stack'!$A:$A, 0), R$5+1), 0)</f>
        <v>0</v>
      </c>
      <c r="S119" s="17" cm="1">
        <f t="array" aca="1" ref="S119" ca="1">IFERROR(INDEX('AI Stack'!$D:$AC, MATCH("Blended IRR", 'AI Stack'!$A:$A, 0), S$5+1), 0)</f>
        <v>0</v>
      </c>
      <c r="T119" s="17" cm="1">
        <f t="array" aca="1" ref="T119" ca="1">IFERROR(INDEX('AI Stack'!$D:$AC, MATCH("Blended IRR", 'AI Stack'!$A:$A, 0), T$5+1), 0)</f>
        <v>0</v>
      </c>
      <c r="U119" s="17" cm="1">
        <f t="array" aca="1" ref="U119" ca="1">IFERROR(INDEX('AI Stack'!$D:$AC, MATCH("Blended IRR", 'AI Stack'!$A:$A, 0), U$5+1), 0)</f>
        <v>0</v>
      </c>
      <c r="V119" s="17" cm="1">
        <f t="array" aca="1" ref="V119" ca="1">IFERROR(INDEX('AI Stack'!$D:$AC, MATCH("Blended IRR", 'AI Stack'!$A:$A, 0), V$5+1), 0)</f>
        <v>0</v>
      </c>
      <c r="W119" s="17" cm="1">
        <f t="array" aca="1" ref="W119" ca="1">IFERROR(INDEX('AI Stack'!$D:$AC, MATCH("Blended IRR", 'AI Stack'!$A:$A, 0), W$5+1), 0)</f>
        <v>0</v>
      </c>
      <c r="X119" s="17" cm="1">
        <f t="array" aca="1" ref="X119" ca="1">IFERROR(INDEX('AI Stack'!$D:$AC, MATCH("Blended IRR", 'AI Stack'!$A:$A, 0), X$5+1), 0)</f>
        <v>0</v>
      </c>
      <c r="Y119" s="17" cm="1">
        <f t="array" aca="1" ref="Y119" ca="1">IFERROR(INDEX('AI Stack'!$D:$AC, MATCH("Blended IRR", 'AI Stack'!$A:$A, 0), Y$5+1), 0)</f>
        <v>0</v>
      </c>
      <c r="Z119" s="17" cm="1">
        <f t="array" aca="1" ref="Z119" ca="1">IFERROR(INDEX('AI Stack'!$D:$AC, MATCH("Blended IRR", 'AI Stack'!$A:$A, 0), Z$5+1), 0)</f>
        <v>0</v>
      </c>
      <c r="AA119" s="17" cm="1">
        <f t="array" aca="1" ref="AA119" ca="1">IFERROR(INDEX('AI Stack'!$D:$AC, MATCH("Blended IRR", 'AI Stack'!$A:$A, 0), AA$5+1), 0)</f>
        <v>0</v>
      </c>
      <c r="AB119" s="17" cm="1">
        <f t="array" aca="1" ref="AB119" ca="1">IFERROR(INDEX('AI Stack'!$D:$AC, MATCH("Blended IRR", 'AI Stack'!$A:$A, 0), AB$5+1), 0)</f>
        <v>0</v>
      </c>
      <c r="AC119" s="17" cm="1">
        <f t="array" aca="1" ref="AC119" ca="1">IFERROR(INDEX('AI Stack'!$D:$AC, MATCH("Blended IRR", 'AI Stack'!$A:$A, 0), AC$5+1), 0)</f>
        <v>0</v>
      </c>
    </row>
    <row r="120" spans="1:29" x14ac:dyDescent="0.2">
      <c r="A120" t="s">
        <v>1481</v>
      </c>
      <c r="D120" s="15">
        <f>0</f>
        <v>0</v>
      </c>
      <c r="E120" s="15">
        <f>0</f>
        <v>0</v>
      </c>
      <c r="F120" s="15">
        <f>0</f>
        <v>0</v>
      </c>
      <c r="G120" s="15">
        <f>0</f>
        <v>0</v>
      </c>
      <c r="H120" s="15">
        <f>0</f>
        <v>0</v>
      </c>
      <c r="I120" s="15">
        <f>0</f>
        <v>0</v>
      </c>
      <c r="J120" s="15">
        <f>0</f>
        <v>0</v>
      </c>
      <c r="K120" s="15">
        <f>0</f>
        <v>0</v>
      </c>
      <c r="L120" s="15">
        <f>0</f>
        <v>0</v>
      </c>
      <c r="M120" s="15">
        <f>0</f>
        <v>0</v>
      </c>
      <c r="N120" s="15">
        <f>0</f>
        <v>0</v>
      </c>
      <c r="O120" s="15">
        <f>0</f>
        <v>0</v>
      </c>
      <c r="P120" s="15">
        <f>0</f>
        <v>0</v>
      </c>
      <c r="Q120" s="15">
        <f>0</f>
        <v>0</v>
      </c>
      <c r="R120" s="15">
        <f>0</f>
        <v>0</v>
      </c>
      <c r="S120" s="15">
        <f>0</f>
        <v>0</v>
      </c>
      <c r="T120" s="15">
        <f>0</f>
        <v>0</v>
      </c>
      <c r="U120" s="15">
        <f>0</f>
        <v>0</v>
      </c>
      <c r="V120" s="15">
        <f>0</f>
        <v>0</v>
      </c>
      <c r="W120" s="15">
        <f>0</f>
        <v>0</v>
      </c>
      <c r="X120" s="15">
        <f>0</f>
        <v>0</v>
      </c>
      <c r="Y120" s="15">
        <f>0</f>
        <v>0</v>
      </c>
      <c r="Z120" s="15">
        <f>0</f>
        <v>0</v>
      </c>
      <c r="AA120" s="15">
        <f>0</f>
        <v>0</v>
      </c>
      <c r="AB120" s="15">
        <f>0</f>
        <v>0</v>
      </c>
      <c r="AC120" s="15">
        <f>0</f>
        <v>0</v>
      </c>
    </row>
    <row r="121" spans="1:29" x14ac:dyDescent="0.2">
      <c r="A121" t="s">
        <v>1482</v>
      </c>
      <c r="D121">
        <f ca="1">MAX(D119, 0)^INDEX(Assumptions!$B:$B, MATCH("Sigmoid IRR-blend exponent k", Assumptions!$A:$A, 0)) * IF(D120 &gt; 0, 1, 0)</f>
        <v>0</v>
      </c>
      <c r="E121">
        <f ca="1">MAX(E119, 0)^INDEX(Assumptions!$B:$B, MATCH("Sigmoid IRR-blend exponent k", Assumptions!$A:$A, 0)) * IF(E120 &gt; 0, 1, 0)</f>
        <v>0</v>
      </c>
      <c r="F121">
        <f ca="1">MAX(F119, 0)^INDEX(Assumptions!$B:$B, MATCH("Sigmoid IRR-blend exponent k", Assumptions!$A:$A, 0)) * IF(F120 &gt; 0, 1, 0)</f>
        <v>0</v>
      </c>
      <c r="G121">
        <f ca="1">MAX(G119, 0)^INDEX(Assumptions!$B:$B, MATCH("Sigmoid IRR-blend exponent k", Assumptions!$A:$A, 0)) * IF(G120 &gt; 0, 1, 0)</f>
        <v>0</v>
      </c>
      <c r="H121">
        <f ca="1">MAX(H119, 0)^INDEX(Assumptions!$B:$B, MATCH("Sigmoid IRR-blend exponent k", Assumptions!$A:$A, 0)) * IF(H120 &gt; 0, 1, 0)</f>
        <v>0</v>
      </c>
      <c r="I121">
        <f ca="1">MAX(I119, 0)^INDEX(Assumptions!$B:$B, MATCH("Sigmoid IRR-blend exponent k", Assumptions!$A:$A, 0)) * IF(I120 &gt; 0, 1, 0)</f>
        <v>0</v>
      </c>
      <c r="J121">
        <f ca="1">MAX(J119, 0)^INDEX(Assumptions!$B:$B, MATCH("Sigmoid IRR-blend exponent k", Assumptions!$A:$A, 0)) * IF(J120 &gt; 0, 1, 0)</f>
        <v>0</v>
      </c>
      <c r="K121">
        <f ca="1">MAX(K119, 0)^INDEX(Assumptions!$B:$B, MATCH("Sigmoid IRR-blend exponent k", Assumptions!$A:$A, 0)) * IF(K120 &gt; 0, 1, 0)</f>
        <v>0</v>
      </c>
      <c r="L121">
        <f ca="1">MAX(L119, 0)^INDEX(Assumptions!$B:$B, MATCH("Sigmoid IRR-blend exponent k", Assumptions!$A:$A, 0)) * IF(L120 &gt; 0, 1, 0)</f>
        <v>0</v>
      </c>
      <c r="M121">
        <f ca="1">MAX(M119, 0)^INDEX(Assumptions!$B:$B, MATCH("Sigmoid IRR-blend exponent k", Assumptions!$A:$A, 0)) * IF(M120 &gt; 0, 1, 0)</f>
        <v>0</v>
      </c>
      <c r="N121">
        <f ca="1">MAX(N119, 0)^INDEX(Assumptions!$B:$B, MATCH("Sigmoid IRR-blend exponent k", Assumptions!$A:$A, 0)) * IF(N120 &gt; 0, 1, 0)</f>
        <v>0</v>
      </c>
      <c r="O121">
        <f ca="1">MAX(O119, 0)^INDEX(Assumptions!$B:$B, MATCH("Sigmoid IRR-blend exponent k", Assumptions!$A:$A, 0)) * IF(O120 &gt; 0, 1, 0)</f>
        <v>0</v>
      </c>
      <c r="P121">
        <f ca="1">MAX(P119, 0)^INDEX(Assumptions!$B:$B, MATCH("Sigmoid IRR-blend exponent k", Assumptions!$A:$A, 0)) * IF(P120 &gt; 0, 1, 0)</f>
        <v>0</v>
      </c>
      <c r="Q121">
        <f ca="1">MAX(Q119, 0)^INDEX(Assumptions!$B:$B, MATCH("Sigmoid IRR-blend exponent k", Assumptions!$A:$A, 0)) * IF(Q120 &gt; 0, 1, 0)</f>
        <v>0</v>
      </c>
      <c r="R121">
        <f ca="1">MAX(R119, 0)^INDEX(Assumptions!$B:$B, MATCH("Sigmoid IRR-blend exponent k", Assumptions!$A:$A, 0)) * IF(R120 &gt; 0, 1, 0)</f>
        <v>0</v>
      </c>
      <c r="S121">
        <f ca="1">MAX(S119, 0)^INDEX(Assumptions!$B:$B, MATCH("Sigmoid IRR-blend exponent k", Assumptions!$A:$A, 0)) * IF(S120 &gt; 0, 1, 0)</f>
        <v>0</v>
      </c>
      <c r="T121">
        <f ca="1">MAX(T119, 0)^INDEX(Assumptions!$B:$B, MATCH("Sigmoid IRR-blend exponent k", Assumptions!$A:$A, 0)) * IF(T120 &gt; 0, 1, 0)</f>
        <v>0</v>
      </c>
      <c r="U121">
        <f ca="1">MAX(U119, 0)^INDEX(Assumptions!$B:$B, MATCH("Sigmoid IRR-blend exponent k", Assumptions!$A:$A, 0)) * IF(U120 &gt; 0, 1, 0)</f>
        <v>0</v>
      </c>
      <c r="V121">
        <f ca="1">MAX(V119, 0)^INDEX(Assumptions!$B:$B, MATCH("Sigmoid IRR-blend exponent k", Assumptions!$A:$A, 0)) * IF(V120 &gt; 0, 1, 0)</f>
        <v>0</v>
      </c>
      <c r="W121">
        <f ca="1">MAX(W119, 0)^INDEX(Assumptions!$B:$B, MATCH("Sigmoid IRR-blend exponent k", Assumptions!$A:$A, 0)) * IF(W120 &gt; 0, 1, 0)</f>
        <v>0</v>
      </c>
      <c r="X121">
        <f ca="1">MAX(X119, 0)^INDEX(Assumptions!$B:$B, MATCH("Sigmoid IRR-blend exponent k", Assumptions!$A:$A, 0)) * IF(X120 &gt; 0, 1, 0)</f>
        <v>0</v>
      </c>
      <c r="Y121">
        <f ca="1">MAX(Y119, 0)^INDEX(Assumptions!$B:$B, MATCH("Sigmoid IRR-blend exponent k", Assumptions!$A:$A, 0)) * IF(Y120 &gt; 0, 1, 0)</f>
        <v>0</v>
      </c>
      <c r="Z121">
        <f ca="1">MAX(Z119, 0)^INDEX(Assumptions!$B:$B, MATCH("Sigmoid IRR-blend exponent k", Assumptions!$A:$A, 0)) * IF(Z120 &gt; 0, 1, 0)</f>
        <v>0</v>
      </c>
      <c r="AA121">
        <f ca="1">MAX(AA119, 0)^INDEX(Assumptions!$B:$B, MATCH("Sigmoid IRR-blend exponent k", Assumptions!$A:$A, 0)) * IF(AA120 &gt; 0, 1, 0)</f>
        <v>0</v>
      </c>
      <c r="AB121">
        <f ca="1">MAX(AB119, 0)^INDEX(Assumptions!$B:$B, MATCH("Sigmoid IRR-blend exponent k", Assumptions!$A:$A, 0)) * IF(AB120 &gt; 0, 1, 0)</f>
        <v>0</v>
      </c>
      <c r="AC121">
        <f ca="1">MAX(AC119, 0)^INDEX(Assumptions!$B:$B, MATCH("Sigmoid IRR-blend exponent k", Assumptions!$A:$A, 0)) * IF(AC120 &gt; 0, 1, 0)</f>
        <v>0</v>
      </c>
    </row>
    <row r="122" spans="1:29" x14ac:dyDescent="0.2">
      <c r="A122" s="18" t="s">
        <v>1483</v>
      </c>
      <c r="D122">
        <f ca="1">MIN(IF(D119 &gt; 0, D120, 0), $D$96 * D121 / IF($D$134 &gt; 0, $D$134, 1))</f>
        <v>0</v>
      </c>
      <c r="E122">
        <f t="shared" ref="E122:AC122" ca="1" si="28">MIN(IF(E119 &gt; 0, E120, 0), $D$96 * E121 / IF($D$134 &gt; 0, $D$134, 1))</f>
        <v>0</v>
      </c>
      <c r="F122">
        <f t="shared" ca="1" si="28"/>
        <v>0</v>
      </c>
      <c r="G122">
        <f t="shared" ca="1" si="28"/>
        <v>0</v>
      </c>
      <c r="H122">
        <f t="shared" ca="1" si="28"/>
        <v>0</v>
      </c>
      <c r="I122">
        <f t="shared" ca="1" si="28"/>
        <v>0</v>
      </c>
      <c r="J122">
        <f t="shared" ca="1" si="28"/>
        <v>0</v>
      </c>
      <c r="K122">
        <f t="shared" ca="1" si="28"/>
        <v>0</v>
      </c>
      <c r="L122">
        <f t="shared" ca="1" si="28"/>
        <v>0</v>
      </c>
      <c r="M122">
        <f t="shared" ca="1" si="28"/>
        <v>0</v>
      </c>
      <c r="N122">
        <f t="shared" ca="1" si="28"/>
        <v>0</v>
      </c>
      <c r="O122">
        <f t="shared" ca="1" si="28"/>
        <v>0</v>
      </c>
      <c r="P122">
        <f t="shared" ca="1" si="28"/>
        <v>0</v>
      </c>
      <c r="Q122">
        <f t="shared" ca="1" si="28"/>
        <v>0</v>
      </c>
      <c r="R122">
        <f t="shared" ca="1" si="28"/>
        <v>0</v>
      </c>
      <c r="S122">
        <f t="shared" ca="1" si="28"/>
        <v>0</v>
      </c>
      <c r="T122">
        <f t="shared" ca="1" si="28"/>
        <v>0</v>
      </c>
      <c r="U122">
        <f t="shared" ca="1" si="28"/>
        <v>0</v>
      </c>
      <c r="V122">
        <f t="shared" ca="1" si="28"/>
        <v>0</v>
      </c>
      <c r="W122">
        <f t="shared" ca="1" si="28"/>
        <v>0</v>
      </c>
      <c r="X122">
        <f t="shared" ca="1" si="28"/>
        <v>0</v>
      </c>
      <c r="Y122">
        <f t="shared" ca="1" si="28"/>
        <v>0</v>
      </c>
      <c r="Z122">
        <f t="shared" ca="1" si="28"/>
        <v>0</v>
      </c>
      <c r="AA122">
        <f t="shared" ca="1" si="28"/>
        <v>0</v>
      </c>
      <c r="AB122">
        <f t="shared" ca="1" si="28"/>
        <v>0</v>
      </c>
      <c r="AC122">
        <f t="shared" ca="1" si="28"/>
        <v>0</v>
      </c>
    </row>
    <row r="123" spans="1:29" x14ac:dyDescent="0.2">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x14ac:dyDescent="0.2">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spans="1:29" x14ac:dyDescent="0.2">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spans="1:29" x14ac:dyDescent="0.2">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row>
    <row r="127" spans="1:29" x14ac:dyDescent="0.2">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x14ac:dyDescent="0.2">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34" spans="1:29" x14ac:dyDescent="0.2">
      <c r="A134" t="s">
        <v>1689</v>
      </c>
      <c r="D134" s="68">
        <f ca="1">D101+D106+D111+D116+D121</f>
        <v>0</v>
      </c>
      <c r="E134" s="68">
        <f t="shared" ref="E134:AC134" ca="1" si="29">E101+E106+E111+E116+E121</f>
        <v>0</v>
      </c>
      <c r="F134" s="68">
        <f t="shared" ca="1" si="29"/>
        <v>5.6901826179488264</v>
      </c>
      <c r="G134" s="68">
        <f t="shared" ca="1" si="29"/>
        <v>5.0163459050829529</v>
      </c>
      <c r="H134" s="68">
        <f t="shared" ca="1" si="29"/>
        <v>4.470971665298122</v>
      </c>
      <c r="I134" s="68">
        <f t="shared" ca="1" si="29"/>
        <v>3.2639266343286315</v>
      </c>
      <c r="J134" s="68">
        <f t="shared" ca="1" si="29"/>
        <v>3.6021813341939541</v>
      </c>
      <c r="K134" s="68">
        <f t="shared" ca="1" si="29"/>
        <v>1.9792320525001885</v>
      </c>
      <c r="L134" s="68">
        <f t="shared" ca="1" si="29"/>
        <v>1.4264787382693538</v>
      </c>
      <c r="M134" s="68">
        <f t="shared" ca="1" si="29"/>
        <v>2.32774963361343</v>
      </c>
      <c r="N134" s="68">
        <f t="shared" ca="1" si="29"/>
        <v>0.19463257169128015</v>
      </c>
      <c r="O134" s="68">
        <f t="shared" ca="1" si="29"/>
        <v>2.214666894142689</v>
      </c>
      <c r="P134" s="68">
        <f t="shared" ca="1" si="29"/>
        <v>5.5709521205002659E-2</v>
      </c>
      <c r="Q134" s="68">
        <f t="shared" ca="1" si="29"/>
        <v>0.30477106988649388</v>
      </c>
      <c r="R134" s="68">
        <f t="shared" ca="1" si="29"/>
        <v>0.99769132769478663</v>
      </c>
      <c r="S134" s="68">
        <f t="shared" ca="1" si="29"/>
        <v>2.207354651154091E-2</v>
      </c>
      <c r="T134" s="68">
        <f t="shared" ca="1" si="29"/>
        <v>1.2832610705191969</v>
      </c>
      <c r="U134" s="68">
        <f t="shared" ca="1" si="29"/>
        <v>0.47695291115722277</v>
      </c>
      <c r="V134" s="68">
        <f t="shared" ca="1" si="29"/>
        <v>0.137308836871258</v>
      </c>
      <c r="W134" s="68">
        <f t="shared" ca="1" si="29"/>
        <v>1.0548937027198992</v>
      </c>
      <c r="X134" s="68">
        <f t="shared" ca="1" si="29"/>
        <v>2.825656754592969E-3</v>
      </c>
      <c r="Y134" s="68">
        <f t="shared" ca="1" si="29"/>
        <v>0.5795324322704275</v>
      </c>
      <c r="Z134" s="68">
        <f t="shared" ca="1" si="29"/>
        <v>0.43197704992463537</v>
      </c>
      <c r="AA134" s="68">
        <f t="shared" ca="1" si="29"/>
        <v>3.1294535017752943E-2</v>
      </c>
      <c r="AB134" s="68">
        <f t="shared" ca="1" si="29"/>
        <v>7.6334188052711971E-2</v>
      </c>
      <c r="AC134" s="68">
        <f t="shared" ca="1" si="29"/>
        <v>0</v>
      </c>
    </row>
    <row r="136" spans="1:29" x14ac:dyDescent="0.2">
      <c r="A136" s="13" t="s">
        <v>580</v>
      </c>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x14ac:dyDescent="0.2">
      <c r="A137" t="s">
        <v>588</v>
      </c>
      <c r="C137" t="s">
        <v>594</v>
      </c>
      <c r="D137" s="15">
        <f ca="1">D102</f>
        <v>0</v>
      </c>
      <c r="E137" s="15">
        <f t="shared" ref="E137:AC137" ca="1" si="30">E102</f>
        <v>0</v>
      </c>
      <c r="F137" s="15">
        <f t="shared" ca="1" si="30"/>
        <v>1377.340609808819</v>
      </c>
      <c r="G137" s="15">
        <f t="shared" ca="1" si="30"/>
        <v>1214.234654987142</v>
      </c>
      <c r="H137" s="15">
        <f t="shared" ca="1" si="30"/>
        <v>1082.2237621152999</v>
      </c>
      <c r="I137" s="15">
        <f t="shared" ca="1" si="30"/>
        <v>790.05174398391739</v>
      </c>
      <c r="J137" s="15">
        <f t="shared" ca="1" si="30"/>
        <v>871.92819081597804</v>
      </c>
      <c r="K137" s="15">
        <f t="shared" ca="1" si="30"/>
        <v>479.08421665497525</v>
      </c>
      <c r="L137" s="15">
        <f t="shared" ca="1" si="30"/>
        <v>345.2871774360504</v>
      </c>
      <c r="M137" s="15">
        <f t="shared" ca="1" si="30"/>
        <v>563.44485144118266</v>
      </c>
      <c r="N137" s="15">
        <f t="shared" ca="1" si="30"/>
        <v>47.111905360703723</v>
      </c>
      <c r="O137" s="15">
        <f t="shared" ca="1" si="30"/>
        <v>536.07254025205123</v>
      </c>
      <c r="P137" s="15">
        <f t="shared" ca="1" si="30"/>
        <v>13.484801993282135</v>
      </c>
      <c r="Q137" s="15">
        <f t="shared" ca="1" si="30"/>
        <v>73.771546439553092</v>
      </c>
      <c r="R137" s="15">
        <f t="shared" ca="1" si="30"/>
        <v>241.49678032362684</v>
      </c>
      <c r="S137" s="15">
        <f t="shared" ca="1" si="30"/>
        <v>5.3430257083398418</v>
      </c>
      <c r="T137" s="15">
        <f t="shared" ca="1" si="30"/>
        <v>310.6205378782667</v>
      </c>
      <c r="U137" s="15">
        <f t="shared" ca="1" si="30"/>
        <v>115.44912661171968</v>
      </c>
      <c r="V137" s="15">
        <f t="shared" ca="1" si="30"/>
        <v>33.236373910363476</v>
      </c>
      <c r="W137" s="15">
        <f t="shared" ca="1" si="30"/>
        <v>255.34293595509621</v>
      </c>
      <c r="X137" s="15">
        <f t="shared" ca="1" si="30"/>
        <v>0.68396606203904597</v>
      </c>
      <c r="Y137" s="15">
        <f t="shared" ca="1" si="30"/>
        <v>140.27907490165498</v>
      </c>
      <c r="Z137" s="15">
        <f t="shared" ca="1" si="30"/>
        <v>104.56246720269368</v>
      </c>
      <c r="AA137" s="15">
        <f t="shared" ca="1" si="30"/>
        <v>7.5750176820463722</v>
      </c>
      <c r="AB137" s="15">
        <f t="shared" ca="1" si="30"/>
        <v>18.477118254542617</v>
      </c>
      <c r="AC137" s="15">
        <f t="shared" ca="1" si="30"/>
        <v>0</v>
      </c>
    </row>
    <row r="138" spans="1:29" x14ac:dyDescent="0.2">
      <c r="A138" t="s">
        <v>1690</v>
      </c>
      <c r="D138" s="15">
        <f ca="1">D107</f>
        <v>0</v>
      </c>
      <c r="E138" s="15">
        <f t="shared" ref="E138:AC138" ca="1" si="31">E107</f>
        <v>0</v>
      </c>
      <c r="F138" s="15">
        <f t="shared" ca="1" si="31"/>
        <v>0</v>
      </c>
      <c r="G138" s="15">
        <f t="shared" ca="1" si="31"/>
        <v>0</v>
      </c>
      <c r="H138" s="15">
        <f t="shared" ca="1" si="31"/>
        <v>0</v>
      </c>
      <c r="I138" s="15">
        <f t="shared" ca="1" si="31"/>
        <v>0</v>
      </c>
      <c r="J138" s="15">
        <f t="shared" ca="1" si="31"/>
        <v>0</v>
      </c>
      <c r="K138" s="15">
        <f t="shared" ca="1" si="31"/>
        <v>0</v>
      </c>
      <c r="L138" s="15">
        <f t="shared" ca="1" si="31"/>
        <v>0</v>
      </c>
      <c r="M138" s="15">
        <f t="shared" ca="1" si="31"/>
        <v>0</v>
      </c>
      <c r="N138" s="15">
        <f t="shared" ca="1" si="31"/>
        <v>0</v>
      </c>
      <c r="O138" s="15">
        <f t="shared" ca="1" si="31"/>
        <v>0</v>
      </c>
      <c r="P138" s="15">
        <f t="shared" ca="1" si="31"/>
        <v>0</v>
      </c>
      <c r="Q138" s="15">
        <f t="shared" ca="1" si="31"/>
        <v>0</v>
      </c>
      <c r="R138" s="15">
        <f t="shared" ca="1" si="31"/>
        <v>0</v>
      </c>
      <c r="S138" s="15">
        <f t="shared" ca="1" si="31"/>
        <v>0</v>
      </c>
      <c r="T138" s="15">
        <f t="shared" ca="1" si="31"/>
        <v>0</v>
      </c>
      <c r="U138" s="15">
        <f t="shared" ca="1" si="31"/>
        <v>0</v>
      </c>
      <c r="V138" s="15">
        <f t="shared" ca="1" si="31"/>
        <v>0</v>
      </c>
      <c r="W138" s="15">
        <f t="shared" ca="1" si="31"/>
        <v>0</v>
      </c>
      <c r="X138" s="15">
        <f t="shared" ca="1" si="31"/>
        <v>0</v>
      </c>
      <c r="Y138" s="15">
        <f t="shared" ca="1" si="31"/>
        <v>0</v>
      </c>
      <c r="Z138" s="15">
        <f t="shared" ca="1" si="31"/>
        <v>0</v>
      </c>
      <c r="AA138" s="15">
        <f t="shared" ca="1" si="31"/>
        <v>0</v>
      </c>
      <c r="AB138" s="15">
        <f t="shared" ca="1" si="31"/>
        <v>0</v>
      </c>
      <c r="AC138" s="15">
        <f t="shared" ca="1" si="31"/>
        <v>0</v>
      </c>
    </row>
    <row r="139" spans="1:29" x14ac:dyDescent="0.2">
      <c r="A139" t="s">
        <v>1691</v>
      </c>
      <c r="D139" s="15">
        <f ca="1">D112</f>
        <v>0</v>
      </c>
      <c r="E139" s="15">
        <f t="shared" ref="E139:AC139" ca="1" si="32">E112</f>
        <v>0</v>
      </c>
      <c r="F139" s="15">
        <f t="shared" ca="1" si="32"/>
        <v>0</v>
      </c>
      <c r="G139" s="15">
        <f t="shared" ca="1" si="32"/>
        <v>0</v>
      </c>
      <c r="H139" s="15">
        <f t="shared" ca="1" si="32"/>
        <v>0</v>
      </c>
      <c r="I139" s="15">
        <f t="shared" ca="1" si="32"/>
        <v>0</v>
      </c>
      <c r="J139" s="15">
        <f t="shared" ca="1" si="32"/>
        <v>0</v>
      </c>
      <c r="K139" s="15">
        <f t="shared" ca="1" si="32"/>
        <v>0</v>
      </c>
      <c r="L139" s="15">
        <f t="shared" ca="1" si="32"/>
        <v>0</v>
      </c>
      <c r="M139" s="15">
        <f t="shared" ca="1" si="32"/>
        <v>0</v>
      </c>
      <c r="N139" s="15">
        <f t="shared" ca="1" si="32"/>
        <v>0</v>
      </c>
      <c r="O139" s="15">
        <f t="shared" ca="1" si="32"/>
        <v>0</v>
      </c>
      <c r="P139" s="15">
        <f t="shared" ca="1" si="32"/>
        <v>0</v>
      </c>
      <c r="Q139" s="15">
        <f t="shared" ca="1" si="32"/>
        <v>0</v>
      </c>
      <c r="R139" s="15">
        <f t="shared" ca="1" si="32"/>
        <v>0</v>
      </c>
      <c r="S139" s="15">
        <f t="shared" ca="1" si="32"/>
        <v>0</v>
      </c>
      <c r="T139" s="15">
        <f t="shared" ca="1" si="32"/>
        <v>0</v>
      </c>
      <c r="U139" s="15">
        <f t="shared" ca="1" si="32"/>
        <v>0</v>
      </c>
      <c r="V139" s="15">
        <f t="shared" ca="1" si="32"/>
        <v>0</v>
      </c>
      <c r="W139" s="15">
        <f t="shared" ca="1" si="32"/>
        <v>0</v>
      </c>
      <c r="X139" s="15">
        <f t="shared" ca="1" si="32"/>
        <v>0</v>
      </c>
      <c r="Y139" s="15">
        <f t="shared" ca="1" si="32"/>
        <v>0</v>
      </c>
      <c r="Z139" s="15">
        <f t="shared" ca="1" si="32"/>
        <v>0</v>
      </c>
      <c r="AA139" s="15">
        <f t="shared" ca="1" si="32"/>
        <v>0</v>
      </c>
      <c r="AB139" s="15">
        <f t="shared" ca="1" si="32"/>
        <v>0</v>
      </c>
      <c r="AC139" s="15">
        <f t="shared" ca="1" si="32"/>
        <v>0</v>
      </c>
    </row>
    <row r="140" spans="1:29" x14ac:dyDescent="0.2">
      <c r="A140" t="s">
        <v>589</v>
      </c>
      <c r="C140" t="s">
        <v>594</v>
      </c>
      <c r="D140" s="15">
        <f ca="1">D138+D139</f>
        <v>0</v>
      </c>
      <c r="E140" s="15">
        <f t="shared" ref="E140:AC140" ca="1" si="33">E138+E139</f>
        <v>0</v>
      </c>
      <c r="F140" s="15">
        <f t="shared" ca="1" si="33"/>
        <v>0</v>
      </c>
      <c r="G140" s="15">
        <f t="shared" ca="1" si="33"/>
        <v>0</v>
      </c>
      <c r="H140" s="15">
        <f t="shared" ca="1" si="33"/>
        <v>0</v>
      </c>
      <c r="I140" s="15">
        <f t="shared" ca="1" si="33"/>
        <v>0</v>
      </c>
      <c r="J140" s="15">
        <f t="shared" ca="1" si="33"/>
        <v>0</v>
      </c>
      <c r="K140" s="15">
        <f t="shared" ca="1" si="33"/>
        <v>0</v>
      </c>
      <c r="L140" s="15">
        <f t="shared" ca="1" si="33"/>
        <v>0</v>
      </c>
      <c r="M140" s="15">
        <f t="shared" ca="1" si="33"/>
        <v>0</v>
      </c>
      <c r="N140" s="15">
        <f t="shared" ca="1" si="33"/>
        <v>0</v>
      </c>
      <c r="O140" s="15">
        <f t="shared" ca="1" si="33"/>
        <v>0</v>
      </c>
      <c r="P140" s="15">
        <f t="shared" ca="1" si="33"/>
        <v>0</v>
      </c>
      <c r="Q140" s="15">
        <f t="shared" ca="1" si="33"/>
        <v>0</v>
      </c>
      <c r="R140" s="15">
        <f t="shared" ca="1" si="33"/>
        <v>0</v>
      </c>
      <c r="S140" s="15">
        <f t="shared" ca="1" si="33"/>
        <v>0</v>
      </c>
      <c r="T140" s="15">
        <f t="shared" ca="1" si="33"/>
        <v>0</v>
      </c>
      <c r="U140" s="15">
        <f t="shared" ca="1" si="33"/>
        <v>0</v>
      </c>
      <c r="V140" s="15">
        <f t="shared" ca="1" si="33"/>
        <v>0</v>
      </c>
      <c r="W140" s="15">
        <f t="shared" ca="1" si="33"/>
        <v>0</v>
      </c>
      <c r="X140" s="15">
        <f t="shared" ca="1" si="33"/>
        <v>0</v>
      </c>
      <c r="Y140" s="15">
        <f t="shared" ca="1" si="33"/>
        <v>0</v>
      </c>
      <c r="Z140" s="15">
        <f t="shared" ca="1" si="33"/>
        <v>0</v>
      </c>
      <c r="AA140" s="15">
        <f t="shared" ca="1" si="33"/>
        <v>0</v>
      </c>
      <c r="AB140" s="15">
        <f t="shared" ca="1" si="33"/>
        <v>0</v>
      </c>
      <c r="AC140" s="15">
        <f t="shared" ca="1" si="33"/>
        <v>0</v>
      </c>
    </row>
    <row r="141" spans="1:29" x14ac:dyDescent="0.2">
      <c r="A141" t="s">
        <v>590</v>
      </c>
      <c r="C141" t="s">
        <v>594</v>
      </c>
      <c r="D141" s="15">
        <f ca="1">D117</f>
        <v>0</v>
      </c>
      <c r="E141" s="15">
        <f t="shared" ref="E141:AC141" ca="1" si="34">E117</f>
        <v>0</v>
      </c>
      <c r="F141" s="15">
        <f t="shared" ca="1" si="34"/>
        <v>0</v>
      </c>
      <c r="G141" s="15">
        <f t="shared" ca="1" si="34"/>
        <v>0</v>
      </c>
      <c r="H141" s="15">
        <f t="shared" ca="1" si="34"/>
        <v>0</v>
      </c>
      <c r="I141" s="15">
        <f t="shared" ca="1" si="34"/>
        <v>0</v>
      </c>
      <c r="J141" s="15">
        <f t="shared" ca="1" si="34"/>
        <v>0</v>
      </c>
      <c r="K141" s="15">
        <f t="shared" ca="1" si="34"/>
        <v>0</v>
      </c>
      <c r="L141" s="15">
        <f t="shared" ca="1" si="34"/>
        <v>0</v>
      </c>
      <c r="M141" s="15">
        <f t="shared" ca="1" si="34"/>
        <v>0</v>
      </c>
      <c r="N141" s="15">
        <f t="shared" ca="1" si="34"/>
        <v>0</v>
      </c>
      <c r="O141" s="15">
        <f t="shared" ca="1" si="34"/>
        <v>0</v>
      </c>
      <c r="P141" s="15">
        <f t="shared" ca="1" si="34"/>
        <v>0</v>
      </c>
      <c r="Q141" s="15">
        <f t="shared" ca="1" si="34"/>
        <v>0</v>
      </c>
      <c r="R141" s="15">
        <f t="shared" ca="1" si="34"/>
        <v>0</v>
      </c>
      <c r="S141" s="15">
        <f t="shared" ca="1" si="34"/>
        <v>0</v>
      </c>
      <c r="T141" s="15">
        <f t="shared" ca="1" si="34"/>
        <v>0</v>
      </c>
      <c r="U141" s="15">
        <f t="shared" ca="1" si="34"/>
        <v>0</v>
      </c>
      <c r="V141" s="15">
        <f t="shared" ca="1" si="34"/>
        <v>0</v>
      </c>
      <c r="W141" s="15">
        <f t="shared" ca="1" si="34"/>
        <v>0</v>
      </c>
      <c r="X141" s="15">
        <f t="shared" ca="1" si="34"/>
        <v>0</v>
      </c>
      <c r="Y141" s="15">
        <f t="shared" ca="1" si="34"/>
        <v>0</v>
      </c>
      <c r="Z141" s="15">
        <f t="shared" ca="1" si="34"/>
        <v>0</v>
      </c>
      <c r="AA141" s="15">
        <f t="shared" ca="1" si="34"/>
        <v>0</v>
      </c>
      <c r="AB141" s="15">
        <f t="shared" ca="1" si="34"/>
        <v>0</v>
      </c>
      <c r="AC141" s="15">
        <f t="shared" ca="1" si="34"/>
        <v>0</v>
      </c>
    </row>
    <row r="142" spans="1:29" x14ac:dyDescent="0.2">
      <c r="A142" t="s">
        <v>591</v>
      </c>
      <c r="C142" t="s">
        <v>595</v>
      </c>
      <c r="D142" s="15">
        <f>0</f>
        <v>0</v>
      </c>
      <c r="E142" s="15">
        <f>0</f>
        <v>0</v>
      </c>
      <c r="F142" s="15">
        <f>0</f>
        <v>0</v>
      </c>
      <c r="G142" s="15">
        <f>0</f>
        <v>0</v>
      </c>
      <c r="H142" s="15">
        <f>0</f>
        <v>0</v>
      </c>
      <c r="I142" s="15">
        <f>0</f>
        <v>0</v>
      </c>
      <c r="J142" s="15">
        <f>0</f>
        <v>0</v>
      </c>
      <c r="K142" s="15">
        <f>0</f>
        <v>0</v>
      </c>
      <c r="L142" s="15">
        <f>0</f>
        <v>0</v>
      </c>
      <c r="M142" s="15">
        <f>0</f>
        <v>0</v>
      </c>
      <c r="N142" s="15">
        <f>0</f>
        <v>0</v>
      </c>
      <c r="O142" s="15">
        <f>0</f>
        <v>0</v>
      </c>
      <c r="P142" s="15">
        <f>0</f>
        <v>0</v>
      </c>
      <c r="Q142" s="15">
        <f>0</f>
        <v>0</v>
      </c>
      <c r="R142" s="15">
        <f>0</f>
        <v>0</v>
      </c>
      <c r="S142" s="15">
        <f>0</f>
        <v>0</v>
      </c>
      <c r="T142" s="15">
        <f>0</f>
        <v>0</v>
      </c>
      <c r="U142" s="15">
        <f>0</f>
        <v>0</v>
      </c>
      <c r="V142" s="15">
        <f>0</f>
        <v>0</v>
      </c>
      <c r="W142" s="15">
        <f>0</f>
        <v>0</v>
      </c>
      <c r="X142" s="15">
        <f>0</f>
        <v>0</v>
      </c>
      <c r="Y142" s="15">
        <f>0</f>
        <v>0</v>
      </c>
      <c r="Z142" s="15">
        <f>0</f>
        <v>0</v>
      </c>
      <c r="AA142" s="15">
        <f>0</f>
        <v>0</v>
      </c>
      <c r="AB142" s="15">
        <f>0</f>
        <v>0</v>
      </c>
      <c r="AC142" s="15">
        <f>0</f>
        <v>0</v>
      </c>
    </row>
    <row r="143" spans="1:29" x14ac:dyDescent="0.2">
      <c r="A143" t="s">
        <v>592</v>
      </c>
      <c r="C143" t="s">
        <v>594</v>
      </c>
      <c r="D143" s="15">
        <f ca="1">D95</f>
        <v>0</v>
      </c>
      <c r="E143" s="15">
        <f t="shared" ref="E143:AC143" ca="1" si="35">E95</f>
        <v>0</v>
      </c>
      <c r="F143" s="15">
        <f t="shared" ca="1" si="35"/>
        <v>0</v>
      </c>
      <c r="G143" s="15">
        <f t="shared" ca="1" si="35"/>
        <v>3326909.6657904722</v>
      </c>
      <c r="H143" s="15">
        <f t="shared" ca="1" si="35"/>
        <v>3404225.1238186788</v>
      </c>
      <c r="I143" s="15">
        <f t="shared" ca="1" si="35"/>
        <v>3482414.5337390373</v>
      </c>
      <c r="J143" s="15">
        <f t="shared" ca="1" si="35"/>
        <v>3572722.9582877513</v>
      </c>
      <c r="K143" s="15">
        <f t="shared" ca="1" si="35"/>
        <v>3664111.4884932735</v>
      </c>
      <c r="L143" s="15">
        <f t="shared" ca="1" si="35"/>
        <v>3756374.0929118125</v>
      </c>
      <c r="M143" s="15">
        <f t="shared" ca="1" si="35"/>
        <v>3849276.3403376373</v>
      </c>
      <c r="N143" s="15">
        <f t="shared" ca="1" si="35"/>
        <v>3942554.1316836067</v>
      </c>
      <c r="O143" s="15">
        <f t="shared" ca="1" si="35"/>
        <v>3977503.8745412761</v>
      </c>
      <c r="P143" s="15">
        <f t="shared" ca="1" si="35"/>
        <v>4012072.1556890355</v>
      </c>
      <c r="Q143" s="15">
        <f t="shared" ca="1" si="35"/>
        <v>4046219.2893405715</v>
      </c>
      <c r="R143" s="15">
        <f t="shared" ca="1" si="35"/>
        <v>4079908.5802376084</v>
      </c>
      <c r="S143" s="15">
        <f t="shared" ca="1" si="35"/>
        <v>4113102.6357317055</v>
      </c>
      <c r="T143" s="15">
        <f t="shared" ca="1" si="35"/>
        <v>4145760.0160535835</v>
      </c>
      <c r="U143" s="15">
        <f t="shared" ca="1" si="35"/>
        <v>4177842.3380771549</v>
      </c>
      <c r="V143" s="15">
        <f t="shared" ca="1" si="35"/>
        <v>4209310.7527944883</v>
      </c>
      <c r="W143" s="15">
        <f t="shared" ca="1" si="35"/>
        <v>4240122.8393316511</v>
      </c>
      <c r="X143" s="15">
        <f t="shared" ca="1" si="35"/>
        <v>4270239.3168777013</v>
      </c>
      <c r="Y143" s="15">
        <f t="shared" ca="1" si="35"/>
        <v>4299620.7250806373</v>
      </c>
      <c r="Z143" s="15">
        <f t="shared" ca="1" si="35"/>
        <v>4328224.600711246</v>
      </c>
      <c r="AA143" s="15">
        <f t="shared" ca="1" si="35"/>
        <v>4356011.7147960393</v>
      </c>
      <c r="AB143" s="15">
        <f t="shared" ca="1" si="35"/>
        <v>4862776.2526990287</v>
      </c>
      <c r="AC143" s="15">
        <f t="shared" ca="1" si="35"/>
        <v>4408977.0127464868</v>
      </c>
    </row>
    <row r="145" spans="1:29" x14ac:dyDescent="0.2">
      <c r="A145" s="13" t="s">
        <v>581</v>
      </c>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x14ac:dyDescent="0.2">
      <c r="A146" t="s">
        <v>56</v>
      </c>
      <c r="D146" s="24">
        <f>INDEX(Assumptions!$B:$B, MATCH("Vehicle build lead time (years)", Assumptions!$A:$A, 0))</f>
        <v>2</v>
      </c>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row>
    <row r="147" spans="1:29" x14ac:dyDescent="0.2">
      <c r="A147" t="s">
        <v>1484</v>
      </c>
      <c r="D147" s="15" cm="1">
        <f t="array" aca="1" ref="D147" ca="1">IFERROR(INDEX(Starlink!$D:$AC, MATCH("Capacity Demand (kg-to-LEO)", Starlink!$A:$A, 0), D$5+1+$D$146), 0)</f>
        <v>0</v>
      </c>
      <c r="E147" s="15" cm="1">
        <f t="array" aca="1" ref="E147" ca="1">IFERROR(INDEX(Starlink!$D:$AC, MATCH("Capacity Demand (kg-to-LEO)", Starlink!$A:$A, 0), E$5+1+$D$146), 0)</f>
        <v>0</v>
      </c>
      <c r="F147" s="15" cm="1">
        <f t="array" aca="1" ref="F147" ca="1">IFERROR(INDEX(Starlink!$D:$AC, MATCH("Capacity Demand (kg-to-LEO)", Starlink!$A:$A, 0), F$5+1+$D$146), 0)</f>
        <v>0</v>
      </c>
      <c r="G147" s="15" cm="1">
        <f t="array" aca="1" ref="G147" ca="1">IFERROR(INDEX(Starlink!$D:$AC, MATCH("Capacity Demand (kg-to-LEO)", Starlink!$A:$A, 0), G$5+1+$D$146), 0)</f>
        <v>0</v>
      </c>
      <c r="H147" s="15" cm="1">
        <f t="array" aca="1" ref="H147" ca="1">IFERROR(INDEX(Starlink!$D:$AC, MATCH("Capacity Demand (kg-to-LEO)", Starlink!$A:$A, 0), H$5+1+$D$146), 0)</f>
        <v>0</v>
      </c>
      <c r="I147" s="15" cm="1">
        <f t="array" aca="1" ref="I147" ca="1">IFERROR(INDEX(Starlink!$D:$AC, MATCH("Capacity Demand (kg-to-LEO)", Starlink!$A:$A, 0), I$5+1+$D$146), 0)</f>
        <v>0</v>
      </c>
      <c r="J147" s="15" cm="1">
        <f t="array" aca="1" ref="J147" ca="1">IFERROR(INDEX(Starlink!$D:$AC, MATCH("Capacity Demand (kg-to-LEO)", Starlink!$A:$A, 0), J$5+1+$D$146), 0)</f>
        <v>0</v>
      </c>
      <c r="K147" s="15" cm="1">
        <f t="array" aca="1" ref="K147" ca="1">IFERROR(INDEX(Starlink!$D:$AC, MATCH("Capacity Demand (kg-to-LEO)", Starlink!$A:$A, 0), K$5+1+$D$146), 0)</f>
        <v>0</v>
      </c>
      <c r="L147" s="15" cm="1">
        <f t="array" aca="1" ref="L147" ca="1">IFERROR(INDEX(Starlink!$D:$AC, MATCH("Capacity Demand (kg-to-LEO)", Starlink!$A:$A, 0), L$5+1+$D$146), 0)</f>
        <v>0</v>
      </c>
      <c r="M147" s="15" cm="1">
        <f t="array" aca="1" ref="M147" ca="1">IFERROR(INDEX(Starlink!$D:$AC, MATCH("Capacity Demand (kg-to-LEO)", Starlink!$A:$A, 0), M$5+1+$D$146), 0)</f>
        <v>0</v>
      </c>
      <c r="N147" s="15" cm="1">
        <f t="array" aca="1" ref="N147" ca="1">IFERROR(INDEX(Starlink!$D:$AC, MATCH("Capacity Demand (kg-to-LEO)", Starlink!$A:$A, 0), N$5+1+$D$146), 0)</f>
        <v>0</v>
      </c>
      <c r="O147" s="15" cm="1">
        <f t="array" aca="1" ref="O147" ca="1">IFERROR(INDEX(Starlink!$D:$AC, MATCH("Capacity Demand (kg-to-LEO)", Starlink!$A:$A, 0), O$5+1+$D$146), 0)</f>
        <v>0</v>
      </c>
      <c r="P147" s="15" cm="1">
        <f t="array" aca="1" ref="P147" ca="1">IFERROR(INDEX(Starlink!$D:$AC, MATCH("Capacity Demand (kg-to-LEO)", Starlink!$A:$A, 0), P$5+1+$D$146), 0)</f>
        <v>0</v>
      </c>
      <c r="Q147" s="15" cm="1">
        <f t="array" aca="1" ref="Q147" ca="1">IFERROR(INDEX(Starlink!$D:$AC, MATCH("Capacity Demand (kg-to-LEO)", Starlink!$A:$A, 0), Q$5+1+$D$146), 0)</f>
        <v>0</v>
      </c>
      <c r="R147" s="15" cm="1">
        <f t="array" aca="1" ref="R147" ca="1">IFERROR(INDEX(Starlink!$D:$AC, MATCH("Capacity Demand (kg-to-LEO)", Starlink!$A:$A, 0), R$5+1+$D$146), 0)</f>
        <v>0</v>
      </c>
      <c r="S147" s="15" cm="1">
        <f t="array" aca="1" ref="S147" ca="1">IFERROR(INDEX(Starlink!$D:$AC, MATCH("Capacity Demand (kg-to-LEO)", Starlink!$A:$A, 0), S$5+1+$D$146), 0)</f>
        <v>0</v>
      </c>
      <c r="T147" s="15" cm="1">
        <f t="array" aca="1" ref="T147" ca="1">IFERROR(INDEX(Starlink!$D:$AC, MATCH("Capacity Demand (kg-to-LEO)", Starlink!$A:$A, 0), T$5+1+$D$146), 0)</f>
        <v>0</v>
      </c>
      <c r="U147" s="15" cm="1">
        <f t="array" aca="1" ref="U147" ca="1">IFERROR(INDEX(Starlink!$D:$AC, MATCH("Capacity Demand (kg-to-LEO)", Starlink!$A:$A, 0), U$5+1+$D$146), 0)</f>
        <v>0</v>
      </c>
      <c r="V147" s="15" cm="1">
        <f t="array" aca="1" ref="V147" ca="1">IFERROR(INDEX(Starlink!$D:$AC, MATCH("Capacity Demand (kg-to-LEO)", Starlink!$A:$A, 0), V$5+1+$D$146), 0)</f>
        <v>0</v>
      </c>
      <c r="W147" s="15" cm="1">
        <f t="array" aca="1" ref="W147" ca="1">IFERROR(INDEX(Starlink!$D:$AC, MATCH("Capacity Demand (kg-to-LEO)", Starlink!$A:$A, 0), W$5+1+$D$146), 0)</f>
        <v>0</v>
      </c>
      <c r="X147" s="15" cm="1">
        <f t="array" aca="1" ref="X147" ca="1">IFERROR(INDEX(Starlink!$D:$AC, MATCH("Capacity Demand (kg-to-LEO)", Starlink!$A:$A, 0), X$5+1+$D$146), 0)</f>
        <v>0</v>
      </c>
      <c r="Y147" s="15" cm="1">
        <f t="array" aca="1" ref="Y147" ca="1">IFERROR(INDEX(Starlink!$D:$AC, MATCH("Capacity Demand (kg-to-LEO)", Starlink!$A:$A, 0), Y$5+1+$D$146), 0)</f>
        <v>0</v>
      </c>
      <c r="Z147" s="15" cm="1">
        <f t="array" aca="1" ref="Z147" ca="1">IFERROR(INDEX(Starlink!$D:$AC, MATCH("Capacity Demand (kg-to-LEO)", Starlink!$A:$A, 0), Z$5+1+$D$146), 0)</f>
        <v>0</v>
      </c>
      <c r="AA147" s="15" cm="1">
        <f t="array" aca="1" ref="AA147" ca="1">IFERROR(INDEX(Starlink!$D:$AC, MATCH("Capacity Demand (kg-to-LEO)", Starlink!$A:$A, 0), AA$5+1+$D$146), 0)</f>
        <v>0</v>
      </c>
      <c r="AB147" s="15" cm="1">
        <f t="array" aca="1" ref="AB147" ca="1">IFERROR(INDEX(Starlink!$D:$AC, MATCH("Capacity Demand (kg-to-LEO)", Starlink!$A:$A, 0), AB$5+1+$D$146), 0)</f>
        <v>0</v>
      </c>
      <c r="AC147" s="15" cm="1">
        <f t="array" aca="1" ref="AC147" ca="1">IFERROR(INDEX(Starlink!$D:$AC, MATCH("Capacity Demand (kg-to-LEO)", Starlink!$A:$A, 0), AC$5+1+$D$146), 0)</f>
        <v>0</v>
      </c>
    </row>
    <row r="148" spans="1:29" x14ac:dyDescent="0.2">
      <c r="A148" t="s">
        <v>1485</v>
      </c>
      <c r="D148" s="15" cm="1">
        <f t="array" aca="1" ref="D148" ca="1">IFERROR(INDEX(ODC!$D:$AC, MATCH("Capacity Demand (kg-to-LEO)", ODC!$A:$A, 0), D$5+1+$D$146), 0)</f>
        <v>0</v>
      </c>
      <c r="E148" s="15" cm="1">
        <f t="array" aca="1" ref="E148" ca="1">IFERROR(INDEX(ODC!$D:$AC, MATCH("Capacity Demand (kg-to-LEO)", ODC!$A:$A, 0), E$5+1+$D$146), 0)</f>
        <v>0</v>
      </c>
      <c r="F148" s="15" cm="1">
        <f t="array" aca="1" ref="F148" ca="1">IFERROR(INDEX(ODC!$D:$AC, MATCH("Capacity Demand (kg-to-LEO)", ODC!$A:$A, 0), F$5+1+$D$146), 0)</f>
        <v>0</v>
      </c>
      <c r="G148" s="15" cm="1">
        <f t="array" aca="1" ref="G148" ca="1">IFERROR(INDEX(ODC!$D:$AC, MATCH("Capacity Demand (kg-to-LEO)", ODC!$A:$A, 0), G$5+1+$D$146), 0)</f>
        <v>0</v>
      </c>
      <c r="H148" s="15" cm="1">
        <f t="array" aca="1" ref="H148" ca="1">IFERROR(INDEX(ODC!$D:$AC, MATCH("Capacity Demand (kg-to-LEO)", ODC!$A:$A, 0), H$5+1+$D$146), 0)</f>
        <v>0</v>
      </c>
      <c r="I148" s="15" cm="1">
        <f t="array" aca="1" ref="I148" ca="1">IFERROR(INDEX(ODC!$D:$AC, MATCH("Capacity Demand (kg-to-LEO)", ODC!$A:$A, 0), I$5+1+$D$146), 0)</f>
        <v>0</v>
      </c>
      <c r="J148" s="15" cm="1">
        <f t="array" aca="1" ref="J148" ca="1">IFERROR(INDEX(ODC!$D:$AC, MATCH("Capacity Demand (kg-to-LEO)", ODC!$A:$A, 0), J$5+1+$D$146), 0)</f>
        <v>0</v>
      </c>
      <c r="K148" s="15" cm="1">
        <f t="array" aca="1" ref="K148" ca="1">IFERROR(INDEX(ODC!$D:$AC, MATCH("Capacity Demand (kg-to-LEO)", ODC!$A:$A, 0), K$5+1+$D$146), 0)</f>
        <v>0</v>
      </c>
      <c r="L148" s="15" cm="1">
        <f t="array" aca="1" ref="L148" ca="1">IFERROR(INDEX(ODC!$D:$AC, MATCH("Capacity Demand (kg-to-LEO)", ODC!$A:$A, 0), L$5+1+$D$146), 0)</f>
        <v>0</v>
      </c>
      <c r="M148" s="15" cm="1">
        <f t="array" aca="1" ref="M148" ca="1">IFERROR(INDEX(ODC!$D:$AC, MATCH("Capacity Demand (kg-to-LEO)", ODC!$A:$A, 0), M$5+1+$D$146), 0)</f>
        <v>0</v>
      </c>
      <c r="N148" s="15" cm="1">
        <f t="array" aca="1" ref="N148" ca="1">IFERROR(INDEX(ODC!$D:$AC, MATCH("Capacity Demand (kg-to-LEO)", ODC!$A:$A, 0), N$5+1+$D$146), 0)</f>
        <v>0</v>
      </c>
      <c r="O148" s="15" cm="1">
        <f t="array" aca="1" ref="O148" ca="1">IFERROR(INDEX(ODC!$D:$AC, MATCH("Capacity Demand (kg-to-LEO)", ODC!$A:$A, 0), O$5+1+$D$146), 0)</f>
        <v>0</v>
      </c>
      <c r="P148" s="15" cm="1">
        <f t="array" aca="1" ref="P148" ca="1">IFERROR(INDEX(ODC!$D:$AC, MATCH("Capacity Demand (kg-to-LEO)", ODC!$A:$A, 0), P$5+1+$D$146), 0)</f>
        <v>0</v>
      </c>
      <c r="Q148" s="15" cm="1">
        <f t="array" aca="1" ref="Q148" ca="1">IFERROR(INDEX(ODC!$D:$AC, MATCH("Capacity Demand (kg-to-LEO)", ODC!$A:$A, 0), Q$5+1+$D$146), 0)</f>
        <v>0</v>
      </c>
      <c r="R148" s="15" cm="1">
        <f t="array" aca="1" ref="R148" ca="1">IFERROR(INDEX(ODC!$D:$AC, MATCH("Capacity Demand (kg-to-LEO)", ODC!$A:$A, 0), R$5+1+$D$146), 0)</f>
        <v>0</v>
      </c>
      <c r="S148" s="15" cm="1">
        <f t="array" aca="1" ref="S148" ca="1">IFERROR(INDEX(ODC!$D:$AC, MATCH("Capacity Demand (kg-to-LEO)", ODC!$A:$A, 0), S$5+1+$D$146), 0)</f>
        <v>0</v>
      </c>
      <c r="T148" s="15" cm="1">
        <f t="array" aca="1" ref="T148" ca="1">IFERROR(INDEX(ODC!$D:$AC, MATCH("Capacity Demand (kg-to-LEO)", ODC!$A:$A, 0), T$5+1+$D$146), 0)</f>
        <v>0</v>
      </c>
      <c r="U148" s="15" cm="1">
        <f t="array" aca="1" ref="U148" ca="1">IFERROR(INDEX(ODC!$D:$AC, MATCH("Capacity Demand (kg-to-LEO)", ODC!$A:$A, 0), U$5+1+$D$146), 0)</f>
        <v>0</v>
      </c>
      <c r="V148" s="15" cm="1">
        <f t="array" aca="1" ref="V148" ca="1">IFERROR(INDEX(ODC!$D:$AC, MATCH("Capacity Demand (kg-to-LEO)", ODC!$A:$A, 0), V$5+1+$D$146), 0)</f>
        <v>0</v>
      </c>
      <c r="W148" s="15" cm="1">
        <f t="array" aca="1" ref="W148" ca="1">IFERROR(INDEX(ODC!$D:$AC, MATCH("Capacity Demand (kg-to-LEO)", ODC!$A:$A, 0), W$5+1+$D$146), 0)</f>
        <v>0</v>
      </c>
      <c r="X148" s="15" cm="1">
        <f t="array" aca="1" ref="X148" ca="1">IFERROR(INDEX(ODC!$D:$AC, MATCH("Capacity Demand (kg-to-LEO)", ODC!$A:$A, 0), X$5+1+$D$146), 0)</f>
        <v>0</v>
      </c>
      <c r="Y148" s="15" cm="1">
        <f t="array" aca="1" ref="Y148" ca="1">IFERROR(INDEX(ODC!$D:$AC, MATCH("Capacity Demand (kg-to-LEO)", ODC!$A:$A, 0), Y$5+1+$D$146), 0)</f>
        <v>0</v>
      </c>
      <c r="Z148" s="15" cm="1">
        <f t="array" aca="1" ref="Z148" ca="1">IFERROR(INDEX(ODC!$D:$AC, MATCH("Capacity Demand (kg-to-LEO)", ODC!$A:$A, 0), Z$5+1+$D$146), 0)</f>
        <v>0</v>
      </c>
      <c r="AA148" s="15" cm="1">
        <f t="array" aca="1" ref="AA148" ca="1">IFERROR(INDEX(ODC!$D:$AC, MATCH("Capacity Demand (kg-to-LEO)", ODC!$A:$A, 0), AA$5+1+$D$146), 0)</f>
        <v>0</v>
      </c>
      <c r="AB148" s="15" cm="1">
        <f t="array" aca="1" ref="AB148" ca="1">IFERROR(INDEX(ODC!$D:$AC, MATCH("Capacity Demand (kg-to-LEO)", ODC!$A:$A, 0), AB$5+1+$D$146), 0)</f>
        <v>0</v>
      </c>
      <c r="AC148" s="15" cm="1">
        <f t="array" aca="1" ref="AC148" ca="1">IFERROR(INDEX(ODC!$D:$AC, MATCH("Capacity Demand (kg-to-LEO)", ODC!$A:$A, 0), AC$5+1+$D$146), 0)</f>
        <v>0</v>
      </c>
    </row>
    <row r="149" spans="1:29" x14ac:dyDescent="0.2">
      <c r="A149" t="s">
        <v>1486</v>
      </c>
      <c r="D149" s="15" cm="1">
        <f t="array" aca="1" ref="D149" ca="1">IFERROR(INDEX('Customer Launch'!$D:$AC, MATCH("Capacity Demand (kg-to-LEO)", 'Customer Launch'!$A:$A, 0), D$5+1+$D$146), 0)</f>
        <v>238331.6501933971</v>
      </c>
      <c r="E149" s="15" cm="1">
        <f t="array" aca="1" ref="E149" ca="1">IFERROR(INDEX('Customer Launch'!$D:$AC, MATCH("Capacity Demand (kg-to-LEO)", 'Customer Launch'!$A:$A, 0), E$5+1+$D$146), 0)</f>
        <v>394502.65165960212</v>
      </c>
      <c r="F149" s="15" cm="1">
        <f t="array" aca="1" ref="F149" ca="1">IFERROR(INDEX('Customer Launch'!$D:$AC, MATCH("Capacity Demand (kg-to-LEO)", 'Customer Launch'!$A:$A, 0), F$5+1+$D$146), 0)</f>
        <v>736505.22241947078</v>
      </c>
      <c r="G149" s="15" cm="1">
        <f t="array" aca="1" ref="G149" ca="1">IFERROR(INDEX('Customer Launch'!$D:$AC, MATCH("Capacity Demand (kg-to-LEO)", 'Customer Launch'!$A:$A, 0), G$5+1+$D$146), 0)</f>
        <v>1101048.1119618125</v>
      </c>
      <c r="H149" s="15" cm="1">
        <f t="array" aca="1" ref="H149" ca="1">IFERROR(INDEX('Customer Launch'!$D:$AC, MATCH("Capacity Demand (kg-to-LEO)", 'Customer Launch'!$A:$A, 0), H$5+1+$D$146), 0)</f>
        <v>1327302.2183607819</v>
      </c>
      <c r="I149" s="15" cm="1">
        <f t="array" aca="1" ref="I149" ca="1">IFERROR(INDEX('Customer Launch'!$D:$AC, MATCH("Capacity Demand (kg-to-LEO)", 'Customer Launch'!$A:$A, 0), I$5+1+$D$146), 0)</f>
        <v>2661825.2259647194</v>
      </c>
      <c r="J149" s="15" cm="1">
        <f t="array" aca="1" ref="J149" ca="1">IFERROR(INDEX('Customer Launch'!$D:$AC, MATCH("Capacity Demand (kg-to-LEO)", 'Customer Launch'!$A:$A, 0), J$5+1+$D$146), 0)</f>
        <v>1804908.4074925326</v>
      </c>
      <c r="K149" s="15" cm="1">
        <f t="array" aca="1" ref="K149" ca="1">IFERROR(INDEX('Customer Launch'!$D:$AC, MATCH("Capacity Demand (kg-to-LEO)", 'Customer Launch'!$A:$A, 0), K$5+1+$D$146), 0)</f>
        <v>3902581.4855232057</v>
      </c>
      <c r="L149" s="15" cm="1">
        <f t="array" aca="1" ref="L149" ca="1">IFERROR(INDEX('Customer Launch'!$D:$AC, MATCH("Capacity Demand (kg-to-LEO)", 'Customer Launch'!$A:$A, 0), L$5+1+$D$146), 0)</f>
        <v>5095953.9558281228</v>
      </c>
      <c r="M149" s="15" cm="1">
        <f t="array" aca="1" ref="M149" ca="1">IFERROR(INDEX('Customer Launch'!$D:$AC, MATCH("Capacity Demand (kg-to-LEO)", 'Customer Launch'!$A:$A, 0), M$5+1+$D$146), 0)</f>
        <v>2278155.1005286053</v>
      </c>
      <c r="N149" s="15" cm="1">
        <f t="array" aca="1" ref="N149" ca="1">IFERROR(INDEX('Customer Launch'!$D:$AC, MATCH("Capacity Demand (kg-to-LEO)", 'Customer Launch'!$A:$A, 0), N$5+1+$D$146), 0)</f>
        <v>6928413.7057933751</v>
      </c>
      <c r="O149" s="15" cm="1">
        <f t="array" aca="1" ref="O149" ca="1">IFERROR(INDEX('Customer Launch'!$D:$AC, MATCH("Capacity Demand (kg-to-LEO)", 'Customer Launch'!$A:$A, 0), O$5+1+$D$146), 0)</f>
        <v>3098658.7841902208</v>
      </c>
      <c r="P149" s="15" cm="1">
        <f t="array" aca="1" ref="P149" ca="1">IFERROR(INDEX('Customer Launch'!$D:$AC, MATCH("Capacity Demand (kg-to-LEO)", 'Customer Launch'!$A:$A, 0), P$5+1+$D$146), 0)</f>
        <v>7566286.3471053923</v>
      </c>
      <c r="Q149" s="15" cm="1">
        <f t="array" aca="1" ref="Q149" ca="1">IFERROR(INDEX('Customer Launch'!$D:$AC, MATCH("Capacity Demand (kg-to-LEO)", 'Customer Launch'!$A:$A, 0), Q$5+1+$D$146), 0)</f>
        <v>8020504.9161690567</v>
      </c>
      <c r="R149" s="15" cm="1">
        <f t="array" aca="1" ref="R149" ca="1">IFERROR(INDEX('Customer Launch'!$D:$AC, MATCH("Capacity Demand (kg-to-LEO)", 'Customer Launch'!$A:$A, 0), R$5+1+$D$146), 0)</f>
        <v>3055830.5105344891</v>
      </c>
      <c r="S149" s="15" cm="1">
        <f t="array" aca="1" ref="S149" ca="1">IFERROR(INDEX('Customer Launch'!$D:$AC, MATCH("Capacity Demand (kg-to-LEO)", 'Customer Launch'!$A:$A, 0), S$5+1+$D$146), 0)</f>
        <v>8842606.6700763851</v>
      </c>
      <c r="T149" s="15" cm="1">
        <f t="array" aca="1" ref="T149" ca="1">IFERROR(INDEX('Customer Launch'!$D:$AC, MATCH("Capacity Demand (kg-to-LEO)", 'Customer Launch'!$A:$A, 0), T$5+1+$D$146), 0)</f>
        <v>5203469.2227904061</v>
      </c>
      <c r="U149" s="15" cm="1">
        <f t="array" aca="1" ref="U149" ca="1">IFERROR(INDEX('Customer Launch'!$D:$AC, MATCH("Capacity Demand (kg-to-LEO)", 'Customer Launch'!$A:$A, 0), U$5+1+$D$146), 0)</f>
        <v>6134104.0384899918</v>
      </c>
      <c r="V149" s="15" cm="1">
        <f t="array" aca="1" ref="V149" ca="1">IFERROR(INDEX('Customer Launch'!$D:$AC, MATCH("Capacity Demand (kg-to-LEO)", 'Customer Launch'!$A:$A, 0), V$5+1+$D$146), 0)</f>
        <v>10236422.546447176</v>
      </c>
      <c r="W149" s="15" cm="1">
        <f t="array" aca="1" ref="W149" ca="1">IFERROR(INDEX('Customer Launch'!$D:$AC, MATCH("Capacity Demand (kg-to-LEO)", 'Customer Launch'!$A:$A, 0), W$5+1+$D$146), 0)</f>
        <v>3993557.6288277255</v>
      </c>
      <c r="X149" s="15" cm="1">
        <f t="array" aca="1" ref="X149" ca="1">IFERROR(INDEX('Customer Launch'!$D:$AC, MATCH("Capacity Demand (kg-to-LEO)", 'Customer Launch'!$A:$A, 0), X$5+1+$D$146), 0)</f>
        <v>11285655.857458008</v>
      </c>
      <c r="Y149" s="15" cm="1">
        <f t="array" aca="1" ref="Y149" ca="1">IFERROR(INDEX('Customer Launch'!$D:$AC, MATCH("Capacity Demand (kg-to-LEO)", 'Customer Launch'!$A:$A, 0), Y$5+1+$D$146), 0)</f>
        <v>8890750.3554545008</v>
      </c>
      <c r="Z149" s="15" cm="1">
        <f t="array" aca="1" ref="Z149" ca="1">IFERROR(INDEX('Customer Launch'!$D:$AC, MATCH("Capacity Demand (kg-to-LEO)", 'Customer Launch'!$A:$A, 0), Z$5+1+$D$146), 0)</f>
        <v>4883370.0690386035</v>
      </c>
      <c r="AA149" s="15" cm="1">
        <f t="array" aca="1" ref="AA149" ca="1">IFERROR(INDEX('Customer Launch'!$D:$AC, MATCH("Capacity Demand (kg-to-LEO)", 'Customer Launch'!$A:$A, 0), AA$5+1+$D$146), 0)</f>
        <v>13064557.36198983</v>
      </c>
      <c r="AB149" s="15" cm="1">
        <f t="array" aca="1" ref="AB149" ca="1">IFERROR(INDEX('Customer Launch'!$D:$AC, MATCH("Capacity Demand (kg-to-LEO)", 'Customer Launch'!$A:$A, 0), AB$5+1+$D$146), 0)</f>
        <v>0</v>
      </c>
      <c r="AC149" s="15" cm="1">
        <f t="array" aca="1" ref="AC149" ca="1">IFERROR(INDEX('Customer Launch'!$D:$AC, MATCH("Capacity Demand (kg-to-LEO)", 'Customer Launch'!$A:$A, 0), AC$5+1+$D$146), 0)</f>
        <v>0</v>
      </c>
    </row>
    <row r="150" spans="1:29" x14ac:dyDescent="0.2">
      <c r="A150" t="s">
        <v>1487</v>
      </c>
      <c r="D150" s="15" cm="1">
        <f t="array" aca="1" ref="D150" ca="1">IFERROR(INDEX('Lunar Mars'!$D:$AC, MATCH("Capacity Demand (kg-to-LEO)", 'Lunar Mars'!$A:$A, 0), D$5+1+$D$146), 0)</f>
        <v>0</v>
      </c>
      <c r="E150" s="15" cm="1">
        <f t="array" aca="1" ref="E150" ca="1">IFERROR(INDEX('Lunar Mars'!$D:$AC, MATCH("Capacity Demand (kg-to-LEO)", 'Lunar Mars'!$A:$A, 0), E$5+1+$D$146), 0)</f>
        <v>3326909.6657904722</v>
      </c>
      <c r="F150" s="15" cm="1">
        <f t="array" aca="1" ref="F150" ca="1">IFERROR(INDEX('Lunar Mars'!$D:$AC, MATCH("Capacity Demand (kg-to-LEO)", 'Lunar Mars'!$A:$A, 0), F$5+1+$D$146), 0)</f>
        <v>3404225.1238186788</v>
      </c>
      <c r="G150" s="15" cm="1">
        <f t="array" aca="1" ref="G150" ca="1">IFERROR(INDEX('Lunar Mars'!$D:$AC, MATCH("Capacity Demand (kg-to-LEO)", 'Lunar Mars'!$A:$A, 0), G$5+1+$D$146), 0)</f>
        <v>3482414.5337390373</v>
      </c>
      <c r="H150" s="15" cm="1">
        <f t="array" aca="1" ref="H150" ca="1">IFERROR(INDEX('Lunar Mars'!$D:$AC, MATCH("Capacity Demand (kg-to-LEO)", 'Lunar Mars'!$A:$A, 0), H$5+1+$D$146), 0)</f>
        <v>3572722.9582877513</v>
      </c>
      <c r="I150" s="15" cm="1">
        <f t="array" aca="1" ref="I150" ca="1">IFERROR(INDEX('Lunar Mars'!$D:$AC, MATCH("Capacity Demand (kg-to-LEO)", 'Lunar Mars'!$A:$A, 0), I$5+1+$D$146), 0)</f>
        <v>3664111.4884932735</v>
      </c>
      <c r="J150" s="15" cm="1">
        <f t="array" aca="1" ref="J150" ca="1">IFERROR(INDEX('Lunar Mars'!$D:$AC, MATCH("Capacity Demand (kg-to-LEO)", 'Lunar Mars'!$A:$A, 0), J$5+1+$D$146), 0)</f>
        <v>3756374.0929118125</v>
      </c>
      <c r="K150" s="15" cm="1">
        <f t="array" aca="1" ref="K150" ca="1">IFERROR(INDEX('Lunar Mars'!$D:$AC, MATCH("Capacity Demand (kg-to-LEO)", 'Lunar Mars'!$A:$A, 0), K$5+1+$D$146), 0)</f>
        <v>3849276.3403376373</v>
      </c>
      <c r="L150" s="15" cm="1">
        <f t="array" aca="1" ref="L150" ca="1">IFERROR(INDEX('Lunar Mars'!$D:$AC, MATCH("Capacity Demand (kg-to-LEO)", 'Lunar Mars'!$A:$A, 0), L$5+1+$D$146), 0)</f>
        <v>3942554.1316836067</v>
      </c>
      <c r="M150" s="15" cm="1">
        <f t="array" aca="1" ref="M150" ca="1">IFERROR(INDEX('Lunar Mars'!$D:$AC, MATCH("Capacity Demand (kg-to-LEO)", 'Lunar Mars'!$A:$A, 0), M$5+1+$D$146), 0)</f>
        <v>3977503.8745412761</v>
      </c>
      <c r="N150" s="15" cm="1">
        <f t="array" aca="1" ref="N150" ca="1">IFERROR(INDEX('Lunar Mars'!$D:$AC, MATCH("Capacity Demand (kg-to-LEO)", 'Lunar Mars'!$A:$A, 0), N$5+1+$D$146), 0)</f>
        <v>4012072.1556890355</v>
      </c>
      <c r="O150" s="15" cm="1">
        <f t="array" aca="1" ref="O150" ca="1">IFERROR(INDEX('Lunar Mars'!$D:$AC, MATCH("Capacity Demand (kg-to-LEO)", 'Lunar Mars'!$A:$A, 0), O$5+1+$D$146), 0)</f>
        <v>4046219.2893405715</v>
      </c>
      <c r="P150" s="15" cm="1">
        <f t="array" aca="1" ref="P150" ca="1">IFERROR(INDEX('Lunar Mars'!$D:$AC, MATCH("Capacity Demand (kg-to-LEO)", 'Lunar Mars'!$A:$A, 0), P$5+1+$D$146), 0)</f>
        <v>4079908.5802376084</v>
      </c>
      <c r="Q150" s="15" cm="1">
        <f t="array" aca="1" ref="Q150" ca="1">IFERROR(INDEX('Lunar Mars'!$D:$AC, MATCH("Capacity Demand (kg-to-LEO)", 'Lunar Mars'!$A:$A, 0), Q$5+1+$D$146), 0)</f>
        <v>4113102.6357317055</v>
      </c>
      <c r="R150" s="15" cm="1">
        <f t="array" aca="1" ref="R150" ca="1">IFERROR(INDEX('Lunar Mars'!$D:$AC, MATCH("Capacity Demand (kg-to-LEO)", 'Lunar Mars'!$A:$A, 0), R$5+1+$D$146), 0)</f>
        <v>4145760.0160535835</v>
      </c>
      <c r="S150" s="15" cm="1">
        <f t="array" aca="1" ref="S150" ca="1">IFERROR(INDEX('Lunar Mars'!$D:$AC, MATCH("Capacity Demand (kg-to-LEO)", 'Lunar Mars'!$A:$A, 0), S$5+1+$D$146), 0)</f>
        <v>4177842.3380771549</v>
      </c>
      <c r="T150" s="15" cm="1">
        <f t="array" aca="1" ref="T150" ca="1">IFERROR(INDEX('Lunar Mars'!$D:$AC, MATCH("Capacity Demand (kg-to-LEO)", 'Lunar Mars'!$A:$A, 0), T$5+1+$D$146), 0)</f>
        <v>4209310.7527944883</v>
      </c>
      <c r="U150" s="15" cm="1">
        <f t="array" aca="1" ref="U150" ca="1">IFERROR(INDEX('Lunar Mars'!$D:$AC, MATCH("Capacity Demand (kg-to-LEO)", 'Lunar Mars'!$A:$A, 0), U$5+1+$D$146), 0)</f>
        <v>4240122.8393316511</v>
      </c>
      <c r="V150" s="15" cm="1">
        <f t="array" aca="1" ref="V150" ca="1">IFERROR(INDEX('Lunar Mars'!$D:$AC, MATCH("Capacity Demand (kg-to-LEO)", 'Lunar Mars'!$A:$A, 0), V$5+1+$D$146), 0)</f>
        <v>4270239.3168777013</v>
      </c>
      <c r="W150" s="15" cm="1">
        <f t="array" aca="1" ref="W150" ca="1">IFERROR(INDEX('Lunar Mars'!$D:$AC, MATCH("Capacity Demand (kg-to-LEO)", 'Lunar Mars'!$A:$A, 0), W$5+1+$D$146), 0)</f>
        <v>4299620.7250806373</v>
      </c>
      <c r="X150" s="15" cm="1">
        <f t="array" aca="1" ref="X150" ca="1">IFERROR(INDEX('Lunar Mars'!$D:$AC, MATCH("Capacity Demand (kg-to-LEO)", 'Lunar Mars'!$A:$A, 0), X$5+1+$D$146), 0)</f>
        <v>4328224.600711246</v>
      </c>
      <c r="Y150" s="15" cm="1">
        <f t="array" aca="1" ref="Y150" ca="1">IFERROR(INDEX('Lunar Mars'!$D:$AC, MATCH("Capacity Demand (kg-to-LEO)", 'Lunar Mars'!$A:$A, 0), Y$5+1+$D$146), 0)</f>
        <v>4356011.7147960393</v>
      </c>
      <c r="Z150" s="15" cm="1">
        <f t="array" aca="1" ref="Z150" ca="1">IFERROR(INDEX('Lunar Mars'!$D:$AC, MATCH("Capacity Demand (kg-to-LEO)", 'Lunar Mars'!$A:$A, 0), Z$5+1+$D$146), 0)</f>
        <v>4862776.2526990287</v>
      </c>
      <c r="AA150" s="15" cm="1">
        <f t="array" aca="1" ref="AA150" ca="1">IFERROR(INDEX('Lunar Mars'!$D:$AC, MATCH("Capacity Demand (kg-to-LEO)", 'Lunar Mars'!$A:$A, 0), AA$5+1+$D$146), 0)</f>
        <v>4408977.0127464868</v>
      </c>
      <c r="AB150" s="15" cm="1">
        <f t="array" aca="1" ref="AB150" ca="1">IFERROR(INDEX('Lunar Mars'!$D:$AC, MATCH("Capacity Demand (kg-to-LEO)", 'Lunar Mars'!$A:$A, 0), AB$5+1+$D$146), 0)</f>
        <v>0</v>
      </c>
      <c r="AC150" s="15" cm="1">
        <f t="array" aca="1" ref="AC150" ca="1">IFERROR(INDEX('Lunar Mars'!$D:$AC, MATCH("Capacity Demand (kg-to-LEO)", 'Lunar Mars'!$A:$A, 0), AC$5+1+$D$146), 0)</f>
        <v>0</v>
      </c>
    </row>
    <row r="151" spans="1:29" x14ac:dyDescent="0.2">
      <c r="A151" t="s">
        <v>1488</v>
      </c>
      <c r="D151" s="15">
        <f ca="1">D147+D148+D149+D150</f>
        <v>238331.6501933971</v>
      </c>
      <c r="E151" s="15">
        <f t="shared" ref="E151:AC151" ca="1" si="36">E147+E148+E149+E150</f>
        <v>3721412.3174500745</v>
      </c>
      <c r="F151" s="15">
        <f t="shared" ca="1" si="36"/>
        <v>4140730.3462381493</v>
      </c>
      <c r="G151" s="15">
        <f t="shared" ca="1" si="36"/>
        <v>4583462.6457008496</v>
      </c>
      <c r="H151" s="15">
        <f t="shared" ca="1" si="36"/>
        <v>4900025.176648533</v>
      </c>
      <c r="I151" s="15">
        <f t="shared" ca="1" si="36"/>
        <v>6325936.7144579925</v>
      </c>
      <c r="J151" s="15">
        <f t="shared" ca="1" si="36"/>
        <v>5561282.5004043449</v>
      </c>
      <c r="K151" s="15">
        <f t="shared" ca="1" si="36"/>
        <v>7751857.8258608431</v>
      </c>
      <c r="L151" s="15">
        <f t="shared" ca="1" si="36"/>
        <v>9038508.0875117294</v>
      </c>
      <c r="M151" s="15">
        <f t="shared" ca="1" si="36"/>
        <v>6255658.9750698814</v>
      </c>
      <c r="N151" s="15">
        <f t="shared" ca="1" si="36"/>
        <v>10940485.861482412</v>
      </c>
      <c r="O151" s="15">
        <f t="shared" ca="1" si="36"/>
        <v>7144878.0735307923</v>
      </c>
      <c r="P151" s="15">
        <f t="shared" ca="1" si="36"/>
        <v>11646194.927343</v>
      </c>
      <c r="Q151" s="15">
        <f t="shared" ca="1" si="36"/>
        <v>12133607.551900763</v>
      </c>
      <c r="R151" s="15">
        <f t="shared" ca="1" si="36"/>
        <v>7201590.526588073</v>
      </c>
      <c r="S151" s="15">
        <f t="shared" ca="1" si="36"/>
        <v>13020449.008153539</v>
      </c>
      <c r="T151" s="15">
        <f t="shared" ca="1" si="36"/>
        <v>9412779.9755848944</v>
      </c>
      <c r="U151" s="15">
        <f t="shared" ca="1" si="36"/>
        <v>10374226.877821643</v>
      </c>
      <c r="V151" s="15">
        <f t="shared" ca="1" si="36"/>
        <v>14506661.863324877</v>
      </c>
      <c r="W151" s="15">
        <f t="shared" ca="1" si="36"/>
        <v>8293178.3539083628</v>
      </c>
      <c r="X151" s="15">
        <f t="shared" ca="1" si="36"/>
        <v>15613880.458169255</v>
      </c>
      <c r="Y151" s="15">
        <f t="shared" ca="1" si="36"/>
        <v>13246762.070250541</v>
      </c>
      <c r="Z151" s="15">
        <f t="shared" ca="1" si="36"/>
        <v>9746146.3217376322</v>
      </c>
      <c r="AA151" s="15">
        <f t="shared" ca="1" si="36"/>
        <v>17473534.374736317</v>
      </c>
      <c r="AB151" s="15">
        <f t="shared" ca="1" si="36"/>
        <v>0</v>
      </c>
      <c r="AC151" s="15">
        <f t="shared" ca="1" si="36"/>
        <v>0</v>
      </c>
    </row>
    <row r="152" spans="1:29" x14ac:dyDescent="0.2">
      <c r="A152" t="s">
        <v>1489</v>
      </c>
      <c r="D152" s="15" cm="1">
        <f t="array" aca="1" ref="D152" ca="1">IFERROR(INDEX('Launch Capacity'!$D:$AC, MATCH("Total Annual Capacity (kg-to-LEO)", 'Launch Capacity'!$A:$A, 0), D$5+1+$D$146), 0)</f>
        <v>232172.86773745186</v>
      </c>
      <c r="E152" s="15" cm="1">
        <f t="array" aca="1" ref="E152" ca="1">IFERROR(INDEX('Launch Capacity'!$D:$AC, MATCH("Total Annual Capacity (kg-to-LEO)", 'Launch Capacity'!$A:$A, 0), E$5+1+$D$146), 0)</f>
        <v>423134.28148913663</v>
      </c>
      <c r="F152" s="15" cm="1">
        <f t="array" aca="1" ref="F152" ca="1">IFERROR(INDEX('Launch Capacity'!$D:$AC, MATCH("Total Annual Capacity (kg-to-LEO)", 'Launch Capacity'!$A:$A, 0), F$5+1+$D$146), 0)</f>
        <v>665049.24496605981</v>
      </c>
      <c r="G152" s="15" cm="1">
        <f t="array" aca="1" ref="G152" ca="1">IFERROR(INDEX('Launch Capacity'!$D:$AC, MATCH("Total Annual Capacity (kg-to-LEO)", 'Launch Capacity'!$A:$A, 0), G$5+1+$D$146), 0)</f>
        <v>1155020.150754624</v>
      </c>
      <c r="H152" s="15" cm="1">
        <f t="array" aca="1" ref="H152" ca="1">IFERROR(INDEX('Launch Capacity'!$D:$AC, MATCH("Total Annual Capacity (kg-to-LEO)", 'Launch Capacity'!$A:$A, 0), H$5+1+$D$146), 0)</f>
        <v>1578855.7733065963</v>
      </c>
      <c r="I152" s="15" cm="1">
        <f t="array" aca="1" ref="I152" ca="1">IFERROR(INDEX('Launch Capacity'!$D:$AC, MATCH("Total Annual Capacity (kg-to-LEO)", 'Launch Capacity'!$A:$A, 0), I$5+1+$D$146), 0)</f>
        <v>1644199.4179229192</v>
      </c>
      <c r="J152" s="15" cm="1">
        <f t="array" aca="1" ref="J152" ca="1">IFERROR(INDEX('Launch Capacity'!$D:$AC, MATCH("Total Annual Capacity (kg-to-LEO)", 'Launch Capacity'!$A:$A, 0), J$5+1+$D$146), 0)</f>
        <v>3760146.1456427388</v>
      </c>
      <c r="K152" s="15" cm="1">
        <f t="array" aca="1" ref="K152" ca="1">IFERROR(INDEX('Launch Capacity'!$D:$AC, MATCH("Total Annual Capacity (kg-to-LEO)", 'Launch Capacity'!$A:$A, 0), K$5+1+$D$146), 0)</f>
        <v>1974432.3048974934</v>
      </c>
      <c r="L152" s="15" cm="1">
        <f t="array" aca="1" ref="L152" ca="1">IFERROR(INDEX('Launch Capacity'!$D:$AC, MATCH("Total Annual Capacity (kg-to-LEO)", 'Launch Capacity'!$A:$A, 0), L$5+1+$D$146), 0)</f>
        <v>5002826.816693252</v>
      </c>
      <c r="M152" s="15" cm="1">
        <f t="array" aca="1" ref="M152" ca="1">IFERROR(INDEX('Launch Capacity'!$D:$AC, MATCH("Total Annual Capacity (kg-to-LEO)", 'Launch Capacity'!$A:$A, 0), M$5+1+$D$146), 0)</f>
        <v>6088290.9280479504</v>
      </c>
      <c r="N152" s="15" cm="1">
        <f t="array" aca="1" ref="N152" ca="1">IFERROR(INDEX('Launch Capacity'!$D:$AC, MATCH("Total Annual Capacity (kg-to-LEO)", 'Launch Capacity'!$A:$A, 0), N$5+1+$D$146), 0)</f>
        <v>2432227.2387335724</v>
      </c>
      <c r="O152" s="15" cm="1">
        <f t="array" aca="1" ref="O152" ca="1">IFERROR(INDEX('Launch Capacity'!$D:$AC, MATCH("Total Annual Capacity (kg-to-LEO)", 'Launch Capacity'!$A:$A, 0), O$5+1+$D$146), 0)</f>
        <v>11502718.1572091</v>
      </c>
      <c r="P152" s="15" cm="1">
        <f t="array" aca="1" ref="P152" ca="1">IFERROR(INDEX('Launch Capacity'!$D:$AC, MATCH("Total Annual Capacity (kg-to-LEO)", 'Launch Capacity'!$A:$A, 0), P$5+1+$D$146), 0)</f>
        <v>3272512.0032541063</v>
      </c>
      <c r="Q152" s="15" cm="1">
        <f t="array" aca="1" ref="Q152" ca="1">IFERROR(INDEX('Launch Capacity'!$D:$AC, MATCH("Total Annual Capacity (kg-to-LEO)", 'Launch Capacity'!$A:$A, 0), Q$5+1+$D$146), 0)</f>
        <v>8683234.4933169354</v>
      </c>
      <c r="R152" s="15" cm="1">
        <f t="array" aca="1" ref="R152" ca="1">IFERROR(INDEX('Launch Capacity'!$D:$AC, MATCH("Total Annual Capacity (kg-to-LEO)", 'Launch Capacity'!$A:$A, 0), R$5+1+$D$146), 0)</f>
        <v>15414203.638301549</v>
      </c>
      <c r="S152" s="15" cm="1">
        <f t="array" aca="1" ref="S152" ca="1">IFERROR(INDEX('Launch Capacity'!$D:$AC, MATCH("Total Annual Capacity (kg-to-LEO)", 'Launch Capacity'!$A:$A, 0), S$5+1+$D$146), 0)</f>
        <v>3192866.433320045</v>
      </c>
      <c r="T152" s="15" cm="1">
        <f t="array" aca="1" ref="T152" ca="1">IFERROR(INDEX('Launch Capacity'!$D:$AC, MATCH("Total Annual Capacity (kg-to-LEO)", 'Launch Capacity'!$A:$A, 0), T$5+1+$D$146), 0)</f>
        <v>22844934.074447524</v>
      </c>
      <c r="U152" s="15" cm="1">
        <f t="array" aca="1" ref="U152" ca="1">IFERROR(INDEX('Launch Capacity'!$D:$AC, MATCH("Total Annual Capacity (kg-to-LEO)", 'Launch Capacity'!$A:$A, 0), U$5+1+$D$146), 0)</f>
        <v>5407115.5079087652</v>
      </c>
      <c r="V152" s="15" cm="1">
        <f t="array" aca="1" ref="V152" ca="1">IFERROR(INDEX('Launch Capacity'!$D:$AC, MATCH("Total Annual Capacity (kg-to-LEO)", 'Launch Capacity'!$A:$A, 0), V$5+1+$D$146), 0)</f>
        <v>6416915.8774405876</v>
      </c>
      <c r="W152" s="15" cm="1">
        <f t="array" aca="1" ref="W152" ca="1">IFERROR(INDEX('Launch Capacity'!$D:$AC, MATCH("Total Annual Capacity (kg-to-LEO)", 'Launch Capacity'!$A:$A, 0), W$5+1+$D$146), 0)</f>
        <v>31168198.416217029</v>
      </c>
      <c r="X152" s="15" cm="1">
        <f t="array" aca="1" ref="X152" ca="1">IFERROR(INDEX('Launch Capacity'!$D:$AC, MATCH("Total Annual Capacity (kg-to-LEO)", 'Launch Capacity'!$A:$A, 0), X$5+1+$D$146), 0)</f>
        <v>4127248.9400326586</v>
      </c>
      <c r="Y152" s="15" cm="1">
        <f t="array" aca="1" ref="Y152" ca="1">IFERROR(INDEX('Launch Capacity'!$D:$AC, MATCH("Total Annual Capacity (kg-to-LEO)", 'Launch Capacity'!$A:$A, 0), Y$5+1+$D$146), 0)</f>
        <v>37192737.972736612</v>
      </c>
      <c r="Z152" s="15" cm="1">
        <f t="array" aca="1" ref="Z152" ca="1">IFERROR(INDEX('Launch Capacity'!$D:$AC, MATCH("Total Annual Capacity (kg-to-LEO)", 'Launch Capacity'!$A:$A, 0), Z$5+1+$D$146), 0)</f>
        <v>9158664.1331653539</v>
      </c>
      <c r="AA152" s="15" cm="1">
        <f t="array" aca="1" ref="AA152" ca="1">IFERROR(INDEX('Launch Capacity'!$D:$AC, MATCH("Total Annual Capacity (kg-to-LEO)", 'Launch Capacity'!$A:$A, 0), AA$5+1+$D$146), 0)</f>
        <v>5026680.7159921201</v>
      </c>
      <c r="AB152" s="15" cm="1">
        <f t="array" aca="1" ref="AB152" ca="1">IFERROR(INDEX('Launch Capacity'!$D:$AC, MATCH("Total Annual Capacity (kg-to-LEO)", 'Launch Capacity'!$A:$A, 0), AB$5+1+$D$146), 0)</f>
        <v>0</v>
      </c>
      <c r="AC152" s="15" cm="1">
        <f t="array" aca="1" ref="AC152" ca="1">IFERROR(INDEX('Launch Capacity'!$D:$AC, MATCH("Total Annual Capacity (kg-to-LEO)", 'Launch Capacity'!$A:$A, 0), AC$5+1+$D$146), 0)</f>
        <v>0</v>
      </c>
    </row>
    <row r="153" spans="1:29" x14ac:dyDescent="0.2">
      <c r="A153" t="s">
        <v>1490</v>
      </c>
      <c r="D153" s="15">
        <f ca="1">MAX(0, D151-D152)</f>
        <v>6158.782455945242</v>
      </c>
      <c r="E153" s="15">
        <f t="shared" ref="E153:AC153" ca="1" si="37">MAX(0, E151-E152)</f>
        <v>3298278.0359609379</v>
      </c>
      <c r="F153" s="15">
        <f t="shared" ca="1" si="37"/>
        <v>3475681.1012720894</v>
      </c>
      <c r="G153" s="15">
        <f t="shared" ca="1" si="37"/>
        <v>3428442.4949462255</v>
      </c>
      <c r="H153" s="15">
        <f t="shared" ca="1" si="37"/>
        <v>3321169.4033419369</v>
      </c>
      <c r="I153" s="15">
        <f t="shared" ca="1" si="37"/>
        <v>4681737.2965350728</v>
      </c>
      <c r="J153" s="15">
        <f t="shared" ca="1" si="37"/>
        <v>1801136.3547616061</v>
      </c>
      <c r="K153" s="15">
        <f t="shared" ca="1" si="37"/>
        <v>5777425.5209633494</v>
      </c>
      <c r="L153" s="15">
        <f t="shared" ca="1" si="37"/>
        <v>4035681.2708184775</v>
      </c>
      <c r="M153" s="15">
        <f t="shared" ca="1" si="37"/>
        <v>167368.04702193104</v>
      </c>
      <c r="N153" s="15">
        <f t="shared" ca="1" si="37"/>
        <v>8508258.6227488387</v>
      </c>
      <c r="O153" s="15">
        <f t="shared" ca="1" si="37"/>
        <v>0</v>
      </c>
      <c r="P153" s="15">
        <f t="shared" ca="1" si="37"/>
        <v>8373682.9240888935</v>
      </c>
      <c r="Q153" s="15">
        <f t="shared" ca="1" si="37"/>
        <v>3450373.0585838277</v>
      </c>
      <c r="R153" s="15">
        <f t="shared" ca="1" si="37"/>
        <v>0</v>
      </c>
      <c r="S153" s="15">
        <f t="shared" ca="1" si="37"/>
        <v>9827582.5748334937</v>
      </c>
      <c r="T153" s="15">
        <f t="shared" ca="1" si="37"/>
        <v>0</v>
      </c>
      <c r="U153" s="15">
        <f t="shared" ca="1" si="37"/>
        <v>4967111.3699128777</v>
      </c>
      <c r="V153" s="15">
        <f t="shared" ca="1" si="37"/>
        <v>8089745.9858842893</v>
      </c>
      <c r="W153" s="15">
        <f t="shared" ca="1" si="37"/>
        <v>0</v>
      </c>
      <c r="X153" s="15">
        <f t="shared" ca="1" si="37"/>
        <v>11486631.518136596</v>
      </c>
      <c r="Y153" s="15">
        <f t="shared" ca="1" si="37"/>
        <v>0</v>
      </c>
      <c r="Z153" s="15">
        <f t="shared" ca="1" si="37"/>
        <v>587482.18857227825</v>
      </c>
      <c r="AA153" s="15">
        <f t="shared" ca="1" si="37"/>
        <v>12446853.658744197</v>
      </c>
      <c r="AB153" s="15">
        <f t="shared" ca="1" si="37"/>
        <v>0</v>
      </c>
      <c r="AC153" s="15">
        <f t="shared" ca="1" si="37"/>
        <v>0</v>
      </c>
    </row>
    <row r="154" spans="1:29" x14ac:dyDescent="0.2">
      <c r="A154" t="s">
        <v>1491</v>
      </c>
      <c r="D154" s="29" cm="1">
        <f t="array" aca="1" ref="D154" ca="1">IFERROR(D153 / INDEX('Launch Capacity'!$D:$AC, MATCH("Per-launch upmass (kg)", 'Launch Capacity'!$A:$A, 0), D$5+1), 0)</f>
        <v>4.1058549706301614E-2</v>
      </c>
      <c r="E154" s="29" cm="1">
        <f t="array" aca="1" ref="E154" ca="1">IFERROR(E153 / INDEX('Launch Capacity'!$D:$AC, MATCH("Per-launch upmass (kg)", 'Launch Capacity'!$A:$A, 0), E$5+1), 0)</f>
        <v>21.988520239739586</v>
      </c>
      <c r="F154" s="29" cm="1">
        <f t="array" aca="1" ref="F154" ca="1">IFERROR(F153 / INDEX('Launch Capacity'!$D:$AC, MATCH("Per-launch upmass (kg)", 'Launch Capacity'!$A:$A, 0), F$5+1), 0)</f>
        <v>34.756811012720895</v>
      </c>
      <c r="G154" s="29" cm="1">
        <f t="array" aca="1" ref="G154" ca="1">IFERROR(G153 / INDEX('Launch Capacity'!$D:$AC, MATCH("Per-launch upmass (kg)", 'Launch Capacity'!$A:$A, 0), G$5+1), 0)</f>
        <v>34.284424949462256</v>
      </c>
      <c r="H154" s="29" cm="1">
        <f t="array" aca="1" ref="H154" ca="1">IFERROR(H153 / INDEX('Launch Capacity'!$D:$AC, MATCH("Per-launch upmass (kg)", 'Launch Capacity'!$A:$A, 0), H$5+1), 0)</f>
        <v>33.21169403341937</v>
      </c>
      <c r="I154" s="29" cm="1">
        <f t="array" aca="1" ref="I154" ca="1">IFERROR(I153 / INDEX('Launch Capacity'!$D:$AC, MATCH("Per-launch upmass (kg)", 'Launch Capacity'!$A:$A, 0), I$5+1), 0)</f>
        <v>46.817372965350728</v>
      </c>
      <c r="J154" s="29" cm="1">
        <f t="array" aca="1" ref="J154" ca="1">IFERROR(J153 / INDEX('Launch Capacity'!$D:$AC, MATCH("Per-launch upmass (kg)", 'Launch Capacity'!$A:$A, 0), J$5+1), 0)</f>
        <v>18.01136354761606</v>
      </c>
      <c r="K154" s="29" cm="1">
        <f t="array" aca="1" ref="K154" ca="1">IFERROR(K153 / INDEX('Launch Capacity'!$D:$AC, MATCH("Per-launch upmass (kg)", 'Launch Capacity'!$A:$A, 0), K$5+1), 0)</f>
        <v>57.774255209633495</v>
      </c>
      <c r="L154" s="29" cm="1">
        <f t="array" aca="1" ref="L154" ca="1">IFERROR(L153 / INDEX('Launch Capacity'!$D:$AC, MATCH("Per-launch upmass (kg)", 'Launch Capacity'!$A:$A, 0), L$5+1), 0)</f>
        <v>40.356812708184776</v>
      </c>
      <c r="M154" s="29" cm="1">
        <f t="array" aca="1" ref="M154" ca="1">IFERROR(M153 / INDEX('Launch Capacity'!$D:$AC, MATCH("Per-launch upmass (kg)", 'Launch Capacity'!$A:$A, 0), M$5+1), 0)</f>
        <v>1.6736804702193104</v>
      </c>
      <c r="N154" s="29" cm="1">
        <f t="array" aca="1" ref="N154" ca="1">IFERROR(N153 / INDEX('Launch Capacity'!$D:$AC, MATCH("Per-launch upmass (kg)", 'Launch Capacity'!$A:$A, 0), N$5+1), 0)</f>
        <v>85.082586227488392</v>
      </c>
      <c r="O154" s="29" cm="1">
        <f t="array" aca="1" ref="O154" ca="1">IFERROR(O153 / INDEX('Launch Capacity'!$D:$AC, MATCH("Per-launch upmass (kg)", 'Launch Capacity'!$A:$A, 0), O$5+1), 0)</f>
        <v>0</v>
      </c>
      <c r="P154" s="29" cm="1">
        <f t="array" aca="1" ref="P154" ca="1">IFERROR(P153 / INDEX('Launch Capacity'!$D:$AC, MATCH("Per-launch upmass (kg)", 'Launch Capacity'!$A:$A, 0), P$5+1), 0)</f>
        <v>83.736829240888937</v>
      </c>
      <c r="Q154" s="29" cm="1">
        <f t="array" aca="1" ref="Q154" ca="1">IFERROR(Q153 / INDEX('Launch Capacity'!$D:$AC, MATCH("Per-launch upmass (kg)", 'Launch Capacity'!$A:$A, 0), Q$5+1), 0)</f>
        <v>34.503730585838277</v>
      </c>
      <c r="R154" s="29" cm="1">
        <f t="array" aca="1" ref="R154" ca="1">IFERROR(R153 / INDEX('Launch Capacity'!$D:$AC, MATCH("Per-launch upmass (kg)", 'Launch Capacity'!$A:$A, 0), R$5+1), 0)</f>
        <v>0</v>
      </c>
      <c r="S154" s="29" cm="1">
        <f t="array" aca="1" ref="S154" ca="1">IFERROR(S153 / INDEX('Launch Capacity'!$D:$AC, MATCH("Per-launch upmass (kg)", 'Launch Capacity'!$A:$A, 0), S$5+1), 0)</f>
        <v>98.275825748334938</v>
      </c>
      <c r="T154" s="29" cm="1">
        <f t="array" aca="1" ref="T154" ca="1">IFERROR(T153 / INDEX('Launch Capacity'!$D:$AC, MATCH("Per-launch upmass (kg)", 'Launch Capacity'!$A:$A, 0), T$5+1), 0)</f>
        <v>0</v>
      </c>
      <c r="U154" s="29" cm="1">
        <f t="array" aca="1" ref="U154" ca="1">IFERROR(U153 / INDEX('Launch Capacity'!$D:$AC, MATCH("Per-launch upmass (kg)", 'Launch Capacity'!$A:$A, 0), U$5+1), 0)</f>
        <v>49.671113699128774</v>
      </c>
      <c r="V154" s="29" cm="1">
        <f t="array" aca="1" ref="V154" ca="1">IFERROR(V153 / INDEX('Launch Capacity'!$D:$AC, MATCH("Per-launch upmass (kg)", 'Launch Capacity'!$A:$A, 0), V$5+1), 0)</f>
        <v>80.897459858842893</v>
      </c>
      <c r="W154" s="29" cm="1">
        <f t="array" aca="1" ref="W154" ca="1">IFERROR(W153 / INDEX('Launch Capacity'!$D:$AC, MATCH("Per-launch upmass (kg)", 'Launch Capacity'!$A:$A, 0), W$5+1), 0)</f>
        <v>0</v>
      </c>
      <c r="X154" s="29" cm="1">
        <f t="array" aca="1" ref="X154" ca="1">IFERROR(X153 / INDEX('Launch Capacity'!$D:$AC, MATCH("Per-launch upmass (kg)", 'Launch Capacity'!$A:$A, 0), X$5+1), 0)</f>
        <v>114.86631518136596</v>
      </c>
      <c r="Y154" s="29" cm="1">
        <f t="array" aca="1" ref="Y154" ca="1">IFERROR(Y153 / INDEX('Launch Capacity'!$D:$AC, MATCH("Per-launch upmass (kg)", 'Launch Capacity'!$A:$A, 0), Y$5+1), 0)</f>
        <v>0</v>
      </c>
      <c r="Z154" s="29" cm="1">
        <f t="array" aca="1" ref="Z154" ca="1">IFERROR(Z153 / INDEX('Launch Capacity'!$D:$AC, MATCH("Per-launch upmass (kg)", 'Launch Capacity'!$A:$A, 0), Z$5+1), 0)</f>
        <v>5.8748218857227821</v>
      </c>
      <c r="AA154" s="29" cm="1">
        <f t="array" aca="1" ref="AA154" ca="1">IFERROR(AA153 / INDEX('Launch Capacity'!$D:$AC, MATCH("Per-launch upmass (kg)", 'Launch Capacity'!$A:$A, 0), AA$5+1), 0)</f>
        <v>124.46853658744197</v>
      </c>
      <c r="AB154" s="29" cm="1">
        <f t="array" aca="1" ref="AB154" ca="1">IFERROR(AB153 / INDEX('Launch Capacity'!$D:$AC, MATCH("Per-launch upmass (kg)", 'Launch Capacity'!$A:$A, 0), AB$5+1), 0)</f>
        <v>0</v>
      </c>
      <c r="AC154" s="29" cm="1">
        <f t="array" aca="1" ref="AC154" ca="1">IFERROR(AC153 / INDEX('Launch Capacity'!$D:$AC, MATCH("Per-launch upmass (kg)", 'Launch Capacity'!$A:$A, 0), AC$5+1), 0)</f>
        <v>0</v>
      </c>
    </row>
    <row r="155" spans="1:29" x14ac:dyDescent="0.2">
      <c r="A155" t="s">
        <v>1492</v>
      </c>
      <c r="D155" s="29">
        <f ca="1">IFERROR(D154 / INDEX(Assumptions!$B:$B, MATCH("Launches per Starship vehicle per year (cadence × variant blend, used for sizing)", Assumptions!$A:$A, 0)), 0)</f>
        <v>1.7107729044292339E-3</v>
      </c>
      <c r="E155" s="29">
        <f ca="1">IFERROR(E154 / INDEX(Assumptions!$B:$B, MATCH("Launches per Starship vehicle per year (cadence × variant blend, used for sizing)", Assumptions!$A:$A, 0)), 0)</f>
        <v>0.91618834332248278</v>
      </c>
      <c r="F155" s="29">
        <f ca="1">IFERROR(F154 / INDEX(Assumptions!$B:$B, MATCH("Launches per Starship vehicle per year (cadence × variant blend, used for sizing)", Assumptions!$A:$A, 0)), 0)</f>
        <v>1.4482004588633706</v>
      </c>
      <c r="G155" s="29">
        <f ca="1">IFERROR(G154 / INDEX(Assumptions!$B:$B, MATCH("Launches per Starship vehicle per year (cadence × variant blend, used for sizing)", Assumptions!$A:$A, 0)), 0)</f>
        <v>1.428517706227594</v>
      </c>
      <c r="H155" s="29">
        <f ca="1">IFERROR(H154 / INDEX(Assumptions!$B:$B, MATCH("Launches per Starship vehicle per year (cadence × variant blend, used for sizing)", Assumptions!$A:$A, 0)), 0)</f>
        <v>1.3838205847258072</v>
      </c>
      <c r="I155" s="29">
        <f ca="1">IFERROR(I154 / INDEX(Assumptions!$B:$B, MATCH("Launches per Starship vehicle per year (cadence × variant blend, used for sizing)", Assumptions!$A:$A, 0)), 0)</f>
        <v>1.9507238735562804</v>
      </c>
      <c r="J155" s="29">
        <f ca="1">IFERROR(J154 / INDEX(Assumptions!$B:$B, MATCH("Launches per Starship vehicle per year (cadence × variant blend, used for sizing)", Assumptions!$A:$A, 0)), 0)</f>
        <v>0.75047348115066914</v>
      </c>
      <c r="K155" s="29">
        <f ca="1">IFERROR(K154 / INDEX(Assumptions!$B:$B, MATCH("Launches per Starship vehicle per year (cadence × variant blend, used for sizing)", Assumptions!$A:$A, 0)), 0)</f>
        <v>2.4072606337347291</v>
      </c>
      <c r="L155" s="29">
        <f ca="1">IFERROR(L154 / INDEX(Assumptions!$B:$B, MATCH("Launches per Starship vehicle per year (cadence × variant blend, used for sizing)", Assumptions!$A:$A, 0)), 0)</f>
        <v>1.6815338628410323</v>
      </c>
      <c r="M155" s="29">
        <f ca="1">IFERROR(M154 / INDEX(Assumptions!$B:$B, MATCH("Launches per Starship vehicle per year (cadence × variant blend, used for sizing)", Assumptions!$A:$A, 0)), 0)</f>
        <v>6.9736686259137939E-2</v>
      </c>
      <c r="N155" s="29">
        <f ca="1">IFERROR(N154 / INDEX(Assumptions!$B:$B, MATCH("Launches per Starship vehicle per year (cadence × variant blend, used for sizing)", Assumptions!$A:$A, 0)), 0)</f>
        <v>3.5451077594786828</v>
      </c>
      <c r="O155" s="29">
        <f ca="1">IFERROR(O154 / INDEX(Assumptions!$B:$B, MATCH("Launches per Starship vehicle per year (cadence × variant blend, used for sizing)", Assumptions!$A:$A, 0)), 0)</f>
        <v>0</v>
      </c>
      <c r="P155" s="29">
        <f ca="1">IFERROR(P154 / INDEX(Assumptions!$B:$B, MATCH("Launches per Starship vehicle per year (cadence × variant blend, used for sizing)", Assumptions!$A:$A, 0)), 0)</f>
        <v>3.4890345517037056</v>
      </c>
      <c r="Q155" s="29">
        <f ca="1">IFERROR(Q154 / INDEX(Assumptions!$B:$B, MATCH("Launches per Starship vehicle per year (cadence × variant blend, used for sizing)", Assumptions!$A:$A, 0)), 0)</f>
        <v>1.4376554410765949</v>
      </c>
      <c r="R155" s="29">
        <f ca="1">IFERROR(R154 / INDEX(Assumptions!$B:$B, MATCH("Launches per Starship vehicle per year (cadence × variant blend, used for sizing)", Assumptions!$A:$A, 0)), 0)</f>
        <v>0</v>
      </c>
      <c r="S155" s="29">
        <f ca="1">IFERROR(S154 / INDEX(Assumptions!$B:$B, MATCH("Launches per Starship vehicle per year (cadence × variant blend, used for sizing)", Assumptions!$A:$A, 0)), 0)</f>
        <v>4.0948260728472894</v>
      </c>
      <c r="T155" s="29">
        <f ca="1">IFERROR(T154 / INDEX(Assumptions!$B:$B, MATCH("Launches per Starship vehicle per year (cadence × variant blend, used for sizing)", Assumptions!$A:$A, 0)), 0)</f>
        <v>0</v>
      </c>
      <c r="U155" s="29">
        <f ca="1">IFERROR(U154 / INDEX(Assumptions!$B:$B, MATCH("Launches per Starship vehicle per year (cadence × variant blend, used for sizing)", Assumptions!$A:$A, 0)), 0)</f>
        <v>2.0696297374636989</v>
      </c>
      <c r="V155" s="29">
        <f ca="1">IFERROR(V154 / INDEX(Assumptions!$B:$B, MATCH("Launches per Starship vehicle per year (cadence × variant blend, used for sizing)", Assumptions!$A:$A, 0)), 0)</f>
        <v>3.3707274941184537</v>
      </c>
      <c r="W155" s="29">
        <f ca="1">IFERROR(W154 / INDEX(Assumptions!$B:$B, MATCH("Launches per Starship vehicle per year (cadence × variant blend, used for sizing)", Assumptions!$A:$A, 0)), 0)</f>
        <v>0</v>
      </c>
      <c r="X155" s="29">
        <f ca="1">IFERROR(X154 / INDEX(Assumptions!$B:$B, MATCH("Launches per Starship vehicle per year (cadence × variant blend, used for sizing)", Assumptions!$A:$A, 0)), 0)</f>
        <v>4.7860964658902487</v>
      </c>
      <c r="Y155" s="29">
        <f ca="1">IFERROR(Y154 / INDEX(Assumptions!$B:$B, MATCH("Launches per Starship vehicle per year (cadence × variant blend, used for sizing)", Assumptions!$A:$A, 0)), 0)</f>
        <v>0</v>
      </c>
      <c r="Z155" s="29">
        <f ca="1">IFERROR(Z154 / INDEX(Assumptions!$B:$B, MATCH("Launches per Starship vehicle per year (cadence × variant blend, used for sizing)", Assumptions!$A:$A, 0)), 0)</f>
        <v>0.24478424523844924</v>
      </c>
      <c r="AA155" s="29">
        <f ca="1">IFERROR(AA154 / INDEX(Assumptions!$B:$B, MATCH("Launches per Starship vehicle per year (cadence × variant blend, used for sizing)", Assumptions!$A:$A, 0)), 0)</f>
        <v>5.1861890244767492</v>
      </c>
      <c r="AB155" s="29">
        <f ca="1">IFERROR(AB154 / INDEX(Assumptions!$B:$B, MATCH("Launches per Starship vehicle per year (cadence × variant blend, used for sizing)", Assumptions!$A:$A, 0)), 0)</f>
        <v>0</v>
      </c>
      <c r="AC155" s="29">
        <f ca="1">IFERROR(AC154 / INDEX(Assumptions!$B:$B, MATCH("Launches per Starship vehicle per year (cadence × variant blend, used for sizing)", Assumptions!$A:$A, 0)), 0)</f>
        <v>0</v>
      </c>
    </row>
    <row r="156" spans="1:29" x14ac:dyDescent="0.2">
      <c r="A156" t="s">
        <v>1450</v>
      </c>
      <c r="D156" s="67" cm="1">
        <f t="array" aca="1" ref="D156" ca="1">D155 * (INDEX('Launch Capacity'!$D:$AC, MATCH("Super Heavy manufacturing cost ($mm/unit)", 'Launch Capacity'!$A:$A, 0), D$5+1) + INDEX('Launch Capacity'!$D:$AC, MATCH("Starship 2nd-stage manufacturing cost ($mm/unit)", 'Launch Capacity'!$A:$A, 0), D$5+1))</f>
        <v>0.15396956139863105</v>
      </c>
      <c r="E156" s="67" cm="1">
        <f t="array" aca="1" ref="E156" ca="1">E155 * (INDEX('Launch Capacity'!$D:$AC, MATCH("Super Heavy manufacturing cost ($mm/unit)", 'Launch Capacity'!$A:$A, 0), E$5+1) + INDEX('Launch Capacity'!$D:$AC, MATCH("Starship 2nd-stage manufacturing cost ($mm/unit)", 'Launch Capacity'!$A:$A, 0), E$5+1))</f>
        <v>82.456950899023454</v>
      </c>
      <c r="F156" s="67" cm="1">
        <f t="array" aca="1" ref="F156" ca="1">F155 * (INDEX('Launch Capacity'!$D:$AC, MATCH("Super Heavy manufacturing cost ($mm/unit)", 'Launch Capacity'!$A:$A, 0), F$5+1) + INDEX('Launch Capacity'!$D:$AC, MATCH("Starship 2nd-stage manufacturing cost ($mm/unit)", 'Launch Capacity'!$A:$A, 0), F$5+1))</f>
        <v>130.33804129770334</v>
      </c>
      <c r="G156" s="67" cm="1">
        <f t="array" aca="1" ref="G156" ca="1">G155 * (INDEX('Launch Capacity'!$D:$AC, MATCH("Super Heavy manufacturing cost ($mm/unit)", 'Launch Capacity'!$A:$A, 0), G$5+1) + INDEX('Launch Capacity'!$D:$AC, MATCH("Starship 2nd-stage manufacturing cost ($mm/unit)", 'Launch Capacity'!$A:$A, 0), G$5+1))</f>
        <v>128.56659356048345</v>
      </c>
      <c r="H156" s="67" cm="1">
        <f t="array" aca="1" ref="H156" ca="1">H155 * (INDEX('Launch Capacity'!$D:$AC, MATCH("Super Heavy manufacturing cost ($mm/unit)", 'Launch Capacity'!$A:$A, 0), H$5+1) + INDEX('Launch Capacity'!$D:$AC, MATCH("Starship 2nd-stage manufacturing cost ($mm/unit)", 'Launch Capacity'!$A:$A, 0), H$5+1))</f>
        <v>124.54385262532264</v>
      </c>
      <c r="I156" s="67" cm="1">
        <f t="array" aca="1" ref="I156" ca="1">I155 * (INDEX('Launch Capacity'!$D:$AC, MATCH("Super Heavy manufacturing cost ($mm/unit)", 'Launch Capacity'!$A:$A, 0), I$5+1) + INDEX('Launch Capacity'!$D:$AC, MATCH("Starship 2nd-stage manufacturing cost ($mm/unit)", 'Launch Capacity'!$A:$A, 0), I$5+1))</f>
        <v>175.56514862006523</v>
      </c>
      <c r="J156" s="67" cm="1">
        <f t="array" aca="1" ref="J156" ca="1">J155 * (INDEX('Launch Capacity'!$D:$AC, MATCH("Super Heavy manufacturing cost ($mm/unit)", 'Launch Capacity'!$A:$A, 0), J$5+1) + INDEX('Launch Capacity'!$D:$AC, MATCH("Starship 2nd-stage manufacturing cost ($mm/unit)", 'Launch Capacity'!$A:$A, 0), J$5+1))</f>
        <v>67.542613303560216</v>
      </c>
      <c r="K156" s="67" cm="1">
        <f t="array" aca="1" ref="K156" ca="1">K155 * (INDEX('Launch Capacity'!$D:$AC, MATCH("Super Heavy manufacturing cost ($mm/unit)", 'Launch Capacity'!$A:$A, 0), K$5+1) + INDEX('Launch Capacity'!$D:$AC, MATCH("Starship 2nd-stage manufacturing cost ($mm/unit)", 'Launch Capacity'!$A:$A, 0), K$5+1))</f>
        <v>216.65345703612562</v>
      </c>
      <c r="L156" s="67" cm="1">
        <f t="array" aca="1" ref="L156" ca="1">L155 * (INDEX('Launch Capacity'!$D:$AC, MATCH("Super Heavy manufacturing cost ($mm/unit)", 'Launch Capacity'!$A:$A, 0), L$5+1) + INDEX('Launch Capacity'!$D:$AC, MATCH("Starship 2nd-stage manufacturing cost ($mm/unit)", 'Launch Capacity'!$A:$A, 0), L$5+1))</f>
        <v>151.33804765569292</v>
      </c>
      <c r="M156" s="67" cm="1">
        <f t="array" aca="1" ref="M156" ca="1">M155 * (INDEX('Launch Capacity'!$D:$AC, MATCH("Super Heavy manufacturing cost ($mm/unit)", 'Launch Capacity'!$A:$A, 0), M$5+1) + INDEX('Launch Capacity'!$D:$AC, MATCH("Starship 2nd-stage manufacturing cost ($mm/unit)", 'Launch Capacity'!$A:$A, 0), M$5+1))</f>
        <v>6.2763017633224143</v>
      </c>
      <c r="N156" s="67" cm="1">
        <f t="array" aca="1" ref="N156" ca="1">N155 * (INDEX('Launch Capacity'!$D:$AC, MATCH("Super Heavy manufacturing cost ($mm/unit)", 'Launch Capacity'!$A:$A, 0), N$5+1) + INDEX('Launch Capacity'!$D:$AC, MATCH("Starship 2nd-stage manufacturing cost ($mm/unit)", 'Launch Capacity'!$A:$A, 0), N$5+1))</f>
        <v>319.05969835308144</v>
      </c>
      <c r="O156" s="67" cm="1">
        <f t="array" aca="1" ref="O156" ca="1">O155 * (INDEX('Launch Capacity'!$D:$AC, MATCH("Super Heavy manufacturing cost ($mm/unit)", 'Launch Capacity'!$A:$A, 0), O$5+1) + INDEX('Launch Capacity'!$D:$AC, MATCH("Starship 2nd-stage manufacturing cost ($mm/unit)", 'Launch Capacity'!$A:$A, 0), O$5+1))</f>
        <v>0</v>
      </c>
      <c r="P156" s="67" cm="1">
        <f t="array" aca="1" ref="P156" ca="1">P155 * (INDEX('Launch Capacity'!$D:$AC, MATCH("Super Heavy manufacturing cost ($mm/unit)", 'Launch Capacity'!$A:$A, 0), P$5+1) + INDEX('Launch Capacity'!$D:$AC, MATCH("Starship 2nd-stage manufacturing cost ($mm/unit)", 'Launch Capacity'!$A:$A, 0), P$5+1))</f>
        <v>314.01310965333352</v>
      </c>
      <c r="Q156" s="67" cm="1">
        <f t="array" aca="1" ref="Q156" ca="1">Q155 * (INDEX('Launch Capacity'!$D:$AC, MATCH("Super Heavy manufacturing cost ($mm/unit)", 'Launch Capacity'!$A:$A, 0), Q$5+1) + INDEX('Launch Capacity'!$D:$AC, MATCH("Starship 2nd-stage manufacturing cost ($mm/unit)", 'Launch Capacity'!$A:$A, 0), Q$5+1))</f>
        <v>129.38898969689353</v>
      </c>
      <c r="R156" s="67" cm="1">
        <f t="array" aca="1" ref="R156" ca="1">R155 * (INDEX('Launch Capacity'!$D:$AC, MATCH("Super Heavy manufacturing cost ($mm/unit)", 'Launch Capacity'!$A:$A, 0), R$5+1) + INDEX('Launch Capacity'!$D:$AC, MATCH("Starship 2nd-stage manufacturing cost ($mm/unit)", 'Launch Capacity'!$A:$A, 0), R$5+1))</f>
        <v>0</v>
      </c>
      <c r="S156" s="67" cm="1">
        <f t="array" aca="1" ref="S156" ca="1">S155 * (INDEX('Launch Capacity'!$D:$AC, MATCH("Super Heavy manufacturing cost ($mm/unit)", 'Launch Capacity'!$A:$A, 0), S$5+1) + INDEX('Launch Capacity'!$D:$AC, MATCH("Starship 2nd-stage manufacturing cost ($mm/unit)", 'Launch Capacity'!$A:$A, 0), S$5+1))</f>
        <v>368.53434655625603</v>
      </c>
      <c r="T156" s="67" cm="1">
        <f t="array" aca="1" ref="T156" ca="1">T155 * (INDEX('Launch Capacity'!$D:$AC, MATCH("Super Heavy manufacturing cost ($mm/unit)", 'Launch Capacity'!$A:$A, 0), T$5+1) + INDEX('Launch Capacity'!$D:$AC, MATCH("Starship 2nd-stage manufacturing cost ($mm/unit)", 'Launch Capacity'!$A:$A, 0), T$5+1))</f>
        <v>0</v>
      </c>
      <c r="U156" s="67" cm="1">
        <f t="array" aca="1" ref="U156" ca="1">U155 * (INDEX('Launch Capacity'!$D:$AC, MATCH("Super Heavy manufacturing cost ($mm/unit)", 'Launch Capacity'!$A:$A, 0), U$5+1) + INDEX('Launch Capacity'!$D:$AC, MATCH("Starship 2nd-stage manufacturing cost ($mm/unit)", 'Launch Capacity'!$A:$A, 0), U$5+1))</f>
        <v>186.2666763717329</v>
      </c>
      <c r="V156" s="67" cm="1">
        <f t="array" aca="1" ref="V156" ca="1">V155 * (INDEX('Launch Capacity'!$D:$AC, MATCH("Super Heavy manufacturing cost ($mm/unit)", 'Launch Capacity'!$A:$A, 0), V$5+1) + INDEX('Launch Capacity'!$D:$AC, MATCH("Starship 2nd-stage manufacturing cost ($mm/unit)", 'Launch Capacity'!$A:$A, 0), V$5+1))</f>
        <v>303.36547447066084</v>
      </c>
      <c r="W156" s="67" cm="1">
        <f t="array" aca="1" ref="W156" ca="1">W155 * (INDEX('Launch Capacity'!$D:$AC, MATCH("Super Heavy manufacturing cost ($mm/unit)", 'Launch Capacity'!$A:$A, 0), W$5+1) + INDEX('Launch Capacity'!$D:$AC, MATCH("Starship 2nd-stage manufacturing cost ($mm/unit)", 'Launch Capacity'!$A:$A, 0), W$5+1))</f>
        <v>0</v>
      </c>
      <c r="X156" s="67" cm="1">
        <f t="array" aca="1" ref="X156" ca="1">X155 * (INDEX('Launch Capacity'!$D:$AC, MATCH("Super Heavy manufacturing cost ($mm/unit)", 'Launch Capacity'!$A:$A, 0), X$5+1) + INDEX('Launch Capacity'!$D:$AC, MATCH("Starship 2nd-stage manufacturing cost ($mm/unit)", 'Launch Capacity'!$A:$A, 0), X$5+1))</f>
        <v>430.74868193012236</v>
      </c>
      <c r="Y156" s="67" cm="1">
        <f t="array" aca="1" ref="Y156" ca="1">Y155 * (INDEX('Launch Capacity'!$D:$AC, MATCH("Super Heavy manufacturing cost ($mm/unit)", 'Launch Capacity'!$A:$A, 0), Y$5+1) + INDEX('Launch Capacity'!$D:$AC, MATCH("Starship 2nd-stage manufacturing cost ($mm/unit)", 'Launch Capacity'!$A:$A, 0), Y$5+1))</f>
        <v>0</v>
      </c>
      <c r="Z156" s="67" cm="1">
        <f t="array" aca="1" ref="Z156" ca="1">Z155 * (INDEX('Launch Capacity'!$D:$AC, MATCH("Super Heavy manufacturing cost ($mm/unit)", 'Launch Capacity'!$A:$A, 0), Z$5+1) + INDEX('Launch Capacity'!$D:$AC, MATCH("Starship 2nd-stage manufacturing cost ($mm/unit)", 'Launch Capacity'!$A:$A, 0), Z$5+1))</f>
        <v>22.030582071460433</v>
      </c>
      <c r="AA156" s="67" cm="1">
        <f t="array" aca="1" ref="AA156" ca="1">AA155 * (INDEX('Launch Capacity'!$D:$AC, MATCH("Super Heavy manufacturing cost ($mm/unit)", 'Launch Capacity'!$A:$A, 0), AA$5+1) + INDEX('Launch Capacity'!$D:$AC, MATCH("Starship 2nd-stage manufacturing cost ($mm/unit)", 'Launch Capacity'!$A:$A, 0), AA$5+1))</f>
        <v>466.75701220290745</v>
      </c>
      <c r="AB156" s="67" cm="1">
        <f t="array" aca="1" ref="AB156" ca="1">AB155 * (INDEX('Launch Capacity'!$D:$AC, MATCH("Super Heavy manufacturing cost ($mm/unit)", 'Launch Capacity'!$A:$A, 0), AB$5+1) + INDEX('Launch Capacity'!$D:$AC, MATCH("Starship 2nd-stage manufacturing cost ($mm/unit)", 'Launch Capacity'!$A:$A, 0), AB$5+1))</f>
        <v>0</v>
      </c>
      <c r="AC156" s="67" cm="1">
        <f t="array" aca="1" ref="AC156" ca="1">AC155 * (INDEX('Launch Capacity'!$D:$AC, MATCH("Super Heavy manufacturing cost ($mm/unit)", 'Launch Capacity'!$A:$A, 0), AC$5+1) + INDEX('Launch Capacity'!$D:$AC, MATCH("Starship 2nd-stage manufacturing cost ($mm/unit)", 'Launch Capacity'!$A:$A, 0), AC$5+1))</f>
        <v>0</v>
      </c>
    </row>
    <row r="158" spans="1:29" x14ac:dyDescent="0.2">
      <c r="A158" s="13" t="s">
        <v>582</v>
      </c>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x14ac:dyDescent="0.2">
      <c r="A159" t="s">
        <v>1493</v>
      </c>
      <c r="D159" s="17" cm="1">
        <f t="array" aca="1" ref="D159" ca="1">IFERROR(INDEX('Customer Launch'!$D:$AC, MATCH("Spot IRR", 'Customer Launch'!$A:$A, 0), D$5+1), 0)</f>
        <v>2.8693295189543737</v>
      </c>
      <c r="E159" s="17" cm="1">
        <f t="array" aca="1" ref="E159" ca="1">IFERROR(INDEX('Customer Launch'!$D:$AC, MATCH("Spot IRR", 'Customer Launch'!$A:$A, 0), E$5+1), 0)</f>
        <v>2.7660985143920098</v>
      </c>
      <c r="F159" s="17" cm="1">
        <f t="array" aca="1" ref="F159" ca="1">IFERROR(INDEX('Customer Launch'!$D:$AC, MATCH("Spot IRR", 'Customer Launch'!$A:$A, 0), F$5+1), 0)</f>
        <v>2.5888030545527414</v>
      </c>
      <c r="G159" s="17" cm="1">
        <f t="array" aca="1" ref="G159" ca="1">IFERROR(INDEX('Customer Launch'!$D:$AC, MATCH("Spot IRR", 'Customer Launch'!$A:$A, 0), G$5+1), 0)</f>
        <v>2.4618618621198234</v>
      </c>
      <c r="H159" s="17" cm="1">
        <f t="array" aca="1" ref="H159" ca="1">IFERROR(INDEX('Customer Launch'!$D:$AC, MATCH("Spot IRR", 'Customer Launch'!$A:$A, 0), H$5+1), 0)</f>
        <v>2.2982420720224495</v>
      </c>
      <c r="I159" s="17" cm="1">
        <f t="array" aca="1" ref="I159" ca="1">IFERROR(INDEX('Customer Launch'!$D:$AC, MATCH("Spot IRR", 'Customer Launch'!$A:$A, 0), I$5+1), 0)</f>
        <v>2.1445164170989308</v>
      </c>
      <c r="J159" s="17" cm="1">
        <f t="array" aca="1" ref="J159" ca="1">IFERROR(INDEX('Customer Launch'!$D:$AC, MATCH("Spot IRR", 'Customer Launch'!$A:$A, 0), J$5+1), 0)</f>
        <v>2.0357065829305627</v>
      </c>
      <c r="K159" s="17" cm="1">
        <f t="array" aca="1" ref="K159" ca="1">IFERROR(INDEX('Customer Launch'!$D:$AC, MATCH("Spot IRR", 'Customer Launch'!$A:$A, 0), K$5+1), 0)</f>
        <v>1.6618273385245561</v>
      </c>
      <c r="L159" s="17" cm="1">
        <f t="array" aca="1" ref="L159" ca="1">IFERROR(INDEX('Customer Launch'!$D:$AC, MATCH("Spot IRR", 'Customer Launch'!$A:$A, 0), L$5+1), 0)</f>
        <v>1.8388990945776609</v>
      </c>
      <c r="M159" s="17" cm="1">
        <f t="array" aca="1" ref="M159" ca="1">IFERROR(INDEX('Customer Launch'!$D:$AC, MATCH("Spot IRR", 'Customer Launch'!$A:$A, 0), M$5+1), 0)</f>
        <v>1.2975766023765867</v>
      </c>
      <c r="N159" s="17" cm="1">
        <f t="array" aca="1" ref="N159" ca="1">IFERROR(INDEX('Customer Launch'!$D:$AC, MATCH("Spot IRR", 'Customer Launch'!$A:$A, 0), N$5+1), 0)</f>
        <v>0.91811874994522724</v>
      </c>
      <c r="O159" s="17" cm="1">
        <f t="array" aca="1" ref="O159" ca="1">IFERROR(INDEX('Customer Launch'!$D:$AC, MATCH("Spot IRR", 'Customer Launch'!$A:$A, 0), O$5+1), 0)</f>
        <v>1.623462087778536</v>
      </c>
      <c r="P159" s="17" cm="1">
        <f t="array" aca="1" ref="P159" ca="1">IFERROR(INDEX('Customer Launch'!$D:$AC, MATCH("Spot IRR", 'Customer Launch'!$A:$A, 0), P$5+1), 0)</f>
        <v>0.2367659879087407</v>
      </c>
      <c r="Q159" s="17" cm="1">
        <f t="array" aca="1" ref="Q159" ca="1">IFERROR(INDEX('Customer Launch'!$D:$AC, MATCH("Spot IRR", 'Customer Launch'!$A:$A, 0), Q$5+1), 0)</f>
        <v>1.4301958099586571</v>
      </c>
      <c r="R159" s="17" cm="1">
        <f t="array" aca="1" ref="R159" ca="1">IFERROR(INDEX('Customer Launch'!$D:$AC, MATCH("Spot IRR", 'Customer Launch'!$A:$A, 0), R$5+1), 0)</f>
        <v>0.23571264072819517</v>
      </c>
      <c r="S159" s="17" cm="1">
        <f t="array" aca="1" ref="S159" ca="1">IFERROR(INDEX('Customer Launch'!$D:$AC, MATCH("Spot IRR", 'Customer Launch'!$A:$A, 0), S$5+1), 0)</f>
        <v>0.17571715054066073</v>
      </c>
      <c r="T159" s="17" cm="1">
        <f t="array" aca="1" ref="T159" ca="1">IFERROR(INDEX('Customer Launch'!$D:$AC, MATCH("Spot IRR", 'Customer Launch'!$A:$A, 0), T$5+1), 0)</f>
        <v>1.3259017208753927</v>
      </c>
      <c r="U159" s="17" cm="1">
        <f t="array" aca="1" ref="U159" ca="1">IFERROR(INDEX('Customer Launch'!$D:$AC, MATCH("Spot IRR", 'Customer Launch'!$A:$A, 0), U$5+1), 0)</f>
        <v>0.13693791851457982</v>
      </c>
      <c r="V159" s="17" cm="1">
        <f t="array" aca="1" ref="V159" ca="1">IFERROR(INDEX('Customer Launch'!$D:$AC, MATCH("Spot IRR", 'Customer Launch'!$A:$A, 0), V$5+1), 0)</f>
        <v>1.0500580286209851</v>
      </c>
      <c r="W159" s="17" cm="1">
        <f t="array" aca="1" ref="W159" ca="1">IFERROR(INDEX('Customer Launch'!$D:$AC, MATCH("Spot IRR", 'Customer Launch'!$A:$A, 0), W$5+1), 0)</f>
        <v>0.9279091420768385</v>
      </c>
      <c r="X159" s="17" cm="1">
        <f t="array" aca="1" ref="X159" ca="1">IFERROR(INDEX('Customer Launch'!$D:$AC, MATCH("Spot IRR", 'Customer Launch'!$A:$A, 0), X$5+1), 0)</f>
        <v>7.933523114996599E-2</v>
      </c>
      <c r="Y159" s="17" cm="1">
        <f t="array" aca="1" ref="Y159" ca="1">IFERROR(INDEX('Customer Launch'!$D:$AC, MATCH("Spot IRR", 'Customer Launch'!$A:$A, 0), Y$5+1), 0)</f>
        <v>1.0695820579655069</v>
      </c>
      <c r="Z159" s="17" cm="1">
        <f t="array" aca="1" ref="Z159" ca="1">IFERROR(INDEX('Customer Launch'!$D:$AC, MATCH("Spot IRR", 'Customer Launch'!$A:$A, 0), Z$5+1), 0)</f>
        <v>4.1937625124510713E-2</v>
      </c>
      <c r="AA159" s="17" cm="1">
        <f t="array" aca="1" ref="AA159" ca="1">IFERROR(INDEX('Customer Launch'!$D:$AC, MATCH("Spot IRR", 'Customer Launch'!$A:$A, 0), AA$5+1), 0)</f>
        <v>0.62913665435945454</v>
      </c>
      <c r="AB159" s="17" cm="1">
        <f t="array" aca="1" ref="AB159" ca="1">IFERROR(INDEX('Customer Launch'!$D:$AC, MATCH("Spot IRR", 'Customer Launch'!$A:$A, 0), AB$5+1), 0)</f>
        <v>0.92095474646159059</v>
      </c>
      <c r="AC159" s="17" cm="1">
        <f t="array" aca="1" ref="AC159" ca="1">IFERROR(INDEX('Customer Launch'!$D:$AC, MATCH("Spot IRR", 'Customer Launch'!$A:$A, 0), AC$5+1), 0)</f>
        <v>-1.6911974007894681E-2</v>
      </c>
    </row>
    <row r="160" spans="1:29" x14ac:dyDescent="0.2">
      <c r="A160" t="s">
        <v>1494</v>
      </c>
      <c r="D160" s="17" cm="1">
        <f t="array" aca="1" ref="D160" ca="1">IFERROR(INDEX('Customer Launch'!$D:$AC, MATCH("Forward IRR (Y+2)", 'Customer Launch'!$A:$A, 0), D$5+1), 0)</f>
        <v>2.5888030545527414</v>
      </c>
      <c r="E160" s="17" cm="1">
        <f t="array" aca="1" ref="E160" ca="1">IFERROR(INDEX('Customer Launch'!$D:$AC, MATCH("Forward IRR (Y+2)", 'Customer Launch'!$A:$A, 0), E$5+1), 0)</f>
        <v>2.4618618621198234</v>
      </c>
      <c r="F160" s="17" cm="1">
        <f t="array" aca="1" ref="F160" ca="1">IFERROR(INDEX('Customer Launch'!$D:$AC, MATCH("Forward IRR (Y+2)", 'Customer Launch'!$A:$A, 0), F$5+1), 0)</f>
        <v>2.2982420720224495</v>
      </c>
      <c r="G160" s="17" cm="1">
        <f t="array" aca="1" ref="G160" ca="1">IFERROR(INDEX('Customer Launch'!$D:$AC, MATCH("Forward IRR (Y+2)", 'Customer Launch'!$A:$A, 0), G$5+1), 0)</f>
        <v>2.1445164170989308</v>
      </c>
      <c r="H160" s="17" cm="1">
        <f t="array" aca="1" ref="H160" ca="1">IFERROR(INDEX('Customer Launch'!$D:$AC, MATCH("Forward IRR (Y+2)", 'Customer Launch'!$A:$A, 0), H$5+1), 0)</f>
        <v>2.0357065829305627</v>
      </c>
      <c r="I160" s="17" cm="1">
        <f t="array" aca="1" ref="I160" ca="1">IFERROR(INDEX('Customer Launch'!$D:$AC, MATCH("Forward IRR (Y+2)", 'Customer Launch'!$A:$A, 0), I$5+1), 0)</f>
        <v>1.6618273385245561</v>
      </c>
      <c r="J160" s="17" cm="1">
        <f t="array" aca="1" ref="J160" ca="1">IFERROR(INDEX('Customer Launch'!$D:$AC, MATCH("Forward IRR (Y+2)", 'Customer Launch'!$A:$A, 0), J$5+1), 0)</f>
        <v>1.8388990945776609</v>
      </c>
      <c r="K160" s="17" cm="1">
        <f t="array" aca="1" ref="K160" ca="1">IFERROR(INDEX('Customer Launch'!$D:$AC, MATCH("Forward IRR (Y+2)", 'Customer Launch'!$A:$A, 0), K$5+1), 0)</f>
        <v>1.2975766023765867</v>
      </c>
      <c r="L160" s="17" cm="1">
        <f t="array" aca="1" ref="L160" ca="1">IFERROR(INDEX('Customer Launch'!$D:$AC, MATCH("Forward IRR (Y+2)", 'Customer Launch'!$A:$A, 0), L$5+1), 0)</f>
        <v>0.91811874994522724</v>
      </c>
      <c r="M160" s="17" cm="1">
        <f t="array" aca="1" ref="M160" ca="1">IFERROR(INDEX('Customer Launch'!$D:$AC, MATCH("Forward IRR (Y+2)", 'Customer Launch'!$A:$A, 0), M$5+1), 0)</f>
        <v>1.623462087778536</v>
      </c>
      <c r="N160" s="17" cm="1">
        <f t="array" aca="1" ref="N160" ca="1">IFERROR(INDEX('Customer Launch'!$D:$AC, MATCH("Forward IRR (Y+2)", 'Customer Launch'!$A:$A, 0), N$5+1), 0)</f>
        <v>0.2367659879087407</v>
      </c>
      <c r="O160" s="17" cm="1">
        <f t="array" aca="1" ref="O160" ca="1">IFERROR(INDEX('Customer Launch'!$D:$AC, MATCH("Forward IRR (Y+2)", 'Customer Launch'!$A:$A, 0), O$5+1), 0)</f>
        <v>1.4301958099586571</v>
      </c>
      <c r="P160" s="17" cm="1">
        <f t="array" aca="1" ref="P160" ca="1">IFERROR(INDEX('Customer Launch'!$D:$AC, MATCH("Forward IRR (Y+2)", 'Customer Launch'!$A:$A, 0), P$5+1), 0)</f>
        <v>0.23571264072819517</v>
      </c>
      <c r="Q160" s="17" cm="1">
        <f t="array" aca="1" ref="Q160" ca="1">IFERROR(INDEX('Customer Launch'!$D:$AC, MATCH("Forward IRR (Y+2)", 'Customer Launch'!$A:$A, 0), Q$5+1), 0)</f>
        <v>0.17571715054066073</v>
      </c>
      <c r="R160" s="17" cm="1">
        <f t="array" aca="1" ref="R160" ca="1">IFERROR(INDEX('Customer Launch'!$D:$AC, MATCH("Forward IRR (Y+2)", 'Customer Launch'!$A:$A, 0), R$5+1), 0)</f>
        <v>1.3259017208753927</v>
      </c>
      <c r="S160" s="17" cm="1">
        <f t="array" aca="1" ref="S160" ca="1">IFERROR(INDEX('Customer Launch'!$D:$AC, MATCH("Forward IRR (Y+2)", 'Customer Launch'!$A:$A, 0), S$5+1), 0)</f>
        <v>0.13693791851457982</v>
      </c>
      <c r="T160" s="17" cm="1">
        <f t="array" aca="1" ref="T160" ca="1">IFERROR(INDEX('Customer Launch'!$D:$AC, MATCH("Forward IRR (Y+2)", 'Customer Launch'!$A:$A, 0), T$5+1), 0)</f>
        <v>1.0500580286209851</v>
      </c>
      <c r="U160" s="17" cm="1">
        <f t="array" aca="1" ref="U160" ca="1">IFERROR(INDEX('Customer Launch'!$D:$AC, MATCH("Forward IRR (Y+2)", 'Customer Launch'!$A:$A, 0), U$5+1), 0)</f>
        <v>0.9279091420768385</v>
      </c>
      <c r="V160" s="17" cm="1">
        <f t="array" aca="1" ref="V160" ca="1">IFERROR(INDEX('Customer Launch'!$D:$AC, MATCH("Forward IRR (Y+2)", 'Customer Launch'!$A:$A, 0), V$5+1), 0)</f>
        <v>7.933523114996599E-2</v>
      </c>
      <c r="W160" s="17" cm="1">
        <f t="array" aca="1" ref="W160" ca="1">IFERROR(INDEX('Customer Launch'!$D:$AC, MATCH("Forward IRR (Y+2)", 'Customer Launch'!$A:$A, 0), W$5+1), 0)</f>
        <v>1.0695820579655069</v>
      </c>
      <c r="X160" s="17" cm="1">
        <f t="array" aca="1" ref="X160" ca="1">IFERROR(INDEX('Customer Launch'!$D:$AC, MATCH("Forward IRR (Y+2)", 'Customer Launch'!$A:$A, 0), X$5+1), 0)</f>
        <v>4.1937625124510713E-2</v>
      </c>
      <c r="Y160" s="17" cm="1">
        <f t="array" aca="1" ref="Y160" ca="1">IFERROR(INDEX('Customer Launch'!$D:$AC, MATCH("Forward IRR (Y+2)", 'Customer Launch'!$A:$A, 0), Y$5+1), 0)</f>
        <v>0.62913665435945454</v>
      </c>
      <c r="Z160" s="17" cm="1">
        <f t="array" aca="1" ref="Z160" ca="1">IFERROR(INDEX('Customer Launch'!$D:$AC, MATCH("Forward IRR (Y+2)", 'Customer Launch'!$A:$A, 0), Z$5+1), 0)</f>
        <v>0.92095474646159059</v>
      </c>
      <c r="AA160" s="17" cm="1">
        <f t="array" aca="1" ref="AA160" ca="1">IFERROR(INDEX('Customer Launch'!$D:$AC, MATCH("Forward IRR (Y+2)", 'Customer Launch'!$A:$A, 0), AA$5+1), 0)</f>
        <v>-1.6911974007894681E-2</v>
      </c>
      <c r="AB160" s="17" cm="1">
        <f t="array" aca="1" ref="AB160" ca="1">IFERROR(INDEX('Customer Launch'!$D:$AC, MATCH("Forward IRR (Y+2)", 'Customer Launch'!$A:$A, 0), AB$5+1), 0)</f>
        <v>0</v>
      </c>
      <c r="AC160" s="17" cm="1">
        <f t="array" aca="1" ref="AC160" ca="1">IFERROR(INDEX('Customer Launch'!$D:$AC, MATCH("Forward IRR (Y+2)", 'Customer Launch'!$A:$A, 0), AC$5+1), 0)</f>
        <v>0</v>
      </c>
    </row>
    <row r="161" spans="1:29" x14ac:dyDescent="0.2">
      <c r="A161" t="s">
        <v>1454</v>
      </c>
      <c r="D161" s="17" cm="1">
        <f t="array" aca="1" ref="D161" ca="1">IFERROR(INDEX('Customer Launch'!$D:$AC, MATCH("Blended IRR", 'Customer Launch'!$A:$A, 0), D$5+1), 0)</f>
        <v>2.6729609938732311</v>
      </c>
      <c r="E161" s="17" cm="1">
        <f t="array" aca="1" ref="E161" ca="1">IFERROR(INDEX('Customer Launch'!$D:$AC, MATCH("Blended IRR", 'Customer Launch'!$A:$A, 0), E$5+1), 0)</f>
        <v>2.5531328578014794</v>
      </c>
      <c r="F161" s="17" cm="1">
        <f t="array" aca="1" ref="F161" ca="1">IFERROR(INDEX('Customer Launch'!$D:$AC, MATCH("Blended IRR", 'Customer Launch'!$A:$A, 0), F$5+1), 0)</f>
        <v>2.385410366781537</v>
      </c>
      <c r="G161" s="17" cm="1">
        <f t="array" aca="1" ref="G161" ca="1">IFERROR(INDEX('Customer Launch'!$D:$AC, MATCH("Blended IRR", 'Customer Launch'!$A:$A, 0), G$5+1), 0)</f>
        <v>2.2397200506051984</v>
      </c>
      <c r="H161" s="17" cm="1">
        <f t="array" aca="1" ref="H161" ca="1">IFERROR(INDEX('Customer Launch'!$D:$AC, MATCH("Blended IRR", 'Customer Launch'!$A:$A, 0), H$5+1), 0)</f>
        <v>2.1144672296581288</v>
      </c>
      <c r="I161" s="17" cm="1">
        <f t="array" aca="1" ref="I161" ca="1">IFERROR(INDEX('Customer Launch'!$D:$AC, MATCH("Blended IRR", 'Customer Launch'!$A:$A, 0), I$5+1), 0)</f>
        <v>1.8066340620968684</v>
      </c>
      <c r="J161" s="17" cm="1">
        <f t="array" aca="1" ref="J161" ca="1">IFERROR(INDEX('Customer Launch'!$D:$AC, MATCH("Blended IRR", 'Customer Launch'!$A:$A, 0), J$5+1), 0)</f>
        <v>1.8979413410835315</v>
      </c>
      <c r="K161" s="17" cm="1">
        <f t="array" aca="1" ref="K161" ca="1">IFERROR(INDEX('Customer Launch'!$D:$AC, MATCH("Blended IRR", 'Customer Launch'!$A:$A, 0), K$5+1), 0)</f>
        <v>1.4068518232209775</v>
      </c>
      <c r="L161" s="17" cm="1">
        <f t="array" aca="1" ref="L161" ca="1">IFERROR(INDEX('Customer Launch'!$D:$AC, MATCH("Blended IRR", 'Customer Launch'!$A:$A, 0), L$5+1), 0)</f>
        <v>1.1943528533349572</v>
      </c>
      <c r="M161" s="17" cm="1">
        <f t="array" aca="1" ref="M161" ca="1">IFERROR(INDEX('Customer Launch'!$D:$AC, MATCH("Blended IRR", 'Customer Launch'!$A:$A, 0), M$5+1), 0)</f>
        <v>1.5256964421579511</v>
      </c>
      <c r="N161" s="17" cm="1">
        <f t="array" aca="1" ref="N161" ca="1">IFERROR(INDEX('Customer Launch'!$D:$AC, MATCH("Blended IRR", 'Customer Launch'!$A:$A, 0), N$5+1), 0)</f>
        <v>0.44117181651968673</v>
      </c>
      <c r="O161" s="17" cm="1">
        <f t="array" aca="1" ref="O161" ca="1">IFERROR(INDEX('Customer Launch'!$D:$AC, MATCH("Blended IRR", 'Customer Launch'!$A:$A, 0), O$5+1), 0)</f>
        <v>1.4881756933046209</v>
      </c>
      <c r="P161" s="17" cm="1">
        <f t="array" aca="1" ref="P161" ca="1">IFERROR(INDEX('Customer Launch'!$D:$AC, MATCH("Blended IRR", 'Customer Launch'!$A:$A, 0), P$5+1), 0)</f>
        <v>0.23602864488235883</v>
      </c>
      <c r="Q161" s="17" cm="1">
        <f t="array" aca="1" ref="Q161" ca="1">IFERROR(INDEX('Customer Launch'!$D:$AC, MATCH("Blended IRR", 'Customer Launch'!$A:$A, 0), Q$5+1), 0)</f>
        <v>0.55206074836605967</v>
      </c>
      <c r="R161" s="17" cm="1">
        <f t="array" aca="1" ref="R161" ca="1">IFERROR(INDEX('Customer Launch'!$D:$AC, MATCH("Blended IRR", 'Customer Launch'!$A:$A, 0), R$5+1), 0)</f>
        <v>0.9988449968312334</v>
      </c>
      <c r="S161" s="17" cm="1">
        <f t="array" aca="1" ref="S161" ca="1">IFERROR(INDEX('Customer Launch'!$D:$AC, MATCH("Blended IRR", 'Customer Launch'!$A:$A, 0), S$5+1), 0)</f>
        <v>0.14857168812240409</v>
      </c>
      <c r="T161" s="17" cm="1">
        <f t="array" aca="1" ref="T161" ca="1">IFERROR(INDEX('Customer Launch'!$D:$AC, MATCH("Blended IRR", 'Customer Launch'!$A:$A, 0), T$5+1), 0)</f>
        <v>1.1328111362973075</v>
      </c>
      <c r="U161" s="17" cm="1">
        <f t="array" aca="1" ref="U161" ca="1">IFERROR(INDEX('Customer Launch'!$D:$AC, MATCH("Blended IRR", 'Customer Launch'!$A:$A, 0), U$5+1), 0)</f>
        <v>0.69061777500816091</v>
      </c>
      <c r="V161" s="17" cm="1">
        <f t="array" aca="1" ref="V161" ca="1">IFERROR(INDEX('Customer Launch'!$D:$AC, MATCH("Blended IRR", 'Customer Launch'!$A:$A, 0), V$5+1), 0)</f>
        <v>0.37055207039127175</v>
      </c>
      <c r="W161" s="17" cm="1">
        <f t="array" aca="1" ref="W161" ca="1">IFERROR(INDEX('Customer Launch'!$D:$AC, MATCH("Blended IRR", 'Customer Launch'!$A:$A, 0), W$5+1), 0)</f>
        <v>1.0270801831989065</v>
      </c>
      <c r="X161" s="17" cm="1">
        <f t="array" aca="1" ref="X161" ca="1">IFERROR(INDEX('Customer Launch'!$D:$AC, MATCH("Blended IRR", 'Customer Launch'!$A:$A, 0), X$5+1), 0)</f>
        <v>5.3156906932147294E-2</v>
      </c>
      <c r="Y161" s="17" cm="1">
        <f t="array" aca="1" ref="Y161" ca="1">IFERROR(INDEX('Customer Launch'!$D:$AC, MATCH("Blended IRR", 'Customer Launch'!$A:$A, 0), Y$5+1), 0)</f>
        <v>0.76127027544127024</v>
      </c>
      <c r="Z161" s="17" cm="1">
        <f t="array" aca="1" ref="Z161" ca="1">IFERROR(INDEX('Customer Launch'!$D:$AC, MATCH("Blended IRR", 'Customer Launch'!$A:$A, 0), Z$5+1), 0)</f>
        <v>0.65724961006046656</v>
      </c>
      <c r="AA161" s="17" cm="1">
        <f t="array" aca="1" ref="AA161" ca="1">IFERROR(INDEX('Customer Launch'!$D:$AC, MATCH("Blended IRR", 'Customer Launch'!$A:$A, 0), AA$5+1), 0)</f>
        <v>0.17690261450231012</v>
      </c>
      <c r="AB161" s="17" cm="1">
        <f t="array" aca="1" ref="AB161" ca="1">IFERROR(INDEX('Customer Launch'!$D:$AC, MATCH("Blended IRR", 'Customer Launch'!$A:$A, 0), AB$5+1), 0)</f>
        <v>0.27628642393847724</v>
      </c>
      <c r="AC161" s="17" cm="1">
        <f t="array" aca="1" ref="AC161" ca="1">IFERROR(INDEX('Customer Launch'!$D:$AC, MATCH("Blended IRR", 'Customer Launch'!$A:$A, 0), AC$5+1), 0)</f>
        <v>-5.0735922023684051E-3</v>
      </c>
    </row>
    <row r="162" spans="1:29" x14ac:dyDescent="0.2">
      <c r="A162" t="s">
        <v>1495</v>
      </c>
      <c r="D162" s="17" cm="1">
        <f t="array" aca="1" ref="D162" ca="1">IFERROR(INDEX(Starlink!$D:$AC, MATCH("Spot IRR", Starlink!$A:$A, 0), D$5+1), 0)</f>
        <v>0.5272889363326887</v>
      </c>
      <c r="E162" s="17" cm="1">
        <f t="array" aca="1" ref="E162" ca="1">IFERROR(INDEX(Starlink!$D:$AC, MATCH("Spot IRR", Starlink!$A:$A, 0), E$5+1), 0)</f>
        <v>0.82797823803489157</v>
      </c>
      <c r="F162" s="17" cm="1">
        <f t="array" aca="1" ref="F162" ca="1">IFERROR(INDEX(Starlink!$D:$AC, MATCH("Spot IRR", Starlink!$A:$A, 0), F$5+1), 0)</f>
        <v>1.2045595098288129</v>
      </c>
      <c r="G162" s="17" cm="1">
        <f t="array" aca="1" ref="G162" ca="1">IFERROR(INDEX(Starlink!$D:$AC, MATCH("Spot IRR", Starlink!$A:$A, 0), G$5+1), 0)</f>
        <v>1.6124672684815116</v>
      </c>
      <c r="H162" s="17" cm="1">
        <f t="array" aca="1" ref="H162" ca="1">IFERROR(INDEX(Starlink!$D:$AC, MATCH("Spot IRR", Starlink!$A:$A, 0), H$5+1), 0)</f>
        <v>2.0938926818565955</v>
      </c>
      <c r="I162" s="17" cm="1">
        <f t="array" aca="1" ref="I162" ca="1">IFERROR(INDEX(Starlink!$D:$AC, MATCH("Spot IRR", Starlink!$A:$A, 0), I$5+1), 0)</f>
        <v>0</v>
      </c>
      <c r="J162" s="17" cm="1">
        <f t="array" aca="1" ref="J162" ca="1">IFERROR(INDEX(Starlink!$D:$AC, MATCH("Spot IRR", Starlink!$A:$A, 0), J$5+1), 0)</f>
        <v>0</v>
      </c>
      <c r="K162" s="17" cm="1">
        <f t="array" aca="1" ref="K162" ca="1">IFERROR(INDEX(Starlink!$D:$AC, MATCH("Spot IRR", Starlink!$A:$A, 0), K$5+1), 0)</f>
        <v>0</v>
      </c>
      <c r="L162" s="17" cm="1">
        <f t="array" aca="1" ref="L162" ca="1">IFERROR(INDEX(Starlink!$D:$AC, MATCH("Spot IRR", Starlink!$A:$A, 0), L$5+1), 0)</f>
        <v>0</v>
      </c>
      <c r="M162" s="17" cm="1">
        <f t="array" aca="1" ref="M162" ca="1">IFERROR(INDEX(Starlink!$D:$AC, MATCH("Spot IRR", Starlink!$A:$A, 0), M$5+1), 0)</f>
        <v>0</v>
      </c>
      <c r="N162" s="17" cm="1">
        <f t="array" aca="1" ref="N162" ca="1">IFERROR(INDEX(Starlink!$D:$AC, MATCH("Spot IRR", Starlink!$A:$A, 0), N$5+1), 0)</f>
        <v>0</v>
      </c>
      <c r="O162" s="17" cm="1">
        <f t="array" aca="1" ref="O162" ca="1">IFERROR(INDEX(Starlink!$D:$AC, MATCH("Spot IRR", Starlink!$A:$A, 0), O$5+1), 0)</f>
        <v>0</v>
      </c>
      <c r="P162" s="17" cm="1">
        <f t="array" aca="1" ref="P162" ca="1">IFERROR(INDEX(Starlink!$D:$AC, MATCH("Spot IRR", Starlink!$A:$A, 0), P$5+1), 0)</f>
        <v>0</v>
      </c>
      <c r="Q162" s="17" cm="1">
        <f t="array" aca="1" ref="Q162" ca="1">IFERROR(INDEX(Starlink!$D:$AC, MATCH("Spot IRR", Starlink!$A:$A, 0), Q$5+1), 0)</f>
        <v>0</v>
      </c>
      <c r="R162" s="17" cm="1">
        <f t="array" aca="1" ref="R162" ca="1">IFERROR(INDEX(Starlink!$D:$AC, MATCH("Spot IRR", Starlink!$A:$A, 0), R$5+1), 0)</f>
        <v>0</v>
      </c>
      <c r="S162" s="17" cm="1">
        <f t="array" aca="1" ref="S162" ca="1">IFERROR(INDEX(Starlink!$D:$AC, MATCH("Spot IRR", Starlink!$A:$A, 0), S$5+1), 0)</f>
        <v>0</v>
      </c>
      <c r="T162" s="17" cm="1">
        <f t="array" aca="1" ref="T162" ca="1">IFERROR(INDEX(Starlink!$D:$AC, MATCH("Spot IRR", Starlink!$A:$A, 0), T$5+1), 0)</f>
        <v>0</v>
      </c>
      <c r="U162" s="17" cm="1">
        <f t="array" aca="1" ref="U162" ca="1">IFERROR(INDEX(Starlink!$D:$AC, MATCH("Spot IRR", Starlink!$A:$A, 0), U$5+1), 0)</f>
        <v>0</v>
      </c>
      <c r="V162" s="17" cm="1">
        <f t="array" aca="1" ref="V162" ca="1">IFERROR(INDEX(Starlink!$D:$AC, MATCH("Spot IRR", Starlink!$A:$A, 0), V$5+1), 0)</f>
        <v>0</v>
      </c>
      <c r="W162" s="17" cm="1">
        <f t="array" aca="1" ref="W162" ca="1">IFERROR(INDEX(Starlink!$D:$AC, MATCH("Spot IRR", Starlink!$A:$A, 0), W$5+1), 0)</f>
        <v>0</v>
      </c>
      <c r="X162" s="17" cm="1">
        <f t="array" aca="1" ref="X162" ca="1">IFERROR(INDEX(Starlink!$D:$AC, MATCH("Spot IRR", Starlink!$A:$A, 0), X$5+1), 0)</f>
        <v>0</v>
      </c>
      <c r="Y162" s="17" cm="1">
        <f t="array" aca="1" ref="Y162" ca="1">IFERROR(INDEX(Starlink!$D:$AC, MATCH("Spot IRR", Starlink!$A:$A, 0), Y$5+1), 0)</f>
        <v>0</v>
      </c>
      <c r="Z162" s="17" cm="1">
        <f t="array" aca="1" ref="Z162" ca="1">IFERROR(INDEX(Starlink!$D:$AC, MATCH("Spot IRR", Starlink!$A:$A, 0), Z$5+1), 0)</f>
        <v>0</v>
      </c>
      <c r="AA162" s="17" cm="1">
        <f t="array" aca="1" ref="AA162" ca="1">IFERROR(INDEX(Starlink!$D:$AC, MATCH("Spot IRR", Starlink!$A:$A, 0), AA$5+1), 0)</f>
        <v>0</v>
      </c>
      <c r="AB162" s="17" cm="1">
        <f t="array" aca="1" ref="AB162" ca="1">IFERROR(INDEX(Starlink!$D:$AC, MATCH("Spot IRR", Starlink!$A:$A, 0), AB$5+1), 0)</f>
        <v>0</v>
      </c>
      <c r="AC162" s="17" cm="1">
        <f t="array" aca="1" ref="AC162" ca="1">IFERROR(INDEX(Starlink!$D:$AC, MATCH("Spot IRR", Starlink!$A:$A, 0), AC$5+1), 0)</f>
        <v>0</v>
      </c>
    </row>
    <row r="163" spans="1:29" x14ac:dyDescent="0.2">
      <c r="A163" t="s">
        <v>1496</v>
      </c>
      <c r="D163" s="17" cm="1">
        <f t="array" aca="1" ref="D163" ca="1">IFERROR(INDEX(Starlink!$D:$AC, MATCH("Forward IRR (Y+2)", Starlink!$A:$A, 0), D$5+1), 0)</f>
        <v>1.2045642603155582</v>
      </c>
      <c r="E163" s="17" cm="1">
        <f t="array" aca="1" ref="E163" ca="1">IFERROR(INDEX(Starlink!$D:$AC, MATCH("Forward IRR (Y+2)", Starlink!$A:$A, 0), E$5+1), 0)</f>
        <v>1.6124789550453842</v>
      </c>
      <c r="F163" s="17" cm="1">
        <f t="array" aca="1" ref="F163" ca="1">IFERROR(INDEX(Starlink!$D:$AC, MATCH("Forward IRR (Y+2)", Starlink!$A:$A, 0), F$5+1), 0)</f>
        <v>2.093935916239634</v>
      </c>
      <c r="G163" s="17" cm="1">
        <f t="array" aca="1" ref="G163" ca="1">IFERROR(INDEX(Starlink!$D:$AC, MATCH("Forward IRR (Y+2)", Starlink!$A:$A, 0), G$5+1), 0)</f>
        <v>-0.9996209960459842</v>
      </c>
      <c r="H163" s="17" cm="1">
        <f t="array" aca="1" ref="H163" ca="1">IFERROR(INDEX(Starlink!$D:$AC, MATCH("Forward IRR (Y+2)", Starlink!$A:$A, 0), H$5+1), 0)</f>
        <v>-0.99956419593806156</v>
      </c>
      <c r="I163" s="17" cm="1">
        <f t="array" aca="1" ref="I163" ca="1">IFERROR(INDEX(Starlink!$D:$AC, MATCH("Forward IRR (Y+2)", Starlink!$A:$A, 0), I$5+1), 0)</f>
        <v>0</v>
      </c>
      <c r="J163" s="17" cm="1">
        <f t="array" aca="1" ref="J163" ca="1">IFERROR(INDEX(Starlink!$D:$AC, MATCH("Forward IRR (Y+2)", Starlink!$A:$A, 0), J$5+1), 0)</f>
        <v>0</v>
      </c>
      <c r="K163" s="17" cm="1">
        <f t="array" aca="1" ref="K163" ca="1">IFERROR(INDEX(Starlink!$D:$AC, MATCH("Forward IRR (Y+2)", Starlink!$A:$A, 0), K$5+1), 0)</f>
        <v>0</v>
      </c>
      <c r="L163" s="17" cm="1">
        <f t="array" aca="1" ref="L163" ca="1">IFERROR(INDEX(Starlink!$D:$AC, MATCH("Forward IRR (Y+2)", Starlink!$A:$A, 0), L$5+1), 0)</f>
        <v>0</v>
      </c>
      <c r="M163" s="17" cm="1">
        <f t="array" aca="1" ref="M163" ca="1">IFERROR(INDEX(Starlink!$D:$AC, MATCH("Forward IRR (Y+2)", Starlink!$A:$A, 0), M$5+1), 0)</f>
        <v>0</v>
      </c>
      <c r="N163" s="17" cm="1">
        <f t="array" aca="1" ref="N163" ca="1">IFERROR(INDEX(Starlink!$D:$AC, MATCH("Forward IRR (Y+2)", Starlink!$A:$A, 0), N$5+1), 0)</f>
        <v>0</v>
      </c>
      <c r="O163" s="17" cm="1">
        <f t="array" aca="1" ref="O163" ca="1">IFERROR(INDEX(Starlink!$D:$AC, MATCH("Forward IRR (Y+2)", Starlink!$A:$A, 0), O$5+1), 0)</f>
        <v>0</v>
      </c>
      <c r="P163" s="17" cm="1">
        <f t="array" aca="1" ref="P163" ca="1">IFERROR(INDEX(Starlink!$D:$AC, MATCH("Forward IRR (Y+2)", Starlink!$A:$A, 0), P$5+1), 0)</f>
        <v>0</v>
      </c>
      <c r="Q163" s="17" cm="1">
        <f t="array" aca="1" ref="Q163" ca="1">IFERROR(INDEX(Starlink!$D:$AC, MATCH("Forward IRR (Y+2)", Starlink!$A:$A, 0), Q$5+1), 0)</f>
        <v>0</v>
      </c>
      <c r="R163" s="17" cm="1">
        <f t="array" aca="1" ref="R163" ca="1">IFERROR(INDEX(Starlink!$D:$AC, MATCH("Forward IRR (Y+2)", Starlink!$A:$A, 0), R$5+1), 0)</f>
        <v>0</v>
      </c>
      <c r="S163" s="17" cm="1">
        <f t="array" aca="1" ref="S163" ca="1">IFERROR(INDEX(Starlink!$D:$AC, MATCH("Forward IRR (Y+2)", Starlink!$A:$A, 0), S$5+1), 0)</f>
        <v>0</v>
      </c>
      <c r="T163" s="17" cm="1">
        <f t="array" aca="1" ref="T163" ca="1">IFERROR(INDEX(Starlink!$D:$AC, MATCH("Forward IRR (Y+2)", Starlink!$A:$A, 0), T$5+1), 0)</f>
        <v>0</v>
      </c>
      <c r="U163" s="17" cm="1">
        <f t="array" aca="1" ref="U163" ca="1">IFERROR(INDEX(Starlink!$D:$AC, MATCH("Forward IRR (Y+2)", Starlink!$A:$A, 0), U$5+1), 0)</f>
        <v>0</v>
      </c>
      <c r="V163" s="17" cm="1">
        <f t="array" aca="1" ref="V163" ca="1">IFERROR(INDEX(Starlink!$D:$AC, MATCH("Forward IRR (Y+2)", Starlink!$A:$A, 0), V$5+1), 0)</f>
        <v>0</v>
      </c>
      <c r="W163" s="17" cm="1">
        <f t="array" aca="1" ref="W163" ca="1">IFERROR(INDEX(Starlink!$D:$AC, MATCH("Forward IRR (Y+2)", Starlink!$A:$A, 0), W$5+1), 0)</f>
        <v>0</v>
      </c>
      <c r="X163" s="17" cm="1">
        <f t="array" aca="1" ref="X163" ca="1">IFERROR(INDEX(Starlink!$D:$AC, MATCH("Forward IRR (Y+2)", Starlink!$A:$A, 0), X$5+1), 0)</f>
        <v>0</v>
      </c>
      <c r="Y163" s="17" cm="1">
        <f t="array" aca="1" ref="Y163" ca="1">IFERROR(INDEX(Starlink!$D:$AC, MATCH("Forward IRR (Y+2)", Starlink!$A:$A, 0), Y$5+1), 0)</f>
        <v>0</v>
      </c>
      <c r="Z163" s="17" cm="1">
        <f t="array" aca="1" ref="Z163" ca="1">IFERROR(INDEX(Starlink!$D:$AC, MATCH("Forward IRR (Y+2)", Starlink!$A:$A, 0), Z$5+1), 0)</f>
        <v>0</v>
      </c>
      <c r="AA163" s="17" cm="1">
        <f t="array" aca="1" ref="AA163" ca="1">IFERROR(INDEX(Starlink!$D:$AC, MATCH("Forward IRR (Y+2)", Starlink!$A:$A, 0), AA$5+1), 0)</f>
        <v>0</v>
      </c>
      <c r="AB163" s="17" cm="1">
        <f t="array" aca="1" ref="AB163" ca="1">IFERROR(INDEX(Starlink!$D:$AC, MATCH("Forward IRR (Y+2)", Starlink!$A:$A, 0), AB$5+1), 0)</f>
        <v>0</v>
      </c>
      <c r="AC163" s="17" cm="1">
        <f t="array" aca="1" ref="AC163" ca="1">IFERROR(INDEX(Starlink!$D:$AC, MATCH("Forward IRR (Y+2)", Starlink!$A:$A, 0), AC$5+1), 0)</f>
        <v>0</v>
      </c>
    </row>
    <row r="164" spans="1:29" x14ac:dyDescent="0.2">
      <c r="A164" t="s">
        <v>1458</v>
      </c>
      <c r="D164" s="17" cm="1">
        <f t="array" aca="1" ref="D164" ca="1">IFERROR(INDEX(Starlink!$D:$AC, MATCH("Blended IRR", Starlink!$A:$A, 0), D$5+1), 0)</f>
        <v>1.0013816631206973</v>
      </c>
      <c r="E164" s="17" cm="1">
        <f t="array" aca="1" ref="E164" ca="1">IFERROR(INDEX(Starlink!$D:$AC, MATCH("Blended IRR", Starlink!$A:$A, 0), E$5+1), 0)</f>
        <v>1.3771287399422363</v>
      </c>
      <c r="F164" s="17" cm="1">
        <f t="array" aca="1" ref="F164" ca="1">IFERROR(INDEX(Starlink!$D:$AC, MATCH("Blended IRR", Starlink!$A:$A, 0), F$5+1), 0)</f>
        <v>1.8271229943163876</v>
      </c>
      <c r="G164" s="17" cm="1">
        <f t="array" aca="1" ref="G164" ca="1">IFERROR(INDEX(Starlink!$D:$AC, MATCH("Blended IRR", Starlink!$A:$A, 0), G$5+1), 0)</f>
        <v>-0.21599451668773539</v>
      </c>
      <c r="H164" s="17" cm="1">
        <f t="array" aca="1" ref="H164" ca="1">IFERROR(INDEX(Starlink!$D:$AC, MATCH("Blended IRR", Starlink!$A:$A, 0), H$5+1), 0)</f>
        <v>-7.1527132599664367E-2</v>
      </c>
      <c r="I164" s="17" cm="1">
        <f t="array" aca="1" ref="I164" ca="1">IFERROR(INDEX(Starlink!$D:$AC, MATCH("Blended IRR", Starlink!$A:$A, 0), I$5+1), 0)</f>
        <v>0</v>
      </c>
      <c r="J164" s="17" cm="1">
        <f t="array" aca="1" ref="J164" ca="1">IFERROR(INDEX(Starlink!$D:$AC, MATCH("Blended IRR", Starlink!$A:$A, 0), J$5+1), 0)</f>
        <v>0</v>
      </c>
      <c r="K164" s="17" cm="1">
        <f t="array" aca="1" ref="K164" ca="1">IFERROR(INDEX(Starlink!$D:$AC, MATCH("Blended IRR", Starlink!$A:$A, 0), K$5+1), 0)</f>
        <v>0</v>
      </c>
      <c r="L164" s="17" cm="1">
        <f t="array" aca="1" ref="L164" ca="1">IFERROR(INDEX(Starlink!$D:$AC, MATCH("Blended IRR", Starlink!$A:$A, 0), L$5+1), 0)</f>
        <v>0</v>
      </c>
      <c r="M164" s="17" cm="1">
        <f t="array" aca="1" ref="M164" ca="1">IFERROR(INDEX(Starlink!$D:$AC, MATCH("Blended IRR", Starlink!$A:$A, 0), M$5+1), 0)</f>
        <v>0</v>
      </c>
      <c r="N164" s="17" cm="1">
        <f t="array" aca="1" ref="N164" ca="1">IFERROR(INDEX(Starlink!$D:$AC, MATCH("Blended IRR", Starlink!$A:$A, 0), N$5+1), 0)</f>
        <v>0</v>
      </c>
      <c r="O164" s="17" cm="1">
        <f t="array" aca="1" ref="O164" ca="1">IFERROR(INDEX(Starlink!$D:$AC, MATCH("Blended IRR", Starlink!$A:$A, 0), O$5+1), 0)</f>
        <v>0</v>
      </c>
      <c r="P164" s="17" cm="1">
        <f t="array" aca="1" ref="P164" ca="1">IFERROR(INDEX(Starlink!$D:$AC, MATCH("Blended IRR", Starlink!$A:$A, 0), P$5+1), 0)</f>
        <v>0</v>
      </c>
      <c r="Q164" s="17" cm="1">
        <f t="array" aca="1" ref="Q164" ca="1">IFERROR(INDEX(Starlink!$D:$AC, MATCH("Blended IRR", Starlink!$A:$A, 0), Q$5+1), 0)</f>
        <v>0</v>
      </c>
      <c r="R164" s="17" cm="1">
        <f t="array" aca="1" ref="R164" ca="1">IFERROR(INDEX(Starlink!$D:$AC, MATCH("Blended IRR", Starlink!$A:$A, 0), R$5+1), 0)</f>
        <v>0</v>
      </c>
      <c r="S164" s="17" cm="1">
        <f t="array" aca="1" ref="S164" ca="1">IFERROR(INDEX(Starlink!$D:$AC, MATCH("Blended IRR", Starlink!$A:$A, 0), S$5+1), 0)</f>
        <v>0</v>
      </c>
      <c r="T164" s="17" cm="1">
        <f t="array" aca="1" ref="T164" ca="1">IFERROR(INDEX(Starlink!$D:$AC, MATCH("Blended IRR", Starlink!$A:$A, 0), T$5+1), 0)</f>
        <v>0</v>
      </c>
      <c r="U164" s="17" cm="1">
        <f t="array" aca="1" ref="U164" ca="1">IFERROR(INDEX(Starlink!$D:$AC, MATCH("Blended IRR", Starlink!$A:$A, 0), U$5+1), 0)</f>
        <v>0</v>
      </c>
      <c r="V164" s="17" cm="1">
        <f t="array" aca="1" ref="V164" ca="1">IFERROR(INDEX(Starlink!$D:$AC, MATCH("Blended IRR", Starlink!$A:$A, 0), V$5+1), 0)</f>
        <v>0</v>
      </c>
      <c r="W164" s="17" cm="1">
        <f t="array" aca="1" ref="W164" ca="1">IFERROR(INDEX(Starlink!$D:$AC, MATCH("Blended IRR", Starlink!$A:$A, 0), W$5+1), 0)</f>
        <v>0</v>
      </c>
      <c r="X164" s="17" cm="1">
        <f t="array" aca="1" ref="X164" ca="1">IFERROR(INDEX(Starlink!$D:$AC, MATCH("Blended IRR", Starlink!$A:$A, 0), X$5+1), 0)</f>
        <v>0</v>
      </c>
      <c r="Y164" s="17" cm="1">
        <f t="array" aca="1" ref="Y164" ca="1">IFERROR(INDEX(Starlink!$D:$AC, MATCH("Blended IRR", Starlink!$A:$A, 0), Y$5+1), 0)</f>
        <v>0</v>
      </c>
      <c r="Z164" s="17" cm="1">
        <f t="array" aca="1" ref="Z164" ca="1">IFERROR(INDEX(Starlink!$D:$AC, MATCH("Blended IRR", Starlink!$A:$A, 0), Z$5+1), 0)</f>
        <v>0</v>
      </c>
      <c r="AA164" s="17" cm="1">
        <f t="array" aca="1" ref="AA164" ca="1">IFERROR(INDEX(Starlink!$D:$AC, MATCH("Blended IRR", Starlink!$A:$A, 0), AA$5+1), 0)</f>
        <v>0</v>
      </c>
      <c r="AB164" s="17" cm="1">
        <f t="array" aca="1" ref="AB164" ca="1">IFERROR(INDEX(Starlink!$D:$AC, MATCH("Blended IRR", Starlink!$A:$A, 0), AB$5+1), 0)</f>
        <v>0</v>
      </c>
      <c r="AC164" s="17" cm="1">
        <f t="array" aca="1" ref="AC164" ca="1">IFERROR(INDEX(Starlink!$D:$AC, MATCH("Blended IRR", Starlink!$A:$A, 0), AC$5+1), 0)</f>
        <v>0</v>
      </c>
    </row>
    <row r="165" spans="1:29" x14ac:dyDescent="0.2">
      <c r="A165" t="s">
        <v>1497</v>
      </c>
      <c r="D165" s="17" cm="1">
        <f t="array" aca="1" ref="D165" ca="1">IFERROR(INDEX(ODC!$D:$AC, MATCH("Spot IRR", ODC!$A:$A, 0), D$5+1), 0)</f>
        <v>-0.39020501847551969</v>
      </c>
      <c r="E165" s="17" cm="1">
        <f t="array" aca="1" ref="E165" ca="1">IFERROR(INDEX(ODC!$D:$AC, MATCH("Spot IRR", ODC!$A:$A, 0), E$5+1), 0)</f>
        <v>-0.32023858334245914</v>
      </c>
      <c r="F165" s="17" cm="1">
        <f t="array" aca="1" ref="F165" ca="1">IFERROR(INDEX(ODC!$D:$AC, MATCH("Spot IRR", ODC!$A:$A, 0), F$5+1), 0)</f>
        <v>-0.25676925866397959</v>
      </c>
      <c r="G165" s="17" cm="1">
        <f t="array" aca="1" ref="G165" ca="1">IFERROR(INDEX(ODC!$D:$AC, MATCH("Spot IRR", ODC!$A:$A, 0), G$5+1), 0)</f>
        <v>-0.16425547323006862</v>
      </c>
      <c r="H165" s="17" cm="1">
        <f t="array" aca="1" ref="H165" ca="1">IFERROR(INDEX(ODC!$D:$AC, MATCH("Spot IRR", ODC!$A:$A, 0), H$5+1), 0)</f>
        <v>-0.1264892580836483</v>
      </c>
      <c r="I165" s="17" cm="1">
        <f t="array" aca="1" ref="I165" ca="1">IFERROR(INDEX(ODC!$D:$AC, MATCH("Spot IRR", ODC!$A:$A, 0), I$5+1), 0)</f>
        <v>-9.4520825345429271E-2</v>
      </c>
      <c r="J165" s="17" cm="1">
        <f t="array" aca="1" ref="J165" ca="1">IFERROR(INDEX(ODC!$D:$AC, MATCH("Spot IRR", ODC!$A:$A, 0), J$5+1), 0)</f>
        <v>-6.8646165653243774E-2</v>
      </c>
      <c r="K165" s="17" cm="1">
        <f t="array" aca="1" ref="K165" ca="1">IFERROR(INDEX(ODC!$D:$AC, MATCH("Spot IRR", ODC!$A:$A, 0), K$5+1), 0)</f>
        <v>-6.3139302363989236E-2</v>
      </c>
      <c r="L165" s="17" cm="1">
        <f t="array" aca="1" ref="L165" ca="1">IFERROR(INDEX(ODC!$D:$AC, MATCH("Spot IRR", ODC!$A:$A, 0), L$5+1), 0)</f>
        <v>-5.9033462003401205E-2</v>
      </c>
      <c r="M165" s="17" cm="1">
        <f t="array" aca="1" ref="M165" ca="1">IFERROR(INDEX(ODC!$D:$AC, MATCH("Spot IRR", ODC!$A:$A, 0), M$5+1), 0)</f>
        <v>-5.5863022867565393E-2</v>
      </c>
      <c r="N165" s="17" cm="1">
        <f t="array" aca="1" ref="N165" ca="1">IFERROR(INDEX(ODC!$D:$AC, MATCH("Spot IRR", ODC!$A:$A, 0), N$5+1), 0)</f>
        <v>-5.4047026141801235E-2</v>
      </c>
      <c r="O165" s="17" cm="1">
        <f t="array" aca="1" ref="O165" ca="1">IFERROR(INDEX(ODC!$D:$AC, MATCH("Spot IRR", ODC!$A:$A, 0), O$5+1), 0)</f>
        <v>-5.4920787345523747E-2</v>
      </c>
      <c r="P165" s="17" cm="1">
        <f t="array" aca="1" ref="P165" ca="1">IFERROR(INDEX(ODC!$D:$AC, MATCH("Spot IRR", ODC!$A:$A, 0), P$5+1), 0)</f>
        <v>-5.8422762211581825E-2</v>
      </c>
      <c r="Q165" s="17" cm="1">
        <f t="array" aca="1" ref="Q165" ca="1">IFERROR(INDEX(ODC!$D:$AC, MATCH("Spot IRR", ODC!$A:$A, 0), Q$5+1), 0)</f>
        <v>-6.4325000116011388E-2</v>
      </c>
      <c r="R165" s="17" cm="1">
        <f t="array" aca="1" ref="R165" ca="1">IFERROR(INDEX(ODC!$D:$AC, MATCH("Spot IRR", ODC!$A:$A, 0), R$5+1), 0)</f>
        <v>-7.2026283887696052E-2</v>
      </c>
      <c r="S165" s="17" cm="1">
        <f t="array" aca="1" ref="S165" ca="1">IFERROR(INDEX(ODC!$D:$AC, MATCH("Spot IRR", ODC!$A:$A, 0), S$5+1), 0)</f>
        <v>-8.1631894806836969E-2</v>
      </c>
      <c r="T165" s="17" cm="1">
        <f t="array" aca="1" ref="T165" ca="1">IFERROR(INDEX(ODC!$D:$AC, MATCH("Spot IRR", ODC!$A:$A, 0), T$5+1), 0)</f>
        <v>-9.1111015750024116E-2</v>
      </c>
      <c r="U165" s="17" cm="1">
        <f t="array" aca="1" ref="U165" ca="1">IFERROR(INDEX(ODC!$D:$AC, MATCH("Spot IRR", ODC!$A:$A, 0), U$5+1), 0)</f>
        <v>-0.10048768973684796</v>
      </c>
      <c r="V165" s="17" cm="1">
        <f t="array" aca="1" ref="V165" ca="1">IFERROR(INDEX(ODC!$D:$AC, MATCH("Spot IRR", ODC!$A:$A, 0), V$5+1), 0)</f>
        <v>-0.10992939722650441</v>
      </c>
      <c r="W165" s="17" cm="1">
        <f t="array" aca="1" ref="W165" ca="1">IFERROR(INDEX(ODC!$D:$AC, MATCH("Spot IRR", ODC!$A:$A, 0), W$5+1), 0)</f>
        <v>-0.11915751472458247</v>
      </c>
      <c r="X165" s="17" cm="1">
        <f t="array" aca="1" ref="X165" ca="1">IFERROR(INDEX(ODC!$D:$AC, MATCH("Spot IRR", ODC!$A:$A, 0), X$5+1), 0)</f>
        <v>-0.12846102050695651</v>
      </c>
      <c r="Y165" s="17" cm="1">
        <f t="array" aca="1" ref="Y165" ca="1">IFERROR(INDEX(ODC!$D:$AC, MATCH("Spot IRR", ODC!$A:$A, 0), Y$5+1), 0)</f>
        <v>-1</v>
      </c>
      <c r="Z165" s="17" cm="1">
        <f t="array" aca="1" ref="Z165" ca="1">IFERROR(INDEX(ODC!$D:$AC, MATCH("Spot IRR", ODC!$A:$A, 0), Z$5+1), 0)</f>
        <v>-1</v>
      </c>
      <c r="AA165" s="17" cm="1">
        <f t="array" aca="1" ref="AA165" ca="1">IFERROR(INDEX(ODC!$D:$AC, MATCH("Spot IRR", ODC!$A:$A, 0), AA$5+1), 0)</f>
        <v>-1</v>
      </c>
      <c r="AB165" s="17" cm="1">
        <f t="array" aca="1" ref="AB165" ca="1">IFERROR(INDEX(ODC!$D:$AC, MATCH("Spot IRR", ODC!$A:$A, 0), AB$5+1), 0)</f>
        <v>-1</v>
      </c>
      <c r="AC165" s="17" cm="1">
        <f t="array" aca="1" ref="AC165" ca="1">IFERROR(INDEX(ODC!$D:$AC, MATCH("Spot IRR", ODC!$A:$A, 0), AC$5+1), 0)</f>
        <v>-0.14402433810277893</v>
      </c>
    </row>
    <row r="166" spans="1:29" x14ac:dyDescent="0.2">
      <c r="A166" t="s">
        <v>1498</v>
      </c>
      <c r="D166" s="17" cm="1">
        <f t="array" aca="1" ref="D166" ca="1">IFERROR(INDEX(ODC!$D:$AC, MATCH("Forward IRR (Y+2)", ODC!$A:$A, 0), D$5+1), 0)</f>
        <v>-0.25676925866397959</v>
      </c>
      <c r="E166" s="17" cm="1">
        <f t="array" aca="1" ref="E166" ca="1">IFERROR(INDEX(ODC!$D:$AC, MATCH("Forward IRR (Y+2)", ODC!$A:$A, 0), E$5+1), 0)</f>
        <v>-0.16425547323006862</v>
      </c>
      <c r="F166" s="17" cm="1">
        <f t="array" aca="1" ref="F166" ca="1">IFERROR(INDEX(ODC!$D:$AC, MATCH("Forward IRR (Y+2)", ODC!$A:$A, 0), F$5+1), 0)</f>
        <v>-0.1264892580836483</v>
      </c>
      <c r="G166" s="17" cm="1">
        <f t="array" aca="1" ref="G166" ca="1">IFERROR(INDEX(ODC!$D:$AC, MATCH("Forward IRR (Y+2)", ODC!$A:$A, 0), G$5+1), 0)</f>
        <v>-9.4520825345429271E-2</v>
      </c>
      <c r="H166" s="17" cm="1">
        <f t="array" aca="1" ref="H166" ca="1">IFERROR(INDEX(ODC!$D:$AC, MATCH("Forward IRR (Y+2)", ODC!$A:$A, 0), H$5+1), 0)</f>
        <v>-6.8646165653243774E-2</v>
      </c>
      <c r="I166" s="17" cm="1">
        <f t="array" aca="1" ref="I166" ca="1">IFERROR(INDEX(ODC!$D:$AC, MATCH("Forward IRR (Y+2)", ODC!$A:$A, 0), I$5+1), 0)</f>
        <v>-6.3139302363989236E-2</v>
      </c>
      <c r="J166" s="17" cm="1">
        <f t="array" aca="1" ref="J166" ca="1">IFERROR(INDEX(ODC!$D:$AC, MATCH("Forward IRR (Y+2)", ODC!$A:$A, 0), J$5+1), 0)</f>
        <v>-5.9033462003401205E-2</v>
      </c>
      <c r="K166" s="17" cm="1">
        <f t="array" aca="1" ref="K166" ca="1">IFERROR(INDEX(ODC!$D:$AC, MATCH("Forward IRR (Y+2)", ODC!$A:$A, 0), K$5+1), 0)</f>
        <v>-5.5863022867565393E-2</v>
      </c>
      <c r="L166" s="17" cm="1">
        <f t="array" aca="1" ref="L166" ca="1">IFERROR(INDEX(ODC!$D:$AC, MATCH("Forward IRR (Y+2)", ODC!$A:$A, 0), L$5+1), 0)</f>
        <v>-5.4047026141801235E-2</v>
      </c>
      <c r="M166" s="17" cm="1">
        <f t="array" aca="1" ref="M166" ca="1">IFERROR(INDEX(ODC!$D:$AC, MATCH("Forward IRR (Y+2)", ODC!$A:$A, 0), M$5+1), 0)</f>
        <v>-5.4920787345523747E-2</v>
      </c>
      <c r="N166" s="17" cm="1">
        <f t="array" aca="1" ref="N166" ca="1">IFERROR(INDEX(ODC!$D:$AC, MATCH("Forward IRR (Y+2)", ODC!$A:$A, 0), N$5+1), 0)</f>
        <v>-5.8422762211581825E-2</v>
      </c>
      <c r="O166" s="17" cm="1">
        <f t="array" aca="1" ref="O166" ca="1">IFERROR(INDEX(ODC!$D:$AC, MATCH("Forward IRR (Y+2)", ODC!$A:$A, 0), O$5+1), 0)</f>
        <v>-6.4325000116011388E-2</v>
      </c>
      <c r="P166" s="17" cm="1">
        <f t="array" aca="1" ref="P166" ca="1">IFERROR(INDEX(ODC!$D:$AC, MATCH("Forward IRR (Y+2)", ODC!$A:$A, 0), P$5+1), 0)</f>
        <v>-7.2026283887696052E-2</v>
      </c>
      <c r="Q166" s="17" cm="1">
        <f t="array" aca="1" ref="Q166" ca="1">IFERROR(INDEX(ODC!$D:$AC, MATCH("Forward IRR (Y+2)", ODC!$A:$A, 0), Q$5+1), 0)</f>
        <v>-8.1631894806836969E-2</v>
      </c>
      <c r="R166" s="17" cm="1">
        <f t="array" aca="1" ref="R166" ca="1">IFERROR(INDEX(ODC!$D:$AC, MATCH("Forward IRR (Y+2)", ODC!$A:$A, 0), R$5+1), 0)</f>
        <v>-9.1111015750024116E-2</v>
      </c>
      <c r="S166" s="17" cm="1">
        <f t="array" aca="1" ref="S166" ca="1">IFERROR(INDEX(ODC!$D:$AC, MATCH("Forward IRR (Y+2)", ODC!$A:$A, 0), S$5+1), 0)</f>
        <v>-0.10048768973684796</v>
      </c>
      <c r="T166" s="17" cm="1">
        <f t="array" aca="1" ref="T166" ca="1">IFERROR(INDEX(ODC!$D:$AC, MATCH("Forward IRR (Y+2)", ODC!$A:$A, 0), T$5+1), 0)</f>
        <v>-0.10992939722650441</v>
      </c>
      <c r="U166" s="17" cm="1">
        <f t="array" aca="1" ref="U166" ca="1">IFERROR(INDEX(ODC!$D:$AC, MATCH("Forward IRR (Y+2)", ODC!$A:$A, 0), U$5+1), 0)</f>
        <v>-0.11915751472458247</v>
      </c>
      <c r="V166" s="17" cm="1">
        <f t="array" aca="1" ref="V166" ca="1">IFERROR(INDEX(ODC!$D:$AC, MATCH("Forward IRR (Y+2)", ODC!$A:$A, 0), V$5+1), 0)</f>
        <v>-0.12846102050695651</v>
      </c>
      <c r="W166" s="17" cm="1">
        <f t="array" aca="1" ref="W166" ca="1">IFERROR(INDEX(ODC!$D:$AC, MATCH("Forward IRR (Y+2)", ODC!$A:$A, 0), W$5+1), 0)</f>
        <v>-1</v>
      </c>
      <c r="X166" s="17" cm="1">
        <f t="array" aca="1" ref="X166" ca="1">IFERROR(INDEX(ODC!$D:$AC, MATCH("Forward IRR (Y+2)", ODC!$A:$A, 0), X$5+1), 0)</f>
        <v>-1</v>
      </c>
      <c r="Y166" s="17" cm="1">
        <f t="array" aca="1" ref="Y166" ca="1">IFERROR(INDEX(ODC!$D:$AC, MATCH("Forward IRR (Y+2)", ODC!$A:$A, 0), Y$5+1), 0)</f>
        <v>-1</v>
      </c>
      <c r="Z166" s="17" cm="1">
        <f t="array" aca="1" ref="Z166" ca="1">IFERROR(INDEX(ODC!$D:$AC, MATCH("Forward IRR (Y+2)", ODC!$A:$A, 0), Z$5+1), 0)</f>
        <v>-1</v>
      </c>
      <c r="AA166" s="17" cm="1">
        <f t="array" aca="1" ref="AA166" ca="1">IFERROR(INDEX(ODC!$D:$AC, MATCH("Forward IRR (Y+2)", ODC!$A:$A, 0), AA$5+1), 0)</f>
        <v>-0.14402433810277893</v>
      </c>
      <c r="AB166" s="17" cm="1">
        <f t="array" aca="1" ref="AB166" ca="1">IFERROR(INDEX(ODC!$D:$AC, MATCH("Forward IRR (Y+2)", ODC!$A:$A, 0), AB$5+1), 0)</f>
        <v>-0.14402433810277893</v>
      </c>
      <c r="AC166" s="17" cm="1">
        <f t="array" aca="1" ref="AC166" ca="1">IFERROR(INDEX(ODC!$D:$AC, MATCH("Forward IRR (Y+2)", ODC!$A:$A, 0), AC$5+1), 0)</f>
        <v>-0.14402433810277893</v>
      </c>
    </row>
    <row r="167" spans="1:29" x14ac:dyDescent="0.2">
      <c r="A167" t="s">
        <v>1460</v>
      </c>
      <c r="D167" s="17" cm="1">
        <f t="array" aca="1" ref="D167" ca="1">IFERROR(INDEX(ODC!$D:$AC, MATCH("Blended IRR", ODC!$A:$A, 0), D$5+1), 0)</f>
        <v>-0.29679998660744167</v>
      </c>
      <c r="E167" s="17" cm="1">
        <f t="array" aca="1" ref="E167" ca="1">IFERROR(INDEX(ODC!$D:$AC, MATCH("Blended IRR", ODC!$A:$A, 0), E$5+1), 0)</f>
        <v>-0.21105040626378579</v>
      </c>
      <c r="F167" s="17" cm="1">
        <f t="array" aca="1" ref="F167" ca="1">IFERROR(INDEX(ODC!$D:$AC, MATCH("Blended IRR", ODC!$A:$A, 0), F$5+1), 0)</f>
        <v>-0.16557325825774769</v>
      </c>
      <c r="G167" s="17" cm="1">
        <f t="array" aca="1" ref="G167" ca="1">IFERROR(INDEX(ODC!$D:$AC, MATCH("Blended IRR", ODC!$A:$A, 0), G$5+1), 0)</f>
        <v>-0.11544121971082108</v>
      </c>
      <c r="H167" s="17" cm="1">
        <f t="array" aca="1" ref="H167" ca="1">IFERROR(INDEX(ODC!$D:$AC, MATCH("Blended IRR", ODC!$A:$A, 0), H$5+1), 0)</f>
        <v>-8.5999093382365138E-2</v>
      </c>
      <c r="I167" s="17" cm="1">
        <f t="array" aca="1" ref="I167" ca="1">IFERROR(INDEX(ODC!$D:$AC, MATCH("Blended IRR", ODC!$A:$A, 0), I$5+1), 0)</f>
        <v>-7.2553759258421252E-2</v>
      </c>
      <c r="J167" s="17" cm="1">
        <f t="array" aca="1" ref="J167" ca="1">IFERROR(INDEX(ODC!$D:$AC, MATCH("Blended IRR", ODC!$A:$A, 0), J$5+1), 0)</f>
        <v>-6.1917273098353973E-2</v>
      </c>
      <c r="K167" s="17" cm="1">
        <f t="array" aca="1" ref="K167" ca="1">IFERROR(INDEX(ODC!$D:$AC, MATCH("Blended IRR", ODC!$A:$A, 0), K$5+1), 0)</f>
        <v>-5.804590671649254E-2</v>
      </c>
      <c r="L167" s="17" cm="1">
        <f t="array" aca="1" ref="L167" ca="1">IFERROR(INDEX(ODC!$D:$AC, MATCH("Blended IRR", ODC!$A:$A, 0), L$5+1), 0)</f>
        <v>-5.5542956900281222E-2</v>
      </c>
      <c r="M167" s="17" cm="1">
        <f t="array" aca="1" ref="M167" ca="1">IFERROR(INDEX(ODC!$D:$AC, MATCH("Blended IRR", ODC!$A:$A, 0), M$5+1), 0)</f>
        <v>-5.5203458002136246E-2</v>
      </c>
      <c r="N167" s="17" cm="1">
        <f t="array" aca="1" ref="N167" ca="1">IFERROR(INDEX(ODC!$D:$AC, MATCH("Blended IRR", ODC!$A:$A, 0), N$5+1), 0)</f>
        <v>-5.7110041390647653E-2</v>
      </c>
      <c r="O167" s="17" cm="1">
        <f t="array" aca="1" ref="O167" ca="1">IFERROR(INDEX(ODC!$D:$AC, MATCH("Blended IRR", ODC!$A:$A, 0), O$5+1), 0)</f>
        <v>-6.1503736284865093E-2</v>
      </c>
      <c r="P167" s="17" cm="1">
        <f t="array" aca="1" ref="P167" ca="1">IFERROR(INDEX(ODC!$D:$AC, MATCH("Blended IRR", ODC!$A:$A, 0), P$5+1), 0)</f>
        <v>-6.7945227384861778E-2</v>
      </c>
      <c r="Q167" s="17" cm="1">
        <f t="array" aca="1" ref="Q167" ca="1">IFERROR(INDEX(ODC!$D:$AC, MATCH("Blended IRR", ODC!$A:$A, 0), Q$5+1), 0)</f>
        <v>-7.6439826399589295E-2</v>
      </c>
      <c r="R167" s="17" cm="1">
        <f t="array" aca="1" ref="R167" ca="1">IFERROR(INDEX(ODC!$D:$AC, MATCH("Blended IRR", ODC!$A:$A, 0), R$5+1), 0)</f>
        <v>-8.5385596191325699E-2</v>
      </c>
      <c r="S167" s="17" cm="1">
        <f t="array" aca="1" ref="S167" ca="1">IFERROR(INDEX(ODC!$D:$AC, MATCH("Blended IRR", ODC!$A:$A, 0), S$5+1), 0)</f>
        <v>-9.4830951257844659E-2</v>
      </c>
      <c r="T167" s="17" cm="1">
        <f t="array" aca="1" ref="T167" ca="1">IFERROR(INDEX(ODC!$D:$AC, MATCH("Blended IRR", ODC!$A:$A, 0), T$5+1), 0)</f>
        <v>-0.10428388278356032</v>
      </c>
      <c r="U167" s="17" cm="1">
        <f t="array" aca="1" ref="U167" ca="1">IFERROR(INDEX(ODC!$D:$AC, MATCH("Blended IRR", ODC!$A:$A, 0), U$5+1), 0)</f>
        <v>-0.11355656722826211</v>
      </c>
      <c r="V167" s="17" cm="1">
        <f t="array" aca="1" ref="V167" ca="1">IFERROR(INDEX(ODC!$D:$AC, MATCH("Blended IRR", ODC!$A:$A, 0), V$5+1), 0)</f>
        <v>-0.12290153352282088</v>
      </c>
      <c r="W167" s="17" cm="1">
        <f t="array" aca="1" ref="W167" ca="1">IFERROR(INDEX(ODC!$D:$AC, MATCH("Blended IRR", ODC!$A:$A, 0), W$5+1), 0)</f>
        <v>-0.73574725441737465</v>
      </c>
      <c r="X167" s="17" cm="1">
        <f t="array" aca="1" ref="X167" ca="1">IFERROR(INDEX(ODC!$D:$AC, MATCH("Blended IRR", ODC!$A:$A, 0), X$5+1), 0)</f>
        <v>-0.73853830615208693</v>
      </c>
      <c r="Y167" s="17" cm="1">
        <f t="array" aca="1" ref="Y167" ca="1">IFERROR(INDEX(ODC!$D:$AC, MATCH("Blended IRR", ODC!$A:$A, 0), Y$5+1), 0)</f>
        <v>-1</v>
      </c>
      <c r="Z167" s="17" cm="1">
        <f t="array" aca="1" ref="Z167" ca="1">IFERROR(INDEX(ODC!$D:$AC, MATCH("Blended IRR", ODC!$A:$A, 0), Z$5+1), 0)</f>
        <v>-1</v>
      </c>
      <c r="AA167" s="17" cm="1">
        <f t="array" aca="1" ref="AA167" ca="1">IFERROR(INDEX(ODC!$D:$AC, MATCH("Blended IRR", ODC!$A:$A, 0), AA$5+1), 0)</f>
        <v>-0.40081703667194529</v>
      </c>
      <c r="AB167" s="17" cm="1">
        <f t="array" aca="1" ref="AB167" ca="1">IFERROR(INDEX(ODC!$D:$AC, MATCH("Blended IRR", ODC!$A:$A, 0), AB$5+1), 0)</f>
        <v>-0.40081703667194529</v>
      </c>
      <c r="AC167" s="17" cm="1">
        <f t="array" aca="1" ref="AC167" ca="1">IFERROR(INDEX(ODC!$D:$AC, MATCH("Blended IRR", ODC!$A:$A, 0), AC$5+1), 0)</f>
        <v>-0.14402433810277893</v>
      </c>
    </row>
    <row r="168" spans="1:29" x14ac:dyDescent="0.2">
      <c r="A168" t="s">
        <v>1499</v>
      </c>
      <c r="D168" s="17" cm="1">
        <f t="array" aca="1" ref="D168" ca="1">IFERROR(INDEX('AI Stack'!$D:$AC, MATCH("Spot IRR", 'AI Stack'!$A:$A, 0), D$5+1), 0)</f>
        <v>0</v>
      </c>
      <c r="E168" s="17" cm="1">
        <f t="array" aca="1" ref="E168" ca="1">IFERROR(INDEX('AI Stack'!$D:$AC, MATCH("Spot IRR", 'AI Stack'!$A:$A, 0), E$5+1), 0)</f>
        <v>0</v>
      </c>
      <c r="F168" s="17" cm="1">
        <f t="array" aca="1" ref="F168" ca="1">IFERROR(INDEX('AI Stack'!$D:$AC, MATCH("Spot IRR", 'AI Stack'!$A:$A, 0), F$5+1), 0)</f>
        <v>0</v>
      </c>
      <c r="G168" s="17" cm="1">
        <f t="array" aca="1" ref="G168" ca="1">IFERROR(INDEX('AI Stack'!$D:$AC, MATCH("Spot IRR", 'AI Stack'!$A:$A, 0), G$5+1), 0)</f>
        <v>0</v>
      </c>
      <c r="H168" s="17" cm="1">
        <f t="array" aca="1" ref="H168" ca="1">IFERROR(INDEX('AI Stack'!$D:$AC, MATCH("Spot IRR", 'AI Stack'!$A:$A, 0), H$5+1), 0)</f>
        <v>0</v>
      </c>
      <c r="I168" s="17" cm="1">
        <f t="array" aca="1" ref="I168" ca="1">IFERROR(INDEX('AI Stack'!$D:$AC, MATCH("Spot IRR", 'AI Stack'!$A:$A, 0), I$5+1), 0)</f>
        <v>0</v>
      </c>
      <c r="J168" s="17" cm="1">
        <f t="array" aca="1" ref="J168" ca="1">IFERROR(INDEX('AI Stack'!$D:$AC, MATCH("Spot IRR", 'AI Stack'!$A:$A, 0), J$5+1), 0)</f>
        <v>0</v>
      </c>
      <c r="K168" s="17" cm="1">
        <f t="array" aca="1" ref="K168" ca="1">IFERROR(INDEX('AI Stack'!$D:$AC, MATCH("Spot IRR", 'AI Stack'!$A:$A, 0), K$5+1), 0)</f>
        <v>0</v>
      </c>
      <c r="L168" s="17" cm="1">
        <f t="array" aca="1" ref="L168" ca="1">IFERROR(INDEX('AI Stack'!$D:$AC, MATCH("Spot IRR", 'AI Stack'!$A:$A, 0), L$5+1), 0)</f>
        <v>0</v>
      </c>
      <c r="M168" s="17" cm="1">
        <f t="array" aca="1" ref="M168" ca="1">IFERROR(INDEX('AI Stack'!$D:$AC, MATCH("Spot IRR", 'AI Stack'!$A:$A, 0), M$5+1), 0)</f>
        <v>0</v>
      </c>
      <c r="N168" s="17" cm="1">
        <f t="array" aca="1" ref="N168" ca="1">IFERROR(INDEX('AI Stack'!$D:$AC, MATCH("Spot IRR", 'AI Stack'!$A:$A, 0), N$5+1), 0)</f>
        <v>0</v>
      </c>
      <c r="O168" s="17" cm="1">
        <f t="array" aca="1" ref="O168" ca="1">IFERROR(INDEX('AI Stack'!$D:$AC, MATCH("Spot IRR", 'AI Stack'!$A:$A, 0), O$5+1), 0)</f>
        <v>0</v>
      </c>
      <c r="P168" s="17" cm="1">
        <f t="array" aca="1" ref="P168" ca="1">IFERROR(INDEX('AI Stack'!$D:$AC, MATCH("Spot IRR", 'AI Stack'!$A:$A, 0), P$5+1), 0)</f>
        <v>0</v>
      </c>
      <c r="Q168" s="17" cm="1">
        <f t="array" aca="1" ref="Q168" ca="1">IFERROR(INDEX('AI Stack'!$D:$AC, MATCH("Spot IRR", 'AI Stack'!$A:$A, 0), Q$5+1), 0)</f>
        <v>0</v>
      </c>
      <c r="R168" s="17" cm="1">
        <f t="array" aca="1" ref="R168" ca="1">IFERROR(INDEX('AI Stack'!$D:$AC, MATCH("Spot IRR", 'AI Stack'!$A:$A, 0), R$5+1), 0)</f>
        <v>0</v>
      </c>
      <c r="S168" s="17" cm="1">
        <f t="array" aca="1" ref="S168" ca="1">IFERROR(INDEX('AI Stack'!$D:$AC, MATCH("Spot IRR", 'AI Stack'!$A:$A, 0), S$5+1), 0)</f>
        <v>0</v>
      </c>
      <c r="T168" s="17" cm="1">
        <f t="array" aca="1" ref="T168" ca="1">IFERROR(INDEX('AI Stack'!$D:$AC, MATCH("Spot IRR", 'AI Stack'!$A:$A, 0), T$5+1), 0)</f>
        <v>0</v>
      </c>
      <c r="U168" s="17" cm="1">
        <f t="array" aca="1" ref="U168" ca="1">IFERROR(INDEX('AI Stack'!$D:$AC, MATCH("Spot IRR", 'AI Stack'!$A:$A, 0), U$5+1), 0)</f>
        <v>0</v>
      </c>
      <c r="V168" s="17" cm="1">
        <f t="array" aca="1" ref="V168" ca="1">IFERROR(INDEX('AI Stack'!$D:$AC, MATCH("Spot IRR", 'AI Stack'!$A:$A, 0), V$5+1), 0)</f>
        <v>0</v>
      </c>
      <c r="W168" s="17" cm="1">
        <f t="array" aca="1" ref="W168" ca="1">IFERROR(INDEX('AI Stack'!$D:$AC, MATCH("Spot IRR", 'AI Stack'!$A:$A, 0), W$5+1), 0)</f>
        <v>0</v>
      </c>
      <c r="X168" s="17" cm="1">
        <f t="array" aca="1" ref="X168" ca="1">IFERROR(INDEX('AI Stack'!$D:$AC, MATCH("Spot IRR", 'AI Stack'!$A:$A, 0), X$5+1), 0)</f>
        <v>0</v>
      </c>
      <c r="Y168" s="17" cm="1">
        <f t="array" aca="1" ref="Y168" ca="1">IFERROR(INDEX('AI Stack'!$D:$AC, MATCH("Spot IRR", 'AI Stack'!$A:$A, 0), Y$5+1), 0)</f>
        <v>0</v>
      </c>
      <c r="Z168" s="17" cm="1">
        <f t="array" aca="1" ref="Z168" ca="1">IFERROR(INDEX('AI Stack'!$D:$AC, MATCH("Spot IRR", 'AI Stack'!$A:$A, 0), Z$5+1), 0)</f>
        <v>0</v>
      </c>
      <c r="AA168" s="17" cm="1">
        <f t="array" aca="1" ref="AA168" ca="1">IFERROR(INDEX('AI Stack'!$D:$AC, MATCH("Spot IRR", 'AI Stack'!$A:$A, 0), AA$5+1), 0)</f>
        <v>0</v>
      </c>
      <c r="AB168" s="17" cm="1">
        <f t="array" aca="1" ref="AB168" ca="1">IFERROR(INDEX('AI Stack'!$D:$AC, MATCH("Spot IRR", 'AI Stack'!$A:$A, 0), AB$5+1), 0)</f>
        <v>0</v>
      </c>
      <c r="AC168" s="17" cm="1">
        <f t="array" aca="1" ref="AC168" ca="1">IFERROR(INDEX('AI Stack'!$D:$AC, MATCH("Spot IRR", 'AI Stack'!$A:$A, 0), AC$5+1), 0)</f>
        <v>0</v>
      </c>
    </row>
    <row r="169" spans="1:29" x14ac:dyDescent="0.2">
      <c r="A169" t="s">
        <v>1500</v>
      </c>
      <c r="D169" s="17" cm="1">
        <f t="array" aca="1" ref="D169" ca="1">IFERROR(INDEX('AI Stack'!$D:$AC, MATCH("Forward IRR (Y+2)", 'AI Stack'!$A:$A, 0), D$5+1), 0)</f>
        <v>0</v>
      </c>
      <c r="E169" s="17" cm="1">
        <f t="array" aca="1" ref="E169" ca="1">IFERROR(INDEX('AI Stack'!$D:$AC, MATCH("Forward IRR (Y+2)", 'AI Stack'!$A:$A, 0), E$5+1), 0)</f>
        <v>0</v>
      </c>
      <c r="F169" s="17" cm="1">
        <f t="array" aca="1" ref="F169" ca="1">IFERROR(INDEX('AI Stack'!$D:$AC, MATCH("Forward IRR (Y+2)", 'AI Stack'!$A:$A, 0), F$5+1), 0)</f>
        <v>0</v>
      </c>
      <c r="G169" s="17" cm="1">
        <f t="array" aca="1" ref="G169" ca="1">IFERROR(INDEX('AI Stack'!$D:$AC, MATCH("Forward IRR (Y+2)", 'AI Stack'!$A:$A, 0), G$5+1), 0)</f>
        <v>0</v>
      </c>
      <c r="H169" s="17" cm="1">
        <f t="array" aca="1" ref="H169" ca="1">IFERROR(INDEX('AI Stack'!$D:$AC, MATCH("Forward IRR (Y+2)", 'AI Stack'!$A:$A, 0), H$5+1), 0)</f>
        <v>0</v>
      </c>
      <c r="I169" s="17" cm="1">
        <f t="array" aca="1" ref="I169" ca="1">IFERROR(INDEX('AI Stack'!$D:$AC, MATCH("Forward IRR (Y+2)", 'AI Stack'!$A:$A, 0), I$5+1), 0)</f>
        <v>0</v>
      </c>
      <c r="J169" s="17" cm="1">
        <f t="array" aca="1" ref="J169" ca="1">IFERROR(INDEX('AI Stack'!$D:$AC, MATCH("Forward IRR (Y+2)", 'AI Stack'!$A:$A, 0), J$5+1), 0)</f>
        <v>0</v>
      </c>
      <c r="K169" s="17" cm="1">
        <f t="array" aca="1" ref="K169" ca="1">IFERROR(INDEX('AI Stack'!$D:$AC, MATCH("Forward IRR (Y+2)", 'AI Stack'!$A:$A, 0), K$5+1), 0)</f>
        <v>0</v>
      </c>
      <c r="L169" s="17" cm="1">
        <f t="array" aca="1" ref="L169" ca="1">IFERROR(INDEX('AI Stack'!$D:$AC, MATCH("Forward IRR (Y+2)", 'AI Stack'!$A:$A, 0), L$5+1), 0)</f>
        <v>0</v>
      </c>
      <c r="M169" s="17" cm="1">
        <f t="array" aca="1" ref="M169" ca="1">IFERROR(INDEX('AI Stack'!$D:$AC, MATCH("Forward IRR (Y+2)", 'AI Stack'!$A:$A, 0), M$5+1), 0)</f>
        <v>0</v>
      </c>
      <c r="N169" s="17" cm="1">
        <f t="array" aca="1" ref="N169" ca="1">IFERROR(INDEX('AI Stack'!$D:$AC, MATCH("Forward IRR (Y+2)", 'AI Stack'!$A:$A, 0), N$5+1), 0)</f>
        <v>0</v>
      </c>
      <c r="O169" s="17" cm="1">
        <f t="array" aca="1" ref="O169" ca="1">IFERROR(INDEX('AI Stack'!$D:$AC, MATCH("Forward IRR (Y+2)", 'AI Stack'!$A:$A, 0), O$5+1), 0)</f>
        <v>0</v>
      </c>
      <c r="P169" s="17" cm="1">
        <f t="array" aca="1" ref="P169" ca="1">IFERROR(INDEX('AI Stack'!$D:$AC, MATCH("Forward IRR (Y+2)", 'AI Stack'!$A:$A, 0), P$5+1), 0)</f>
        <v>0</v>
      </c>
      <c r="Q169" s="17" cm="1">
        <f t="array" aca="1" ref="Q169" ca="1">IFERROR(INDEX('AI Stack'!$D:$AC, MATCH("Forward IRR (Y+2)", 'AI Stack'!$A:$A, 0), Q$5+1), 0)</f>
        <v>0</v>
      </c>
      <c r="R169" s="17" cm="1">
        <f t="array" aca="1" ref="R169" ca="1">IFERROR(INDEX('AI Stack'!$D:$AC, MATCH("Forward IRR (Y+2)", 'AI Stack'!$A:$A, 0), R$5+1), 0)</f>
        <v>0</v>
      </c>
      <c r="S169" s="17" cm="1">
        <f t="array" aca="1" ref="S169" ca="1">IFERROR(INDEX('AI Stack'!$D:$AC, MATCH("Forward IRR (Y+2)", 'AI Stack'!$A:$A, 0), S$5+1), 0)</f>
        <v>0</v>
      </c>
      <c r="T169" s="17" cm="1">
        <f t="array" aca="1" ref="T169" ca="1">IFERROR(INDEX('AI Stack'!$D:$AC, MATCH("Forward IRR (Y+2)", 'AI Stack'!$A:$A, 0), T$5+1), 0)</f>
        <v>0</v>
      </c>
      <c r="U169" s="17" cm="1">
        <f t="array" aca="1" ref="U169" ca="1">IFERROR(INDEX('AI Stack'!$D:$AC, MATCH("Forward IRR (Y+2)", 'AI Stack'!$A:$A, 0), U$5+1), 0)</f>
        <v>0</v>
      </c>
      <c r="V169" s="17" cm="1">
        <f t="array" aca="1" ref="V169" ca="1">IFERROR(INDEX('AI Stack'!$D:$AC, MATCH("Forward IRR (Y+2)", 'AI Stack'!$A:$A, 0), V$5+1), 0)</f>
        <v>0</v>
      </c>
      <c r="W169" s="17" cm="1">
        <f t="array" aca="1" ref="W169" ca="1">IFERROR(INDEX('AI Stack'!$D:$AC, MATCH("Forward IRR (Y+2)", 'AI Stack'!$A:$A, 0), W$5+1), 0)</f>
        <v>0</v>
      </c>
      <c r="X169" s="17" cm="1">
        <f t="array" aca="1" ref="X169" ca="1">IFERROR(INDEX('AI Stack'!$D:$AC, MATCH("Forward IRR (Y+2)", 'AI Stack'!$A:$A, 0), X$5+1), 0)</f>
        <v>0</v>
      </c>
      <c r="Y169" s="17" cm="1">
        <f t="array" aca="1" ref="Y169" ca="1">IFERROR(INDEX('AI Stack'!$D:$AC, MATCH("Forward IRR (Y+2)", 'AI Stack'!$A:$A, 0), Y$5+1), 0)</f>
        <v>0</v>
      </c>
      <c r="Z169" s="17" cm="1">
        <f t="array" aca="1" ref="Z169" ca="1">IFERROR(INDEX('AI Stack'!$D:$AC, MATCH("Forward IRR (Y+2)", 'AI Stack'!$A:$A, 0), Z$5+1), 0)</f>
        <v>0</v>
      </c>
      <c r="AA169" s="17" cm="1">
        <f t="array" aca="1" ref="AA169" ca="1">IFERROR(INDEX('AI Stack'!$D:$AC, MATCH("Forward IRR (Y+2)", 'AI Stack'!$A:$A, 0), AA$5+1), 0)</f>
        <v>0</v>
      </c>
      <c r="AB169" s="17" cm="1">
        <f t="array" aca="1" ref="AB169" ca="1">IFERROR(INDEX('AI Stack'!$D:$AC, MATCH("Forward IRR (Y+2)", 'AI Stack'!$A:$A, 0), AB$5+1), 0)</f>
        <v>0</v>
      </c>
      <c r="AC169" s="17" cm="1">
        <f t="array" aca="1" ref="AC169" ca="1">IFERROR(INDEX('AI Stack'!$D:$AC, MATCH("Forward IRR (Y+2)", 'AI Stack'!$A:$A, 0), AC$5+1), 0)</f>
        <v>0</v>
      </c>
    </row>
    <row r="170" spans="1:29" x14ac:dyDescent="0.2">
      <c r="A170" t="s">
        <v>1465</v>
      </c>
      <c r="D170" s="17" cm="1">
        <f t="array" aca="1" ref="D170" ca="1">IFERROR(INDEX('AI Stack'!$D:$AC, MATCH("Blended IRR", 'AI Stack'!$A:$A, 0), D$5+1), 0)</f>
        <v>0</v>
      </c>
      <c r="E170" s="17" cm="1">
        <f t="array" aca="1" ref="E170" ca="1">IFERROR(INDEX('AI Stack'!$D:$AC, MATCH("Blended IRR", 'AI Stack'!$A:$A, 0), E$5+1), 0)</f>
        <v>0</v>
      </c>
      <c r="F170" s="17" cm="1">
        <f t="array" aca="1" ref="F170" ca="1">IFERROR(INDEX('AI Stack'!$D:$AC, MATCH("Blended IRR", 'AI Stack'!$A:$A, 0), F$5+1), 0)</f>
        <v>0</v>
      </c>
      <c r="G170" s="17" cm="1">
        <f t="array" aca="1" ref="G170" ca="1">IFERROR(INDEX('AI Stack'!$D:$AC, MATCH("Blended IRR", 'AI Stack'!$A:$A, 0), G$5+1), 0)</f>
        <v>0</v>
      </c>
      <c r="H170" s="17" cm="1">
        <f t="array" aca="1" ref="H170" ca="1">IFERROR(INDEX('AI Stack'!$D:$AC, MATCH("Blended IRR", 'AI Stack'!$A:$A, 0), H$5+1), 0)</f>
        <v>0</v>
      </c>
      <c r="I170" s="17" cm="1">
        <f t="array" aca="1" ref="I170" ca="1">IFERROR(INDEX('AI Stack'!$D:$AC, MATCH("Blended IRR", 'AI Stack'!$A:$A, 0), I$5+1), 0)</f>
        <v>0</v>
      </c>
      <c r="J170" s="17" cm="1">
        <f t="array" aca="1" ref="J170" ca="1">IFERROR(INDEX('AI Stack'!$D:$AC, MATCH("Blended IRR", 'AI Stack'!$A:$A, 0), J$5+1), 0)</f>
        <v>0</v>
      </c>
      <c r="K170" s="17" cm="1">
        <f t="array" aca="1" ref="K170" ca="1">IFERROR(INDEX('AI Stack'!$D:$AC, MATCH("Blended IRR", 'AI Stack'!$A:$A, 0), K$5+1), 0)</f>
        <v>0</v>
      </c>
      <c r="L170" s="17" cm="1">
        <f t="array" aca="1" ref="L170" ca="1">IFERROR(INDEX('AI Stack'!$D:$AC, MATCH("Blended IRR", 'AI Stack'!$A:$A, 0), L$5+1), 0)</f>
        <v>0</v>
      </c>
      <c r="M170" s="17" cm="1">
        <f t="array" aca="1" ref="M170" ca="1">IFERROR(INDEX('AI Stack'!$D:$AC, MATCH("Blended IRR", 'AI Stack'!$A:$A, 0), M$5+1), 0)</f>
        <v>0</v>
      </c>
      <c r="N170" s="17" cm="1">
        <f t="array" aca="1" ref="N170" ca="1">IFERROR(INDEX('AI Stack'!$D:$AC, MATCH("Blended IRR", 'AI Stack'!$A:$A, 0), N$5+1), 0)</f>
        <v>0</v>
      </c>
      <c r="O170" s="17" cm="1">
        <f t="array" aca="1" ref="O170" ca="1">IFERROR(INDEX('AI Stack'!$D:$AC, MATCH("Blended IRR", 'AI Stack'!$A:$A, 0), O$5+1), 0)</f>
        <v>0</v>
      </c>
      <c r="P170" s="17" cm="1">
        <f t="array" aca="1" ref="P170" ca="1">IFERROR(INDEX('AI Stack'!$D:$AC, MATCH("Blended IRR", 'AI Stack'!$A:$A, 0), P$5+1), 0)</f>
        <v>0</v>
      </c>
      <c r="Q170" s="17" cm="1">
        <f t="array" aca="1" ref="Q170" ca="1">IFERROR(INDEX('AI Stack'!$D:$AC, MATCH("Blended IRR", 'AI Stack'!$A:$A, 0), Q$5+1), 0)</f>
        <v>0</v>
      </c>
      <c r="R170" s="17" cm="1">
        <f t="array" aca="1" ref="R170" ca="1">IFERROR(INDEX('AI Stack'!$D:$AC, MATCH("Blended IRR", 'AI Stack'!$A:$A, 0), R$5+1), 0)</f>
        <v>0</v>
      </c>
      <c r="S170" s="17" cm="1">
        <f t="array" aca="1" ref="S170" ca="1">IFERROR(INDEX('AI Stack'!$D:$AC, MATCH("Blended IRR", 'AI Stack'!$A:$A, 0), S$5+1), 0)</f>
        <v>0</v>
      </c>
      <c r="T170" s="17" cm="1">
        <f t="array" aca="1" ref="T170" ca="1">IFERROR(INDEX('AI Stack'!$D:$AC, MATCH("Blended IRR", 'AI Stack'!$A:$A, 0), T$5+1), 0)</f>
        <v>0</v>
      </c>
      <c r="U170" s="17" cm="1">
        <f t="array" aca="1" ref="U170" ca="1">IFERROR(INDEX('AI Stack'!$D:$AC, MATCH("Blended IRR", 'AI Stack'!$A:$A, 0), U$5+1), 0)</f>
        <v>0</v>
      </c>
      <c r="V170" s="17" cm="1">
        <f t="array" aca="1" ref="V170" ca="1">IFERROR(INDEX('AI Stack'!$D:$AC, MATCH("Blended IRR", 'AI Stack'!$A:$A, 0), V$5+1), 0)</f>
        <v>0</v>
      </c>
      <c r="W170" s="17" cm="1">
        <f t="array" aca="1" ref="W170" ca="1">IFERROR(INDEX('AI Stack'!$D:$AC, MATCH("Blended IRR", 'AI Stack'!$A:$A, 0), W$5+1), 0)</f>
        <v>0</v>
      </c>
      <c r="X170" s="17" cm="1">
        <f t="array" aca="1" ref="X170" ca="1">IFERROR(INDEX('AI Stack'!$D:$AC, MATCH("Blended IRR", 'AI Stack'!$A:$A, 0), X$5+1), 0)</f>
        <v>0</v>
      </c>
      <c r="Y170" s="17" cm="1">
        <f t="array" aca="1" ref="Y170" ca="1">IFERROR(INDEX('AI Stack'!$D:$AC, MATCH("Blended IRR", 'AI Stack'!$A:$A, 0), Y$5+1), 0)</f>
        <v>0</v>
      </c>
      <c r="Z170" s="17" cm="1">
        <f t="array" aca="1" ref="Z170" ca="1">IFERROR(INDEX('AI Stack'!$D:$AC, MATCH("Blended IRR", 'AI Stack'!$A:$A, 0), Z$5+1), 0)</f>
        <v>0</v>
      </c>
      <c r="AA170" s="17" cm="1">
        <f t="array" aca="1" ref="AA170" ca="1">IFERROR(INDEX('AI Stack'!$D:$AC, MATCH("Blended IRR", 'AI Stack'!$A:$A, 0), AA$5+1), 0)</f>
        <v>0</v>
      </c>
      <c r="AB170" s="17" cm="1">
        <f t="array" aca="1" ref="AB170" ca="1">IFERROR(INDEX('AI Stack'!$D:$AC, MATCH("Blended IRR", 'AI Stack'!$A:$A, 0), AB$5+1), 0)</f>
        <v>0</v>
      </c>
      <c r="AC170" s="17" cm="1">
        <f t="array" aca="1" ref="AC170" ca="1">IFERROR(INDEX('AI Stack'!$D:$AC, MATCH("Blended IRR", 'AI Stack'!$A:$A, 0), AC$5+1), 0)</f>
        <v>0</v>
      </c>
    </row>
    <row r="171" spans="1:29" x14ac:dyDescent="0.2">
      <c r="A171" t="s">
        <v>1501</v>
      </c>
      <c r="D171" s="17">
        <f>0</f>
        <v>0</v>
      </c>
      <c r="E171" s="17">
        <f>0</f>
        <v>0</v>
      </c>
      <c r="F171" s="17">
        <f>0</f>
        <v>0</v>
      </c>
      <c r="G171" s="17">
        <f>0</f>
        <v>0</v>
      </c>
      <c r="H171" s="17">
        <f>0</f>
        <v>0</v>
      </c>
      <c r="I171" s="17">
        <f>0</f>
        <v>0</v>
      </c>
      <c r="J171" s="17">
        <f>0</f>
        <v>0</v>
      </c>
      <c r="K171" s="17">
        <f>0</f>
        <v>0</v>
      </c>
      <c r="L171" s="17">
        <f>0</f>
        <v>0</v>
      </c>
      <c r="M171" s="17">
        <f>0</f>
        <v>0</v>
      </c>
      <c r="N171" s="17">
        <f>0</f>
        <v>0</v>
      </c>
      <c r="O171" s="17">
        <f>0</f>
        <v>0</v>
      </c>
      <c r="P171" s="17">
        <f>0</f>
        <v>0</v>
      </c>
      <c r="Q171" s="17">
        <f>0</f>
        <v>0</v>
      </c>
      <c r="R171" s="17">
        <f>0</f>
        <v>0</v>
      </c>
      <c r="S171" s="17">
        <f>0</f>
        <v>0</v>
      </c>
      <c r="T171" s="17">
        <f>0</f>
        <v>0</v>
      </c>
      <c r="U171" s="17">
        <f>0</f>
        <v>0</v>
      </c>
      <c r="V171" s="17">
        <f>0</f>
        <v>0</v>
      </c>
      <c r="W171" s="17">
        <f>0</f>
        <v>0</v>
      </c>
      <c r="X171" s="17">
        <f>0</f>
        <v>0</v>
      </c>
      <c r="Y171" s="17">
        <f>0</f>
        <v>0</v>
      </c>
      <c r="Z171" s="17">
        <f>0</f>
        <v>0</v>
      </c>
      <c r="AA171" s="17">
        <f>0</f>
        <v>0</v>
      </c>
      <c r="AB171" s="17">
        <f>0</f>
        <v>0</v>
      </c>
      <c r="AC171" s="17">
        <f>0</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FC02-6132-614D-BCD7-E97F6B6651F1}">
  <dimension ref="A4:AC80"/>
  <sheetViews>
    <sheetView workbookViewId="0">
      <selection activeCell="O39" sqref="O39"/>
    </sheetView>
  </sheetViews>
  <sheetFormatPr baseColWidth="10" defaultRowHeight="16" x14ac:dyDescent="0.2"/>
  <cols>
    <col min="1" max="1" width="30.5" customWidth="1"/>
  </cols>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29" x14ac:dyDescent="0.2">
      <c r="A6" s="20" t="s">
        <v>645</v>
      </c>
    </row>
    <row r="7" spans="1:29" x14ac:dyDescent="0.2">
      <c r="A7" s="21" t="s">
        <v>646</v>
      </c>
    </row>
    <row r="8" spans="1:29" x14ac:dyDescent="0.2">
      <c r="A8" t="s">
        <v>654</v>
      </c>
      <c r="D8" s="23">
        <f>INDEX(Assumptions!$B:$B, MATCH("Super Heavy manufacturing cost ($mm/unit, base year)", Assumptions!$A:$A, 0))</f>
        <v>54</v>
      </c>
      <c r="E8" s="23">
        <f t="shared" ref="E8:AC8" si="0">$D$8</f>
        <v>54</v>
      </c>
      <c r="F8" s="23">
        <f t="shared" si="0"/>
        <v>54</v>
      </c>
      <c r="G8" s="23">
        <f t="shared" si="0"/>
        <v>54</v>
      </c>
      <c r="H8" s="23">
        <f t="shared" si="0"/>
        <v>54</v>
      </c>
      <c r="I8" s="23">
        <f t="shared" si="0"/>
        <v>54</v>
      </c>
      <c r="J8" s="23">
        <f t="shared" si="0"/>
        <v>54</v>
      </c>
      <c r="K8" s="23">
        <f t="shared" si="0"/>
        <v>54</v>
      </c>
      <c r="L8" s="23">
        <f t="shared" si="0"/>
        <v>54</v>
      </c>
      <c r="M8" s="23">
        <f t="shared" si="0"/>
        <v>54</v>
      </c>
      <c r="N8" s="23">
        <f t="shared" si="0"/>
        <v>54</v>
      </c>
      <c r="O8" s="23">
        <f t="shared" si="0"/>
        <v>54</v>
      </c>
      <c r="P8" s="23">
        <f t="shared" si="0"/>
        <v>54</v>
      </c>
      <c r="Q8" s="23">
        <f t="shared" si="0"/>
        <v>54</v>
      </c>
      <c r="R8" s="23">
        <f t="shared" si="0"/>
        <v>54</v>
      </c>
      <c r="S8" s="23">
        <f t="shared" si="0"/>
        <v>54</v>
      </c>
      <c r="T8" s="23">
        <f t="shared" si="0"/>
        <v>54</v>
      </c>
      <c r="U8" s="23">
        <f t="shared" si="0"/>
        <v>54</v>
      </c>
      <c r="V8" s="23">
        <f t="shared" si="0"/>
        <v>54</v>
      </c>
      <c r="W8" s="23">
        <f t="shared" si="0"/>
        <v>54</v>
      </c>
      <c r="X8" s="23">
        <f t="shared" si="0"/>
        <v>54</v>
      </c>
      <c r="Y8" s="23">
        <f t="shared" si="0"/>
        <v>54</v>
      </c>
      <c r="Z8" s="23">
        <f t="shared" si="0"/>
        <v>54</v>
      </c>
      <c r="AA8" s="23">
        <f t="shared" si="0"/>
        <v>54</v>
      </c>
      <c r="AB8" s="23">
        <f t="shared" si="0"/>
        <v>54</v>
      </c>
      <c r="AC8" s="23">
        <f t="shared" si="0"/>
        <v>54</v>
      </c>
    </row>
    <row r="9" spans="1:29" x14ac:dyDescent="0.2">
      <c r="A9" t="s">
        <v>655</v>
      </c>
      <c r="D9" s="23">
        <f>INDEX(Assumptions!$B:$B, MATCH("Starship 2nd-stage manufacturing cost ($mm/unit, base)", Assumptions!$A:$A, 0))</f>
        <v>36</v>
      </c>
      <c r="E9" s="23">
        <f t="shared" ref="E9:AC9" si="1">$D$9</f>
        <v>36</v>
      </c>
      <c r="F9" s="23">
        <f t="shared" si="1"/>
        <v>36</v>
      </c>
      <c r="G9" s="23">
        <f t="shared" si="1"/>
        <v>36</v>
      </c>
      <c r="H9" s="23">
        <f t="shared" si="1"/>
        <v>36</v>
      </c>
      <c r="I9" s="23">
        <f t="shared" si="1"/>
        <v>36</v>
      </c>
      <c r="J9" s="23">
        <f t="shared" si="1"/>
        <v>36</v>
      </c>
      <c r="K9" s="23">
        <f t="shared" si="1"/>
        <v>36</v>
      </c>
      <c r="L9" s="23">
        <f t="shared" si="1"/>
        <v>36</v>
      </c>
      <c r="M9" s="23">
        <f t="shared" si="1"/>
        <v>36</v>
      </c>
      <c r="N9" s="23">
        <f t="shared" si="1"/>
        <v>36</v>
      </c>
      <c r="O9" s="23">
        <f t="shared" si="1"/>
        <v>36</v>
      </c>
      <c r="P9" s="23">
        <f t="shared" si="1"/>
        <v>36</v>
      </c>
      <c r="Q9" s="23">
        <f t="shared" si="1"/>
        <v>36</v>
      </c>
      <c r="R9" s="23">
        <f t="shared" si="1"/>
        <v>36</v>
      </c>
      <c r="S9" s="23">
        <f t="shared" si="1"/>
        <v>36</v>
      </c>
      <c r="T9" s="23">
        <f t="shared" si="1"/>
        <v>36</v>
      </c>
      <c r="U9" s="23">
        <f t="shared" si="1"/>
        <v>36</v>
      </c>
      <c r="V9" s="23">
        <f t="shared" si="1"/>
        <v>36</v>
      </c>
      <c r="W9" s="23">
        <f t="shared" si="1"/>
        <v>36</v>
      </c>
      <c r="X9" s="23">
        <f t="shared" si="1"/>
        <v>36</v>
      </c>
      <c r="Y9" s="23">
        <f t="shared" si="1"/>
        <v>36</v>
      </c>
      <c r="Z9" s="23">
        <f t="shared" si="1"/>
        <v>36</v>
      </c>
      <c r="AA9" s="23">
        <f t="shared" si="1"/>
        <v>36</v>
      </c>
      <c r="AB9" s="23">
        <f t="shared" si="1"/>
        <v>36</v>
      </c>
      <c r="AC9" s="23">
        <f t="shared" si="1"/>
        <v>36</v>
      </c>
    </row>
    <row r="10" spans="1:29" x14ac:dyDescent="0.2">
      <c r="D10" s="17"/>
    </row>
    <row r="11" spans="1:29" x14ac:dyDescent="0.2">
      <c r="A11" t="s">
        <v>68</v>
      </c>
      <c r="D11" s="15">
        <f>INDEX(Assumptions!$B:$B, MATCH("Payload — booster-only mode (kg-to-LEO)", Assumptions!$A:$A, 0))</f>
        <v>150000</v>
      </c>
    </row>
    <row r="12" spans="1:29" x14ac:dyDescent="0.2">
      <c r="A12" t="s">
        <v>71</v>
      </c>
      <c r="D12" s="15">
        <f>INDEX(Assumptions!$B:$B, MATCH("Payload — fully reusable mode (kg-to-LEO)", Assumptions!$A:$A, 0))</f>
        <v>100000</v>
      </c>
    </row>
    <row r="13" spans="1:29" x14ac:dyDescent="0.2">
      <c r="A13" t="s">
        <v>73</v>
      </c>
      <c r="D13" s="15">
        <f>INDEX(Assumptions!$B:$B, MATCH("Lifetime reuses per ship (cap)", Assumptions!$A:$A, 0))</f>
        <v>30</v>
      </c>
    </row>
    <row r="14" spans="1:29" x14ac:dyDescent="0.2">
      <c r="A14" t="s">
        <v>75</v>
      </c>
      <c r="D14" s="17">
        <f>INDEX(Assumptions!$B:$B, MATCH("Manufacturing learning rate (per doubling of cum units)", Assumptions!$A:$A, 0))</f>
        <v>0.1</v>
      </c>
    </row>
    <row r="15" spans="1:29" x14ac:dyDescent="0.2">
      <c r="A15" t="s">
        <v>85</v>
      </c>
      <c r="D15" s="15">
        <f>INDEX(Assumptions!$B:$B, MATCH("Cadence ceiling (flights/booster/year)", Assumptions!$A:$A, 0))</f>
        <v>60</v>
      </c>
    </row>
    <row r="16" spans="1:29" x14ac:dyDescent="0.2">
      <c r="A16" t="s">
        <v>80</v>
      </c>
      <c r="D16" s="17">
        <f>INDEX(Assumptions!$B:$B, MATCH("WL learning rate — turnaround vs cum upmass doubling", Assumptions!$A:$A, 0))</f>
        <v>0.14499999999999999</v>
      </c>
    </row>
    <row r="17" spans="1:29" x14ac:dyDescent="0.2">
      <c r="A17" t="s">
        <v>83</v>
      </c>
      <c r="D17" s="24">
        <f>INDEX(Assumptions!$B:$B, MATCH("Anchor year for cum-upmass Wright's Law", Assumptions!$A:$A, 0))</f>
        <v>2025</v>
      </c>
    </row>
    <row r="19" spans="1:29" x14ac:dyDescent="0.2">
      <c r="A19" s="21" t="s">
        <v>647</v>
      </c>
    </row>
    <row r="20" spans="1:29" x14ac:dyDescent="0.2">
      <c r="A20" t="s">
        <v>90</v>
      </c>
      <c r="D20" s="25" cm="1">
        <f t="array" ref="D20">INDEX(Assumptions!$D:$AC,MATCH("Variant mix (% fully reusable)",Assumptions!$A:$A,0),D$5+1)</f>
        <v>0</v>
      </c>
      <c r="E20" s="25" cm="1">
        <f t="array" ref="E20">INDEX(Assumptions!$D:$AC,MATCH("Variant mix (% fully reusable)",Assumptions!$A:$A,0),E$5+1)</f>
        <v>0</v>
      </c>
      <c r="F20" s="25" cm="1">
        <f t="array" ref="F20">INDEX(Assumptions!$D:$AC,MATCH("Variant mix (% fully reusable)",Assumptions!$A:$A,0),F$5+1)</f>
        <v>1</v>
      </c>
      <c r="G20" s="25" cm="1">
        <f t="array" ref="G20">INDEX(Assumptions!$D:$AC,MATCH("Variant mix (% fully reusable)",Assumptions!$A:$A,0),G$5+1)</f>
        <v>1</v>
      </c>
      <c r="H20" s="25" cm="1">
        <f t="array" ref="H20">INDEX(Assumptions!$D:$AC,MATCH("Variant mix (% fully reusable)",Assumptions!$A:$A,0),H$5+1)</f>
        <v>1</v>
      </c>
      <c r="I20" s="25" cm="1">
        <f t="array" ref="I20">INDEX(Assumptions!$D:$AC,MATCH("Variant mix (% fully reusable)",Assumptions!$A:$A,0),I$5+1)</f>
        <v>1</v>
      </c>
      <c r="J20" s="25" cm="1">
        <f t="array" ref="J20">INDEX(Assumptions!$D:$AC,MATCH("Variant mix (% fully reusable)",Assumptions!$A:$A,0),J$5+1)</f>
        <v>1</v>
      </c>
      <c r="K20" s="25" cm="1">
        <f t="array" ref="K20">INDEX(Assumptions!$D:$AC,MATCH("Variant mix (% fully reusable)",Assumptions!$A:$A,0),K$5+1)</f>
        <v>1</v>
      </c>
      <c r="L20" s="25" cm="1">
        <f t="array" ref="L20">INDEX(Assumptions!$D:$AC,MATCH("Variant mix (% fully reusable)",Assumptions!$A:$A,0),L$5+1)</f>
        <v>1</v>
      </c>
      <c r="M20" s="25" cm="1">
        <f t="array" ref="M20">INDEX(Assumptions!$D:$AC,MATCH("Variant mix (% fully reusable)",Assumptions!$A:$A,0),M$5+1)</f>
        <v>1</v>
      </c>
      <c r="N20" s="25" cm="1">
        <f t="array" ref="N20">INDEX(Assumptions!$D:$AC,MATCH("Variant mix (% fully reusable)",Assumptions!$A:$A,0),N$5+1)</f>
        <v>1</v>
      </c>
      <c r="O20" s="25" cm="1">
        <f t="array" ref="O20">INDEX(Assumptions!$D:$AC,MATCH("Variant mix (% fully reusable)",Assumptions!$A:$A,0),O$5+1)</f>
        <v>1</v>
      </c>
      <c r="P20" s="25" cm="1">
        <f t="array" ref="P20">INDEX(Assumptions!$D:$AC,MATCH("Variant mix (% fully reusable)",Assumptions!$A:$A,0),P$5+1)</f>
        <v>1</v>
      </c>
      <c r="Q20" s="25" cm="1">
        <f t="array" ref="Q20">INDEX(Assumptions!$D:$AC,MATCH("Variant mix (% fully reusable)",Assumptions!$A:$A,0),Q$5+1)</f>
        <v>1</v>
      </c>
      <c r="R20" s="25" cm="1">
        <f t="array" ref="R20">INDEX(Assumptions!$D:$AC,MATCH("Variant mix (% fully reusable)",Assumptions!$A:$A,0),R$5+1)</f>
        <v>1</v>
      </c>
      <c r="S20" s="25" cm="1">
        <f t="array" ref="S20">INDEX(Assumptions!$D:$AC,MATCH("Variant mix (% fully reusable)",Assumptions!$A:$A,0),S$5+1)</f>
        <v>1</v>
      </c>
      <c r="T20" s="25" cm="1">
        <f t="array" ref="T20">INDEX(Assumptions!$D:$AC,MATCH("Variant mix (% fully reusable)",Assumptions!$A:$A,0),T$5+1)</f>
        <v>1</v>
      </c>
      <c r="U20" s="25" cm="1">
        <f t="array" ref="U20">INDEX(Assumptions!$D:$AC,MATCH("Variant mix (% fully reusable)",Assumptions!$A:$A,0),U$5+1)</f>
        <v>1</v>
      </c>
      <c r="V20" s="25" cm="1">
        <f t="array" ref="V20">INDEX(Assumptions!$D:$AC,MATCH("Variant mix (% fully reusable)",Assumptions!$A:$A,0),V$5+1)</f>
        <v>1</v>
      </c>
      <c r="W20" s="25" cm="1">
        <f t="array" ref="W20">INDEX(Assumptions!$D:$AC,MATCH("Variant mix (% fully reusable)",Assumptions!$A:$A,0),W$5+1)</f>
        <v>1</v>
      </c>
      <c r="X20" s="25" cm="1">
        <f t="array" ref="X20">INDEX(Assumptions!$D:$AC,MATCH("Variant mix (% fully reusable)",Assumptions!$A:$A,0),X$5+1)</f>
        <v>1</v>
      </c>
      <c r="Y20" s="25" cm="1">
        <f t="array" ref="Y20">INDEX(Assumptions!$D:$AC,MATCH("Variant mix (% fully reusable)",Assumptions!$A:$A,0),Y$5+1)</f>
        <v>1</v>
      </c>
      <c r="Z20" s="25" cm="1">
        <f t="array" ref="Z20">INDEX(Assumptions!$D:$AC,MATCH("Variant mix (% fully reusable)",Assumptions!$A:$A,0),Z$5+1)</f>
        <v>1</v>
      </c>
      <c r="AA20" s="25" cm="1">
        <f t="array" ref="AA20">INDEX(Assumptions!$D:$AC,MATCH("Variant mix (% fully reusable)",Assumptions!$A:$A,0),AA$5+1)</f>
        <v>1</v>
      </c>
      <c r="AB20" s="25" cm="1">
        <f t="array" ref="AB20">INDEX(Assumptions!$D:$AC,MATCH("Variant mix (% fully reusable)",Assumptions!$A:$A,0),AB$5+1)</f>
        <v>1</v>
      </c>
      <c r="AC20" s="25" cm="1">
        <f t="array" ref="AC20">INDEX(Assumptions!$D:$AC,MATCH("Variant mix (% fully reusable)",Assumptions!$A:$A,0),AC$5+1)</f>
        <v>1</v>
      </c>
    </row>
    <row r="21" spans="1:29" x14ac:dyDescent="0.2">
      <c r="A21" t="s">
        <v>93</v>
      </c>
      <c r="D21" s="24" cm="1">
        <f t="array" ref="D21">INDEX(Assumptions!$D:$AC,MATCH("Lifetime reuses per booster (year cap)",Assumptions!$A:$A,0),D$5+1)</f>
        <v>5</v>
      </c>
      <c r="E21" s="24" cm="1">
        <f t="array" ref="E21">INDEX(Assumptions!$D:$AC,MATCH("Lifetime reuses per booster (year cap)",Assumptions!$A:$A,0),E$5+1)</f>
        <v>8</v>
      </c>
      <c r="F21" s="24" cm="1">
        <f t="array" ref="F21">INDEX(Assumptions!$D:$AC,MATCH("Lifetime reuses per booster (year cap)",Assumptions!$A:$A,0),F$5+1)</f>
        <v>12</v>
      </c>
      <c r="G21" s="24" cm="1">
        <f t="array" ref="G21">INDEX(Assumptions!$D:$AC,MATCH("Lifetime reuses per booster (year cap)",Assumptions!$A:$A,0),G$5+1)</f>
        <v>18</v>
      </c>
      <c r="H21" s="24" cm="1">
        <f t="array" ref="H21">INDEX(Assumptions!$D:$AC,MATCH("Lifetime reuses per booster (year cap)",Assumptions!$A:$A,0),H$5+1)</f>
        <v>25</v>
      </c>
      <c r="I21" s="24" cm="1">
        <f t="array" ref="I21">INDEX(Assumptions!$D:$AC,MATCH("Lifetime reuses per booster (year cap)",Assumptions!$A:$A,0),I$5+1)</f>
        <v>30</v>
      </c>
      <c r="J21" s="24" cm="1">
        <f t="array" ref="J21">INDEX(Assumptions!$D:$AC,MATCH("Lifetime reuses per booster (year cap)",Assumptions!$A:$A,0),J$5+1)</f>
        <v>35</v>
      </c>
      <c r="K21" s="24" cm="1">
        <f t="array" ref="K21">INDEX(Assumptions!$D:$AC,MATCH("Lifetime reuses per booster (year cap)",Assumptions!$A:$A,0),K$5+1)</f>
        <v>42</v>
      </c>
      <c r="L21" s="24" cm="1">
        <f t="array" ref="L21">INDEX(Assumptions!$D:$AC,MATCH("Lifetime reuses per booster (year cap)",Assumptions!$A:$A,0),L$5+1)</f>
        <v>50</v>
      </c>
      <c r="M21" s="24" cm="1">
        <f t="array" ref="M21">INDEX(Assumptions!$D:$AC,MATCH("Lifetime reuses per booster (year cap)",Assumptions!$A:$A,0),M$5+1)</f>
        <v>58</v>
      </c>
      <c r="N21" s="24" cm="1">
        <f t="array" ref="N21">INDEX(Assumptions!$D:$AC,MATCH("Lifetime reuses per booster (year cap)",Assumptions!$A:$A,0),N$5+1)</f>
        <v>65</v>
      </c>
      <c r="O21" s="24" cm="1">
        <f t="array" ref="O21">INDEX(Assumptions!$D:$AC,MATCH("Lifetime reuses per booster (year cap)",Assumptions!$A:$A,0),O$5+1)</f>
        <v>70</v>
      </c>
      <c r="P21" s="24" cm="1">
        <f t="array" ref="P21">INDEX(Assumptions!$D:$AC,MATCH("Lifetime reuses per booster (year cap)",Assumptions!$A:$A,0),P$5+1)</f>
        <v>75</v>
      </c>
      <c r="Q21" s="24" cm="1">
        <f t="array" ref="Q21">INDEX(Assumptions!$D:$AC,MATCH("Lifetime reuses per booster (year cap)",Assumptions!$A:$A,0),Q$5+1)</f>
        <v>80</v>
      </c>
      <c r="R21" s="24" cm="1">
        <f t="array" ref="R21">INDEX(Assumptions!$D:$AC,MATCH("Lifetime reuses per booster (year cap)",Assumptions!$A:$A,0),R$5+1)</f>
        <v>85</v>
      </c>
      <c r="S21" s="24" cm="1">
        <f t="array" ref="S21">INDEX(Assumptions!$D:$AC,MATCH("Lifetime reuses per booster (year cap)",Assumptions!$A:$A,0),S$5+1)</f>
        <v>90</v>
      </c>
      <c r="T21" s="24" cm="1">
        <f t="array" ref="T21">INDEX(Assumptions!$D:$AC,MATCH("Lifetime reuses per booster (year cap)",Assumptions!$A:$A,0),T$5+1)</f>
        <v>92</v>
      </c>
      <c r="U21" s="24" cm="1">
        <f t="array" ref="U21">INDEX(Assumptions!$D:$AC,MATCH("Lifetime reuses per booster (year cap)",Assumptions!$A:$A,0),U$5+1)</f>
        <v>94</v>
      </c>
      <c r="V21" s="24" cm="1">
        <f t="array" ref="V21">INDEX(Assumptions!$D:$AC,MATCH("Lifetime reuses per booster (year cap)",Assumptions!$A:$A,0),V$5+1)</f>
        <v>96</v>
      </c>
      <c r="W21" s="24" cm="1">
        <f t="array" ref="W21">INDEX(Assumptions!$D:$AC,MATCH("Lifetime reuses per booster (year cap)",Assumptions!$A:$A,0),W$5+1)</f>
        <v>98</v>
      </c>
      <c r="X21" s="24" cm="1">
        <f t="array" ref="X21">INDEX(Assumptions!$D:$AC,MATCH("Lifetime reuses per booster (year cap)",Assumptions!$A:$A,0),X$5+1)</f>
        <v>100</v>
      </c>
      <c r="Y21" s="24" cm="1">
        <f t="array" ref="Y21">INDEX(Assumptions!$D:$AC,MATCH("Lifetime reuses per booster (year cap)",Assumptions!$A:$A,0),Y$5+1)</f>
        <v>100</v>
      </c>
      <c r="Z21" s="24" cm="1">
        <f t="array" ref="Z21">INDEX(Assumptions!$D:$AC,MATCH("Lifetime reuses per booster (year cap)",Assumptions!$A:$A,0),Z$5+1)</f>
        <v>100</v>
      </c>
      <c r="AA21" s="24" cm="1">
        <f t="array" ref="AA21">INDEX(Assumptions!$D:$AC,MATCH("Lifetime reuses per booster (year cap)",Assumptions!$A:$A,0),AA$5+1)</f>
        <v>100</v>
      </c>
      <c r="AB21" s="24" cm="1">
        <f t="array" ref="AB21">INDEX(Assumptions!$D:$AC,MATCH("Lifetime reuses per booster (year cap)",Assumptions!$A:$A,0),AB$5+1)</f>
        <v>100</v>
      </c>
      <c r="AC21" s="24" cm="1">
        <f t="array" ref="AC21">INDEX(Assumptions!$D:$AC,MATCH("Lifetime reuses per booster (year cap)",Assumptions!$A:$A,0),AC$5+1)</f>
        <v>100</v>
      </c>
    </row>
    <row r="23" spans="1:29" x14ac:dyDescent="0.2">
      <c r="A23" t="s">
        <v>656</v>
      </c>
      <c r="D23" s="26">
        <v>1</v>
      </c>
      <c r="E23" s="26">
        <f>MAX(1,MIN($D$15,(1/INDEX(Assumptions!$B:$B,MATCH("Base turnaround time per booster (years/flight)",Assumptions!$A:$A,0)))*IFERROR((D28/$D$12)^(-LOG(1-$D$16,2)),1)))</f>
        <v>1</v>
      </c>
      <c r="F23" s="26">
        <f ca="1">MAX(1,MIN($D$15,(1/INDEX(Assumptions!$B:$B,MATCH("Base turnaround time per booster (years/flight)",Assumptions!$A:$A,0)))*IFERROR((E28/$D$12)^(-LOG(1-$D$16,2)),1)))</f>
        <v>1</v>
      </c>
      <c r="G23" s="26">
        <f ca="1">MAX(1,MIN($D$15,(1/INDEX(Assumptions!$B:$B,MATCH("Base turnaround time per booster (years/flight)",Assumptions!$A:$A,0)))*IFERROR((F28/$D$12)^(-LOG(1-$D$16,2)),1)))</f>
        <v>1.07565949262947</v>
      </c>
      <c r="H23" s="26">
        <f ca="1">MAX(1,MIN($D$15,(1/INDEX(Assumptions!$B:$B,MATCH("Base turnaround time per booster (years/flight)",Assumptions!$A:$A,0)))*IFERROR((G28/$D$12)^(-LOG(1-$D$16,2)),1)))</f>
        <v>1.3492850434915733</v>
      </c>
      <c r="I23" s="26">
        <f ca="1">MAX(1,MIN($D$15,(1/INDEX(Assumptions!$B:$B,MATCH("Base turnaround time per booster (years/flight)",Assumptions!$A:$A,0)))*IFERROR((H28/$D$12)^(-LOG(1-$D$16,2)),1)))</f>
        <v>1.5866001406864492</v>
      </c>
      <c r="J23" s="26">
        <f ca="1">MAX(1,MIN($D$15,(1/INDEX(Assumptions!$B:$B,MATCH("Base turnaround time per booster (years/flight)",Assumptions!$A:$A,0)))*IFERROR((I28/$D$12)^(-LOG(1-$D$16,2)),1)))</f>
        <v>1.8462294704515936</v>
      </c>
      <c r="K23" s="26">
        <f ca="1">MAX(1,MIN($D$15,(1/INDEX(Assumptions!$B:$B,MATCH("Base turnaround time per booster (years/flight)",Assumptions!$A:$A,0)))*IFERROR((J28/$D$12)^(-LOG(1-$D$16,2)),1)))</f>
        <v>2.0898184953870378</v>
      </c>
      <c r="L23" s="26">
        <f ca="1">MAX(1,MIN($D$15,(1/INDEX(Assumptions!$B:$B,MATCH("Base turnaround time per booster (years/flight)",Assumptions!$A:$A,0)))*IFERROR((K28/$D$12)^(-LOG(1-$D$16,2)),1)))</f>
        <v>2.2934154772328004</v>
      </c>
      <c r="M23" s="26">
        <f ca="1">MAX(1,MIN($D$15,(1/INDEX(Assumptions!$B:$B,MATCH("Base turnaround time per booster (years/flight)",Assumptions!$A:$A,0)))*IFERROR((L28/$D$12)^(-LOG(1-$D$16,2)),1)))</f>
        <v>2.5774363192010901</v>
      </c>
      <c r="N23" s="26">
        <f ca="1">MAX(1,MIN($D$15,(1/INDEX(Assumptions!$B:$B,MATCH("Base turnaround time per booster (years/flight)",Assumptions!$A:$A,0)))*IFERROR((M28/$D$12)^(-LOG(1-$D$16,2)),1)))</f>
        <v>2.7222218557543174</v>
      </c>
      <c r="O23" s="26">
        <f ca="1">MAX(1,MIN($D$15,(1/INDEX(Assumptions!$B:$B,MATCH("Base turnaround time per booster (years/flight)",Assumptions!$A:$A,0)))*IFERROR((N28/$D$12)^(-LOG(1-$D$16,2)),1)))</f>
        <v>2.9673369019277591</v>
      </c>
      <c r="P23" s="26">
        <f ca="1">MAX(1,MIN($D$15,(1/INDEX(Assumptions!$B:$B,MATCH("Base turnaround time per booster (years/flight)",Assumptions!$A:$A,0)))*IFERROR((O28/$D$12)^(-LOG(1-$D$16,2)),1)))</f>
        <v>3.2090631379387409</v>
      </c>
      <c r="Q23" s="26">
        <f ca="1">MAX(1,MIN($D$15,(1/INDEX(Assumptions!$B:$B,MATCH("Base turnaround time per booster (years/flight)",Assumptions!$A:$A,0)))*IFERROR((P28/$D$12)^(-LOG(1-$D$16,2)),1)))</f>
        <v>3.2995454505335933</v>
      </c>
      <c r="R23" s="26">
        <f ca="1">MAX(1,MIN($D$15,(1/INDEX(Assumptions!$B:$B,MATCH("Base turnaround time per booster (years/flight)",Assumptions!$A:$A,0)))*IFERROR((Q28/$D$12)^(-LOG(1-$D$16,2)),1)))</f>
        <v>3.6093794687405358</v>
      </c>
      <c r="S23" s="26">
        <f ca="1">MAX(1,MIN($D$15,(1/INDEX(Assumptions!$B:$B,MATCH("Base turnaround time per booster (years/flight)",Assumptions!$A:$A,0)))*IFERROR((R28/$D$12)^(-LOG(1-$D$16,2)),1)))</f>
        <v>3.6923954639081913</v>
      </c>
      <c r="T23" s="26">
        <f ca="1">MAX(1,MIN($D$15,(1/INDEX(Assumptions!$B:$B,MATCH("Base turnaround time per booster (years/flight)",Assumptions!$A:$A,0)))*IFERROR((S28/$D$12)^(-LOG(1-$D$16,2)),1)))</f>
        <v>3.8718998310977697</v>
      </c>
      <c r="U23" s="26">
        <f ca="1">MAX(1,MIN($D$15,(1/INDEX(Assumptions!$B:$B,MATCH("Base turnaround time per booster (years/flight)",Assumptions!$A:$A,0)))*IFERROR((T28/$D$12)^(-LOG(1-$D$16,2)),1)))</f>
        <v>4.1354811059113858</v>
      </c>
      <c r="V23" s="26">
        <f ca="1">MAX(1,MIN($D$15,(1/INDEX(Assumptions!$B:$B,MATCH("Base turnaround time per booster (years/flight)",Assumptions!$A:$A,0)))*IFERROR((U28/$D$12)^(-LOG(1-$D$16,2)),1)))</f>
        <v>4.1877720466168524</v>
      </c>
      <c r="W23" s="26">
        <f ca="1">MAX(1,MIN($D$15,(1/INDEX(Assumptions!$B:$B,MATCH("Base turnaround time per booster (years/flight)",Assumptions!$A:$A,0)))*IFERROR((V28/$D$12)^(-LOG(1-$D$16,2)),1)))</f>
        <v>4.4858553504163829</v>
      </c>
      <c r="X23" s="26">
        <f ca="1">MAX(1,MIN($D$15,(1/INDEX(Assumptions!$B:$B,MATCH("Base turnaround time per booster (years/flight)",Assumptions!$A:$A,0)))*IFERROR((W28/$D$12)^(-LOG(1-$D$16,2)),1)))</f>
        <v>4.5529842020039464</v>
      </c>
      <c r="Y23" s="26">
        <f ca="1">MAX(1,MIN($D$15,(1/INDEX(Assumptions!$B:$B,MATCH("Base turnaround time per booster (years/flight)",Assumptions!$A:$A,0)))*IFERROR((X28/$D$12)^(-LOG(1-$D$16,2)),1)))</f>
        <v>4.6279999858531369</v>
      </c>
      <c r="Z23" s="26">
        <f ca="1">MAX(1,MIN($D$15,(1/INDEX(Assumptions!$B:$B,MATCH("Base turnaround time per booster (years/flight)",Assumptions!$A:$A,0)))*IFERROR((Y28/$D$12)^(-LOG(1-$D$16,2)),1)))</f>
        <v>4.9256378026244212</v>
      </c>
      <c r="AA23" s="26">
        <f ca="1">MAX(1,MIN($D$15,(1/INDEX(Assumptions!$B:$B,MATCH("Base turnaround time per booster (years/flight)",Assumptions!$A:$A,0)))*IFERROR((Z28/$D$12)^(-LOG(1-$D$16,2)),1)))</f>
        <v>4.9635064075375466</v>
      </c>
      <c r="AB23" s="26">
        <f ca="1">MAX(1,MIN($D$15,(1/INDEX(Assumptions!$B:$B,MATCH("Base turnaround time per booster (years/flight)",Assumptions!$A:$A,0)))*IFERROR((AA28/$D$12)^(-LOG(1-$D$16,2)),1)))</f>
        <v>5.247929673388259</v>
      </c>
      <c r="AC23" s="26">
        <f ca="1">MAX(1,MIN($D$15,(1/INDEX(Assumptions!$B:$B,MATCH("Base turnaround time per booster (years/flight)",Assumptions!$A:$A,0)))*IFERROR((AB28/$D$12)^(-LOG(1-$D$16,2)),1)))</f>
        <v>5.3151933236415436</v>
      </c>
    </row>
    <row r="24" spans="1:29" x14ac:dyDescent="0.2">
      <c r="A24" t="s">
        <v>657</v>
      </c>
      <c r="D24" s="15">
        <v>0</v>
      </c>
      <c r="E24">
        <f ca="1">D27</f>
        <v>1.6137040493383638E-3</v>
      </c>
      <c r="F24">
        <f t="shared" ref="F24:AC24" ca="1" si="2">E27</f>
        <v>0.92271690594783284</v>
      </c>
      <c r="G24">
        <f t="shared" ca="1" si="2"/>
        <v>2.3217286773745185</v>
      </c>
      <c r="H24">
        <f t="shared" ca="1" si="2"/>
        <v>3.9222857468018697</v>
      </c>
      <c r="I24">
        <f t="shared" ca="1" si="2"/>
        <v>4.9470428187006821</v>
      </c>
      <c r="J24">
        <f t="shared" ca="1" si="2"/>
        <v>7.2472479219446431</v>
      </c>
      <c r="K24">
        <f t="shared" ca="1" si="2"/>
        <v>8.554954552958435</v>
      </c>
      <c r="L24">
        <f t="shared" ca="1" si="2"/>
        <v>7.9459869003421977</v>
      </c>
      <c r="M24">
        <f t="shared" ca="1" si="2"/>
        <v>16.051754625383879</v>
      </c>
      <c r="N24">
        <f t="shared" ca="1" si="2"/>
        <v>7.8470507828440166</v>
      </c>
      <c r="O24">
        <f t="shared" ca="1" si="2"/>
        <v>18.134138674540552</v>
      </c>
      <c r="P24">
        <f t="shared" ca="1" si="2"/>
        <v>20.25523326439459</v>
      </c>
      <c r="Q24">
        <f t="shared" ca="1" si="2"/>
        <v>7.8206277940486455</v>
      </c>
      <c r="R24">
        <f t="shared" ca="1" si="2"/>
        <v>33.653805329645657</v>
      </c>
      <c r="S24">
        <f t="shared" ca="1" si="2"/>
        <v>9.3192452748500294</v>
      </c>
      <c r="T24">
        <f t="shared" ca="1" si="2"/>
        <v>23.502664188542802</v>
      </c>
      <c r="U24">
        <f t="shared" ca="1" si="2"/>
        <v>38.910581776161749</v>
      </c>
      <c r="V24">
        <f t="shared" ca="1" si="2"/>
        <v>7.9442793967442729</v>
      </c>
      <c r="W24">
        <f t="shared" ca="1" si="2"/>
        <v>52.916609180615907</v>
      </c>
      <c r="X24">
        <f t="shared" ca="1" si="2"/>
        <v>12.315729591453842</v>
      </c>
      <c r="Y24">
        <f t="shared" ca="1" si="2"/>
        <v>14.352337292632079</v>
      </c>
      <c r="Z24">
        <f t="shared" ca="1" si="2"/>
        <v>65.360904069995001</v>
      </c>
      <c r="AA24">
        <f t="shared" ca="1" si="2"/>
        <v>8.5815375993662482</v>
      </c>
      <c r="AB24">
        <f t="shared" ca="1" si="2"/>
        <v>73.02601991211445</v>
      </c>
      <c r="AC24">
        <f t="shared" ca="1" si="2"/>
        <v>17.731530334406077</v>
      </c>
    </row>
    <row r="25" spans="1:29" x14ac:dyDescent="0.2">
      <c r="A25" t="s">
        <v>658</v>
      </c>
      <c r="D25" s="15" cm="1">
        <f t="array" aca="1" ref="D25" ca="1">IFERROR(INDEX(Allocator!$D:$AC, MATCH("Vehicle build claim ($mm)", Allocator!$A:$A, 0), D$5+1) / (D8 + D9), 0)</f>
        <v>0</v>
      </c>
      <c r="E25" cm="1">
        <f t="array" aca="1" ref="E25" ca="1">IFERROR(INDEX(Allocator!$D:$AC, MATCH("Vehicle build claim ($mm)", Allocator!$A:$A, 0), E$5+1) / (E8 + E9), 0)</f>
        <v>0.9301222340855182</v>
      </c>
      <c r="F25" cm="1">
        <f t="array" aca="1" ref="F25" ca="1">IFERROR(INDEX(Allocator!$D:$AC, MATCH("Vehicle build claim ($mm)", Allocator!$A:$A, 0), F$5+1) / (F8 + F9), 0)</f>
        <v>1.4109562005150853</v>
      </c>
      <c r="G25" cm="1">
        <f t="array" aca="1" ref="G25" ca="1">IFERROR(INDEX(Allocator!$D:$AC, MATCH("Vehicle build claim ($mm)", Allocator!$A:$A, 0), G$5+1) / (G8 + G9), 0)</f>
        <v>1.4054275392472635</v>
      </c>
      <c r="H25" cm="1">
        <f t="array" aca="1" ref="H25" ca="1">IFERROR(INDEX(Allocator!$D:$AC, MATCH("Vehicle build claim ($mm)", Allocator!$A:$A, 0), H$5+1) / (H8 + H9), 0)</f>
        <v>1.6963784891071745</v>
      </c>
      <c r="I25" cm="1">
        <f t="array" aca="1" ref="I25" ca="1">IFERROR(INDEX(Allocator!$D:$AC, MATCH("Vehicle build claim ($mm)", Allocator!$A:$A, 0), I$5+1) / (I8 + I9), 0)</f>
        <v>1.0878853097839138</v>
      </c>
      <c r="J25" cm="1">
        <f t="array" aca="1" ref="J25" ca="1">IFERROR(INDEX(Allocator!$D:$AC, MATCH("Vehicle build claim ($mm)", Allocator!$A:$A, 0), J$5+1) / (J8 + J9), 0)</f>
        <v>2.0557771314053981</v>
      </c>
      <c r="K25" cm="1">
        <f t="array" aca="1" ref="K25" ca="1">IFERROR(INDEX(Allocator!$D:$AC, MATCH("Vehicle build claim ($mm)", Allocator!$A:$A, 0), K$5+1) / (K8 + K9), 0)</f>
        <v>1.6914836830037101</v>
      </c>
      <c r="L25" cm="1">
        <f t="array" aca="1" ref="L25" ca="1">IFERROR(INDEX(Allocator!$D:$AC, MATCH("Vehicle build claim ($mm)", Allocator!$A:$A, 0), L$5+1) / (L8 + L9), 0)</f>
        <v>0.40304185319132091</v>
      </c>
      <c r="M25" cm="1">
        <f t="array" aca="1" ref="M25" ca="1">IFERROR(INDEX(Allocator!$D:$AC, MATCH("Vehicle build claim ($mm)", Allocator!$A:$A, 0), M$5+1) / (M8 + M9), 0)</f>
        <v>3.4574325073439209</v>
      </c>
      <c r="N25" cm="1">
        <f t="array" aca="1" ref="N25" ca="1">IFERROR(INDEX(Allocator!$D:$AC, MATCH("Vehicle build claim ($mm)", Allocator!$A:$A, 0), N$5+1) / (N8 + N9), 0)</f>
        <v>0</v>
      </c>
      <c r="O25" cm="1">
        <f t="array" aca="1" ref="O25" ca="1">IFERROR(INDEX(Allocator!$D:$AC, MATCH("Vehicle build claim ($mm)", Allocator!$A:$A, 0), O$5+1) / (O8 + O9), 0)</f>
        <v>3.1173853588161813</v>
      </c>
      <c r="P25" cm="1">
        <f t="array" aca="1" ref="P25" ca="1">IFERROR(INDEX(Allocator!$D:$AC, MATCH("Vehicle build claim ($mm)", Allocator!$A:$A, 0), P$5+1) / (P8 + P9), 0)</f>
        <v>1.7300826432372551</v>
      </c>
      <c r="Q25" cm="1">
        <f t="array" aca="1" ref="Q25" ca="1">IFERROR(INDEX(Allocator!$D:$AC, MATCH("Vehicle build claim ($mm)", Allocator!$A:$A, 0), Q$5+1) / (Q8 + Q9), 0)</f>
        <v>0</v>
      </c>
      <c r="R25" cm="1">
        <f t="array" aca="1" ref="R25" ca="1">IFERROR(INDEX(Allocator!$D:$AC, MATCH("Vehicle build claim ($mm)", Allocator!$A:$A, 0), R$5+1) / (R8 + R9), 0)</f>
        <v>3.9631081947902511</v>
      </c>
      <c r="S25" cm="1">
        <f t="array" aca="1" ref="S25" ca="1">IFERROR(INDEX(Allocator!$D:$AC, MATCH("Vehicle build claim ($mm)", Allocator!$A:$A, 0), S$5+1) / (S8 + S9), 0)</f>
        <v>0</v>
      </c>
      <c r="T25" cm="1">
        <f t="array" aca="1" ref="T25" ca="1">IFERROR(INDEX(Allocator!$D:$AC, MATCH("Vehicle build claim ($mm)", Allocator!$A:$A, 0), T$5+1) / (T8 + T9), 0)</f>
        <v>2.0174504220933462</v>
      </c>
      <c r="U25" cm="1">
        <f t="array" aca="1" ref="U25" ca="1">IFERROR(INDEX(Allocator!$D:$AC, MATCH("Vehicle build claim ($mm)", Allocator!$A:$A, 0), U$5+1) / (U8 + U9), 0)</f>
        <v>3.2729136060836974</v>
      </c>
      <c r="V25" cm="1">
        <f t="array" aca="1" ref="V25" ca="1">IFERROR(INDEX(Allocator!$D:$AC, MATCH("Vehicle build claim ($mm)", Allocator!$A:$A, 0), V$5+1) / (V8 + V9), 0)</f>
        <v>0</v>
      </c>
      <c r="W25" cm="1">
        <f t="array" aca="1" ref="W25" ca="1">IFERROR(INDEX(Allocator!$D:$AC, MATCH("Vehicle build claim ($mm)", Allocator!$A:$A, 0), W$5+1) / (W8 + W9), 0)</f>
        <v>4.6059611541760184</v>
      </c>
      <c r="X25" cm="1">
        <f t="array" aca="1" ref="X25" ca="1">IFERROR(INDEX(Allocator!$D:$AC, MATCH("Vehicle build claim ($mm)", Allocator!$A:$A, 0), X$5+1) / (X8 + X9), 0)</f>
        <v>0</v>
      </c>
      <c r="Y25" cm="1">
        <f t="array" aca="1" ref="Y25" ca="1">IFERROR(INDEX(Allocator!$D:$AC, MATCH("Vehicle build claim ($mm)", Allocator!$A:$A, 0), Y$5+1) / (Y8 + Y9), 0)</f>
        <v>0.14999056905428335</v>
      </c>
      <c r="Z25" cm="1">
        <f t="array" aca="1" ref="Z25" ca="1">IFERROR(INDEX(Allocator!$D:$AC, MATCH("Vehicle build claim ($mm)", Allocator!$A:$A, 0), Z$5+1) / (Z8 + Z9), 0)</f>
        <v>4.9758368779263522</v>
      </c>
      <c r="AA25" cm="1">
        <f t="array" aca="1" ref="AA25" ca="1">IFERROR(INDEX(Allocator!$D:$AC, MATCH("Vehicle build claim ($mm)", Allocator!$A:$A, 0), AA$5+1) / (AA8 + AA9), 0)</f>
        <v>0</v>
      </c>
      <c r="AB25" cm="1">
        <f t="array" aca="1" ref="AB25" ca="1">IFERROR(INDEX(Allocator!$D:$AC, MATCH("Vehicle build claim ($mm)", Allocator!$A:$A, 0), AB$5+1) / (AB8 + AB9), 0)</f>
        <v>0</v>
      </c>
      <c r="AC25" cm="1">
        <f t="array" aca="1" ref="AC25" ca="1">IFERROR(INDEX(Allocator!$D:$AC, MATCH("Vehicle build claim ($mm)", Allocator!$A:$A, 0), AC$5+1) / (AC8 + AC9), 0)</f>
        <v>0</v>
      </c>
    </row>
    <row r="26" spans="1:29" x14ac:dyDescent="0.2">
      <c r="A26" t="s">
        <v>659</v>
      </c>
      <c r="D26" s="15">
        <v>0</v>
      </c>
    </row>
    <row r="27" spans="1:29" x14ac:dyDescent="0.2">
      <c r="A27" t="s">
        <v>660</v>
      </c>
      <c r="D27" s="15">
        <f ca="1">D24+D25-D26</f>
        <v>0</v>
      </c>
      <c r="E27">
        <f t="shared" ref="E27:AC27" ca="1" si="3">E24+E25-E26</f>
        <v>0.93173593813485656</v>
      </c>
      <c r="F27">
        <f t="shared" ca="1" si="3"/>
        <v>2.3336731064629181</v>
      </c>
      <c r="G27">
        <f t="shared" ca="1" si="3"/>
        <v>3.7271562166217818</v>
      </c>
      <c r="H27">
        <f t="shared" ca="1" si="3"/>
        <v>5.6186642359090442</v>
      </c>
      <c r="I27">
        <f t="shared" ca="1" si="3"/>
        <v>6.0349281284845961</v>
      </c>
      <c r="J27">
        <f t="shared" ca="1" si="3"/>
        <v>9.3030250533500407</v>
      </c>
      <c r="K27">
        <f t="shared" ca="1" si="3"/>
        <v>10.246438235962145</v>
      </c>
      <c r="L27">
        <f t="shared" ca="1" si="3"/>
        <v>8.3490287535335188</v>
      </c>
      <c r="M27">
        <f t="shared" ca="1" si="3"/>
        <v>19.509187132727799</v>
      </c>
      <c r="N27">
        <f t="shared" ca="1" si="3"/>
        <v>7.8470507828440166</v>
      </c>
      <c r="O27">
        <f t="shared" ca="1" si="3"/>
        <v>21.251524033356734</v>
      </c>
      <c r="P27">
        <f t="shared" ca="1" si="3"/>
        <v>21.985315907631847</v>
      </c>
      <c r="Q27">
        <f t="shared" ca="1" si="3"/>
        <v>7.8206277940486455</v>
      </c>
      <c r="R27">
        <f t="shared" ca="1" si="3"/>
        <v>37.616913524435908</v>
      </c>
      <c r="S27">
        <f t="shared" ca="1" si="3"/>
        <v>9.3192452748500294</v>
      </c>
      <c r="T27">
        <f t="shared" ca="1" si="3"/>
        <v>25.520114610636149</v>
      </c>
      <c r="U27">
        <f t="shared" ca="1" si="3"/>
        <v>42.183495382245447</v>
      </c>
      <c r="V27">
        <f t="shared" ca="1" si="3"/>
        <v>7.9442793967442729</v>
      </c>
      <c r="W27">
        <f t="shared" ca="1" si="3"/>
        <v>57.522570334791922</v>
      </c>
      <c r="X27">
        <f t="shared" ca="1" si="3"/>
        <v>12.315729591453842</v>
      </c>
      <c r="Y27">
        <f t="shared" ca="1" si="3"/>
        <v>14.502327861686362</v>
      </c>
      <c r="Z27">
        <f t="shared" ca="1" si="3"/>
        <v>70.336740947921356</v>
      </c>
      <c r="AA27">
        <f t="shared" ca="1" si="3"/>
        <v>8.5815375993662482</v>
      </c>
      <c r="AB27">
        <f t="shared" ca="1" si="3"/>
        <v>73.02601991211445</v>
      </c>
      <c r="AC27">
        <f t="shared" ca="1" si="3"/>
        <v>17.731530334406077</v>
      </c>
    </row>
    <row r="28" spans="1:29" x14ac:dyDescent="0.2">
      <c r="A28" t="s">
        <v>661</v>
      </c>
      <c r="D28" s="15">
        <v>0</v>
      </c>
      <c r="E28">
        <f ca="1">D28+D33*D29</f>
        <v>242.05560740075455</v>
      </c>
      <c r="F28">
        <f t="shared" ref="F28:AC28" ca="1" si="4">E28+E33*E29</f>
        <v>138649.59149957568</v>
      </c>
      <c r="G28">
        <f t="shared" ca="1" si="4"/>
        <v>370822.45923702756</v>
      </c>
      <c r="H28">
        <f t="shared" ca="1" si="4"/>
        <v>793956.74072616419</v>
      </c>
      <c r="I28">
        <f t="shared" ca="1" si="4"/>
        <v>1459005.985692224</v>
      </c>
      <c r="J28">
        <f t="shared" ca="1" si="4"/>
        <v>2614026.136446848</v>
      </c>
      <c r="K28">
        <f t="shared" ca="1" si="4"/>
        <v>4192881.9097534446</v>
      </c>
      <c r="L28">
        <f t="shared" ca="1" si="4"/>
        <v>5837081.3276763633</v>
      </c>
      <c r="M28">
        <f t="shared" ca="1" si="4"/>
        <v>9597227.4733191021</v>
      </c>
      <c r="N28">
        <f t="shared" ca="1" si="4"/>
        <v>11571659.778216595</v>
      </c>
      <c r="O28">
        <f t="shared" ca="1" si="4"/>
        <v>16574486.594909847</v>
      </c>
      <c r="P28">
        <f t="shared" ca="1" si="4"/>
        <v>22662777.522957798</v>
      </c>
      <c r="Q28">
        <f t="shared" ca="1" si="4"/>
        <v>25095004.761691369</v>
      </c>
      <c r="R28">
        <f t="shared" ca="1" si="4"/>
        <v>36597722.918900467</v>
      </c>
      <c r="S28">
        <f t="shared" ca="1" si="4"/>
        <v>39870234.922154576</v>
      </c>
      <c r="T28">
        <f t="shared" ca="1" si="4"/>
        <v>48553469.415471509</v>
      </c>
      <c r="U28">
        <f t="shared" ca="1" si="4"/>
        <v>63967673.05377306</v>
      </c>
      <c r="V28">
        <f t="shared" ca="1" si="4"/>
        <v>67160539.487093106</v>
      </c>
      <c r="W28">
        <f t="shared" ca="1" si="4"/>
        <v>90005473.561540633</v>
      </c>
      <c r="X28">
        <f t="shared" ca="1" si="4"/>
        <v>95412589.069449395</v>
      </c>
      <c r="Y28">
        <f t="shared" ca="1" si="4"/>
        <v>101829504.94688998</v>
      </c>
      <c r="Z28">
        <f t="shared" ca="1" si="4"/>
        <v>132997703.36310701</v>
      </c>
      <c r="AA28">
        <f t="shared" ca="1" si="4"/>
        <v>137124952.30313966</v>
      </c>
      <c r="AB28">
        <f t="shared" ca="1" si="4"/>
        <v>174317690.27587628</v>
      </c>
      <c r="AC28">
        <f t="shared" ca="1" si="4"/>
        <v>183476354.40904164</v>
      </c>
    </row>
    <row r="29" spans="1:29" x14ac:dyDescent="0.2">
      <c r="A29" t="s">
        <v>662</v>
      </c>
      <c r="D29" s="15">
        <f>D20*$D$12+(1-D20)*$D$11</f>
        <v>150000</v>
      </c>
      <c r="E29" s="15">
        <f t="shared" ref="E29:AC29" si="5">E20*$D$12+(1-E20)*$D$11</f>
        <v>150000</v>
      </c>
      <c r="F29" s="15">
        <f t="shared" si="5"/>
        <v>100000</v>
      </c>
      <c r="G29" s="15">
        <f t="shared" si="5"/>
        <v>100000</v>
      </c>
      <c r="H29" s="15">
        <f t="shared" si="5"/>
        <v>100000</v>
      </c>
      <c r="I29" s="15">
        <f t="shared" si="5"/>
        <v>100000</v>
      </c>
      <c r="J29" s="15">
        <f t="shared" si="5"/>
        <v>100000</v>
      </c>
      <c r="K29" s="15">
        <f t="shared" si="5"/>
        <v>100000</v>
      </c>
      <c r="L29" s="15">
        <f t="shared" si="5"/>
        <v>100000</v>
      </c>
      <c r="M29" s="15">
        <f t="shared" si="5"/>
        <v>100000</v>
      </c>
      <c r="N29" s="15">
        <f t="shared" si="5"/>
        <v>100000</v>
      </c>
      <c r="O29" s="15">
        <f t="shared" si="5"/>
        <v>100000</v>
      </c>
      <c r="P29" s="15">
        <f t="shared" si="5"/>
        <v>100000</v>
      </c>
      <c r="Q29" s="15">
        <f t="shared" si="5"/>
        <v>100000</v>
      </c>
      <c r="R29" s="15">
        <f t="shared" si="5"/>
        <v>100000</v>
      </c>
      <c r="S29" s="15">
        <f t="shared" si="5"/>
        <v>100000</v>
      </c>
      <c r="T29" s="15">
        <f t="shared" si="5"/>
        <v>100000</v>
      </c>
      <c r="U29" s="15">
        <f t="shared" si="5"/>
        <v>100000</v>
      </c>
      <c r="V29" s="15">
        <f t="shared" si="5"/>
        <v>100000</v>
      </c>
      <c r="W29" s="15">
        <f t="shared" si="5"/>
        <v>100000</v>
      </c>
      <c r="X29" s="15">
        <f t="shared" si="5"/>
        <v>100000</v>
      </c>
      <c r="Y29" s="15">
        <f t="shared" si="5"/>
        <v>100000</v>
      </c>
      <c r="Z29" s="15">
        <f t="shared" si="5"/>
        <v>100000</v>
      </c>
      <c r="AA29" s="15">
        <f t="shared" si="5"/>
        <v>100000</v>
      </c>
      <c r="AB29" s="15">
        <f t="shared" si="5"/>
        <v>100000</v>
      </c>
      <c r="AC29" s="15">
        <f t="shared" si="5"/>
        <v>100000</v>
      </c>
    </row>
    <row r="30" spans="1:29" x14ac:dyDescent="0.2">
      <c r="A30" t="s">
        <v>724</v>
      </c>
      <c r="D30" s="15">
        <f>INDEX(Assumptions!$B:$B, MATCH("Starship cost WL anchor cum units (= cum stacks at end-2024 baseline)", Assumptions!$A:$A, 0))</f>
        <v>4</v>
      </c>
      <c r="E30" s="15">
        <f ca="1">D30 + D25</f>
        <v>4</v>
      </c>
      <c r="F30" s="15">
        <f t="shared" ref="F30:AC30" ca="1" si="6">E30 + E25</f>
        <v>4.930122234085518</v>
      </c>
      <c r="G30" s="15">
        <f t="shared" ca="1" si="6"/>
        <v>6.3410784346006031</v>
      </c>
      <c r="H30" s="15">
        <f t="shared" ca="1" si="6"/>
        <v>7.7465059738478663</v>
      </c>
      <c r="I30" s="15">
        <f t="shared" ca="1" si="6"/>
        <v>9.4428844629550408</v>
      </c>
      <c r="J30" s="15">
        <f t="shared" ca="1" si="6"/>
        <v>10.530769772738955</v>
      </c>
      <c r="K30" s="15">
        <f t="shared" ca="1" si="6"/>
        <v>12.586546904144353</v>
      </c>
      <c r="L30" s="15">
        <f t="shared" ca="1" si="6"/>
        <v>14.278030587148063</v>
      </c>
      <c r="M30" s="15">
        <f t="shared" ca="1" si="6"/>
        <v>14.681072440339383</v>
      </c>
      <c r="N30" s="15">
        <f t="shared" ca="1" si="6"/>
        <v>18.138504947683305</v>
      </c>
      <c r="O30" s="15">
        <f t="shared" ca="1" si="6"/>
        <v>18.138504947683305</v>
      </c>
      <c r="P30" s="15">
        <f t="shared" ca="1" si="6"/>
        <v>21.255890306499488</v>
      </c>
      <c r="Q30" s="15">
        <f t="shared" ca="1" si="6"/>
        <v>22.985972949736745</v>
      </c>
      <c r="R30" s="15">
        <f t="shared" ca="1" si="6"/>
        <v>22.985972949736745</v>
      </c>
      <c r="S30" s="15">
        <f t="shared" ca="1" si="6"/>
        <v>26.949081144526996</v>
      </c>
      <c r="T30" s="15">
        <f t="shared" ca="1" si="6"/>
        <v>26.949081144526996</v>
      </c>
      <c r="U30" s="15">
        <f t="shared" ca="1" si="6"/>
        <v>28.966531566620343</v>
      </c>
      <c r="V30" s="15">
        <f t="shared" ca="1" si="6"/>
        <v>32.239445172704038</v>
      </c>
      <c r="W30" s="15">
        <f t="shared" ca="1" si="6"/>
        <v>32.239445172704038</v>
      </c>
      <c r="X30" s="15">
        <f t="shared" ca="1" si="6"/>
        <v>36.845406326880052</v>
      </c>
      <c r="Y30" s="15">
        <f t="shared" ca="1" si="6"/>
        <v>36.845406326880052</v>
      </c>
      <c r="Z30" s="15">
        <f t="shared" ca="1" si="6"/>
        <v>36.995396895934334</v>
      </c>
      <c r="AA30" s="15">
        <f t="shared" ca="1" si="6"/>
        <v>41.971233773860689</v>
      </c>
      <c r="AB30" s="15">
        <f t="shared" ca="1" si="6"/>
        <v>41.971233773860689</v>
      </c>
      <c r="AC30" s="15">
        <f t="shared" ca="1" si="6"/>
        <v>41.971233773860689</v>
      </c>
    </row>
    <row r="31" spans="1:29" x14ac:dyDescent="0.2">
      <c r="A31" t="s">
        <v>663</v>
      </c>
      <c r="D31" s="15">
        <f ca="1">D27*D23*(1-D20)</f>
        <v>0</v>
      </c>
      <c r="E31" s="15">
        <f t="shared" ref="E31:AC31" ca="1" si="7">E27*E23*(1-E20)</f>
        <v>0.93173593813485656</v>
      </c>
      <c r="F31" s="15">
        <f t="shared" ca="1" si="7"/>
        <v>0</v>
      </c>
      <c r="G31" s="15">
        <f t="shared" ca="1" si="7"/>
        <v>0</v>
      </c>
      <c r="H31" s="15">
        <f t="shared" ca="1" si="7"/>
        <v>0</v>
      </c>
      <c r="I31" s="15">
        <f t="shared" ca="1" si="7"/>
        <v>0</v>
      </c>
      <c r="J31" s="15">
        <f t="shared" ca="1" si="7"/>
        <v>0</v>
      </c>
      <c r="K31" s="15">
        <f t="shared" ca="1" si="7"/>
        <v>0</v>
      </c>
      <c r="L31" s="15">
        <f t="shared" ca="1" si="7"/>
        <v>0</v>
      </c>
      <c r="M31" s="15">
        <f t="shared" ca="1" si="7"/>
        <v>0</v>
      </c>
      <c r="N31" s="15">
        <f t="shared" ca="1" si="7"/>
        <v>0</v>
      </c>
      <c r="O31" s="15">
        <f t="shared" ca="1" si="7"/>
        <v>0</v>
      </c>
      <c r="P31" s="15">
        <f t="shared" ca="1" si="7"/>
        <v>0</v>
      </c>
      <c r="Q31" s="15">
        <f t="shared" ca="1" si="7"/>
        <v>0</v>
      </c>
      <c r="R31" s="15">
        <f t="shared" ca="1" si="7"/>
        <v>0</v>
      </c>
      <c r="S31" s="15">
        <f t="shared" ca="1" si="7"/>
        <v>0</v>
      </c>
      <c r="T31" s="15">
        <f t="shared" ca="1" si="7"/>
        <v>0</v>
      </c>
      <c r="U31" s="15">
        <f t="shared" ca="1" si="7"/>
        <v>0</v>
      </c>
      <c r="V31" s="15">
        <f t="shared" ca="1" si="7"/>
        <v>0</v>
      </c>
      <c r="W31" s="15">
        <f t="shared" ca="1" si="7"/>
        <v>0</v>
      </c>
      <c r="X31" s="15">
        <f t="shared" ca="1" si="7"/>
        <v>0</v>
      </c>
      <c r="Y31" s="15">
        <f t="shared" ca="1" si="7"/>
        <v>0</v>
      </c>
      <c r="Z31" s="15">
        <f t="shared" ca="1" si="7"/>
        <v>0</v>
      </c>
      <c r="AA31" s="15">
        <f t="shared" ca="1" si="7"/>
        <v>0</v>
      </c>
      <c r="AB31" s="15">
        <f t="shared" ca="1" si="7"/>
        <v>0</v>
      </c>
      <c r="AC31" s="15">
        <f t="shared" ca="1" si="7"/>
        <v>0</v>
      </c>
    </row>
    <row r="32" spans="1:29" x14ac:dyDescent="0.2">
      <c r="A32" t="s">
        <v>664</v>
      </c>
      <c r="D32" s="15">
        <f ca="1">D27*D23*D20</f>
        <v>0</v>
      </c>
      <c r="E32" s="15">
        <f t="shared" ref="E32:AC32" ca="1" si="8">E27*E23*E20</f>
        <v>0</v>
      </c>
      <c r="F32" s="15">
        <f t="shared" ca="1" si="8"/>
        <v>2.3336731064629181</v>
      </c>
      <c r="G32" s="15">
        <f t="shared" ca="1" si="8"/>
        <v>4.0091509649221608</v>
      </c>
      <c r="H32" s="15">
        <f t="shared" ca="1" si="8"/>
        <v>7.5811796179130821</v>
      </c>
      <c r="I32" s="15">
        <f t="shared" ca="1" si="8"/>
        <v>9.5750178176862697</v>
      </c>
      <c r="J32" s="15">
        <f t="shared" ca="1" si="8"/>
        <v>17.175519017844355</v>
      </c>
      <c r="K32" s="15">
        <f t="shared" ca="1" si="8"/>
        <v>21.413196137354625</v>
      </c>
      <c r="L32" s="15">
        <f t="shared" ca="1" si="8"/>
        <v>19.147791763215448</v>
      </c>
      <c r="M32" s="15">
        <f t="shared" ca="1" si="8"/>
        <v>50.283687473983207</v>
      </c>
      <c r="N32" s="15">
        <f t="shared" ca="1" si="8"/>
        <v>21.361413144272007</v>
      </c>
      <c r="O32" s="15">
        <f t="shared" ca="1" si="8"/>
        <v>63.06043148638409</v>
      </c>
      <c r="P32" s="15">
        <f t="shared" ca="1" si="8"/>
        <v>70.552266855119569</v>
      </c>
      <c r="Q32" s="15">
        <f t="shared" ca="1" si="8"/>
        <v>25.80451685816978</v>
      </c>
      <c r="R32" s="15">
        <f t="shared" ca="1" si="8"/>
        <v>135.77371535248716</v>
      </c>
      <c r="S32" s="15">
        <f t="shared" ca="1" si="8"/>
        <v>34.410338979904097</v>
      </c>
      <c r="T32" s="15">
        <f t="shared" ca="1" si="8"/>
        <v>98.811327450517837</v>
      </c>
      <c r="U32" s="15">
        <f t="shared" ca="1" si="8"/>
        <v>174.44904813457623</v>
      </c>
      <c r="V32" s="15">
        <f t="shared" ca="1" si="8"/>
        <v>33.268831188199854</v>
      </c>
      <c r="W32" s="15">
        <f t="shared" ca="1" si="8"/>
        <v>258.03792990602904</v>
      </c>
      <c r="X32" s="15">
        <f t="shared" ca="1" si="8"/>
        <v>56.073322266041856</v>
      </c>
      <c r="Y32" s="15">
        <f t="shared" ca="1" si="8"/>
        <v>67.116773138722039</v>
      </c>
      <c r="Z32" s="15">
        <f t="shared" ca="1" si="8"/>
        <v>346.45331012648251</v>
      </c>
      <c r="AA32" s="15">
        <f t="shared" ca="1" si="8"/>
        <v>42.59451686097875</v>
      </c>
      <c r="AB32" s="15">
        <f t="shared" ca="1" si="8"/>
        <v>383.23541682622727</v>
      </c>
      <c r="AC32" s="15">
        <f t="shared" ca="1" si="8"/>
        <v>94.24651165138269</v>
      </c>
    </row>
    <row r="33" spans="1:29" x14ac:dyDescent="0.2">
      <c r="A33" t="s">
        <v>665</v>
      </c>
      <c r="D33" s="27">
        <f ca="1">D31+D32</f>
        <v>0</v>
      </c>
      <c r="E33" s="27">
        <f t="shared" ref="E33:AC33" ca="1" si="9">E31+E32</f>
        <v>0.93173593813485656</v>
      </c>
      <c r="F33" s="27">
        <f t="shared" ca="1" si="9"/>
        <v>2.3336731064629181</v>
      </c>
      <c r="G33" s="27">
        <f t="shared" ca="1" si="9"/>
        <v>4.0091509649221608</v>
      </c>
      <c r="H33" s="27">
        <f t="shared" ca="1" si="9"/>
        <v>7.5811796179130821</v>
      </c>
      <c r="I33" s="27">
        <f t="shared" ca="1" si="9"/>
        <v>9.5750178176862697</v>
      </c>
      <c r="J33" s="27">
        <f t="shared" ca="1" si="9"/>
        <v>17.175519017844355</v>
      </c>
      <c r="K33" s="27">
        <f t="shared" ca="1" si="9"/>
        <v>21.413196137354625</v>
      </c>
      <c r="L33" s="27">
        <f t="shared" ca="1" si="9"/>
        <v>19.147791763215448</v>
      </c>
      <c r="M33" s="27">
        <f t="shared" ca="1" si="9"/>
        <v>50.283687473983207</v>
      </c>
      <c r="N33" s="27">
        <f t="shared" ca="1" si="9"/>
        <v>21.361413144272007</v>
      </c>
      <c r="O33" s="27">
        <f t="shared" ca="1" si="9"/>
        <v>63.06043148638409</v>
      </c>
      <c r="P33" s="27">
        <f t="shared" ca="1" si="9"/>
        <v>70.552266855119569</v>
      </c>
      <c r="Q33" s="27">
        <f t="shared" ca="1" si="9"/>
        <v>25.80451685816978</v>
      </c>
      <c r="R33" s="27">
        <f t="shared" ca="1" si="9"/>
        <v>135.77371535248716</v>
      </c>
      <c r="S33" s="27">
        <f t="shared" ca="1" si="9"/>
        <v>34.410338979904097</v>
      </c>
      <c r="T33" s="27">
        <f t="shared" ca="1" si="9"/>
        <v>98.811327450517837</v>
      </c>
      <c r="U33" s="27">
        <f t="shared" ca="1" si="9"/>
        <v>174.44904813457623</v>
      </c>
      <c r="V33" s="27">
        <f t="shared" ca="1" si="9"/>
        <v>33.268831188199854</v>
      </c>
      <c r="W33" s="27">
        <f t="shared" ca="1" si="9"/>
        <v>258.03792990602904</v>
      </c>
      <c r="X33" s="27">
        <f t="shared" ca="1" si="9"/>
        <v>56.073322266041856</v>
      </c>
      <c r="Y33" s="27">
        <f t="shared" ca="1" si="9"/>
        <v>67.116773138722039</v>
      </c>
      <c r="Z33" s="27">
        <f t="shared" ca="1" si="9"/>
        <v>346.45331012648251</v>
      </c>
      <c r="AA33" s="27">
        <f t="shared" ca="1" si="9"/>
        <v>42.59451686097875</v>
      </c>
      <c r="AB33" s="27">
        <f t="shared" ca="1" si="9"/>
        <v>383.23541682622727</v>
      </c>
      <c r="AC33" s="27">
        <f t="shared" ca="1" si="9"/>
        <v>94.24651165138269</v>
      </c>
    </row>
    <row r="34" spans="1:29" x14ac:dyDescent="0.2">
      <c r="A34" t="s">
        <v>666</v>
      </c>
      <c r="D34" s="27">
        <f ca="1">D33*D29</f>
        <v>0</v>
      </c>
      <c r="E34" s="27">
        <f t="shared" ref="E34:AC34" ca="1" si="10">E33*E29</f>
        <v>139760.39072022849</v>
      </c>
      <c r="F34" s="27">
        <f t="shared" ca="1" si="10"/>
        <v>233367.31064629182</v>
      </c>
      <c r="G34" s="27">
        <f t="shared" ca="1" si="10"/>
        <v>400915.09649221611</v>
      </c>
      <c r="H34" s="27">
        <f t="shared" ca="1" si="10"/>
        <v>758117.96179130825</v>
      </c>
      <c r="I34" s="27">
        <f t="shared" ca="1" si="10"/>
        <v>957501.781768627</v>
      </c>
      <c r="J34" s="27">
        <f t="shared" ca="1" si="10"/>
        <v>1717551.9017844354</v>
      </c>
      <c r="K34" s="27">
        <f t="shared" ca="1" si="10"/>
        <v>2141319.6137354625</v>
      </c>
      <c r="L34" s="27">
        <f t="shared" ca="1" si="10"/>
        <v>1914779.1763215447</v>
      </c>
      <c r="M34" s="27">
        <f t="shared" ca="1" si="10"/>
        <v>5028368.7473983206</v>
      </c>
      <c r="N34" s="27">
        <f t="shared" ca="1" si="10"/>
        <v>2136141.3144272007</v>
      </c>
      <c r="O34" s="27">
        <f t="shared" ca="1" si="10"/>
        <v>6306043.1486384086</v>
      </c>
      <c r="P34" s="27">
        <f t="shared" ca="1" si="10"/>
        <v>7055226.6855119569</v>
      </c>
      <c r="Q34" s="27">
        <f t="shared" ca="1" si="10"/>
        <v>2580451.6858169781</v>
      </c>
      <c r="R34" s="27">
        <f t="shared" ca="1" si="10"/>
        <v>13577371.535248715</v>
      </c>
      <c r="S34" s="27">
        <f t="shared" ca="1" si="10"/>
        <v>3441033.8979904098</v>
      </c>
      <c r="T34" s="27">
        <f t="shared" ca="1" si="10"/>
        <v>9881132.7450517844</v>
      </c>
      <c r="U34" s="27">
        <f t="shared" ca="1" si="10"/>
        <v>17444904.813457623</v>
      </c>
      <c r="V34" s="27">
        <f t="shared" ca="1" si="10"/>
        <v>3326883.1188199855</v>
      </c>
      <c r="W34" s="27">
        <f t="shared" ca="1" si="10"/>
        <v>25803792.990602903</v>
      </c>
      <c r="X34" s="27">
        <f t="shared" ca="1" si="10"/>
        <v>5607332.226604186</v>
      </c>
      <c r="Y34" s="27">
        <f t="shared" ca="1" si="10"/>
        <v>6711677.3138722042</v>
      </c>
      <c r="Z34" s="27">
        <f t="shared" ca="1" si="10"/>
        <v>34645331.012648247</v>
      </c>
      <c r="AA34" s="27">
        <f t="shared" ca="1" si="10"/>
        <v>4259451.6860978752</v>
      </c>
      <c r="AB34" s="27">
        <f t="shared" ca="1" si="10"/>
        <v>38323541.682622723</v>
      </c>
      <c r="AC34" s="27">
        <f t="shared" ca="1" si="10"/>
        <v>9424651.1651382688</v>
      </c>
    </row>
    <row r="36" spans="1:29" x14ac:dyDescent="0.2">
      <c r="A36" s="21" t="s">
        <v>648</v>
      </c>
    </row>
    <row r="37" spans="1:29" x14ac:dyDescent="0.2">
      <c r="A37" t="s">
        <v>725</v>
      </c>
      <c r="D37" s="23">
        <f>INDEX(Assumptions!$B:$B, MATCH("Starship manufacturing cost anchor ($mm/stack, 2024 baseline)", Assumptions!$A:$A, 0)) * (D30 / INDEX(Assumptions!$B:$B, MATCH("Starship cost WL anchor cum units (= cum stacks at end-2024 baseline)", Assumptions!$A:$A, 0)))^(LOG(1 - INDEX(Assumptions!$B:$B, MATCH("Starship manufacturing WL learning rate (% reduction per doubling cum stacks)", Assumptions!$A:$A, 0)), 2))</f>
        <v>90</v>
      </c>
      <c r="E37" s="23">
        <f ca="1">INDEX(Assumptions!$B:$B, MATCH("Starship manufacturing cost anchor ($mm/stack, 2024 baseline)", Assumptions!$A:$A, 0)) * (E30 / INDEX(Assumptions!$B:$B, MATCH("Starship cost WL anchor cum units (= cum stacks at end-2024 baseline)", Assumptions!$A:$A, 0)))^(LOG(1 - INDEX(Assumptions!$B:$B, MATCH("Starship manufacturing WL learning rate (% reduction per doubling cum stacks)", Assumptions!$A:$A, 0)), 2))</f>
        <v>90</v>
      </c>
      <c r="F37" s="23">
        <f ca="1">INDEX(Assumptions!$B:$B, MATCH("Starship manufacturing cost anchor ($mm/stack, 2024 baseline)", Assumptions!$A:$A, 0)) * (F30 / INDEX(Assumptions!$B:$B, MATCH("Starship cost WL anchor cum units (= cum stacks at end-2024 baseline)", Assumptions!$A:$A, 0)))^(LOG(1 - INDEX(Assumptions!$B:$B, MATCH("Starship manufacturing WL learning rate (% reduction per doubling cum stacks)", Assumptions!$A:$A, 0)), 2))</f>
        <v>85.694629349916923</v>
      </c>
      <c r="G37" s="23">
        <f ca="1">INDEX(Assumptions!$B:$B, MATCH("Starship manufacturing cost anchor ($mm/stack, 2024 baseline)", Assumptions!$A:$A, 0)) * (G30 / INDEX(Assumptions!$B:$B, MATCH("Starship cost WL anchor cum units (= cum stacks at end-2024 baseline)", Assumptions!$A:$A, 0)))^(LOG(1 - INDEX(Assumptions!$B:$B, MATCH("Starship manufacturing WL learning rate (% reduction per doubling cum stacks)", Assumptions!$A:$A, 0)), 2))</f>
        <v>80.783985875546549</v>
      </c>
      <c r="H37" s="23">
        <f ca="1">INDEX(Assumptions!$B:$B, MATCH("Starship manufacturing cost anchor ($mm/stack, 2024 baseline)", Assumptions!$A:$A, 0)) * (H30 / INDEX(Assumptions!$B:$B, MATCH("Starship cost WL anchor cum units (= cum stacks at end-2024 baseline)", Assumptions!$A:$A, 0)))^(LOG(1 - INDEX(Assumptions!$B:$B, MATCH("Starship manufacturing WL learning rate (% reduction per doubling cum stacks)", Assumptions!$A:$A, 0)), 2))</f>
        <v>77.079737506712178</v>
      </c>
      <c r="I37" s="23">
        <f ca="1">INDEX(Assumptions!$B:$B, MATCH("Starship manufacturing cost anchor ($mm/stack, 2024 baseline)", Assumptions!$A:$A, 0)) * (I30 / INDEX(Assumptions!$B:$B, MATCH("Starship cost WL anchor cum units (= cum stacks at end-2024 baseline)", Assumptions!$A:$A, 0)))^(LOG(1 - INDEX(Assumptions!$B:$B, MATCH("Starship manufacturing WL learning rate (% reduction per doubling cum stacks)", Assumptions!$A:$A, 0)), 2))</f>
        <v>73.582831021436007</v>
      </c>
      <c r="J37" s="23">
        <f ca="1">INDEX(Assumptions!$B:$B, MATCH("Starship manufacturing cost anchor ($mm/stack, 2024 baseline)", Assumptions!$A:$A, 0)) * (J30 / INDEX(Assumptions!$B:$B, MATCH("Starship cost WL anchor cum units (= cum stacks at end-2024 baseline)", Assumptions!$A:$A, 0)))^(LOG(1 - INDEX(Assumptions!$B:$B, MATCH("Starship manufacturing WL learning rate (% reduction per doubling cum stacks)", Assumptions!$A:$A, 0)), 2))</f>
        <v>71.725450893699005</v>
      </c>
      <c r="K37" s="23">
        <f ca="1">INDEX(Assumptions!$B:$B, MATCH("Starship manufacturing cost anchor ($mm/stack, 2024 baseline)", Assumptions!$A:$A, 0)) * (K30 / INDEX(Assumptions!$B:$B, MATCH("Starship cost WL anchor cum units (= cum stacks at end-2024 baseline)", Assumptions!$A:$A, 0)))^(LOG(1 - INDEX(Assumptions!$B:$B, MATCH("Starship manufacturing WL learning rate (% reduction per doubling cum stacks)", Assumptions!$A:$A, 0)), 2))</f>
        <v>68.78833195674963</v>
      </c>
      <c r="L37" s="23">
        <f ca="1">INDEX(Assumptions!$B:$B, MATCH("Starship manufacturing cost anchor ($mm/stack, 2024 baseline)", Assumptions!$A:$A, 0)) * (L30 / INDEX(Assumptions!$B:$B, MATCH("Starship cost WL anchor cum units (= cum stacks at end-2024 baseline)", Assumptions!$A:$A, 0)))^(LOG(1 - INDEX(Assumptions!$B:$B, MATCH("Starship manufacturing WL learning rate (% reduction per doubling cum stacks)", Assumptions!$A:$A, 0)), 2))</f>
        <v>66.784404881548426</v>
      </c>
      <c r="M37" s="23">
        <f ca="1">INDEX(Assumptions!$B:$B, MATCH("Starship manufacturing cost anchor ($mm/stack, 2024 baseline)", Assumptions!$A:$A, 0)) * (M30 / INDEX(Assumptions!$B:$B, MATCH("Starship cost WL anchor cum units (= cum stacks at end-2024 baseline)", Assumptions!$A:$A, 0)))^(LOG(1 - INDEX(Assumptions!$B:$B, MATCH("Starship manufacturing WL learning rate (% reduction per doubling cum stacks)", Assumptions!$A:$A, 0)), 2))</f>
        <v>66.349934552935736</v>
      </c>
      <c r="N37" s="23">
        <f ca="1">INDEX(Assumptions!$B:$B, MATCH("Starship manufacturing cost anchor ($mm/stack, 2024 baseline)", Assumptions!$A:$A, 0)) * (N30 / INDEX(Assumptions!$B:$B, MATCH("Starship cost WL anchor cum units (= cum stacks at end-2024 baseline)", Assumptions!$A:$A, 0)))^(LOG(1 - INDEX(Assumptions!$B:$B, MATCH("Starship manufacturing WL learning rate (% reduction per doubling cum stacks)", Assumptions!$A:$A, 0)), 2))</f>
        <v>63.140256370943789</v>
      </c>
      <c r="O37" s="23">
        <f ca="1">INDEX(Assumptions!$B:$B, MATCH("Starship manufacturing cost anchor ($mm/stack, 2024 baseline)", Assumptions!$A:$A, 0)) * (O30 / INDEX(Assumptions!$B:$B, MATCH("Starship cost WL anchor cum units (= cum stacks at end-2024 baseline)", Assumptions!$A:$A, 0)))^(LOG(1 - INDEX(Assumptions!$B:$B, MATCH("Starship manufacturing WL learning rate (% reduction per doubling cum stacks)", Assumptions!$A:$A, 0)), 2))</f>
        <v>63.140256370943789</v>
      </c>
      <c r="P37" s="23">
        <f ca="1">INDEX(Assumptions!$B:$B, MATCH("Starship manufacturing cost anchor ($mm/stack, 2024 baseline)", Assumptions!$A:$A, 0)) * (P30 / INDEX(Assumptions!$B:$B, MATCH("Starship cost WL anchor cum units (= cum stacks at end-2024 baseline)", Assumptions!$A:$A, 0)))^(LOG(1 - INDEX(Assumptions!$B:$B, MATCH("Starship manufacturing WL learning rate (% reduction per doubling cum stacks)", Assumptions!$A:$A, 0)), 2))</f>
        <v>60.835472737280796</v>
      </c>
      <c r="Q37" s="23">
        <f ca="1">INDEX(Assumptions!$B:$B, MATCH("Starship manufacturing cost anchor ($mm/stack, 2024 baseline)", Assumptions!$A:$A, 0)) * (Q30 / INDEX(Assumptions!$B:$B, MATCH("Starship cost WL anchor cum units (= cum stacks at end-2024 baseline)", Assumptions!$A:$A, 0)))^(LOG(1 - INDEX(Assumptions!$B:$B, MATCH("Starship manufacturing WL learning rate (% reduction per doubling cum stacks)", Assumptions!$A:$A, 0)), 2))</f>
        <v>59.729505038815368</v>
      </c>
      <c r="R37" s="23">
        <f ca="1">INDEX(Assumptions!$B:$B, MATCH("Starship manufacturing cost anchor ($mm/stack, 2024 baseline)", Assumptions!$A:$A, 0)) * (R30 / INDEX(Assumptions!$B:$B, MATCH("Starship cost WL anchor cum units (= cum stacks at end-2024 baseline)", Assumptions!$A:$A, 0)))^(LOG(1 - INDEX(Assumptions!$B:$B, MATCH("Starship manufacturing WL learning rate (% reduction per doubling cum stacks)", Assumptions!$A:$A, 0)), 2))</f>
        <v>59.729505038815368</v>
      </c>
      <c r="S37" s="23">
        <f ca="1">INDEX(Assumptions!$B:$B, MATCH("Starship manufacturing cost anchor ($mm/stack, 2024 baseline)", Assumptions!$A:$A, 0)) * (S30 / INDEX(Assumptions!$B:$B, MATCH("Starship cost WL anchor cum units (= cum stacks at end-2024 baseline)", Assumptions!$A:$A, 0)))^(LOG(1 - INDEX(Assumptions!$B:$B, MATCH("Starship manufacturing WL learning rate (% reduction per doubling cum stacks)", Assumptions!$A:$A, 0)), 2))</f>
        <v>57.542907920641987</v>
      </c>
      <c r="T37" s="23">
        <f ca="1">INDEX(Assumptions!$B:$B, MATCH("Starship manufacturing cost anchor ($mm/stack, 2024 baseline)", Assumptions!$A:$A, 0)) * (T30 / INDEX(Assumptions!$B:$B, MATCH("Starship cost WL anchor cum units (= cum stacks at end-2024 baseline)", Assumptions!$A:$A, 0)))^(LOG(1 - INDEX(Assumptions!$B:$B, MATCH("Starship manufacturing WL learning rate (% reduction per doubling cum stacks)", Assumptions!$A:$A, 0)), 2))</f>
        <v>57.542907920641987</v>
      </c>
      <c r="U37" s="23">
        <f ca="1">INDEX(Assumptions!$B:$B, MATCH("Starship manufacturing cost anchor ($mm/stack, 2024 baseline)", Assumptions!$A:$A, 0)) * (U30 / INDEX(Assumptions!$B:$B, MATCH("Starship cost WL anchor cum units (= cum stacks at end-2024 baseline)", Assumptions!$A:$A, 0)))^(LOG(1 - INDEX(Assumptions!$B:$B, MATCH("Starship manufacturing WL learning rate (% reduction per doubling cum stacks)", Assumptions!$A:$A, 0)), 2))</f>
        <v>56.577105522930985</v>
      </c>
      <c r="V37" s="23">
        <f ca="1">INDEX(Assumptions!$B:$B, MATCH("Starship manufacturing cost anchor ($mm/stack, 2024 baseline)", Assumptions!$A:$A, 0)) * (V30 / INDEX(Assumptions!$B:$B, MATCH("Starship cost WL anchor cum units (= cum stacks at end-2024 baseline)", Assumptions!$A:$A, 0)))^(LOG(1 - INDEX(Assumptions!$B:$B, MATCH("Starship manufacturing WL learning rate (% reduction per doubling cum stacks)", Assumptions!$A:$A, 0)), 2))</f>
        <v>55.174726159072279</v>
      </c>
      <c r="W37" s="23">
        <f ca="1">INDEX(Assumptions!$B:$B, MATCH("Starship manufacturing cost anchor ($mm/stack, 2024 baseline)", Assumptions!$A:$A, 0)) * (W30 / INDEX(Assumptions!$B:$B, MATCH("Starship cost WL anchor cum units (= cum stacks at end-2024 baseline)", Assumptions!$A:$A, 0)))^(LOG(1 - INDEX(Assumptions!$B:$B, MATCH("Starship manufacturing WL learning rate (% reduction per doubling cum stacks)", Assumptions!$A:$A, 0)), 2))</f>
        <v>55.174726159072279</v>
      </c>
      <c r="X37" s="23">
        <f ca="1">INDEX(Assumptions!$B:$B, MATCH("Starship manufacturing cost anchor ($mm/stack, 2024 baseline)", Assumptions!$A:$A, 0)) * (X30 / INDEX(Assumptions!$B:$B, MATCH("Starship cost WL anchor cum units (= cum stacks at end-2024 baseline)", Assumptions!$A:$A, 0)))^(LOG(1 - INDEX(Assumptions!$B:$B, MATCH("Starship manufacturing WL learning rate (% reduction per doubling cum stacks)", Assumptions!$A:$A, 0)), 2))</f>
        <v>53.473940502710576</v>
      </c>
      <c r="Y37" s="23">
        <f ca="1">INDEX(Assumptions!$B:$B, MATCH("Starship manufacturing cost anchor ($mm/stack, 2024 baseline)", Assumptions!$A:$A, 0)) * (Y30 / INDEX(Assumptions!$B:$B, MATCH("Starship cost WL anchor cum units (= cum stacks at end-2024 baseline)", Assumptions!$A:$A, 0)))^(LOG(1 - INDEX(Assumptions!$B:$B, MATCH("Starship manufacturing WL learning rate (% reduction per doubling cum stacks)", Assumptions!$A:$A, 0)), 2))</f>
        <v>53.473940502710576</v>
      </c>
      <c r="Z37" s="23">
        <f ca="1">INDEX(Assumptions!$B:$B, MATCH("Starship manufacturing cost anchor ($mm/stack, 2024 baseline)", Assumptions!$A:$A, 0)) * (Z30 / INDEX(Assumptions!$B:$B, MATCH("Starship cost WL anchor cum units (= cum stacks at end-2024 baseline)", Assumptions!$A:$A, 0)))^(LOG(1 - INDEX(Assumptions!$B:$B, MATCH("Starship manufacturing WL learning rate (% reduction per doubling cum stacks)", Assumptions!$A:$A, 0)), 2))</f>
        <v>53.423029459971595</v>
      </c>
      <c r="AA37" s="23">
        <f ca="1">INDEX(Assumptions!$B:$B, MATCH("Starship manufacturing cost anchor ($mm/stack, 2024 baseline)", Assumptions!$A:$A, 0)) * (AA30 / INDEX(Assumptions!$B:$B, MATCH("Starship cost WL anchor cum units (= cum stacks at end-2024 baseline)", Assumptions!$A:$A, 0)))^(LOG(1 - INDEX(Assumptions!$B:$B, MATCH("Starship manufacturing WL learning rate (% reduction per doubling cum stacks)", Assumptions!$A:$A, 0)), 2))</f>
        <v>51.865535666049006</v>
      </c>
      <c r="AB37" s="23">
        <f ca="1">INDEX(Assumptions!$B:$B, MATCH("Starship manufacturing cost anchor ($mm/stack, 2024 baseline)", Assumptions!$A:$A, 0)) * (AB30 / INDEX(Assumptions!$B:$B, MATCH("Starship cost WL anchor cum units (= cum stacks at end-2024 baseline)", Assumptions!$A:$A, 0)))^(LOG(1 - INDEX(Assumptions!$B:$B, MATCH("Starship manufacturing WL learning rate (% reduction per doubling cum stacks)", Assumptions!$A:$A, 0)), 2))</f>
        <v>51.865535666049006</v>
      </c>
      <c r="AC37" s="23">
        <f ca="1">INDEX(Assumptions!$B:$B, MATCH("Starship manufacturing cost anchor ($mm/stack, 2024 baseline)", Assumptions!$A:$A, 0)) * (AC30 / INDEX(Assumptions!$B:$B, MATCH("Starship cost WL anchor cum units (= cum stacks at end-2024 baseline)", Assumptions!$A:$A, 0)))^(LOG(1 - INDEX(Assumptions!$B:$B, MATCH("Starship manufacturing WL learning rate (% reduction per doubling cum stacks)", Assumptions!$A:$A, 0)), 2))</f>
        <v>51.865535666049006</v>
      </c>
    </row>
    <row r="38" spans="1:29" x14ac:dyDescent="0.2">
      <c r="A38" t="s">
        <v>726</v>
      </c>
      <c r="D38" s="23">
        <f>INDEX(Assumptions!$B:$B, MATCH("Starship ops + fuel + refurb cost anchor ($mm/launch, 2024 baseline)", Assumptions!$A:$A, 0)) * (D30 / INDEX(Assumptions!$B:$B, MATCH("Starship cost WL anchor cum units (= cum stacks at end-2024 baseline)", Assumptions!$A:$A, 0)))^(LOG(1 - INDEX(Assumptions!$B:$B, MATCH("Starship ops + fuel + refurb WL learning rate (% reduction per doubling cum stacks)", Assumptions!$A:$A, 0)), 2))</f>
        <v>12</v>
      </c>
      <c r="E38" s="23">
        <f ca="1">INDEX(Assumptions!$B:$B, MATCH("Starship ops + fuel + refurb cost anchor ($mm/launch, 2024 baseline)", Assumptions!$A:$A, 0)) * (E30 / INDEX(Assumptions!$B:$B, MATCH("Starship cost WL anchor cum units (= cum stacks at end-2024 baseline)", Assumptions!$A:$A, 0)))^(LOG(1 - INDEX(Assumptions!$B:$B, MATCH("Starship ops + fuel + refurb WL learning rate (% reduction per doubling cum stacks)", Assumptions!$A:$A, 0)), 2))</f>
        <v>12</v>
      </c>
      <c r="F38" s="23">
        <f ca="1">INDEX(Assumptions!$B:$B, MATCH("Starship ops + fuel + refurb cost anchor ($mm/launch, 2024 baseline)", Assumptions!$A:$A, 0)) * (F30 / INDEX(Assumptions!$B:$B, MATCH("Starship cost WL anchor cum units (= cum stacks at end-2024 baseline)", Assumptions!$A:$A, 0)))^(LOG(1 - INDEX(Assumptions!$B:$B, MATCH("Starship ops + fuel + refurb WL learning rate (% reduction per doubling cum stacks)", Assumptions!$A:$A, 0)), 2))</f>
        <v>11.624645438777629</v>
      </c>
      <c r="G38" s="23">
        <f ca="1">INDEX(Assumptions!$B:$B, MATCH("Starship ops + fuel + refurb cost anchor ($mm/launch, 2024 baseline)", Assumptions!$A:$A, 0)) * (G30 / INDEX(Assumptions!$B:$B, MATCH("Starship cost WL anchor cum units (= cum stacks at end-2024 baseline)", Assumptions!$A:$A, 0)))^(LOG(1 - INDEX(Assumptions!$B:$B, MATCH("Starship ops + fuel + refurb WL learning rate (% reduction per doubling cum stacks)", Assumptions!$A:$A, 0)), 2))</f>
        <v>11.18832184087325</v>
      </c>
      <c r="H38" s="23">
        <f ca="1">INDEX(Assumptions!$B:$B, MATCH("Starship ops + fuel + refurb cost anchor ($mm/launch, 2024 baseline)", Assumptions!$A:$A, 0)) * (H30 / INDEX(Assumptions!$B:$B, MATCH("Starship cost WL anchor cum units (= cum stacks at end-2024 baseline)", Assumptions!$A:$A, 0)))^(LOG(1 - INDEX(Assumptions!$B:$B, MATCH("Starship ops + fuel + refurb WL learning rate (% reduction per doubling cum stacks)", Assumptions!$A:$A, 0)), 2))</f>
        <v>10.852989579681802</v>
      </c>
      <c r="I38" s="23">
        <f ca="1">INDEX(Assumptions!$B:$B, MATCH("Starship ops + fuel + refurb cost anchor ($mm/launch, 2024 baseline)", Assumptions!$A:$A, 0)) * (I30 / INDEX(Assumptions!$B:$B, MATCH("Starship cost WL anchor cum units (= cum stacks at end-2024 baseline)", Assumptions!$A:$A, 0)))^(LOG(1 - INDEX(Assumptions!$B:$B, MATCH("Starship ops + fuel + refurb WL learning rate (% reduction per doubling cum stacks)", Assumptions!$A:$A, 0)), 2))</f>
        <v>10.531186405405132</v>
      </c>
      <c r="J38" s="23">
        <f ca="1">INDEX(Assumptions!$B:$B, MATCH("Starship ops + fuel + refurb cost anchor ($mm/launch, 2024 baseline)", Assumptions!$A:$A, 0)) * (J30 / INDEX(Assumptions!$B:$B, MATCH("Starship cost WL anchor cum units (= cum stacks at end-2024 baseline)", Assumptions!$A:$A, 0)))^(LOG(1 - INDEX(Assumptions!$B:$B, MATCH("Starship ops + fuel + refurb WL learning rate (% reduction per doubling cum stacks)", Assumptions!$A:$A, 0)), 2))</f>
        <v>10.358076788308047</v>
      </c>
      <c r="K38" s="23">
        <f ca="1">INDEX(Assumptions!$B:$B, MATCH("Starship ops + fuel + refurb cost anchor ($mm/launch, 2024 baseline)", Assumptions!$A:$A, 0)) * (K30 / INDEX(Assumptions!$B:$B, MATCH("Starship cost WL anchor cum units (= cum stacks at end-2024 baseline)", Assumptions!$A:$A, 0)))^(LOG(1 - INDEX(Assumptions!$B:$B, MATCH("Starship ops + fuel + refurb WL learning rate (% reduction per doubling cum stacks)", Assumptions!$A:$A, 0)), 2))</f>
        <v>10.081079083533513</v>
      </c>
      <c r="L38" s="23">
        <f ca="1">INDEX(Assumptions!$B:$B, MATCH("Starship ops + fuel + refurb cost anchor ($mm/launch, 2024 baseline)", Assumptions!$A:$A, 0)) * (L30 / INDEX(Assumptions!$B:$B, MATCH("Starship cost WL anchor cum units (= cum stacks at end-2024 baseline)", Assumptions!$A:$A, 0)))^(LOG(1 - INDEX(Assumptions!$B:$B, MATCH("Starship ops + fuel + refurb WL learning rate (% reduction per doubling cum stacks)", Assumptions!$A:$A, 0)), 2))</f>
        <v>9.8896989707000955</v>
      </c>
      <c r="M38" s="23">
        <f ca="1">INDEX(Assumptions!$B:$B, MATCH("Starship ops + fuel + refurb cost anchor ($mm/launch, 2024 baseline)", Assumptions!$A:$A, 0)) * (M30 / INDEX(Assumptions!$B:$B, MATCH("Starship cost WL anchor cum units (= cum stacks at end-2024 baseline)", Assumptions!$A:$A, 0)))^(LOG(1 - INDEX(Assumptions!$B:$B, MATCH("Starship ops + fuel + refurb WL learning rate (% reduction per doubling cum stacks)", Assumptions!$A:$A, 0)), 2))</f>
        <v>9.8479409327889726</v>
      </c>
      <c r="N38" s="23">
        <f ca="1">INDEX(Assumptions!$B:$B, MATCH("Starship ops + fuel + refurb cost anchor ($mm/launch, 2024 baseline)", Assumptions!$A:$A, 0)) * (N30 / INDEX(Assumptions!$B:$B, MATCH("Starship cost WL anchor cum units (= cum stacks at end-2024 baseline)", Assumptions!$A:$A, 0)))^(LOG(1 - INDEX(Assumptions!$B:$B, MATCH("Starship ops + fuel + refurb WL learning rate (% reduction per doubling cum stacks)", Assumptions!$A:$A, 0)), 2))</f>
        <v>9.5364098492726228</v>
      </c>
      <c r="O38" s="23">
        <f ca="1">INDEX(Assumptions!$B:$B, MATCH("Starship ops + fuel + refurb cost anchor ($mm/launch, 2024 baseline)", Assumptions!$A:$A, 0)) * (O30 / INDEX(Assumptions!$B:$B, MATCH("Starship cost WL anchor cum units (= cum stacks at end-2024 baseline)", Assumptions!$A:$A, 0)))^(LOG(1 - INDEX(Assumptions!$B:$B, MATCH("Starship ops + fuel + refurb WL learning rate (% reduction per doubling cum stacks)", Assumptions!$A:$A, 0)), 2))</f>
        <v>9.5364098492726228</v>
      </c>
      <c r="P38" s="23">
        <f ca="1">INDEX(Assumptions!$B:$B, MATCH("Starship ops + fuel + refurb cost anchor ($mm/launch, 2024 baseline)", Assumptions!$A:$A, 0)) * (P30 / INDEX(Assumptions!$B:$B, MATCH("Starship cost WL anchor cum units (= cum stacks at end-2024 baseline)", Assumptions!$A:$A, 0)))^(LOG(1 - INDEX(Assumptions!$B:$B, MATCH("Starship ops + fuel + refurb WL learning rate (% reduction per doubling cum stacks)", Assumptions!$A:$A, 0)), 2))</f>
        <v>9.3092622956244586</v>
      </c>
      <c r="Q38" s="23">
        <f ca="1">INDEX(Assumptions!$B:$B, MATCH("Starship ops + fuel + refurb cost anchor ($mm/launch, 2024 baseline)", Assumptions!$A:$A, 0)) * (Q30 / INDEX(Assumptions!$B:$B, MATCH("Starship cost WL anchor cum units (= cum stacks at end-2024 baseline)", Assumptions!$A:$A, 0)))^(LOG(1 - INDEX(Assumptions!$B:$B, MATCH("Starship ops + fuel + refurb WL learning rate (% reduction per doubling cum stacks)", Assumptions!$A:$A, 0)), 2))</f>
        <v>9.1991914238061927</v>
      </c>
      <c r="R38" s="23">
        <f ca="1">INDEX(Assumptions!$B:$B, MATCH("Starship ops + fuel + refurb cost anchor ($mm/launch, 2024 baseline)", Assumptions!$A:$A, 0)) * (R30 / INDEX(Assumptions!$B:$B, MATCH("Starship cost WL anchor cum units (= cum stacks at end-2024 baseline)", Assumptions!$A:$A, 0)))^(LOG(1 - INDEX(Assumptions!$B:$B, MATCH("Starship ops + fuel + refurb WL learning rate (% reduction per doubling cum stacks)", Assumptions!$A:$A, 0)), 2))</f>
        <v>9.1991914238061927</v>
      </c>
      <c r="S38" s="23">
        <f ca="1">INDEX(Assumptions!$B:$B, MATCH("Starship ops + fuel + refurb cost anchor ($mm/launch, 2024 baseline)", Assumptions!$A:$A, 0)) * (S30 / INDEX(Assumptions!$B:$B, MATCH("Starship cost WL anchor cum units (= cum stacks at end-2024 baseline)", Assumptions!$A:$A, 0)))^(LOG(1 - INDEX(Assumptions!$B:$B, MATCH("Starship ops + fuel + refurb WL learning rate (% reduction per doubling cum stacks)", Assumptions!$A:$A, 0)), 2))</f>
        <v>8.9794372450043713</v>
      </c>
      <c r="T38" s="23">
        <f ca="1">INDEX(Assumptions!$B:$B, MATCH("Starship ops + fuel + refurb cost anchor ($mm/launch, 2024 baseline)", Assumptions!$A:$A, 0)) * (T30 / INDEX(Assumptions!$B:$B, MATCH("Starship cost WL anchor cum units (= cum stacks at end-2024 baseline)", Assumptions!$A:$A, 0)))^(LOG(1 - INDEX(Assumptions!$B:$B, MATCH("Starship ops + fuel + refurb WL learning rate (% reduction per doubling cum stacks)", Assumptions!$A:$A, 0)), 2))</f>
        <v>8.9794372450043713</v>
      </c>
      <c r="U38" s="23">
        <f ca="1">INDEX(Assumptions!$B:$B, MATCH("Starship ops + fuel + refurb cost anchor ($mm/launch, 2024 baseline)", Assumptions!$A:$A, 0)) * (U30 / INDEX(Assumptions!$B:$B, MATCH("Starship cost WL anchor cum units (= cum stacks at end-2024 baseline)", Assumptions!$A:$A, 0)))^(LOG(1 - INDEX(Assumptions!$B:$B, MATCH("Starship ops + fuel + refurb WL learning rate (% reduction per doubling cum stacks)", Assumptions!$A:$A, 0)), 2))</f>
        <v>8.8814410481096289</v>
      </c>
      <c r="V38" s="23">
        <f ca="1">INDEX(Assumptions!$B:$B, MATCH("Starship ops + fuel + refurb cost anchor ($mm/launch, 2024 baseline)", Assumptions!$A:$A, 0)) * (V30 / INDEX(Assumptions!$B:$B, MATCH("Starship cost WL anchor cum units (= cum stacks at end-2024 baseline)", Assumptions!$A:$A, 0)))^(LOG(1 - INDEX(Assumptions!$B:$B, MATCH("Starship ops + fuel + refurb WL learning rate (% reduction per doubling cum stacks)", Assumptions!$A:$A, 0)), 2))</f>
        <v>8.7380927875875365</v>
      </c>
      <c r="W38" s="23">
        <f ca="1">INDEX(Assumptions!$B:$B, MATCH("Starship ops + fuel + refurb cost anchor ($mm/launch, 2024 baseline)", Assumptions!$A:$A, 0)) * (W30 / INDEX(Assumptions!$B:$B, MATCH("Starship cost WL anchor cum units (= cum stacks at end-2024 baseline)", Assumptions!$A:$A, 0)))^(LOG(1 - INDEX(Assumptions!$B:$B, MATCH("Starship ops + fuel + refurb WL learning rate (% reduction per doubling cum stacks)", Assumptions!$A:$A, 0)), 2))</f>
        <v>8.7380927875875365</v>
      </c>
      <c r="X38" s="23">
        <f ca="1">INDEX(Assumptions!$B:$B, MATCH("Starship ops + fuel + refurb cost anchor ($mm/launch, 2024 baseline)", Assumptions!$A:$A, 0)) * (X30 / INDEX(Assumptions!$B:$B, MATCH("Starship cost WL anchor cum units (= cum stacks at end-2024 baseline)", Assumptions!$A:$A, 0)))^(LOG(1 - INDEX(Assumptions!$B:$B, MATCH("Starship ops + fuel + refurb WL learning rate (% reduction per doubling cum stacks)", Assumptions!$A:$A, 0)), 2))</f>
        <v>8.5625104082589587</v>
      </c>
      <c r="Y38" s="23">
        <f ca="1">INDEX(Assumptions!$B:$B, MATCH("Starship ops + fuel + refurb cost anchor ($mm/launch, 2024 baseline)", Assumptions!$A:$A, 0)) * (Y30 / INDEX(Assumptions!$B:$B, MATCH("Starship cost WL anchor cum units (= cum stacks at end-2024 baseline)", Assumptions!$A:$A, 0)))^(LOG(1 - INDEX(Assumptions!$B:$B, MATCH("Starship ops + fuel + refurb WL learning rate (% reduction per doubling cum stacks)", Assumptions!$A:$A, 0)), 2))</f>
        <v>8.5625104082589587</v>
      </c>
      <c r="Z38" s="23">
        <f ca="1">INDEX(Assumptions!$B:$B, MATCH("Starship ops + fuel + refurb cost anchor ($mm/launch, 2024 baseline)", Assumptions!$A:$A, 0)) * (Z30 / INDEX(Assumptions!$B:$B, MATCH("Starship cost WL anchor cum units (= cum stacks at end-2024 baseline)", Assumptions!$A:$A, 0)))^(LOG(1 - INDEX(Assumptions!$B:$B, MATCH("Starship ops + fuel + refurb WL learning rate (% reduction per doubling cum stacks)", Assumptions!$A:$A, 0)), 2))</f>
        <v>8.5572245247637362</v>
      </c>
      <c r="AA38" s="23">
        <f ca="1">INDEX(Assumptions!$B:$B, MATCH("Starship ops + fuel + refurb cost anchor ($mm/launch, 2024 baseline)", Assumptions!$A:$A, 0)) * (AA30 / INDEX(Assumptions!$B:$B, MATCH("Starship cost WL anchor cum units (= cum stacks at end-2024 baseline)", Assumptions!$A:$A, 0)))^(LOG(1 - INDEX(Assumptions!$B:$B, MATCH("Starship ops + fuel + refurb WL learning rate (% reduction per doubling cum stacks)", Assumptions!$A:$A, 0)), 2))</f>
        <v>8.3946490161583753</v>
      </c>
      <c r="AB38" s="23">
        <f ca="1">INDEX(Assumptions!$B:$B, MATCH("Starship ops + fuel + refurb cost anchor ($mm/launch, 2024 baseline)", Assumptions!$A:$A, 0)) * (AB30 / INDEX(Assumptions!$B:$B, MATCH("Starship cost WL anchor cum units (= cum stacks at end-2024 baseline)", Assumptions!$A:$A, 0)))^(LOG(1 - INDEX(Assumptions!$B:$B, MATCH("Starship ops + fuel + refurb WL learning rate (% reduction per doubling cum stacks)", Assumptions!$A:$A, 0)), 2))</f>
        <v>8.3946490161583753</v>
      </c>
      <c r="AC38" s="23">
        <f ca="1">INDEX(Assumptions!$B:$B, MATCH("Starship ops + fuel + refurb cost anchor ($mm/launch, 2024 baseline)", Assumptions!$A:$A, 0)) * (AC30 / INDEX(Assumptions!$B:$B, MATCH("Starship cost WL anchor cum units (= cum stacks at end-2024 baseline)", Assumptions!$A:$A, 0)))^(LOG(1 - INDEX(Assumptions!$B:$B, MATCH("Starship ops + fuel + refurb WL learning rate (% reduction per doubling cum stacks)", Assumptions!$A:$A, 0)), 2))</f>
        <v>8.3946490161583753</v>
      </c>
    </row>
    <row r="39" spans="1:29" x14ac:dyDescent="0.2">
      <c r="A39" t="s">
        <v>727</v>
      </c>
      <c r="D39" s="23">
        <f>IFERROR(D37 * (INDEX(Assumptions!$B:$B, MATCH("Starship booster share of manufacturing cost (% of stack mfg)", Assumptions!$A:$A, 0)) / D21 + (1 - INDEX(Assumptions!$B:$B, MATCH("Starship booster share of manufacturing cost (% of stack mfg)", Assumptions!$A:$A, 0))) / $D$13), 0)</f>
        <v>12</v>
      </c>
      <c r="E39" s="23">
        <f ca="1">IFERROR(E37 * (INDEX(Assumptions!$B:$B, MATCH("Starship booster share of manufacturing cost (% of stack mfg)", Assumptions!$A:$A, 0)) / E21 + (1 - INDEX(Assumptions!$B:$B, MATCH("Starship booster share of manufacturing cost (% of stack mfg)", Assumptions!$A:$A, 0))) / $D$13), 0)</f>
        <v>7.95</v>
      </c>
      <c r="F39" s="23">
        <f ca="1">IFERROR(F37 * (INDEX(Assumptions!$B:$B, MATCH("Starship booster share of manufacturing cost (% of stack mfg)", Assumptions!$A:$A, 0)) / F21 + (1 - INDEX(Assumptions!$B:$B, MATCH("Starship booster share of manufacturing cost (% of stack mfg)", Assumptions!$A:$A, 0))) / $D$13), 0)</f>
        <v>5.4273265254947374</v>
      </c>
      <c r="G39" s="23">
        <f ca="1">IFERROR(G37 * (INDEX(Assumptions!$B:$B, MATCH("Starship booster share of manufacturing cost (% of stack mfg)", Assumptions!$A:$A, 0)) / G21 + (1 - INDEX(Assumptions!$B:$B, MATCH("Starship booster share of manufacturing cost (% of stack mfg)", Assumptions!$A:$A, 0))) / $D$13), 0)</f>
        <v>3.7699193408588392</v>
      </c>
      <c r="H39" s="23">
        <f ca="1">IFERROR(H37 * (INDEX(Assumptions!$B:$B, MATCH("Starship booster share of manufacturing cost (% of stack mfg)", Assumptions!$A:$A, 0)) / H21 + (1 - INDEX(Assumptions!$B:$B, MATCH("Starship booster share of manufacturing cost (% of stack mfg)", Assumptions!$A:$A, 0))) / $D$13), 0)</f>
        <v>2.8776435335839214</v>
      </c>
      <c r="I39" s="23">
        <f ca="1">IFERROR(I37 * (INDEX(Assumptions!$B:$B, MATCH("Starship booster share of manufacturing cost (% of stack mfg)", Assumptions!$A:$A, 0)) / I21 + (1 - INDEX(Assumptions!$B:$B, MATCH("Starship booster share of manufacturing cost (% of stack mfg)", Assumptions!$A:$A, 0))) / $D$13), 0)</f>
        <v>2.4527610340478669</v>
      </c>
      <c r="J39" s="23">
        <f ca="1">IFERROR(J37 * (INDEX(Assumptions!$B:$B, MATCH("Starship booster share of manufacturing cost (% of stack mfg)", Assumptions!$A:$A, 0)) / J21 + (1 - INDEX(Assumptions!$B:$B, MATCH("Starship booster share of manufacturing cost (% of stack mfg)", Assumptions!$A:$A, 0))) / $D$13), 0)</f>
        <v>2.1859185034270174</v>
      </c>
      <c r="K39" s="23">
        <f ca="1">IFERROR(K37 * (INDEX(Assumptions!$B:$B, MATCH("Starship booster share of manufacturing cost (% of stack mfg)", Assumptions!$A:$A, 0)) / K21 + (1 - INDEX(Assumptions!$B:$B, MATCH("Starship booster share of manufacturing cost (% of stack mfg)", Assumptions!$A:$A, 0))) / $D$13), 0)</f>
        <v>1.8998682159483231</v>
      </c>
      <c r="L39" s="23">
        <f ca="1">IFERROR(L37 * (INDEX(Assumptions!$B:$B, MATCH("Starship booster share of manufacturing cost (% of stack mfg)", Assumptions!$A:$A, 0)) / L21 + (1 - INDEX(Assumptions!$B:$B, MATCH("Starship booster share of manufacturing cost (% of stack mfg)", Assumptions!$A:$A, 0))) / $D$13), 0)</f>
        <v>1.6918715903325601</v>
      </c>
      <c r="M39" s="23">
        <f ca="1">IFERROR(M37 * (INDEX(Assumptions!$B:$B, MATCH("Starship booster share of manufacturing cost (% of stack mfg)", Assumptions!$A:$A, 0)) / M21 + (1 - INDEX(Assumptions!$B:$B, MATCH("Starship booster share of manufacturing cost (% of stack mfg)", Assumptions!$A:$A, 0))) / $D$13), 0)</f>
        <v>1.571044427345375</v>
      </c>
      <c r="N39" s="23">
        <f ca="1">IFERROR(N37 * (INDEX(Assumptions!$B:$B, MATCH("Starship booster share of manufacturing cost (% of stack mfg)", Assumptions!$A:$A, 0)) / N21 + (1 - INDEX(Assumptions!$B:$B, MATCH("Starship booster share of manufacturing cost (% of stack mfg)", Assumptions!$A:$A, 0))) / $D$13), 0)</f>
        <v>1.4247032206777062</v>
      </c>
      <c r="O39" s="23">
        <f ca="1">IFERROR(O37 * (INDEX(Assumptions!$B:$B, MATCH("Starship booster share of manufacturing cost (% of stack mfg)", Assumptions!$A:$A, 0)) / O21 + (1 - INDEX(Assumptions!$B:$B, MATCH("Starship booster share of manufacturing cost (% of stack mfg)", Assumptions!$A:$A, 0))) / $D$13), 0)</f>
        <v>1.3830722824111497</v>
      </c>
      <c r="P39" s="23">
        <f ca="1">IFERROR(P37 * (INDEX(Assumptions!$B:$B, MATCH("Starship booster share of manufacturing cost (% of stack mfg)", Assumptions!$A:$A, 0)) / P21 + (1 - INDEX(Assumptions!$B:$B, MATCH("Starship booster share of manufacturing cost (% of stack mfg)", Assumptions!$A:$A, 0))) / $D$13), 0)</f>
        <v>1.2978234183953239</v>
      </c>
      <c r="Q39" s="23">
        <f ca="1">IFERROR(Q37 * (INDEX(Assumptions!$B:$B, MATCH("Starship booster share of manufacturing cost (% of stack mfg)", Assumptions!$A:$A, 0)) / Q21 + (1 - INDEX(Assumptions!$B:$B, MATCH("Starship booster share of manufacturing cost (% of stack mfg)", Assumptions!$A:$A, 0))) / $D$13), 0)</f>
        <v>1.2443646883086537</v>
      </c>
      <c r="R39" s="23">
        <f ca="1">IFERROR(R37 * (INDEX(Assumptions!$B:$B, MATCH("Starship booster share of manufacturing cost (% of stack mfg)", Assumptions!$A:$A, 0)) / R21 + (1 - INDEX(Assumptions!$B:$B, MATCH("Starship booster share of manufacturing cost (% of stack mfg)", Assumptions!$A:$A, 0))) / $D$13), 0)</f>
        <v>1.2180134360856467</v>
      </c>
      <c r="S39" s="23">
        <f ca="1">IFERROR(S37 * (INDEX(Assumptions!$B:$B, MATCH("Starship booster share of manufacturing cost (% of stack mfg)", Assumptions!$A:$A, 0)) / S21 + (1 - INDEX(Assumptions!$B:$B, MATCH("Starship booster share of manufacturing cost (% of stack mfg)", Assumptions!$A:$A, 0))) / $D$13), 0)</f>
        <v>1.1508581584128397</v>
      </c>
      <c r="T39" s="23">
        <f ca="1">IFERROR(T37 * (INDEX(Assumptions!$B:$B, MATCH("Starship booster share of manufacturing cost (% of stack mfg)", Assumptions!$A:$A, 0)) / T21 + (1 - INDEX(Assumptions!$B:$B, MATCH("Starship booster share of manufacturing cost (% of stack mfg)", Assumptions!$A:$A, 0))) / $D$13), 0)</f>
        <v>1.1425186065402828</v>
      </c>
      <c r="U39" s="23">
        <f ca="1">IFERROR(U37 * (INDEX(Assumptions!$B:$B, MATCH("Starship booster share of manufacturing cost (% of stack mfg)", Assumptions!$A:$A, 0)) / U21 + (1 - INDEX(Assumptions!$B:$B, MATCH("Starship booster share of manufacturing cost (% of stack mfg)", Assumptions!$A:$A, 0))) / $D$13), 0)</f>
        <v>1.1154918677570791</v>
      </c>
      <c r="V39" s="23">
        <f ca="1">IFERROR(V37 * (INDEX(Assumptions!$B:$B, MATCH("Starship booster share of manufacturing cost (% of stack mfg)", Assumptions!$A:$A, 0)) / V21 + (1 - INDEX(Assumptions!$B:$B, MATCH("Starship booster share of manufacturing cost (% of stack mfg)", Assumptions!$A:$A, 0))) / $D$13), 0)</f>
        <v>1.0805050539484988</v>
      </c>
      <c r="W39" s="23">
        <f ca="1">IFERROR(W37 * (INDEX(Assumptions!$B:$B, MATCH("Starship booster share of manufacturing cost (% of stack mfg)", Assumptions!$A:$A, 0)) / W21 + (1 - INDEX(Assumptions!$B:$B, MATCH("Starship booster share of manufacturing cost (% of stack mfg)", Assumptions!$A:$A, 0))) / $D$13), 0)</f>
        <v>1.0734674613261681</v>
      </c>
      <c r="X39" s="23">
        <f ca="1">IFERROR(X37 * (INDEX(Assumptions!$B:$B, MATCH("Starship booster share of manufacturing cost (% of stack mfg)", Assumptions!$A:$A, 0)) / X21 + (1 - INDEX(Assumptions!$B:$B, MATCH("Starship booster share of manufacturing cost (% of stack mfg)", Assumptions!$A:$A, 0))) / $D$13), 0)</f>
        <v>1.0338295163857378</v>
      </c>
      <c r="Y39" s="23">
        <f ca="1">IFERROR(Y37 * (INDEX(Assumptions!$B:$B, MATCH("Starship booster share of manufacturing cost (% of stack mfg)", Assumptions!$A:$A, 0)) / Y21 + (1 - INDEX(Assumptions!$B:$B, MATCH("Starship booster share of manufacturing cost (% of stack mfg)", Assumptions!$A:$A, 0))) / $D$13), 0)</f>
        <v>1.0338295163857378</v>
      </c>
      <c r="Z39" s="23">
        <f ca="1">IFERROR(Z37 * (INDEX(Assumptions!$B:$B, MATCH("Starship booster share of manufacturing cost (% of stack mfg)", Assumptions!$A:$A, 0)) / Z21 + (1 - INDEX(Assumptions!$B:$B, MATCH("Starship booster share of manufacturing cost (% of stack mfg)", Assumptions!$A:$A, 0))) / $D$13), 0)</f>
        <v>1.0328452362261176</v>
      </c>
      <c r="AA39" s="23">
        <f ca="1">IFERROR(AA37 * (INDEX(Assumptions!$B:$B, MATCH("Starship booster share of manufacturing cost (% of stack mfg)", Assumptions!$A:$A, 0)) / AA21 + (1 - INDEX(Assumptions!$B:$B, MATCH("Starship booster share of manufacturing cost (% of stack mfg)", Assumptions!$A:$A, 0))) / $D$13), 0)</f>
        <v>1.0027336895436141</v>
      </c>
      <c r="AB39" s="23">
        <f ca="1">IFERROR(AB37 * (INDEX(Assumptions!$B:$B, MATCH("Starship booster share of manufacturing cost (% of stack mfg)", Assumptions!$A:$A, 0)) / AB21 + (1 - INDEX(Assumptions!$B:$B, MATCH("Starship booster share of manufacturing cost (% of stack mfg)", Assumptions!$A:$A, 0))) / $D$13), 0)</f>
        <v>1.0027336895436141</v>
      </c>
      <c r="AC39" s="23">
        <f ca="1">IFERROR(AC37 * (INDEX(Assumptions!$B:$B, MATCH("Starship booster share of manufacturing cost (% of stack mfg)", Assumptions!$A:$A, 0)) / AC21 + (1 - INDEX(Assumptions!$B:$B, MATCH("Starship booster share of manufacturing cost (% of stack mfg)", Assumptions!$A:$A, 0))) / $D$13), 0)</f>
        <v>1.0027336895436141</v>
      </c>
    </row>
    <row r="40" spans="1:29" x14ac:dyDescent="0.2">
      <c r="A40" t="s">
        <v>667</v>
      </c>
      <c r="D40" s="28">
        <f>D38+D39</f>
        <v>24</v>
      </c>
      <c r="E40" s="28">
        <f t="shared" ref="E40:AC40" ca="1" si="11">E38+E39</f>
        <v>19.95</v>
      </c>
      <c r="F40" s="28">
        <f t="shared" ca="1" si="11"/>
        <v>17.051971964272365</v>
      </c>
      <c r="G40" s="28">
        <f t="shared" ca="1" si="11"/>
        <v>14.95824118173209</v>
      </c>
      <c r="H40" s="28">
        <f t="shared" ca="1" si="11"/>
        <v>13.730633113265723</v>
      </c>
      <c r="I40" s="28">
        <f t="shared" ca="1" si="11"/>
        <v>12.983947439452999</v>
      </c>
      <c r="J40" s="28">
        <f t="shared" ca="1" si="11"/>
        <v>12.543995291735065</v>
      </c>
      <c r="K40" s="28">
        <f t="shared" ca="1" si="11"/>
        <v>11.980947299481837</v>
      </c>
      <c r="L40" s="28">
        <f t="shared" ca="1" si="11"/>
        <v>11.581570561032656</v>
      </c>
      <c r="M40" s="28">
        <f t="shared" ca="1" si="11"/>
        <v>11.418985360134348</v>
      </c>
      <c r="N40" s="28">
        <f t="shared" ca="1" si="11"/>
        <v>10.961113069950329</v>
      </c>
      <c r="O40" s="28">
        <f t="shared" ca="1" si="11"/>
        <v>10.919482131683772</v>
      </c>
      <c r="P40" s="28">
        <f t="shared" ca="1" si="11"/>
        <v>10.607085714019782</v>
      </c>
      <c r="Q40" s="28">
        <f t="shared" ca="1" si="11"/>
        <v>10.443556112114846</v>
      </c>
      <c r="R40" s="28">
        <f t="shared" ca="1" si="11"/>
        <v>10.417204859891839</v>
      </c>
      <c r="S40" s="28">
        <f t="shared" ca="1" si="11"/>
        <v>10.130295403417211</v>
      </c>
      <c r="T40" s="28">
        <f t="shared" ca="1" si="11"/>
        <v>10.121955851544655</v>
      </c>
      <c r="U40" s="28">
        <f t="shared" ca="1" si="11"/>
        <v>9.996932915866708</v>
      </c>
      <c r="V40" s="28">
        <f t="shared" ca="1" si="11"/>
        <v>9.818597841536036</v>
      </c>
      <c r="W40" s="28">
        <f t="shared" ca="1" si="11"/>
        <v>9.8115602489137039</v>
      </c>
      <c r="X40" s="28">
        <f t="shared" ca="1" si="11"/>
        <v>9.5963399246446972</v>
      </c>
      <c r="Y40" s="28">
        <f t="shared" ca="1" si="11"/>
        <v>9.5963399246446972</v>
      </c>
      <c r="Z40" s="28">
        <f t="shared" ca="1" si="11"/>
        <v>9.590069760989854</v>
      </c>
      <c r="AA40" s="28">
        <f t="shared" ca="1" si="11"/>
        <v>9.3973827057019896</v>
      </c>
      <c r="AB40" s="28">
        <f t="shared" ca="1" si="11"/>
        <v>9.3973827057019896</v>
      </c>
      <c r="AC40" s="28">
        <f t="shared" ca="1" si="11"/>
        <v>9.3973827057019896</v>
      </c>
    </row>
    <row r="41" spans="1:29" x14ac:dyDescent="0.2">
      <c r="A41" t="s">
        <v>728</v>
      </c>
      <c r="D41" s="23">
        <f>D38 + IFERROR(D37 * INDEX(Assumptions!$B:$B, MATCH("Starship booster share of manufacturing cost (% of stack mfg)", Assumptions!$A:$A, 0)) / D21, 0) + D37 * (1 - INDEX(Assumptions!$B:$B, MATCH("Starship booster share of manufacturing cost (% of stack mfg)", Assumptions!$A:$A, 0)))</f>
        <v>58.8</v>
      </c>
      <c r="E41">
        <f ca="1">E38 + IFERROR(E37 * INDEX(Assumptions!$B:$B, MATCH("Starship booster share of manufacturing cost (% of stack mfg)", Assumptions!$A:$A, 0)) / E21, 0) + E37 * (1 - INDEX(Assumptions!$B:$B, MATCH("Starship booster share of manufacturing cost (% of stack mfg)", Assumptions!$A:$A, 0)))</f>
        <v>54.75</v>
      </c>
      <c r="F41">
        <f ca="1">F38 + IFERROR(F37 * INDEX(Assumptions!$B:$B, MATCH("Starship booster share of manufacturing cost (% of stack mfg)", Assumptions!$A:$A, 0)) / F21, 0) + F37 * (1 - INDEX(Assumptions!$B:$B, MATCH("Starship booster share of manufacturing cost (% of stack mfg)", Assumptions!$A:$A, 0)))</f>
        <v>50.187228646240243</v>
      </c>
      <c r="G41">
        <f ca="1">G38 + IFERROR(G37 * INDEX(Assumptions!$B:$B, MATCH("Starship booster share of manufacturing cost (% of stack mfg)", Assumptions!$A:$A, 0)) / G21, 0) + G37 * (1 - INDEX(Assumptions!$B:$B, MATCH("Starship booster share of manufacturing cost (% of stack mfg)", Assumptions!$A:$A, 0)))</f>
        <v>46.194715720276761</v>
      </c>
      <c r="H41">
        <f ca="1">H38 + IFERROR(H37 * INDEX(Assumptions!$B:$B, MATCH("Starship booster share of manufacturing cost (% of stack mfg)", Assumptions!$A:$A, 0)) / H21, 0) + H37 * (1 - INDEX(Assumptions!$B:$B, MATCH("Starship booster share of manufacturing cost (% of stack mfg)", Assumptions!$A:$A, 0)))</f>
        <v>43.534798282527767</v>
      </c>
      <c r="I41">
        <f ca="1">I38 + IFERROR(I37 * INDEX(Assumptions!$B:$B, MATCH("Starship booster share of manufacturing cost (% of stack mfg)", Assumptions!$A:$A, 0)) / I21, 0) + I37 * (1 - INDEX(Assumptions!$B:$B, MATCH("Starship booster share of manufacturing cost (% of stack mfg)", Assumptions!$A:$A, 0)))</f>
        <v>41.435975434408256</v>
      </c>
      <c r="J41">
        <f ca="1">J38 + IFERROR(J37 * INDEX(Assumptions!$B:$B, MATCH("Starship booster share of manufacturing cost (% of stack mfg)", Assumptions!$A:$A, 0)) / J21, 0) + J37 * (1 - INDEX(Assumptions!$B:$B, MATCH("Starship booster share of manufacturing cost (% of stack mfg)", Assumptions!$A:$A, 0)))</f>
        <v>40.277836303965351</v>
      </c>
      <c r="K41">
        <f ca="1">K38 + IFERROR(K37 * INDEX(Assumptions!$B:$B, MATCH("Starship booster share of manufacturing cost (% of stack mfg)", Assumptions!$A:$A, 0)) / K21, 0) + K37 * (1 - INDEX(Assumptions!$B:$B, MATCH("Starship booster share of manufacturing cost (% of stack mfg)", Assumptions!$A:$A, 0)))</f>
        <v>38.579102322758359</v>
      </c>
      <c r="L41">
        <f ca="1">L38 + IFERROR(L37 * INDEX(Assumptions!$B:$B, MATCH("Starship booster share of manufacturing cost (% of stack mfg)", Assumptions!$A:$A, 0)) / L21, 0) + L37 * (1 - INDEX(Assumptions!$B:$B, MATCH("Starship booster share of manufacturing cost (% of stack mfg)", Assumptions!$A:$A, 0)))</f>
        <v>37.404873781898047</v>
      </c>
      <c r="M41">
        <f ca="1">M38 + IFERROR(M37 * INDEX(Assumptions!$B:$B, MATCH("Starship booster share of manufacturing cost (% of stack mfg)", Assumptions!$A:$A, 0)) / M21, 0) + M37 * (1 - INDEX(Assumptions!$B:$B, MATCH("Starship booster share of manufacturing cost (% of stack mfg)", Assumptions!$A:$A, 0)))</f>
        <v>37.074293387269499</v>
      </c>
      <c r="N41">
        <f ca="1">N38 + IFERROR(N37 * INDEX(Assumptions!$B:$B, MATCH("Starship booster share of manufacturing cost (% of stack mfg)", Assumptions!$A:$A, 0)) / N21, 0) + N37 * (1 - INDEX(Assumptions!$B:$B, MATCH("Starship booster share of manufacturing cost (% of stack mfg)", Assumptions!$A:$A, 0)))</f>
        <v>35.375345533381932</v>
      </c>
      <c r="O41">
        <f ca="1">O38 + IFERROR(O37 * INDEX(Assumptions!$B:$B, MATCH("Starship booster share of manufacturing cost (% of stack mfg)", Assumptions!$A:$A, 0)) / O21, 0) + O37 * (1 - INDEX(Assumptions!$B:$B, MATCH("Starship booster share of manufacturing cost (% of stack mfg)", Assumptions!$A:$A, 0)))</f>
        <v>35.333714595115367</v>
      </c>
      <c r="P41">
        <f ca="1">P38 + IFERROR(P37 * INDEX(Assumptions!$B:$B, MATCH("Starship booster share of manufacturing cost (% of stack mfg)", Assumptions!$A:$A, 0)) / P21, 0) + P37 * (1 - INDEX(Assumptions!$B:$B, MATCH("Starship booster share of manufacturing cost (% of stack mfg)", Assumptions!$A:$A, 0)))</f>
        <v>34.130135172435025</v>
      </c>
      <c r="Q41">
        <f ca="1">Q38 + IFERROR(Q37 * INDEX(Assumptions!$B:$B, MATCH("Starship booster share of manufacturing cost (% of stack mfg)", Assumptions!$A:$A, 0)) / Q21, 0) + Q37 * (1 - INDEX(Assumptions!$B:$B, MATCH("Starship booster share of manufacturing cost (% of stack mfg)", Assumptions!$A:$A, 0)))</f>
        <v>33.538964727123457</v>
      </c>
      <c r="R41">
        <f ca="1">R38 + IFERROR(R37 * INDEX(Assumptions!$B:$B, MATCH("Starship booster share of manufacturing cost (% of stack mfg)", Assumptions!$A:$A, 0)) / R21, 0) + R37 * (1 - INDEX(Assumptions!$B:$B, MATCH("Starship booster share of manufacturing cost (% of stack mfg)", Assumptions!$A:$A, 0)))</f>
        <v>33.512613474900448</v>
      </c>
      <c r="S41">
        <f ca="1">S38 + IFERROR(S37 * INDEX(Assumptions!$B:$B, MATCH("Starship booster share of manufacturing cost (% of stack mfg)", Assumptions!$A:$A, 0)) / S21, 0) + S37 * (1 - INDEX(Assumptions!$B:$B, MATCH("Starship booster share of manufacturing cost (% of stack mfg)", Assumptions!$A:$A, 0)))</f>
        <v>32.38021979939878</v>
      </c>
      <c r="T41">
        <f ca="1">T38 + IFERROR(T37 * INDEX(Assumptions!$B:$B, MATCH("Starship booster share of manufacturing cost (% of stack mfg)", Assumptions!$A:$A, 0)) / T21, 0) + T37 * (1 - INDEX(Assumptions!$B:$B, MATCH("Starship booster share of manufacturing cost (% of stack mfg)", Assumptions!$A:$A, 0)))</f>
        <v>32.371880247526221</v>
      </c>
      <c r="U41">
        <f ca="1">U38 + IFERROR(U37 * INDEX(Assumptions!$B:$B, MATCH("Starship booster share of manufacturing cost (% of stack mfg)", Assumptions!$A:$A, 0)) / U21, 0) + U37 * (1 - INDEX(Assumptions!$B:$B, MATCH("Starship booster share of manufacturing cost (% of stack mfg)", Assumptions!$A:$A, 0)))</f>
        <v>31.873413718066693</v>
      </c>
      <c r="V41">
        <f ca="1">V38 + IFERROR(V37 * INDEX(Assumptions!$B:$B, MATCH("Starship booster share of manufacturing cost (% of stack mfg)", Assumptions!$A:$A, 0)) / V21, 0) + V37 * (1 - INDEX(Assumptions!$B:$B, MATCH("Starship booster share of manufacturing cost (% of stack mfg)", Assumptions!$A:$A, 0)))</f>
        <v>31.152825289710648</v>
      </c>
      <c r="W41">
        <f ca="1">W38 + IFERROR(W37 * INDEX(Assumptions!$B:$B, MATCH("Starship booster share of manufacturing cost (% of stack mfg)", Assumptions!$A:$A, 0)) / W21, 0) + W37 * (1 - INDEX(Assumptions!$B:$B, MATCH("Starship booster share of manufacturing cost (% of stack mfg)", Assumptions!$A:$A, 0)))</f>
        <v>31.14578769708832</v>
      </c>
      <c r="X41">
        <f ca="1">X38 + IFERROR(X37 * INDEX(Assumptions!$B:$B, MATCH("Starship booster share of manufacturing cost (% of stack mfg)", Assumptions!$A:$A, 0)) / X21, 0) + X37 * (1 - INDEX(Assumptions!$B:$B, MATCH("Starship booster share of manufacturing cost (% of stack mfg)", Assumptions!$A:$A, 0)))</f>
        <v>30.272930252359455</v>
      </c>
      <c r="Y41">
        <f ca="1">Y38 + IFERROR(Y37 * INDEX(Assumptions!$B:$B, MATCH("Starship booster share of manufacturing cost (% of stack mfg)", Assumptions!$A:$A, 0)) / Y21, 0) + Y37 * (1 - INDEX(Assumptions!$B:$B, MATCH("Starship booster share of manufacturing cost (% of stack mfg)", Assumptions!$A:$A, 0)))</f>
        <v>30.272930252359455</v>
      </c>
      <c r="Z41">
        <f ca="1">Z38 + IFERROR(Z37 * INDEX(Assumptions!$B:$B, MATCH("Starship booster share of manufacturing cost (% of stack mfg)", Assumptions!$A:$A, 0)) / Z21, 0) + Z37 * (1 - INDEX(Assumptions!$B:$B, MATCH("Starship booster share of manufacturing cost (% of stack mfg)", Assumptions!$A:$A, 0)))</f>
        <v>30.246974485512204</v>
      </c>
      <c r="AA41">
        <f ca="1">AA38 + IFERROR(AA37 * INDEX(Assumptions!$B:$B, MATCH("Starship booster share of manufacturing cost (% of stack mfg)", Assumptions!$A:$A, 0)) / AA21, 0) + AA37 * (1 - INDEX(Assumptions!$B:$B, MATCH("Starship booster share of manufacturing cost (% of stack mfg)", Assumptions!$A:$A, 0)))</f>
        <v>29.452056496574272</v>
      </c>
      <c r="AB41">
        <f ca="1">AB38 + IFERROR(AB37 * INDEX(Assumptions!$B:$B, MATCH("Starship booster share of manufacturing cost (% of stack mfg)", Assumptions!$A:$A, 0)) / AB21, 0) + AB37 * (1 - INDEX(Assumptions!$B:$B, MATCH("Starship booster share of manufacturing cost (% of stack mfg)", Assumptions!$A:$A, 0)))</f>
        <v>29.452056496574272</v>
      </c>
      <c r="AC41">
        <f ca="1">AC38 + IFERROR(AC37 * INDEX(Assumptions!$B:$B, MATCH("Starship booster share of manufacturing cost (% of stack mfg)", Assumptions!$A:$A, 0)) / AC21, 0) + AC37 * (1 - INDEX(Assumptions!$B:$B, MATCH("Starship booster share of manufacturing cost (% of stack mfg)", Assumptions!$A:$A, 0)))</f>
        <v>29.452056496574272</v>
      </c>
    </row>
    <row r="42" spans="1:29" x14ac:dyDescent="0.2">
      <c r="A42" s="22" t="s">
        <v>649</v>
      </c>
    </row>
    <row r="43" spans="1:29" x14ac:dyDescent="0.2">
      <c r="A43" s="21" t="s">
        <v>646</v>
      </c>
    </row>
    <row r="44" spans="1:29" x14ac:dyDescent="0.2">
      <c r="A44" t="s">
        <v>96</v>
      </c>
      <c r="D44" s="23">
        <f>INDEX(Assumptions!$B:$B, MATCH("F9 booster (1st stage) mfg cost ($mm/unit)", Assumptions!$A:$A, 0))</f>
        <v>30</v>
      </c>
    </row>
    <row r="45" spans="1:29" x14ac:dyDescent="0.2">
      <c r="A45" t="s">
        <v>98</v>
      </c>
      <c r="D45" s="23">
        <f>INDEX(Assumptions!$B:$B, MATCH("F9 2nd stage mfg cost ($mm/unit)", Assumptions!$A:$A, 0))</f>
        <v>10</v>
      </c>
    </row>
    <row r="46" spans="1:29" x14ac:dyDescent="0.2">
      <c r="A46" t="s">
        <v>100</v>
      </c>
      <c r="D46" s="23">
        <f>INDEX(Assumptions!$B:$B, MATCH("F9 fairing cost net of 75% recovery ($mm/flight)", Assumptions!$A:$A, 0))</f>
        <v>1.25</v>
      </c>
    </row>
    <row r="47" spans="1:29" x14ac:dyDescent="0.2">
      <c r="A47" t="s">
        <v>102</v>
      </c>
      <c r="D47" s="23">
        <f>INDEX(Assumptions!$B:$B, MATCH("F9 per-launch ops cost ($mm)", Assumptions!$A:$A, 0))</f>
        <v>5</v>
      </c>
    </row>
    <row r="48" spans="1:29" x14ac:dyDescent="0.2">
      <c r="A48" t="s">
        <v>104</v>
      </c>
      <c r="D48" s="17">
        <f>INDEX(Assumptions!$B:$B, MATCH("F9 booster refurb % of mfg", Assumptions!$A:$A, 0))</f>
        <v>0.03</v>
      </c>
    </row>
    <row r="49" spans="1:29" x14ac:dyDescent="0.2">
      <c r="A49" t="s">
        <v>106</v>
      </c>
      <c r="D49" s="15">
        <f>INDEX(Assumptions!$B:$B, MATCH("F9 payload to LEO (kg)", Assumptions!$A:$A, 0))</f>
        <v>22800</v>
      </c>
    </row>
    <row r="50" spans="1:29" x14ac:dyDescent="0.2">
      <c r="A50" t="s">
        <v>109</v>
      </c>
      <c r="D50" s="24">
        <f>INDEX(Assumptions!$B:$B, MATCH("F9 lifetime reuses per booster", Assumptions!$A:$A, 0))</f>
        <v>50</v>
      </c>
    </row>
    <row r="51" spans="1:29" x14ac:dyDescent="0.2">
      <c r="A51" t="s">
        <v>113</v>
      </c>
      <c r="D51" s="29">
        <f>INDEX(Assumptions!$B:$B, MATCH("F9 cadence per booster (flights/year, flat)", Assumptions!$A:$A, 0))</f>
        <v>12</v>
      </c>
    </row>
    <row r="52" spans="1:29" x14ac:dyDescent="0.2">
      <c r="A52" t="s">
        <v>668</v>
      </c>
      <c r="D52" s="17">
        <f>INDEX(Assumptions!$B:$B, MATCH("F9 Wright's Law mfg learning rate", Assumptions!$A:$A, 0))</f>
        <v>0.02</v>
      </c>
    </row>
    <row r="54" spans="1:29" x14ac:dyDescent="0.2">
      <c r="A54" s="21" t="s">
        <v>650</v>
      </c>
    </row>
    <row r="55" spans="1:29" x14ac:dyDescent="0.2">
      <c r="A55" t="s">
        <v>115</v>
      </c>
      <c r="D55" s="24">
        <f>INDEX(Assumptions!$B:$B, MATCH("F9 base booster build rate (boosters/year, pre-V3-trigger)", Assumptions!$A:$A, 0))</f>
        <v>8</v>
      </c>
    </row>
    <row r="56" spans="1:29" x14ac:dyDescent="0.2">
      <c r="A56" t="s">
        <v>117</v>
      </c>
      <c r="D56" s="24">
        <f>INDEX(Assumptions!$B:$B, MATCH("V3 Starlink launch trigger year", Assumptions!$A:$A, 0))</f>
        <v>2027</v>
      </c>
    </row>
    <row r="57" spans="1:29" x14ac:dyDescent="0.2">
      <c r="A57" t="s">
        <v>119</v>
      </c>
      <c r="D57" s="24">
        <f>INDEX(Assumptions!$B:$B, MATCH("F9 build-rate decay window (years)", Assumptions!$A:$A, 0))</f>
        <v>8</v>
      </c>
    </row>
    <row r="58" spans="1:29" x14ac:dyDescent="0.2">
      <c r="A58" t="s">
        <v>121</v>
      </c>
      <c r="D58" s="24">
        <f>INDEX(Assumptions!$B:$B, MATCH("F9 starting fleet at 2025 SoY (boosters)", Assumptions!$A:$A, 0))</f>
        <v>28</v>
      </c>
    </row>
    <row r="60" spans="1:29" x14ac:dyDescent="0.2">
      <c r="A60" t="s">
        <v>669</v>
      </c>
      <c r="D60" s="15">
        <f>$D$58</f>
        <v>28</v>
      </c>
      <c r="E60" s="15">
        <f>D63</f>
        <v>39</v>
      </c>
      <c r="F60" s="15">
        <f>E63</f>
        <v>54.29</v>
      </c>
      <c r="G60" s="15">
        <f t="shared" ref="G60:AC60" ca="1" si="12">F63</f>
        <v>61.887702700971602</v>
      </c>
      <c r="H60" s="15">
        <f t="shared" ca="1" si="12"/>
        <v>68.483275212287069</v>
      </c>
      <c r="I60" s="15">
        <f t="shared" ca="1" si="12"/>
        <v>74.085546162580613</v>
      </c>
      <c r="J60" s="15">
        <f t="shared" ca="1" si="12"/>
        <v>78.686542445504074</v>
      </c>
      <c r="K60" s="15">
        <f t="shared" ca="1" si="12"/>
        <v>82.38401730816625</v>
      </c>
      <c r="L60" s="15">
        <f t="shared" ca="1" si="12"/>
        <v>84.920210640358931</v>
      </c>
      <c r="M60" s="15">
        <f t="shared" ca="1" si="12"/>
        <v>86.754122491042764</v>
      </c>
      <c r="N60" s="15">
        <f t="shared" ca="1" si="12"/>
        <v>87.61050400043203</v>
      </c>
      <c r="O60" s="15">
        <f t="shared" ca="1" si="12"/>
        <v>86.705464575432359</v>
      </c>
      <c r="P60" s="15">
        <f t="shared" ca="1" si="12"/>
        <v>87.769793870947112</v>
      </c>
      <c r="Q60" s="15">
        <f t="shared" ca="1" si="12"/>
        <v>86.076665991313519</v>
      </c>
      <c r="R60" s="15">
        <f t="shared" ca="1" si="12"/>
        <v>86.766968360747157</v>
      </c>
      <c r="S60" s="15">
        <f t="shared" ca="1" si="12"/>
        <v>87.636105863521237</v>
      </c>
      <c r="T60" s="15">
        <f t="shared" ca="1" si="12"/>
        <v>84.388595299752467</v>
      </c>
      <c r="U60" s="15">
        <f t="shared" ca="1" si="12"/>
        <v>87.65428895041542</v>
      </c>
      <c r="V60" s="15">
        <f t="shared" ca="1" si="12"/>
        <v>84.749523550596251</v>
      </c>
      <c r="W60" s="15">
        <f t="shared" ca="1" si="12"/>
        <v>84.400852945800224</v>
      </c>
      <c r="X60" s="15">
        <f t="shared" ca="1" si="12"/>
        <v>87.674749347145166</v>
      </c>
      <c r="Y60" s="15">
        <f t="shared" ca="1" si="12"/>
        <v>81.701663568250254</v>
      </c>
      <c r="Z60" s="15">
        <f t="shared" ca="1" si="12"/>
        <v>87.485829905516198</v>
      </c>
      <c r="AA60" s="15">
        <f t="shared" ca="1" si="12"/>
        <v>85.208003541853103</v>
      </c>
      <c r="AB60" s="15">
        <f t="shared" ca="1" si="12"/>
        <v>80.16215081134149</v>
      </c>
      <c r="AC60" s="15">
        <f t="shared" ca="1" si="12"/>
        <v>87.634647155596099</v>
      </c>
    </row>
    <row r="61" spans="1:29" x14ac:dyDescent="0.2">
      <c r="A61" t="s">
        <v>1700</v>
      </c>
      <c r="D61" s="30">
        <v>17</v>
      </c>
      <c r="E61" s="30">
        <v>17</v>
      </c>
      <c r="F61" s="15">
        <f>MAX(0,$D$55*(1-(F$4-$D$56)/$D$57))</f>
        <v>8</v>
      </c>
      <c r="G61" s="15">
        <f t="shared" ref="G61:AC61" si="13">MAX(0,$D$55*(1-(G$4-$D$56)/$D$57))</f>
        <v>7</v>
      </c>
      <c r="H61" s="15">
        <f t="shared" si="13"/>
        <v>6</v>
      </c>
      <c r="I61" s="15">
        <f t="shared" si="13"/>
        <v>5</v>
      </c>
      <c r="J61" s="15">
        <f t="shared" si="13"/>
        <v>4</v>
      </c>
      <c r="K61" s="15">
        <f t="shared" si="13"/>
        <v>3</v>
      </c>
      <c r="L61" s="15">
        <f t="shared" si="13"/>
        <v>2</v>
      </c>
      <c r="M61" s="15">
        <f t="shared" si="13"/>
        <v>1</v>
      </c>
      <c r="N61" s="15">
        <f t="shared" si="13"/>
        <v>0</v>
      </c>
      <c r="O61" s="15">
        <f t="shared" si="13"/>
        <v>0</v>
      </c>
      <c r="P61" s="15">
        <f t="shared" si="13"/>
        <v>0</v>
      </c>
      <c r="Q61" s="15">
        <f t="shared" si="13"/>
        <v>0</v>
      </c>
      <c r="R61" s="15">
        <f t="shared" si="13"/>
        <v>0</v>
      </c>
      <c r="S61" s="15">
        <f t="shared" si="13"/>
        <v>0</v>
      </c>
      <c r="T61" s="15">
        <f t="shared" si="13"/>
        <v>0</v>
      </c>
      <c r="U61" s="15">
        <f t="shared" si="13"/>
        <v>0</v>
      </c>
      <c r="V61" s="15">
        <f t="shared" si="13"/>
        <v>0</v>
      </c>
      <c r="W61" s="15">
        <f t="shared" si="13"/>
        <v>0</v>
      </c>
      <c r="X61" s="15">
        <f t="shared" si="13"/>
        <v>0</v>
      </c>
      <c r="Y61" s="15">
        <f t="shared" si="13"/>
        <v>0</v>
      </c>
      <c r="Z61" s="15">
        <f t="shared" si="13"/>
        <v>0</v>
      </c>
      <c r="AA61" s="15">
        <f t="shared" si="13"/>
        <v>0</v>
      </c>
      <c r="AB61" s="15">
        <f t="shared" si="13"/>
        <v>0</v>
      </c>
      <c r="AC61" s="15">
        <f t="shared" si="13"/>
        <v>0</v>
      </c>
    </row>
    <row r="62" spans="1:29" x14ac:dyDescent="0.2">
      <c r="A62" t="s">
        <v>670</v>
      </c>
      <c r="D62" s="30">
        <v>6</v>
      </c>
      <c r="E62" s="30">
        <f>MIN(E60+E61, E64 * INDEX(Assumptions!$B:$B, MATCH("F9 retirement rate (% of launches/year)", Assumptions!$A:$A, 0)))</f>
        <v>1.71</v>
      </c>
      <c r="F62" s="30">
        <f ca="1">MIN(F60+F61, F64 * INDEX(Assumptions!$B:$B, MATCH("F9 retirement rate (% of launches/year)", Assumptions!$A:$A, 0)))</f>
        <v>0.40151133498066033</v>
      </c>
      <c r="G62" s="30">
        <f ca="1">MIN(G60+G61, G64 * INDEX(Assumptions!$B:$B, MATCH("F9 retirement rate (% of launches/year)", Assumptions!$A:$A, 0)))</f>
        <v>0.40716145983403984</v>
      </c>
      <c r="H62" s="30">
        <f ca="1">MIN(H60+H61, H64 * INDEX(Assumptions!$B:$B, MATCH("F9 retirement rate (% of launches/year)", Assumptions!$A:$A, 0)))</f>
        <v>0.39529178900805295</v>
      </c>
      <c r="I62" s="30">
        <f ca="1">MIN(I60+I61, I64 * INDEX(Assumptions!$B:$B, MATCH("F9 retirement rate (% of launches/year)", Assumptions!$A:$A, 0)))</f>
        <v>0.38228461561631877</v>
      </c>
      <c r="J62" s="30">
        <f ca="1">MIN(J60+J61, J64 * INDEX(Assumptions!$B:$B, MATCH("F9 retirement rate (% of launches/year)", Assumptions!$A:$A, 0)))</f>
        <v>0.38427867631704671</v>
      </c>
      <c r="K62" s="30">
        <f ca="1">MIN(K60+K61, K64 * INDEX(Assumptions!$B:$B, MATCH("F9 retirement rate (% of launches/year)", Assumptions!$A:$A, 0)))</f>
        <v>0.27667682046430941</v>
      </c>
      <c r="L62" s="30">
        <f ca="1">MIN(L60+L61, L64 * INDEX(Assumptions!$B:$B, MATCH("F9 retirement rate (% of launches/year)", Assumptions!$A:$A, 0)))</f>
        <v>0.38951146946456705</v>
      </c>
      <c r="M62" s="30">
        <f ca="1">MIN(M60+M61, M64 * INDEX(Assumptions!$B:$B, MATCH("F9 retirement rate (% of launches/year)", Assumptions!$A:$A, 0)))</f>
        <v>0.20824427717219082</v>
      </c>
      <c r="N62" s="30">
        <f ca="1">MIN(N60+N61, N64 * INDEX(Assumptions!$B:$B, MATCH("F9 retirement rate (% of launches/year)", Assumptions!$A:$A, 0)))</f>
        <v>0.11883215142792466</v>
      </c>
      <c r="O62" s="30">
        <f ca="1">MIN(O60+O61, O64 * INDEX(Assumptions!$B:$B, MATCH("F9 retirement rate (% of launches/year)", Assumptions!$A:$A, 0)))</f>
        <v>0.4320334143084133</v>
      </c>
      <c r="P62" s="30">
        <f ca="1">MIN(P60+P61, P64 * INDEX(Assumptions!$B:$B, MATCH("F9 retirement rate (% of launches/year)", Assumptions!$A:$A, 0)))</f>
        <v>0</v>
      </c>
      <c r="Q62" s="30">
        <f ca="1">MIN(Q60+Q61, Q64 * INDEX(Assumptions!$B:$B, MATCH("F9 retirement rate (% of launches/year)", Assumptions!$A:$A, 0)))</f>
        <v>0.41761756068928235</v>
      </c>
      <c r="R62" s="30">
        <f ca="1">MIN(R60+R61, R64 * INDEX(Assumptions!$B:$B, MATCH("F9 retirement rate (% of launches/year)", Assumptions!$A:$A, 0)))</f>
        <v>7.228976353180201E-3</v>
      </c>
      <c r="S62" s="30">
        <f ca="1">MIN(S60+S61, S64 * INDEX(Assumptions!$B:$B, MATCH("F9 retirement rate (% of launches/year)", Assumptions!$A:$A, 0)))</f>
        <v>0</v>
      </c>
      <c r="T62" s="30">
        <f ca="1">MIN(T60+T61, T64 * INDEX(Assumptions!$B:$B, MATCH("F9 retirement rate (% of launches/year)", Assumptions!$A:$A, 0)))</f>
        <v>0.53656996514430211</v>
      </c>
      <c r="U62" s="30">
        <f ca="1">MIN(U60+U61, U64 * INDEX(Assumptions!$B:$B, MATCH("F9 retirement rate (% of launches/year)", Assumptions!$A:$A, 0)))</f>
        <v>0</v>
      </c>
      <c r="V62" s="30">
        <f ca="1">MIN(V60+V61, V64 * INDEX(Assumptions!$B:$B, MATCH("F9 retirement rate (% of launches/year)", Assumptions!$A:$A, 0)))</f>
        <v>0.40812677807897985</v>
      </c>
      <c r="W62" s="30">
        <f ca="1">MIN(W60+W61, W64 * INDEX(Assumptions!$B:$B, MATCH("F9 retirement rate (% of launches/year)", Assumptions!$A:$A, 0)))</f>
        <v>0.36148698152692227</v>
      </c>
      <c r="X62" s="30">
        <f ca="1">MIN(X60+X61, X64 * INDEX(Assumptions!$B:$B, MATCH("F9 retirement rate (% of launches/year)", Assumptions!$A:$A, 0)))</f>
        <v>0</v>
      </c>
      <c r="Y62" s="30">
        <f ca="1">MIN(Y60+Y61, Y64 * INDEX(Assumptions!$B:$B, MATCH("F9 retirement rate (% of launches/year)", Assumptions!$A:$A, 0)))</f>
        <v>0.67546860449418089</v>
      </c>
      <c r="Z62" s="30">
        <f ca="1">MIN(Z60+Z61, Z64 * INDEX(Assumptions!$B:$B, MATCH("F9 retirement rate (% of launches/year)", Assumptions!$A:$A, 0)))</f>
        <v>0</v>
      </c>
      <c r="AA62" s="30">
        <f ca="1">MIN(AA60+AA61, AA64 * INDEX(Assumptions!$B:$B, MATCH("F9 retirement rate (% of launches/year)", Assumptions!$A:$A, 0)))</f>
        <v>0.29591882948764126</v>
      </c>
      <c r="AB62" s="30">
        <f ca="1">MIN(AB60+AB61, AB64 * INDEX(Assumptions!$B:$B, MATCH("F9 retirement rate (% of launches/year)", Assumptions!$A:$A, 0)))</f>
        <v>0.75590655138088525</v>
      </c>
      <c r="AC62" s="30">
        <f ca="1">MIN(AC60+AC61, AC64 * INDEX(Assumptions!$B:$B, MATCH("F9 retirement rate (% of launches/year)", Assumptions!$A:$A, 0)))</f>
        <v>0</v>
      </c>
    </row>
    <row r="63" spans="1:29" x14ac:dyDescent="0.2">
      <c r="A63" t="s">
        <v>671</v>
      </c>
      <c r="D63" s="15">
        <f>MAX(0,D60+D61-D62)</f>
        <v>39</v>
      </c>
      <c r="E63" s="15">
        <f>MAX(0,E60+E61-E62)</f>
        <v>54.29</v>
      </c>
      <c r="F63" s="15">
        <f t="shared" ref="F63:AC63" ca="1" si="14">MAX(0,F60+F61-F62)</f>
        <v>61.888488665019338</v>
      </c>
      <c r="G63" s="15">
        <f t="shared" ca="1" si="14"/>
        <v>68.480541241137558</v>
      </c>
      <c r="H63" s="15">
        <f t="shared" ca="1" si="14"/>
        <v>74.087983423279013</v>
      </c>
      <c r="I63" s="15">
        <f t="shared" ca="1" si="14"/>
        <v>78.703261546964299</v>
      </c>
      <c r="J63" s="15">
        <f t="shared" ca="1" si="14"/>
        <v>82.302263769187022</v>
      </c>
      <c r="K63" s="15">
        <f t="shared" ca="1" si="14"/>
        <v>85.107340487701947</v>
      </c>
      <c r="L63" s="15">
        <f t="shared" ca="1" si="14"/>
        <v>86.530699170894366</v>
      </c>
      <c r="M63" s="15">
        <f t="shared" ca="1" si="14"/>
        <v>87.54587821387058</v>
      </c>
      <c r="N63" s="15">
        <f t="shared" ca="1" si="14"/>
        <v>87.491671849004106</v>
      </c>
      <c r="O63" s="15">
        <f t="shared" ca="1" si="14"/>
        <v>86.273431161123952</v>
      </c>
      <c r="P63" s="15">
        <f t="shared" ca="1" si="14"/>
        <v>87.769793870947112</v>
      </c>
      <c r="Q63" s="15">
        <f t="shared" ca="1" si="14"/>
        <v>85.659048430624239</v>
      </c>
      <c r="R63" s="15">
        <f t="shared" ca="1" si="14"/>
        <v>86.759739384393981</v>
      </c>
      <c r="S63" s="15">
        <f t="shared" ca="1" si="14"/>
        <v>87.636105863521237</v>
      </c>
      <c r="T63" s="15">
        <f t="shared" ca="1" si="14"/>
        <v>83.852025334608172</v>
      </c>
      <c r="U63" s="15">
        <f t="shared" ca="1" si="14"/>
        <v>87.65428895041542</v>
      </c>
      <c r="V63" s="15">
        <f t="shared" ca="1" si="14"/>
        <v>84.341396772517271</v>
      </c>
      <c r="W63" s="15">
        <f t="shared" ca="1" si="14"/>
        <v>84.039365964273301</v>
      </c>
      <c r="X63" s="15">
        <f t="shared" ca="1" si="14"/>
        <v>87.674749347145166</v>
      </c>
      <c r="Y63" s="15">
        <f t="shared" ca="1" si="14"/>
        <v>81.026194963756069</v>
      </c>
      <c r="Z63" s="15">
        <f t="shared" ca="1" si="14"/>
        <v>87.485829905516198</v>
      </c>
      <c r="AA63" s="15">
        <f t="shared" ca="1" si="14"/>
        <v>84.912084712365456</v>
      </c>
      <c r="AB63" s="15">
        <f t="shared" ca="1" si="14"/>
        <v>79.406244259960602</v>
      </c>
      <c r="AC63" s="15">
        <f t="shared" ca="1" si="14"/>
        <v>87.634647155596099</v>
      </c>
    </row>
    <row r="64" spans="1:29" x14ac:dyDescent="0.2">
      <c r="A64" t="s">
        <v>672</v>
      </c>
      <c r="D64" s="30">
        <v>171</v>
      </c>
      <c r="E64" s="30">
        <v>171</v>
      </c>
      <c r="F64" s="15" cm="1">
        <f t="array" aca="1" ref="F64" ca="1">MIN(F60*$D$51, IFERROR(INDEX('Customer Launch'!$D:$AC, MATCH("F9 customer launches per year", 'Customer Launch'!$A:$A, 0), F$5+1), 0) + IFERROR(INDEX(Starlink!$D:$AC, MATCH("F9 V2 BB launches (internal)", Starlink!$A:$A, 0), F$5+1), 0) + IFERROR(INDEX(Starlink!$D:$AC, MATCH("F9 V2 DTC launches (internal)", Starlink!$A:$A, 0), F$5+1), 0))</f>
        <v>40.212721322625484</v>
      </c>
      <c r="G64" s="15" cm="1">
        <f t="array" aca="1" ref="G64" ca="1">MIN(G60*$D$51, IFERROR(INDEX('Customer Launch'!$D:$AC, MATCH("F9 customer launches per year", 'Customer Launch'!$A:$A, 0), G$5+1), 0) + IFERROR(INDEX(Starlink!$D:$AC, MATCH("F9 V2 BB launches (internal)", Starlink!$A:$A, 0), G$5+1), 0) + IFERROR(INDEX(Starlink!$D:$AC, MATCH("F9 V2 DTC launches (internal)", Starlink!$A:$A, 0), G$5+1), 0))</f>
        <v>40.429829685108643</v>
      </c>
      <c r="H64" s="15" cm="1">
        <f t="array" aca="1" ref="H64" ca="1">MIN(H60*$D$51, IFERROR(INDEX('Customer Launch'!$D:$AC, MATCH("F9 customer launches per year", 'Customer Launch'!$A:$A, 0), H$5+1), 0) + IFERROR(INDEX(Starlink!$D:$AC, MATCH("F9 V2 BB launches (internal)", Starlink!$A:$A, 0), H$5+1), 0) + IFERROR(INDEX(Starlink!$D:$AC, MATCH("F9 V2 DTC launches (internal)", Starlink!$A:$A, 0), H$5+1), 0))</f>
        <v>40.243738675339401</v>
      </c>
      <c r="I64" s="15" cm="1">
        <f t="array" aca="1" ref="I64" ca="1">MIN(I60*$D$51, IFERROR(INDEX('Customer Launch'!$D:$AC, MATCH("F9 customer launches per year", 'Customer Launch'!$A:$A, 0), I$5+1), 0) + IFERROR(INDEX(Starlink!$D:$AC, MATCH("F9 V2 BB launches (internal)", Starlink!$A:$A, 0), I$5+1), 0) + IFERROR(INDEX(Starlink!$D:$AC, MATCH("F9 V2 DTC launches (internal)", Starlink!$A:$A, 0), I$5+1), 0))</f>
        <v>37.688741173703761</v>
      </c>
      <c r="J64" s="15" cm="1">
        <f t="array" aca="1" ref="J64" ca="1">MIN(J60*$D$51, IFERROR(INDEX('Customer Launch'!$D:$AC, MATCH("F9 customer launches per year", 'Customer Launch'!$A:$A, 0), J$5+1), 0) + IFERROR(INDEX(Starlink!$D:$AC, MATCH("F9 V2 BB launches (internal)", Starlink!$A:$A, 0), J$5+1), 0) + IFERROR(INDEX(Starlink!$D:$AC, MATCH("F9 V2 DTC launches (internal)", Starlink!$A:$A, 0), J$5+1), 0))</f>
        <v>35.912332082246529</v>
      </c>
      <c r="K64" s="15" cm="1">
        <f t="array" aca="1" ref="K64" ca="1">MIN(K60*$D$51, IFERROR(INDEX('Customer Launch'!$D:$AC, MATCH("F9 customer launches per year", 'Customer Launch'!$A:$A, 0), K$5+1), 0) + IFERROR(INDEX(Starlink!$D:$AC, MATCH("F9 V2 BB launches (internal)", Starlink!$A:$A, 0), K$5+1), 0) + IFERROR(INDEX(Starlink!$D:$AC, MATCH("F9 V2 DTC launches (internal)", Starlink!$A:$A, 0), K$5+1), 0))</f>
        <v>37.843940126848942</v>
      </c>
      <c r="L64" s="15" cm="1">
        <f t="array" aca="1" ref="L64" ca="1">MIN(L60*$D$51, IFERROR(INDEX('Customer Launch'!$D:$AC, MATCH("F9 customer launches per year", 'Customer Launch'!$A:$A, 0), L$5+1), 0) + IFERROR(INDEX(Starlink!$D:$AC, MATCH("F9 V2 BB launches (internal)", Starlink!$A:$A, 0), L$5+1), 0) + IFERROR(INDEX(Starlink!$D:$AC, MATCH("F9 V2 DTC launches (internal)", Starlink!$A:$A, 0), L$5+1), 0))</f>
        <v>19.398769564954641</v>
      </c>
      <c r="M64" s="15" cm="1">
        <f t="array" aca="1" ref="M64" ca="1">MIN(M60*$D$51, IFERROR(INDEX('Customer Launch'!$D:$AC, MATCH("F9 customer launches per year", 'Customer Launch'!$A:$A, 0), M$5+1), 0) + IFERROR(INDEX(Starlink!$D:$AC, MATCH("F9 V2 BB launches (internal)", Starlink!$A:$A, 0), M$5+1), 0) + IFERROR(INDEX(Starlink!$D:$AC, MATCH("F9 V2 DTC launches (internal)", Starlink!$A:$A, 0), M$5+1), 0))</f>
        <v>40.105919523476203</v>
      </c>
      <c r="N64" s="15" cm="1">
        <f t="array" aca="1" ref="N64" ca="1">MIN(N60*$D$51, IFERROR(INDEX('Customer Launch'!$D:$AC, MATCH("F9 customer launches per year", 'Customer Launch'!$A:$A, 0), N$5+1), 0) + IFERROR(INDEX(Starlink!$D:$AC, MATCH("F9 V2 BB launches (internal)", Starlink!$A:$A, 0), N$5+1), 0) + IFERROR(INDEX(Starlink!$D:$AC, MATCH("F9 V2 DTC launches (internal)", Starlink!$A:$A, 0), N$5+1), 0))</f>
        <v>12.814486534141174</v>
      </c>
      <c r="O64" s="15" cm="1">
        <f t="array" aca="1" ref="O64" ca="1">MIN(O60*$D$51, IFERROR(INDEX('Customer Launch'!$D:$AC, MATCH("F9 customer launches per year", 'Customer Launch'!$A:$A, 0), O$5+1), 0) + IFERROR(INDEX(Starlink!$D:$AC, MATCH("F9 V2 BB launches (internal)", Starlink!$A:$A, 0), O$5+1), 0) + IFERROR(INDEX(Starlink!$D:$AC, MATCH("F9 V2 DTC launches (internal)", Starlink!$A:$A, 0), O$5+1), 0))</f>
        <v>5.1019831556478792</v>
      </c>
      <c r="P64" s="15" cm="1">
        <f t="array" aca="1" ref="P64" ca="1">MIN(P60*$D$51, IFERROR(INDEX('Customer Launch'!$D:$AC, MATCH("F9 customer launches per year", 'Customer Launch'!$A:$A, 0), P$5+1), 0) + IFERROR(INDEX(Starlink!$D:$AC, MATCH("F9 V2 BB launches (internal)", Starlink!$A:$A, 0), P$5+1), 0) + IFERROR(INDEX(Starlink!$D:$AC, MATCH("F9 V2 DTC launches (internal)", Starlink!$A:$A, 0), P$5+1), 0))</f>
        <v>44.961864670598025</v>
      </c>
      <c r="Q64" s="15" cm="1">
        <f t="array" aca="1" ref="Q64" ca="1">MIN(Q60*$D$51, IFERROR(INDEX('Customer Launch'!$D:$AC, MATCH("F9 customer launches per year", 'Customer Launch'!$A:$A, 0), Q$5+1), 0) + IFERROR(INDEX(Starlink!$D:$AC, MATCH("F9 V2 BB launches (internal)", Starlink!$A:$A, 0), Q$5+1), 0) + IFERROR(INDEX(Starlink!$D:$AC, MATCH("F9 V2 DTC launches (internal)", Starlink!$A:$A, 0), Q$5+1), 0))</f>
        <v>0</v>
      </c>
      <c r="R64" s="15" cm="1">
        <f t="array" aca="1" ref="R64" ca="1">MIN(R60*$D$51, IFERROR(INDEX('Customer Launch'!$D:$AC, MATCH("F9 customer launches per year", 'Customer Launch'!$A:$A, 0), R$5+1), 0) + IFERROR(INDEX(Starlink!$D:$AC, MATCH("F9 V2 BB launches (internal)", Starlink!$A:$A, 0), R$5+1), 0) + IFERROR(INDEX(Starlink!$D:$AC, MATCH("F9 V2 DTC launches (internal)", Starlink!$A:$A, 0), R$5+1), 0))</f>
        <v>43.660641073830881</v>
      </c>
      <c r="S64" s="15" cm="1">
        <f t="array" aca="1" ref="S64" ca="1">MIN(S60*$D$51, IFERROR(INDEX('Customer Launch'!$D:$AC, MATCH("F9 customer launches per year", 'Customer Launch'!$A:$A, 0), S$5+1), 0) + IFERROR(INDEX(Starlink!$D:$AC, MATCH("F9 V2 BB launches (internal)", Starlink!$A:$A, 0), S$5+1), 0) + IFERROR(INDEX(Starlink!$D:$AC, MATCH("F9 V2 DTC launches (internal)", Starlink!$A:$A, 0), S$5+1), 0))</f>
        <v>0</v>
      </c>
      <c r="T64" s="15" cm="1">
        <f t="array" aca="1" ref="T64" ca="1">MIN(T60*$D$51, IFERROR(INDEX('Customer Launch'!$D:$AC, MATCH("F9 customer launches per year", 'Customer Launch'!$A:$A, 0), T$5+1), 0) + IFERROR(INDEX(Starlink!$D:$AC, MATCH("F9 V2 BB launches (internal)", Starlink!$A:$A, 0), T$5+1), 0) + IFERROR(INDEX(Starlink!$D:$AC, MATCH("F9 V2 DTC launches (internal)", Starlink!$A:$A, 0), T$5+1), 0))</f>
        <v>0</v>
      </c>
      <c r="U64" s="15" cm="1">
        <f t="array" aca="1" ref="U64" ca="1">MIN(U60*$D$51, IFERROR(INDEX('Customer Launch'!$D:$AC, MATCH("F9 customer launches per year", 'Customer Launch'!$A:$A, 0), U$5+1), 0) + IFERROR(INDEX(Starlink!$D:$AC, MATCH("F9 V2 BB launches (internal)", Starlink!$A:$A, 0), U$5+1), 0) + IFERROR(INDEX(Starlink!$D:$AC, MATCH("F9 V2 DTC launches (internal)", Starlink!$A:$A, 0), U$5+1), 0))</f>
        <v>56.497402367563403</v>
      </c>
      <c r="V64" s="15" cm="1">
        <f t="array" aca="1" ref="V64" ca="1">MIN(V60*$D$51, IFERROR(INDEX('Customer Launch'!$D:$AC, MATCH("F9 customer launches per year", 'Customer Launch'!$A:$A, 0), V$5+1), 0) + IFERROR(INDEX(Starlink!$D:$AC, MATCH("F9 V2 BB launches (internal)", Starlink!$A:$A, 0), V$5+1), 0) + IFERROR(INDEX(Starlink!$D:$AC, MATCH("F9 V2 DTC launches (internal)", Starlink!$A:$A, 0), V$5+1), 0))</f>
        <v>0</v>
      </c>
      <c r="W64" s="15" cm="1">
        <f t="array" aca="1" ref="W64" ca="1">MIN(W60*$D$51, IFERROR(INDEX('Customer Launch'!$D:$AC, MATCH("F9 customer launches per year", 'Customer Launch'!$A:$A, 0), W$5+1), 0) + IFERROR(INDEX(Starlink!$D:$AC, MATCH("F9 V2 BB launches (internal)", Starlink!$A:$A, 0), W$5+1), 0) + IFERROR(INDEX(Starlink!$D:$AC, MATCH("F9 V2 DTC launches (internal)", Starlink!$A:$A, 0), W$5+1), 0))</f>
        <v>43.418583458504493</v>
      </c>
      <c r="X64" s="15" cm="1">
        <f t="array" aca="1" ref="X64" ca="1">MIN(X60*$D$51, IFERROR(INDEX('Customer Launch'!$D:$AC, MATCH("F9 customer launches per year", 'Customer Launch'!$A:$A, 0), X$5+1), 0) + IFERROR(INDEX(Starlink!$D:$AC, MATCH("F9 V2 BB launches (internal)", Starlink!$A:$A, 0), X$5+1), 0) + IFERROR(INDEX(Starlink!$D:$AC, MATCH("F9 V2 DTC launches (internal)", Starlink!$A:$A, 0), X$5+1), 0))</f>
        <v>38.195066690065886</v>
      </c>
      <c r="Y64" s="15" cm="1">
        <f t="array" aca="1" ref="Y64" ca="1">MIN(Y60*$D$51, IFERROR(INDEX('Customer Launch'!$D:$AC, MATCH("F9 customer launches per year", 'Customer Launch'!$A:$A, 0), Y$5+1), 0) + IFERROR(INDEX(Starlink!$D:$AC, MATCH("F9 V2 BB launches (internal)", Starlink!$A:$A, 0), Y$5+1), 0) + IFERROR(INDEX(Starlink!$D:$AC, MATCH("F9 V2 DTC launches (internal)", Starlink!$A:$A, 0), Y$5+1), 0))</f>
        <v>0</v>
      </c>
      <c r="Z64" s="15" cm="1">
        <f t="array" aca="1" ref="Z64" ca="1">MIN(Z60*$D$51, IFERROR(INDEX('Customer Launch'!$D:$AC, MATCH("F9 customer launches per year", 'Customer Launch'!$A:$A, 0), Z$5+1), 0) + IFERROR(INDEX(Starlink!$D:$AC, MATCH("F9 V2 BB launches (internal)", Starlink!$A:$A, 0), Z$5+1), 0) + IFERROR(INDEX(Starlink!$D:$AC, MATCH("F9 V2 DTC launches (internal)", Starlink!$A:$A, 0), Z$5+1), 0))</f>
        <v>71.5840691742535</v>
      </c>
      <c r="AA64" s="15" cm="1">
        <f t="array" aca="1" ref="AA64" ca="1">MIN(AA60*$D$51, IFERROR(INDEX('Customer Launch'!$D:$AC, MATCH("F9 customer launches per year", 'Customer Launch'!$A:$A, 0), AA$5+1), 0) + IFERROR(INDEX(Starlink!$D:$AC, MATCH("F9 V2 BB launches (internal)", Starlink!$A:$A, 0), AA$5+1), 0) + IFERROR(INDEX(Starlink!$D:$AC, MATCH("F9 V2 DTC launches (internal)", Starlink!$A:$A, 0), AA$5+1), 0))</f>
        <v>0</v>
      </c>
      <c r="AB64" s="15" cm="1">
        <f t="array" aca="1" ref="AB64" ca="1">MIN(AB60*$D$51, IFERROR(INDEX('Customer Launch'!$D:$AC, MATCH("F9 customer launches per year", 'Customer Launch'!$A:$A, 0), AB$5+1), 0) + IFERROR(INDEX(Starlink!$D:$AC, MATCH("F9 V2 BB launches (internal)", Starlink!$A:$A, 0), AB$5+1), 0) + IFERROR(INDEX(Starlink!$D:$AC, MATCH("F9 V2 DTC launches (internal)", Starlink!$A:$A, 0), AB$5+1), 0))</f>
        <v>32.837714496821022</v>
      </c>
      <c r="AC64" s="15" cm="1">
        <f t="array" aca="1" ref="AC64" ca="1">MIN(AC60*$D$51, IFERROR(INDEX('Customer Launch'!$D:$AC, MATCH("F9 customer launches per year", 'Customer Launch'!$A:$A, 0), AC$5+1), 0) + IFERROR(INDEX(Starlink!$D:$AC, MATCH("F9 V2 BB launches (internal)", Starlink!$A:$A, 0), AC$5+1), 0) + IFERROR(INDEX(Starlink!$D:$AC, MATCH("F9 V2 DTC launches (internal)", Starlink!$A:$A, 0), AC$5+1), 0))</f>
        <v>80.378766459977101</v>
      </c>
    </row>
    <row r="65" spans="1:29" x14ac:dyDescent="0.2">
      <c r="A65" t="s">
        <v>673</v>
      </c>
      <c r="D65" s="26">
        <f>IFERROR(D64/D60,0)</f>
        <v>6.1071428571428568</v>
      </c>
      <c r="E65" s="26">
        <f>IFERROR(E64/E60,0)</f>
        <v>4.384615384615385</v>
      </c>
      <c r="F65" s="26">
        <f t="shared" ref="F65:AC65" ca="1" si="15">IFERROR(F64/F60,0)</f>
        <v>0.7407021794552493</v>
      </c>
      <c r="G65" s="26">
        <f t="shared" ca="1" si="15"/>
        <v>0.65327727352325715</v>
      </c>
      <c r="H65" s="26">
        <f t="shared" ca="1" si="15"/>
        <v>0.58764331218958676</v>
      </c>
      <c r="I65" s="26">
        <f t="shared" ca="1" si="15"/>
        <v>0.50871921887429805</v>
      </c>
      <c r="J65" s="26">
        <f t="shared" ca="1" si="15"/>
        <v>0.45639738341684444</v>
      </c>
      <c r="K65" s="26">
        <f t="shared" ca="1" si="15"/>
        <v>0.45936021771419117</v>
      </c>
      <c r="L65" s="26">
        <f t="shared" ca="1" si="15"/>
        <v>0.22843525020338606</v>
      </c>
      <c r="M65" s="26">
        <f t="shared" ca="1" si="15"/>
        <v>0.46229410628431034</v>
      </c>
      <c r="N65" s="26">
        <f t="shared" ca="1" si="15"/>
        <v>0.14626655422594056</v>
      </c>
      <c r="O65" s="26">
        <f t="shared" ca="1" si="15"/>
        <v>5.8842694409522896E-2</v>
      </c>
      <c r="P65" s="26">
        <f t="shared" ca="1" si="15"/>
        <v>0.51227036874107279</v>
      </c>
      <c r="Q65" s="26">
        <f t="shared" ca="1" si="15"/>
        <v>0</v>
      </c>
      <c r="R65" s="26">
        <f t="shared" ca="1" si="15"/>
        <v>0.50319426734267103</v>
      </c>
      <c r="S65" s="26">
        <f t="shared" ca="1" si="15"/>
        <v>0</v>
      </c>
      <c r="T65" s="26">
        <f t="shared" ca="1" si="15"/>
        <v>0</v>
      </c>
      <c r="U65" s="26">
        <f t="shared" ca="1" si="15"/>
        <v>0.64454806540639498</v>
      </c>
      <c r="V65" s="26">
        <f t="shared" ca="1" si="15"/>
        <v>0</v>
      </c>
      <c r="W65" s="26">
        <f t="shared" ca="1" si="15"/>
        <v>0.51443299378012974</v>
      </c>
      <c r="X65" s="26">
        <f t="shared" ca="1" si="15"/>
        <v>0.43564500582526705</v>
      </c>
      <c r="Y65" s="26">
        <f t="shared" ca="1" si="15"/>
        <v>0</v>
      </c>
      <c r="Z65" s="26">
        <f t="shared" ca="1" si="15"/>
        <v>0.8182361560902327</v>
      </c>
      <c r="AA65" s="26">
        <f t="shared" ca="1" si="15"/>
        <v>0</v>
      </c>
      <c r="AB65" s="26">
        <f t="shared" ca="1" si="15"/>
        <v>0.40964113567889798</v>
      </c>
      <c r="AC65" s="26">
        <f t="shared" ca="1" si="15"/>
        <v>0.91720305916521672</v>
      </c>
    </row>
    <row r="67" spans="1:29" x14ac:dyDescent="0.2">
      <c r="A67" s="21" t="s">
        <v>651</v>
      </c>
    </row>
    <row r="68" spans="1:29" x14ac:dyDescent="0.2">
      <c r="A68" t="s">
        <v>674</v>
      </c>
      <c r="D68" s="15">
        <f>D60*$D$51*$D$49</f>
        <v>7660800</v>
      </c>
      <c r="E68" s="15">
        <f t="shared" ref="E68:AC68" si="16">E60*$D$51*$D$49</f>
        <v>10670400</v>
      </c>
      <c r="F68" s="15">
        <f t="shared" si="16"/>
        <v>14853744</v>
      </c>
      <c r="G68" s="15">
        <f t="shared" ca="1" si="16"/>
        <v>16932475.458985832</v>
      </c>
      <c r="H68" s="15">
        <f t="shared" ca="1" si="16"/>
        <v>18737024.098081741</v>
      </c>
      <c r="I68" s="15">
        <f t="shared" ca="1" si="16"/>
        <v>20269805.430082057</v>
      </c>
      <c r="J68" s="15">
        <f t="shared" ca="1" si="16"/>
        <v>21528638.013089914</v>
      </c>
      <c r="K68" s="15">
        <f t="shared" ca="1" si="16"/>
        <v>22540267.135514285</v>
      </c>
      <c r="L68" s="15">
        <f t="shared" ca="1" si="16"/>
        <v>23234169.631202202</v>
      </c>
      <c r="M68" s="15">
        <f t="shared" ca="1" si="16"/>
        <v>23735927.9135493</v>
      </c>
      <c r="N68" s="15">
        <f t="shared" ca="1" si="16"/>
        <v>23970233.894518208</v>
      </c>
      <c r="O68" s="15">
        <f t="shared" ca="1" si="16"/>
        <v>23722615.107838292</v>
      </c>
      <c r="P68" s="15">
        <f t="shared" ca="1" si="16"/>
        <v>24013815.603091128</v>
      </c>
      <c r="Q68" s="15">
        <f t="shared" ca="1" si="16"/>
        <v>23550575.815223377</v>
      </c>
      <c r="R68" s="15">
        <f t="shared" ca="1" si="16"/>
        <v>23739442.54350042</v>
      </c>
      <c r="S68" s="15">
        <f t="shared" ca="1" si="16"/>
        <v>23977238.564259406</v>
      </c>
      <c r="T68" s="15">
        <f t="shared" ca="1" si="16"/>
        <v>23088719.674012274</v>
      </c>
      <c r="U68" s="15">
        <f t="shared" ca="1" si="16"/>
        <v>23982213.456833657</v>
      </c>
      <c r="V68" s="15">
        <f t="shared" ca="1" si="16"/>
        <v>23187469.643443134</v>
      </c>
      <c r="W68" s="15">
        <f t="shared" ca="1" si="16"/>
        <v>23092073.365970939</v>
      </c>
      <c r="X68" s="15">
        <f t="shared" ca="1" si="16"/>
        <v>23987811.421378918</v>
      </c>
      <c r="Y68" s="15">
        <f t="shared" ca="1" si="16"/>
        <v>22353575.152273271</v>
      </c>
      <c r="Z68" s="15">
        <f t="shared" ca="1" si="16"/>
        <v>23936123.06214923</v>
      </c>
      <c r="AA68" s="15">
        <f t="shared" ca="1" si="16"/>
        <v>23312909.769051012</v>
      </c>
      <c r="AB68" s="15">
        <f t="shared" ca="1" si="16"/>
        <v>21932364.461983033</v>
      </c>
      <c r="AC68" s="15">
        <f t="shared" ca="1" si="16"/>
        <v>23976839.461771093</v>
      </c>
    </row>
    <row r="69" spans="1:29" x14ac:dyDescent="0.2">
      <c r="A69" t="s">
        <v>675</v>
      </c>
      <c r="D69" s="23">
        <f>$D$45+$D$46+$D$47+$D$48*$D$44</f>
        <v>17.149999999999999</v>
      </c>
      <c r="E69">
        <f t="shared" ref="E69:AC69" si="17">$D$45+$D$46+$D$47+$D$48*$D$44</f>
        <v>17.149999999999999</v>
      </c>
      <c r="F69">
        <f t="shared" si="17"/>
        <v>17.149999999999999</v>
      </c>
      <c r="G69">
        <f t="shared" si="17"/>
        <v>17.149999999999999</v>
      </c>
      <c r="H69">
        <f t="shared" si="17"/>
        <v>17.149999999999999</v>
      </c>
      <c r="I69">
        <f t="shared" si="17"/>
        <v>17.149999999999999</v>
      </c>
      <c r="J69">
        <f t="shared" si="17"/>
        <v>17.149999999999999</v>
      </c>
      <c r="K69">
        <f t="shared" si="17"/>
        <v>17.149999999999999</v>
      </c>
      <c r="L69">
        <f t="shared" si="17"/>
        <v>17.149999999999999</v>
      </c>
      <c r="M69">
        <f t="shared" si="17"/>
        <v>17.149999999999999</v>
      </c>
      <c r="N69">
        <f t="shared" si="17"/>
        <v>17.149999999999999</v>
      </c>
      <c r="O69">
        <f t="shared" si="17"/>
        <v>17.149999999999999</v>
      </c>
      <c r="P69">
        <f t="shared" si="17"/>
        <v>17.149999999999999</v>
      </c>
      <c r="Q69">
        <f t="shared" si="17"/>
        <v>17.149999999999999</v>
      </c>
      <c r="R69">
        <f t="shared" si="17"/>
        <v>17.149999999999999</v>
      </c>
      <c r="S69">
        <f t="shared" si="17"/>
        <v>17.149999999999999</v>
      </c>
      <c r="T69">
        <f t="shared" si="17"/>
        <v>17.149999999999999</v>
      </c>
      <c r="U69">
        <f t="shared" si="17"/>
        <v>17.149999999999999</v>
      </c>
      <c r="V69">
        <f t="shared" si="17"/>
        <v>17.149999999999999</v>
      </c>
      <c r="W69">
        <f t="shared" si="17"/>
        <v>17.149999999999999</v>
      </c>
      <c r="X69">
        <f t="shared" si="17"/>
        <v>17.149999999999999</v>
      </c>
      <c r="Y69">
        <f t="shared" si="17"/>
        <v>17.149999999999999</v>
      </c>
      <c r="Z69">
        <f t="shared" si="17"/>
        <v>17.149999999999999</v>
      </c>
      <c r="AA69">
        <f t="shared" si="17"/>
        <v>17.149999999999999</v>
      </c>
      <c r="AB69">
        <f t="shared" si="17"/>
        <v>17.149999999999999</v>
      </c>
      <c r="AC69">
        <f t="shared" si="17"/>
        <v>17.149999999999999</v>
      </c>
    </row>
    <row r="70" spans="1:29" x14ac:dyDescent="0.2">
      <c r="A70" t="s">
        <v>676</v>
      </c>
      <c r="D70" s="23">
        <f>$D$44/$D$50</f>
        <v>0.6</v>
      </c>
      <c r="E70">
        <f t="shared" ref="E70:AC70" si="18">$D$44/$D$50</f>
        <v>0.6</v>
      </c>
      <c r="F70">
        <f t="shared" si="18"/>
        <v>0.6</v>
      </c>
      <c r="G70">
        <f t="shared" si="18"/>
        <v>0.6</v>
      </c>
      <c r="H70">
        <f t="shared" si="18"/>
        <v>0.6</v>
      </c>
      <c r="I70">
        <f t="shared" si="18"/>
        <v>0.6</v>
      </c>
      <c r="J70">
        <f t="shared" si="18"/>
        <v>0.6</v>
      </c>
      <c r="K70">
        <f t="shared" si="18"/>
        <v>0.6</v>
      </c>
      <c r="L70">
        <f t="shared" si="18"/>
        <v>0.6</v>
      </c>
      <c r="M70">
        <f t="shared" si="18"/>
        <v>0.6</v>
      </c>
      <c r="N70">
        <f t="shared" si="18"/>
        <v>0.6</v>
      </c>
      <c r="O70">
        <f t="shared" si="18"/>
        <v>0.6</v>
      </c>
      <c r="P70">
        <f t="shared" si="18"/>
        <v>0.6</v>
      </c>
      <c r="Q70">
        <f t="shared" si="18"/>
        <v>0.6</v>
      </c>
      <c r="R70">
        <f t="shared" si="18"/>
        <v>0.6</v>
      </c>
      <c r="S70">
        <f t="shared" si="18"/>
        <v>0.6</v>
      </c>
      <c r="T70">
        <f t="shared" si="18"/>
        <v>0.6</v>
      </c>
      <c r="U70">
        <f t="shared" si="18"/>
        <v>0.6</v>
      </c>
      <c r="V70">
        <f t="shared" si="18"/>
        <v>0.6</v>
      </c>
      <c r="W70">
        <f t="shared" si="18"/>
        <v>0.6</v>
      </c>
      <c r="X70">
        <f t="shared" si="18"/>
        <v>0.6</v>
      </c>
      <c r="Y70">
        <f t="shared" si="18"/>
        <v>0.6</v>
      </c>
      <c r="Z70">
        <f t="shared" si="18"/>
        <v>0.6</v>
      </c>
      <c r="AA70">
        <f t="shared" si="18"/>
        <v>0.6</v>
      </c>
      <c r="AB70">
        <f t="shared" si="18"/>
        <v>0.6</v>
      </c>
      <c r="AC70">
        <f t="shared" si="18"/>
        <v>0.6</v>
      </c>
    </row>
    <row r="71" spans="1:29" x14ac:dyDescent="0.2">
      <c r="A71" t="s">
        <v>677</v>
      </c>
      <c r="D71" s="28">
        <f>$D$69+$D$70</f>
        <v>17.75</v>
      </c>
      <c r="E71">
        <f t="shared" ref="E71:AC71" si="19">$D$69+$D$70</f>
        <v>17.75</v>
      </c>
      <c r="F71">
        <f t="shared" si="19"/>
        <v>17.75</v>
      </c>
      <c r="G71">
        <f t="shared" si="19"/>
        <v>17.75</v>
      </c>
      <c r="H71">
        <f t="shared" si="19"/>
        <v>17.75</v>
      </c>
      <c r="I71">
        <f t="shared" si="19"/>
        <v>17.75</v>
      </c>
      <c r="J71">
        <f t="shared" si="19"/>
        <v>17.75</v>
      </c>
      <c r="K71">
        <f t="shared" si="19"/>
        <v>17.75</v>
      </c>
      <c r="L71">
        <f t="shared" si="19"/>
        <v>17.75</v>
      </c>
      <c r="M71">
        <f t="shared" si="19"/>
        <v>17.75</v>
      </c>
      <c r="N71">
        <f t="shared" si="19"/>
        <v>17.75</v>
      </c>
      <c r="O71">
        <f t="shared" si="19"/>
        <v>17.75</v>
      </c>
      <c r="P71">
        <f t="shared" si="19"/>
        <v>17.75</v>
      </c>
      <c r="Q71">
        <f t="shared" si="19"/>
        <v>17.75</v>
      </c>
      <c r="R71">
        <f t="shared" si="19"/>
        <v>17.75</v>
      </c>
      <c r="S71">
        <f t="shared" si="19"/>
        <v>17.75</v>
      </c>
      <c r="T71">
        <f t="shared" si="19"/>
        <v>17.75</v>
      </c>
      <c r="U71">
        <f t="shared" si="19"/>
        <v>17.75</v>
      </c>
      <c r="V71">
        <f t="shared" si="19"/>
        <v>17.75</v>
      </c>
      <c r="W71">
        <f t="shared" si="19"/>
        <v>17.75</v>
      </c>
      <c r="X71">
        <f t="shared" si="19"/>
        <v>17.75</v>
      </c>
      <c r="Y71">
        <f t="shared" si="19"/>
        <v>17.75</v>
      </c>
      <c r="Z71">
        <f t="shared" si="19"/>
        <v>17.75</v>
      </c>
      <c r="AA71">
        <f t="shared" si="19"/>
        <v>17.75</v>
      </c>
      <c r="AB71">
        <f t="shared" si="19"/>
        <v>17.75</v>
      </c>
      <c r="AC71">
        <f t="shared" si="19"/>
        <v>17.75</v>
      </c>
    </row>
    <row r="73" spans="1:29" x14ac:dyDescent="0.2">
      <c r="A73" s="22" t="s">
        <v>652</v>
      </c>
    </row>
    <row r="74" spans="1:29" x14ac:dyDescent="0.2">
      <c r="A74" t="s">
        <v>678</v>
      </c>
      <c r="D74" s="15">
        <f ca="1">D64+D33</f>
        <v>171</v>
      </c>
      <c r="E74" s="15">
        <f t="shared" ref="E74:AC74" ca="1" si="20">E64+E33</f>
        <v>171.93173593813486</v>
      </c>
      <c r="F74" s="15">
        <f t="shared" ca="1" si="20"/>
        <v>42.546394429088402</v>
      </c>
      <c r="G74" s="15">
        <f t="shared" ca="1" si="20"/>
        <v>44.438980650030807</v>
      </c>
      <c r="H74" s="15">
        <f t="shared" ca="1" si="20"/>
        <v>47.82491829325248</v>
      </c>
      <c r="I74" s="15">
        <f t="shared" ca="1" si="20"/>
        <v>47.263758991390034</v>
      </c>
      <c r="J74" s="15">
        <f t="shared" ca="1" si="20"/>
        <v>53.087851100090887</v>
      </c>
      <c r="K74" s="15">
        <f t="shared" ca="1" si="20"/>
        <v>59.257136264203567</v>
      </c>
      <c r="L74" s="15">
        <f t="shared" ca="1" si="20"/>
        <v>38.546561328170085</v>
      </c>
      <c r="M74" s="15">
        <f t="shared" ca="1" si="20"/>
        <v>90.38960699745941</v>
      </c>
      <c r="N74" s="15">
        <f t="shared" ca="1" si="20"/>
        <v>34.175899678413181</v>
      </c>
      <c r="O74" s="15">
        <f t="shared" ca="1" si="20"/>
        <v>68.162414642031962</v>
      </c>
      <c r="P74" s="15">
        <f t="shared" ca="1" si="20"/>
        <v>115.5141315257176</v>
      </c>
      <c r="Q74" s="15">
        <f t="shared" ca="1" si="20"/>
        <v>25.80451685816978</v>
      </c>
      <c r="R74" s="15">
        <f t="shared" ca="1" si="20"/>
        <v>179.43435642631803</v>
      </c>
      <c r="S74" s="15">
        <f t="shared" ca="1" si="20"/>
        <v>34.410338979904097</v>
      </c>
      <c r="T74" s="15">
        <f t="shared" ca="1" si="20"/>
        <v>98.811327450517837</v>
      </c>
      <c r="U74" s="15">
        <f t="shared" ca="1" si="20"/>
        <v>230.94645050213964</v>
      </c>
      <c r="V74" s="15">
        <f t="shared" ca="1" si="20"/>
        <v>33.268831188199854</v>
      </c>
      <c r="W74" s="15">
        <f t="shared" ca="1" si="20"/>
        <v>301.45651336453352</v>
      </c>
      <c r="X74" s="15">
        <f t="shared" ca="1" si="20"/>
        <v>94.268388956107742</v>
      </c>
      <c r="Y74" s="15">
        <f t="shared" ca="1" si="20"/>
        <v>67.116773138722039</v>
      </c>
      <c r="Z74" s="15">
        <f t="shared" ca="1" si="20"/>
        <v>418.03737930073601</v>
      </c>
      <c r="AA74" s="15">
        <f t="shared" ca="1" si="20"/>
        <v>42.59451686097875</v>
      </c>
      <c r="AB74" s="15">
        <f t="shared" ca="1" si="20"/>
        <v>416.0731313230483</v>
      </c>
      <c r="AC74" s="15">
        <f t="shared" ca="1" si="20"/>
        <v>174.62527811135979</v>
      </c>
    </row>
    <row r="75" spans="1:29" x14ac:dyDescent="0.2">
      <c r="A75" t="s">
        <v>679</v>
      </c>
      <c r="D75" s="15">
        <f ca="1">D64*$D$49+D34</f>
        <v>3898800</v>
      </c>
      <c r="E75" s="15">
        <f t="shared" ref="E75:AC75" ca="1" si="21">E64*$D$49+E34</f>
        <v>4038560.3907202287</v>
      </c>
      <c r="F75" s="15">
        <f t="shared" ca="1" si="21"/>
        <v>1150217.3568021529</v>
      </c>
      <c r="G75" s="15">
        <f t="shared" ca="1" si="21"/>
        <v>1322715.2133126932</v>
      </c>
      <c r="H75" s="15">
        <f t="shared" ca="1" si="21"/>
        <v>1675675.2035890466</v>
      </c>
      <c r="I75" s="15">
        <f t="shared" ca="1" si="21"/>
        <v>1816805.0805290728</v>
      </c>
      <c r="J75" s="15">
        <f t="shared" ca="1" si="21"/>
        <v>2536353.0732596563</v>
      </c>
      <c r="K75" s="15">
        <f t="shared" ca="1" si="21"/>
        <v>3004161.4486276181</v>
      </c>
      <c r="L75" s="15">
        <f t="shared" ca="1" si="21"/>
        <v>2357071.1224025106</v>
      </c>
      <c r="M75" s="15">
        <f t="shared" ca="1" si="21"/>
        <v>5942783.7125335783</v>
      </c>
      <c r="N75" s="15">
        <f t="shared" ca="1" si="21"/>
        <v>2428311.6074056197</v>
      </c>
      <c r="O75" s="15">
        <f t="shared" ca="1" si="21"/>
        <v>6422368.3645871803</v>
      </c>
      <c r="P75" s="15">
        <f t="shared" ca="1" si="21"/>
        <v>8080357.2000015918</v>
      </c>
      <c r="Q75" s="15">
        <f t="shared" ca="1" si="21"/>
        <v>2580451.6858169781</v>
      </c>
      <c r="R75" s="15">
        <f t="shared" ca="1" si="21"/>
        <v>14572834.151732059</v>
      </c>
      <c r="S75" s="15">
        <f t="shared" ca="1" si="21"/>
        <v>3441033.8979904098</v>
      </c>
      <c r="T75" s="15">
        <f t="shared" ca="1" si="21"/>
        <v>9881132.7450517844</v>
      </c>
      <c r="U75" s="15">
        <f t="shared" ca="1" si="21"/>
        <v>18733045.587438069</v>
      </c>
      <c r="V75" s="15">
        <f t="shared" ca="1" si="21"/>
        <v>3326883.1188199855</v>
      </c>
      <c r="W75" s="15">
        <f t="shared" ca="1" si="21"/>
        <v>26793736.693456806</v>
      </c>
      <c r="X75" s="15">
        <f t="shared" ca="1" si="21"/>
        <v>6478179.7471376881</v>
      </c>
      <c r="Y75" s="15">
        <f t="shared" ca="1" si="21"/>
        <v>6711677.3138722042</v>
      </c>
      <c r="Z75" s="15">
        <f t="shared" ca="1" si="21"/>
        <v>36277447.78982123</v>
      </c>
      <c r="AA75" s="15">
        <f t="shared" ca="1" si="21"/>
        <v>4259451.6860978752</v>
      </c>
      <c r="AB75" s="15">
        <f t="shared" ca="1" si="21"/>
        <v>39072241.57315024</v>
      </c>
      <c r="AC75" s="15">
        <f t="shared" ca="1" si="21"/>
        <v>11257287.040425748</v>
      </c>
    </row>
    <row r="76" spans="1:29" x14ac:dyDescent="0.2">
      <c r="A76" t="s">
        <v>680</v>
      </c>
      <c r="D76" s="31">
        <f ca="1">D64*D71+D33*D40</f>
        <v>3035.25</v>
      </c>
      <c r="E76" s="31">
        <f t="shared" ref="E76:AC76" ca="1" si="22">E64*E71+E33*E40</f>
        <v>3053.8381319657906</v>
      </c>
      <c r="F76" s="31">
        <f t="shared" ca="1" si="22"/>
        <v>753.56953186178453</v>
      </c>
      <c r="G76" s="31">
        <f t="shared" ca="1" si="22"/>
        <v>777.59932397795808</v>
      </c>
      <c r="H76" s="31">
        <f t="shared" ca="1" si="22"/>
        <v>818.42075738660685</v>
      </c>
      <c r="I76" s="31">
        <f t="shared" ca="1" si="22"/>
        <v>793.29668390990616</v>
      </c>
      <c r="J76" s="31">
        <f t="shared" ca="1" si="22"/>
        <v>852.89352415282156</v>
      </c>
      <c r="K76" s="31">
        <f t="shared" ca="1" si="22"/>
        <v>928.28031168668247</v>
      </c>
      <c r="L76" s="31">
        <f t="shared" ca="1" si="22"/>
        <v>566.08966117158457</v>
      </c>
      <c r="M76" s="31">
        <f t="shared" ca="1" si="22"/>
        <v>1286.0687626606878</v>
      </c>
      <c r="N76" s="31">
        <f t="shared" ca="1" si="22"/>
        <v>461.60200078929449</v>
      </c>
      <c r="O76" s="31">
        <f t="shared" ca="1" si="22"/>
        <v>779.14745584458967</v>
      </c>
      <c r="P76" s="31">
        <f t="shared" ca="1" si="22"/>
        <v>1546.427039753765</v>
      </c>
      <c r="Q76" s="31">
        <f t="shared" ca="1" si="22"/>
        <v>269.49091975430957</v>
      </c>
      <c r="R76" s="31">
        <f t="shared" ca="1" si="22"/>
        <v>2189.3589864759988</v>
      </c>
      <c r="S76" s="31">
        <f t="shared" ca="1" si="22"/>
        <v>348.58689879815057</v>
      </c>
      <c r="T76" s="31">
        <f t="shared" ca="1" si="22"/>
        <v>1000.1638940866641</v>
      </c>
      <c r="U76" s="31">
        <f t="shared" ca="1" si="22"/>
        <v>2746.7843234624111</v>
      </c>
      <c r="V76" s="31">
        <f t="shared" ca="1" si="22"/>
        <v>326.65327409488583</v>
      </c>
      <c r="W76" s="31">
        <f t="shared" ca="1" si="22"/>
        <v>3302.43455216643</v>
      </c>
      <c r="X76" s="31">
        <f t="shared" ca="1" si="22"/>
        <v>1216.0610949177553</v>
      </c>
      <c r="Y76" s="31">
        <f t="shared" ca="1" si="22"/>
        <v>644.07536968443912</v>
      </c>
      <c r="Z76" s="31">
        <f t="shared" ca="1" si="22"/>
        <v>4593.1286408818196</v>
      </c>
      <c r="AA76" s="31">
        <f t="shared" ca="1" si="22"/>
        <v>400.2769761070935</v>
      </c>
      <c r="AB76" s="31">
        <f t="shared" ca="1" si="22"/>
        <v>4184.2793106138542</v>
      </c>
      <c r="AC76" s="31">
        <f t="shared" ca="1" si="22"/>
        <v>2312.3936433300382</v>
      </c>
    </row>
    <row r="77" spans="1:29" x14ac:dyDescent="0.2">
      <c r="A77" t="s">
        <v>681</v>
      </c>
      <c r="D77" s="32">
        <f ca="1">IFERROR(D76*1000000/D75,0)</f>
        <v>778.50877192982455</v>
      </c>
      <c r="E77" s="32">
        <f t="shared" ref="E77:AC77" ca="1" si="23">IFERROR(E76*1000000/E75,0)</f>
        <v>756.16998051654127</v>
      </c>
      <c r="F77" s="32">
        <f t="shared" ca="1" si="23"/>
        <v>655.1540258067979</v>
      </c>
      <c r="G77" s="32">
        <f t="shared" ca="1" si="23"/>
        <v>587.88113733907107</v>
      </c>
      <c r="H77" s="32">
        <f t="shared" ca="1" si="23"/>
        <v>488.41252507268206</v>
      </c>
      <c r="I77" s="32">
        <f t="shared" ca="1" si="23"/>
        <v>436.64380533265012</v>
      </c>
      <c r="J77" s="32">
        <f t="shared" ca="1" si="23"/>
        <v>336.26766444496013</v>
      </c>
      <c r="K77" s="32">
        <f t="shared" ca="1" si="23"/>
        <v>308.99814392823191</v>
      </c>
      <c r="L77" s="32">
        <f t="shared" ca="1" si="23"/>
        <v>240.16655916372261</v>
      </c>
      <c r="M77" s="32">
        <f t="shared" ca="1" si="23"/>
        <v>216.40847536623536</v>
      </c>
      <c r="N77" s="32">
        <f t="shared" ca="1" si="23"/>
        <v>190.09174909082807</v>
      </c>
      <c r="O77" s="32">
        <f t="shared" ca="1" si="23"/>
        <v>121.31777743251139</v>
      </c>
      <c r="P77" s="32">
        <f t="shared" ca="1" si="23"/>
        <v>191.38102456082765</v>
      </c>
      <c r="Q77" s="32">
        <f t="shared" ca="1" si="23"/>
        <v>104.43556112114845</v>
      </c>
      <c r="R77" s="32">
        <f t="shared" ca="1" si="23"/>
        <v>150.23563458421586</v>
      </c>
      <c r="S77" s="32">
        <f t="shared" ca="1" si="23"/>
        <v>101.30295403417212</v>
      </c>
      <c r="T77" s="32">
        <f t="shared" ca="1" si="23"/>
        <v>101.21955851544655</v>
      </c>
      <c r="U77" s="32">
        <f t="shared" ca="1" si="23"/>
        <v>146.62774991079607</v>
      </c>
      <c r="V77" s="32">
        <f t="shared" ca="1" si="23"/>
        <v>98.185978415360353</v>
      </c>
      <c r="W77" s="32">
        <f t="shared" ca="1" si="23"/>
        <v>123.25397498486669</v>
      </c>
      <c r="X77" s="32">
        <f t="shared" ca="1" si="23"/>
        <v>187.7164793791124</v>
      </c>
      <c r="Y77" s="32">
        <f t="shared" ca="1" si="23"/>
        <v>95.963399246446983</v>
      </c>
      <c r="Z77" s="32">
        <f t="shared" ca="1" si="23"/>
        <v>126.61112952302464</v>
      </c>
      <c r="AA77" s="32">
        <f t="shared" ca="1" si="23"/>
        <v>93.973827057019889</v>
      </c>
      <c r="AB77" s="32">
        <f t="shared" ca="1" si="23"/>
        <v>107.09084357958152</v>
      </c>
      <c r="AC77" s="32">
        <f t="shared" ca="1" si="23"/>
        <v>205.41304801290596</v>
      </c>
    </row>
    <row r="79" spans="1:29" x14ac:dyDescent="0.2">
      <c r="A79" s="21" t="s">
        <v>653</v>
      </c>
    </row>
    <row r="80" spans="1:29" x14ac:dyDescent="0.2">
      <c r="A80" t="s">
        <v>682</v>
      </c>
      <c r="D80" s="1" t="str">
        <f ca="1">IF(AND(ABS(D64-171)&lt;=5,ABS(D63-39)&lt;=5,ABS(D61-17)&lt;=2,D33=0,D77&gt;=400,D77&lt;=800),"PASS","CHECK")</f>
        <v>PASS</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15C2-F93E-C14A-B6AA-493A59047D08}">
  <dimension ref="A4:AE210"/>
  <sheetViews>
    <sheetView topLeftCell="A47" workbookViewId="0">
      <selection activeCell="W106" sqref="W106"/>
    </sheetView>
  </sheetViews>
  <sheetFormatPr baseColWidth="10" defaultRowHeight="16" x14ac:dyDescent="0.2"/>
  <cols>
    <col min="1" max="1" width="61" customWidth="1"/>
  </cols>
  <sheetData>
    <row r="4" spans="1:31"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31"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7" spans="1:31" x14ac:dyDescent="0.2">
      <c r="A7" s="13" t="s">
        <v>596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31" x14ac:dyDescent="0.2">
      <c r="A8" t="s">
        <v>597</v>
      </c>
      <c r="C8" t="s">
        <v>601</v>
      </c>
      <c r="D8" s="15">
        <f ca="1">INDEX(Allocator!D:D, MATCH("Customer Launch cash allocation", Allocator!$A:$A, 0))</f>
        <v>32.86065</v>
      </c>
      <c r="E8" s="15">
        <f ca="1">INDEX(Allocator!E:E, MATCH("Customer Launch cash allocation", Allocator!$A:$A, 0))</f>
        <v>0</v>
      </c>
      <c r="F8" s="15">
        <f ca="1">INDEX(Allocator!F:F, MATCH("Customer Launch cash allocation", Allocator!$A:$A, 0))</f>
        <v>0</v>
      </c>
      <c r="G8" s="15">
        <f ca="1">INDEX(Allocator!G:G, MATCH("Customer Launch cash allocation", Allocator!$A:$A, 0))</f>
        <v>0</v>
      </c>
      <c r="H8" s="15">
        <f ca="1">INDEX(Allocator!H:H, MATCH("Customer Launch cash allocation", Allocator!$A:$A, 0))</f>
        <v>0</v>
      </c>
      <c r="I8" s="15">
        <f ca="1">INDEX(Allocator!I:I, MATCH("Customer Launch cash allocation", Allocator!$A:$A, 0))</f>
        <v>0</v>
      </c>
      <c r="J8" s="15">
        <f ca="1">INDEX(Allocator!J:J, MATCH("Customer Launch cash allocation", Allocator!$A:$A, 0))</f>
        <v>0</v>
      </c>
      <c r="K8" s="15">
        <f ca="1">INDEX(Allocator!K:K, MATCH("Customer Launch cash allocation", Allocator!$A:$A, 0))</f>
        <v>0</v>
      </c>
      <c r="L8" s="15">
        <f ca="1">INDEX(Allocator!L:L, MATCH("Customer Launch cash allocation", Allocator!$A:$A, 0))</f>
        <v>0</v>
      </c>
      <c r="M8" s="15">
        <f ca="1">INDEX(Allocator!M:M, MATCH("Customer Launch cash allocation", Allocator!$A:$A, 0))</f>
        <v>0</v>
      </c>
      <c r="N8" s="15">
        <f ca="1">INDEX(Allocator!N:N, MATCH("Customer Launch cash allocation", Allocator!$A:$A, 0))</f>
        <v>0</v>
      </c>
      <c r="O8" s="15">
        <f ca="1">INDEX(Allocator!O:O, MATCH("Customer Launch cash allocation", Allocator!$A:$A, 0))</f>
        <v>0</v>
      </c>
      <c r="P8" s="15">
        <f ca="1">INDEX(Allocator!P:P, MATCH("Customer Launch cash allocation", Allocator!$A:$A, 0))</f>
        <v>0</v>
      </c>
      <c r="Q8" s="15">
        <f ca="1">INDEX(Allocator!Q:Q, MATCH("Customer Launch cash allocation", Allocator!$A:$A, 0))</f>
        <v>0</v>
      </c>
      <c r="R8" s="15">
        <f ca="1">INDEX(Allocator!R:R, MATCH("Customer Launch cash allocation", Allocator!$A:$A, 0))</f>
        <v>0</v>
      </c>
      <c r="S8" s="15">
        <f ca="1">INDEX(Allocator!S:S, MATCH("Customer Launch cash allocation", Allocator!$A:$A, 0))</f>
        <v>0</v>
      </c>
      <c r="T8" s="15">
        <f ca="1">INDEX(Allocator!T:T, MATCH("Customer Launch cash allocation", Allocator!$A:$A, 0))</f>
        <v>0</v>
      </c>
      <c r="U8" s="15">
        <f ca="1">INDEX(Allocator!U:U, MATCH("Customer Launch cash allocation", Allocator!$A:$A, 0))</f>
        <v>0</v>
      </c>
      <c r="V8" s="15">
        <f ca="1">INDEX(Allocator!V:V, MATCH("Customer Launch cash allocation", Allocator!$A:$A, 0))</f>
        <v>0</v>
      </c>
      <c r="W8" s="15">
        <f ca="1">INDEX(Allocator!W:W, MATCH("Customer Launch cash allocation", Allocator!$A:$A, 0))</f>
        <v>0</v>
      </c>
      <c r="X8" s="15">
        <f ca="1">INDEX(Allocator!X:X, MATCH("Customer Launch cash allocation", Allocator!$A:$A, 0))</f>
        <v>0</v>
      </c>
      <c r="Y8" s="15">
        <f ca="1">INDEX(Allocator!Y:Y, MATCH("Customer Launch cash allocation", Allocator!$A:$A, 0))</f>
        <v>0</v>
      </c>
      <c r="Z8" s="15">
        <f ca="1">INDEX(Allocator!Z:Z, MATCH("Customer Launch cash allocation", Allocator!$A:$A, 0))</f>
        <v>0</v>
      </c>
      <c r="AA8" s="15">
        <f ca="1">INDEX(Allocator!AA:AA, MATCH("Customer Launch cash allocation", Allocator!$A:$A, 0))</f>
        <v>0</v>
      </c>
      <c r="AB8" s="15">
        <f ca="1">INDEX(Allocator!AB:AB, MATCH("Customer Launch cash allocation", Allocator!$A:$A, 0))</f>
        <v>0</v>
      </c>
      <c r="AC8" s="15">
        <f ca="1">INDEX(Allocator!AC:AC, MATCH("Customer Launch cash allocation", Allocator!$A:$A, 0))</f>
        <v>0</v>
      </c>
    </row>
    <row r="9" spans="1:31" x14ac:dyDescent="0.2">
      <c r="A9" t="s">
        <v>598</v>
      </c>
      <c r="C9" t="s">
        <v>600</v>
      </c>
      <c r="D9" s="15">
        <f ca="1">INDEX(Allocator!D:D, MATCH("Customer Launch kg allocation", Allocator!$A:$A, 0))</f>
        <v>0</v>
      </c>
      <c r="E9" s="15">
        <f ca="1">INDEX(Allocator!E:E, MATCH("Customer Launch kg allocation", Allocator!$A:$A, 0))</f>
        <v>0</v>
      </c>
      <c r="F9" s="15">
        <f ca="1">INDEX(Allocator!F:F, MATCH("Customer Launch kg allocation", Allocator!$A:$A, 0))</f>
        <v>1377.340609808819</v>
      </c>
      <c r="G9" s="15">
        <f ca="1">INDEX(Allocator!G:G, MATCH("Customer Launch kg allocation", Allocator!$A:$A, 0))</f>
        <v>1214.234654987142</v>
      </c>
      <c r="H9" s="15">
        <f ca="1">INDEX(Allocator!H:H, MATCH("Customer Launch kg allocation", Allocator!$A:$A, 0))</f>
        <v>1082.2237621152999</v>
      </c>
      <c r="I9" s="15">
        <f ca="1">INDEX(Allocator!I:I, MATCH("Customer Launch kg allocation", Allocator!$A:$A, 0))</f>
        <v>790.05174398391739</v>
      </c>
      <c r="J9" s="15">
        <f ca="1">INDEX(Allocator!J:J, MATCH("Customer Launch kg allocation", Allocator!$A:$A, 0))</f>
        <v>871.92819081597804</v>
      </c>
      <c r="K9" s="15">
        <f ca="1">INDEX(Allocator!K:K, MATCH("Customer Launch kg allocation", Allocator!$A:$A, 0))</f>
        <v>479.08421665497525</v>
      </c>
      <c r="L9" s="15">
        <f ca="1">INDEX(Allocator!L:L, MATCH("Customer Launch kg allocation", Allocator!$A:$A, 0))</f>
        <v>345.2871774360504</v>
      </c>
      <c r="M9" s="15">
        <f ca="1">INDEX(Allocator!M:M, MATCH("Customer Launch kg allocation", Allocator!$A:$A, 0))</f>
        <v>563.44485144118266</v>
      </c>
      <c r="N9" s="15">
        <f ca="1">INDEX(Allocator!N:N, MATCH("Customer Launch kg allocation", Allocator!$A:$A, 0))</f>
        <v>47.111905360703723</v>
      </c>
      <c r="O9" s="15">
        <f ca="1">INDEX(Allocator!O:O, MATCH("Customer Launch kg allocation", Allocator!$A:$A, 0))</f>
        <v>536.07254025205123</v>
      </c>
      <c r="P9" s="15">
        <f ca="1">INDEX(Allocator!P:P, MATCH("Customer Launch kg allocation", Allocator!$A:$A, 0))</f>
        <v>13.484801993282135</v>
      </c>
      <c r="Q9" s="15">
        <f ca="1">INDEX(Allocator!Q:Q, MATCH("Customer Launch kg allocation", Allocator!$A:$A, 0))</f>
        <v>73.771546439553092</v>
      </c>
      <c r="R9" s="15">
        <f ca="1">INDEX(Allocator!R:R, MATCH("Customer Launch kg allocation", Allocator!$A:$A, 0))</f>
        <v>241.49678032362684</v>
      </c>
      <c r="S9" s="15">
        <f ca="1">INDEX(Allocator!S:S, MATCH("Customer Launch kg allocation", Allocator!$A:$A, 0))</f>
        <v>5.3430257083398418</v>
      </c>
      <c r="T9" s="15">
        <f ca="1">INDEX(Allocator!T:T, MATCH("Customer Launch kg allocation", Allocator!$A:$A, 0))</f>
        <v>310.6205378782667</v>
      </c>
      <c r="U9" s="15">
        <f ca="1">INDEX(Allocator!U:U, MATCH("Customer Launch kg allocation", Allocator!$A:$A, 0))</f>
        <v>115.44912661171968</v>
      </c>
      <c r="V9" s="15">
        <f ca="1">INDEX(Allocator!V:V, MATCH("Customer Launch kg allocation", Allocator!$A:$A, 0))</f>
        <v>33.236373910363476</v>
      </c>
      <c r="W9" s="15">
        <f ca="1">INDEX(Allocator!W:W, MATCH("Customer Launch kg allocation", Allocator!$A:$A, 0))</f>
        <v>255.34293595509621</v>
      </c>
      <c r="X9" s="15">
        <f ca="1">INDEX(Allocator!X:X, MATCH("Customer Launch kg allocation", Allocator!$A:$A, 0))</f>
        <v>0.68396606203904597</v>
      </c>
      <c r="Y9" s="15">
        <f ca="1">INDEX(Allocator!Y:Y, MATCH("Customer Launch kg allocation", Allocator!$A:$A, 0))</f>
        <v>140.27907490165498</v>
      </c>
      <c r="Z9" s="15">
        <f ca="1">INDEX(Allocator!Z:Z, MATCH("Customer Launch kg allocation", Allocator!$A:$A, 0))</f>
        <v>104.56246720269368</v>
      </c>
      <c r="AA9" s="15">
        <f ca="1">INDEX(Allocator!AA:AA, MATCH("Customer Launch kg allocation", Allocator!$A:$A, 0))</f>
        <v>7.5750176820463722</v>
      </c>
      <c r="AB9" s="15">
        <f ca="1">INDEX(Allocator!AB:AB, MATCH("Customer Launch kg allocation", Allocator!$A:$A, 0))</f>
        <v>18.477118254542617</v>
      </c>
      <c r="AC9" s="15">
        <f ca="1">INDEX(Allocator!AC:AC, MATCH("Customer Launch kg allocation", Allocator!$A:$A, 0))</f>
        <v>0</v>
      </c>
    </row>
    <row r="10" spans="1:31" x14ac:dyDescent="0.2">
      <c r="A10" t="s">
        <v>599</v>
      </c>
      <c r="C10" s="16" t="s">
        <v>602</v>
      </c>
      <c r="D10" s="15">
        <f ca="1">D8</f>
        <v>32.86065</v>
      </c>
      <c r="E10" s="15">
        <f t="shared" ref="E10:AC10" ca="1" si="0">E8</f>
        <v>0</v>
      </c>
      <c r="F10" s="15">
        <f t="shared" ca="1" si="0"/>
        <v>0</v>
      </c>
      <c r="G10" s="15">
        <f t="shared" ca="1" si="0"/>
        <v>0</v>
      </c>
      <c r="H10" s="15">
        <f t="shared" ca="1" si="0"/>
        <v>0</v>
      </c>
      <c r="I10" s="15">
        <f t="shared" ca="1" si="0"/>
        <v>0</v>
      </c>
      <c r="J10" s="15">
        <f t="shared" ca="1" si="0"/>
        <v>0</v>
      </c>
      <c r="K10" s="15">
        <f t="shared" ca="1" si="0"/>
        <v>0</v>
      </c>
      <c r="L10" s="15">
        <f t="shared" ca="1" si="0"/>
        <v>0</v>
      </c>
      <c r="M10" s="15">
        <f t="shared" ca="1" si="0"/>
        <v>0</v>
      </c>
      <c r="N10" s="15">
        <f t="shared" ca="1" si="0"/>
        <v>0</v>
      </c>
      <c r="O10" s="15">
        <f t="shared" ca="1" si="0"/>
        <v>0</v>
      </c>
      <c r="P10" s="15">
        <f t="shared" ca="1" si="0"/>
        <v>0</v>
      </c>
      <c r="Q10" s="15">
        <f t="shared" ca="1" si="0"/>
        <v>0</v>
      </c>
      <c r="R10" s="15">
        <f t="shared" ca="1" si="0"/>
        <v>0</v>
      </c>
      <c r="S10" s="15">
        <f t="shared" ca="1" si="0"/>
        <v>0</v>
      </c>
      <c r="T10" s="15">
        <f t="shared" ca="1" si="0"/>
        <v>0</v>
      </c>
      <c r="U10" s="15">
        <f t="shared" ca="1" si="0"/>
        <v>0</v>
      </c>
      <c r="V10" s="15">
        <f t="shared" ca="1" si="0"/>
        <v>0</v>
      </c>
      <c r="W10" s="15">
        <f t="shared" ca="1" si="0"/>
        <v>0</v>
      </c>
      <c r="X10" s="15">
        <f t="shared" ca="1" si="0"/>
        <v>0</v>
      </c>
      <c r="Y10" s="15">
        <f t="shared" ca="1" si="0"/>
        <v>0</v>
      </c>
      <c r="Z10" s="15">
        <f t="shared" ca="1" si="0"/>
        <v>0</v>
      </c>
      <c r="AA10" s="15">
        <f t="shared" ca="1" si="0"/>
        <v>0</v>
      </c>
      <c r="AB10" s="15">
        <f t="shared" ca="1" si="0"/>
        <v>0</v>
      </c>
      <c r="AC10" s="15">
        <f t="shared" ca="1" si="0"/>
        <v>0</v>
      </c>
      <c r="AE10" s="15"/>
    </row>
    <row r="12" spans="1:31" x14ac:dyDescent="0.2">
      <c r="A12" s="14" t="s">
        <v>729</v>
      </c>
    </row>
    <row r="14" spans="1:31" x14ac:dyDescent="0.2">
      <c r="A14" s="21" t="s">
        <v>730</v>
      </c>
    </row>
    <row r="15" spans="1:31" x14ac:dyDescent="0.2">
      <c r="A15" t="s">
        <v>737</v>
      </c>
      <c r="D15">
        <f>INDEX(Assumptions!$B:$B, MATCH("Total customer launch market (launches/yr) — 2025 anchor", Assumptions!$A:$A, 0))</f>
        <v>38.58</v>
      </c>
      <c r="E15">
        <f>$D$15 * (1 + INDEX(Assumptions!$B:$B, MATCH("Total customer launch market CAGR (% growth/yr)", Assumptions!$A:$A, 0)))^E$5</f>
        <v>40.509</v>
      </c>
      <c r="F15">
        <f>$D$15 * (1 + INDEX(Assumptions!$B:$B, MATCH("Total customer launch market CAGR (% growth/yr)", Assumptions!$A:$A, 0)))^F$5</f>
        <v>42.53445</v>
      </c>
      <c r="G15">
        <f>$D$15 * (1 + INDEX(Assumptions!$B:$B, MATCH("Total customer launch market CAGR (% growth/yr)", Assumptions!$A:$A, 0)))^G$5</f>
        <v>44.661172500000006</v>
      </c>
      <c r="H15">
        <f>$D$15 * (1 + INDEX(Assumptions!$B:$B, MATCH("Total customer launch market CAGR (% growth/yr)", Assumptions!$A:$A, 0)))^H$5</f>
        <v>46.894231124999997</v>
      </c>
      <c r="I15">
        <f>$D$15 * (1 + INDEX(Assumptions!$B:$B, MATCH("Total customer launch market CAGR (% growth/yr)", Assumptions!$A:$A, 0)))^I$5</f>
        <v>49.238942681250002</v>
      </c>
      <c r="J15">
        <f>$D$15 * (1 + INDEX(Assumptions!$B:$B, MATCH("Total customer launch market CAGR (% growth/yr)", Assumptions!$A:$A, 0)))^J$5</f>
        <v>51.700889815312493</v>
      </c>
      <c r="K15">
        <f>$D$15 * (1 + INDEX(Assumptions!$B:$B, MATCH("Total customer launch market CAGR (% growth/yr)", Assumptions!$A:$A, 0)))^K$5</f>
        <v>54.285934306078133</v>
      </c>
      <c r="L15">
        <f>$D$15 * (1 + INDEX(Assumptions!$B:$B, MATCH("Total customer launch market CAGR (% growth/yr)", Assumptions!$A:$A, 0)))^L$5</f>
        <v>57.000231021382028</v>
      </c>
      <c r="M15">
        <f>$D$15 * (1 + INDEX(Assumptions!$B:$B, MATCH("Total customer launch market CAGR (% growth/yr)", Assumptions!$A:$A, 0)))^M$5</f>
        <v>59.850242572451137</v>
      </c>
      <c r="N15">
        <f>$D$15 * (1 + INDEX(Assumptions!$B:$B, MATCH("Total customer launch market CAGR (% growth/yr)", Assumptions!$A:$A, 0)))^N$5</f>
        <v>62.842754701073694</v>
      </c>
      <c r="O15">
        <f>$D$15 * (1 + INDEX(Assumptions!$B:$B, MATCH("Total customer launch market CAGR (% growth/yr)", Assumptions!$A:$A, 0)))^O$5</f>
        <v>65.984892436127382</v>
      </c>
      <c r="P15">
        <f>$D$15 * (1 + INDEX(Assumptions!$B:$B, MATCH("Total customer launch market CAGR (% growth/yr)", Assumptions!$A:$A, 0)))^P$5</f>
        <v>69.284137057933748</v>
      </c>
      <c r="Q15">
        <f>$D$15 * (1 + INDEX(Assumptions!$B:$B, MATCH("Total customer launch market CAGR (% growth/yr)", Assumptions!$A:$A, 0)))^Q$5</f>
        <v>72.748343910830442</v>
      </c>
      <c r="R15">
        <f>$D$15 * (1 + INDEX(Assumptions!$B:$B, MATCH("Total customer launch market CAGR (% growth/yr)", Assumptions!$A:$A, 0)))^R$5</f>
        <v>76.385761106371945</v>
      </c>
      <c r="S15">
        <f>$D$15 * (1 + INDEX(Assumptions!$B:$B, MATCH("Total customer launch market CAGR (% growth/yr)", Assumptions!$A:$A, 0)))^S$5</f>
        <v>80.205049161690567</v>
      </c>
      <c r="T15">
        <f>$D$15 * (1 + INDEX(Assumptions!$B:$B, MATCH("Total customer launch market CAGR (% growth/yr)", Assumptions!$A:$A, 0)))^T$5</f>
        <v>84.21530161977509</v>
      </c>
      <c r="U15">
        <f>$D$15 * (1 + INDEX(Assumptions!$B:$B, MATCH("Total customer launch market CAGR (% growth/yr)", Assumptions!$A:$A, 0)))^U$5</f>
        <v>88.426066700763855</v>
      </c>
      <c r="V15">
        <f>$D$15 * (1 + INDEX(Assumptions!$B:$B, MATCH("Total customer launch market CAGR (% growth/yr)", Assumptions!$A:$A, 0)))^V$5</f>
        <v>92.847370035802044</v>
      </c>
      <c r="W15">
        <f>$D$15 * (1 + INDEX(Assumptions!$B:$B, MATCH("Total customer launch market CAGR (% growth/yr)", Assumptions!$A:$A, 0)))^W$5</f>
        <v>97.489738537592146</v>
      </c>
      <c r="X15">
        <f>$D$15 * (1 + INDEX(Assumptions!$B:$B, MATCH("Total customer launch market CAGR (% growth/yr)", Assumptions!$A:$A, 0)))^X$5</f>
        <v>102.36422546447176</v>
      </c>
      <c r="Y15">
        <f>$D$15 * (1 + INDEX(Assumptions!$B:$B, MATCH("Total customer launch market CAGR (% growth/yr)", Assumptions!$A:$A, 0)))^Y$5</f>
        <v>107.48243673769534</v>
      </c>
      <c r="Z15">
        <f>$D$15 * (1 + INDEX(Assumptions!$B:$B, MATCH("Total customer launch market CAGR (% growth/yr)", Assumptions!$A:$A, 0)))^Z$5</f>
        <v>112.85655857458009</v>
      </c>
      <c r="AA15">
        <f>$D$15 * (1 + INDEX(Assumptions!$B:$B, MATCH("Total customer launch market CAGR (% growth/yr)", Assumptions!$A:$A, 0)))^AA$5</f>
        <v>118.49938650330913</v>
      </c>
      <c r="AB15">
        <f>$D$15 * (1 + INDEX(Assumptions!$B:$B, MATCH("Total customer launch market CAGR (% growth/yr)", Assumptions!$A:$A, 0)))^AB$5</f>
        <v>124.42435582847456</v>
      </c>
      <c r="AC15">
        <f>$D$15 * (1 + INDEX(Assumptions!$B:$B, MATCH("Total customer launch market CAGR (% growth/yr)", Assumptions!$A:$A, 0)))^AC$5</f>
        <v>130.6455736198983</v>
      </c>
    </row>
    <row r="16" spans="1:31" x14ac:dyDescent="0.2">
      <c r="A16" t="s">
        <v>738</v>
      </c>
      <c r="D16">
        <v>0</v>
      </c>
      <c r="E16">
        <v>0</v>
      </c>
      <c r="F16">
        <f>INDEX(Assumptions!$B:$B, MATCH("Starship customer launch margin — 2027 anchor (multiplier on at-cost rate)", Assumptions!$A:$A, 0))</f>
        <v>4</v>
      </c>
      <c r="G16">
        <f>MAX(INDEX(Assumptions!$B:$B, MATCH("Starship customer launch margin — 2050 terminal (multiplier on at-cost rate, floor)", Assumptions!$A:$A, 0)), $F$16 * (1 + INDEX(Assumptions!$B:$B, MATCH("Starship customer launch margin — CAGR (% change/yr from 2027 anchor)", Assumptions!$A:$A, 0)))^(G$5 - 2))</f>
        <v>3.8330069936618738</v>
      </c>
      <c r="H16">
        <f>MAX(INDEX(Assumptions!$B:$B, MATCH("Starship customer launch margin — 2050 terminal (multiplier on at-cost rate, floor)", Assumptions!$A:$A, 0)), $F$16 * (1 + INDEX(Assumptions!$B:$B, MATCH("Starship customer launch margin — CAGR (% change/yr from 2027 anchor)", Assumptions!$A:$A, 0)))^(H$5 - 2))</f>
        <v>3.6729856533652088</v>
      </c>
      <c r="I16">
        <f>MAX(INDEX(Assumptions!$B:$B, MATCH("Starship customer launch margin — 2050 terminal (multiplier on at-cost rate, floor)", Assumptions!$A:$A, 0)), $F$16 * (1 + INDEX(Assumptions!$B:$B, MATCH("Starship customer launch margin — CAGR (% change/yr from 2027 anchor)", Assumptions!$A:$A, 0)))^(I$5 - 2))</f>
        <v>3.5196449242421433</v>
      </c>
      <c r="J16">
        <f>MAX(INDEX(Assumptions!$B:$B, MATCH("Starship customer launch margin — 2050 terminal (multiplier on at-cost rate, floor)", Assumptions!$A:$A, 0)), $F$16 * (1 + INDEX(Assumptions!$B:$B, MATCH("Starship customer launch margin — CAGR (% change/yr from 2027 anchor)", Assumptions!$A:$A, 0)))^(J$5 - 2))</f>
        <v>3.3727059024566626</v>
      </c>
      <c r="K16">
        <f>MAX(INDEX(Assumptions!$B:$B, MATCH("Starship customer launch margin — 2050 terminal (multiplier on at-cost rate, floor)", Assumptions!$A:$A, 0)), $F$16 * (1 + INDEX(Assumptions!$B:$B, MATCH("Starship customer launch margin — CAGR (% change/yr from 2027 anchor)", Assumptions!$A:$A, 0)))^(K$5 - 2))</f>
        <v>3.2319013279202675</v>
      </c>
      <c r="L16">
        <f>MAX(INDEX(Assumptions!$B:$B, MATCH("Starship customer launch margin — 2050 terminal (multiplier on at-cost rate, floor)", Assumptions!$A:$A, 0)), $F$16 * (1 + INDEX(Assumptions!$B:$B, MATCH("Starship customer launch margin — CAGR (% change/yr from 2027 anchor)", Assumptions!$A:$A, 0)))^(L$5 - 2))</f>
        <v>3.0969750981858701</v>
      </c>
      <c r="M16">
        <f>MAX(INDEX(Assumptions!$B:$B, MATCH("Starship customer launch margin — 2050 terminal (multiplier on at-cost rate, floor)", Assumptions!$A:$A, 0)), $F$16 * (1 + INDEX(Assumptions!$B:$B, MATCH("Starship customer launch margin — CAGR (% change/yr from 2027 anchor)", Assumptions!$A:$A, 0)))^(M$5 - 2))</f>
        <v>2.9676818026357772</v>
      </c>
      <c r="N16">
        <f>MAX(INDEX(Assumptions!$B:$B, MATCH("Starship customer launch margin — 2050 terminal (multiplier on at-cost rate, floor)", Assumptions!$A:$A, 0)), $F$16 * (1 + INDEX(Assumptions!$B:$B, MATCH("Starship customer launch margin — CAGR (% change/yr from 2027 anchor)", Assumptions!$A:$A, 0)))^(N$5 - 2))</f>
        <v>2.8437862761165027</v>
      </c>
      <c r="O16">
        <f>MAX(INDEX(Assumptions!$B:$B, MATCH("Starship customer launch margin — 2050 terminal (multiplier on at-cost rate, floor)", Assumptions!$A:$A, 0)), $F$16 * (1 + INDEX(Assumptions!$B:$B, MATCH("Starship customer launch margin — CAGR (% change/yr from 2027 anchor)", Assumptions!$A:$A, 0)))^(O$5 - 2))</f>
        <v>2.7250631712085527</v>
      </c>
      <c r="P16">
        <f>MAX(INDEX(Assumptions!$B:$B, MATCH("Starship customer launch margin — 2050 terminal (multiplier on at-cost rate, floor)", Assumptions!$A:$A, 0)), $F$16 * (1 + INDEX(Assumptions!$B:$B, MATCH("Starship customer launch margin — CAGR (% change/yr from 2027 anchor)", Assumptions!$A:$A, 0)))^(P$5 - 2))</f>
        <v>2.6112965483531965</v>
      </c>
      <c r="Q16">
        <f>MAX(INDEX(Assumptions!$B:$B, MATCH("Starship customer launch margin — 2050 terminal (multiplier on at-cost rate, floor)", Assumptions!$A:$A, 0)), $F$16 * (1 + INDEX(Assumptions!$B:$B, MATCH("Starship customer launch margin — CAGR (% change/yr from 2027 anchor)", Assumptions!$A:$A, 0)))^(Q$5 - 2))</f>
        <v>2.5022794830907289</v>
      </c>
      <c r="R16">
        <f>MAX(INDEX(Assumptions!$B:$B, MATCH("Starship customer launch margin — 2050 terminal (multiplier on at-cost rate, floor)", Assumptions!$A:$A, 0)), $F$16 * (1 + INDEX(Assumptions!$B:$B, MATCH("Starship customer launch margin — CAGR (% change/yr from 2027 anchor)", Assumptions!$A:$A, 0)))^(R$5 - 2))</f>
        <v>2.3978136896958451</v>
      </c>
      <c r="S16">
        <f>MAX(INDEX(Assumptions!$B:$B, MATCH("Starship customer launch margin — 2050 terminal (multiplier on at-cost rate, floor)", Assumptions!$A:$A, 0)), $F$16 * (1 + INDEX(Assumptions!$B:$B, MATCH("Starship customer launch margin — CAGR (% change/yr from 2027 anchor)", Assumptions!$A:$A, 0)))^(S$5 - 2))</f>
        <v>2.2977091605255895</v>
      </c>
      <c r="T16">
        <f>MAX(INDEX(Assumptions!$B:$B, MATCH("Starship customer launch margin — 2050 terminal (multiplier on at-cost rate, floor)", Assumptions!$A:$A, 0)), $F$16 * (1 + INDEX(Assumptions!$B:$B, MATCH("Starship customer launch margin — CAGR (% change/yr from 2027 anchor)", Assumptions!$A:$A, 0)))^(T$5 - 2))</f>
        <v>2.2017838204238838</v>
      </c>
      <c r="U16">
        <f>MAX(INDEX(Assumptions!$B:$B, MATCH("Starship customer launch margin — 2050 terminal (multiplier on at-cost rate, floor)", Assumptions!$A:$A, 0)), $F$16 * (1 + INDEX(Assumptions!$B:$B, MATCH("Starship customer launch margin — CAGR (% change/yr from 2027 anchor)", Assumptions!$A:$A, 0)))^(U$5 - 2))</f>
        <v>2.1098631955540768</v>
      </c>
      <c r="V16">
        <f>MAX(INDEX(Assumptions!$B:$B, MATCH("Starship customer launch margin — 2050 terminal (multiplier on at-cost rate, floor)", Assumptions!$A:$A, 0)), $F$16 * (1 + INDEX(Assumptions!$B:$B, MATCH("Starship customer launch margin — CAGR (% change/yr from 2027 anchor)", Assumptions!$A:$A, 0)))^(V$5 - 2))</f>
        <v>2.0217800960571415</v>
      </c>
      <c r="W16">
        <f>MAX(INDEX(Assumptions!$B:$B, MATCH("Starship customer launch margin — 2050 terminal (multiplier on at-cost rate, floor)", Assumptions!$A:$A, 0)), $F$16 * (1 + INDEX(Assumptions!$B:$B, MATCH("Starship customer launch margin — CAGR (% change/yr from 2027 anchor)", Assumptions!$A:$A, 0)))^(W$5 - 2))</f>
        <v>1.9373743119583495</v>
      </c>
      <c r="X16">
        <f>MAX(INDEX(Assumptions!$B:$B, MATCH("Starship customer launch margin — 2050 terminal (multiplier on at-cost rate, floor)", Assumptions!$A:$A, 0)), $F$16 * (1 + INDEX(Assumptions!$B:$B, MATCH("Starship customer launch margin — CAGR (% change/yr from 2027 anchor)", Assumptions!$A:$A, 0)))^(X$5 - 2))</f>
        <v>1.8564923217693037</v>
      </c>
      <c r="Y16">
        <f>MAX(INDEX(Assumptions!$B:$B, MATCH("Starship customer launch margin — 2050 terminal (multiplier on at-cost rate, floor)", Assumptions!$A:$A, 0)), $F$16 * (1 + INDEX(Assumptions!$B:$B, MATCH("Starship customer launch margin — CAGR (% change/yr from 2027 anchor)", Assumptions!$A:$A, 0)))^(Y$5 - 2))</f>
        <v>1.7789870132553278</v>
      </c>
      <c r="Z16">
        <f>MAX(INDEX(Assumptions!$B:$B, MATCH("Starship customer launch margin — 2050 terminal (multiplier on at-cost rate, floor)", Assumptions!$A:$A, 0)), $F$16 * (1 + INDEX(Assumptions!$B:$B, MATCH("Starship customer launch margin — CAGR (% change/yr from 2027 anchor)", Assumptions!$A:$A, 0)))^(Z$5 - 2))</f>
        <v>1.7047174158603298</v>
      </c>
      <c r="AA16">
        <f>MAX(INDEX(Assumptions!$B:$B, MATCH("Starship customer launch margin — 2050 terminal (multiplier on at-cost rate, floor)", Assumptions!$A:$A, 0)), $F$16 * (1 + INDEX(Assumptions!$B:$B, MATCH("Starship customer launch margin — CAGR (% change/yr from 2027 anchor)", Assumptions!$A:$A, 0)))^(AA$5 - 2))</f>
        <v>1.6335484443024604</v>
      </c>
      <c r="AB16">
        <f>MAX(INDEX(Assumptions!$B:$B, MATCH("Starship customer launch margin — 2050 terminal (multiplier on at-cost rate, floor)", Assumptions!$A:$A, 0)), $F$16 * (1 + INDEX(Assumptions!$B:$B, MATCH("Starship customer launch margin — CAGR (% change/yr from 2027 anchor)", Assumptions!$A:$A, 0)))^(AB$5 - 2))</f>
        <v>1.5653506528742009</v>
      </c>
      <c r="AC16">
        <f>MAX(INDEX(Assumptions!$B:$B, MATCH("Starship customer launch margin — 2050 terminal (multiplier on at-cost rate, floor)", Assumptions!$A:$A, 0)), $F$16 * (1 + INDEX(Assumptions!$B:$B, MATCH("Starship customer launch margin — CAGR (% change/yr from 2027 anchor)", Assumptions!$A:$A, 0)))^(AC$5 - 2))</f>
        <v>1.5</v>
      </c>
    </row>
    <row r="17" spans="1:29" x14ac:dyDescent="0.2">
      <c r="A17" t="s">
        <v>739</v>
      </c>
      <c r="D17" cm="1">
        <f t="array" ref="D17">INDEX(Assumptions!$D:$AC, MATCH("F9 customer launch price ($mm/launch) — 2025 anchor", Assumptions!$A:$A, 0), D$5+1)</f>
        <v>111</v>
      </c>
      <c r="E17" cm="1">
        <f t="array" ref="E17">INDEX(Assumptions!$D:$AC, MATCH("F9 customer launch price ($mm/launch) — 2025 anchor", Assumptions!$A:$A, 0), E$5+1)</f>
        <v>107.67</v>
      </c>
      <c r="F17" cm="1">
        <f t="array" ref="F17">INDEX(Assumptions!$D:$AC, MATCH("F9 customer launch price ($mm/launch) — 2025 anchor", Assumptions!$A:$A, 0), F$5+1)</f>
        <v>104.44</v>
      </c>
      <c r="G17" cm="1">
        <f t="array" ref="G17">INDEX(Assumptions!$D:$AC, MATCH("F9 customer launch price ($mm/launch) — 2025 anchor", Assumptions!$A:$A, 0), G$5+1)</f>
        <v>101.3</v>
      </c>
      <c r="H17" cm="1">
        <f t="array" ref="H17">INDEX(Assumptions!$D:$AC, MATCH("F9 customer launch price ($mm/launch) — 2025 anchor", Assumptions!$A:$A, 0), H$5+1)</f>
        <v>98.26</v>
      </c>
      <c r="I17" cm="1">
        <f t="array" ref="I17">INDEX(Assumptions!$D:$AC, MATCH("F9 customer launch price ($mm/launch) — 2025 anchor", Assumptions!$A:$A, 0), I$5+1)</f>
        <v>95.31</v>
      </c>
      <c r="J17" cm="1">
        <f t="array" ref="J17">INDEX(Assumptions!$D:$AC, MATCH("F9 customer launch price ($mm/launch) — 2025 anchor", Assumptions!$A:$A, 0), J$5+1)</f>
        <v>92.45</v>
      </c>
      <c r="K17" cm="1">
        <f t="array" ref="K17">INDEX(Assumptions!$D:$AC, MATCH("F9 customer launch price ($mm/launch) — 2025 anchor", Assumptions!$A:$A, 0), K$5+1)</f>
        <v>89.68</v>
      </c>
      <c r="L17" cm="1">
        <f t="array" ref="L17">INDEX(Assumptions!$D:$AC, MATCH("F9 customer launch price ($mm/launch) — 2025 anchor", Assumptions!$A:$A, 0), L$5+1)</f>
        <v>87</v>
      </c>
      <c r="M17" cm="1">
        <f t="array" ref="M17">INDEX(Assumptions!$D:$AC, MATCH("F9 customer launch price ($mm/launch) — 2025 anchor", Assumptions!$A:$A, 0), M$5+1)</f>
        <v>84.39</v>
      </c>
      <c r="N17" cm="1">
        <f t="array" ref="N17">INDEX(Assumptions!$D:$AC, MATCH("F9 customer launch price ($mm/launch) — 2025 anchor", Assumptions!$A:$A, 0), N$5+1)</f>
        <v>81.86</v>
      </c>
      <c r="O17" cm="1">
        <f t="array" ref="O17">INDEX(Assumptions!$D:$AC, MATCH("F9 customer launch price ($mm/launch) — 2025 anchor", Assumptions!$A:$A, 0), O$5+1)</f>
        <v>79.400000000000006</v>
      </c>
      <c r="P17" cm="1">
        <f t="array" ref="P17">INDEX(Assumptions!$D:$AC, MATCH("F9 customer launch price ($mm/launch) — 2025 anchor", Assumptions!$A:$A, 0), P$5+1)</f>
        <v>77.02</v>
      </c>
      <c r="Q17" cm="1">
        <f t="array" ref="Q17">INDEX(Assumptions!$D:$AC, MATCH("F9 customer launch price ($mm/launch) — 2025 anchor", Assumptions!$A:$A, 0), Q$5+1)</f>
        <v>74.709999999999994</v>
      </c>
      <c r="R17" cm="1">
        <f t="array" ref="R17">INDEX(Assumptions!$D:$AC, MATCH("F9 customer launch price ($mm/launch) — 2025 anchor", Assumptions!$A:$A, 0), R$5+1)</f>
        <v>72.47</v>
      </c>
      <c r="S17" cm="1">
        <f t="array" ref="S17">INDEX(Assumptions!$D:$AC, MATCH("F9 customer launch price ($mm/launch) — 2025 anchor", Assumptions!$A:$A, 0), S$5+1)</f>
        <v>70.290000000000006</v>
      </c>
      <c r="T17" cm="1">
        <f t="array" ref="T17">INDEX(Assumptions!$D:$AC, MATCH("F9 customer launch price ($mm/launch) — 2025 anchor", Assumptions!$A:$A, 0), T$5+1)</f>
        <v>68.180000000000007</v>
      </c>
      <c r="U17" cm="1">
        <f t="array" ref="U17">INDEX(Assumptions!$D:$AC, MATCH("F9 customer launch price ($mm/launch) — 2025 anchor", Assumptions!$A:$A, 0), U$5+1)</f>
        <v>66.13</v>
      </c>
      <c r="V17" cm="1">
        <f t="array" ref="V17">INDEX(Assumptions!$D:$AC, MATCH("F9 customer launch price ($mm/launch) — 2025 anchor", Assumptions!$A:$A, 0), V$5+1)</f>
        <v>64.150000000000006</v>
      </c>
      <c r="W17" cm="1">
        <f t="array" ref="W17">INDEX(Assumptions!$D:$AC, MATCH("F9 customer launch price ($mm/launch) — 2025 anchor", Assumptions!$A:$A, 0), W$5+1)</f>
        <v>62.22</v>
      </c>
      <c r="X17" cm="1">
        <f t="array" ref="X17">INDEX(Assumptions!$D:$AC, MATCH("F9 customer launch price ($mm/launch) — 2025 anchor", Assumptions!$A:$A, 0), X$5+1)</f>
        <v>60.36</v>
      </c>
      <c r="Y17" cm="1">
        <f t="array" ref="Y17">INDEX(Assumptions!$D:$AC, MATCH("F9 customer launch price ($mm/launch) — 2025 anchor", Assumptions!$A:$A, 0), Y$5+1)</f>
        <v>58.55</v>
      </c>
      <c r="Z17" cm="1">
        <f t="array" ref="Z17">INDEX(Assumptions!$D:$AC, MATCH("F9 customer launch price ($mm/launch) — 2025 anchor", Assumptions!$A:$A, 0), Z$5+1)</f>
        <v>56.79</v>
      </c>
      <c r="AA17" cm="1">
        <f t="array" ref="AA17">INDEX(Assumptions!$D:$AC, MATCH("F9 customer launch price ($mm/launch) — 2025 anchor", Assumptions!$A:$A, 0), AA$5+1)</f>
        <v>55.09</v>
      </c>
      <c r="AB17" cm="1">
        <f t="array" ref="AB17">INDEX(Assumptions!$D:$AC, MATCH("F9 customer launch price ($mm/launch) — 2025 anchor", Assumptions!$A:$A, 0), AB$5+1)</f>
        <v>53.43</v>
      </c>
      <c r="AC17" cm="1">
        <f t="array" ref="AC17">INDEX(Assumptions!$D:$AC, MATCH("F9 customer launch price ($mm/launch) — 2025 anchor", Assumptions!$A:$A, 0), AC$5+1)</f>
        <v>51.83</v>
      </c>
    </row>
    <row r="18" spans="1:29" x14ac:dyDescent="0.2">
      <c r="A18" t="s">
        <v>740</v>
      </c>
      <c r="D18" cm="1">
        <f t="array" aca="1" ref="D18" ca="1">IFERROR(D16 * INDEX('Launch Capacity'!$D:$AC, MATCH("Starship at-cost rate ($mm/launch)", 'Launch Capacity'!$A:$A, 0), D$5+1), 0)</f>
        <v>0</v>
      </c>
      <c r="E18" cm="1">
        <f t="array" aca="1" ref="E18" ca="1">IFERROR(E16 * INDEX('Launch Capacity'!$D:$AC, MATCH("Starship at-cost rate ($mm/launch)", 'Launch Capacity'!$A:$A, 0), E$5+1), 0)</f>
        <v>0</v>
      </c>
      <c r="F18" cm="1">
        <f t="array" aca="1" ref="F18" ca="1">IFERROR(F16 * INDEX('Launch Capacity'!$D:$AC, MATCH("Starship at-cost rate ($mm/launch)", 'Launch Capacity'!$A:$A, 0), F$5+1), 0)</f>
        <v>68.222180346128965</v>
      </c>
      <c r="G18" cm="1">
        <f t="array" aca="1" ref="G18" ca="1">IFERROR(G16 * INDEX('Launch Capacity'!$D:$AC, MATCH("Starship at-cost rate ($mm/launch)", 'Launch Capacity'!$A:$A, 0), G$5+1), 0)</f>
        <v>57.359445699550861</v>
      </c>
      <c r="H18" cm="1">
        <f t="array" aca="1" ref="H18" ca="1">IFERROR(H16 * INDEX('Launch Capacity'!$D:$AC, MATCH("Starship at-cost rate ($mm/launch)", 'Launch Capacity'!$A:$A, 0), H$5+1), 0)</f>
        <v>50.303581794168672</v>
      </c>
      <c r="I18" cm="1">
        <f t="array" aca="1" ref="I18" ca="1">IFERROR(I16 * INDEX('Launch Capacity'!$D:$AC, MATCH("Starship at-cost rate ($mm/launch)", 'Launch Capacity'!$A:$A, 0), I$5+1), 0)</f>
        <v>45.946671554308153</v>
      </c>
      <c r="J18" cm="1">
        <f t="array" aca="1" ref="J18" ca="1">IFERROR(J16 * INDEX('Launch Capacity'!$D:$AC, MATCH("Starship at-cost rate ($mm/launch)", 'Launch Capacity'!$A:$A, 0), J$5+1), 0)</f>
        <v>42.04958101943275</v>
      </c>
      <c r="K18" cm="1">
        <f t="array" aca="1" ref="K18" ca="1">IFERROR(K16 * INDEX('Launch Capacity'!$D:$AC, MATCH("Starship at-cost rate ($mm/launch)", 'Launch Capacity'!$A:$A, 0), K$5+1), 0)</f>
        <v>38.730425368989792</v>
      </c>
      <c r="L18" cm="1">
        <f t="array" aca="1" ref="L18" ca="1">IFERROR(L16 * INDEX('Launch Capacity'!$D:$AC, MATCH("Starship at-cost rate ($mm/launch)", 'Launch Capacity'!$A:$A, 0), L$5+1), 0)</f>
        <v>36.298822644519156</v>
      </c>
      <c r="M18" cm="1">
        <f t="array" aca="1" ref="M18" ca="1">IFERROR(M16 * INDEX('Launch Capacity'!$D:$AC, MATCH("Starship at-cost rate ($mm/launch)", 'Launch Capacity'!$A:$A, 0), M$5+1), 0)</f>
        <v>33.198000120966583</v>
      </c>
      <c r="N18" cm="1">
        <f t="array" aca="1" ref="N18" ca="1">IFERROR(N16 * INDEX('Launch Capacity'!$D:$AC, MATCH("Starship at-cost rate ($mm/launch)", 'Launch Capacity'!$A:$A, 0), N$5+1), 0)</f>
        <v>31.607952770044083</v>
      </c>
      <c r="O18" cm="1">
        <f t="array" aca="1" ref="O18" ca="1">IFERROR(O16 * INDEX('Launch Capacity'!$D:$AC, MATCH("Starship at-cost rate ($mm/launch)", 'Launch Capacity'!$A:$A, 0), O$5+1), 0)</f>
        <v>29.42462944745311</v>
      </c>
      <c r="P18" cm="1">
        <f t="array" aca="1" ref="P18" ca="1">IFERROR(P16 * INDEX('Launch Capacity'!$D:$AC, MATCH("Starship at-cost rate ($mm/launch)", 'Launch Capacity'!$A:$A, 0), P$5+1), 0)</f>
        <v>27.66187434750703</v>
      </c>
      <c r="Q18" cm="1">
        <f t="array" aca="1" ref="Q18" ca="1">IFERROR(Q16 * INDEX('Launch Capacity'!$D:$AC, MATCH("Starship at-cost rate ($mm/launch)", 'Launch Capacity'!$A:$A, 0), Q$5+1), 0)</f>
        <v>26.431070315233963</v>
      </c>
      <c r="R18" cm="1">
        <f t="array" aca="1" ref="R18" ca="1">IFERROR(R16 * INDEX('Launch Capacity'!$D:$AC, MATCH("Starship at-cost rate ($mm/launch)", 'Launch Capacity'!$A:$A, 0), R$5+1), 0)</f>
        <v>24.599097667713188</v>
      </c>
      <c r="S18" cm="1">
        <f t="array" aca="1" ref="S18" ca="1">IFERROR(S16 * INDEX('Launch Capacity'!$D:$AC, MATCH("Starship at-cost rate ($mm/launch)", 'Launch Capacity'!$A:$A, 0), S$5+1), 0)</f>
        <v>23.519490311966106</v>
      </c>
      <c r="T18" cm="1">
        <f t="array" aca="1" ref="T18" ca="1">IFERROR(T16 * INDEX('Launch Capacity'!$D:$AC, MATCH("Starship at-cost rate ($mm/launch)", 'Launch Capacity'!$A:$A, 0), T$5+1), 0)</f>
        <v>22.249119985828195</v>
      </c>
      <c r="U18" cm="1">
        <f t="array" aca="1" ref="U18" ca="1">IFERROR(U16 * INDEX('Launch Capacity'!$D:$AC, MATCH("Starship at-cost rate ($mm/launch)", 'Launch Capacity'!$A:$A, 0), U$5+1), 0)</f>
        <v>20.926280073157955</v>
      </c>
      <c r="V18" cm="1">
        <f t="array" aca="1" ref="V18" ca="1">IFERROR(V16 * INDEX('Launch Capacity'!$D:$AC, MATCH("Starship at-cost rate ($mm/launch)", 'Launch Capacity'!$A:$A, 0), V$5+1), 0)</f>
        <v>20.037607201531642</v>
      </c>
      <c r="W18" cm="1">
        <f t="array" aca="1" ref="W18" ca="1">IFERROR(W16 * INDEX('Launch Capacity'!$D:$AC, MATCH("Starship at-cost rate ($mm/launch)", 'Launch Capacity'!$A:$A, 0), W$5+1), 0)</f>
        <v>18.771218665076848</v>
      </c>
      <c r="X18" cm="1">
        <f t="array" aca="1" ref="X18" ca="1">IFERROR(X16 * INDEX('Launch Capacity'!$D:$AC, MATCH("Starship at-cost rate ($mm/launch)", 'Launch Capacity'!$A:$A, 0), X$5+1), 0)</f>
        <v>17.97523799561861</v>
      </c>
      <c r="Y18" cm="1">
        <f t="array" aca="1" ref="Y18" ca="1">IFERROR(Y16 * INDEX('Launch Capacity'!$D:$AC, MATCH("Starship at-cost rate ($mm/launch)", 'Launch Capacity'!$A:$A, 0), Y$5+1), 0)</f>
        <v>17.214821939386706</v>
      </c>
      <c r="Z18" cm="1">
        <f t="array" aca="1" ref="Z18" ca="1">IFERROR(Z16 * INDEX('Launch Capacity'!$D:$AC, MATCH("Starship at-cost rate ($mm/launch)", 'Launch Capacity'!$A:$A, 0), Z$5+1), 0)</f>
        <v>16.159869600368957</v>
      </c>
      <c r="AA18" cm="1">
        <f t="array" aca="1" ref="AA18" ca="1">IFERROR(AA16 * INDEX('Launch Capacity'!$D:$AC, MATCH("Starship at-cost rate ($mm/launch)", 'Launch Capacity'!$A:$A, 0), AA$5+1), 0)</f>
        <v>15.48522329871953</v>
      </c>
      <c r="AB18" cm="1">
        <f t="array" aca="1" ref="AB18" ca="1">IFERROR(AB16 * INDEX('Launch Capacity'!$D:$AC, MATCH("Starship at-cost rate ($mm/launch)", 'Launch Capacity'!$A:$A, 0), AB$5+1), 0)</f>
        <v>14.551447275055432</v>
      </c>
      <c r="AC18" cm="1">
        <f t="array" aca="1" ref="AC18" ca="1">IFERROR(AC16 * INDEX('Launch Capacity'!$D:$AC, MATCH("Starship at-cost rate ($mm/launch)", 'Launch Capacity'!$A:$A, 0), AC$5+1), 0)</f>
        <v>13.94394979329739</v>
      </c>
    </row>
    <row r="20" spans="1:29" x14ac:dyDescent="0.2">
      <c r="A20" t="s">
        <v>741</v>
      </c>
      <c r="D20" cm="1">
        <f t="array" aca="1" ref="D20" ca="1">INDEX('Launch Capacity'!$D:$AC, MATCH("Total Annual Capacity (kg-to-LEO)", 'Launch Capacity'!$A:$A, 0), D$5+1)</f>
        <v>242.05560740075455</v>
      </c>
      <c r="E20" cm="1">
        <f t="array" aca="1" ref="E20" ca="1">INDEX('Launch Capacity'!$D:$AC, MATCH("Total Annual Capacity (kg-to-LEO)", 'Launch Capacity'!$A:$A, 0), E$5+1)</f>
        <v>138407.53589217493</v>
      </c>
      <c r="F20" cm="1">
        <f t="array" aca="1" ref="F20" ca="1">INDEX('Launch Capacity'!$D:$AC, MATCH("Total Annual Capacity (kg-to-LEO)", 'Launch Capacity'!$A:$A, 0), F$5+1)</f>
        <v>232172.86773745186</v>
      </c>
      <c r="G20" cm="1">
        <f t="array" aca="1" ref="G20" ca="1">INDEX('Launch Capacity'!$D:$AC, MATCH("Total Annual Capacity (kg-to-LEO)", 'Launch Capacity'!$A:$A, 0), G$5+1)</f>
        <v>423134.28148913663</v>
      </c>
      <c r="H20" cm="1">
        <f t="array" aca="1" ref="H20" ca="1">INDEX('Launch Capacity'!$D:$AC, MATCH("Total Annual Capacity (kg-to-LEO)", 'Launch Capacity'!$A:$A, 0), H$5+1)</f>
        <v>665049.24496605981</v>
      </c>
      <c r="I20" cm="1">
        <f t="array" aca="1" ref="I20" ca="1">INDEX('Launch Capacity'!$D:$AC, MATCH("Total Annual Capacity (kg-to-LEO)", 'Launch Capacity'!$A:$A, 0), I$5+1)</f>
        <v>1155020.150754624</v>
      </c>
      <c r="J20" cm="1">
        <f t="array" aca="1" ref="J20" ca="1">INDEX('Launch Capacity'!$D:$AC, MATCH("Total Annual Capacity (kg-to-LEO)", 'Launch Capacity'!$A:$A, 0), J$5+1)</f>
        <v>1578855.7733065963</v>
      </c>
      <c r="K20" cm="1">
        <f t="array" aca="1" ref="K20" ca="1">INDEX('Launch Capacity'!$D:$AC, MATCH("Total Annual Capacity (kg-to-LEO)", 'Launch Capacity'!$A:$A, 0), K$5+1)</f>
        <v>1644199.4179229192</v>
      </c>
      <c r="L20" cm="1">
        <f t="array" aca="1" ref="L20" ca="1">INDEX('Launch Capacity'!$D:$AC, MATCH("Total Annual Capacity (kg-to-LEO)", 'Launch Capacity'!$A:$A, 0), L$5+1)</f>
        <v>3760146.1456427388</v>
      </c>
      <c r="M20" cm="1">
        <f t="array" aca="1" ref="M20" ca="1">INDEX('Launch Capacity'!$D:$AC, MATCH("Total Annual Capacity (kg-to-LEO)", 'Launch Capacity'!$A:$A, 0), M$5+1)</f>
        <v>1974432.3048974934</v>
      </c>
      <c r="N20" cm="1">
        <f t="array" aca="1" ref="N20" ca="1">INDEX('Launch Capacity'!$D:$AC, MATCH("Total Annual Capacity (kg-to-LEO)", 'Launch Capacity'!$A:$A, 0), N$5+1)</f>
        <v>5002826.816693252</v>
      </c>
      <c r="O20" cm="1">
        <f t="array" aca="1" ref="O20" ca="1">INDEX('Launch Capacity'!$D:$AC, MATCH("Total Annual Capacity (kg-to-LEO)", 'Launch Capacity'!$A:$A, 0), O$5+1)</f>
        <v>6088290.9280479504</v>
      </c>
      <c r="P20" cm="1">
        <f t="array" aca="1" ref="P20" ca="1">INDEX('Launch Capacity'!$D:$AC, MATCH("Total Annual Capacity (kg-to-LEO)", 'Launch Capacity'!$A:$A, 0), P$5+1)</f>
        <v>2432227.2387335724</v>
      </c>
      <c r="Q20" cm="1">
        <f t="array" aca="1" ref="Q20" ca="1">INDEX('Launch Capacity'!$D:$AC, MATCH("Total Annual Capacity (kg-to-LEO)", 'Launch Capacity'!$A:$A, 0), Q$5+1)</f>
        <v>11502718.1572091</v>
      </c>
      <c r="R20" cm="1">
        <f t="array" aca="1" ref="R20" ca="1">INDEX('Launch Capacity'!$D:$AC, MATCH("Total Annual Capacity (kg-to-LEO)", 'Launch Capacity'!$A:$A, 0), R$5+1)</f>
        <v>3272512.0032541063</v>
      </c>
      <c r="S20" cm="1">
        <f t="array" aca="1" ref="S20" ca="1">INDEX('Launch Capacity'!$D:$AC, MATCH("Total Annual Capacity (kg-to-LEO)", 'Launch Capacity'!$A:$A, 0), S$5+1)</f>
        <v>8683234.4933169354</v>
      </c>
      <c r="T20" cm="1">
        <f t="array" aca="1" ref="T20" ca="1">INDEX('Launch Capacity'!$D:$AC, MATCH("Total Annual Capacity (kg-to-LEO)", 'Launch Capacity'!$A:$A, 0), T$5+1)</f>
        <v>15414203.638301549</v>
      </c>
      <c r="U20" cm="1">
        <f t="array" aca="1" ref="U20" ca="1">INDEX('Launch Capacity'!$D:$AC, MATCH("Total Annual Capacity (kg-to-LEO)", 'Launch Capacity'!$A:$A, 0), U$5+1)</f>
        <v>3192866.433320045</v>
      </c>
      <c r="V20" cm="1">
        <f t="array" aca="1" ref="V20" ca="1">INDEX('Launch Capacity'!$D:$AC, MATCH("Total Annual Capacity (kg-to-LEO)", 'Launch Capacity'!$A:$A, 0), V$5+1)</f>
        <v>22844934.074447524</v>
      </c>
      <c r="W20" cm="1">
        <f t="array" aca="1" ref="W20" ca="1">INDEX('Launch Capacity'!$D:$AC, MATCH("Total Annual Capacity (kg-to-LEO)", 'Launch Capacity'!$A:$A, 0), W$5+1)</f>
        <v>5407115.5079087652</v>
      </c>
      <c r="X20" cm="1">
        <f t="array" aca="1" ref="X20" ca="1">INDEX('Launch Capacity'!$D:$AC, MATCH("Total Annual Capacity (kg-to-LEO)", 'Launch Capacity'!$A:$A, 0), X$5+1)</f>
        <v>6416915.8774405876</v>
      </c>
      <c r="Y20" cm="1">
        <f t="array" aca="1" ref="Y20" ca="1">INDEX('Launch Capacity'!$D:$AC, MATCH("Total Annual Capacity (kg-to-LEO)", 'Launch Capacity'!$A:$A, 0), Y$5+1)</f>
        <v>31168198.416217029</v>
      </c>
      <c r="Z20" cm="1">
        <f t="array" aca="1" ref="Z20" ca="1">INDEX('Launch Capacity'!$D:$AC, MATCH("Total Annual Capacity (kg-to-LEO)", 'Launch Capacity'!$A:$A, 0), Z$5+1)</f>
        <v>4127248.9400326586</v>
      </c>
      <c r="AA20" cm="1">
        <f t="array" aca="1" ref="AA20" ca="1">INDEX('Launch Capacity'!$D:$AC, MATCH("Total Annual Capacity (kg-to-LEO)", 'Launch Capacity'!$A:$A, 0), AA$5+1)</f>
        <v>37192737.972736612</v>
      </c>
      <c r="AB20" cm="1">
        <f t="array" aca="1" ref="AB20" ca="1">INDEX('Launch Capacity'!$D:$AC, MATCH("Total Annual Capacity (kg-to-LEO)", 'Launch Capacity'!$A:$A, 0), AB$5+1)</f>
        <v>9158664.1331653539</v>
      </c>
      <c r="AC20" cm="1">
        <f t="array" aca="1" ref="AC20" ca="1">INDEX('Launch Capacity'!$D:$AC, MATCH("Total Annual Capacity (kg-to-LEO)", 'Launch Capacity'!$A:$A, 0), AC$5+1)</f>
        <v>5026680.7159921201</v>
      </c>
    </row>
    <row r="21" spans="1:29" x14ac:dyDescent="0.2">
      <c r="A21" t="s">
        <v>742</v>
      </c>
      <c r="D21" cm="1">
        <f t="array" aca="1" ref="D21" ca="1">INDEX('Launch Capacity'!$D:$AC, MATCH("Per-launch upmass (kg)", 'Launch Capacity'!$A:$A, 0), D$5+1)</f>
        <v>150000</v>
      </c>
      <c r="E21" cm="1">
        <f t="array" aca="1" ref="E21" ca="1">INDEX('Launch Capacity'!$D:$AC, MATCH("Per-launch upmass (kg)", 'Launch Capacity'!$A:$A, 0), E$5+1)</f>
        <v>150000</v>
      </c>
      <c r="F21" cm="1">
        <f t="array" aca="1" ref="F21" ca="1">INDEX('Launch Capacity'!$D:$AC, MATCH("Per-launch upmass (kg)", 'Launch Capacity'!$A:$A, 0), F$5+1)</f>
        <v>100000</v>
      </c>
      <c r="G21" cm="1">
        <f t="array" aca="1" ref="G21" ca="1">INDEX('Launch Capacity'!$D:$AC, MATCH("Per-launch upmass (kg)", 'Launch Capacity'!$A:$A, 0), G$5+1)</f>
        <v>100000</v>
      </c>
      <c r="H21" cm="1">
        <f t="array" aca="1" ref="H21" ca="1">INDEX('Launch Capacity'!$D:$AC, MATCH("Per-launch upmass (kg)", 'Launch Capacity'!$A:$A, 0), H$5+1)</f>
        <v>100000</v>
      </c>
      <c r="I21" cm="1">
        <f t="array" aca="1" ref="I21" ca="1">INDEX('Launch Capacity'!$D:$AC, MATCH("Per-launch upmass (kg)", 'Launch Capacity'!$A:$A, 0), I$5+1)</f>
        <v>100000</v>
      </c>
      <c r="J21" cm="1">
        <f t="array" aca="1" ref="J21" ca="1">INDEX('Launch Capacity'!$D:$AC, MATCH("Per-launch upmass (kg)", 'Launch Capacity'!$A:$A, 0), J$5+1)</f>
        <v>100000</v>
      </c>
      <c r="K21" cm="1">
        <f t="array" aca="1" ref="K21" ca="1">INDEX('Launch Capacity'!$D:$AC, MATCH("Per-launch upmass (kg)", 'Launch Capacity'!$A:$A, 0), K$5+1)</f>
        <v>100000</v>
      </c>
      <c r="L21" cm="1">
        <f t="array" aca="1" ref="L21" ca="1">INDEX('Launch Capacity'!$D:$AC, MATCH("Per-launch upmass (kg)", 'Launch Capacity'!$A:$A, 0), L$5+1)</f>
        <v>100000</v>
      </c>
      <c r="M21" cm="1">
        <f t="array" aca="1" ref="M21" ca="1">INDEX('Launch Capacity'!$D:$AC, MATCH("Per-launch upmass (kg)", 'Launch Capacity'!$A:$A, 0), M$5+1)</f>
        <v>100000</v>
      </c>
      <c r="N21" cm="1">
        <f t="array" aca="1" ref="N21" ca="1">INDEX('Launch Capacity'!$D:$AC, MATCH("Per-launch upmass (kg)", 'Launch Capacity'!$A:$A, 0), N$5+1)</f>
        <v>100000</v>
      </c>
      <c r="O21" cm="1">
        <f t="array" aca="1" ref="O21" ca="1">INDEX('Launch Capacity'!$D:$AC, MATCH("Per-launch upmass (kg)", 'Launch Capacity'!$A:$A, 0), O$5+1)</f>
        <v>100000</v>
      </c>
      <c r="P21" cm="1">
        <f t="array" aca="1" ref="P21" ca="1">INDEX('Launch Capacity'!$D:$AC, MATCH("Per-launch upmass (kg)", 'Launch Capacity'!$A:$A, 0), P$5+1)</f>
        <v>100000</v>
      </c>
      <c r="Q21" cm="1">
        <f t="array" aca="1" ref="Q21" ca="1">INDEX('Launch Capacity'!$D:$AC, MATCH("Per-launch upmass (kg)", 'Launch Capacity'!$A:$A, 0), Q$5+1)</f>
        <v>100000</v>
      </c>
      <c r="R21" cm="1">
        <f t="array" aca="1" ref="R21" ca="1">INDEX('Launch Capacity'!$D:$AC, MATCH("Per-launch upmass (kg)", 'Launch Capacity'!$A:$A, 0), R$5+1)</f>
        <v>100000</v>
      </c>
      <c r="S21" cm="1">
        <f t="array" aca="1" ref="S21" ca="1">INDEX('Launch Capacity'!$D:$AC, MATCH("Per-launch upmass (kg)", 'Launch Capacity'!$A:$A, 0), S$5+1)</f>
        <v>100000</v>
      </c>
      <c r="T21" cm="1">
        <f t="array" aca="1" ref="T21" ca="1">INDEX('Launch Capacity'!$D:$AC, MATCH("Per-launch upmass (kg)", 'Launch Capacity'!$A:$A, 0), T$5+1)</f>
        <v>100000</v>
      </c>
      <c r="U21" cm="1">
        <f t="array" aca="1" ref="U21" ca="1">INDEX('Launch Capacity'!$D:$AC, MATCH("Per-launch upmass (kg)", 'Launch Capacity'!$A:$A, 0), U$5+1)</f>
        <v>100000</v>
      </c>
      <c r="V21" cm="1">
        <f t="array" aca="1" ref="V21" ca="1">INDEX('Launch Capacity'!$D:$AC, MATCH("Per-launch upmass (kg)", 'Launch Capacity'!$A:$A, 0), V$5+1)</f>
        <v>100000</v>
      </c>
      <c r="W21" cm="1">
        <f t="array" aca="1" ref="W21" ca="1">INDEX('Launch Capacity'!$D:$AC, MATCH("Per-launch upmass (kg)", 'Launch Capacity'!$A:$A, 0), W$5+1)</f>
        <v>100000</v>
      </c>
      <c r="X21" cm="1">
        <f t="array" aca="1" ref="X21" ca="1">INDEX('Launch Capacity'!$D:$AC, MATCH("Per-launch upmass (kg)", 'Launch Capacity'!$A:$A, 0), X$5+1)</f>
        <v>100000</v>
      </c>
      <c r="Y21" cm="1">
        <f t="array" aca="1" ref="Y21" ca="1">INDEX('Launch Capacity'!$D:$AC, MATCH("Per-launch upmass (kg)", 'Launch Capacity'!$A:$A, 0), Y$5+1)</f>
        <v>100000</v>
      </c>
      <c r="Z21" cm="1">
        <f t="array" aca="1" ref="Z21" ca="1">INDEX('Launch Capacity'!$D:$AC, MATCH("Per-launch upmass (kg)", 'Launch Capacity'!$A:$A, 0), Z$5+1)</f>
        <v>100000</v>
      </c>
      <c r="AA21" cm="1">
        <f t="array" aca="1" ref="AA21" ca="1">INDEX('Launch Capacity'!$D:$AC, MATCH("Per-launch upmass (kg)", 'Launch Capacity'!$A:$A, 0), AA$5+1)</f>
        <v>100000</v>
      </c>
      <c r="AB21" cm="1">
        <f t="array" aca="1" ref="AB21" ca="1">INDEX('Launch Capacity'!$D:$AC, MATCH("Per-launch upmass (kg)", 'Launch Capacity'!$A:$A, 0), AB$5+1)</f>
        <v>100000</v>
      </c>
      <c r="AC21" cm="1">
        <f t="array" aca="1" ref="AC21" ca="1">INDEX('Launch Capacity'!$D:$AC, MATCH("Per-launch upmass (kg)", 'Launch Capacity'!$A:$A, 0), AC$5+1)</f>
        <v>100000</v>
      </c>
    </row>
    <row r="22" spans="1:29" x14ac:dyDescent="0.2">
      <c r="A22" t="s">
        <v>743</v>
      </c>
      <c r="D22" cm="1">
        <f t="array" aca="1" ref="D22" ca="1">IFERROR(INDEX(Starlink!$D:$AC, MATCH("V3 BB Starship kg demand", Starlink!$A:$A, 0), D$5+1), 0) + IFERROR(INDEX(Starlink!$D:$AC, MATCH("V3 DTC Starship kg demand", Starlink!$A:$A, 0), D$5+1), 0) + IFERROR(INDEX(ODC!$D:$AC, MATCH("ODC Starship kg demand", ODC!$A:$A, 0), D$5+1), 0) + IFERROR(INDEX('AI Stack'!$D:$AC, MATCH("AI Stack Starship kg demand", 'AI Stack'!$A:$A, 0), D$5+1), 0)</f>
        <v>0</v>
      </c>
      <c r="E22" cm="1">
        <f t="array" aca="1" ref="E22" ca="1">IFERROR(INDEX(Starlink!$D:$AC, MATCH("V3 BB Starship kg demand", Starlink!$A:$A, 0), E$5+1), 0) + IFERROR(INDEX(Starlink!$D:$AC, MATCH("V3 DTC Starship kg demand", Starlink!$A:$A, 0), E$5+1), 0) + IFERROR(INDEX(ODC!$D:$AC, MATCH("ODC Starship kg demand", ODC!$A:$A, 0), E$5+1), 0) + IFERROR(INDEX('AI Stack'!$D:$AC, MATCH("AI Stack Starship kg demand", 'AI Stack'!$A:$A, 0), E$5+1), 0)</f>
        <v>0</v>
      </c>
      <c r="F22" cm="1">
        <f t="array" aca="1" ref="F22" ca="1">IFERROR(INDEX(Starlink!$D:$AC, MATCH("V3 BB Starship kg demand", Starlink!$A:$A, 0), F$5+1), 0) + IFERROR(INDEX(Starlink!$D:$AC, MATCH("V3 DTC Starship kg demand", Starlink!$A:$A, 0), F$5+1), 0) + IFERROR(INDEX(ODC!$D:$AC, MATCH("ODC Starship kg demand", ODC!$A:$A, 0), F$5+1), 0) + IFERROR(INDEX('AI Stack'!$D:$AC, MATCH("AI Stack Starship kg demand", 'AI Stack'!$A:$A, 0), F$5+1), 0)</f>
        <v>0</v>
      </c>
      <c r="G22" cm="1">
        <f t="array" aca="1" ref="G22" ca="1">IFERROR(INDEX(Starlink!$D:$AC, MATCH("V3 BB Starship kg demand", Starlink!$A:$A, 0), G$5+1), 0) + IFERROR(INDEX(Starlink!$D:$AC, MATCH("V3 DTC Starship kg demand", Starlink!$A:$A, 0), G$5+1), 0) + IFERROR(INDEX(ODC!$D:$AC, MATCH("ODC Starship kg demand", ODC!$A:$A, 0), G$5+1), 0) + IFERROR(INDEX('AI Stack'!$D:$AC, MATCH("AI Stack Starship kg demand", 'AI Stack'!$A:$A, 0), G$5+1), 0)</f>
        <v>0</v>
      </c>
      <c r="H22" cm="1">
        <f t="array" aca="1" ref="H22" ca="1">IFERROR(INDEX(Starlink!$D:$AC, MATCH("V3 BB Starship kg demand", Starlink!$A:$A, 0), H$5+1), 0) + IFERROR(INDEX(Starlink!$D:$AC, MATCH("V3 DTC Starship kg demand", Starlink!$A:$A, 0), H$5+1), 0) + IFERROR(INDEX(ODC!$D:$AC, MATCH("ODC Starship kg demand", ODC!$A:$A, 0), H$5+1), 0) + IFERROR(INDEX('AI Stack'!$D:$AC, MATCH("AI Stack Starship kg demand", 'AI Stack'!$A:$A, 0), H$5+1), 0)</f>
        <v>0</v>
      </c>
      <c r="I22" cm="1">
        <f t="array" aca="1" ref="I22" ca="1">IFERROR(INDEX(Starlink!$D:$AC, MATCH("V3 BB Starship kg demand", Starlink!$A:$A, 0), I$5+1), 0) + IFERROR(INDEX(Starlink!$D:$AC, MATCH("V3 DTC Starship kg demand", Starlink!$A:$A, 0), I$5+1), 0) + IFERROR(INDEX(ODC!$D:$AC, MATCH("ODC Starship kg demand", ODC!$A:$A, 0), I$5+1), 0) + IFERROR(INDEX('AI Stack'!$D:$AC, MATCH("AI Stack Starship kg demand", 'AI Stack'!$A:$A, 0), I$5+1), 0)</f>
        <v>0</v>
      </c>
      <c r="J22" cm="1">
        <f t="array" aca="1" ref="J22" ca="1">IFERROR(INDEX(Starlink!$D:$AC, MATCH("V3 BB Starship kg demand", Starlink!$A:$A, 0), J$5+1), 0) + IFERROR(INDEX(Starlink!$D:$AC, MATCH("V3 DTC Starship kg demand", Starlink!$A:$A, 0), J$5+1), 0) + IFERROR(INDEX(ODC!$D:$AC, MATCH("ODC Starship kg demand", ODC!$A:$A, 0), J$5+1), 0) + IFERROR(INDEX('AI Stack'!$D:$AC, MATCH("AI Stack Starship kg demand", 'AI Stack'!$A:$A, 0), J$5+1), 0)</f>
        <v>0</v>
      </c>
      <c r="K22" cm="1">
        <f t="array" aca="1" ref="K22" ca="1">IFERROR(INDEX(Starlink!$D:$AC, MATCH("V3 BB Starship kg demand", Starlink!$A:$A, 0), K$5+1), 0) + IFERROR(INDEX(Starlink!$D:$AC, MATCH("V3 DTC Starship kg demand", Starlink!$A:$A, 0), K$5+1), 0) + IFERROR(INDEX(ODC!$D:$AC, MATCH("ODC Starship kg demand", ODC!$A:$A, 0), K$5+1), 0) + IFERROR(INDEX('AI Stack'!$D:$AC, MATCH("AI Stack Starship kg demand", 'AI Stack'!$A:$A, 0), K$5+1), 0)</f>
        <v>0</v>
      </c>
      <c r="L22" cm="1">
        <f t="array" aca="1" ref="L22" ca="1">IFERROR(INDEX(Starlink!$D:$AC, MATCH("V3 BB Starship kg demand", Starlink!$A:$A, 0), L$5+1), 0) + IFERROR(INDEX(Starlink!$D:$AC, MATCH("V3 DTC Starship kg demand", Starlink!$A:$A, 0), L$5+1), 0) + IFERROR(INDEX(ODC!$D:$AC, MATCH("ODC Starship kg demand", ODC!$A:$A, 0), L$5+1), 0) + IFERROR(INDEX('AI Stack'!$D:$AC, MATCH("AI Stack Starship kg demand", 'AI Stack'!$A:$A, 0), L$5+1), 0)</f>
        <v>0</v>
      </c>
      <c r="M22" cm="1">
        <f t="array" aca="1" ref="M22" ca="1">IFERROR(INDEX(Starlink!$D:$AC, MATCH("V3 BB Starship kg demand", Starlink!$A:$A, 0), M$5+1), 0) + IFERROR(INDEX(Starlink!$D:$AC, MATCH("V3 DTC Starship kg demand", Starlink!$A:$A, 0), M$5+1), 0) + IFERROR(INDEX(ODC!$D:$AC, MATCH("ODC Starship kg demand", ODC!$A:$A, 0), M$5+1), 0) + IFERROR(INDEX('AI Stack'!$D:$AC, MATCH("AI Stack Starship kg demand", 'AI Stack'!$A:$A, 0), M$5+1), 0)</f>
        <v>0</v>
      </c>
      <c r="N22" cm="1">
        <f t="array" aca="1" ref="N22" ca="1">IFERROR(INDEX(Starlink!$D:$AC, MATCH("V3 BB Starship kg demand", Starlink!$A:$A, 0), N$5+1), 0) + IFERROR(INDEX(Starlink!$D:$AC, MATCH("V3 DTC Starship kg demand", Starlink!$A:$A, 0), N$5+1), 0) + IFERROR(INDEX(ODC!$D:$AC, MATCH("ODC Starship kg demand", ODC!$A:$A, 0), N$5+1), 0) + IFERROR(INDEX('AI Stack'!$D:$AC, MATCH("AI Stack Starship kg demand", 'AI Stack'!$A:$A, 0), N$5+1), 0)</f>
        <v>0</v>
      </c>
      <c r="O22" cm="1">
        <f t="array" aca="1" ref="O22" ca="1">IFERROR(INDEX(Starlink!$D:$AC, MATCH("V3 BB Starship kg demand", Starlink!$A:$A, 0), O$5+1), 0) + IFERROR(INDEX(Starlink!$D:$AC, MATCH("V3 DTC Starship kg demand", Starlink!$A:$A, 0), O$5+1), 0) + IFERROR(INDEX(ODC!$D:$AC, MATCH("ODC Starship kg demand", ODC!$A:$A, 0), O$5+1), 0) + IFERROR(INDEX('AI Stack'!$D:$AC, MATCH("AI Stack Starship kg demand", 'AI Stack'!$A:$A, 0), O$5+1), 0)</f>
        <v>0</v>
      </c>
      <c r="P22" cm="1">
        <f t="array" aca="1" ref="P22" ca="1">IFERROR(INDEX(Starlink!$D:$AC, MATCH("V3 BB Starship kg demand", Starlink!$A:$A, 0), P$5+1), 0) + IFERROR(INDEX(Starlink!$D:$AC, MATCH("V3 DTC Starship kg demand", Starlink!$A:$A, 0), P$5+1), 0) + IFERROR(INDEX(ODC!$D:$AC, MATCH("ODC Starship kg demand", ODC!$A:$A, 0), P$5+1), 0) + IFERROR(INDEX('AI Stack'!$D:$AC, MATCH("AI Stack Starship kg demand", 'AI Stack'!$A:$A, 0), P$5+1), 0)</f>
        <v>0</v>
      </c>
      <c r="Q22" cm="1">
        <f t="array" aca="1" ref="Q22" ca="1">IFERROR(INDEX(Starlink!$D:$AC, MATCH("V3 BB Starship kg demand", Starlink!$A:$A, 0), Q$5+1), 0) + IFERROR(INDEX(Starlink!$D:$AC, MATCH("V3 DTC Starship kg demand", Starlink!$A:$A, 0), Q$5+1), 0) + IFERROR(INDEX(ODC!$D:$AC, MATCH("ODC Starship kg demand", ODC!$A:$A, 0), Q$5+1), 0) + IFERROR(INDEX('AI Stack'!$D:$AC, MATCH("AI Stack Starship kg demand", 'AI Stack'!$A:$A, 0), Q$5+1), 0)</f>
        <v>0</v>
      </c>
      <c r="R22" cm="1">
        <f t="array" aca="1" ref="R22" ca="1">IFERROR(INDEX(Starlink!$D:$AC, MATCH("V3 BB Starship kg demand", Starlink!$A:$A, 0), R$5+1), 0) + IFERROR(INDEX(Starlink!$D:$AC, MATCH("V3 DTC Starship kg demand", Starlink!$A:$A, 0), R$5+1), 0) + IFERROR(INDEX(ODC!$D:$AC, MATCH("ODC Starship kg demand", ODC!$A:$A, 0), R$5+1), 0) + IFERROR(INDEX('AI Stack'!$D:$AC, MATCH("AI Stack Starship kg demand", 'AI Stack'!$A:$A, 0), R$5+1), 0)</f>
        <v>0</v>
      </c>
      <c r="S22" cm="1">
        <f t="array" aca="1" ref="S22" ca="1">IFERROR(INDEX(Starlink!$D:$AC, MATCH("V3 BB Starship kg demand", Starlink!$A:$A, 0), S$5+1), 0) + IFERROR(INDEX(Starlink!$D:$AC, MATCH("V3 DTC Starship kg demand", Starlink!$A:$A, 0), S$5+1), 0) + IFERROR(INDEX(ODC!$D:$AC, MATCH("ODC Starship kg demand", ODC!$A:$A, 0), S$5+1), 0) + IFERROR(INDEX('AI Stack'!$D:$AC, MATCH("AI Stack Starship kg demand", 'AI Stack'!$A:$A, 0), S$5+1), 0)</f>
        <v>0</v>
      </c>
      <c r="T22" cm="1">
        <f t="array" aca="1" ref="T22" ca="1">IFERROR(INDEX(Starlink!$D:$AC, MATCH("V3 BB Starship kg demand", Starlink!$A:$A, 0), T$5+1), 0) + IFERROR(INDEX(Starlink!$D:$AC, MATCH("V3 DTC Starship kg demand", Starlink!$A:$A, 0), T$5+1), 0) + IFERROR(INDEX(ODC!$D:$AC, MATCH("ODC Starship kg demand", ODC!$A:$A, 0), T$5+1), 0) + IFERROR(INDEX('AI Stack'!$D:$AC, MATCH("AI Stack Starship kg demand", 'AI Stack'!$A:$A, 0), T$5+1), 0)</f>
        <v>0</v>
      </c>
      <c r="U22" cm="1">
        <f t="array" aca="1" ref="U22" ca="1">IFERROR(INDEX(Starlink!$D:$AC, MATCH("V3 BB Starship kg demand", Starlink!$A:$A, 0), U$5+1), 0) + IFERROR(INDEX(Starlink!$D:$AC, MATCH("V3 DTC Starship kg demand", Starlink!$A:$A, 0), U$5+1), 0) + IFERROR(INDEX(ODC!$D:$AC, MATCH("ODC Starship kg demand", ODC!$A:$A, 0), U$5+1), 0) + IFERROR(INDEX('AI Stack'!$D:$AC, MATCH("AI Stack Starship kg demand", 'AI Stack'!$A:$A, 0), U$5+1), 0)</f>
        <v>0</v>
      </c>
      <c r="V22" cm="1">
        <f t="array" aca="1" ref="V22" ca="1">IFERROR(INDEX(Starlink!$D:$AC, MATCH("V3 BB Starship kg demand", Starlink!$A:$A, 0), V$5+1), 0) + IFERROR(INDEX(Starlink!$D:$AC, MATCH("V3 DTC Starship kg demand", Starlink!$A:$A, 0), V$5+1), 0) + IFERROR(INDEX(ODC!$D:$AC, MATCH("ODC Starship kg demand", ODC!$A:$A, 0), V$5+1), 0) + IFERROR(INDEX('AI Stack'!$D:$AC, MATCH("AI Stack Starship kg demand", 'AI Stack'!$A:$A, 0), V$5+1), 0)</f>
        <v>0</v>
      </c>
      <c r="W22" cm="1">
        <f t="array" aca="1" ref="W22" ca="1">IFERROR(INDEX(Starlink!$D:$AC, MATCH("V3 BB Starship kg demand", Starlink!$A:$A, 0), W$5+1), 0) + IFERROR(INDEX(Starlink!$D:$AC, MATCH("V3 DTC Starship kg demand", Starlink!$A:$A, 0), W$5+1), 0) + IFERROR(INDEX(ODC!$D:$AC, MATCH("ODC Starship kg demand", ODC!$A:$A, 0), W$5+1), 0) + IFERROR(INDEX('AI Stack'!$D:$AC, MATCH("AI Stack Starship kg demand", 'AI Stack'!$A:$A, 0), W$5+1), 0)</f>
        <v>0</v>
      </c>
      <c r="X22" cm="1">
        <f t="array" aca="1" ref="X22" ca="1">IFERROR(INDEX(Starlink!$D:$AC, MATCH("V3 BB Starship kg demand", Starlink!$A:$A, 0), X$5+1), 0) + IFERROR(INDEX(Starlink!$D:$AC, MATCH("V3 DTC Starship kg demand", Starlink!$A:$A, 0), X$5+1), 0) + IFERROR(INDEX(ODC!$D:$AC, MATCH("ODC Starship kg demand", ODC!$A:$A, 0), X$5+1), 0) + IFERROR(INDEX('AI Stack'!$D:$AC, MATCH("AI Stack Starship kg demand", 'AI Stack'!$A:$A, 0), X$5+1), 0)</f>
        <v>0</v>
      </c>
      <c r="Y22" cm="1">
        <f t="array" aca="1" ref="Y22" ca="1">IFERROR(INDEX(Starlink!$D:$AC, MATCH("V3 BB Starship kg demand", Starlink!$A:$A, 0), Y$5+1), 0) + IFERROR(INDEX(Starlink!$D:$AC, MATCH("V3 DTC Starship kg demand", Starlink!$A:$A, 0), Y$5+1), 0) + IFERROR(INDEX(ODC!$D:$AC, MATCH("ODC Starship kg demand", ODC!$A:$A, 0), Y$5+1), 0) + IFERROR(INDEX('AI Stack'!$D:$AC, MATCH("AI Stack Starship kg demand", 'AI Stack'!$A:$A, 0), Y$5+1), 0)</f>
        <v>0</v>
      </c>
      <c r="Z22" cm="1">
        <f t="array" aca="1" ref="Z22" ca="1">IFERROR(INDEX(Starlink!$D:$AC, MATCH("V3 BB Starship kg demand", Starlink!$A:$A, 0), Z$5+1), 0) + IFERROR(INDEX(Starlink!$D:$AC, MATCH("V3 DTC Starship kg demand", Starlink!$A:$A, 0), Z$5+1), 0) + IFERROR(INDEX(ODC!$D:$AC, MATCH("ODC Starship kg demand", ODC!$A:$A, 0), Z$5+1), 0) + IFERROR(INDEX('AI Stack'!$D:$AC, MATCH("AI Stack Starship kg demand", 'AI Stack'!$A:$A, 0), Z$5+1), 0)</f>
        <v>0</v>
      </c>
      <c r="AA22" cm="1">
        <f t="array" aca="1" ref="AA22" ca="1">IFERROR(INDEX(Starlink!$D:$AC, MATCH("V3 BB Starship kg demand", Starlink!$A:$A, 0), AA$5+1), 0) + IFERROR(INDEX(Starlink!$D:$AC, MATCH("V3 DTC Starship kg demand", Starlink!$A:$A, 0), AA$5+1), 0) + IFERROR(INDEX(ODC!$D:$AC, MATCH("ODC Starship kg demand", ODC!$A:$A, 0), AA$5+1), 0) + IFERROR(INDEX('AI Stack'!$D:$AC, MATCH("AI Stack Starship kg demand", 'AI Stack'!$A:$A, 0), AA$5+1), 0)</f>
        <v>0</v>
      </c>
      <c r="AB22" cm="1">
        <f t="array" aca="1" ref="AB22" ca="1">IFERROR(INDEX(Starlink!$D:$AC, MATCH("V3 BB Starship kg demand", Starlink!$A:$A, 0), AB$5+1), 0) + IFERROR(INDEX(Starlink!$D:$AC, MATCH("V3 DTC Starship kg demand", Starlink!$A:$A, 0), AB$5+1), 0) + IFERROR(INDEX(ODC!$D:$AC, MATCH("ODC Starship kg demand", ODC!$A:$A, 0), AB$5+1), 0) + IFERROR(INDEX('AI Stack'!$D:$AC, MATCH("AI Stack Starship kg demand", 'AI Stack'!$A:$A, 0), AB$5+1), 0)</f>
        <v>0</v>
      </c>
      <c r="AC22" cm="1">
        <f t="array" aca="1" ref="AC22" ca="1">IFERROR(INDEX(Starlink!$D:$AC, MATCH("V3 BB Starship kg demand", Starlink!$A:$A, 0), AC$5+1), 0) + IFERROR(INDEX(Starlink!$D:$AC, MATCH("V3 DTC Starship kg demand", Starlink!$A:$A, 0), AC$5+1), 0) + IFERROR(INDEX(ODC!$D:$AC, MATCH("ODC Starship kg demand", ODC!$A:$A, 0), AC$5+1), 0) + IFERROR(INDEX('AI Stack'!$D:$AC, MATCH("AI Stack Starship kg demand", 'AI Stack'!$A:$A, 0), AC$5+1), 0)</f>
        <v>0</v>
      </c>
    </row>
    <row r="23" spans="1:29" x14ac:dyDescent="0.2">
      <c r="A23" t="s">
        <v>744</v>
      </c>
      <c r="D23">
        <f ca="1">MAX(0, D20-D22)</f>
        <v>242.05560740075455</v>
      </c>
      <c r="E23">
        <f t="shared" ref="E23:AC23" ca="1" si="1">MAX(0, E20-E22)</f>
        <v>138407.53589217493</v>
      </c>
      <c r="F23">
        <f t="shared" ca="1" si="1"/>
        <v>232172.86773745186</v>
      </c>
      <c r="G23">
        <f t="shared" ca="1" si="1"/>
        <v>423134.28148913663</v>
      </c>
      <c r="H23">
        <f t="shared" ca="1" si="1"/>
        <v>665049.24496605981</v>
      </c>
      <c r="I23">
        <f t="shared" ca="1" si="1"/>
        <v>1155020.150754624</v>
      </c>
      <c r="J23">
        <f t="shared" ca="1" si="1"/>
        <v>1578855.7733065963</v>
      </c>
      <c r="K23">
        <f t="shared" ca="1" si="1"/>
        <v>1644199.4179229192</v>
      </c>
      <c r="L23">
        <f t="shared" ca="1" si="1"/>
        <v>3760146.1456427388</v>
      </c>
      <c r="M23">
        <f t="shared" ca="1" si="1"/>
        <v>1974432.3048974934</v>
      </c>
      <c r="N23">
        <f t="shared" ca="1" si="1"/>
        <v>5002826.816693252</v>
      </c>
      <c r="O23">
        <f t="shared" ca="1" si="1"/>
        <v>6088290.9280479504</v>
      </c>
      <c r="P23">
        <f t="shared" ca="1" si="1"/>
        <v>2432227.2387335724</v>
      </c>
      <c r="Q23">
        <f t="shared" ca="1" si="1"/>
        <v>11502718.1572091</v>
      </c>
      <c r="R23">
        <f t="shared" ca="1" si="1"/>
        <v>3272512.0032541063</v>
      </c>
      <c r="S23">
        <f t="shared" ca="1" si="1"/>
        <v>8683234.4933169354</v>
      </c>
      <c r="T23">
        <f t="shared" ca="1" si="1"/>
        <v>15414203.638301549</v>
      </c>
      <c r="U23">
        <f t="shared" ca="1" si="1"/>
        <v>3192866.433320045</v>
      </c>
      <c r="V23">
        <f t="shared" ca="1" si="1"/>
        <v>22844934.074447524</v>
      </c>
      <c r="W23">
        <f t="shared" ca="1" si="1"/>
        <v>5407115.5079087652</v>
      </c>
      <c r="X23">
        <f t="shared" ca="1" si="1"/>
        <v>6416915.8774405876</v>
      </c>
      <c r="Y23">
        <f t="shared" ca="1" si="1"/>
        <v>31168198.416217029</v>
      </c>
      <c r="Z23">
        <f t="shared" ca="1" si="1"/>
        <v>4127248.9400326586</v>
      </c>
      <c r="AA23">
        <f t="shared" ca="1" si="1"/>
        <v>37192737.972736612</v>
      </c>
      <c r="AB23">
        <f t="shared" ca="1" si="1"/>
        <v>9158664.1331653539</v>
      </c>
      <c r="AC23">
        <f t="shared" ca="1" si="1"/>
        <v>5026680.7159921201</v>
      </c>
    </row>
    <row r="24" spans="1:29" x14ac:dyDescent="0.2">
      <c r="A24" t="s">
        <v>745</v>
      </c>
      <c r="D24">
        <v>0</v>
      </c>
      <c r="E24">
        <v>0</v>
      </c>
      <c r="F24">
        <f ca="1">IF(F16&gt;0, MIN($D$15 * (1 + INDEX(Assumptions!$B:$B, MATCH("Total customer launch market CAGR (% growth/yr)", Assumptions!$A:$A, 0)))^F$5, IFERROR(F23/F21, 0)), 0)</f>
        <v>2.3217286773745185</v>
      </c>
      <c r="G24">
        <f ca="1">IF(G16&gt;0, MIN($D$15 * (1 + INDEX(Assumptions!$B:$B, MATCH("Total customer launch market CAGR (% growth/yr)", Assumptions!$A:$A, 0)))^G$5, IFERROR(G23/G21, 0)), 0)</f>
        <v>4.2313428148913665</v>
      </c>
      <c r="H24">
        <f ca="1">IF(H16&gt;0, MIN($D$15 * (1 + INDEX(Assumptions!$B:$B, MATCH("Total customer launch market CAGR (% growth/yr)", Assumptions!$A:$A, 0)))^H$5, IFERROR(H23/H21, 0)), 0)</f>
        <v>6.6504924496605984</v>
      </c>
      <c r="I24">
        <f ca="1">IF(I16&gt;0, MIN($D$15 * (1 + INDEX(Assumptions!$B:$B, MATCH("Total customer launch market CAGR (% growth/yr)", Assumptions!$A:$A, 0)))^I$5, IFERROR(I23/I21, 0)), 0)</f>
        <v>11.550201507546241</v>
      </c>
      <c r="J24">
        <f ca="1">IF(J16&gt;0, MIN($D$15 * (1 + INDEX(Assumptions!$B:$B, MATCH("Total customer launch market CAGR (% growth/yr)", Assumptions!$A:$A, 0)))^J$5, IFERROR(J23/J21, 0)), 0)</f>
        <v>15.788557733065963</v>
      </c>
      <c r="K24">
        <f ca="1">IF(K16&gt;0, MIN($D$15 * (1 + INDEX(Assumptions!$B:$B, MATCH("Total customer launch market CAGR (% growth/yr)", Assumptions!$A:$A, 0)))^K$5, IFERROR(K23/K21, 0)), 0)</f>
        <v>16.441994179229191</v>
      </c>
      <c r="L24">
        <f ca="1">IF(L16&gt;0, MIN($D$15 * (1 + INDEX(Assumptions!$B:$B, MATCH("Total customer launch market CAGR (% growth/yr)", Assumptions!$A:$A, 0)))^L$5, IFERROR(L23/L21, 0)), 0)</f>
        <v>37.601461456427387</v>
      </c>
      <c r="M24">
        <f ca="1">IF(M16&gt;0, MIN($D$15 * (1 + INDEX(Assumptions!$B:$B, MATCH("Total customer launch market CAGR (% growth/yr)", Assumptions!$A:$A, 0)))^M$5, IFERROR(M23/M21, 0)), 0)</f>
        <v>19.744323048974934</v>
      </c>
      <c r="N24">
        <f ca="1">IF(N16&gt;0, MIN($D$15 * (1 + INDEX(Assumptions!$B:$B, MATCH("Total customer launch market CAGR (% growth/yr)", Assumptions!$A:$A, 0)))^N$5, IFERROR(N23/N21, 0)), 0)</f>
        <v>50.02826816693252</v>
      </c>
      <c r="O24">
        <f ca="1">IF(O16&gt;0, MIN($D$15 * (1 + INDEX(Assumptions!$B:$B, MATCH("Total customer launch market CAGR (% growth/yr)", Assumptions!$A:$A, 0)))^O$5, IFERROR(O23/O21, 0)), 0)</f>
        <v>60.882909280479502</v>
      </c>
      <c r="P24">
        <f ca="1">IF(P16&gt;0, MIN($D$15 * (1 + INDEX(Assumptions!$B:$B, MATCH("Total customer launch market CAGR (% growth/yr)", Assumptions!$A:$A, 0)))^P$5, IFERROR(P23/P21, 0)), 0)</f>
        <v>24.322272387335722</v>
      </c>
      <c r="Q24">
        <f ca="1">IF(Q16&gt;0, MIN($D$15 * (1 + INDEX(Assumptions!$B:$B, MATCH("Total customer launch market CAGR (% growth/yr)", Assumptions!$A:$A, 0)))^Q$5, IFERROR(Q23/Q21, 0)), 0)</f>
        <v>72.748343910830442</v>
      </c>
      <c r="R24">
        <f ca="1">IF(R16&gt;0, MIN($D$15 * (1 + INDEX(Assumptions!$B:$B, MATCH("Total customer launch market CAGR (% growth/yr)", Assumptions!$A:$A, 0)))^R$5, IFERROR(R23/R21, 0)), 0)</f>
        <v>32.725120032541064</v>
      </c>
      <c r="S24">
        <f ca="1">IF(S16&gt;0, MIN($D$15 * (1 + INDEX(Assumptions!$B:$B, MATCH("Total customer launch market CAGR (% growth/yr)", Assumptions!$A:$A, 0)))^S$5, IFERROR(S23/S21, 0)), 0)</f>
        <v>80.205049161690567</v>
      </c>
      <c r="T24">
        <f ca="1">IF(T16&gt;0, MIN($D$15 * (1 + INDEX(Assumptions!$B:$B, MATCH("Total customer launch market CAGR (% growth/yr)", Assumptions!$A:$A, 0)))^T$5, IFERROR(T23/T21, 0)), 0)</f>
        <v>84.21530161977509</v>
      </c>
      <c r="U24">
        <f ca="1">IF(U16&gt;0, MIN($D$15 * (1 + INDEX(Assumptions!$B:$B, MATCH("Total customer launch market CAGR (% growth/yr)", Assumptions!$A:$A, 0)))^U$5, IFERROR(U23/U21, 0)), 0)</f>
        <v>31.928664333200452</v>
      </c>
      <c r="V24">
        <f ca="1">IF(V16&gt;0, MIN($D$15 * (1 + INDEX(Assumptions!$B:$B, MATCH("Total customer launch market CAGR (% growth/yr)", Assumptions!$A:$A, 0)))^V$5, IFERROR(V23/V21, 0)), 0)</f>
        <v>92.847370035802044</v>
      </c>
      <c r="W24">
        <f ca="1">IF(W16&gt;0, MIN($D$15 * (1 + INDEX(Assumptions!$B:$B, MATCH("Total customer launch market CAGR (% growth/yr)", Assumptions!$A:$A, 0)))^W$5, IFERROR(W23/W21, 0)), 0)</f>
        <v>54.071155079087653</v>
      </c>
      <c r="X24">
        <f ca="1">IF(X16&gt;0, MIN($D$15 * (1 + INDEX(Assumptions!$B:$B, MATCH("Total customer launch market CAGR (% growth/yr)", Assumptions!$A:$A, 0)))^X$5, IFERROR(X23/X21, 0)), 0)</f>
        <v>64.169158774405872</v>
      </c>
      <c r="Y24">
        <f ca="1">IF(Y16&gt;0, MIN($D$15 * (1 + INDEX(Assumptions!$B:$B, MATCH("Total customer launch market CAGR (% growth/yr)", Assumptions!$A:$A, 0)))^Y$5, IFERROR(Y23/Y21, 0)), 0)</f>
        <v>107.48243673769534</v>
      </c>
      <c r="Z24">
        <f ca="1">IF(Z16&gt;0, MIN($D$15 * (1 + INDEX(Assumptions!$B:$B, MATCH("Total customer launch market CAGR (% growth/yr)", Assumptions!$A:$A, 0)))^Z$5, IFERROR(Z23/Z21, 0)), 0)</f>
        <v>41.272489400326585</v>
      </c>
      <c r="AA24">
        <f ca="1">IF(AA16&gt;0, MIN($D$15 * (1 + INDEX(Assumptions!$B:$B, MATCH("Total customer launch market CAGR (% growth/yr)", Assumptions!$A:$A, 0)))^AA$5, IFERROR(AA23/AA21, 0)), 0)</f>
        <v>118.49938650330913</v>
      </c>
      <c r="AB24">
        <f ca="1">IF(AB16&gt;0, MIN($D$15 * (1 + INDEX(Assumptions!$B:$B, MATCH("Total customer launch market CAGR (% growth/yr)", Assumptions!$A:$A, 0)))^AB$5, IFERROR(AB23/AB21, 0)), 0)</f>
        <v>91.586641331653539</v>
      </c>
      <c r="AC24">
        <f ca="1">IF(AC16&gt;0, MIN($D$15 * (1 + INDEX(Assumptions!$B:$B, MATCH("Total customer launch market CAGR (% growth/yr)", Assumptions!$A:$A, 0)))^AC$5, IFERROR(AC23/AC21, 0)), 0)</f>
        <v>50.2668071599212</v>
      </c>
    </row>
    <row r="25" spans="1:29" x14ac:dyDescent="0.2">
      <c r="A25" t="s">
        <v>746</v>
      </c>
      <c r="D25">
        <v>38.58</v>
      </c>
      <c r="E25">
        <f>$D$25 * (1 + INDEX(Assumptions!$B:$B, MATCH("Total customer launch market CAGR (% growth/yr)", Assumptions!$A:$A, 0)))</f>
        <v>40.509</v>
      </c>
      <c r="F25">
        <f ca="1">MAX(0, $D$15 * (1 + INDEX(Assumptions!$B:$B, MATCH("Total customer launch market CAGR (% growth/yr)", Assumptions!$A:$A, 0)))^F$5 - F24)</f>
        <v>40.212721322625484</v>
      </c>
      <c r="G25">
        <f ca="1">MAX(0, $D$15 * (1 + INDEX(Assumptions!$B:$B, MATCH("Total customer launch market CAGR (% growth/yr)", Assumptions!$A:$A, 0)))^G$5 - G24)</f>
        <v>40.429829685108643</v>
      </c>
      <c r="H25">
        <f ca="1">MAX(0, $D$15 * (1 + INDEX(Assumptions!$B:$B, MATCH("Total customer launch market CAGR (% growth/yr)", Assumptions!$A:$A, 0)))^H$5 - H24)</f>
        <v>40.243738675339401</v>
      </c>
      <c r="I25">
        <f ca="1">MAX(0, $D$15 * (1 + INDEX(Assumptions!$B:$B, MATCH("Total customer launch market CAGR (% growth/yr)", Assumptions!$A:$A, 0)))^I$5 - I24)</f>
        <v>37.688741173703761</v>
      </c>
      <c r="J25">
        <f ca="1">MAX(0, $D$15 * (1 + INDEX(Assumptions!$B:$B, MATCH("Total customer launch market CAGR (% growth/yr)", Assumptions!$A:$A, 0)))^J$5 - J24)</f>
        <v>35.912332082246529</v>
      </c>
      <c r="K25">
        <f ca="1">MAX(0, $D$15 * (1 + INDEX(Assumptions!$B:$B, MATCH("Total customer launch market CAGR (% growth/yr)", Assumptions!$A:$A, 0)))^K$5 - K24)</f>
        <v>37.843940126848942</v>
      </c>
      <c r="L25">
        <f ca="1">MAX(0, $D$15 * (1 + INDEX(Assumptions!$B:$B, MATCH("Total customer launch market CAGR (% growth/yr)", Assumptions!$A:$A, 0)))^L$5 - L24)</f>
        <v>19.398769564954641</v>
      </c>
      <c r="M25">
        <f ca="1">MAX(0, $D$15 * (1 + INDEX(Assumptions!$B:$B, MATCH("Total customer launch market CAGR (% growth/yr)", Assumptions!$A:$A, 0)))^M$5 - M24)</f>
        <v>40.105919523476203</v>
      </c>
      <c r="N25">
        <f ca="1">MAX(0, $D$15 * (1 + INDEX(Assumptions!$B:$B, MATCH("Total customer launch market CAGR (% growth/yr)", Assumptions!$A:$A, 0)))^N$5 - N24)</f>
        <v>12.814486534141174</v>
      </c>
      <c r="O25">
        <f ca="1">MAX(0, $D$15 * (1 + INDEX(Assumptions!$B:$B, MATCH("Total customer launch market CAGR (% growth/yr)", Assumptions!$A:$A, 0)))^O$5 - O24)</f>
        <v>5.1019831556478792</v>
      </c>
      <c r="P25">
        <f ca="1">MAX(0, $D$15 * (1 + INDEX(Assumptions!$B:$B, MATCH("Total customer launch market CAGR (% growth/yr)", Assumptions!$A:$A, 0)))^P$5 - P24)</f>
        <v>44.961864670598025</v>
      </c>
      <c r="Q25">
        <f ca="1">MAX(0, $D$15 * (1 + INDEX(Assumptions!$B:$B, MATCH("Total customer launch market CAGR (% growth/yr)", Assumptions!$A:$A, 0)))^Q$5 - Q24)</f>
        <v>0</v>
      </c>
      <c r="R25">
        <f ca="1">MAX(0, $D$15 * (1 + INDEX(Assumptions!$B:$B, MATCH("Total customer launch market CAGR (% growth/yr)", Assumptions!$A:$A, 0)))^R$5 - R24)</f>
        <v>43.660641073830881</v>
      </c>
      <c r="S25">
        <f ca="1">MAX(0, $D$15 * (1 + INDEX(Assumptions!$B:$B, MATCH("Total customer launch market CAGR (% growth/yr)", Assumptions!$A:$A, 0)))^S$5 - S24)</f>
        <v>0</v>
      </c>
      <c r="T25">
        <f ca="1">MAX(0, $D$15 * (1 + INDEX(Assumptions!$B:$B, MATCH("Total customer launch market CAGR (% growth/yr)", Assumptions!$A:$A, 0)))^T$5 - T24)</f>
        <v>0</v>
      </c>
      <c r="U25">
        <f ca="1">MAX(0, $D$15 * (1 + INDEX(Assumptions!$B:$B, MATCH("Total customer launch market CAGR (% growth/yr)", Assumptions!$A:$A, 0)))^U$5 - U24)</f>
        <v>56.497402367563403</v>
      </c>
      <c r="V25">
        <f ca="1">MAX(0, $D$15 * (1 + INDEX(Assumptions!$B:$B, MATCH("Total customer launch market CAGR (% growth/yr)", Assumptions!$A:$A, 0)))^V$5 - V24)</f>
        <v>0</v>
      </c>
      <c r="W25">
        <f ca="1">MAX(0, $D$15 * (1 + INDEX(Assumptions!$B:$B, MATCH("Total customer launch market CAGR (% growth/yr)", Assumptions!$A:$A, 0)))^W$5 - W24)</f>
        <v>43.418583458504493</v>
      </c>
      <c r="X25">
        <f ca="1">MAX(0, $D$15 * (1 + INDEX(Assumptions!$B:$B, MATCH("Total customer launch market CAGR (% growth/yr)", Assumptions!$A:$A, 0)))^X$5 - X24)</f>
        <v>38.195066690065886</v>
      </c>
      <c r="Y25">
        <f ca="1">MAX(0, $D$15 * (1 + INDEX(Assumptions!$B:$B, MATCH("Total customer launch market CAGR (% growth/yr)", Assumptions!$A:$A, 0)))^Y$5 - Y24)</f>
        <v>0</v>
      </c>
      <c r="Z25">
        <f ca="1">MAX(0, $D$15 * (1 + INDEX(Assumptions!$B:$B, MATCH("Total customer launch market CAGR (% growth/yr)", Assumptions!$A:$A, 0)))^Z$5 - Z24)</f>
        <v>71.5840691742535</v>
      </c>
      <c r="AA25">
        <f ca="1">MAX(0, $D$15 * (1 + INDEX(Assumptions!$B:$B, MATCH("Total customer launch market CAGR (% growth/yr)", Assumptions!$A:$A, 0)))^AA$5 - AA24)</f>
        <v>0</v>
      </c>
      <c r="AB25">
        <f ca="1">MAX(0, $D$15 * (1 + INDEX(Assumptions!$B:$B, MATCH("Total customer launch market CAGR (% growth/yr)", Assumptions!$A:$A, 0)))^AB$5 - AB24)</f>
        <v>32.837714496821022</v>
      </c>
      <c r="AC25">
        <f ca="1">MAX(0, $D$15 * (1 + INDEX(Assumptions!$B:$B, MATCH("Total customer launch market CAGR (% growth/yr)", Assumptions!$A:$A, 0)))^AC$5 - AC24)</f>
        <v>80.378766459977101</v>
      </c>
    </row>
    <row r="32" spans="1:29" x14ac:dyDescent="0.2">
      <c r="A32" s="21" t="s">
        <v>731</v>
      </c>
    </row>
    <row r="33" spans="1:29" x14ac:dyDescent="0.2">
      <c r="A33" t="s">
        <v>747</v>
      </c>
      <c r="D33" s="35">
        <f>D25*D17</f>
        <v>4282.38</v>
      </c>
      <c r="E33" s="35">
        <f t="shared" ref="E33:AC33" si="2">E25*E17</f>
        <v>4361.6040300000004</v>
      </c>
      <c r="F33" s="35">
        <f t="shared" ca="1" si="2"/>
        <v>4199.8166149350054</v>
      </c>
      <c r="G33" s="35">
        <f t="shared" ca="1" si="2"/>
        <v>4095.5417471015053</v>
      </c>
      <c r="H33" s="35">
        <f t="shared" ca="1" si="2"/>
        <v>3954.3497622388495</v>
      </c>
      <c r="I33" s="35">
        <f t="shared" ca="1" si="2"/>
        <v>3592.1139212657054</v>
      </c>
      <c r="J33" s="35">
        <f t="shared" ca="1" si="2"/>
        <v>3320.0951010036915</v>
      </c>
      <c r="K33" s="35">
        <f t="shared" ca="1" si="2"/>
        <v>3393.8445505758132</v>
      </c>
      <c r="L33" s="35">
        <f t="shared" ca="1" si="2"/>
        <v>1687.6929521510538</v>
      </c>
      <c r="M33" s="35">
        <f t="shared" ca="1" si="2"/>
        <v>3384.5385485861566</v>
      </c>
      <c r="N33" s="35">
        <f t="shared" ca="1" si="2"/>
        <v>1048.9938676847964</v>
      </c>
      <c r="O33" s="35">
        <f t="shared" ca="1" si="2"/>
        <v>405.09746255844163</v>
      </c>
      <c r="P33" s="35">
        <f t="shared" ca="1" si="2"/>
        <v>3462.9628169294597</v>
      </c>
      <c r="Q33" s="35">
        <f t="shared" ca="1" si="2"/>
        <v>0</v>
      </c>
      <c r="R33" s="35">
        <f t="shared" ca="1" si="2"/>
        <v>3164.0866586205238</v>
      </c>
      <c r="S33" s="35">
        <f t="shared" ca="1" si="2"/>
        <v>0</v>
      </c>
      <c r="T33" s="35">
        <f t="shared" ca="1" si="2"/>
        <v>0</v>
      </c>
      <c r="U33" s="35">
        <f t="shared" ca="1" si="2"/>
        <v>3736.1732185669675</v>
      </c>
      <c r="V33" s="35">
        <f t="shared" ca="1" si="2"/>
        <v>0</v>
      </c>
      <c r="W33" s="35">
        <f t="shared" ca="1" si="2"/>
        <v>2701.5042627881494</v>
      </c>
      <c r="X33" s="35">
        <f t="shared" ca="1" si="2"/>
        <v>2305.4542254123767</v>
      </c>
      <c r="Y33" s="35">
        <f t="shared" ca="1" si="2"/>
        <v>0</v>
      </c>
      <c r="Z33" s="35">
        <f t="shared" ca="1" si="2"/>
        <v>4065.2592884058563</v>
      </c>
      <c r="AA33" s="35">
        <f t="shared" ca="1" si="2"/>
        <v>0</v>
      </c>
      <c r="AB33" s="35">
        <f t="shared" ca="1" si="2"/>
        <v>1754.5190855651472</v>
      </c>
      <c r="AC33" s="35">
        <f t="shared" ca="1" si="2"/>
        <v>4166.0314656206128</v>
      </c>
    </row>
    <row r="34" spans="1:29" x14ac:dyDescent="0.2">
      <c r="A34" t="s">
        <v>748</v>
      </c>
      <c r="D34" s="35" cm="1">
        <f t="array" aca="1" ref="D34" ca="1">INDEX('Launch Capacity'!$D:$AC, MATCH("F9 variable cost per launch ($mm)", 'Launch Capacity'!$A:$A, 0), D$5+1)</f>
        <v>17.149999999999999</v>
      </c>
      <c r="E34" s="35" cm="1">
        <f t="array" aca="1" ref="E34" ca="1">INDEX('Launch Capacity'!$D:$AC, MATCH("F9 variable cost per launch ($mm)", 'Launch Capacity'!$A:$A, 0), E$5+1)</f>
        <v>17.149999999999999</v>
      </c>
      <c r="F34" s="35" cm="1">
        <f t="array" aca="1" ref="F34" ca="1">INDEX('Launch Capacity'!$D:$AC, MATCH("F9 variable cost per launch ($mm)", 'Launch Capacity'!$A:$A, 0), F$5+1)</f>
        <v>17.149999999999999</v>
      </c>
      <c r="G34" s="35" cm="1">
        <f t="array" aca="1" ref="G34" ca="1">INDEX('Launch Capacity'!$D:$AC, MATCH("F9 variable cost per launch ($mm)", 'Launch Capacity'!$A:$A, 0), G$5+1)</f>
        <v>17.149999999999999</v>
      </c>
      <c r="H34" s="35" cm="1">
        <f t="array" aca="1" ref="H34" ca="1">INDEX('Launch Capacity'!$D:$AC, MATCH("F9 variable cost per launch ($mm)", 'Launch Capacity'!$A:$A, 0), H$5+1)</f>
        <v>17.149999999999999</v>
      </c>
      <c r="I34" s="35" cm="1">
        <f t="array" aca="1" ref="I34" ca="1">INDEX('Launch Capacity'!$D:$AC, MATCH("F9 variable cost per launch ($mm)", 'Launch Capacity'!$A:$A, 0), I$5+1)</f>
        <v>17.149999999999999</v>
      </c>
      <c r="J34" s="35" cm="1">
        <f t="array" aca="1" ref="J34" ca="1">INDEX('Launch Capacity'!$D:$AC, MATCH("F9 variable cost per launch ($mm)", 'Launch Capacity'!$A:$A, 0), J$5+1)</f>
        <v>17.149999999999999</v>
      </c>
      <c r="K34" s="35" cm="1">
        <f t="array" aca="1" ref="K34" ca="1">INDEX('Launch Capacity'!$D:$AC, MATCH("F9 variable cost per launch ($mm)", 'Launch Capacity'!$A:$A, 0), K$5+1)</f>
        <v>17.149999999999999</v>
      </c>
      <c r="L34" s="35" cm="1">
        <f t="array" aca="1" ref="L34" ca="1">INDEX('Launch Capacity'!$D:$AC, MATCH("F9 variable cost per launch ($mm)", 'Launch Capacity'!$A:$A, 0), L$5+1)</f>
        <v>17.149999999999999</v>
      </c>
      <c r="M34" s="35" cm="1">
        <f t="array" aca="1" ref="M34" ca="1">INDEX('Launch Capacity'!$D:$AC, MATCH("F9 variable cost per launch ($mm)", 'Launch Capacity'!$A:$A, 0), M$5+1)</f>
        <v>17.149999999999999</v>
      </c>
      <c r="N34" s="35" cm="1">
        <f t="array" aca="1" ref="N34" ca="1">INDEX('Launch Capacity'!$D:$AC, MATCH("F9 variable cost per launch ($mm)", 'Launch Capacity'!$A:$A, 0), N$5+1)</f>
        <v>17.149999999999999</v>
      </c>
      <c r="O34" s="35" cm="1">
        <f t="array" aca="1" ref="O34" ca="1">INDEX('Launch Capacity'!$D:$AC, MATCH("F9 variable cost per launch ($mm)", 'Launch Capacity'!$A:$A, 0), O$5+1)</f>
        <v>17.149999999999999</v>
      </c>
      <c r="P34" s="35" cm="1">
        <f t="array" aca="1" ref="P34" ca="1">INDEX('Launch Capacity'!$D:$AC, MATCH("F9 variable cost per launch ($mm)", 'Launch Capacity'!$A:$A, 0), P$5+1)</f>
        <v>17.149999999999999</v>
      </c>
      <c r="Q34" s="35" cm="1">
        <f t="array" aca="1" ref="Q34" ca="1">INDEX('Launch Capacity'!$D:$AC, MATCH("F9 variable cost per launch ($mm)", 'Launch Capacity'!$A:$A, 0), Q$5+1)</f>
        <v>17.149999999999999</v>
      </c>
      <c r="R34" s="35" cm="1">
        <f t="array" aca="1" ref="R34" ca="1">INDEX('Launch Capacity'!$D:$AC, MATCH("F9 variable cost per launch ($mm)", 'Launch Capacity'!$A:$A, 0), R$5+1)</f>
        <v>17.149999999999999</v>
      </c>
      <c r="S34" s="35" cm="1">
        <f t="array" aca="1" ref="S34" ca="1">INDEX('Launch Capacity'!$D:$AC, MATCH("F9 variable cost per launch ($mm)", 'Launch Capacity'!$A:$A, 0), S$5+1)</f>
        <v>17.149999999999999</v>
      </c>
      <c r="T34" s="35" cm="1">
        <f t="array" aca="1" ref="T34" ca="1">INDEX('Launch Capacity'!$D:$AC, MATCH("F9 variable cost per launch ($mm)", 'Launch Capacity'!$A:$A, 0), T$5+1)</f>
        <v>17.149999999999999</v>
      </c>
      <c r="U34" s="35" cm="1">
        <f t="array" aca="1" ref="U34" ca="1">INDEX('Launch Capacity'!$D:$AC, MATCH("F9 variable cost per launch ($mm)", 'Launch Capacity'!$A:$A, 0), U$5+1)</f>
        <v>17.149999999999999</v>
      </c>
      <c r="V34" s="35" cm="1">
        <f t="array" aca="1" ref="V34" ca="1">INDEX('Launch Capacity'!$D:$AC, MATCH("F9 variable cost per launch ($mm)", 'Launch Capacity'!$A:$A, 0), V$5+1)</f>
        <v>17.149999999999999</v>
      </c>
      <c r="W34" s="35" cm="1">
        <f t="array" aca="1" ref="W34" ca="1">INDEX('Launch Capacity'!$D:$AC, MATCH("F9 variable cost per launch ($mm)", 'Launch Capacity'!$A:$A, 0), W$5+1)</f>
        <v>17.149999999999999</v>
      </c>
      <c r="X34" s="35" cm="1">
        <f t="array" aca="1" ref="X34" ca="1">INDEX('Launch Capacity'!$D:$AC, MATCH("F9 variable cost per launch ($mm)", 'Launch Capacity'!$A:$A, 0), X$5+1)</f>
        <v>17.149999999999999</v>
      </c>
      <c r="Y34" s="35" cm="1">
        <f t="array" aca="1" ref="Y34" ca="1">INDEX('Launch Capacity'!$D:$AC, MATCH("F9 variable cost per launch ($mm)", 'Launch Capacity'!$A:$A, 0), Y$5+1)</f>
        <v>17.149999999999999</v>
      </c>
      <c r="Z34" s="35" cm="1">
        <f t="array" aca="1" ref="Z34" ca="1">INDEX('Launch Capacity'!$D:$AC, MATCH("F9 variable cost per launch ($mm)", 'Launch Capacity'!$A:$A, 0), Z$5+1)</f>
        <v>17.149999999999999</v>
      </c>
      <c r="AA34" s="35" cm="1">
        <f t="array" aca="1" ref="AA34" ca="1">INDEX('Launch Capacity'!$D:$AC, MATCH("F9 variable cost per launch ($mm)", 'Launch Capacity'!$A:$A, 0), AA$5+1)</f>
        <v>17.149999999999999</v>
      </c>
      <c r="AB34" s="35" cm="1">
        <f t="array" aca="1" ref="AB34" ca="1">INDEX('Launch Capacity'!$D:$AC, MATCH("F9 variable cost per launch ($mm)", 'Launch Capacity'!$A:$A, 0), AB$5+1)</f>
        <v>17.149999999999999</v>
      </c>
      <c r="AC34" s="35" cm="1">
        <f t="array" aca="1" ref="AC34" ca="1">INDEX('Launch Capacity'!$D:$AC, MATCH("F9 variable cost per launch ($mm)", 'Launch Capacity'!$A:$A, 0), AC$5+1)</f>
        <v>17.149999999999999</v>
      </c>
    </row>
    <row r="35" spans="1:29" x14ac:dyDescent="0.2">
      <c r="A35" t="s">
        <v>749</v>
      </c>
      <c r="D35" s="35" cm="1">
        <f t="array" aca="1" ref="D35" ca="1">INDEX('Launch Capacity'!$D:$AC, MATCH("F9 booster D&amp;A share per launch ($mm)", 'Launch Capacity'!$A:$A, 0), D$5+1)</f>
        <v>0.6</v>
      </c>
      <c r="E35" s="35" cm="1">
        <f t="array" aca="1" ref="E35" ca="1">INDEX('Launch Capacity'!$D:$AC, MATCH("F9 booster D&amp;A share per launch ($mm)", 'Launch Capacity'!$A:$A, 0), E$5+1)</f>
        <v>0.6</v>
      </c>
      <c r="F35" s="35" cm="1">
        <f t="array" aca="1" ref="F35" ca="1">INDEX('Launch Capacity'!$D:$AC, MATCH("F9 booster D&amp;A share per launch ($mm)", 'Launch Capacity'!$A:$A, 0), F$5+1)</f>
        <v>0.6</v>
      </c>
      <c r="G35" s="35" cm="1">
        <f t="array" aca="1" ref="G35" ca="1">INDEX('Launch Capacity'!$D:$AC, MATCH("F9 booster D&amp;A share per launch ($mm)", 'Launch Capacity'!$A:$A, 0), G$5+1)</f>
        <v>0.6</v>
      </c>
      <c r="H35" s="35" cm="1">
        <f t="array" aca="1" ref="H35" ca="1">INDEX('Launch Capacity'!$D:$AC, MATCH("F9 booster D&amp;A share per launch ($mm)", 'Launch Capacity'!$A:$A, 0), H$5+1)</f>
        <v>0.6</v>
      </c>
      <c r="I35" s="35" cm="1">
        <f t="array" aca="1" ref="I35" ca="1">INDEX('Launch Capacity'!$D:$AC, MATCH("F9 booster D&amp;A share per launch ($mm)", 'Launch Capacity'!$A:$A, 0), I$5+1)</f>
        <v>0.6</v>
      </c>
      <c r="J35" s="35" cm="1">
        <f t="array" aca="1" ref="J35" ca="1">INDEX('Launch Capacity'!$D:$AC, MATCH("F9 booster D&amp;A share per launch ($mm)", 'Launch Capacity'!$A:$A, 0), J$5+1)</f>
        <v>0.6</v>
      </c>
      <c r="K35" s="35" cm="1">
        <f t="array" aca="1" ref="K35" ca="1">INDEX('Launch Capacity'!$D:$AC, MATCH("F9 booster D&amp;A share per launch ($mm)", 'Launch Capacity'!$A:$A, 0), K$5+1)</f>
        <v>0.6</v>
      </c>
      <c r="L35" s="35" cm="1">
        <f t="array" aca="1" ref="L35" ca="1">INDEX('Launch Capacity'!$D:$AC, MATCH("F9 booster D&amp;A share per launch ($mm)", 'Launch Capacity'!$A:$A, 0), L$5+1)</f>
        <v>0.6</v>
      </c>
      <c r="M35" s="35" cm="1">
        <f t="array" aca="1" ref="M35" ca="1">INDEX('Launch Capacity'!$D:$AC, MATCH("F9 booster D&amp;A share per launch ($mm)", 'Launch Capacity'!$A:$A, 0), M$5+1)</f>
        <v>0.6</v>
      </c>
      <c r="N35" s="35" cm="1">
        <f t="array" aca="1" ref="N35" ca="1">INDEX('Launch Capacity'!$D:$AC, MATCH("F9 booster D&amp;A share per launch ($mm)", 'Launch Capacity'!$A:$A, 0), N$5+1)</f>
        <v>0.6</v>
      </c>
      <c r="O35" s="35" cm="1">
        <f t="array" aca="1" ref="O35" ca="1">INDEX('Launch Capacity'!$D:$AC, MATCH("F9 booster D&amp;A share per launch ($mm)", 'Launch Capacity'!$A:$A, 0), O$5+1)</f>
        <v>0.6</v>
      </c>
      <c r="P35" s="35" cm="1">
        <f t="array" aca="1" ref="P35" ca="1">INDEX('Launch Capacity'!$D:$AC, MATCH("F9 booster D&amp;A share per launch ($mm)", 'Launch Capacity'!$A:$A, 0), P$5+1)</f>
        <v>0.6</v>
      </c>
      <c r="Q35" s="35" cm="1">
        <f t="array" aca="1" ref="Q35" ca="1">INDEX('Launch Capacity'!$D:$AC, MATCH("F9 booster D&amp;A share per launch ($mm)", 'Launch Capacity'!$A:$A, 0), Q$5+1)</f>
        <v>0.6</v>
      </c>
      <c r="R35" s="35" cm="1">
        <f t="array" aca="1" ref="R35" ca="1">INDEX('Launch Capacity'!$D:$AC, MATCH("F9 booster D&amp;A share per launch ($mm)", 'Launch Capacity'!$A:$A, 0), R$5+1)</f>
        <v>0.6</v>
      </c>
      <c r="S35" s="35" cm="1">
        <f t="array" aca="1" ref="S35" ca="1">INDEX('Launch Capacity'!$D:$AC, MATCH("F9 booster D&amp;A share per launch ($mm)", 'Launch Capacity'!$A:$A, 0), S$5+1)</f>
        <v>0.6</v>
      </c>
      <c r="T35" s="35" cm="1">
        <f t="array" aca="1" ref="T35" ca="1">INDEX('Launch Capacity'!$D:$AC, MATCH("F9 booster D&amp;A share per launch ($mm)", 'Launch Capacity'!$A:$A, 0), T$5+1)</f>
        <v>0.6</v>
      </c>
      <c r="U35" s="35" cm="1">
        <f t="array" aca="1" ref="U35" ca="1">INDEX('Launch Capacity'!$D:$AC, MATCH("F9 booster D&amp;A share per launch ($mm)", 'Launch Capacity'!$A:$A, 0), U$5+1)</f>
        <v>0.6</v>
      </c>
      <c r="V35" s="35" cm="1">
        <f t="array" aca="1" ref="V35" ca="1">INDEX('Launch Capacity'!$D:$AC, MATCH("F9 booster D&amp;A share per launch ($mm)", 'Launch Capacity'!$A:$A, 0), V$5+1)</f>
        <v>0.6</v>
      </c>
      <c r="W35" s="35" cm="1">
        <f t="array" aca="1" ref="W35" ca="1">INDEX('Launch Capacity'!$D:$AC, MATCH("F9 booster D&amp;A share per launch ($mm)", 'Launch Capacity'!$A:$A, 0), W$5+1)</f>
        <v>0.6</v>
      </c>
      <c r="X35" s="35" cm="1">
        <f t="array" aca="1" ref="X35" ca="1">INDEX('Launch Capacity'!$D:$AC, MATCH("F9 booster D&amp;A share per launch ($mm)", 'Launch Capacity'!$A:$A, 0), X$5+1)</f>
        <v>0.6</v>
      </c>
      <c r="Y35" s="35" cm="1">
        <f t="array" aca="1" ref="Y35" ca="1">INDEX('Launch Capacity'!$D:$AC, MATCH("F9 booster D&amp;A share per launch ($mm)", 'Launch Capacity'!$A:$A, 0), Y$5+1)</f>
        <v>0.6</v>
      </c>
      <c r="Z35" s="35" cm="1">
        <f t="array" aca="1" ref="Z35" ca="1">INDEX('Launch Capacity'!$D:$AC, MATCH("F9 booster D&amp;A share per launch ($mm)", 'Launch Capacity'!$A:$A, 0), Z$5+1)</f>
        <v>0.6</v>
      </c>
      <c r="AA35" s="35" cm="1">
        <f t="array" aca="1" ref="AA35" ca="1">INDEX('Launch Capacity'!$D:$AC, MATCH("F9 booster D&amp;A share per launch ($mm)", 'Launch Capacity'!$A:$A, 0), AA$5+1)</f>
        <v>0.6</v>
      </c>
      <c r="AB35" s="35" cm="1">
        <f t="array" aca="1" ref="AB35" ca="1">INDEX('Launch Capacity'!$D:$AC, MATCH("F9 booster D&amp;A share per launch ($mm)", 'Launch Capacity'!$A:$A, 0), AB$5+1)</f>
        <v>0.6</v>
      </c>
      <c r="AC35" s="35" cm="1">
        <f t="array" aca="1" ref="AC35" ca="1">INDEX('Launch Capacity'!$D:$AC, MATCH("F9 booster D&amp;A share per launch ($mm)", 'Launch Capacity'!$A:$A, 0), AC$5+1)</f>
        <v>0.6</v>
      </c>
    </row>
    <row r="36" spans="1:29" x14ac:dyDescent="0.2">
      <c r="A36" t="s">
        <v>750</v>
      </c>
      <c r="D36" s="35" cm="1">
        <f t="array" aca="1" ref="D36" ca="1">INDEX('Launch Capacity'!$D:$AC, MATCH("F9 at-cost rate ($mm/launch)", 'Launch Capacity'!$A:$A, 0), D$5+1)</f>
        <v>17.75</v>
      </c>
      <c r="E36" s="35" cm="1">
        <f t="array" aca="1" ref="E36" ca="1">INDEX('Launch Capacity'!$D:$AC, MATCH("F9 at-cost rate ($mm/launch)", 'Launch Capacity'!$A:$A, 0), E$5+1)</f>
        <v>17.75</v>
      </c>
      <c r="F36" s="35" cm="1">
        <f t="array" aca="1" ref="F36" ca="1">INDEX('Launch Capacity'!$D:$AC, MATCH("F9 at-cost rate ($mm/launch)", 'Launch Capacity'!$A:$A, 0), F$5+1)</f>
        <v>17.75</v>
      </c>
      <c r="G36" s="35" cm="1">
        <f t="array" aca="1" ref="G36" ca="1">INDEX('Launch Capacity'!$D:$AC, MATCH("F9 at-cost rate ($mm/launch)", 'Launch Capacity'!$A:$A, 0), G$5+1)</f>
        <v>17.75</v>
      </c>
      <c r="H36" s="35" cm="1">
        <f t="array" aca="1" ref="H36" ca="1">INDEX('Launch Capacity'!$D:$AC, MATCH("F9 at-cost rate ($mm/launch)", 'Launch Capacity'!$A:$A, 0), H$5+1)</f>
        <v>17.75</v>
      </c>
      <c r="I36" s="35" cm="1">
        <f t="array" aca="1" ref="I36" ca="1">INDEX('Launch Capacity'!$D:$AC, MATCH("F9 at-cost rate ($mm/launch)", 'Launch Capacity'!$A:$A, 0), I$5+1)</f>
        <v>17.75</v>
      </c>
      <c r="J36" s="35" cm="1">
        <f t="array" aca="1" ref="J36" ca="1">INDEX('Launch Capacity'!$D:$AC, MATCH("F9 at-cost rate ($mm/launch)", 'Launch Capacity'!$A:$A, 0), J$5+1)</f>
        <v>17.75</v>
      </c>
      <c r="K36" s="35" cm="1">
        <f t="array" aca="1" ref="K36" ca="1">INDEX('Launch Capacity'!$D:$AC, MATCH("F9 at-cost rate ($mm/launch)", 'Launch Capacity'!$A:$A, 0), K$5+1)</f>
        <v>17.75</v>
      </c>
      <c r="L36" s="35" cm="1">
        <f t="array" aca="1" ref="L36" ca="1">INDEX('Launch Capacity'!$D:$AC, MATCH("F9 at-cost rate ($mm/launch)", 'Launch Capacity'!$A:$A, 0), L$5+1)</f>
        <v>17.75</v>
      </c>
      <c r="M36" s="35" cm="1">
        <f t="array" aca="1" ref="M36" ca="1">INDEX('Launch Capacity'!$D:$AC, MATCH("F9 at-cost rate ($mm/launch)", 'Launch Capacity'!$A:$A, 0), M$5+1)</f>
        <v>17.75</v>
      </c>
      <c r="N36" s="35" cm="1">
        <f t="array" aca="1" ref="N36" ca="1">INDEX('Launch Capacity'!$D:$AC, MATCH("F9 at-cost rate ($mm/launch)", 'Launch Capacity'!$A:$A, 0), N$5+1)</f>
        <v>17.75</v>
      </c>
      <c r="O36" s="35" cm="1">
        <f t="array" aca="1" ref="O36" ca="1">INDEX('Launch Capacity'!$D:$AC, MATCH("F9 at-cost rate ($mm/launch)", 'Launch Capacity'!$A:$A, 0), O$5+1)</f>
        <v>17.75</v>
      </c>
      <c r="P36" s="35" cm="1">
        <f t="array" aca="1" ref="P36" ca="1">INDEX('Launch Capacity'!$D:$AC, MATCH("F9 at-cost rate ($mm/launch)", 'Launch Capacity'!$A:$A, 0), P$5+1)</f>
        <v>17.75</v>
      </c>
      <c r="Q36" s="35" cm="1">
        <f t="array" aca="1" ref="Q36" ca="1">INDEX('Launch Capacity'!$D:$AC, MATCH("F9 at-cost rate ($mm/launch)", 'Launch Capacity'!$A:$A, 0), Q$5+1)</f>
        <v>17.75</v>
      </c>
      <c r="R36" s="35" cm="1">
        <f t="array" aca="1" ref="R36" ca="1">INDEX('Launch Capacity'!$D:$AC, MATCH("F9 at-cost rate ($mm/launch)", 'Launch Capacity'!$A:$A, 0), R$5+1)</f>
        <v>17.75</v>
      </c>
      <c r="S36" s="35" cm="1">
        <f t="array" aca="1" ref="S36" ca="1">INDEX('Launch Capacity'!$D:$AC, MATCH("F9 at-cost rate ($mm/launch)", 'Launch Capacity'!$A:$A, 0), S$5+1)</f>
        <v>17.75</v>
      </c>
      <c r="T36" s="35" cm="1">
        <f t="array" aca="1" ref="T36" ca="1">INDEX('Launch Capacity'!$D:$AC, MATCH("F9 at-cost rate ($mm/launch)", 'Launch Capacity'!$A:$A, 0), T$5+1)</f>
        <v>17.75</v>
      </c>
      <c r="U36" s="35" cm="1">
        <f t="array" aca="1" ref="U36" ca="1">INDEX('Launch Capacity'!$D:$AC, MATCH("F9 at-cost rate ($mm/launch)", 'Launch Capacity'!$A:$A, 0), U$5+1)</f>
        <v>17.75</v>
      </c>
      <c r="V36" s="35" cm="1">
        <f t="array" aca="1" ref="V36" ca="1">INDEX('Launch Capacity'!$D:$AC, MATCH("F9 at-cost rate ($mm/launch)", 'Launch Capacity'!$A:$A, 0), V$5+1)</f>
        <v>17.75</v>
      </c>
      <c r="W36" s="35" cm="1">
        <f t="array" aca="1" ref="W36" ca="1">INDEX('Launch Capacity'!$D:$AC, MATCH("F9 at-cost rate ($mm/launch)", 'Launch Capacity'!$A:$A, 0), W$5+1)</f>
        <v>17.75</v>
      </c>
      <c r="X36" s="35" cm="1">
        <f t="array" aca="1" ref="X36" ca="1">INDEX('Launch Capacity'!$D:$AC, MATCH("F9 at-cost rate ($mm/launch)", 'Launch Capacity'!$A:$A, 0), X$5+1)</f>
        <v>17.75</v>
      </c>
      <c r="Y36" s="35" cm="1">
        <f t="array" aca="1" ref="Y36" ca="1">INDEX('Launch Capacity'!$D:$AC, MATCH("F9 at-cost rate ($mm/launch)", 'Launch Capacity'!$A:$A, 0), Y$5+1)</f>
        <v>17.75</v>
      </c>
      <c r="Z36" s="35" cm="1">
        <f t="array" aca="1" ref="Z36" ca="1">INDEX('Launch Capacity'!$D:$AC, MATCH("F9 at-cost rate ($mm/launch)", 'Launch Capacity'!$A:$A, 0), Z$5+1)</f>
        <v>17.75</v>
      </c>
      <c r="AA36" s="35" cm="1">
        <f t="array" aca="1" ref="AA36" ca="1">INDEX('Launch Capacity'!$D:$AC, MATCH("F9 at-cost rate ($mm/launch)", 'Launch Capacity'!$A:$A, 0), AA$5+1)</f>
        <v>17.75</v>
      </c>
      <c r="AB36" s="35" cm="1">
        <f t="array" aca="1" ref="AB36" ca="1">INDEX('Launch Capacity'!$D:$AC, MATCH("F9 at-cost rate ($mm/launch)", 'Launch Capacity'!$A:$A, 0), AB$5+1)</f>
        <v>17.75</v>
      </c>
      <c r="AC36" s="35" cm="1">
        <f t="array" aca="1" ref="AC36" ca="1">INDEX('Launch Capacity'!$D:$AC, MATCH("F9 at-cost rate ($mm/launch)", 'Launch Capacity'!$A:$A, 0), AC$5+1)</f>
        <v>17.75</v>
      </c>
    </row>
    <row r="37" spans="1:29" x14ac:dyDescent="0.2">
      <c r="A37" t="s">
        <v>751</v>
      </c>
      <c r="D37" s="35">
        <f>IFERROR(D33/D25, 0) * (IFERROR(INDEX(Assumptions!$B:$B, MATCH("Launch insurance % of external revenue", Assumptions!$A:$A, 0)), 0.01) + IFERROR(INDEX(Assumptions!$B:$B, MATCH("Launch other COGS % of external revenue", Assumptions!$A:$A, 0)), 0.01))</f>
        <v>7.7700000000000014</v>
      </c>
      <c r="E37" s="35">
        <f>IFERROR(E33/E25, 0) * (IFERROR(INDEX(Assumptions!$B:$B, MATCH("Launch insurance % of external revenue", Assumptions!$A:$A, 0)), 0.01) + IFERROR(INDEX(Assumptions!$B:$B, MATCH("Launch other COGS % of external revenue", Assumptions!$A:$A, 0)), 0.01))</f>
        <v>7.5369000000000019</v>
      </c>
      <c r="F37" s="35">
        <f ca="1">IFERROR(F33/F25, 0) * (IFERROR(INDEX(Assumptions!$B:$B, MATCH("Launch insurance % of external revenue", Assumptions!$A:$A, 0)), 0.01) + IFERROR(INDEX(Assumptions!$B:$B, MATCH("Launch other COGS % of external revenue", Assumptions!$A:$A, 0)), 0.01))</f>
        <v>7.3108000000000004</v>
      </c>
      <c r="G37" s="35">
        <f ca="1">IFERROR(G33/G25, 0) * (IFERROR(INDEX(Assumptions!$B:$B, MATCH("Launch insurance % of external revenue", Assumptions!$A:$A, 0)), 0.01) + IFERROR(INDEX(Assumptions!$B:$B, MATCH("Launch other COGS % of external revenue", Assumptions!$A:$A, 0)), 0.01))</f>
        <v>7.0910000000000002</v>
      </c>
      <c r="H37" s="35">
        <f ca="1">IFERROR(H33/H25, 0) * (IFERROR(INDEX(Assumptions!$B:$B, MATCH("Launch insurance % of external revenue", Assumptions!$A:$A, 0)), 0.01) + IFERROR(INDEX(Assumptions!$B:$B, MATCH("Launch other COGS % of external revenue", Assumptions!$A:$A, 0)), 0.01))</f>
        <v>6.8782000000000014</v>
      </c>
      <c r="I37" s="35">
        <f ca="1">IFERROR(I33/I25, 0) * (IFERROR(INDEX(Assumptions!$B:$B, MATCH("Launch insurance % of external revenue", Assumptions!$A:$A, 0)), 0.01) + IFERROR(INDEX(Assumptions!$B:$B, MATCH("Launch other COGS % of external revenue", Assumptions!$A:$A, 0)), 0.01))</f>
        <v>6.6717000000000004</v>
      </c>
      <c r="J37" s="35">
        <f ca="1">IFERROR(J33/J25, 0) * (IFERROR(INDEX(Assumptions!$B:$B, MATCH("Launch insurance % of external revenue", Assumptions!$A:$A, 0)), 0.01) + IFERROR(INDEX(Assumptions!$B:$B, MATCH("Launch other COGS % of external revenue", Assumptions!$A:$A, 0)), 0.01))</f>
        <v>6.4715000000000007</v>
      </c>
      <c r="K37" s="35">
        <f ca="1">IFERROR(K33/K25, 0) * (IFERROR(INDEX(Assumptions!$B:$B, MATCH("Launch insurance % of external revenue", Assumptions!$A:$A, 0)), 0.01) + IFERROR(INDEX(Assumptions!$B:$B, MATCH("Launch other COGS % of external revenue", Assumptions!$A:$A, 0)), 0.01))</f>
        <v>6.2776000000000014</v>
      </c>
      <c r="L37" s="35">
        <f ca="1">IFERROR(L33/L25, 0) * (IFERROR(INDEX(Assumptions!$B:$B, MATCH("Launch insurance % of external revenue", Assumptions!$A:$A, 0)), 0.01) + IFERROR(INDEX(Assumptions!$B:$B, MATCH("Launch other COGS % of external revenue", Assumptions!$A:$A, 0)), 0.01))</f>
        <v>6.0900000000000007</v>
      </c>
      <c r="M37" s="35">
        <f ca="1">IFERROR(M33/M25, 0) * (IFERROR(INDEX(Assumptions!$B:$B, MATCH("Launch insurance % of external revenue", Assumptions!$A:$A, 0)), 0.01) + IFERROR(INDEX(Assumptions!$B:$B, MATCH("Launch other COGS % of external revenue", Assumptions!$A:$A, 0)), 0.01))</f>
        <v>5.9073000000000002</v>
      </c>
      <c r="N37" s="35">
        <f ca="1">IFERROR(N33/N25, 0) * (IFERROR(INDEX(Assumptions!$B:$B, MATCH("Launch insurance % of external revenue", Assumptions!$A:$A, 0)), 0.01) + IFERROR(INDEX(Assumptions!$B:$B, MATCH("Launch other COGS % of external revenue", Assumptions!$A:$A, 0)), 0.01))</f>
        <v>5.7301999999999991</v>
      </c>
      <c r="O37" s="35">
        <f ca="1">IFERROR(O33/O25, 0) * (IFERROR(INDEX(Assumptions!$B:$B, MATCH("Launch insurance % of external revenue", Assumptions!$A:$A, 0)), 0.01) + IFERROR(INDEX(Assumptions!$B:$B, MATCH("Launch other COGS % of external revenue", Assumptions!$A:$A, 0)), 0.01))</f>
        <v>5.5580000000000007</v>
      </c>
      <c r="P37" s="35">
        <f ca="1">IFERROR(P33/P25, 0) * (IFERROR(INDEX(Assumptions!$B:$B, MATCH("Launch insurance % of external revenue", Assumptions!$A:$A, 0)), 0.01) + IFERROR(INDEX(Assumptions!$B:$B, MATCH("Launch other COGS % of external revenue", Assumptions!$A:$A, 0)), 0.01))</f>
        <v>5.3914</v>
      </c>
      <c r="Q37" s="35">
        <f ca="1">IFERROR(Q33/Q25, 0) * (IFERROR(INDEX(Assumptions!$B:$B, MATCH("Launch insurance % of external revenue", Assumptions!$A:$A, 0)), 0.01) + IFERROR(INDEX(Assumptions!$B:$B, MATCH("Launch other COGS % of external revenue", Assumptions!$A:$A, 0)), 0.01))</f>
        <v>0</v>
      </c>
      <c r="R37" s="35">
        <f ca="1">IFERROR(R33/R25, 0) * (IFERROR(INDEX(Assumptions!$B:$B, MATCH("Launch insurance % of external revenue", Assumptions!$A:$A, 0)), 0.01) + IFERROR(INDEX(Assumptions!$B:$B, MATCH("Launch other COGS % of external revenue", Assumptions!$A:$A, 0)), 0.01))</f>
        <v>5.0729000000000006</v>
      </c>
      <c r="S37" s="35">
        <f ca="1">IFERROR(S33/S25, 0) * (IFERROR(INDEX(Assumptions!$B:$B, MATCH("Launch insurance % of external revenue", Assumptions!$A:$A, 0)), 0.01) + IFERROR(INDEX(Assumptions!$B:$B, MATCH("Launch other COGS % of external revenue", Assumptions!$A:$A, 0)), 0.01))</f>
        <v>0</v>
      </c>
      <c r="T37" s="35">
        <f ca="1">IFERROR(T33/T25, 0) * (IFERROR(INDEX(Assumptions!$B:$B, MATCH("Launch insurance % of external revenue", Assumptions!$A:$A, 0)), 0.01) + IFERROR(INDEX(Assumptions!$B:$B, MATCH("Launch other COGS % of external revenue", Assumptions!$A:$A, 0)), 0.01))</f>
        <v>0</v>
      </c>
      <c r="U37" s="35">
        <f ca="1">IFERROR(U33/U25, 0) * (IFERROR(INDEX(Assumptions!$B:$B, MATCH("Launch insurance % of external revenue", Assumptions!$A:$A, 0)), 0.01) + IFERROR(INDEX(Assumptions!$B:$B, MATCH("Launch other COGS % of external revenue", Assumptions!$A:$A, 0)), 0.01))</f>
        <v>4.6291000000000002</v>
      </c>
      <c r="V37" s="35">
        <f ca="1">IFERROR(V33/V25, 0) * (IFERROR(INDEX(Assumptions!$B:$B, MATCH("Launch insurance % of external revenue", Assumptions!$A:$A, 0)), 0.01) + IFERROR(INDEX(Assumptions!$B:$B, MATCH("Launch other COGS % of external revenue", Assumptions!$A:$A, 0)), 0.01))</f>
        <v>0</v>
      </c>
      <c r="W37" s="35">
        <f ca="1">IFERROR(W33/W25, 0) * (IFERROR(INDEX(Assumptions!$B:$B, MATCH("Launch insurance % of external revenue", Assumptions!$A:$A, 0)), 0.01) + IFERROR(INDEX(Assumptions!$B:$B, MATCH("Launch other COGS % of external revenue", Assumptions!$A:$A, 0)), 0.01))</f>
        <v>4.3554000000000004</v>
      </c>
      <c r="X37" s="35">
        <f ca="1">IFERROR(X33/X25, 0) * (IFERROR(INDEX(Assumptions!$B:$B, MATCH("Launch insurance % of external revenue", Assumptions!$A:$A, 0)), 0.01) + IFERROR(INDEX(Assumptions!$B:$B, MATCH("Launch other COGS % of external revenue", Assumptions!$A:$A, 0)), 0.01))</f>
        <v>4.2252000000000001</v>
      </c>
      <c r="Y37" s="35">
        <f ca="1">IFERROR(Y33/Y25, 0) * (IFERROR(INDEX(Assumptions!$B:$B, MATCH("Launch insurance % of external revenue", Assumptions!$A:$A, 0)), 0.01) + IFERROR(INDEX(Assumptions!$B:$B, MATCH("Launch other COGS % of external revenue", Assumptions!$A:$A, 0)), 0.01))</f>
        <v>0</v>
      </c>
      <c r="Z37" s="35">
        <f ca="1">IFERROR(Z33/Z25, 0) * (IFERROR(INDEX(Assumptions!$B:$B, MATCH("Launch insurance % of external revenue", Assumptions!$A:$A, 0)), 0.01) + IFERROR(INDEX(Assumptions!$B:$B, MATCH("Launch other COGS % of external revenue", Assumptions!$A:$A, 0)), 0.01))</f>
        <v>3.9753000000000003</v>
      </c>
      <c r="AA37" s="35">
        <f ca="1">IFERROR(AA33/AA25, 0) * (IFERROR(INDEX(Assumptions!$B:$B, MATCH("Launch insurance % of external revenue", Assumptions!$A:$A, 0)), 0.01) + IFERROR(INDEX(Assumptions!$B:$B, MATCH("Launch other COGS % of external revenue", Assumptions!$A:$A, 0)), 0.01))</f>
        <v>0</v>
      </c>
      <c r="AB37" s="35">
        <f ca="1">IFERROR(AB33/AB25, 0) * (IFERROR(INDEX(Assumptions!$B:$B, MATCH("Launch insurance % of external revenue", Assumptions!$A:$A, 0)), 0.01) + IFERROR(INDEX(Assumptions!$B:$B, MATCH("Launch other COGS % of external revenue", Assumptions!$A:$A, 0)), 0.01))</f>
        <v>3.7401000000000004</v>
      </c>
      <c r="AC37" s="35">
        <f ca="1">IFERROR(AC33/AC25, 0) * (IFERROR(INDEX(Assumptions!$B:$B, MATCH("Launch insurance % of external revenue", Assumptions!$A:$A, 0)), 0.01) + IFERROR(INDEX(Assumptions!$B:$B, MATCH("Launch other COGS % of external revenue", Assumptions!$A:$A, 0)), 0.01))</f>
        <v>3.6281000000000003</v>
      </c>
    </row>
    <row r="47" spans="1:29" x14ac:dyDescent="0.2">
      <c r="A47" s="21" t="s">
        <v>732</v>
      </c>
    </row>
    <row r="48" spans="1:29" x14ac:dyDescent="0.2">
      <c r="A48" t="s">
        <v>752</v>
      </c>
      <c r="D48" s="35">
        <f ca="1">D24*D18</f>
        <v>0</v>
      </c>
      <c r="E48" s="35">
        <f t="shared" ref="E48:AC48" ca="1" si="3">E24*E18</f>
        <v>0</v>
      </c>
      <c r="F48" s="35">
        <f t="shared" ca="1" si="3"/>
        <v>158.39339254262387</v>
      </c>
      <c r="G48" s="35">
        <f t="shared" ca="1" si="3"/>
        <v>242.70747842694604</v>
      </c>
      <c r="H48" s="35">
        <f t="shared" ca="1" si="3"/>
        <v>334.54359091300307</v>
      </c>
      <c r="I48" s="35">
        <f t="shared" ca="1" si="3"/>
        <v>530.69331505330206</v>
      </c>
      <c r="J48" s="35">
        <f t="shared" ca="1" si="3"/>
        <v>663.90223757654871</v>
      </c>
      <c r="K48" s="35">
        <f t="shared" ca="1" si="3"/>
        <v>636.80542847600077</v>
      </c>
      <c r="L48" s="35">
        <f t="shared" ca="1" si="3"/>
        <v>1364.8887805815807</v>
      </c>
      <c r="M48" s="35">
        <f t="shared" ca="1" si="3"/>
        <v>655.47203896827318</v>
      </c>
      <c r="N48" s="35">
        <f t="shared" ca="1" si="3"/>
        <v>1581.2911373875029</v>
      </c>
      <c r="O48" s="35">
        <f t="shared" ca="1" si="3"/>
        <v>1791.4570452610135</v>
      </c>
      <c r="P48" s="35">
        <f t="shared" ca="1" si="3"/>
        <v>672.79964262432065</v>
      </c>
      <c r="Q48" s="35">
        <f t="shared" ca="1" si="3"/>
        <v>1922.816593223982</v>
      </c>
      <c r="R48" s="35">
        <f t="shared" ca="1" si="3"/>
        <v>805.00842386811496</v>
      </c>
      <c r="S48" s="35">
        <f t="shared" ca="1" si="3"/>
        <v>1886.3818767291466</v>
      </c>
      <c r="T48" s="35">
        <f t="shared" ca="1" si="3"/>
        <v>1873.7163503810875</v>
      </c>
      <c r="U48" s="35">
        <f t="shared" ca="1" si="3"/>
        <v>668.14817219840177</v>
      </c>
      <c r="V48" s="35">
        <f t="shared" ca="1" si="3"/>
        <v>1860.4391304726603</v>
      </c>
      <c r="W48" s="35">
        <f t="shared" ca="1" si="3"/>
        <v>1014.981475462835</v>
      </c>
      <c r="X48" s="35">
        <f t="shared" ca="1" si="3"/>
        <v>1153.4559009485838</v>
      </c>
      <c r="Y48" s="35">
        <f t="shared" ca="1" si="3"/>
        <v>1850.2910100508213</v>
      </c>
      <c r="Z48" s="35">
        <f t="shared" ca="1" si="3"/>
        <v>666.95804679188757</v>
      </c>
      <c r="AA48" s="35">
        <f t="shared" ca="1" si="3"/>
        <v>1834.9894607650131</v>
      </c>
      <c r="AB48" s="35">
        <f t="shared" ca="1" si="3"/>
        <v>1332.7181824369691</v>
      </c>
      <c r="AC48" s="35">
        <f t="shared" ca="1" si="3"/>
        <v>700.91783530730299</v>
      </c>
    </row>
    <row r="49" spans="1:29" x14ac:dyDescent="0.2">
      <c r="A49" t="s">
        <v>753</v>
      </c>
      <c r="D49" s="35" cm="1">
        <f t="array" aca="1" ref="D49" ca="1">INDEX('Launch Capacity'!$D:$AC, MATCH("Starship ops + fuel + refurb cost per launch ($mm, this year)", 'Launch Capacity'!$A:$A, 0), D$5+1)</f>
        <v>12</v>
      </c>
      <c r="E49" s="35" cm="1">
        <f t="array" aca="1" ref="E49" ca="1">INDEX('Launch Capacity'!$D:$AC, MATCH("Starship ops + fuel + refurb cost per launch ($mm, this year)", 'Launch Capacity'!$A:$A, 0), E$5+1)</f>
        <v>11.999264306923989</v>
      </c>
      <c r="F49" s="35" cm="1">
        <f t="array" aca="1" ref="F49" ca="1">INDEX('Launch Capacity'!$D:$AC, MATCH("Starship ops + fuel + refurb cost per launch ($mm, this year)", 'Launch Capacity'!$A:$A, 0), F$5+1)</f>
        <v>11.626722593444974</v>
      </c>
      <c r="G49" s="35" cm="1">
        <f t="array" aca="1" ref="G49" ca="1">INDEX('Launch Capacity'!$D:$AC, MATCH("Starship ops + fuel + refurb cost per launch ($mm, this year)", 'Launch Capacity'!$A:$A, 0), G$5+1)</f>
        <v>11.192510840942173</v>
      </c>
      <c r="H49" s="35" cm="1">
        <f t="array" aca="1" ref="H49" ca="1">INDEX('Launch Capacity'!$D:$AC, MATCH("Starship ops + fuel + refurb cost per launch ($mm, this year)", 'Launch Capacity'!$A:$A, 0), H$5+1)</f>
        <v>10.828090089434726</v>
      </c>
      <c r="I49" s="35" cm="1">
        <f t="array" aca="1" ref="I49" ca="1">INDEX('Launch Capacity'!$D:$AC, MATCH("Starship ops + fuel + refurb cost per launch ($mm, this year)", 'Launch Capacity'!$A:$A, 0), I$5+1)</f>
        <v>10.582962014932331</v>
      </c>
      <c r="J49" s="35" cm="1">
        <f t="array" aca="1" ref="J49" ca="1">INDEX('Launch Capacity'!$D:$AC, MATCH("Starship ops + fuel + refurb cost per launch ($mm, this year)", 'Launch Capacity'!$A:$A, 0), J$5+1)</f>
        <v>10.300428658932482</v>
      </c>
      <c r="K49" s="35" cm="1">
        <f t="array" aca="1" ref="K49" ca="1">INDEX('Launch Capacity'!$D:$AC, MATCH("Starship ops + fuel + refurb cost per launch ($mm, this year)", 'Launch Capacity'!$A:$A, 0), K$5+1)</f>
        <v>10.083281159168875</v>
      </c>
      <c r="L49" s="35" cm="1">
        <f t="array" aca="1" ref="L49" ca="1">INDEX('Launch Capacity'!$D:$AC, MATCH("Starship ops + fuel + refurb cost per launch ($mm, this year)", 'Launch Capacity'!$A:$A, 0), L$5+1)</f>
        <v>9.9997379866452718</v>
      </c>
      <c r="M49" s="35" cm="1">
        <f t="array" aca="1" ref="M49" ca="1">INDEX('Launch Capacity'!$D:$AC, MATCH("Starship ops + fuel + refurb cost per launch ($mm, this year)", 'Launch Capacity'!$A:$A, 0), M$5+1)</f>
        <v>9.6611841425695388</v>
      </c>
      <c r="N49" s="35" cm="1">
        <f t="array" aca="1" ref="N49" ca="1">INDEX('Launch Capacity'!$D:$AC, MATCH("Starship ops + fuel + refurb cost per launch ($mm, this year)", 'Launch Capacity'!$A:$A, 0), N$5+1)</f>
        <v>9.6611841425695388</v>
      </c>
      <c r="O49" s="35" cm="1">
        <f t="array" aca="1" ref="O49" ca="1">INDEX('Launch Capacity'!$D:$AC, MATCH("Starship ops + fuel + refurb cost per launch ($mm, this year)", 'Launch Capacity'!$A:$A, 0), O$5+1)</f>
        <v>9.4369039498737521</v>
      </c>
      <c r="P49" s="35" cm="1">
        <f t="array" aca="1" ref="P49" ca="1">INDEX('Launch Capacity'!$D:$AC, MATCH("Starship ops + fuel + refurb cost per launch ($mm, this year)", 'Launch Capacity'!$A:$A, 0), P$5+1)</f>
        <v>9.2977980781326668</v>
      </c>
      <c r="Q49" s="35" cm="1">
        <f t="array" aca="1" ref="Q49" ca="1">INDEX('Launch Capacity'!$D:$AC, MATCH("Starship ops + fuel + refurb cost per launch ($mm, this year)", 'Launch Capacity'!$A:$A, 0), Q$5+1)</f>
        <v>9.2977980781326668</v>
      </c>
      <c r="R49" s="35" cm="1">
        <f t="array" aca="1" ref="R49" ca="1">INDEX('Launch Capacity'!$D:$AC, MATCH("Starship ops + fuel + refurb cost per launch ($mm, this year)", 'Launch Capacity'!$A:$A, 0), R$5+1)</f>
        <v>9.0677056758091261</v>
      </c>
      <c r="S49" s="35" cm="1">
        <f t="array" aca="1" ref="S49" ca="1">INDEX('Launch Capacity'!$D:$AC, MATCH("Starship ops + fuel + refurb cost per launch ($mm, this year)", 'Launch Capacity'!$A:$A, 0), S$5+1)</f>
        <v>9.0677056758091261</v>
      </c>
      <c r="T49" s="35" cm="1">
        <f t="array" aca="1" ref="T49" ca="1">INDEX('Launch Capacity'!$D:$AC, MATCH("Starship ops + fuel + refurb cost per launch ($mm, this year)", 'Launch Capacity'!$A:$A, 0), T$5+1)</f>
        <v>8.9652981177833784</v>
      </c>
      <c r="U49" s="35" cm="1">
        <f t="array" aca="1" ref="U49" ca="1">INDEX('Launch Capacity'!$D:$AC, MATCH("Starship ops + fuel + refurb cost per launch ($mm, this year)", 'Launch Capacity'!$A:$A, 0), U$5+1)</f>
        <v>8.8155577044367419</v>
      </c>
      <c r="V49" s="35" cm="1">
        <f t="array" aca="1" ref="V49" ca="1">INDEX('Launch Capacity'!$D:$AC, MATCH("Starship ops + fuel + refurb cost per launch ($mm, this year)", 'Launch Capacity'!$A:$A, 0), V$5+1)</f>
        <v>8.8155577044367419</v>
      </c>
      <c r="W49" s="35" cm="1">
        <f t="array" aca="1" ref="W49" ca="1">INDEX('Launch Capacity'!$D:$AC, MATCH("Starship ops + fuel + refurb cost per launch ($mm, this year)", 'Launch Capacity'!$A:$A, 0), W$5+1)</f>
        <v>8.6350041745438446</v>
      </c>
      <c r="X49" s="35" cm="1">
        <f t="array" aca="1" ref="X49" ca="1">INDEX('Launch Capacity'!$D:$AC, MATCH("Starship ops + fuel + refurb cost per launch ($mm, this year)", 'Launch Capacity'!$A:$A, 0), X$5+1)</f>
        <v>8.6350041745438446</v>
      </c>
      <c r="Y49" s="35" cm="1">
        <f t="array" aca="1" ref="Y49" ca="1">INDEX('Launch Capacity'!$D:$AC, MATCH("Starship ops + fuel + refurb cost per launch ($mm, this year)", 'Launch Capacity'!$A:$A, 0), Y$5+1)</f>
        <v>8.630277679082873</v>
      </c>
      <c r="Z49" s="35" cm="1">
        <f t="array" aca="1" ref="Z49" ca="1">INDEX('Launch Capacity'!$D:$AC, MATCH("Starship ops + fuel + refurb cost per launch ($mm, this year)", 'Launch Capacity'!$A:$A, 0), Z$5+1)</f>
        <v>8.4639664561523542</v>
      </c>
      <c r="AA49" s="35" cm="1">
        <f t="array" aca="1" ref="AA49" ca="1">INDEX('Launch Capacity'!$D:$AC, MATCH("Starship ops + fuel + refurb cost per launch ($mm, this year)", 'Launch Capacity'!$A:$A, 0), AA$5+1)</f>
        <v>8.4639664561523542</v>
      </c>
      <c r="AB49" s="35" cm="1">
        <f t="array" aca="1" ref="AB49" ca="1">INDEX('Launch Capacity'!$D:$AC, MATCH("Starship ops + fuel + refurb cost per launch ($mm, this year)", 'Launch Capacity'!$A:$A, 0), AB$5+1)</f>
        <v>8.3089746351570017</v>
      </c>
      <c r="AC49" s="35" cm="1">
        <f t="array" aca="1" ref="AC49" ca="1">INDEX('Launch Capacity'!$D:$AC, MATCH("Starship ops + fuel + refurb cost per launch ($mm, this year)", 'Launch Capacity'!$A:$A, 0), AC$5+1)</f>
        <v>8.3089746351570017</v>
      </c>
    </row>
    <row r="50" spans="1:29" x14ac:dyDescent="0.2">
      <c r="A50" t="s">
        <v>754</v>
      </c>
      <c r="D50" s="35" cm="1">
        <f t="array" aca="1" ref="D50" ca="1">INDEX('Launch Capacity'!$D:$AC, MATCH("Starship D&amp;A share per launch, fully reusable mode ($mm)", 'Launch Capacity'!$A:$A, 0), D$5+1)</f>
        <v>12</v>
      </c>
      <c r="E50" s="35" cm="1">
        <f t="array" aca="1" ref="E50" ca="1">INDEX('Launch Capacity'!$D:$AC, MATCH("Starship D&amp;A share per launch, fully reusable mode ($mm)", 'Launch Capacity'!$A:$A, 0), E$5+1)</f>
        <v>7.9492482016046218</v>
      </c>
      <c r="F50" s="35" cm="1">
        <f t="array" aca="1" ref="F50" ca="1">INDEX('Launch Capacity'!$D:$AC, MATCH("Starship D&amp;A share per launch, fully reusable mode ($mm)", 'Launch Capacity'!$A:$A, 0), F$5+1)</f>
        <v>5.4288224930872664</v>
      </c>
      <c r="G50" s="35" cm="1">
        <f t="array" aca="1" ref="G50" ca="1">INDEX('Launch Capacity'!$D:$AC, MATCH("Starship D&amp;A share per launch, fully reusable mode ($mm)", 'Launch Capacity'!$A:$A, 0), G$5+1)</f>
        <v>3.7720967881068823</v>
      </c>
      <c r="H50" s="35" cm="1">
        <f t="array" aca="1" ref="H50" ca="1">INDEX('Launch Capacity'!$D:$AC, MATCH("Starship D&amp;A share per launch, fully reusable mode ($mm)", 'Launch Capacity'!$A:$A, 0), H$5+1)</f>
        <v>2.867466207682924</v>
      </c>
      <c r="I50" s="35" cm="1">
        <f t="array" aca="1" ref="I50" ca="1">INDEX('Launch Capacity'!$D:$AC, MATCH("Starship D&amp;A share per launch, fully reusable mode ($mm)", 'Launch Capacity'!$A:$A, 0), I$5+1)</f>
        <v>2.4713865183082722</v>
      </c>
      <c r="J50" s="35" cm="1">
        <f t="array" aca="1" ref="J50" ca="1">INDEX('Launch Capacity'!$D:$AC, MATCH("Starship D&amp;A share per launch, fully reusable mode ($mm)", 'Launch Capacity'!$A:$A, 0), J$5+1)</f>
        <v>2.1671810988006315</v>
      </c>
      <c r="K50" s="35" cm="1">
        <f t="array" aca="1" ref="K50" ca="1">INDEX('Launch Capacity'!$D:$AC, MATCH("Starship D&amp;A share per launch, fully reusable mode ($mm)", 'Launch Capacity'!$A:$A, 0), K$5+1)</f>
        <v>1.9005083935625724</v>
      </c>
      <c r="L50" s="35" cm="1">
        <f t="array" aca="1" ref="L50" ca="1">INDEX('Launch Capacity'!$D:$AC, MATCH("Starship D&amp;A share per launch, fully reusable mode ($mm)", 'Launch Capacity'!$A:$A, 0), L$5+1)</f>
        <v>1.7209964376586535</v>
      </c>
      <c r="M50" s="35" cm="1">
        <f t="array" aca="1" ref="M50" ca="1">INDEX('Launch Capacity'!$D:$AC, MATCH("Starship D&amp;A share per launch, fully reusable mode ($mm)", 'Launch Capacity'!$A:$A, 0), M$5+1)</f>
        <v>1.5253251696759427</v>
      </c>
      <c r="N50" s="35" cm="1">
        <f t="array" aca="1" ref="N50" ca="1">INDEX('Launch Capacity'!$D:$AC, MATCH("Starship D&amp;A share per launch, fully reusable mode ($mm)", 'Launch Capacity'!$A:$A, 0), N$5+1)</f>
        <v>1.4535585634850656</v>
      </c>
      <c r="O50" s="35" cm="1">
        <f t="array" aca="1" ref="O50" ca="1">INDEX('Launch Capacity'!$D:$AC, MATCH("Starship D&amp;A share per launch, fully reusable mode ($mm)", 'Launch Capacity'!$A:$A, 0), O$5+1)</f>
        <v>1.3608748900213334</v>
      </c>
      <c r="P50" s="35" cm="1">
        <f t="array" aca="1" ref="P50" ca="1">INDEX('Launch Capacity'!$D:$AC, MATCH("Starship D&amp;A share per launch, fully reusable mode ($mm)", 'Launch Capacity'!$A:$A, 0), P$5+1)</f>
        <v>1.2953589361298004</v>
      </c>
      <c r="Q50" s="35" cm="1">
        <f t="array" aca="1" ref="Q50" ca="1">INDEX('Launch Capacity'!$D:$AC, MATCH("Starship D&amp;A share per launch, fully reusable mode ($mm)", 'Launch Capacity'!$A:$A, 0), Q$5+1)</f>
        <v>1.2649989610642582</v>
      </c>
      <c r="R50" s="35" cm="1">
        <f t="array" aca="1" ref="R50" ca="1">INDEX('Launch Capacity'!$D:$AC, MATCH("Starship D&amp;A share per launch, fully reusable mode ($mm)", 'Launch Capacity'!$A:$A, 0), R$5+1)</f>
        <v>1.1912638902681707</v>
      </c>
      <c r="S50" s="35" cm="1">
        <f t="array" aca="1" ref="S50" ca="1">INDEX('Launch Capacity'!$D:$AC, MATCH("Starship D&amp;A share per launch, fully reusable mode ($mm)", 'Launch Capacity'!$A:$A, 0), S$5+1)</f>
        <v>1.1683549693014752</v>
      </c>
      <c r="T50" s="35" cm="1">
        <f t="array" aca="1" ref="T50" ca="1">INDEX('Launch Capacity'!$D:$AC, MATCH("Starship D&amp;A share per launch, fully reusable mode ($mm)", 'Launch Capacity'!$A:$A, 0), T$5+1)</f>
        <v>1.1397447930800639</v>
      </c>
      <c r="U50" s="35" cm="1">
        <f t="array" aca="1" ref="U50" ca="1">INDEX('Launch Capacity'!$D:$AC, MATCH("Starship D&amp;A share per launch, fully reusable mode ($mm)", 'Launch Capacity'!$A:$A, 0), U$5+1)</f>
        <v>1.1027536425994109</v>
      </c>
      <c r="V50" s="35" cm="1">
        <f t="array" aca="1" ref="V50" ca="1">INDEX('Launch Capacity'!$D:$AC, MATCH("Starship D&amp;A share per launch, fully reusable mode ($mm)", 'Launch Capacity'!$A:$A, 0), V$5+1)</f>
        <v>1.0953160056214473</v>
      </c>
      <c r="W50" s="35" cm="1">
        <f t="array" aca="1" ref="W50" ca="1">INDEX('Launch Capacity'!$D:$AC, MATCH("Starship D&amp;A share per launch, fully reusable mode ($mm)", 'Launch Capacity'!$A:$A, 0), W$5+1)</f>
        <v>1.0539952868469704</v>
      </c>
      <c r="X50" s="35" cm="1">
        <f t="array" aca="1" ref="X50" ca="1">INDEX('Launch Capacity'!$D:$AC, MATCH("Starship D&amp;A share per launch, fully reusable mode ($mm)", 'Launch Capacity'!$A:$A, 0), X$5+1)</f>
        <v>1.047361750076605</v>
      </c>
      <c r="Y50" s="35" cm="1">
        <f t="array" aca="1" ref="Y50" ca="1">INDEX('Launch Capacity'!$D:$AC, MATCH("Starship D&amp;A share per launch, fully reusable mode ($mm)", 'Launch Capacity'!$A:$A, 0), Y$5+1)</f>
        <v>1.0464775817021361</v>
      </c>
      <c r="Z50" s="35" cm="1">
        <f t="array" aca="1" ref="Z50" ca="1">INDEX('Launch Capacity'!$D:$AC, MATCH("Starship D&amp;A share per launch, fully reusable mode ($mm)", 'Launch Capacity'!$A:$A, 0), Z$5+1)</f>
        <v>1.0155340464065754</v>
      </c>
      <c r="AA50" s="35" cm="1">
        <f t="array" aca="1" ref="AA50" ca="1">INDEX('Launch Capacity'!$D:$AC, MATCH("Starship D&amp;A share per launch, fully reusable mode ($mm)", 'Launch Capacity'!$A:$A, 0), AA$5+1)</f>
        <v>1.0155340464065754</v>
      </c>
      <c r="AB50" s="35" cm="1">
        <f t="array" aca="1" ref="AB50" ca="1">INDEX('Launch Capacity'!$D:$AC, MATCH("Starship D&amp;A share per launch, fully reusable mode ($mm)", 'Launch Capacity'!$A:$A, 0), AB$5+1)</f>
        <v>0.98699189370792462</v>
      </c>
      <c r="AC50" s="35" cm="1">
        <f t="array" aca="1" ref="AC50" ca="1">INDEX('Launch Capacity'!$D:$AC, MATCH("Starship D&amp;A share per launch, fully reusable mode ($mm)", 'Launch Capacity'!$A:$A, 0), AC$5+1)</f>
        <v>0.98699189370792462</v>
      </c>
    </row>
    <row r="51" spans="1:29" x14ac:dyDescent="0.2">
      <c r="A51" t="s">
        <v>755</v>
      </c>
      <c r="D51" s="35" cm="1">
        <f t="array" aca="1" ref="D51" ca="1">INDEX('Launch Capacity'!$D:$AC, MATCH("Starship at-cost rate ($mm/launch)", 'Launch Capacity'!$A:$A, 0), D$5+1)</f>
        <v>24</v>
      </c>
      <c r="E51" s="35" cm="1">
        <f t="array" aca="1" ref="E51" ca="1">INDEX('Launch Capacity'!$D:$AC, MATCH("Starship at-cost rate ($mm/launch)", 'Launch Capacity'!$A:$A, 0), E$5+1)</f>
        <v>19.948512508528609</v>
      </c>
      <c r="F51" s="35" cm="1">
        <f t="array" aca="1" ref="F51" ca="1">INDEX('Launch Capacity'!$D:$AC, MATCH("Starship at-cost rate ($mm/launch)", 'Launch Capacity'!$A:$A, 0), F$5+1)</f>
        <v>17.055545086532241</v>
      </c>
      <c r="G51" s="35" cm="1">
        <f t="array" aca="1" ref="G51" ca="1">INDEX('Launch Capacity'!$D:$AC, MATCH("Starship at-cost rate ($mm/launch)", 'Launch Capacity'!$A:$A, 0), G$5+1)</f>
        <v>14.964607629049056</v>
      </c>
      <c r="H51" s="35" cm="1">
        <f t="array" aca="1" ref="H51" ca="1">INDEX('Launch Capacity'!$D:$AC, MATCH("Starship at-cost rate ($mm/launch)", 'Launch Capacity'!$A:$A, 0), H$5+1)</f>
        <v>13.695556297117649</v>
      </c>
      <c r="I51" s="35" cm="1">
        <f t="array" aca="1" ref="I51" ca="1">INDEX('Launch Capacity'!$D:$AC, MATCH("Starship at-cost rate ($mm/launch)", 'Launch Capacity'!$A:$A, 0), I$5+1)</f>
        <v>13.054348533240603</v>
      </c>
      <c r="J51" s="35" cm="1">
        <f t="array" aca="1" ref="J51" ca="1">INDEX('Launch Capacity'!$D:$AC, MATCH("Starship at-cost rate ($mm/launch)", 'Launch Capacity'!$A:$A, 0), J$5+1)</f>
        <v>12.467609757733113</v>
      </c>
      <c r="K51" s="35" cm="1">
        <f t="array" aca="1" ref="K51" ca="1">INDEX('Launch Capacity'!$D:$AC, MATCH("Starship at-cost rate ($mm/launch)", 'Launch Capacity'!$A:$A, 0), K$5+1)</f>
        <v>11.983789552731448</v>
      </c>
      <c r="L51" s="35" cm="1">
        <f t="array" aca="1" ref="L51" ca="1">INDEX('Launch Capacity'!$D:$AC, MATCH("Starship at-cost rate ($mm/launch)", 'Launch Capacity'!$A:$A, 0), L$5+1)</f>
        <v>11.720734424303926</v>
      </c>
      <c r="M51" s="35" cm="1">
        <f t="array" aca="1" ref="M51" ca="1">INDEX('Launch Capacity'!$D:$AC, MATCH("Starship at-cost rate ($mm/launch)", 'Launch Capacity'!$A:$A, 0), M$5+1)</f>
        <v>11.186509312245482</v>
      </c>
      <c r="N51" s="35" cm="1">
        <f t="array" aca="1" ref="N51" ca="1">INDEX('Launch Capacity'!$D:$AC, MATCH("Starship at-cost rate ($mm/launch)", 'Launch Capacity'!$A:$A, 0), N$5+1)</f>
        <v>11.114742706054605</v>
      </c>
      <c r="O51" s="35" cm="1">
        <f t="array" aca="1" ref="O51" ca="1">INDEX('Launch Capacity'!$D:$AC, MATCH("Starship at-cost rate ($mm/launch)", 'Launch Capacity'!$A:$A, 0), O$5+1)</f>
        <v>10.797778839895086</v>
      </c>
      <c r="P51" s="35" cm="1">
        <f t="array" aca="1" ref="P51" ca="1">INDEX('Launch Capacity'!$D:$AC, MATCH("Starship at-cost rate ($mm/launch)", 'Launch Capacity'!$A:$A, 0), P$5+1)</f>
        <v>10.593157014262466</v>
      </c>
      <c r="Q51" s="35" cm="1">
        <f t="array" aca="1" ref="Q51" ca="1">INDEX('Launch Capacity'!$D:$AC, MATCH("Starship at-cost rate ($mm/launch)", 'Launch Capacity'!$A:$A, 0), Q$5+1)</f>
        <v>10.562797039196925</v>
      </c>
      <c r="R51" s="35" cm="1">
        <f t="array" aca="1" ref="R51" ca="1">INDEX('Launch Capacity'!$D:$AC, MATCH("Starship at-cost rate ($mm/launch)", 'Launch Capacity'!$A:$A, 0), R$5+1)</f>
        <v>10.258969566077297</v>
      </c>
      <c r="S51" s="35" cm="1">
        <f t="array" aca="1" ref="S51" ca="1">INDEX('Launch Capacity'!$D:$AC, MATCH("Starship at-cost rate ($mm/launch)", 'Launch Capacity'!$A:$A, 0), S$5+1)</f>
        <v>10.236060645110602</v>
      </c>
      <c r="T51" s="35" cm="1">
        <f t="array" aca="1" ref="T51" ca="1">INDEX('Launch Capacity'!$D:$AC, MATCH("Starship at-cost rate ($mm/launch)", 'Launch Capacity'!$A:$A, 0), T$5+1)</f>
        <v>10.105042910863443</v>
      </c>
      <c r="U51" s="35" cm="1">
        <f t="array" aca="1" ref="U51" ca="1">INDEX('Launch Capacity'!$D:$AC, MATCH("Starship at-cost rate ($mm/launch)", 'Launch Capacity'!$A:$A, 0), U$5+1)</f>
        <v>9.9183113470361519</v>
      </c>
      <c r="V51" s="35" cm="1">
        <f t="array" aca="1" ref="V51" ca="1">INDEX('Launch Capacity'!$D:$AC, MATCH("Starship at-cost rate ($mm/launch)", 'Launch Capacity'!$A:$A, 0), V$5+1)</f>
        <v>9.9108737100581887</v>
      </c>
      <c r="W51" s="35" cm="1">
        <f t="array" aca="1" ref="W51" ca="1">INDEX('Launch Capacity'!$D:$AC, MATCH("Starship at-cost rate ($mm/launch)", 'Launch Capacity'!$A:$A, 0), W$5+1)</f>
        <v>9.6889994613908144</v>
      </c>
      <c r="X51" s="35" cm="1">
        <f t="array" aca="1" ref="X51" ca="1">INDEX('Launch Capacity'!$D:$AC, MATCH("Starship at-cost rate ($mm/launch)", 'Launch Capacity'!$A:$A, 0), X$5+1)</f>
        <v>9.6823659246204503</v>
      </c>
      <c r="Y51" s="35" cm="1">
        <f t="array" aca="1" ref="Y51" ca="1">INDEX('Launch Capacity'!$D:$AC, MATCH("Starship at-cost rate ($mm/launch)", 'Launch Capacity'!$A:$A, 0), Y$5+1)</f>
        <v>9.6767552607850096</v>
      </c>
      <c r="Z51" s="35" cm="1">
        <f t="array" aca="1" ref="Z51" ca="1">INDEX('Launch Capacity'!$D:$AC, MATCH("Starship at-cost rate ($mm/launch)", 'Launch Capacity'!$A:$A, 0), Z$5+1)</f>
        <v>9.4795005025589294</v>
      </c>
      <c r="AA51" s="35" cm="1">
        <f t="array" aca="1" ref="AA51" ca="1">INDEX('Launch Capacity'!$D:$AC, MATCH("Starship at-cost rate ($mm/launch)", 'Launch Capacity'!$A:$A, 0), AA$5+1)</f>
        <v>9.4795005025589294</v>
      </c>
      <c r="AB51" s="35" cm="1">
        <f t="array" aca="1" ref="AB51" ca="1">INDEX('Launch Capacity'!$D:$AC, MATCH("Starship at-cost rate ($mm/launch)", 'Launch Capacity'!$A:$A, 0), AB$5+1)</f>
        <v>9.2959665288649269</v>
      </c>
      <c r="AC51" s="35" cm="1">
        <f t="array" aca="1" ref="AC51" ca="1">INDEX('Launch Capacity'!$D:$AC, MATCH("Starship at-cost rate ($mm/launch)", 'Launch Capacity'!$A:$A, 0), AC$5+1)</f>
        <v>9.2959665288649269</v>
      </c>
    </row>
    <row r="52" spans="1:29" x14ac:dyDescent="0.2">
      <c r="A52" t="s">
        <v>756</v>
      </c>
      <c r="D52" s="35">
        <f ca="1">IFERROR(D48/D24, 0) * (IFERROR(INDEX(Assumptions!$B:$B, MATCH("Launch insurance % of external revenue", Assumptions!$A:$A, 0)), 0.01) + IFERROR(INDEX(Assumptions!$B:$B, MATCH("Launch other COGS % of external revenue", Assumptions!$A:$A, 0)), 0.01))</f>
        <v>0</v>
      </c>
      <c r="E52" s="35">
        <f ca="1">IFERROR(E48/E24, 0) * (IFERROR(INDEX(Assumptions!$B:$B, MATCH("Launch insurance % of external revenue", Assumptions!$A:$A, 0)), 0.01) + IFERROR(INDEX(Assumptions!$B:$B, MATCH("Launch other COGS % of external revenue", Assumptions!$A:$A, 0)), 0.01))</f>
        <v>0</v>
      </c>
      <c r="F52" s="35">
        <f ca="1">IFERROR(F48/F24, 0) * (IFERROR(INDEX(Assumptions!$B:$B, MATCH("Launch insurance % of external revenue", Assumptions!$A:$A, 0)), 0.01) + IFERROR(INDEX(Assumptions!$B:$B, MATCH("Launch other COGS % of external revenue", Assumptions!$A:$A, 0)), 0.01))</f>
        <v>4.7755526242290278</v>
      </c>
      <c r="G52" s="35">
        <f ca="1">IFERROR(G48/G24, 0) * (IFERROR(INDEX(Assumptions!$B:$B, MATCH("Launch insurance % of external revenue", Assumptions!$A:$A, 0)), 0.01) + IFERROR(INDEX(Assumptions!$B:$B, MATCH("Launch other COGS % of external revenue", Assumptions!$A:$A, 0)), 0.01))</f>
        <v>4.0151611989685607</v>
      </c>
      <c r="H52" s="35">
        <f ca="1">IFERROR(H48/H24, 0) * (IFERROR(INDEX(Assumptions!$B:$B, MATCH("Launch insurance % of external revenue", Assumptions!$A:$A, 0)), 0.01) + IFERROR(INDEX(Assumptions!$B:$B, MATCH("Launch other COGS % of external revenue", Assumptions!$A:$A, 0)), 0.01))</f>
        <v>3.5212507255918073</v>
      </c>
      <c r="I52" s="35">
        <f ca="1">IFERROR(I48/I24, 0) * (IFERROR(INDEX(Assumptions!$B:$B, MATCH("Launch insurance % of external revenue", Assumptions!$A:$A, 0)), 0.01) + IFERROR(INDEX(Assumptions!$B:$B, MATCH("Launch other COGS % of external revenue", Assumptions!$A:$A, 0)), 0.01))</f>
        <v>3.2162670088015712</v>
      </c>
      <c r="J52" s="35">
        <f ca="1">IFERROR(J48/J24, 0) * (IFERROR(INDEX(Assumptions!$B:$B, MATCH("Launch insurance % of external revenue", Assumptions!$A:$A, 0)), 0.01) + IFERROR(INDEX(Assumptions!$B:$B, MATCH("Launch other COGS % of external revenue", Assumptions!$A:$A, 0)), 0.01))</f>
        <v>2.9434706713602927</v>
      </c>
      <c r="K52" s="35">
        <f ca="1">IFERROR(K48/K24, 0) * (IFERROR(INDEX(Assumptions!$B:$B, MATCH("Launch insurance % of external revenue", Assumptions!$A:$A, 0)), 0.01) + IFERROR(INDEX(Assumptions!$B:$B, MATCH("Launch other COGS % of external revenue", Assumptions!$A:$A, 0)), 0.01))</f>
        <v>2.7111297758292858</v>
      </c>
      <c r="L52" s="35">
        <f ca="1">IFERROR(L48/L24, 0) * (IFERROR(INDEX(Assumptions!$B:$B, MATCH("Launch insurance % of external revenue", Assumptions!$A:$A, 0)), 0.01) + IFERROR(INDEX(Assumptions!$B:$B, MATCH("Launch other COGS % of external revenue", Assumptions!$A:$A, 0)), 0.01))</f>
        <v>2.540917585116341</v>
      </c>
      <c r="M52" s="35">
        <f ca="1">IFERROR(M48/M24, 0) * (IFERROR(INDEX(Assumptions!$B:$B, MATCH("Launch insurance % of external revenue", Assumptions!$A:$A, 0)), 0.01) + IFERROR(INDEX(Assumptions!$B:$B, MATCH("Launch other COGS % of external revenue", Assumptions!$A:$A, 0)), 0.01))</f>
        <v>2.3238600084676611</v>
      </c>
      <c r="N52" s="35">
        <f ca="1">IFERROR(N48/N24, 0) * (IFERROR(INDEX(Assumptions!$B:$B, MATCH("Launch insurance % of external revenue", Assumptions!$A:$A, 0)), 0.01) + IFERROR(INDEX(Assumptions!$B:$B, MATCH("Launch other COGS % of external revenue", Assumptions!$A:$A, 0)), 0.01))</f>
        <v>2.2125566939030858</v>
      </c>
      <c r="O52" s="35">
        <f ca="1">IFERROR(O48/O24, 0) * (IFERROR(INDEX(Assumptions!$B:$B, MATCH("Launch insurance % of external revenue", Assumptions!$A:$A, 0)), 0.01) + IFERROR(INDEX(Assumptions!$B:$B, MATCH("Launch other COGS % of external revenue", Assumptions!$A:$A, 0)), 0.01))</f>
        <v>2.059724061321718</v>
      </c>
      <c r="P52" s="35">
        <f ca="1">IFERROR(P48/P24, 0) * (IFERROR(INDEX(Assumptions!$B:$B, MATCH("Launch insurance % of external revenue", Assumptions!$A:$A, 0)), 0.01) + IFERROR(INDEX(Assumptions!$B:$B, MATCH("Launch other COGS % of external revenue", Assumptions!$A:$A, 0)), 0.01))</f>
        <v>1.9363312043254925</v>
      </c>
      <c r="Q52" s="35">
        <f ca="1">IFERROR(Q48/Q24, 0) * (IFERROR(INDEX(Assumptions!$B:$B, MATCH("Launch insurance % of external revenue", Assumptions!$A:$A, 0)), 0.01) + IFERROR(INDEX(Assumptions!$B:$B, MATCH("Launch other COGS % of external revenue", Assumptions!$A:$A, 0)), 0.01))</f>
        <v>1.8501749220663777</v>
      </c>
      <c r="R52" s="35">
        <f ca="1">IFERROR(R48/R24, 0) * (IFERROR(INDEX(Assumptions!$B:$B, MATCH("Launch insurance % of external revenue", Assumptions!$A:$A, 0)), 0.01) + IFERROR(INDEX(Assumptions!$B:$B, MATCH("Launch other COGS % of external revenue", Assumptions!$A:$A, 0)), 0.01))</f>
        <v>1.7219368367399233</v>
      </c>
      <c r="S52" s="35">
        <f ca="1">IFERROR(S48/S24, 0) * (IFERROR(INDEX(Assumptions!$B:$B, MATCH("Launch insurance % of external revenue", Assumptions!$A:$A, 0)), 0.01) + IFERROR(INDEX(Assumptions!$B:$B, MATCH("Launch other COGS % of external revenue", Assumptions!$A:$A, 0)), 0.01))</f>
        <v>1.6463643218376276</v>
      </c>
      <c r="T52" s="35">
        <f ca="1">IFERROR(T48/T24, 0) * (IFERROR(INDEX(Assumptions!$B:$B, MATCH("Launch insurance % of external revenue", Assumptions!$A:$A, 0)), 0.01) + IFERROR(INDEX(Assumptions!$B:$B, MATCH("Launch other COGS % of external revenue", Assumptions!$A:$A, 0)), 0.01))</f>
        <v>1.5574383990079739</v>
      </c>
      <c r="U52" s="35">
        <f ca="1">IFERROR(U48/U24, 0) * (IFERROR(INDEX(Assumptions!$B:$B, MATCH("Launch insurance % of external revenue", Assumptions!$A:$A, 0)), 0.01) + IFERROR(INDEX(Assumptions!$B:$B, MATCH("Launch other COGS % of external revenue", Assumptions!$A:$A, 0)), 0.01))</f>
        <v>1.464839605121057</v>
      </c>
      <c r="V52" s="35">
        <f ca="1">IFERROR(V48/V24, 0) * (IFERROR(INDEX(Assumptions!$B:$B, MATCH("Launch insurance % of external revenue", Assumptions!$A:$A, 0)), 0.01) + IFERROR(INDEX(Assumptions!$B:$B, MATCH("Launch other COGS % of external revenue", Assumptions!$A:$A, 0)), 0.01))</f>
        <v>1.4026325041072152</v>
      </c>
      <c r="W52" s="35">
        <f ca="1">IFERROR(W48/W24, 0) * (IFERROR(INDEX(Assumptions!$B:$B, MATCH("Launch insurance % of external revenue", Assumptions!$A:$A, 0)), 0.01) + IFERROR(INDEX(Assumptions!$B:$B, MATCH("Launch other COGS % of external revenue", Assumptions!$A:$A, 0)), 0.01))</f>
        <v>1.3139853065553795</v>
      </c>
      <c r="X52" s="35">
        <f ca="1">IFERROR(X48/X24, 0) * (IFERROR(INDEX(Assumptions!$B:$B, MATCH("Launch insurance % of external revenue", Assumptions!$A:$A, 0)), 0.01) + IFERROR(INDEX(Assumptions!$B:$B, MATCH("Launch other COGS % of external revenue", Assumptions!$A:$A, 0)), 0.01))</f>
        <v>1.2582666596933028</v>
      </c>
      <c r="Y52" s="35">
        <f ca="1">IFERROR(Y48/Y24, 0) * (IFERROR(INDEX(Assumptions!$B:$B, MATCH("Launch insurance % of external revenue", Assumptions!$A:$A, 0)), 0.01) + IFERROR(INDEX(Assumptions!$B:$B, MATCH("Launch other COGS % of external revenue", Assumptions!$A:$A, 0)), 0.01))</f>
        <v>1.2050375357570695</v>
      </c>
      <c r="Z52" s="35">
        <f ca="1">IFERROR(Z48/Z24, 0) * (IFERROR(INDEX(Assumptions!$B:$B, MATCH("Launch insurance % of external revenue", Assumptions!$A:$A, 0)), 0.01) + IFERROR(INDEX(Assumptions!$B:$B, MATCH("Launch other COGS % of external revenue", Assumptions!$A:$A, 0)), 0.01))</f>
        <v>1.131190872025827</v>
      </c>
      <c r="AA52" s="35">
        <f ca="1">IFERROR(AA48/AA24, 0) * (IFERROR(INDEX(Assumptions!$B:$B, MATCH("Launch insurance % of external revenue", Assumptions!$A:$A, 0)), 0.01) + IFERROR(INDEX(Assumptions!$B:$B, MATCH("Launch other COGS % of external revenue", Assumptions!$A:$A, 0)), 0.01))</f>
        <v>1.0839656309103671</v>
      </c>
      <c r="AB52" s="35">
        <f ca="1">IFERROR(AB48/AB24, 0) * (IFERROR(INDEX(Assumptions!$B:$B, MATCH("Launch insurance % of external revenue", Assumptions!$A:$A, 0)), 0.01) + IFERROR(INDEX(Assumptions!$B:$B, MATCH("Launch other COGS % of external revenue", Assumptions!$A:$A, 0)), 0.01))</f>
        <v>1.0186013092538804</v>
      </c>
      <c r="AC52" s="35">
        <f ca="1">IFERROR(AC48/AC24, 0) * (IFERROR(INDEX(Assumptions!$B:$B, MATCH("Launch insurance % of external revenue", Assumptions!$A:$A, 0)), 0.01) + IFERROR(INDEX(Assumptions!$B:$B, MATCH("Launch other COGS % of external revenue", Assumptions!$A:$A, 0)), 0.01))</f>
        <v>0.97607648553081738</v>
      </c>
    </row>
    <row r="67" spans="1:29" x14ac:dyDescent="0.2">
      <c r="A67" s="21" t="s">
        <v>733</v>
      </c>
    </row>
    <row r="68" spans="1:29" x14ac:dyDescent="0.2">
      <c r="A68" t="s">
        <v>757</v>
      </c>
      <c r="D68" cm="1">
        <f t="array" aca="1" ref="D68" ca="1">IFERROR(INDEX(Starlink!$D:$AC, MATCH("F9 V2 BB launches (internal)", Starlink!$A:$A, 0), D$5+1), 0) + IFERROR(INDEX(Starlink!$D:$AC, MATCH("F9 V2 DTC launches (internal)", Starlink!$A:$A, 0), D$5+1), 0)</f>
        <v>129</v>
      </c>
      <c r="E68" cm="1">
        <f t="array" aca="1" ref="E68" ca="1">IFERROR(INDEX(Starlink!$D:$AC, MATCH("F9 V2 BB launches (internal)", Starlink!$A:$A, 0), E$5+1), 0) + IFERROR(INDEX(Starlink!$D:$AC, MATCH("F9 V2 DTC launches (internal)", Starlink!$A:$A, 0), E$5+1), 0)</f>
        <v>0</v>
      </c>
      <c r="F68" cm="1">
        <f t="array" aca="1" ref="F68" ca="1">IFERROR(INDEX(Starlink!$D:$AC, MATCH("F9 V2 BB launches (internal)", Starlink!$A:$A, 0), F$5+1), 0) + IFERROR(INDEX(Starlink!$D:$AC, MATCH("F9 V2 DTC launches (internal)", Starlink!$A:$A, 0), F$5+1), 0)</f>
        <v>0</v>
      </c>
      <c r="G68" cm="1">
        <f t="array" aca="1" ref="G68" ca="1">IFERROR(INDEX(Starlink!$D:$AC, MATCH("F9 V2 BB launches (internal)", Starlink!$A:$A, 0), G$5+1), 0) + IFERROR(INDEX(Starlink!$D:$AC, MATCH("F9 V2 DTC launches (internal)", Starlink!$A:$A, 0), G$5+1), 0)</f>
        <v>0</v>
      </c>
      <c r="H68" cm="1">
        <f t="array" aca="1" ref="H68" ca="1">IFERROR(INDEX(Starlink!$D:$AC, MATCH("F9 V2 BB launches (internal)", Starlink!$A:$A, 0), H$5+1), 0) + IFERROR(INDEX(Starlink!$D:$AC, MATCH("F9 V2 DTC launches (internal)", Starlink!$A:$A, 0), H$5+1), 0)</f>
        <v>0</v>
      </c>
      <c r="I68" cm="1">
        <f t="array" aca="1" ref="I68" ca="1">IFERROR(INDEX(Starlink!$D:$AC, MATCH("F9 V2 BB launches (internal)", Starlink!$A:$A, 0), I$5+1), 0) + IFERROR(INDEX(Starlink!$D:$AC, MATCH("F9 V2 DTC launches (internal)", Starlink!$A:$A, 0), I$5+1), 0)</f>
        <v>0</v>
      </c>
      <c r="J68" cm="1">
        <f t="array" aca="1" ref="J68" ca="1">IFERROR(INDEX(Starlink!$D:$AC, MATCH("F9 V2 BB launches (internal)", Starlink!$A:$A, 0), J$5+1), 0) + IFERROR(INDEX(Starlink!$D:$AC, MATCH("F9 V2 DTC launches (internal)", Starlink!$A:$A, 0), J$5+1), 0)</f>
        <v>0</v>
      </c>
      <c r="K68" cm="1">
        <f t="array" aca="1" ref="K68" ca="1">IFERROR(INDEX(Starlink!$D:$AC, MATCH("F9 V2 BB launches (internal)", Starlink!$A:$A, 0), K$5+1), 0) + IFERROR(INDEX(Starlink!$D:$AC, MATCH("F9 V2 DTC launches (internal)", Starlink!$A:$A, 0), K$5+1), 0)</f>
        <v>0</v>
      </c>
      <c r="L68" cm="1">
        <f t="array" aca="1" ref="L68" ca="1">IFERROR(INDEX(Starlink!$D:$AC, MATCH("F9 V2 BB launches (internal)", Starlink!$A:$A, 0), L$5+1), 0) + IFERROR(INDEX(Starlink!$D:$AC, MATCH("F9 V2 DTC launches (internal)", Starlink!$A:$A, 0), L$5+1), 0)</f>
        <v>0</v>
      </c>
      <c r="M68" cm="1">
        <f t="array" aca="1" ref="M68" ca="1">IFERROR(INDEX(Starlink!$D:$AC, MATCH("F9 V2 BB launches (internal)", Starlink!$A:$A, 0), M$5+1), 0) + IFERROR(INDEX(Starlink!$D:$AC, MATCH("F9 V2 DTC launches (internal)", Starlink!$A:$A, 0), M$5+1), 0)</f>
        <v>0</v>
      </c>
      <c r="N68" cm="1">
        <f t="array" aca="1" ref="N68" ca="1">IFERROR(INDEX(Starlink!$D:$AC, MATCH("F9 V2 BB launches (internal)", Starlink!$A:$A, 0), N$5+1), 0) + IFERROR(INDEX(Starlink!$D:$AC, MATCH("F9 V2 DTC launches (internal)", Starlink!$A:$A, 0), N$5+1), 0)</f>
        <v>0</v>
      </c>
      <c r="O68" cm="1">
        <f t="array" aca="1" ref="O68" ca="1">IFERROR(INDEX(Starlink!$D:$AC, MATCH("F9 V2 BB launches (internal)", Starlink!$A:$A, 0), O$5+1), 0) + IFERROR(INDEX(Starlink!$D:$AC, MATCH("F9 V2 DTC launches (internal)", Starlink!$A:$A, 0), O$5+1), 0)</f>
        <v>0</v>
      </c>
      <c r="P68" cm="1">
        <f t="array" aca="1" ref="P68" ca="1">IFERROR(INDEX(Starlink!$D:$AC, MATCH("F9 V2 BB launches (internal)", Starlink!$A:$A, 0), P$5+1), 0) + IFERROR(INDEX(Starlink!$D:$AC, MATCH("F9 V2 DTC launches (internal)", Starlink!$A:$A, 0), P$5+1), 0)</f>
        <v>0</v>
      </c>
      <c r="Q68" cm="1">
        <f t="array" aca="1" ref="Q68" ca="1">IFERROR(INDEX(Starlink!$D:$AC, MATCH("F9 V2 BB launches (internal)", Starlink!$A:$A, 0), Q$5+1), 0) + IFERROR(INDEX(Starlink!$D:$AC, MATCH("F9 V2 DTC launches (internal)", Starlink!$A:$A, 0), Q$5+1), 0)</f>
        <v>0</v>
      </c>
      <c r="R68" cm="1">
        <f t="array" aca="1" ref="R68" ca="1">IFERROR(INDEX(Starlink!$D:$AC, MATCH("F9 V2 BB launches (internal)", Starlink!$A:$A, 0), R$5+1), 0) + IFERROR(INDEX(Starlink!$D:$AC, MATCH("F9 V2 DTC launches (internal)", Starlink!$A:$A, 0), R$5+1), 0)</f>
        <v>0</v>
      </c>
      <c r="S68" cm="1">
        <f t="array" aca="1" ref="S68" ca="1">IFERROR(INDEX(Starlink!$D:$AC, MATCH("F9 V2 BB launches (internal)", Starlink!$A:$A, 0), S$5+1), 0) + IFERROR(INDEX(Starlink!$D:$AC, MATCH("F9 V2 DTC launches (internal)", Starlink!$A:$A, 0), S$5+1), 0)</f>
        <v>0</v>
      </c>
      <c r="T68" cm="1">
        <f t="array" aca="1" ref="T68" ca="1">IFERROR(INDEX(Starlink!$D:$AC, MATCH("F9 V2 BB launches (internal)", Starlink!$A:$A, 0), T$5+1), 0) + IFERROR(INDEX(Starlink!$D:$AC, MATCH("F9 V2 DTC launches (internal)", Starlink!$A:$A, 0), T$5+1), 0)</f>
        <v>0</v>
      </c>
      <c r="U68" cm="1">
        <f t="array" aca="1" ref="U68" ca="1">IFERROR(INDEX(Starlink!$D:$AC, MATCH("F9 V2 BB launches (internal)", Starlink!$A:$A, 0), U$5+1), 0) + IFERROR(INDEX(Starlink!$D:$AC, MATCH("F9 V2 DTC launches (internal)", Starlink!$A:$A, 0), U$5+1), 0)</f>
        <v>0</v>
      </c>
      <c r="V68" cm="1">
        <f t="array" aca="1" ref="V68" ca="1">IFERROR(INDEX(Starlink!$D:$AC, MATCH("F9 V2 BB launches (internal)", Starlink!$A:$A, 0), V$5+1), 0) + IFERROR(INDEX(Starlink!$D:$AC, MATCH("F9 V2 DTC launches (internal)", Starlink!$A:$A, 0), V$5+1), 0)</f>
        <v>0</v>
      </c>
      <c r="W68" cm="1">
        <f t="array" aca="1" ref="W68" ca="1">IFERROR(INDEX(Starlink!$D:$AC, MATCH("F9 V2 BB launches (internal)", Starlink!$A:$A, 0), W$5+1), 0) + IFERROR(INDEX(Starlink!$D:$AC, MATCH("F9 V2 DTC launches (internal)", Starlink!$A:$A, 0), W$5+1), 0)</f>
        <v>0</v>
      </c>
      <c r="X68" cm="1">
        <f t="array" aca="1" ref="X68" ca="1">IFERROR(INDEX(Starlink!$D:$AC, MATCH("F9 V2 BB launches (internal)", Starlink!$A:$A, 0), X$5+1), 0) + IFERROR(INDEX(Starlink!$D:$AC, MATCH("F9 V2 DTC launches (internal)", Starlink!$A:$A, 0), X$5+1), 0)</f>
        <v>0</v>
      </c>
      <c r="Y68" cm="1">
        <f t="array" aca="1" ref="Y68" ca="1">IFERROR(INDEX(Starlink!$D:$AC, MATCH("F9 V2 BB launches (internal)", Starlink!$A:$A, 0), Y$5+1), 0) + IFERROR(INDEX(Starlink!$D:$AC, MATCH("F9 V2 DTC launches (internal)", Starlink!$A:$A, 0), Y$5+1), 0)</f>
        <v>0</v>
      </c>
      <c r="Z68" cm="1">
        <f t="array" aca="1" ref="Z68" ca="1">IFERROR(INDEX(Starlink!$D:$AC, MATCH("F9 V2 BB launches (internal)", Starlink!$A:$A, 0), Z$5+1), 0) + IFERROR(INDEX(Starlink!$D:$AC, MATCH("F9 V2 DTC launches (internal)", Starlink!$A:$A, 0), Z$5+1), 0)</f>
        <v>0</v>
      </c>
      <c r="AA68" cm="1">
        <f t="array" aca="1" ref="AA68" ca="1">IFERROR(INDEX(Starlink!$D:$AC, MATCH("F9 V2 BB launches (internal)", Starlink!$A:$A, 0), AA$5+1), 0) + IFERROR(INDEX(Starlink!$D:$AC, MATCH("F9 V2 DTC launches (internal)", Starlink!$A:$A, 0), AA$5+1), 0)</f>
        <v>0</v>
      </c>
      <c r="AB68" cm="1">
        <f t="array" aca="1" ref="AB68" ca="1">IFERROR(INDEX(Starlink!$D:$AC, MATCH("F9 V2 BB launches (internal)", Starlink!$A:$A, 0), AB$5+1), 0) + IFERROR(INDEX(Starlink!$D:$AC, MATCH("F9 V2 DTC launches (internal)", Starlink!$A:$A, 0), AB$5+1), 0)</f>
        <v>0</v>
      </c>
      <c r="AC68" cm="1">
        <f t="array" aca="1" ref="AC68" ca="1">IFERROR(INDEX(Starlink!$D:$AC, MATCH("F9 V2 BB launches (internal)", Starlink!$A:$A, 0), AC$5+1), 0) + IFERROR(INDEX(Starlink!$D:$AC, MATCH("F9 V2 DTC launches (internal)", Starlink!$A:$A, 0), AC$5+1), 0)</f>
        <v>0</v>
      </c>
    </row>
    <row r="69" spans="1:29" x14ac:dyDescent="0.2">
      <c r="A69" t="s">
        <v>943</v>
      </c>
      <c r="D69" cm="1">
        <f t="array" aca="1" ref="D69" ca="1">IFERROR(INDEX(Starlink!$D:$AC, MATCH("Starship V3 BB launches (internal)", Starlink!$A:$A, 0), D$5+1), 0) + IFERROR(INDEX(Starlink!$D:$AC, MATCH("Starship V3 DTC launches (internal)", Starlink!$A:$A, 0), D$5+1), 0) + IFERROR(INDEX(ODC!$D:$AC, MATCH("ODC Starship launches (internal)", ODC!$A:$A, 0), D$5+1), 0)</f>
        <v>0</v>
      </c>
      <c r="E69" cm="1">
        <f t="array" aca="1" ref="E69" ca="1">IFERROR(INDEX(Starlink!$D:$AC, MATCH("Starship V3 BB launches (internal)", Starlink!$A:$A, 0), E$5+1), 0) + IFERROR(INDEX(Starlink!$D:$AC, MATCH("Starship V3 DTC launches (internal)", Starlink!$A:$A, 0), E$5+1), 0) + IFERROR(INDEX(ODC!$D:$AC, MATCH("ODC Starship launches (internal)", ODC!$A:$A, 0), E$5+1), 0)</f>
        <v>0</v>
      </c>
      <c r="F69" cm="1">
        <f t="array" aca="1" ref="F69" ca="1">IFERROR(INDEX(Starlink!$D:$AC, MATCH("Starship V3 BB launches (internal)", Starlink!$A:$A, 0), F$5+1), 0) + IFERROR(INDEX(Starlink!$D:$AC, MATCH("Starship V3 DTC launches (internal)", Starlink!$A:$A, 0), F$5+1), 0) + IFERROR(INDEX(ODC!$D:$AC, MATCH("ODC Starship launches (internal)", ODC!$A:$A, 0), F$5+1), 0)</f>
        <v>0</v>
      </c>
      <c r="G69" cm="1">
        <f t="array" aca="1" ref="G69" ca="1">IFERROR(INDEX(Starlink!$D:$AC, MATCH("Starship V3 BB launches (internal)", Starlink!$A:$A, 0), G$5+1), 0) + IFERROR(INDEX(Starlink!$D:$AC, MATCH("Starship V3 DTC launches (internal)", Starlink!$A:$A, 0), G$5+1), 0) + IFERROR(INDEX(ODC!$D:$AC, MATCH("ODC Starship launches (internal)", ODC!$A:$A, 0), G$5+1), 0)</f>
        <v>0</v>
      </c>
      <c r="H69" cm="1">
        <f t="array" aca="1" ref="H69" ca="1">IFERROR(INDEX(Starlink!$D:$AC, MATCH("Starship V3 BB launches (internal)", Starlink!$A:$A, 0), H$5+1), 0) + IFERROR(INDEX(Starlink!$D:$AC, MATCH("Starship V3 DTC launches (internal)", Starlink!$A:$A, 0), H$5+1), 0) + IFERROR(INDEX(ODC!$D:$AC, MATCH("ODC Starship launches (internal)", ODC!$A:$A, 0), H$5+1), 0)</f>
        <v>0</v>
      </c>
      <c r="I69" cm="1">
        <f t="array" aca="1" ref="I69" ca="1">IFERROR(INDEX(Starlink!$D:$AC, MATCH("Starship V3 BB launches (internal)", Starlink!$A:$A, 0), I$5+1), 0) + IFERROR(INDEX(Starlink!$D:$AC, MATCH("Starship V3 DTC launches (internal)", Starlink!$A:$A, 0), I$5+1), 0) + IFERROR(INDEX(ODC!$D:$AC, MATCH("ODC Starship launches (internal)", ODC!$A:$A, 0), I$5+1), 0)</f>
        <v>0</v>
      </c>
      <c r="J69" cm="1">
        <f t="array" aca="1" ref="J69" ca="1">IFERROR(INDEX(Starlink!$D:$AC, MATCH("Starship V3 BB launches (internal)", Starlink!$A:$A, 0), J$5+1), 0) + IFERROR(INDEX(Starlink!$D:$AC, MATCH("Starship V3 DTC launches (internal)", Starlink!$A:$A, 0), J$5+1), 0) + IFERROR(INDEX(ODC!$D:$AC, MATCH("ODC Starship launches (internal)", ODC!$A:$A, 0), J$5+1), 0)</f>
        <v>0</v>
      </c>
      <c r="K69" cm="1">
        <f t="array" aca="1" ref="K69" ca="1">IFERROR(INDEX(Starlink!$D:$AC, MATCH("Starship V3 BB launches (internal)", Starlink!$A:$A, 0), K$5+1), 0) + IFERROR(INDEX(Starlink!$D:$AC, MATCH("Starship V3 DTC launches (internal)", Starlink!$A:$A, 0), K$5+1), 0) + IFERROR(INDEX(ODC!$D:$AC, MATCH("ODC Starship launches (internal)", ODC!$A:$A, 0), K$5+1), 0)</f>
        <v>0</v>
      </c>
      <c r="L69" cm="1">
        <f t="array" aca="1" ref="L69" ca="1">IFERROR(INDEX(Starlink!$D:$AC, MATCH("Starship V3 BB launches (internal)", Starlink!$A:$A, 0), L$5+1), 0) + IFERROR(INDEX(Starlink!$D:$AC, MATCH("Starship V3 DTC launches (internal)", Starlink!$A:$A, 0), L$5+1), 0) + IFERROR(INDEX(ODC!$D:$AC, MATCH("ODC Starship launches (internal)", ODC!$A:$A, 0), L$5+1), 0)</f>
        <v>0</v>
      </c>
      <c r="M69" cm="1">
        <f t="array" aca="1" ref="M69" ca="1">IFERROR(INDEX(Starlink!$D:$AC, MATCH("Starship V3 BB launches (internal)", Starlink!$A:$A, 0), M$5+1), 0) + IFERROR(INDEX(Starlink!$D:$AC, MATCH("Starship V3 DTC launches (internal)", Starlink!$A:$A, 0), M$5+1), 0) + IFERROR(INDEX(ODC!$D:$AC, MATCH("ODC Starship launches (internal)", ODC!$A:$A, 0), M$5+1), 0)</f>
        <v>0</v>
      </c>
      <c r="N69" cm="1">
        <f t="array" aca="1" ref="N69" ca="1">IFERROR(INDEX(Starlink!$D:$AC, MATCH("Starship V3 BB launches (internal)", Starlink!$A:$A, 0), N$5+1), 0) + IFERROR(INDEX(Starlink!$D:$AC, MATCH("Starship V3 DTC launches (internal)", Starlink!$A:$A, 0), N$5+1), 0) + IFERROR(INDEX(ODC!$D:$AC, MATCH("ODC Starship launches (internal)", ODC!$A:$A, 0), N$5+1), 0)</f>
        <v>0</v>
      </c>
      <c r="O69" cm="1">
        <f t="array" aca="1" ref="O69" ca="1">IFERROR(INDEX(Starlink!$D:$AC, MATCH("Starship V3 BB launches (internal)", Starlink!$A:$A, 0), O$5+1), 0) + IFERROR(INDEX(Starlink!$D:$AC, MATCH("Starship V3 DTC launches (internal)", Starlink!$A:$A, 0), O$5+1), 0) + IFERROR(INDEX(ODC!$D:$AC, MATCH("ODC Starship launches (internal)", ODC!$A:$A, 0), O$5+1), 0)</f>
        <v>0</v>
      </c>
      <c r="P69" cm="1">
        <f t="array" aca="1" ref="P69" ca="1">IFERROR(INDEX(Starlink!$D:$AC, MATCH("Starship V3 BB launches (internal)", Starlink!$A:$A, 0), P$5+1), 0) + IFERROR(INDEX(Starlink!$D:$AC, MATCH("Starship V3 DTC launches (internal)", Starlink!$A:$A, 0), P$5+1), 0) + IFERROR(INDEX(ODC!$D:$AC, MATCH("ODC Starship launches (internal)", ODC!$A:$A, 0), P$5+1), 0)</f>
        <v>0</v>
      </c>
      <c r="Q69" cm="1">
        <f t="array" aca="1" ref="Q69" ca="1">IFERROR(INDEX(Starlink!$D:$AC, MATCH("Starship V3 BB launches (internal)", Starlink!$A:$A, 0), Q$5+1), 0) + IFERROR(INDEX(Starlink!$D:$AC, MATCH("Starship V3 DTC launches (internal)", Starlink!$A:$A, 0), Q$5+1), 0) + IFERROR(INDEX(ODC!$D:$AC, MATCH("ODC Starship launches (internal)", ODC!$A:$A, 0), Q$5+1), 0)</f>
        <v>0</v>
      </c>
      <c r="R69" cm="1">
        <f t="array" aca="1" ref="R69" ca="1">IFERROR(INDEX(Starlink!$D:$AC, MATCH("Starship V3 BB launches (internal)", Starlink!$A:$A, 0), R$5+1), 0) + IFERROR(INDEX(Starlink!$D:$AC, MATCH("Starship V3 DTC launches (internal)", Starlink!$A:$A, 0), R$5+1), 0) + IFERROR(INDEX(ODC!$D:$AC, MATCH("ODC Starship launches (internal)", ODC!$A:$A, 0), R$5+1), 0)</f>
        <v>0</v>
      </c>
      <c r="S69" cm="1">
        <f t="array" aca="1" ref="S69" ca="1">IFERROR(INDEX(Starlink!$D:$AC, MATCH("Starship V3 BB launches (internal)", Starlink!$A:$A, 0), S$5+1), 0) + IFERROR(INDEX(Starlink!$D:$AC, MATCH("Starship V3 DTC launches (internal)", Starlink!$A:$A, 0), S$5+1), 0) + IFERROR(INDEX(ODC!$D:$AC, MATCH("ODC Starship launches (internal)", ODC!$A:$A, 0), S$5+1), 0)</f>
        <v>0</v>
      </c>
      <c r="T69" cm="1">
        <f t="array" aca="1" ref="T69" ca="1">IFERROR(INDEX(Starlink!$D:$AC, MATCH("Starship V3 BB launches (internal)", Starlink!$A:$A, 0), T$5+1), 0) + IFERROR(INDEX(Starlink!$D:$AC, MATCH("Starship V3 DTC launches (internal)", Starlink!$A:$A, 0), T$5+1), 0) + IFERROR(INDEX(ODC!$D:$AC, MATCH("ODC Starship launches (internal)", ODC!$A:$A, 0), T$5+1), 0)</f>
        <v>0</v>
      </c>
      <c r="U69" cm="1">
        <f t="array" aca="1" ref="U69" ca="1">IFERROR(INDEX(Starlink!$D:$AC, MATCH("Starship V3 BB launches (internal)", Starlink!$A:$A, 0), U$5+1), 0) + IFERROR(INDEX(Starlink!$D:$AC, MATCH("Starship V3 DTC launches (internal)", Starlink!$A:$A, 0), U$5+1), 0) + IFERROR(INDEX(ODC!$D:$AC, MATCH("ODC Starship launches (internal)", ODC!$A:$A, 0), U$5+1), 0)</f>
        <v>0</v>
      </c>
      <c r="V69" cm="1">
        <f t="array" aca="1" ref="V69" ca="1">IFERROR(INDEX(Starlink!$D:$AC, MATCH("Starship V3 BB launches (internal)", Starlink!$A:$A, 0), V$5+1), 0) + IFERROR(INDEX(Starlink!$D:$AC, MATCH("Starship V3 DTC launches (internal)", Starlink!$A:$A, 0), V$5+1), 0) + IFERROR(INDEX(ODC!$D:$AC, MATCH("ODC Starship launches (internal)", ODC!$A:$A, 0), V$5+1), 0)</f>
        <v>0</v>
      </c>
      <c r="W69" cm="1">
        <f t="array" aca="1" ref="W69" ca="1">IFERROR(INDEX(Starlink!$D:$AC, MATCH("Starship V3 BB launches (internal)", Starlink!$A:$A, 0), W$5+1), 0) + IFERROR(INDEX(Starlink!$D:$AC, MATCH("Starship V3 DTC launches (internal)", Starlink!$A:$A, 0), W$5+1), 0) + IFERROR(INDEX(ODC!$D:$AC, MATCH("ODC Starship launches (internal)", ODC!$A:$A, 0), W$5+1), 0)</f>
        <v>0</v>
      </c>
      <c r="X69" cm="1">
        <f t="array" aca="1" ref="X69" ca="1">IFERROR(INDEX(Starlink!$D:$AC, MATCH("Starship V3 BB launches (internal)", Starlink!$A:$A, 0), X$5+1), 0) + IFERROR(INDEX(Starlink!$D:$AC, MATCH("Starship V3 DTC launches (internal)", Starlink!$A:$A, 0), X$5+1), 0) + IFERROR(INDEX(ODC!$D:$AC, MATCH("ODC Starship launches (internal)", ODC!$A:$A, 0), X$5+1), 0)</f>
        <v>0</v>
      </c>
      <c r="Y69" cm="1">
        <f t="array" aca="1" ref="Y69" ca="1">IFERROR(INDEX(Starlink!$D:$AC, MATCH("Starship V3 BB launches (internal)", Starlink!$A:$A, 0), Y$5+1), 0) + IFERROR(INDEX(Starlink!$D:$AC, MATCH("Starship V3 DTC launches (internal)", Starlink!$A:$A, 0), Y$5+1), 0) + IFERROR(INDEX(ODC!$D:$AC, MATCH("ODC Starship launches (internal)", ODC!$A:$A, 0), Y$5+1), 0)</f>
        <v>0</v>
      </c>
      <c r="Z69" cm="1">
        <f t="array" aca="1" ref="Z69" ca="1">IFERROR(INDEX(Starlink!$D:$AC, MATCH("Starship V3 BB launches (internal)", Starlink!$A:$A, 0), Z$5+1), 0) + IFERROR(INDEX(Starlink!$D:$AC, MATCH("Starship V3 DTC launches (internal)", Starlink!$A:$A, 0), Z$5+1), 0) + IFERROR(INDEX(ODC!$D:$AC, MATCH("ODC Starship launches (internal)", ODC!$A:$A, 0), Z$5+1), 0)</f>
        <v>0</v>
      </c>
      <c r="AA69" cm="1">
        <f t="array" aca="1" ref="AA69" ca="1">IFERROR(INDEX(Starlink!$D:$AC, MATCH("Starship V3 BB launches (internal)", Starlink!$A:$A, 0), AA$5+1), 0) + IFERROR(INDEX(Starlink!$D:$AC, MATCH("Starship V3 DTC launches (internal)", Starlink!$A:$A, 0), AA$5+1), 0) + IFERROR(INDEX(ODC!$D:$AC, MATCH("ODC Starship launches (internal)", ODC!$A:$A, 0), AA$5+1), 0)</f>
        <v>0</v>
      </c>
      <c r="AB69" cm="1">
        <f t="array" aca="1" ref="AB69" ca="1">IFERROR(INDEX(Starlink!$D:$AC, MATCH("Starship V3 BB launches (internal)", Starlink!$A:$A, 0), AB$5+1), 0) + IFERROR(INDEX(Starlink!$D:$AC, MATCH("Starship V3 DTC launches (internal)", Starlink!$A:$A, 0), AB$5+1), 0) + IFERROR(INDEX(ODC!$D:$AC, MATCH("ODC Starship launches (internal)", ODC!$A:$A, 0), AB$5+1), 0)</f>
        <v>0</v>
      </c>
      <c r="AC69" cm="1">
        <f t="array" aca="1" ref="AC69" ca="1">IFERROR(INDEX(Starlink!$D:$AC, MATCH("Starship V3 BB launches (internal)", Starlink!$A:$A, 0), AC$5+1), 0) + IFERROR(INDEX(Starlink!$D:$AC, MATCH("Starship V3 DTC launches (internal)", Starlink!$A:$A, 0), AC$5+1), 0) + IFERROR(INDEX(ODC!$D:$AC, MATCH("ODC Starship launches (internal)", ODC!$A:$A, 0), AC$5+1), 0)</f>
        <v>0</v>
      </c>
    </row>
    <row r="70" spans="1:29" x14ac:dyDescent="0.2">
      <c r="A70" t="s">
        <v>758</v>
      </c>
      <c r="D70" s="35" cm="1">
        <f t="array" aca="1" ref="D70" ca="1">D68*D36 + D69*INDEX('Launch Capacity'!$D:$AC, MATCH("Starship at-cost rate ($mm/launch)", 'Launch Capacity'!$A:$A, 0), D$5+1)</f>
        <v>2289.75</v>
      </c>
      <c r="E70" s="35" cm="1">
        <f t="array" aca="1" ref="E70" ca="1">E68*E36 + E69*INDEX('Launch Capacity'!$D:$AC, MATCH("Starship at-cost rate ($mm/launch)", 'Launch Capacity'!$A:$A, 0), E$5+1)</f>
        <v>0</v>
      </c>
      <c r="F70" s="35" cm="1">
        <f t="array" aca="1" ref="F70" ca="1">F68*F36 + F69*INDEX('Launch Capacity'!$D:$AC, MATCH("Starship at-cost rate ($mm/launch)", 'Launch Capacity'!$A:$A, 0), F$5+1)</f>
        <v>0</v>
      </c>
      <c r="G70" s="35" cm="1">
        <f t="array" aca="1" ref="G70" ca="1">G68*G36 + G69*INDEX('Launch Capacity'!$D:$AC, MATCH("Starship at-cost rate ($mm/launch)", 'Launch Capacity'!$A:$A, 0), G$5+1)</f>
        <v>0</v>
      </c>
      <c r="H70" s="35" cm="1">
        <f t="array" aca="1" ref="H70" ca="1">H68*H36 + H69*INDEX('Launch Capacity'!$D:$AC, MATCH("Starship at-cost rate ($mm/launch)", 'Launch Capacity'!$A:$A, 0), H$5+1)</f>
        <v>0</v>
      </c>
      <c r="I70" s="35" cm="1">
        <f t="array" aca="1" ref="I70" ca="1">I68*I36 + I69*INDEX('Launch Capacity'!$D:$AC, MATCH("Starship at-cost rate ($mm/launch)", 'Launch Capacity'!$A:$A, 0), I$5+1)</f>
        <v>0</v>
      </c>
      <c r="J70" s="35" cm="1">
        <f t="array" aca="1" ref="J70" ca="1">J68*J36 + J69*INDEX('Launch Capacity'!$D:$AC, MATCH("Starship at-cost rate ($mm/launch)", 'Launch Capacity'!$A:$A, 0), J$5+1)</f>
        <v>0</v>
      </c>
      <c r="K70" s="35" cm="1">
        <f t="array" aca="1" ref="K70" ca="1">K68*K36 + K69*INDEX('Launch Capacity'!$D:$AC, MATCH("Starship at-cost rate ($mm/launch)", 'Launch Capacity'!$A:$A, 0), K$5+1)</f>
        <v>0</v>
      </c>
      <c r="L70" s="35" cm="1">
        <f t="array" aca="1" ref="L70" ca="1">L68*L36 + L69*INDEX('Launch Capacity'!$D:$AC, MATCH("Starship at-cost rate ($mm/launch)", 'Launch Capacity'!$A:$A, 0), L$5+1)</f>
        <v>0</v>
      </c>
      <c r="M70" s="35" cm="1">
        <f t="array" aca="1" ref="M70" ca="1">M68*M36 + M69*INDEX('Launch Capacity'!$D:$AC, MATCH("Starship at-cost rate ($mm/launch)", 'Launch Capacity'!$A:$A, 0), M$5+1)</f>
        <v>0</v>
      </c>
      <c r="N70" s="35" cm="1">
        <f t="array" aca="1" ref="N70" ca="1">N68*N36 + N69*INDEX('Launch Capacity'!$D:$AC, MATCH("Starship at-cost rate ($mm/launch)", 'Launch Capacity'!$A:$A, 0), N$5+1)</f>
        <v>0</v>
      </c>
      <c r="O70" s="35" cm="1">
        <f t="array" aca="1" ref="O70" ca="1">O68*O36 + O69*INDEX('Launch Capacity'!$D:$AC, MATCH("Starship at-cost rate ($mm/launch)", 'Launch Capacity'!$A:$A, 0), O$5+1)</f>
        <v>0</v>
      </c>
      <c r="P70" s="35" cm="1">
        <f t="array" aca="1" ref="P70" ca="1">P68*P36 + P69*INDEX('Launch Capacity'!$D:$AC, MATCH("Starship at-cost rate ($mm/launch)", 'Launch Capacity'!$A:$A, 0), P$5+1)</f>
        <v>0</v>
      </c>
      <c r="Q70" s="35" cm="1">
        <f t="array" aca="1" ref="Q70" ca="1">Q68*Q36 + Q69*INDEX('Launch Capacity'!$D:$AC, MATCH("Starship at-cost rate ($mm/launch)", 'Launch Capacity'!$A:$A, 0), Q$5+1)</f>
        <v>0</v>
      </c>
      <c r="R70" s="35" cm="1">
        <f t="array" aca="1" ref="R70" ca="1">R68*R36 + R69*INDEX('Launch Capacity'!$D:$AC, MATCH("Starship at-cost rate ($mm/launch)", 'Launch Capacity'!$A:$A, 0), R$5+1)</f>
        <v>0</v>
      </c>
      <c r="S70" s="35" cm="1">
        <f t="array" aca="1" ref="S70" ca="1">S68*S36 + S69*INDEX('Launch Capacity'!$D:$AC, MATCH("Starship at-cost rate ($mm/launch)", 'Launch Capacity'!$A:$A, 0), S$5+1)</f>
        <v>0</v>
      </c>
      <c r="T70" s="35" cm="1">
        <f t="array" aca="1" ref="T70" ca="1">T68*T36 + T69*INDEX('Launch Capacity'!$D:$AC, MATCH("Starship at-cost rate ($mm/launch)", 'Launch Capacity'!$A:$A, 0), T$5+1)</f>
        <v>0</v>
      </c>
      <c r="U70" s="35" cm="1">
        <f t="array" aca="1" ref="U70" ca="1">U68*U36 + U69*INDEX('Launch Capacity'!$D:$AC, MATCH("Starship at-cost rate ($mm/launch)", 'Launch Capacity'!$A:$A, 0), U$5+1)</f>
        <v>0</v>
      </c>
      <c r="V70" s="35" cm="1">
        <f t="array" aca="1" ref="V70" ca="1">V68*V36 + V69*INDEX('Launch Capacity'!$D:$AC, MATCH("Starship at-cost rate ($mm/launch)", 'Launch Capacity'!$A:$A, 0), V$5+1)</f>
        <v>0</v>
      </c>
      <c r="W70" s="35" cm="1">
        <f t="array" aca="1" ref="W70" ca="1">W68*W36 + W69*INDEX('Launch Capacity'!$D:$AC, MATCH("Starship at-cost rate ($mm/launch)", 'Launch Capacity'!$A:$A, 0), W$5+1)</f>
        <v>0</v>
      </c>
      <c r="X70" s="35" cm="1">
        <f t="array" aca="1" ref="X70" ca="1">X68*X36 + X69*INDEX('Launch Capacity'!$D:$AC, MATCH("Starship at-cost rate ($mm/launch)", 'Launch Capacity'!$A:$A, 0), X$5+1)</f>
        <v>0</v>
      </c>
      <c r="Y70" s="35" cm="1">
        <f t="array" aca="1" ref="Y70" ca="1">Y68*Y36 + Y69*INDEX('Launch Capacity'!$D:$AC, MATCH("Starship at-cost rate ($mm/launch)", 'Launch Capacity'!$A:$A, 0), Y$5+1)</f>
        <v>0</v>
      </c>
      <c r="Z70" s="35" cm="1">
        <f t="array" aca="1" ref="Z70" ca="1">Z68*Z36 + Z69*INDEX('Launch Capacity'!$D:$AC, MATCH("Starship at-cost rate ($mm/launch)", 'Launch Capacity'!$A:$A, 0), Z$5+1)</f>
        <v>0</v>
      </c>
      <c r="AA70" s="35" cm="1">
        <f t="array" aca="1" ref="AA70" ca="1">AA68*AA36 + AA69*INDEX('Launch Capacity'!$D:$AC, MATCH("Starship at-cost rate ($mm/launch)", 'Launch Capacity'!$A:$A, 0), AA$5+1)</f>
        <v>0</v>
      </c>
      <c r="AB70" s="35" cm="1">
        <f t="array" aca="1" ref="AB70" ca="1">AB68*AB36 + AB69*INDEX('Launch Capacity'!$D:$AC, MATCH("Starship at-cost rate ($mm/launch)", 'Launch Capacity'!$A:$A, 0), AB$5+1)</f>
        <v>0</v>
      </c>
      <c r="AC70" s="35" cm="1">
        <f t="array" aca="1" ref="AC70" ca="1">AC68*AC36 + AC69*INDEX('Launch Capacity'!$D:$AC, MATCH("Starship at-cost rate ($mm/launch)", 'Launch Capacity'!$A:$A, 0), AC$5+1)</f>
        <v>0</v>
      </c>
    </row>
    <row r="82" spans="1:29" x14ac:dyDescent="0.2">
      <c r="A82" s="21" t="s">
        <v>734</v>
      </c>
    </row>
    <row r="83" spans="1:29" x14ac:dyDescent="0.2">
      <c r="A83" t="s">
        <v>604</v>
      </c>
      <c r="D83" s="35">
        <f ca="1">D33+D48+D70</f>
        <v>6572.13</v>
      </c>
      <c r="E83" s="35">
        <f t="shared" ref="E83:AC83" ca="1" si="4">E33+E48+E70</f>
        <v>4361.6040300000004</v>
      </c>
      <c r="F83" s="35">
        <f t="shared" ca="1" si="4"/>
        <v>4358.210007477629</v>
      </c>
      <c r="G83" s="35">
        <f t="shared" ca="1" si="4"/>
        <v>4338.2492255284515</v>
      </c>
      <c r="H83" s="35">
        <f t="shared" ca="1" si="4"/>
        <v>4288.8933531518524</v>
      </c>
      <c r="I83" s="35">
        <f t="shared" ca="1" si="4"/>
        <v>4122.8072363190076</v>
      </c>
      <c r="J83" s="35">
        <f t="shared" ca="1" si="4"/>
        <v>3983.9973385802405</v>
      </c>
      <c r="K83" s="35">
        <f t="shared" ca="1" si="4"/>
        <v>4030.6499790518137</v>
      </c>
      <c r="L83" s="35">
        <f t="shared" ca="1" si="4"/>
        <v>3052.5817327326345</v>
      </c>
      <c r="M83" s="35">
        <f t="shared" ca="1" si="4"/>
        <v>4040.0105875544295</v>
      </c>
      <c r="N83" s="35">
        <f t="shared" ca="1" si="4"/>
        <v>2630.2850050722991</v>
      </c>
      <c r="O83" s="35">
        <f t="shared" ca="1" si="4"/>
        <v>2196.554507819455</v>
      </c>
      <c r="P83" s="35">
        <f t="shared" ca="1" si="4"/>
        <v>4135.76245955378</v>
      </c>
      <c r="Q83" s="35">
        <f t="shared" ca="1" si="4"/>
        <v>1922.816593223982</v>
      </c>
      <c r="R83" s="35">
        <f t="shared" ca="1" si="4"/>
        <v>3969.0950824886386</v>
      </c>
      <c r="S83" s="35">
        <f t="shared" ca="1" si="4"/>
        <v>1886.3818767291466</v>
      </c>
      <c r="T83" s="35">
        <f t="shared" ca="1" si="4"/>
        <v>1873.7163503810875</v>
      </c>
      <c r="U83" s="35">
        <f t="shared" ca="1" si="4"/>
        <v>4404.321390765369</v>
      </c>
      <c r="V83" s="35">
        <f t="shared" ca="1" si="4"/>
        <v>1860.4391304726603</v>
      </c>
      <c r="W83" s="35">
        <f t="shared" ca="1" si="4"/>
        <v>3716.4857382509845</v>
      </c>
      <c r="X83" s="35">
        <f t="shared" ca="1" si="4"/>
        <v>3458.9101263609605</v>
      </c>
      <c r="Y83" s="35">
        <f t="shared" ca="1" si="4"/>
        <v>1850.2910100508213</v>
      </c>
      <c r="Z83" s="35">
        <f t="shared" ca="1" si="4"/>
        <v>4732.2173351977435</v>
      </c>
      <c r="AA83" s="35">
        <f t="shared" ca="1" si="4"/>
        <v>1834.9894607650131</v>
      </c>
      <c r="AB83" s="35">
        <f t="shared" ca="1" si="4"/>
        <v>3087.2372680021163</v>
      </c>
      <c r="AC83" s="35">
        <f t="shared" ca="1" si="4"/>
        <v>4866.9493009279158</v>
      </c>
    </row>
    <row r="84" spans="1:29" x14ac:dyDescent="0.2">
      <c r="A84" s="34" t="s">
        <v>759</v>
      </c>
    </row>
    <row r="85" spans="1:29" x14ac:dyDescent="0.2">
      <c r="A85" t="s">
        <v>760</v>
      </c>
      <c r="D85" s="35">
        <f ca="1">(D25+D68)*D34</f>
        <v>2873.9969999999994</v>
      </c>
      <c r="E85" s="35">
        <f t="shared" ref="E85:AC85" ca="1" si="5">(E25+E68)*E34</f>
        <v>694.72934999999995</v>
      </c>
      <c r="F85" s="35">
        <f t="shared" ca="1" si="5"/>
        <v>689.64817068302705</v>
      </c>
      <c r="G85" s="35">
        <f t="shared" ca="1" si="5"/>
        <v>693.3715790996132</v>
      </c>
      <c r="H85" s="35">
        <f t="shared" ca="1" si="5"/>
        <v>690.18011828207068</v>
      </c>
      <c r="I85" s="35">
        <f t="shared" ca="1" si="5"/>
        <v>646.3619111290194</v>
      </c>
      <c r="J85" s="35">
        <f t="shared" ca="1" si="5"/>
        <v>615.89649521052797</v>
      </c>
      <c r="K85" s="35">
        <f t="shared" ca="1" si="5"/>
        <v>649.02357317545932</v>
      </c>
      <c r="L85" s="35">
        <f t="shared" ca="1" si="5"/>
        <v>332.68889803897207</v>
      </c>
      <c r="M85" s="35">
        <f t="shared" ca="1" si="5"/>
        <v>687.81651982761684</v>
      </c>
      <c r="N85" s="35">
        <f t="shared" ca="1" si="5"/>
        <v>219.76844406052112</v>
      </c>
      <c r="O85" s="35">
        <f t="shared" ca="1" si="5"/>
        <v>87.499011119361114</v>
      </c>
      <c r="P85" s="35">
        <f t="shared" ca="1" si="5"/>
        <v>771.09597910075604</v>
      </c>
      <c r="Q85" s="35">
        <f t="shared" ca="1" si="5"/>
        <v>0</v>
      </c>
      <c r="R85" s="35">
        <f t="shared" ca="1" si="5"/>
        <v>748.77999441619954</v>
      </c>
      <c r="S85" s="35">
        <f t="shared" ca="1" si="5"/>
        <v>0</v>
      </c>
      <c r="T85" s="35">
        <f t="shared" ca="1" si="5"/>
        <v>0</v>
      </c>
      <c r="U85" s="35">
        <f t="shared" ca="1" si="5"/>
        <v>968.9304506037123</v>
      </c>
      <c r="V85" s="35">
        <f t="shared" ca="1" si="5"/>
        <v>0</v>
      </c>
      <c r="W85" s="35">
        <f t="shared" ca="1" si="5"/>
        <v>744.62870631335204</v>
      </c>
      <c r="X85" s="35">
        <f t="shared" ca="1" si="5"/>
        <v>655.0453937346299</v>
      </c>
      <c r="Y85" s="35">
        <f t="shared" ca="1" si="5"/>
        <v>0</v>
      </c>
      <c r="Z85" s="35">
        <f t="shared" ca="1" si="5"/>
        <v>1227.6667863384475</v>
      </c>
      <c r="AA85" s="35">
        <f t="shared" ca="1" si="5"/>
        <v>0</v>
      </c>
      <c r="AB85" s="35">
        <f t="shared" ca="1" si="5"/>
        <v>563.16680362048044</v>
      </c>
      <c r="AC85" s="35">
        <f t="shared" ca="1" si="5"/>
        <v>1378.4958447886072</v>
      </c>
    </row>
    <row r="86" spans="1:29" x14ac:dyDescent="0.2">
      <c r="A86" t="s">
        <v>761</v>
      </c>
      <c r="D86" s="35">
        <f ca="1">(D25+D68)*D35</f>
        <v>100.54799999999999</v>
      </c>
      <c r="E86" s="35">
        <f t="shared" ref="E86:AC86" ca="1" si="6">(E25+E68)*E35</f>
        <v>24.305399999999999</v>
      </c>
      <c r="F86" s="35">
        <f t="shared" ca="1" si="6"/>
        <v>24.127632793575291</v>
      </c>
      <c r="G86" s="35">
        <f t="shared" ca="1" si="6"/>
        <v>24.257897811065185</v>
      </c>
      <c r="H86" s="35">
        <f t="shared" ca="1" si="6"/>
        <v>24.146243205203639</v>
      </c>
      <c r="I86" s="35">
        <f t="shared" ca="1" si="6"/>
        <v>22.613244704222257</v>
      </c>
      <c r="J86" s="35">
        <f t="shared" ca="1" si="6"/>
        <v>21.547399249347915</v>
      </c>
      <c r="K86" s="35">
        <f t="shared" ca="1" si="6"/>
        <v>22.706364076109363</v>
      </c>
      <c r="L86" s="35">
        <f t="shared" ca="1" si="6"/>
        <v>11.639261738972785</v>
      </c>
      <c r="M86" s="35">
        <f t="shared" ca="1" si="6"/>
        <v>24.063551714085722</v>
      </c>
      <c r="N86" s="35">
        <f t="shared" ca="1" si="6"/>
        <v>7.688691920484704</v>
      </c>
      <c r="O86" s="35">
        <f t="shared" ca="1" si="6"/>
        <v>3.0611898933887276</v>
      </c>
      <c r="P86" s="35">
        <f t="shared" ca="1" si="6"/>
        <v>26.977118802358813</v>
      </c>
      <c r="Q86" s="35">
        <f t="shared" ca="1" si="6"/>
        <v>0</v>
      </c>
      <c r="R86" s="35">
        <f t="shared" ca="1" si="6"/>
        <v>26.196384644298529</v>
      </c>
      <c r="S86" s="35">
        <f t="shared" ca="1" si="6"/>
        <v>0</v>
      </c>
      <c r="T86" s="35">
        <f t="shared" ca="1" si="6"/>
        <v>0</v>
      </c>
      <c r="U86" s="35">
        <f t="shared" ca="1" si="6"/>
        <v>33.898441420538042</v>
      </c>
      <c r="V86" s="35">
        <f t="shared" ca="1" si="6"/>
        <v>0</v>
      </c>
      <c r="W86" s="35">
        <f t="shared" ca="1" si="6"/>
        <v>26.051150075102694</v>
      </c>
      <c r="X86" s="35">
        <f t="shared" ca="1" si="6"/>
        <v>22.917040014039532</v>
      </c>
      <c r="Y86" s="35">
        <f t="shared" ca="1" si="6"/>
        <v>0</v>
      </c>
      <c r="Z86" s="35">
        <f t="shared" ca="1" si="6"/>
        <v>42.950441504552096</v>
      </c>
      <c r="AA86" s="35">
        <f t="shared" ca="1" si="6"/>
        <v>0</v>
      </c>
      <c r="AB86" s="35">
        <f t="shared" ca="1" si="6"/>
        <v>19.702628698092614</v>
      </c>
      <c r="AC86" s="35">
        <f t="shared" ca="1" si="6"/>
        <v>48.227259875986256</v>
      </c>
    </row>
    <row r="87" spans="1:29" x14ac:dyDescent="0.2">
      <c r="A87" t="s">
        <v>762</v>
      </c>
      <c r="D87" s="35" cm="1">
        <f t="array" aca="1" ref="D87" ca="1">(D24+D69)*INDEX('Launch Capacity'!$D:$AC, MATCH("Starship ops + fuel + refurb cost per launch ($mm, this year)", 'Launch Capacity'!$A:$A, 0), D$5+1)</f>
        <v>0</v>
      </c>
      <c r="E87" s="35" cm="1">
        <f t="array" aca="1" ref="E87" ca="1">(E24+E69)*INDEX('Launch Capacity'!$D:$AC, MATCH("Starship ops + fuel + refurb cost per launch ($mm, this year)", 'Launch Capacity'!$A:$A, 0), E$5+1)</f>
        <v>0</v>
      </c>
      <c r="F87" s="35" cm="1">
        <f t="array" aca="1" ref="F87" ca="1">(F24+F69)*INDEX('Launch Capacity'!$D:$AC, MATCH("Starship ops + fuel + refurb cost per launch ($mm, this year)", 'Launch Capacity'!$A:$A, 0), F$5+1)</f>
        <v>26.99409526907943</v>
      </c>
      <c r="G87" s="35" cm="1">
        <f t="array" aca="1" ref="G87" ca="1">(G24+G69)*INDEX('Launch Capacity'!$D:$AC, MATCH("Starship ops + fuel + refurb cost per launch ($mm, this year)", 'Launch Capacity'!$A:$A, 0), G$5+1)</f>
        <v>47.35935032741439</v>
      </c>
      <c r="H87" s="35" cm="1">
        <f t="array" aca="1" ref="H87" ca="1">(H24+H69)*INDEX('Launch Capacity'!$D:$AC, MATCH("Starship ops + fuel + refurb cost per launch ($mm, this year)", 'Launch Capacity'!$A:$A, 0), H$5+1)</f>
        <v>72.012131384030397</v>
      </c>
      <c r="I87" s="35" cm="1">
        <f t="array" aca="1" ref="I87" ca="1">(I24+I69)*INDEX('Launch Capacity'!$D:$AC, MATCH("Starship ops + fuel + refurb cost per launch ($mm, this year)", 'Launch Capacity'!$A:$A, 0), I$5+1)</f>
        <v>122.23534381917601</v>
      </c>
      <c r="J87" s="35" cm="1">
        <f t="array" aca="1" ref="J87" ca="1">(J24+J69)*INDEX('Launch Capacity'!$D:$AC, MATCH("Starship ops + fuel + refurb cost per launch ($mm, this year)", 'Launch Capacity'!$A:$A, 0), J$5+1)</f>
        <v>162.62891255688271</v>
      </c>
      <c r="K87" s="35" cm="1">
        <f t="array" aca="1" ref="K87" ca="1">(K24+K69)*INDEX('Launch Capacity'!$D:$AC, MATCH("Starship ops + fuel + refurb cost per launch ($mm, this year)", 'Launch Capacity'!$A:$A, 0), K$5+1)</f>
        <v>165.78925012658601</v>
      </c>
      <c r="L87" s="35" cm="1">
        <f t="array" aca="1" ref="L87" ca="1">(L24+L69)*INDEX('Launch Capacity'!$D:$AC, MATCH("Starship ops + fuel + refurb cost per launch ($mm, this year)", 'Launch Capacity'!$A:$A, 0), L$5+1)</f>
        <v>376.004762479215</v>
      </c>
      <c r="M87" s="35" cm="1">
        <f t="array" aca="1" ref="M87" ca="1">(M24+M69)*INDEX('Launch Capacity'!$D:$AC, MATCH("Starship ops + fuel + refurb cost per launch ($mm, this year)", 'Launch Capacity'!$A:$A, 0), M$5+1)</f>
        <v>190.75354074652688</v>
      </c>
      <c r="N87" s="35" cm="1">
        <f t="array" aca="1" ref="N87" ca="1">(N24+N69)*INDEX('Launch Capacity'!$D:$AC, MATCH("Starship ops + fuel + refurb cost per launch ($mm, this year)", 'Launch Capacity'!$A:$A, 0), N$5+1)</f>
        <v>483.3323110945849</v>
      </c>
      <c r="O87" s="35" cm="1">
        <f t="array" aca="1" ref="O87" ca="1">(O24+O69)*INDEX('Launch Capacity'!$D:$AC, MATCH("Starship ops + fuel + refurb cost per launch ($mm, this year)", 'Launch Capacity'!$A:$A, 0), O$5+1)</f>
        <v>574.54616706876232</v>
      </c>
      <c r="P87" s="35" cm="1">
        <f t="array" aca="1" ref="P87" ca="1">(P24+P69)*INDEX('Launch Capacity'!$D:$AC, MATCH("Starship ops + fuel + refurb cost per launch ($mm, this year)", 'Launch Capacity'!$A:$A, 0), P$5+1)</f>
        <v>226.14357745878931</v>
      </c>
      <c r="Q87" s="35" cm="1">
        <f t="array" aca="1" ref="Q87" ca="1">(Q24+Q69)*INDEX('Launch Capacity'!$D:$AC, MATCH("Starship ops + fuel + refurb cost per launch ($mm, this year)", 'Launch Capacity'!$A:$A, 0), Q$5+1)</f>
        <v>676.39941220145363</v>
      </c>
      <c r="R87" s="35" cm="1">
        <f t="array" aca="1" ref="R87" ca="1">(R24+R69)*INDEX('Launch Capacity'!$D:$AC, MATCH("Starship ops + fuel + refurb cost per launch ($mm, this year)", 'Launch Capacity'!$A:$A, 0), R$5+1)</f>
        <v>296.74175666060756</v>
      </c>
      <c r="S87" s="35" cm="1">
        <f t="array" aca="1" ref="S87" ca="1">(S24+S69)*INDEX('Launch Capacity'!$D:$AC, MATCH("Starship ops + fuel + refurb cost per launch ($mm, this year)", 'Launch Capacity'!$A:$A, 0), S$5+1)</f>
        <v>727.27577951201158</v>
      </c>
      <c r="T87" s="35" cm="1">
        <f t="array" aca="1" ref="T87" ca="1">(T24+T69)*INDEX('Launch Capacity'!$D:$AC, MATCH("Starship ops + fuel + refurb cost per launch ($mm, this year)", 'Launch Capacity'!$A:$A, 0), T$5+1)</f>
        <v>755.01528510032915</v>
      </c>
      <c r="U87" s="35" cm="1">
        <f t="array" aca="1" ref="U87" ca="1">(U24+U69)*INDEX('Launch Capacity'!$D:$AC, MATCH("Starship ops + fuel + refurb cost per launch ($mm, this year)", 'Launch Capacity'!$A:$A, 0), U$5+1)</f>
        <v>281.46898285491983</v>
      </c>
      <c r="V87" s="35" cm="1">
        <f t="array" aca="1" ref="V87" ca="1">(V24+V69)*INDEX('Launch Capacity'!$D:$AC, MATCH("Starship ops + fuel + refurb cost per launch ($mm, this year)", 'Launch Capacity'!$A:$A, 0), V$5+1)</f>
        <v>818.5013482558038</v>
      </c>
      <c r="W87" s="35" cm="1">
        <f t="array" aca="1" ref="W87" ca="1">(W24+W69)*INDEX('Launch Capacity'!$D:$AC, MATCH("Starship ops + fuel + refurb cost per launch ($mm, this year)", 'Launch Capacity'!$A:$A, 0), W$5+1)</f>
        <v>466.9046498303295</v>
      </c>
      <c r="X87" s="35" cm="1">
        <f t="array" aca="1" ref="X87" ca="1">(X24+X69)*INDEX('Launch Capacity'!$D:$AC, MATCH("Starship ops + fuel + refurb cost per launch ($mm, this year)", 'Launch Capacity'!$A:$A, 0), X$5+1)</f>
        <v>554.10095389396145</v>
      </c>
      <c r="Y87" s="35" cm="1">
        <f t="array" aca="1" ref="Y87" ca="1">(Y24+Y69)*INDEX('Launch Capacity'!$D:$AC, MATCH("Starship ops + fuel + refurb cost per launch ($mm, this year)", 'Launch Capacity'!$A:$A, 0), Y$5+1)</f>
        <v>927.603274670769</v>
      </c>
      <c r="Z87" s="35" cm="1">
        <f t="array" aca="1" ref="Z87" ca="1">(Z24+Z69)*INDEX('Launch Capacity'!$D:$AC, MATCH("Starship ops + fuel + refurb cost per launch ($mm, this year)", 'Launch Capacity'!$A:$A, 0), Z$5+1)</f>
        <v>349.32896584626781</v>
      </c>
      <c r="AA87" s="35" cm="1">
        <f t="array" aca="1" ref="AA87" ca="1">(AA24+AA69)*INDEX('Launch Capacity'!$D:$AC, MATCH("Starship ops + fuel + refurb cost per launch ($mm, this year)", 'Launch Capacity'!$A:$A, 0), AA$5+1)</f>
        <v>1002.9748324386414</v>
      </c>
      <c r="AB87" s="35" cm="1">
        <f t="array" aca="1" ref="AB87" ca="1">(AB24+AB69)*INDEX('Launch Capacity'!$D:$AC, MATCH("Starship ops + fuel + refurb cost per launch ($mm, this year)", 'Launch Capacity'!$A:$A, 0), AB$5+1)</f>
        <v>760.9910797439311</v>
      </c>
      <c r="AC87" s="35" cm="1">
        <f t="array" aca="1" ref="AC87" ca="1">(AC24+AC69)*INDEX('Launch Capacity'!$D:$AC, MATCH("Starship ops + fuel + refurb cost per launch ($mm, this year)", 'Launch Capacity'!$A:$A, 0), AC$5+1)</f>
        <v>417.66562568211361</v>
      </c>
    </row>
    <row r="88" spans="1:29" x14ac:dyDescent="0.2">
      <c r="A88" t="s">
        <v>763</v>
      </c>
      <c r="D88" s="35" cm="1">
        <f t="array" aca="1" ref="D88" ca="1">(D24+D69)*INDEX('Launch Capacity'!$D:$AC, MATCH("Starship D&amp;A share per launch, fully reusable mode ($mm)", 'Launch Capacity'!$A:$A, 0), D$5+1)</f>
        <v>0</v>
      </c>
      <c r="E88" s="35" cm="1">
        <f t="array" aca="1" ref="E88" ca="1">(E24+E69)*INDEX('Launch Capacity'!$D:$AC, MATCH("Starship D&amp;A share per launch, fully reusable mode ($mm)", 'Launch Capacity'!$A:$A, 0), E$5+1)</f>
        <v>0</v>
      </c>
      <c r="F88" s="35" cm="1">
        <f t="array" aca="1" ref="F88" ca="1">(F24+F69)*INDEX('Launch Capacity'!$D:$AC, MATCH("Starship D&amp;A share per launch, fully reusable mode ($mm)", 'Launch Capacity'!$A:$A, 0), F$5+1)</f>
        <v>12.604252866576536</v>
      </c>
      <c r="G88" s="35" cm="1">
        <f t="array" aca="1" ref="G88" ca="1">(G24+G69)*INDEX('Launch Capacity'!$D:$AC, MATCH("Starship D&amp;A share per launch, fully reusable mode ($mm)", 'Launch Capacity'!$A:$A, 0), G$5+1)</f>
        <v>15.961034641430858</v>
      </c>
      <c r="H88" s="35" cm="1">
        <f t="array" aca="1" ref="H88" ca="1">(H24+H69)*INDEX('Launch Capacity'!$D:$AC, MATCH("Starship D&amp;A share per launch, fully reusable mode ($mm)", 'Launch Capacity'!$A:$A, 0), H$5+1)</f>
        <v>19.070062363852195</v>
      </c>
      <c r="I88" s="35" cm="1">
        <f t="array" aca="1" ref="I88" ca="1">(I24+I69)*INDEX('Launch Capacity'!$D:$AC, MATCH("Starship D&amp;A share per launch, fully reusable mode ($mm)", 'Launch Capacity'!$A:$A, 0), I$5+1)</f>
        <v>28.545012289493659</v>
      </c>
      <c r="J88" s="35" cm="1">
        <f t="array" aca="1" ref="J88" ca="1">(J24+J69)*INDEX('Launch Capacity'!$D:$AC, MATCH("Starship D&amp;A share per launch, fully reusable mode ($mm)", 'Launch Capacity'!$A:$A, 0), J$5+1)</f>
        <v>34.2166638964231</v>
      </c>
      <c r="K88" s="35" cm="1">
        <f t="array" aca="1" ref="K88" ca="1">(K24+K69)*INDEX('Launch Capacity'!$D:$AC, MATCH("Starship D&amp;A share per launch, fully reusable mode ($mm)", 'Launch Capacity'!$A:$A, 0), K$5+1)</f>
        <v>31.248147944532036</v>
      </c>
      <c r="L88" s="35" cm="1">
        <f t="array" aca="1" ref="L88" ca="1">(L24+L69)*INDEX('Launch Capacity'!$D:$AC, MATCH("Starship D&amp;A share per launch, fully reusable mode ($mm)", 'Launch Capacity'!$A:$A, 0), L$5+1)</f>
        <v>64.711981217270704</v>
      </c>
      <c r="M88" s="35" cm="1">
        <f t="array" aca="1" ref="M88" ca="1">(M24+M69)*INDEX('Launch Capacity'!$D:$AC, MATCH("Starship D&amp;A share per launch, fully reusable mode ($mm)", 'Launch Capacity'!$A:$A, 0), M$5+1)</f>
        <v>30.116512904814318</v>
      </c>
      <c r="N88" s="35" cm="1">
        <f t="array" aca="1" ref="N88" ca="1">(N24+N69)*INDEX('Launch Capacity'!$D:$AC, MATCH("Starship D&amp;A share per launch, fully reusable mode ($mm)", 'Launch Capacity'!$A:$A, 0), N$5+1)</f>
        <v>72.719017610372077</v>
      </c>
      <c r="O88" s="35" cm="1">
        <f t="array" aca="1" ref="O88" ca="1">(O24+O69)*INDEX('Launch Capacity'!$D:$AC, MATCH("Starship D&amp;A share per launch, fully reusable mode ($mm)", 'Launch Capacity'!$A:$A, 0), O$5+1)</f>
        <v>82.854022471251369</v>
      </c>
      <c r="P88" s="35" cm="1">
        <f t="array" aca="1" ref="P88" ca="1">(P24+P69)*INDEX('Launch Capacity'!$D:$AC, MATCH("Starship D&amp;A share per launch, fully reusable mode ($mm)", 'Launch Capacity'!$A:$A, 0), P$5+1)</f>
        <v>31.506072883918421</v>
      </c>
      <c r="Q88" s="35" cm="1">
        <f t="array" aca="1" ref="Q88" ca="1">(Q24+Q69)*INDEX('Launch Capacity'!$D:$AC, MATCH("Starship D&amp;A share per launch, fully reusable mode ($mm)", 'Launch Capacity'!$A:$A, 0), Q$5+1)</f>
        <v>92.026579466345865</v>
      </c>
      <c r="R88" s="35" cm="1">
        <f t="array" aca="1" ref="R88" ca="1">(R24+R69)*INDEX('Launch Capacity'!$D:$AC, MATCH("Starship D&amp;A share per launch, fully reusable mode ($mm)", 'Launch Capacity'!$A:$A, 0), R$5+1)</f>
        <v>38.984253799457711</v>
      </c>
      <c r="S88" s="35" cm="1">
        <f t="array" aca="1" ref="S88" ca="1">(S24+S69)*INDEX('Launch Capacity'!$D:$AC, MATCH("Starship D&amp;A share per launch, fully reusable mode ($mm)", 'Launch Capacity'!$A:$A, 0), S$5+1)</f>
        <v>93.707967751130298</v>
      </c>
      <c r="T88" s="35" cm="1">
        <f t="array" aca="1" ref="T88" ca="1">(T24+T69)*INDEX('Launch Capacity'!$D:$AC, MATCH("Starship D&amp;A share per launch, fully reusable mode ($mm)", 'Launch Capacity'!$A:$A, 0), T$5+1)</f>
        <v>95.983951518805739</v>
      </c>
      <c r="U88" s="35" cm="1">
        <f t="array" aca="1" ref="U88" ca="1">(U24+U69)*INDEX('Launch Capacity'!$D:$AC, MATCH("Starship D&amp;A share per launch, fully reusable mode ($mm)", 'Launch Capacity'!$A:$A, 0), U$5+1)</f>
        <v>35.20945089677069</v>
      </c>
      <c r="V88" s="35" cm="1">
        <f t="array" aca="1" ref="V88" ca="1">(V24+V69)*INDEX('Launch Capacity'!$D:$AC, MATCH("Starship D&amp;A share per launch, fully reusable mode ($mm)", 'Launch Capacity'!$A:$A, 0), V$5+1)</f>
        <v>101.69721048007115</v>
      </c>
      <c r="W88" s="35" cm="1">
        <f t="array" aca="1" ref="W88" ca="1">(W24+W69)*INDEX('Launch Capacity'!$D:$AC, MATCH("Starship D&amp;A share per launch, fully reusable mode ($mm)", 'Launch Capacity'!$A:$A, 0), W$5+1)</f>
        <v>56.990742607730013</v>
      </c>
      <c r="X88" s="35" cm="1">
        <f t="array" aca="1" ref="X88" ca="1">(X24+X69)*INDEX('Launch Capacity'!$D:$AC, MATCH("Starship D&amp;A share per launch, fully reusable mode ($mm)", 'Launch Capacity'!$A:$A, 0), X$5+1)</f>
        <v>67.20832243490527</v>
      </c>
      <c r="Y88" s="35" cm="1">
        <f t="array" aca="1" ref="Y88" ca="1">(Y24+Y69)*INDEX('Launch Capacity'!$D:$AC, MATCH("Starship D&amp;A share per launch, fully reusable mode ($mm)", 'Launch Capacity'!$A:$A, 0), Y$5+1)</f>
        <v>112.47796047271625</v>
      </c>
      <c r="Z88" s="35" cm="1">
        <f t="array" aca="1" ref="Z88" ca="1">(Z24+Z69)*INDEX('Launch Capacity'!$D:$AC, MATCH("Starship D&amp;A share per launch, fully reusable mode ($mm)", 'Launch Capacity'!$A:$A, 0), Z$5+1)</f>
        <v>41.913618165986151</v>
      </c>
      <c r="AA88" s="35" cm="1">
        <f t="array" aca="1" ref="AA88" ca="1">(AA24+AA69)*INDEX('Launch Capacity'!$D:$AC, MATCH("Starship D&amp;A share per launch, fully reusable mode ($mm)", 'Launch Capacity'!$A:$A, 0), AA$5+1)</f>
        <v>120.34016147240224</v>
      </c>
      <c r="AB88" s="35" cm="1">
        <f t="array" aca="1" ref="AB88" ca="1">(AB24+AB69)*INDEX('Launch Capacity'!$D:$AC, MATCH("Starship D&amp;A share per launch, fully reusable mode ($mm)", 'Launch Capacity'!$A:$A, 0), AB$5+1)</f>
        <v>90.3952725662772</v>
      </c>
      <c r="AC88" s="35" cm="1">
        <f t="array" aca="1" ref="AC88" ca="1">(AC24+AC69)*INDEX('Launch Capacity'!$D:$AC, MATCH("Starship D&amp;A share per launch, fully reusable mode ($mm)", 'Launch Capacity'!$A:$A, 0), AC$5+1)</f>
        <v>49.612931189421687</v>
      </c>
    </row>
    <row r="89" spans="1:29" x14ac:dyDescent="0.2">
      <c r="A89" t="s">
        <v>764</v>
      </c>
      <c r="D89" s="35">
        <f ca="1">D83 * IFERROR(INDEX(Assumptions!$B:$B, MATCH("Customer Launch ground ops % of revenue", Assumptions!$A:$A, 0)), 0.01)</f>
        <v>65.721299999999999</v>
      </c>
      <c r="E89" s="35">
        <f ca="1">E83 * IFERROR(INDEX(Assumptions!$B:$B, MATCH("Customer Launch ground ops % of revenue", Assumptions!$A:$A, 0)), 0.01)</f>
        <v>43.616040300000002</v>
      </c>
      <c r="F89" s="35">
        <f ca="1">F83 * IFERROR(INDEX(Assumptions!$B:$B, MATCH("Customer Launch ground ops % of revenue", Assumptions!$A:$A, 0)), 0.01)</f>
        <v>43.582100074776292</v>
      </c>
      <c r="G89" s="35">
        <f ca="1">G83 * IFERROR(INDEX(Assumptions!$B:$B, MATCH("Customer Launch ground ops % of revenue", Assumptions!$A:$A, 0)), 0.01)</f>
        <v>43.382492255284518</v>
      </c>
      <c r="H89" s="35">
        <f ca="1">H83 * IFERROR(INDEX(Assumptions!$B:$B, MATCH("Customer Launch ground ops % of revenue", Assumptions!$A:$A, 0)), 0.01)</f>
        <v>42.888933531518525</v>
      </c>
      <c r="I89" s="35">
        <f ca="1">I83 * IFERROR(INDEX(Assumptions!$B:$B, MATCH("Customer Launch ground ops % of revenue", Assumptions!$A:$A, 0)), 0.01)</f>
        <v>41.22807236319008</v>
      </c>
      <c r="J89" s="35">
        <f ca="1">J83 * IFERROR(INDEX(Assumptions!$B:$B, MATCH("Customer Launch ground ops % of revenue", Assumptions!$A:$A, 0)), 0.01)</f>
        <v>39.839973385802402</v>
      </c>
      <c r="K89" s="35">
        <f ca="1">K83 * IFERROR(INDEX(Assumptions!$B:$B, MATCH("Customer Launch ground ops % of revenue", Assumptions!$A:$A, 0)), 0.01)</f>
        <v>40.306499790518139</v>
      </c>
      <c r="L89" s="35">
        <f ca="1">L83 * IFERROR(INDEX(Assumptions!$B:$B, MATCH("Customer Launch ground ops % of revenue", Assumptions!$A:$A, 0)), 0.01)</f>
        <v>30.525817327326344</v>
      </c>
      <c r="M89" s="35">
        <f ca="1">M83 * IFERROR(INDEX(Assumptions!$B:$B, MATCH("Customer Launch ground ops % of revenue", Assumptions!$A:$A, 0)), 0.01)</f>
        <v>40.400105875544298</v>
      </c>
      <c r="N89" s="35">
        <f ca="1">N83 * IFERROR(INDEX(Assumptions!$B:$B, MATCH("Customer Launch ground ops % of revenue", Assumptions!$A:$A, 0)), 0.01)</f>
        <v>26.302850050722991</v>
      </c>
      <c r="O89" s="35">
        <f ca="1">O83 * IFERROR(INDEX(Assumptions!$B:$B, MATCH("Customer Launch ground ops % of revenue", Assumptions!$A:$A, 0)), 0.01)</f>
        <v>21.965545078194552</v>
      </c>
      <c r="P89" s="35">
        <f ca="1">P83 * IFERROR(INDEX(Assumptions!$B:$B, MATCH("Customer Launch ground ops % of revenue", Assumptions!$A:$A, 0)), 0.01)</f>
        <v>41.3576245955378</v>
      </c>
      <c r="Q89" s="35">
        <f ca="1">Q83 * IFERROR(INDEX(Assumptions!$B:$B, MATCH("Customer Launch ground ops % of revenue", Assumptions!$A:$A, 0)), 0.01)</f>
        <v>19.228165932239818</v>
      </c>
      <c r="R89" s="35">
        <f ca="1">R83 * IFERROR(INDEX(Assumptions!$B:$B, MATCH("Customer Launch ground ops % of revenue", Assumptions!$A:$A, 0)), 0.01)</f>
        <v>39.690950824886386</v>
      </c>
      <c r="S89" s="35">
        <f ca="1">S83 * IFERROR(INDEX(Assumptions!$B:$B, MATCH("Customer Launch ground ops % of revenue", Assumptions!$A:$A, 0)), 0.01)</f>
        <v>18.863818767291466</v>
      </c>
      <c r="T89" s="35">
        <f ca="1">T83 * IFERROR(INDEX(Assumptions!$B:$B, MATCH("Customer Launch ground ops % of revenue", Assumptions!$A:$A, 0)), 0.01)</f>
        <v>18.737163503810876</v>
      </c>
      <c r="U89" s="35">
        <f ca="1">U83 * IFERROR(INDEX(Assumptions!$B:$B, MATCH("Customer Launch ground ops % of revenue", Assumptions!$A:$A, 0)), 0.01)</f>
        <v>44.043213907653687</v>
      </c>
      <c r="V89" s="35">
        <f ca="1">V83 * IFERROR(INDEX(Assumptions!$B:$B, MATCH("Customer Launch ground ops % of revenue", Assumptions!$A:$A, 0)), 0.01)</f>
        <v>18.604391304726605</v>
      </c>
      <c r="W89" s="35">
        <f ca="1">W83 * IFERROR(INDEX(Assumptions!$B:$B, MATCH("Customer Launch ground ops % of revenue", Assumptions!$A:$A, 0)), 0.01)</f>
        <v>37.164857382509844</v>
      </c>
      <c r="X89" s="35">
        <f ca="1">X83 * IFERROR(INDEX(Assumptions!$B:$B, MATCH("Customer Launch ground ops % of revenue", Assumptions!$A:$A, 0)), 0.01)</f>
        <v>34.589101263609606</v>
      </c>
      <c r="Y89" s="35">
        <f ca="1">Y83 * IFERROR(INDEX(Assumptions!$B:$B, MATCH("Customer Launch ground ops % of revenue", Assumptions!$A:$A, 0)), 0.01)</f>
        <v>18.502910100508213</v>
      </c>
      <c r="Z89" s="35">
        <f ca="1">Z83 * IFERROR(INDEX(Assumptions!$B:$B, MATCH("Customer Launch ground ops % of revenue", Assumptions!$A:$A, 0)), 0.01)</f>
        <v>47.322173351977433</v>
      </c>
      <c r="AA89" s="35">
        <f ca="1">AA83 * IFERROR(INDEX(Assumptions!$B:$B, MATCH("Customer Launch ground ops % of revenue", Assumptions!$A:$A, 0)), 0.01)</f>
        <v>18.349894607650132</v>
      </c>
      <c r="AB89" s="35">
        <f ca="1">AB83 * IFERROR(INDEX(Assumptions!$B:$B, MATCH("Customer Launch ground ops % of revenue", Assumptions!$A:$A, 0)), 0.01)</f>
        <v>30.872372680021162</v>
      </c>
      <c r="AC89" s="35">
        <f ca="1">AC83 * IFERROR(INDEX(Assumptions!$B:$B, MATCH("Customer Launch ground ops % of revenue", Assumptions!$A:$A, 0)), 0.01)</f>
        <v>48.669493009279158</v>
      </c>
    </row>
    <row r="90" spans="1:29" x14ac:dyDescent="0.2">
      <c r="A90" t="s">
        <v>765</v>
      </c>
      <c r="D90" s="35">
        <f ca="1">D83 * IFERROR(INDEX(Assumptions!$B:$B, MATCH("Launch insurance % of external revenue", Assumptions!$A:$A, 0)), 0.01)</f>
        <v>328.60650000000004</v>
      </c>
      <c r="E90" s="35">
        <f ca="1">E83 * IFERROR(INDEX(Assumptions!$B:$B, MATCH("Launch insurance % of external revenue", Assumptions!$A:$A, 0)), 0.01)</f>
        <v>218.08020150000004</v>
      </c>
      <c r="F90" s="35">
        <f ca="1">F83 * IFERROR(INDEX(Assumptions!$B:$B, MATCH("Launch insurance % of external revenue", Assumptions!$A:$A, 0)), 0.01)</f>
        <v>217.91050037388146</v>
      </c>
      <c r="G90" s="35">
        <f ca="1">G83 * IFERROR(INDEX(Assumptions!$B:$B, MATCH("Launch insurance % of external revenue", Assumptions!$A:$A, 0)), 0.01)</f>
        <v>216.91246127642259</v>
      </c>
      <c r="H90" s="35">
        <f ca="1">H83 * IFERROR(INDEX(Assumptions!$B:$B, MATCH("Launch insurance % of external revenue", Assumptions!$A:$A, 0)), 0.01)</f>
        <v>214.44466765759262</v>
      </c>
      <c r="I90" s="35">
        <f ca="1">I83 * IFERROR(INDEX(Assumptions!$B:$B, MATCH("Launch insurance % of external revenue", Assumptions!$A:$A, 0)), 0.01)</f>
        <v>206.1403618159504</v>
      </c>
      <c r="J90" s="35">
        <f ca="1">J83 * IFERROR(INDEX(Assumptions!$B:$B, MATCH("Launch insurance % of external revenue", Assumptions!$A:$A, 0)), 0.01)</f>
        <v>199.19986692901205</v>
      </c>
      <c r="K90" s="35">
        <f ca="1">K83 * IFERROR(INDEX(Assumptions!$B:$B, MATCH("Launch insurance % of external revenue", Assumptions!$A:$A, 0)), 0.01)</f>
        <v>201.53249895259069</v>
      </c>
      <c r="L90" s="35">
        <f ca="1">L83 * IFERROR(INDEX(Assumptions!$B:$B, MATCH("Launch insurance % of external revenue", Assumptions!$A:$A, 0)), 0.01)</f>
        <v>152.62908663663174</v>
      </c>
      <c r="M90" s="35">
        <f ca="1">M83 * IFERROR(INDEX(Assumptions!$B:$B, MATCH("Launch insurance % of external revenue", Assumptions!$A:$A, 0)), 0.01)</f>
        <v>202.00052937772148</v>
      </c>
      <c r="N90" s="35">
        <f ca="1">N83 * IFERROR(INDEX(Assumptions!$B:$B, MATCH("Launch insurance % of external revenue", Assumptions!$A:$A, 0)), 0.01)</f>
        <v>131.51425025361496</v>
      </c>
      <c r="O90" s="35">
        <f ca="1">O83 * IFERROR(INDEX(Assumptions!$B:$B, MATCH("Launch insurance % of external revenue", Assumptions!$A:$A, 0)), 0.01)</f>
        <v>109.82772539097276</v>
      </c>
      <c r="P90" s="35">
        <f ca="1">P83 * IFERROR(INDEX(Assumptions!$B:$B, MATCH("Launch insurance % of external revenue", Assumptions!$A:$A, 0)), 0.01)</f>
        <v>206.788122977689</v>
      </c>
      <c r="Q90" s="35">
        <f ca="1">Q83 * IFERROR(INDEX(Assumptions!$B:$B, MATCH("Launch insurance % of external revenue", Assumptions!$A:$A, 0)), 0.01)</f>
        <v>96.140829661199106</v>
      </c>
      <c r="R90" s="35">
        <f ca="1">R83 * IFERROR(INDEX(Assumptions!$B:$B, MATCH("Launch insurance % of external revenue", Assumptions!$A:$A, 0)), 0.01)</f>
        <v>198.45475412443193</v>
      </c>
      <c r="S90" s="35">
        <f ca="1">S83 * IFERROR(INDEX(Assumptions!$B:$B, MATCH("Launch insurance % of external revenue", Assumptions!$A:$A, 0)), 0.01)</f>
        <v>94.319093836457341</v>
      </c>
      <c r="T90" s="35">
        <f ca="1">T83 * IFERROR(INDEX(Assumptions!$B:$B, MATCH("Launch insurance % of external revenue", Assumptions!$A:$A, 0)), 0.01)</f>
        <v>93.685817519054382</v>
      </c>
      <c r="U90" s="35">
        <f ca="1">U83 * IFERROR(INDEX(Assumptions!$B:$B, MATCH("Launch insurance % of external revenue", Assumptions!$A:$A, 0)), 0.01)</f>
        <v>220.21606953826847</v>
      </c>
      <c r="V90" s="35">
        <f ca="1">V83 * IFERROR(INDEX(Assumptions!$B:$B, MATCH("Launch insurance % of external revenue", Assumptions!$A:$A, 0)), 0.01)</f>
        <v>93.021956523633023</v>
      </c>
      <c r="W90" s="35">
        <f ca="1">W83 * IFERROR(INDEX(Assumptions!$B:$B, MATCH("Launch insurance % of external revenue", Assumptions!$A:$A, 0)), 0.01)</f>
        <v>185.82428691254924</v>
      </c>
      <c r="X90" s="35">
        <f ca="1">X83 * IFERROR(INDEX(Assumptions!$B:$B, MATCH("Launch insurance % of external revenue", Assumptions!$A:$A, 0)), 0.01)</f>
        <v>172.94550631804805</v>
      </c>
      <c r="Y90" s="35">
        <f ca="1">Y83 * IFERROR(INDEX(Assumptions!$B:$B, MATCH("Launch insurance % of external revenue", Assumptions!$A:$A, 0)), 0.01)</f>
        <v>92.51455050254107</v>
      </c>
      <c r="Z90" s="35">
        <f ca="1">Z83 * IFERROR(INDEX(Assumptions!$B:$B, MATCH("Launch insurance % of external revenue", Assumptions!$A:$A, 0)), 0.01)</f>
        <v>236.61086675988719</v>
      </c>
      <c r="AA90" s="35">
        <f ca="1">AA83 * IFERROR(INDEX(Assumptions!$B:$B, MATCH("Launch insurance % of external revenue", Assumptions!$A:$A, 0)), 0.01)</f>
        <v>91.749473038250656</v>
      </c>
      <c r="AB90" s="35">
        <f ca="1">AB83 * IFERROR(INDEX(Assumptions!$B:$B, MATCH("Launch insurance % of external revenue", Assumptions!$A:$A, 0)), 0.01)</f>
        <v>154.36186340010582</v>
      </c>
      <c r="AC90" s="35">
        <f ca="1">AC83 * IFERROR(INDEX(Assumptions!$B:$B, MATCH("Launch insurance % of external revenue", Assumptions!$A:$A, 0)), 0.01)</f>
        <v>243.3474650463958</v>
      </c>
    </row>
    <row r="91" spans="1:29" x14ac:dyDescent="0.2">
      <c r="A91" t="s">
        <v>766</v>
      </c>
      <c r="D91" s="35">
        <f ca="1">D83 * IFERROR(INDEX(Assumptions!$B:$B, MATCH("Launch other COGS % of external revenue", Assumptions!$A:$A, 0)), 0.01)</f>
        <v>131.4426</v>
      </c>
      <c r="E91" s="35">
        <f ca="1">E83 * IFERROR(INDEX(Assumptions!$B:$B, MATCH("Launch other COGS % of external revenue", Assumptions!$A:$A, 0)), 0.01)</f>
        <v>87.232080600000003</v>
      </c>
      <c r="F91" s="35">
        <f ca="1">F83 * IFERROR(INDEX(Assumptions!$B:$B, MATCH("Launch other COGS % of external revenue", Assumptions!$A:$A, 0)), 0.01)</f>
        <v>87.164200149552585</v>
      </c>
      <c r="G91" s="35">
        <f ca="1">G83 * IFERROR(INDEX(Assumptions!$B:$B, MATCH("Launch other COGS % of external revenue", Assumptions!$A:$A, 0)), 0.01)</f>
        <v>86.764984510569036</v>
      </c>
      <c r="H91" s="35">
        <f ca="1">H83 * IFERROR(INDEX(Assumptions!$B:$B, MATCH("Launch other COGS % of external revenue", Assumptions!$A:$A, 0)), 0.01)</f>
        <v>85.77786706303705</v>
      </c>
      <c r="I91" s="35">
        <f ca="1">I83 * IFERROR(INDEX(Assumptions!$B:$B, MATCH("Launch other COGS % of external revenue", Assumptions!$A:$A, 0)), 0.01)</f>
        <v>82.45614472638016</v>
      </c>
      <c r="J91" s="35">
        <f ca="1">J83 * IFERROR(INDEX(Assumptions!$B:$B, MATCH("Launch other COGS % of external revenue", Assumptions!$A:$A, 0)), 0.01)</f>
        <v>79.679946771604804</v>
      </c>
      <c r="K91" s="35">
        <f ca="1">K83 * IFERROR(INDEX(Assumptions!$B:$B, MATCH("Launch other COGS % of external revenue", Assumptions!$A:$A, 0)), 0.01)</f>
        <v>80.612999581036277</v>
      </c>
      <c r="L91" s="35">
        <f ca="1">L83 * IFERROR(INDEX(Assumptions!$B:$B, MATCH("Launch other COGS % of external revenue", Assumptions!$A:$A, 0)), 0.01)</f>
        <v>61.051634654652688</v>
      </c>
      <c r="M91" s="35">
        <f ca="1">M83 * IFERROR(INDEX(Assumptions!$B:$B, MATCH("Launch other COGS % of external revenue", Assumptions!$A:$A, 0)), 0.01)</f>
        <v>80.800211751088597</v>
      </c>
      <c r="N91" s="35">
        <f ca="1">N83 * IFERROR(INDEX(Assumptions!$B:$B, MATCH("Launch other COGS % of external revenue", Assumptions!$A:$A, 0)), 0.01)</f>
        <v>52.605700101445983</v>
      </c>
      <c r="O91" s="35">
        <f ca="1">O83 * IFERROR(INDEX(Assumptions!$B:$B, MATCH("Launch other COGS % of external revenue", Assumptions!$A:$A, 0)), 0.01)</f>
        <v>43.931090156389104</v>
      </c>
      <c r="P91" s="35">
        <f ca="1">P83 * IFERROR(INDEX(Assumptions!$B:$B, MATCH("Launch other COGS % of external revenue", Assumptions!$A:$A, 0)), 0.01)</f>
        <v>82.7152491910756</v>
      </c>
      <c r="Q91" s="35">
        <f ca="1">Q83 * IFERROR(INDEX(Assumptions!$B:$B, MATCH("Launch other COGS % of external revenue", Assumptions!$A:$A, 0)), 0.01)</f>
        <v>38.456331864479637</v>
      </c>
      <c r="R91" s="35">
        <f ca="1">R83 * IFERROR(INDEX(Assumptions!$B:$B, MATCH("Launch other COGS % of external revenue", Assumptions!$A:$A, 0)), 0.01)</f>
        <v>79.381901649772772</v>
      </c>
      <c r="S91" s="35">
        <f ca="1">S83 * IFERROR(INDEX(Assumptions!$B:$B, MATCH("Launch other COGS % of external revenue", Assumptions!$A:$A, 0)), 0.01)</f>
        <v>37.727637534582932</v>
      </c>
      <c r="T91" s="35">
        <f ca="1">T83 * IFERROR(INDEX(Assumptions!$B:$B, MATCH("Launch other COGS % of external revenue", Assumptions!$A:$A, 0)), 0.01)</f>
        <v>37.474327007621753</v>
      </c>
      <c r="U91" s="35">
        <f ca="1">U83 * IFERROR(INDEX(Assumptions!$B:$B, MATCH("Launch other COGS % of external revenue", Assumptions!$A:$A, 0)), 0.01)</f>
        <v>88.086427815307374</v>
      </c>
      <c r="V91" s="35">
        <f ca="1">V83 * IFERROR(INDEX(Assumptions!$B:$B, MATCH("Launch other COGS % of external revenue", Assumptions!$A:$A, 0)), 0.01)</f>
        <v>37.208782609453209</v>
      </c>
      <c r="W91" s="35">
        <f ca="1">W83 * IFERROR(INDEX(Assumptions!$B:$B, MATCH("Launch other COGS % of external revenue", Assumptions!$A:$A, 0)), 0.01)</f>
        <v>74.329714765019688</v>
      </c>
      <c r="X91" s="35">
        <f ca="1">X83 * IFERROR(INDEX(Assumptions!$B:$B, MATCH("Launch other COGS % of external revenue", Assumptions!$A:$A, 0)), 0.01)</f>
        <v>69.178202527219213</v>
      </c>
      <c r="Y91" s="35">
        <f ca="1">Y83 * IFERROR(INDEX(Assumptions!$B:$B, MATCH("Launch other COGS % of external revenue", Assumptions!$A:$A, 0)), 0.01)</f>
        <v>37.005820201016427</v>
      </c>
      <c r="Z91" s="35">
        <f ca="1">Z83 * IFERROR(INDEX(Assumptions!$B:$B, MATCH("Launch other COGS % of external revenue", Assumptions!$A:$A, 0)), 0.01)</f>
        <v>94.644346703954866</v>
      </c>
      <c r="AA91" s="35">
        <f ca="1">AA83 * IFERROR(INDEX(Assumptions!$B:$B, MATCH("Launch other COGS % of external revenue", Assumptions!$A:$A, 0)), 0.01)</f>
        <v>36.699789215300264</v>
      </c>
      <c r="AB91" s="35">
        <f ca="1">AB83 * IFERROR(INDEX(Assumptions!$B:$B, MATCH("Launch other COGS % of external revenue", Assumptions!$A:$A, 0)), 0.01)</f>
        <v>61.744745360042323</v>
      </c>
      <c r="AC91" s="35">
        <f ca="1">AC83 * IFERROR(INDEX(Assumptions!$B:$B, MATCH("Launch other COGS % of external revenue", Assumptions!$A:$A, 0)), 0.01)</f>
        <v>97.338986018558316</v>
      </c>
    </row>
    <row r="93" spans="1:29" x14ac:dyDescent="0.2">
      <c r="A93" t="s">
        <v>767</v>
      </c>
      <c r="D93" s="35">
        <f ca="1">SUM(D85:D92)</f>
        <v>3500.315399999999</v>
      </c>
      <c r="E93" s="35">
        <f t="shared" ref="E93:AC93" ca="1" si="7">SUM(E85:E92)</f>
        <v>1067.9630723999999</v>
      </c>
      <c r="F93" s="35">
        <f t="shared" ca="1" si="7"/>
        <v>1102.0309522104685</v>
      </c>
      <c r="G93" s="35">
        <f t="shared" ca="1" si="7"/>
        <v>1128.0097999217999</v>
      </c>
      <c r="H93" s="35">
        <f t="shared" ca="1" si="7"/>
        <v>1148.5200234873053</v>
      </c>
      <c r="I93" s="35">
        <f t="shared" ca="1" si="7"/>
        <v>1149.5800908474321</v>
      </c>
      <c r="J93" s="35">
        <f t="shared" ca="1" si="7"/>
        <v>1153.009257999601</v>
      </c>
      <c r="K93" s="35">
        <f t="shared" ca="1" si="7"/>
        <v>1191.219333646832</v>
      </c>
      <c r="L93" s="35">
        <f t="shared" ca="1" si="7"/>
        <v>1029.2514420930413</v>
      </c>
      <c r="M93" s="35">
        <f t="shared" ca="1" si="7"/>
        <v>1255.9509721973982</v>
      </c>
      <c r="N93" s="35">
        <f t="shared" ca="1" si="7"/>
        <v>993.9312650917467</v>
      </c>
      <c r="O93" s="35">
        <f t="shared" ca="1" si="7"/>
        <v>923.68475117831997</v>
      </c>
      <c r="P93" s="35">
        <f t="shared" ca="1" si="7"/>
        <v>1386.5837450101251</v>
      </c>
      <c r="Q93" s="35">
        <f t="shared" ca="1" si="7"/>
        <v>922.25131912571806</v>
      </c>
      <c r="R93" s="35">
        <f t="shared" ca="1" si="7"/>
        <v>1428.2299961196545</v>
      </c>
      <c r="S93" s="35">
        <f t="shared" ca="1" si="7"/>
        <v>971.89429740147364</v>
      </c>
      <c r="T93" s="35">
        <f t="shared" ca="1" si="7"/>
        <v>1000.8965446496218</v>
      </c>
      <c r="U93" s="35">
        <f t="shared" ca="1" si="7"/>
        <v>1671.8530370371702</v>
      </c>
      <c r="V93" s="35">
        <f t="shared" ca="1" si="7"/>
        <v>1069.0336891736879</v>
      </c>
      <c r="W93" s="35">
        <f t="shared" ca="1" si="7"/>
        <v>1591.8941078865928</v>
      </c>
      <c r="X93" s="35">
        <f t="shared" ca="1" si="7"/>
        <v>1575.984520186413</v>
      </c>
      <c r="Y93" s="35">
        <f t="shared" ca="1" si="7"/>
        <v>1188.1045159475509</v>
      </c>
      <c r="Z93" s="35">
        <f t="shared" ca="1" si="7"/>
        <v>2040.4371986710732</v>
      </c>
      <c r="AA93" s="35">
        <f t="shared" ca="1" si="7"/>
        <v>1270.114150772245</v>
      </c>
      <c r="AB93" s="35">
        <f t="shared" ca="1" si="7"/>
        <v>1681.2347660689511</v>
      </c>
      <c r="AC93" s="35">
        <f t="shared" ca="1" si="7"/>
        <v>2283.357605610362</v>
      </c>
    </row>
    <row r="94" spans="1:29" x14ac:dyDescent="0.2">
      <c r="A94" t="s">
        <v>768</v>
      </c>
      <c r="D94" s="35">
        <f ca="1">D83-D93</f>
        <v>3071.8146000000011</v>
      </c>
      <c r="E94" s="35">
        <f t="shared" ref="E94:AC94" ca="1" si="8">E83-E93</f>
        <v>3293.6409576000005</v>
      </c>
      <c r="F94" s="35">
        <f t="shared" ca="1" si="8"/>
        <v>3256.1790552671605</v>
      </c>
      <c r="G94" s="35">
        <f t="shared" ca="1" si="8"/>
        <v>3210.2394256066518</v>
      </c>
      <c r="H94" s="35">
        <f t="shared" ca="1" si="8"/>
        <v>3140.3733296645469</v>
      </c>
      <c r="I94" s="35">
        <f t="shared" ca="1" si="8"/>
        <v>2973.2271454715756</v>
      </c>
      <c r="J94" s="35">
        <f t="shared" ca="1" si="8"/>
        <v>2830.9880805806397</v>
      </c>
      <c r="K94" s="35">
        <f t="shared" ca="1" si="8"/>
        <v>2839.430645404982</v>
      </c>
      <c r="L94" s="35">
        <f t="shared" ca="1" si="8"/>
        <v>2023.3302906395932</v>
      </c>
      <c r="M94" s="35">
        <f t="shared" ca="1" si="8"/>
        <v>2784.0596153570314</v>
      </c>
      <c r="N94" s="35">
        <f t="shared" ca="1" si="8"/>
        <v>1636.3537399805523</v>
      </c>
      <c r="O94" s="35">
        <f t="shared" ca="1" si="8"/>
        <v>1272.8697566411352</v>
      </c>
      <c r="P94" s="35">
        <f t="shared" ca="1" si="8"/>
        <v>2749.1787145436547</v>
      </c>
      <c r="Q94" s="35">
        <f t="shared" ca="1" si="8"/>
        <v>1000.5652740982639</v>
      </c>
      <c r="R94" s="35">
        <f t="shared" ca="1" si="8"/>
        <v>2540.8650863689841</v>
      </c>
      <c r="S94" s="35">
        <f t="shared" ca="1" si="8"/>
        <v>914.48757932767296</v>
      </c>
      <c r="T94" s="35">
        <f t="shared" ca="1" si="8"/>
        <v>872.81980573146575</v>
      </c>
      <c r="U94" s="35">
        <f t="shared" ca="1" si="8"/>
        <v>2732.468353728199</v>
      </c>
      <c r="V94" s="35">
        <f t="shared" ca="1" si="8"/>
        <v>791.40544129897239</v>
      </c>
      <c r="W94" s="35">
        <f t="shared" ca="1" si="8"/>
        <v>2124.5916303643917</v>
      </c>
      <c r="X94" s="35">
        <f t="shared" ca="1" si="8"/>
        <v>1882.9256061745475</v>
      </c>
      <c r="Y94" s="35">
        <f t="shared" ca="1" si="8"/>
        <v>662.18649410327043</v>
      </c>
      <c r="Z94" s="35">
        <f t="shared" ca="1" si="8"/>
        <v>2691.7801365266705</v>
      </c>
      <c r="AA94" s="35">
        <f t="shared" ca="1" si="8"/>
        <v>564.87530999276805</v>
      </c>
      <c r="AB94" s="35">
        <f t="shared" ca="1" si="8"/>
        <v>1406.0025019331651</v>
      </c>
      <c r="AC94" s="35">
        <f t="shared" ca="1" si="8"/>
        <v>2583.5916953175538</v>
      </c>
    </row>
    <row r="95" spans="1:29" x14ac:dyDescent="0.2">
      <c r="A95" t="s">
        <v>605</v>
      </c>
      <c r="D95" s="35">
        <f ca="1">D94</f>
        <v>3071.8146000000011</v>
      </c>
      <c r="E95" s="35">
        <f t="shared" ref="E95:AC95" ca="1" si="9">E94</f>
        <v>3293.6409576000005</v>
      </c>
      <c r="F95" s="35">
        <f t="shared" ca="1" si="9"/>
        <v>3256.1790552671605</v>
      </c>
      <c r="G95" s="35">
        <f t="shared" ca="1" si="9"/>
        <v>3210.2394256066518</v>
      </c>
      <c r="H95" s="35">
        <f t="shared" ca="1" si="9"/>
        <v>3140.3733296645469</v>
      </c>
      <c r="I95" s="35">
        <f t="shared" ca="1" si="9"/>
        <v>2973.2271454715756</v>
      </c>
      <c r="J95" s="35">
        <f t="shared" ca="1" si="9"/>
        <v>2830.9880805806397</v>
      </c>
      <c r="K95" s="35">
        <f t="shared" ca="1" si="9"/>
        <v>2839.430645404982</v>
      </c>
      <c r="L95" s="35">
        <f t="shared" ca="1" si="9"/>
        <v>2023.3302906395932</v>
      </c>
      <c r="M95" s="35">
        <f t="shared" ca="1" si="9"/>
        <v>2784.0596153570314</v>
      </c>
      <c r="N95" s="35">
        <f t="shared" ca="1" si="9"/>
        <v>1636.3537399805523</v>
      </c>
      <c r="O95" s="35">
        <f t="shared" ca="1" si="9"/>
        <v>1272.8697566411352</v>
      </c>
      <c r="P95" s="35">
        <f t="shared" ca="1" si="9"/>
        <v>2749.1787145436547</v>
      </c>
      <c r="Q95" s="35">
        <f t="shared" ca="1" si="9"/>
        <v>1000.5652740982639</v>
      </c>
      <c r="R95" s="35">
        <f t="shared" ca="1" si="9"/>
        <v>2540.8650863689841</v>
      </c>
      <c r="S95" s="35">
        <f t="shared" ca="1" si="9"/>
        <v>914.48757932767296</v>
      </c>
      <c r="T95" s="35">
        <f t="shared" ca="1" si="9"/>
        <v>872.81980573146575</v>
      </c>
      <c r="U95" s="35">
        <f t="shared" ca="1" si="9"/>
        <v>2732.468353728199</v>
      </c>
      <c r="V95" s="35">
        <f t="shared" ca="1" si="9"/>
        <v>791.40544129897239</v>
      </c>
      <c r="W95" s="35">
        <f t="shared" ca="1" si="9"/>
        <v>2124.5916303643917</v>
      </c>
      <c r="X95" s="35">
        <f t="shared" ca="1" si="9"/>
        <v>1882.9256061745475</v>
      </c>
      <c r="Y95" s="35">
        <f t="shared" ca="1" si="9"/>
        <v>662.18649410327043</v>
      </c>
      <c r="Z95" s="35">
        <f t="shared" ca="1" si="9"/>
        <v>2691.7801365266705</v>
      </c>
      <c r="AA95" s="35">
        <f t="shared" ca="1" si="9"/>
        <v>564.87530999276805</v>
      </c>
      <c r="AB95" s="35">
        <f t="shared" ca="1" si="9"/>
        <v>1406.0025019331651</v>
      </c>
      <c r="AC95" s="35">
        <f t="shared" ca="1" si="9"/>
        <v>2583.5916953175538</v>
      </c>
    </row>
    <row r="96" spans="1:29" x14ac:dyDescent="0.2">
      <c r="A96" t="s">
        <v>606</v>
      </c>
      <c r="D96" s="17">
        <f ca="1">IFERROR(D95/D83, 0)</f>
        <v>0.46740015793966355</v>
      </c>
      <c r="E96" s="17">
        <f t="shared" ref="E96:AC96" ca="1" si="10">IFERROR(E95/E83, 0)</f>
        <v>0.75514442277328886</v>
      </c>
      <c r="F96" s="17">
        <f t="shared" ca="1" si="10"/>
        <v>0.74713679461988958</v>
      </c>
      <c r="G96" s="17">
        <f t="shared" ca="1" si="10"/>
        <v>0.73998501670120298</v>
      </c>
      <c r="H96" s="17">
        <f t="shared" ca="1" si="10"/>
        <v>0.73221063595734481</v>
      </c>
      <c r="I96" s="17">
        <f t="shared" ca="1" si="10"/>
        <v>0.72116569488855875</v>
      </c>
      <c r="J96" s="17">
        <f t="shared" ca="1" si="10"/>
        <v>0.7105898523490245</v>
      </c>
      <c r="K96" s="17">
        <f t="shared" ca="1" si="10"/>
        <v>0.70445974226542518</v>
      </c>
      <c r="L96" s="17">
        <f t="shared" ca="1" si="10"/>
        <v>0.66282591844914573</v>
      </c>
      <c r="M96" s="17">
        <f t="shared" ca="1" si="10"/>
        <v>0.68912186119846963</v>
      </c>
      <c r="N96" s="17">
        <f t="shared" ca="1" si="10"/>
        <v>0.62212031655313849</v>
      </c>
      <c r="O96" s="17">
        <f t="shared" ca="1" si="10"/>
        <v>0.57948471212978347</v>
      </c>
      <c r="P96" s="17">
        <f t="shared" ca="1" si="10"/>
        <v>0.66473322426749626</v>
      </c>
      <c r="Q96" s="17">
        <f t="shared" ca="1" si="10"/>
        <v>0.52036438505069194</v>
      </c>
      <c r="R96" s="17">
        <f t="shared" ca="1" si="10"/>
        <v>0.64016231245734012</v>
      </c>
      <c r="S96" s="17">
        <f t="shared" ca="1" si="10"/>
        <v>0.48478390860780007</v>
      </c>
      <c r="T96" s="17">
        <f t="shared" ca="1" si="10"/>
        <v>0.46582280479857396</v>
      </c>
      <c r="U96" s="17">
        <f t="shared" ca="1" si="10"/>
        <v>0.62040621273856655</v>
      </c>
      <c r="V96" s="17">
        <f t="shared" ca="1" si="10"/>
        <v>0.42538636622736975</v>
      </c>
      <c r="W96" s="17">
        <f t="shared" ca="1" si="10"/>
        <v>0.57166683259337514</v>
      </c>
      <c r="X96" s="17">
        <f t="shared" ca="1" si="10"/>
        <v>0.54436962435781178</v>
      </c>
      <c r="Y96" s="17">
        <f t="shared" ca="1" si="10"/>
        <v>0.3578823495905557</v>
      </c>
      <c r="Z96" s="17">
        <f t="shared" ca="1" si="10"/>
        <v>0.56882005746132747</v>
      </c>
      <c r="AA96" s="17">
        <f t="shared" ca="1" si="10"/>
        <v>0.30783572443913093</v>
      </c>
      <c r="AB96" s="17">
        <f t="shared" ca="1" si="10"/>
        <v>0.45542418022280801</v>
      </c>
      <c r="AC96" s="17">
        <f t="shared" ca="1" si="10"/>
        <v>0.53084417682858853</v>
      </c>
    </row>
    <row r="98" spans="1:29" x14ac:dyDescent="0.2">
      <c r="A98" s="34" t="s">
        <v>769</v>
      </c>
    </row>
    <row r="99" spans="1:29" x14ac:dyDescent="0.2">
      <c r="A99" t="s">
        <v>608</v>
      </c>
      <c r="D99" s="35">
        <f ca="1">D83 * IFERROR(INDEX(Assumptions!$B:$B, MATCH("Customer Launch ground equipment CapEx % of revenue", Assumptions!$A:$A, 0)), 0.005)</f>
        <v>32.86065</v>
      </c>
      <c r="E99" s="35">
        <f ca="1">E83 * IFERROR(INDEX(Assumptions!$B:$B, MATCH("Customer Launch ground equipment CapEx % of revenue", Assumptions!$A:$A, 0)), 0.005)</f>
        <v>21.808020150000001</v>
      </c>
      <c r="F99" s="35">
        <f ca="1">F83 * IFERROR(INDEX(Assumptions!$B:$B, MATCH("Customer Launch ground equipment CapEx % of revenue", Assumptions!$A:$A, 0)), 0.005)</f>
        <v>21.791050037388146</v>
      </c>
      <c r="G99" s="35">
        <f ca="1">G83 * IFERROR(INDEX(Assumptions!$B:$B, MATCH("Customer Launch ground equipment CapEx % of revenue", Assumptions!$A:$A, 0)), 0.005)</f>
        <v>21.691246127642259</v>
      </c>
      <c r="H99" s="35">
        <f ca="1">H83 * IFERROR(INDEX(Assumptions!$B:$B, MATCH("Customer Launch ground equipment CapEx % of revenue", Assumptions!$A:$A, 0)), 0.005)</f>
        <v>21.444466765759262</v>
      </c>
      <c r="I99" s="35">
        <f ca="1">I83 * IFERROR(INDEX(Assumptions!$B:$B, MATCH("Customer Launch ground equipment CapEx % of revenue", Assumptions!$A:$A, 0)), 0.005)</f>
        <v>20.61403618159504</v>
      </c>
      <c r="J99" s="35">
        <f ca="1">J83 * IFERROR(INDEX(Assumptions!$B:$B, MATCH("Customer Launch ground equipment CapEx % of revenue", Assumptions!$A:$A, 0)), 0.005)</f>
        <v>19.919986692901201</v>
      </c>
      <c r="K99" s="35">
        <f ca="1">K83 * IFERROR(INDEX(Assumptions!$B:$B, MATCH("Customer Launch ground equipment CapEx % of revenue", Assumptions!$A:$A, 0)), 0.005)</f>
        <v>20.153249895259069</v>
      </c>
      <c r="L99" s="35">
        <f ca="1">L83 * IFERROR(INDEX(Assumptions!$B:$B, MATCH("Customer Launch ground equipment CapEx % of revenue", Assumptions!$A:$A, 0)), 0.005)</f>
        <v>15.262908663663172</v>
      </c>
      <c r="M99" s="35">
        <f ca="1">M83 * IFERROR(INDEX(Assumptions!$B:$B, MATCH("Customer Launch ground equipment CapEx % of revenue", Assumptions!$A:$A, 0)), 0.005)</f>
        <v>20.200052937772149</v>
      </c>
      <c r="N99" s="35">
        <f ca="1">N83 * IFERROR(INDEX(Assumptions!$B:$B, MATCH("Customer Launch ground equipment CapEx % of revenue", Assumptions!$A:$A, 0)), 0.005)</f>
        <v>13.151425025361496</v>
      </c>
      <c r="O99" s="35">
        <f ca="1">O83 * IFERROR(INDEX(Assumptions!$B:$B, MATCH("Customer Launch ground equipment CapEx % of revenue", Assumptions!$A:$A, 0)), 0.005)</f>
        <v>10.982772539097276</v>
      </c>
      <c r="P99" s="35">
        <f ca="1">P83 * IFERROR(INDEX(Assumptions!$B:$B, MATCH("Customer Launch ground equipment CapEx % of revenue", Assumptions!$A:$A, 0)), 0.005)</f>
        <v>20.6788122977689</v>
      </c>
      <c r="Q99" s="35">
        <f ca="1">Q83 * IFERROR(INDEX(Assumptions!$B:$B, MATCH("Customer Launch ground equipment CapEx % of revenue", Assumptions!$A:$A, 0)), 0.005)</f>
        <v>9.6140829661199092</v>
      </c>
      <c r="R99" s="35">
        <f ca="1">R83 * IFERROR(INDEX(Assumptions!$B:$B, MATCH("Customer Launch ground equipment CapEx % of revenue", Assumptions!$A:$A, 0)), 0.005)</f>
        <v>19.845475412443193</v>
      </c>
      <c r="S99" s="35">
        <f ca="1">S83 * IFERROR(INDEX(Assumptions!$B:$B, MATCH("Customer Launch ground equipment CapEx % of revenue", Assumptions!$A:$A, 0)), 0.005)</f>
        <v>9.4319093836457331</v>
      </c>
      <c r="T99" s="35">
        <f ca="1">T83 * IFERROR(INDEX(Assumptions!$B:$B, MATCH("Customer Launch ground equipment CapEx % of revenue", Assumptions!$A:$A, 0)), 0.005)</f>
        <v>9.3685817519054382</v>
      </c>
      <c r="U99" s="35">
        <f ca="1">U83 * IFERROR(INDEX(Assumptions!$B:$B, MATCH("Customer Launch ground equipment CapEx % of revenue", Assumptions!$A:$A, 0)), 0.005)</f>
        <v>22.021606953826844</v>
      </c>
      <c r="V99" s="35">
        <f ca="1">V83 * IFERROR(INDEX(Assumptions!$B:$B, MATCH("Customer Launch ground equipment CapEx % of revenue", Assumptions!$A:$A, 0)), 0.005)</f>
        <v>9.3021956523633023</v>
      </c>
      <c r="W99" s="35">
        <f ca="1">W83 * IFERROR(INDEX(Assumptions!$B:$B, MATCH("Customer Launch ground equipment CapEx % of revenue", Assumptions!$A:$A, 0)), 0.005)</f>
        <v>18.582428691254922</v>
      </c>
      <c r="X99" s="35">
        <f ca="1">X83 * IFERROR(INDEX(Assumptions!$B:$B, MATCH("Customer Launch ground equipment CapEx % of revenue", Assumptions!$A:$A, 0)), 0.005)</f>
        <v>17.294550631804803</v>
      </c>
      <c r="Y99" s="35">
        <f ca="1">Y83 * IFERROR(INDEX(Assumptions!$B:$B, MATCH("Customer Launch ground equipment CapEx % of revenue", Assumptions!$A:$A, 0)), 0.005)</f>
        <v>9.2514550502541066</v>
      </c>
      <c r="Z99" s="35">
        <f ca="1">Z83 * IFERROR(INDEX(Assumptions!$B:$B, MATCH("Customer Launch ground equipment CapEx % of revenue", Assumptions!$A:$A, 0)), 0.005)</f>
        <v>23.661086675988717</v>
      </c>
      <c r="AA99" s="35">
        <f ca="1">AA83 * IFERROR(INDEX(Assumptions!$B:$B, MATCH("Customer Launch ground equipment CapEx % of revenue", Assumptions!$A:$A, 0)), 0.005)</f>
        <v>9.174947303825066</v>
      </c>
      <c r="AB99" s="35">
        <f ca="1">AB83 * IFERROR(INDEX(Assumptions!$B:$B, MATCH("Customer Launch ground equipment CapEx % of revenue", Assumptions!$A:$A, 0)), 0.005)</f>
        <v>15.436186340010581</v>
      </c>
      <c r="AC99" s="35">
        <f ca="1">AC83 * IFERROR(INDEX(Assumptions!$B:$B, MATCH("Customer Launch ground equipment CapEx % of revenue", Assumptions!$A:$A, 0)), 0.005)</f>
        <v>24.334746504639579</v>
      </c>
    </row>
    <row r="100" spans="1:29" x14ac:dyDescent="0.2">
      <c r="A100" t="s">
        <v>770</v>
      </c>
      <c r="D100" s="35">
        <f ca="1">D86+D88</f>
        <v>100.54799999999999</v>
      </c>
      <c r="E100" s="35">
        <f t="shared" ref="E100:AC100" ca="1" si="11">E86+E88</f>
        <v>24.305399999999999</v>
      </c>
      <c r="F100" s="35">
        <f t="shared" ca="1" si="11"/>
        <v>36.731885660151825</v>
      </c>
      <c r="G100" s="35">
        <f t="shared" ca="1" si="11"/>
        <v>40.218932452496041</v>
      </c>
      <c r="H100" s="35">
        <f t="shared" ca="1" si="11"/>
        <v>43.216305569055834</v>
      </c>
      <c r="I100" s="35">
        <f t="shared" ca="1" si="11"/>
        <v>51.158256993715916</v>
      </c>
      <c r="J100" s="35">
        <f t="shared" ca="1" si="11"/>
        <v>55.764063145771019</v>
      </c>
      <c r="K100" s="35">
        <f t="shared" ca="1" si="11"/>
        <v>53.954512020641403</v>
      </c>
      <c r="L100" s="35">
        <f t="shared" ca="1" si="11"/>
        <v>76.351242956243482</v>
      </c>
      <c r="M100" s="35">
        <f t="shared" ca="1" si="11"/>
        <v>54.18006461890004</v>
      </c>
      <c r="N100" s="35">
        <f t="shared" ca="1" si="11"/>
        <v>80.407709530856778</v>
      </c>
      <c r="O100" s="35">
        <f t="shared" ca="1" si="11"/>
        <v>85.915212364640098</v>
      </c>
      <c r="P100" s="35">
        <f t="shared" ca="1" si="11"/>
        <v>58.483191686277237</v>
      </c>
      <c r="Q100" s="35">
        <f t="shared" ca="1" si="11"/>
        <v>92.026579466345865</v>
      </c>
      <c r="R100" s="35">
        <f t="shared" ca="1" si="11"/>
        <v>65.180638443756237</v>
      </c>
      <c r="S100" s="35">
        <f t="shared" ca="1" si="11"/>
        <v>93.707967751130298</v>
      </c>
      <c r="T100" s="35">
        <f t="shared" ca="1" si="11"/>
        <v>95.983951518805739</v>
      </c>
      <c r="U100" s="35">
        <f t="shared" ca="1" si="11"/>
        <v>69.107892317308739</v>
      </c>
      <c r="V100" s="35">
        <f t="shared" ca="1" si="11"/>
        <v>101.69721048007115</v>
      </c>
      <c r="W100" s="35">
        <f t="shared" ca="1" si="11"/>
        <v>83.04189268283271</v>
      </c>
      <c r="X100" s="35">
        <f t="shared" ca="1" si="11"/>
        <v>90.125362448944799</v>
      </c>
      <c r="Y100" s="35">
        <f t="shared" ca="1" si="11"/>
        <v>112.47796047271625</v>
      </c>
      <c r="Z100" s="35">
        <f t="shared" ca="1" si="11"/>
        <v>84.864059670538239</v>
      </c>
      <c r="AA100" s="35">
        <f t="shared" ca="1" si="11"/>
        <v>120.34016147240224</v>
      </c>
      <c r="AB100" s="35">
        <f t="shared" ca="1" si="11"/>
        <v>110.09790126436981</v>
      </c>
      <c r="AC100" s="35">
        <f t="shared" ca="1" si="11"/>
        <v>97.840191065407936</v>
      </c>
    </row>
    <row r="101" spans="1:29" x14ac:dyDescent="0.2">
      <c r="A101" t="s">
        <v>607</v>
      </c>
      <c r="D101" s="35">
        <f ca="1">D95+D100-D99</f>
        <v>3139.5019500000008</v>
      </c>
      <c r="E101" s="35">
        <f t="shared" ref="E101:AC101" ca="1" si="12">E95+E100-E99</f>
        <v>3296.1383374500006</v>
      </c>
      <c r="F101" s="35">
        <f t="shared" ca="1" si="12"/>
        <v>3271.1198908899241</v>
      </c>
      <c r="G101" s="35">
        <f t="shared" ca="1" si="12"/>
        <v>3228.7671119315055</v>
      </c>
      <c r="H101" s="35">
        <f t="shared" ca="1" si="12"/>
        <v>3162.1451684678432</v>
      </c>
      <c r="I101" s="35">
        <f t="shared" ca="1" si="12"/>
        <v>3003.7713662836964</v>
      </c>
      <c r="J101" s="35">
        <f t="shared" ca="1" si="12"/>
        <v>2866.8321570335097</v>
      </c>
      <c r="K101" s="35">
        <f t="shared" ca="1" si="12"/>
        <v>2873.231907530364</v>
      </c>
      <c r="L101" s="35">
        <f t="shared" ca="1" si="12"/>
        <v>2084.4186249321738</v>
      </c>
      <c r="M101" s="35">
        <f t="shared" ca="1" si="12"/>
        <v>2818.0396270381593</v>
      </c>
      <c r="N101" s="35">
        <f t="shared" ca="1" si="12"/>
        <v>1703.6100244860475</v>
      </c>
      <c r="O101" s="35">
        <f t="shared" ca="1" si="12"/>
        <v>1347.802196466678</v>
      </c>
      <c r="P101" s="35">
        <f t="shared" ca="1" si="12"/>
        <v>2786.9830939321628</v>
      </c>
      <c r="Q101" s="35">
        <f t="shared" ca="1" si="12"/>
        <v>1082.9777705984898</v>
      </c>
      <c r="R101" s="35">
        <f t="shared" ca="1" si="12"/>
        <v>2586.2002494002973</v>
      </c>
      <c r="S101" s="35">
        <f t="shared" ca="1" si="12"/>
        <v>998.76363769515751</v>
      </c>
      <c r="T101" s="35">
        <f t="shared" ca="1" si="12"/>
        <v>959.43517549836599</v>
      </c>
      <c r="U101" s="35">
        <f t="shared" ca="1" si="12"/>
        <v>2779.5546390916807</v>
      </c>
      <c r="V101" s="35">
        <f t="shared" ca="1" si="12"/>
        <v>883.80045612668027</v>
      </c>
      <c r="W101" s="35">
        <f t="shared" ca="1" si="12"/>
        <v>2189.0510943559698</v>
      </c>
      <c r="X101" s="35">
        <f t="shared" ca="1" si="12"/>
        <v>1955.7564179916874</v>
      </c>
      <c r="Y101" s="35">
        <f t="shared" ca="1" si="12"/>
        <v>765.41299952573263</v>
      </c>
      <c r="Z101" s="35">
        <f t="shared" ca="1" si="12"/>
        <v>2752.9831095212198</v>
      </c>
      <c r="AA101" s="35">
        <f t="shared" ca="1" si="12"/>
        <v>676.04052416134516</v>
      </c>
      <c r="AB101" s="35">
        <f t="shared" ca="1" si="12"/>
        <v>1500.6642168575243</v>
      </c>
      <c r="AC101" s="35">
        <f t="shared" ca="1" si="12"/>
        <v>2657.0971398783222</v>
      </c>
    </row>
    <row r="102" spans="1:29" x14ac:dyDescent="0.2">
      <c r="A102" t="s">
        <v>609</v>
      </c>
      <c r="D102" s="35">
        <f ca="1">D99</f>
        <v>32.86065</v>
      </c>
      <c r="E102" s="35">
        <f t="shared" ref="E102:AC102" ca="1" si="13">E99</f>
        <v>21.808020150000001</v>
      </c>
      <c r="F102" s="35">
        <f t="shared" ca="1" si="13"/>
        <v>21.791050037388146</v>
      </c>
      <c r="G102" s="35">
        <f t="shared" ca="1" si="13"/>
        <v>21.691246127642259</v>
      </c>
      <c r="H102" s="35">
        <f t="shared" ca="1" si="13"/>
        <v>21.444466765759262</v>
      </c>
      <c r="I102" s="35">
        <f t="shared" ca="1" si="13"/>
        <v>20.61403618159504</v>
      </c>
      <c r="J102" s="35">
        <f t="shared" ca="1" si="13"/>
        <v>19.919986692901201</v>
      </c>
      <c r="K102" s="35">
        <f t="shared" ca="1" si="13"/>
        <v>20.153249895259069</v>
      </c>
      <c r="L102" s="35">
        <f t="shared" ca="1" si="13"/>
        <v>15.262908663663172</v>
      </c>
      <c r="M102" s="35">
        <f t="shared" ca="1" si="13"/>
        <v>20.200052937772149</v>
      </c>
      <c r="N102" s="35">
        <f t="shared" ca="1" si="13"/>
        <v>13.151425025361496</v>
      </c>
      <c r="O102" s="35">
        <f t="shared" ca="1" si="13"/>
        <v>10.982772539097276</v>
      </c>
      <c r="P102" s="35">
        <f t="shared" ca="1" si="13"/>
        <v>20.6788122977689</v>
      </c>
      <c r="Q102" s="35">
        <f t="shared" ca="1" si="13"/>
        <v>9.6140829661199092</v>
      </c>
      <c r="R102" s="35">
        <f t="shared" ca="1" si="13"/>
        <v>19.845475412443193</v>
      </c>
      <c r="S102" s="35">
        <f t="shared" ca="1" si="13"/>
        <v>9.4319093836457331</v>
      </c>
      <c r="T102" s="35">
        <f t="shared" ca="1" si="13"/>
        <v>9.3685817519054382</v>
      </c>
      <c r="U102" s="35">
        <f t="shared" ca="1" si="13"/>
        <v>22.021606953826844</v>
      </c>
      <c r="V102" s="35">
        <f t="shared" ca="1" si="13"/>
        <v>9.3021956523633023</v>
      </c>
      <c r="W102" s="35">
        <f t="shared" ca="1" si="13"/>
        <v>18.582428691254922</v>
      </c>
      <c r="X102" s="35">
        <f t="shared" ca="1" si="13"/>
        <v>17.294550631804803</v>
      </c>
      <c r="Y102" s="35">
        <f t="shared" ca="1" si="13"/>
        <v>9.2514550502541066</v>
      </c>
      <c r="Z102" s="35">
        <f t="shared" ca="1" si="13"/>
        <v>23.661086675988717</v>
      </c>
      <c r="AA102" s="35">
        <f t="shared" ca="1" si="13"/>
        <v>9.174947303825066</v>
      </c>
      <c r="AB102" s="35">
        <f t="shared" ca="1" si="13"/>
        <v>15.436186340010581</v>
      </c>
      <c r="AC102" s="35">
        <f t="shared" ca="1" si="13"/>
        <v>24.334746504639579</v>
      </c>
    </row>
    <row r="117" spans="1:29" x14ac:dyDescent="0.2">
      <c r="A117" s="21" t="s">
        <v>735</v>
      </c>
    </row>
    <row r="118" spans="1:29" x14ac:dyDescent="0.2">
      <c r="A118" t="s">
        <v>771</v>
      </c>
      <c r="D118">
        <f>INDEX(Assumptions!$B:$B, MATCH("F9 lifetime reuses per booster", Assumptions!$A:$A, 0))</f>
        <v>50</v>
      </c>
    </row>
    <row r="119" spans="1:29" x14ac:dyDescent="0.2">
      <c r="A119" t="s">
        <v>772</v>
      </c>
      <c r="D119">
        <f>MIN(INDEX(Assumptions!$B:$B, MATCH("MFW-IRR — Customer Launch economic life clamp MAX (years)", Assumptions!$A:$A, 0)), D118)</f>
        <v>10</v>
      </c>
    </row>
    <row r="120" spans="1:29" x14ac:dyDescent="0.2">
      <c r="A120" t="s">
        <v>773</v>
      </c>
      <c r="D120" cm="1">
        <f t="array" aca="1" ref="D120" ca="1">INDEX('Launch Capacity'!$D:$AC, MATCH("Lifetime reuses per booster (year cap)", 'Launch Capacity'!$A:$A, 0), D$5+1)</f>
        <v>5</v>
      </c>
      <c r="E120" cm="1">
        <f t="array" aca="1" ref="E120" ca="1">INDEX('Launch Capacity'!$D:$AC, MATCH("Lifetime reuses per booster (year cap)", 'Launch Capacity'!$A:$A, 0), E$5+1)</f>
        <v>8</v>
      </c>
      <c r="F120" cm="1">
        <f t="array" aca="1" ref="F120" ca="1">INDEX('Launch Capacity'!$D:$AC, MATCH("Lifetime reuses per booster (year cap)", 'Launch Capacity'!$A:$A, 0), F$5+1)</f>
        <v>12</v>
      </c>
      <c r="G120" cm="1">
        <f t="array" aca="1" ref="G120" ca="1">INDEX('Launch Capacity'!$D:$AC, MATCH("Lifetime reuses per booster (year cap)", 'Launch Capacity'!$A:$A, 0), G$5+1)</f>
        <v>18</v>
      </c>
      <c r="H120" cm="1">
        <f t="array" aca="1" ref="H120" ca="1">INDEX('Launch Capacity'!$D:$AC, MATCH("Lifetime reuses per booster (year cap)", 'Launch Capacity'!$A:$A, 0), H$5+1)</f>
        <v>25</v>
      </c>
      <c r="I120" cm="1">
        <f t="array" aca="1" ref="I120" ca="1">INDEX('Launch Capacity'!$D:$AC, MATCH("Lifetime reuses per booster (year cap)", 'Launch Capacity'!$A:$A, 0), I$5+1)</f>
        <v>30</v>
      </c>
      <c r="J120" cm="1">
        <f t="array" aca="1" ref="J120" ca="1">INDEX('Launch Capacity'!$D:$AC, MATCH("Lifetime reuses per booster (year cap)", 'Launch Capacity'!$A:$A, 0), J$5+1)</f>
        <v>35</v>
      </c>
      <c r="K120" cm="1">
        <f t="array" aca="1" ref="K120" ca="1">INDEX('Launch Capacity'!$D:$AC, MATCH("Lifetime reuses per booster (year cap)", 'Launch Capacity'!$A:$A, 0), K$5+1)</f>
        <v>42</v>
      </c>
      <c r="L120" cm="1">
        <f t="array" aca="1" ref="L120" ca="1">INDEX('Launch Capacity'!$D:$AC, MATCH("Lifetime reuses per booster (year cap)", 'Launch Capacity'!$A:$A, 0), L$5+1)</f>
        <v>50</v>
      </c>
      <c r="M120" cm="1">
        <f t="array" aca="1" ref="M120" ca="1">INDEX('Launch Capacity'!$D:$AC, MATCH("Lifetime reuses per booster (year cap)", 'Launch Capacity'!$A:$A, 0), M$5+1)</f>
        <v>58</v>
      </c>
      <c r="N120" cm="1">
        <f t="array" aca="1" ref="N120" ca="1">INDEX('Launch Capacity'!$D:$AC, MATCH("Lifetime reuses per booster (year cap)", 'Launch Capacity'!$A:$A, 0), N$5+1)</f>
        <v>65</v>
      </c>
      <c r="O120" cm="1">
        <f t="array" aca="1" ref="O120" ca="1">INDEX('Launch Capacity'!$D:$AC, MATCH("Lifetime reuses per booster (year cap)", 'Launch Capacity'!$A:$A, 0), O$5+1)</f>
        <v>70</v>
      </c>
      <c r="P120" cm="1">
        <f t="array" aca="1" ref="P120" ca="1">INDEX('Launch Capacity'!$D:$AC, MATCH("Lifetime reuses per booster (year cap)", 'Launch Capacity'!$A:$A, 0), P$5+1)</f>
        <v>75</v>
      </c>
      <c r="Q120" cm="1">
        <f t="array" aca="1" ref="Q120" ca="1">INDEX('Launch Capacity'!$D:$AC, MATCH("Lifetime reuses per booster (year cap)", 'Launch Capacity'!$A:$A, 0), Q$5+1)</f>
        <v>80</v>
      </c>
      <c r="R120" cm="1">
        <f t="array" aca="1" ref="R120" ca="1">INDEX('Launch Capacity'!$D:$AC, MATCH("Lifetime reuses per booster (year cap)", 'Launch Capacity'!$A:$A, 0), R$5+1)</f>
        <v>85</v>
      </c>
      <c r="S120" cm="1">
        <f t="array" aca="1" ref="S120" ca="1">INDEX('Launch Capacity'!$D:$AC, MATCH("Lifetime reuses per booster (year cap)", 'Launch Capacity'!$A:$A, 0), S$5+1)</f>
        <v>90</v>
      </c>
      <c r="T120" cm="1">
        <f t="array" aca="1" ref="T120" ca="1">INDEX('Launch Capacity'!$D:$AC, MATCH("Lifetime reuses per booster (year cap)", 'Launch Capacity'!$A:$A, 0), T$5+1)</f>
        <v>92</v>
      </c>
      <c r="U120" cm="1">
        <f t="array" aca="1" ref="U120" ca="1">INDEX('Launch Capacity'!$D:$AC, MATCH("Lifetime reuses per booster (year cap)", 'Launch Capacity'!$A:$A, 0), U$5+1)</f>
        <v>94</v>
      </c>
      <c r="V120" cm="1">
        <f t="array" aca="1" ref="V120" ca="1">INDEX('Launch Capacity'!$D:$AC, MATCH("Lifetime reuses per booster (year cap)", 'Launch Capacity'!$A:$A, 0), V$5+1)</f>
        <v>96</v>
      </c>
      <c r="W120" cm="1">
        <f t="array" aca="1" ref="W120" ca="1">INDEX('Launch Capacity'!$D:$AC, MATCH("Lifetime reuses per booster (year cap)", 'Launch Capacity'!$A:$A, 0), W$5+1)</f>
        <v>98</v>
      </c>
      <c r="X120" cm="1">
        <f t="array" aca="1" ref="X120" ca="1">INDEX('Launch Capacity'!$D:$AC, MATCH("Lifetime reuses per booster (year cap)", 'Launch Capacity'!$A:$A, 0), X$5+1)</f>
        <v>100</v>
      </c>
      <c r="Y120" cm="1">
        <f t="array" aca="1" ref="Y120" ca="1">INDEX('Launch Capacity'!$D:$AC, MATCH("Lifetime reuses per booster (year cap)", 'Launch Capacity'!$A:$A, 0), Y$5+1)</f>
        <v>100</v>
      </c>
      <c r="Z120" cm="1">
        <f t="array" aca="1" ref="Z120" ca="1">INDEX('Launch Capacity'!$D:$AC, MATCH("Lifetime reuses per booster (year cap)", 'Launch Capacity'!$A:$A, 0), Z$5+1)</f>
        <v>100</v>
      </c>
      <c r="AA120" cm="1">
        <f t="array" aca="1" ref="AA120" ca="1">INDEX('Launch Capacity'!$D:$AC, MATCH("Lifetime reuses per booster (year cap)", 'Launch Capacity'!$A:$A, 0), AA$5+1)</f>
        <v>100</v>
      </c>
      <c r="AB120" cm="1">
        <f t="array" aca="1" ref="AB120" ca="1">INDEX('Launch Capacity'!$D:$AC, MATCH("Lifetime reuses per booster (year cap)", 'Launch Capacity'!$A:$A, 0), AB$5+1)</f>
        <v>100</v>
      </c>
      <c r="AC120" cm="1">
        <f t="array" aca="1" ref="AC120" ca="1">INDEX('Launch Capacity'!$D:$AC, MATCH("Lifetime reuses per booster (year cap)", 'Launch Capacity'!$A:$A, 0), AC$5+1)</f>
        <v>100</v>
      </c>
    </row>
    <row r="121" spans="1:29" x14ac:dyDescent="0.2">
      <c r="A121" t="s">
        <v>774</v>
      </c>
      <c r="D121">
        <f ca="1">MIN(INDEX(Assumptions!$B:$B, MATCH("MFW-IRR — Customer Launch economic life clamp MAX (years)", Assumptions!$A:$A, 0)), D120)</f>
        <v>5</v>
      </c>
      <c r="E121">
        <f ca="1">MIN(INDEX(Assumptions!$B:$B, MATCH("MFW-IRR — Customer Launch economic life clamp MAX (years)", Assumptions!$A:$A, 0)), E120)</f>
        <v>8</v>
      </c>
      <c r="F121">
        <f ca="1">MIN(INDEX(Assumptions!$B:$B, MATCH("MFW-IRR — Customer Launch economic life clamp MAX (years)", Assumptions!$A:$A, 0)), F120)</f>
        <v>10</v>
      </c>
      <c r="G121">
        <f ca="1">MIN(INDEX(Assumptions!$B:$B, MATCH("MFW-IRR — Customer Launch economic life clamp MAX (years)", Assumptions!$A:$A, 0)), G120)</f>
        <v>10</v>
      </c>
      <c r="H121">
        <f ca="1">MIN(INDEX(Assumptions!$B:$B, MATCH("MFW-IRR — Customer Launch economic life clamp MAX (years)", Assumptions!$A:$A, 0)), H120)</f>
        <v>10</v>
      </c>
      <c r="I121">
        <f ca="1">MIN(INDEX(Assumptions!$B:$B, MATCH("MFW-IRR — Customer Launch economic life clamp MAX (years)", Assumptions!$A:$A, 0)), I120)</f>
        <v>10</v>
      </c>
      <c r="J121">
        <f ca="1">MIN(INDEX(Assumptions!$B:$B, MATCH("MFW-IRR — Customer Launch economic life clamp MAX (years)", Assumptions!$A:$A, 0)), J120)</f>
        <v>10</v>
      </c>
      <c r="K121">
        <f ca="1">MIN(INDEX(Assumptions!$B:$B, MATCH("MFW-IRR — Customer Launch economic life clamp MAX (years)", Assumptions!$A:$A, 0)), K120)</f>
        <v>10</v>
      </c>
      <c r="L121">
        <f ca="1">MIN(INDEX(Assumptions!$B:$B, MATCH("MFW-IRR — Customer Launch economic life clamp MAX (years)", Assumptions!$A:$A, 0)), L120)</f>
        <v>10</v>
      </c>
      <c r="M121">
        <f ca="1">MIN(INDEX(Assumptions!$B:$B, MATCH("MFW-IRR — Customer Launch economic life clamp MAX (years)", Assumptions!$A:$A, 0)), M120)</f>
        <v>10</v>
      </c>
      <c r="N121">
        <f ca="1">MIN(INDEX(Assumptions!$B:$B, MATCH("MFW-IRR — Customer Launch economic life clamp MAX (years)", Assumptions!$A:$A, 0)), N120)</f>
        <v>10</v>
      </c>
      <c r="O121">
        <f ca="1">MIN(INDEX(Assumptions!$B:$B, MATCH("MFW-IRR — Customer Launch economic life clamp MAX (years)", Assumptions!$A:$A, 0)), O120)</f>
        <v>10</v>
      </c>
      <c r="P121">
        <f ca="1">MIN(INDEX(Assumptions!$B:$B, MATCH("MFW-IRR — Customer Launch economic life clamp MAX (years)", Assumptions!$A:$A, 0)), P120)</f>
        <v>10</v>
      </c>
      <c r="Q121">
        <f ca="1">MIN(INDEX(Assumptions!$B:$B, MATCH("MFW-IRR — Customer Launch economic life clamp MAX (years)", Assumptions!$A:$A, 0)), Q120)</f>
        <v>10</v>
      </c>
      <c r="R121">
        <f ca="1">MIN(INDEX(Assumptions!$B:$B, MATCH("MFW-IRR — Customer Launch economic life clamp MAX (years)", Assumptions!$A:$A, 0)), R120)</f>
        <v>10</v>
      </c>
      <c r="S121">
        <f ca="1">MIN(INDEX(Assumptions!$B:$B, MATCH("MFW-IRR — Customer Launch economic life clamp MAX (years)", Assumptions!$A:$A, 0)), S120)</f>
        <v>10</v>
      </c>
      <c r="T121">
        <f ca="1">MIN(INDEX(Assumptions!$B:$B, MATCH("MFW-IRR — Customer Launch economic life clamp MAX (years)", Assumptions!$A:$A, 0)), T120)</f>
        <v>10</v>
      </c>
      <c r="U121">
        <f ca="1">MIN(INDEX(Assumptions!$B:$B, MATCH("MFW-IRR — Customer Launch economic life clamp MAX (years)", Assumptions!$A:$A, 0)), U120)</f>
        <v>10</v>
      </c>
      <c r="V121">
        <f ca="1">MIN(INDEX(Assumptions!$B:$B, MATCH("MFW-IRR — Customer Launch economic life clamp MAX (years)", Assumptions!$A:$A, 0)), V120)</f>
        <v>10</v>
      </c>
      <c r="W121">
        <f ca="1">MIN(INDEX(Assumptions!$B:$B, MATCH("MFW-IRR — Customer Launch economic life clamp MAX (years)", Assumptions!$A:$A, 0)), W120)</f>
        <v>10</v>
      </c>
      <c r="X121">
        <f ca="1">MIN(INDEX(Assumptions!$B:$B, MATCH("MFW-IRR — Customer Launch economic life clamp MAX (years)", Assumptions!$A:$A, 0)), X120)</f>
        <v>10</v>
      </c>
      <c r="Y121">
        <f ca="1">MIN(INDEX(Assumptions!$B:$B, MATCH("MFW-IRR — Customer Launch economic life clamp MAX (years)", Assumptions!$A:$A, 0)), Y120)</f>
        <v>10</v>
      </c>
      <c r="Z121">
        <f ca="1">MIN(INDEX(Assumptions!$B:$B, MATCH("MFW-IRR — Customer Launch economic life clamp MAX (years)", Assumptions!$A:$A, 0)), Z120)</f>
        <v>10</v>
      </c>
      <c r="AA121">
        <f ca="1">MIN(INDEX(Assumptions!$B:$B, MATCH("MFW-IRR — Customer Launch economic life clamp MAX (years)", Assumptions!$A:$A, 0)), AA120)</f>
        <v>10</v>
      </c>
      <c r="AB121">
        <f ca="1">MIN(INDEX(Assumptions!$B:$B, MATCH("MFW-IRR — Customer Launch economic life clamp MAX (years)", Assumptions!$A:$A, 0)), AB120)</f>
        <v>10</v>
      </c>
      <c r="AC121">
        <f ca="1">MIN(INDEX(Assumptions!$B:$B, MATCH("MFW-IRR — Customer Launch economic life clamp MAX (years)", Assumptions!$A:$A, 0)), AC120)</f>
        <v>10</v>
      </c>
    </row>
    <row r="130" spans="1:29" x14ac:dyDescent="0.2">
      <c r="A130" t="s">
        <v>775</v>
      </c>
      <c r="D130">
        <f>INDEX(Assumptions!$B:$B, MATCH("F9 booster (1st stage) mfg cost ($mm/unit)", Assumptions!$A:$A, 0))</f>
        <v>30</v>
      </c>
    </row>
    <row r="131" spans="1:29" x14ac:dyDescent="0.2">
      <c r="A131" t="s">
        <v>776</v>
      </c>
      <c r="D131" s="35">
        <f ca="1">D17-D34-D37</f>
        <v>86.08</v>
      </c>
      <c r="E131" s="35">
        <f t="shared" ref="E131:AC131" ca="1" si="14">E17-E34-E37</f>
        <v>82.983100000000007</v>
      </c>
      <c r="F131" s="35">
        <f t="shared" ca="1" si="14"/>
        <v>79.979199999999992</v>
      </c>
      <c r="G131" s="35">
        <f t="shared" ca="1" si="14"/>
        <v>77.059000000000012</v>
      </c>
      <c r="H131" s="35">
        <f t="shared" ca="1" si="14"/>
        <v>74.231800000000007</v>
      </c>
      <c r="I131" s="35">
        <f t="shared" ca="1" si="14"/>
        <v>71.488299999999995</v>
      </c>
      <c r="J131" s="35">
        <f t="shared" ca="1" si="14"/>
        <v>68.828500000000005</v>
      </c>
      <c r="K131" s="35">
        <f t="shared" ca="1" si="14"/>
        <v>66.252399999999994</v>
      </c>
      <c r="L131" s="35">
        <f t="shared" ca="1" si="14"/>
        <v>63.759999999999991</v>
      </c>
      <c r="M131" s="35">
        <f t="shared" ca="1" si="14"/>
        <v>61.33270000000001</v>
      </c>
      <c r="N131" s="35">
        <f t="shared" ca="1" si="14"/>
        <v>58.979800000000012</v>
      </c>
      <c r="O131" s="35">
        <f t="shared" ca="1" si="14"/>
        <v>56.692000000000007</v>
      </c>
      <c r="P131" s="35">
        <f t="shared" ca="1" si="14"/>
        <v>54.4786</v>
      </c>
      <c r="Q131" s="35">
        <f t="shared" ca="1" si="14"/>
        <v>57.559999999999995</v>
      </c>
      <c r="R131" s="35">
        <f t="shared" ca="1" si="14"/>
        <v>50.247100000000003</v>
      </c>
      <c r="S131" s="35">
        <f t="shared" ca="1" si="14"/>
        <v>53.140000000000008</v>
      </c>
      <c r="T131" s="35">
        <f t="shared" ca="1" si="14"/>
        <v>51.030000000000008</v>
      </c>
      <c r="U131" s="35">
        <f t="shared" ca="1" si="14"/>
        <v>44.350899999999996</v>
      </c>
      <c r="V131" s="35">
        <f t="shared" ca="1" si="14"/>
        <v>47.000000000000007</v>
      </c>
      <c r="W131" s="35">
        <f t="shared" ca="1" si="14"/>
        <v>40.714599999999997</v>
      </c>
      <c r="X131" s="35">
        <f t="shared" ca="1" si="14"/>
        <v>38.9848</v>
      </c>
      <c r="Y131" s="35">
        <f t="shared" ca="1" si="14"/>
        <v>41.4</v>
      </c>
      <c r="Z131" s="35">
        <f t="shared" ca="1" si="14"/>
        <v>35.664700000000003</v>
      </c>
      <c r="AA131" s="35">
        <f t="shared" ca="1" si="14"/>
        <v>37.940000000000005</v>
      </c>
      <c r="AB131" s="35">
        <f t="shared" ca="1" si="14"/>
        <v>32.539900000000003</v>
      </c>
      <c r="AC131" s="35">
        <f t="shared" ca="1" si="14"/>
        <v>31.0519</v>
      </c>
    </row>
    <row r="132" spans="1:29" x14ac:dyDescent="0.2">
      <c r="A132" t="s">
        <v>777</v>
      </c>
      <c r="D132" s="17" cm="1">
        <f t="array" aca="1" ref="D132" ca="1">IFERROR(IRR(IF(_xlfn.SEQUENCE(1, $D$119+1)=1, -$D$130, D131)), -1)</f>
        <v>2.8693295189543737</v>
      </c>
      <c r="E132" s="17" cm="1">
        <f t="array" aca="1" ref="E132" ca="1">IFERROR(IRR(IF(_xlfn.SEQUENCE(1, $D$119+1)=1, -$D$130, E131)), -1)</f>
        <v>2.7660985143920098</v>
      </c>
      <c r="F132" s="17" cm="1">
        <f t="array" aca="1" ref="F132" ca="1">IFERROR(IRR(IF(_xlfn.SEQUENCE(1, $D$119+1)=1, -$D$130, F131)), -1)</f>
        <v>2.665967252403536</v>
      </c>
      <c r="G132" s="17" cm="1">
        <f t="array" aca="1" ref="G132" ca="1">IFERROR(IRR(IF(_xlfn.SEQUENCE(1, $D$119+1)=1, -$D$130, G131)), -1)</f>
        <v>2.5686256651556327</v>
      </c>
      <c r="H132" s="17" cm="1">
        <f t="array" aca="1" ref="H132" ca="1">IFERROR(IRR(IF(_xlfn.SEQUENCE(1, $D$119+1)=1, -$D$130, H131)), -1)</f>
        <v>2.4743836796961269</v>
      </c>
      <c r="I132" s="17" cm="1">
        <f t="array" aca="1" ref="I132" ca="1">IFERROR(IRR(IF(_xlfn.SEQUENCE(1, $D$119+1)=1, -$D$130, I131)), -1)</f>
        <v>2.38293119435692</v>
      </c>
      <c r="J132" s="17" cm="1">
        <f t="array" aca="1" ref="J132" ca="1">IFERROR(IRR(IF(_xlfn.SEQUENCE(1, $D$119+1)=1, -$D$130, J131)), -1)</f>
        <v>2.2942680907824191</v>
      </c>
      <c r="K132" s="17" cm="1">
        <f t="array" aca="1" ref="K132" ca="1">IFERROR(IRR(IF(_xlfn.SEQUENCE(1, $D$119+1)=1, -$D$130, K131)), -1)</f>
        <v>2.2083942258671412</v>
      </c>
      <c r="L132" s="17" cm="1">
        <f t="array" aca="1" ref="L132" ca="1">IFERROR(IRR(IF(_xlfn.SEQUENCE(1, $D$119+1)=1, -$D$130, L131)), -1)</f>
        <v>2.1253094278882991</v>
      </c>
      <c r="M132" s="17" cm="1">
        <f t="array" aca="1" ref="M132" ca="1">IFERROR(IRR(IF(_xlfn.SEQUENCE(1, $D$119+1)=1, -$D$130, M131)), -1)</f>
        <v>2.0443934407772133</v>
      </c>
      <c r="N132" s="17" cm="1">
        <f t="array" aca="1" ref="N132" ca="1">IFERROR(IRR(IF(_xlfn.SEQUENCE(1, $D$119+1)=1, -$D$130, N131)), -1)</f>
        <v>1.9659560139051564</v>
      </c>
      <c r="O132" s="17" cm="1">
        <f t="array" aca="1" ref="O132" ca="1">IFERROR(IRR(IF(_xlfn.SEQUENCE(1, $D$119+1)=1, -$D$130, O131)), -1)</f>
        <v>1.8896867861710991</v>
      </c>
      <c r="P132" s="17" cm="1">
        <f t="array" aca="1" ref="P132" ca="1">IFERROR(IRR(IF(_xlfn.SEQUENCE(1, $D$119+1)=1, -$D$130, P131)), -1)</f>
        <v>1.8158953985079052</v>
      </c>
      <c r="Q132" s="17" cm="1">
        <f t="array" aca="1" ref="Q132" ca="1">IFERROR(IRR(IF(_xlfn.SEQUENCE(1, $D$119+1)=1, -$D$130, Q131)), -1)</f>
        <v>1.9186238888906568</v>
      </c>
      <c r="R132" s="17" cm="1">
        <f t="array" aca="1" ref="R132" ca="1">IFERROR(IRR(IF(_xlfn.SEQUENCE(1, $D$119+1)=1, -$D$130, R131)), -1)</f>
        <v>1.6748139916914733</v>
      </c>
      <c r="S132" s="17" cm="1">
        <f t="array" aca="1" ref="S132" ca="1">IFERROR(IRR(IF(_xlfn.SEQUENCE(1, $D$119+1)=1, -$D$130, S131)), -1)</f>
        <v>1.7712670328538902</v>
      </c>
      <c r="T132" s="17" cm="1">
        <f t="array" aca="1" ref="T132" ca="1">IFERROR(IRR(IF(_xlfn.SEQUENCE(1, $D$119+1)=1, -$D$130, T131)), -1)</f>
        <v>1.7009176637803822</v>
      </c>
      <c r="U132" s="17" cm="1">
        <f t="array" aca="1" ref="U132" ca="1">IFERROR(IRR(IF(_xlfn.SEQUENCE(1, $D$119+1)=1, -$D$130, U131)), -1)</f>
        <v>1.4781941225795845</v>
      </c>
      <c r="V132" s="17" cm="1">
        <f t="array" aca="1" ref="V132" ca="1">IFERROR(IRR(IF(_xlfn.SEQUENCE(1, $D$119+1)=1, -$D$130, V131)), -1)</f>
        <v>1.5665403398161755</v>
      </c>
      <c r="W132" s="17" cm="1">
        <f t="array" aca="1" ref="W132" ca="1">IFERROR(IRR(IF(_xlfn.SEQUENCE(1, $D$119+1)=1, -$D$130, W131)), -1)</f>
        <v>1.356896753016307</v>
      </c>
      <c r="X132" s="17" cm="1">
        <f t="array" aca="1" ref="X132" ca="1">IFERROR(IRR(IF(_xlfn.SEQUENCE(1, $D$119+1)=1, -$D$130, X131)), -1)</f>
        <v>1.2991785243523415</v>
      </c>
      <c r="Y132" s="17" cm="1">
        <f t="array" aca="1" ref="Y132" ca="1">IFERROR(IRR(IF(_xlfn.SEQUENCE(1, $D$119+1)=1, -$D$130, Y131)), -1)</f>
        <v>1.3797631126866778</v>
      </c>
      <c r="Z132" s="17" cm="1">
        <f t="array" aca="1" ref="Z132" ca="1">IFERROR(IRR(IF(_xlfn.SEQUENCE(1, $D$119+1)=1, -$D$130, Z131)), -1)</f>
        <v>1.1883513280591425</v>
      </c>
      <c r="AA132" s="17" cm="1">
        <f t="array" aca="1" ref="AA132" ca="1">IFERROR(IRR(IF(_xlfn.SEQUENCE(1, $D$119+1)=1, -$D$130, AA131)), -1)</f>
        <v>1.2643097081188244</v>
      </c>
      <c r="AB132" s="17" cm="1">
        <f t="array" aca="1" ref="AB132" ca="1">IFERROR(IRR(IF(_xlfn.SEQUENCE(1, $D$119+1)=1, -$D$130, AB131)), -1)</f>
        <v>1.0839612339362046</v>
      </c>
      <c r="AC132" s="17" cm="1">
        <f t="array" aca="1" ref="AC132" ca="1">IFERROR(IRR(IF(_xlfn.SEQUENCE(1, $D$119+1)=1, -$D$130, AC131)), -1)</f>
        <v>1.034210216300286</v>
      </c>
    </row>
    <row r="133" spans="1:29" x14ac:dyDescent="0.2">
      <c r="A133" t="s">
        <v>778</v>
      </c>
      <c r="D133" s="17" cm="1">
        <f t="array" aca="1" ref="D133" ca="1">IFERROR(IRR(IF(_xlfn.SEQUENCE(1, $D$119+1)=1, -$D$130, F131)), -1)</f>
        <v>2.665967252403536</v>
      </c>
      <c r="E133" s="17" cm="1">
        <f t="array" aca="1" ref="E133" ca="1">IFERROR(IRR(IF(_xlfn.SEQUENCE(1, $D$119+1)=1, -$D$130, G131)), -1)</f>
        <v>2.5686256651556327</v>
      </c>
      <c r="F133" s="17" cm="1">
        <f t="array" aca="1" ref="F133" ca="1">IFERROR(IRR(IF(_xlfn.SEQUENCE(1, $D$119+1)=1, -$D$130, H131)), -1)</f>
        <v>2.4743836796961269</v>
      </c>
      <c r="G133" s="17" cm="1">
        <f t="array" aca="1" ref="G133" ca="1">IFERROR(IRR(IF(_xlfn.SEQUENCE(1, $D$119+1)=1, -$D$130, I131)), -1)</f>
        <v>2.38293119435692</v>
      </c>
      <c r="H133" s="17" cm="1">
        <f t="array" aca="1" ref="H133" ca="1">IFERROR(IRR(IF(_xlfn.SEQUENCE(1, $D$119+1)=1, -$D$130, J131)), -1)</f>
        <v>2.2942680907824191</v>
      </c>
      <c r="I133" s="17" cm="1">
        <f t="array" aca="1" ref="I133" ca="1">IFERROR(IRR(IF(_xlfn.SEQUENCE(1, $D$119+1)=1, -$D$130, K131)), -1)</f>
        <v>2.2083942258671412</v>
      </c>
      <c r="J133" s="17" cm="1">
        <f t="array" aca="1" ref="J133" ca="1">IFERROR(IRR(IF(_xlfn.SEQUENCE(1, $D$119+1)=1, -$D$130, L131)), -1)</f>
        <v>2.1253094278882991</v>
      </c>
      <c r="K133" s="17" cm="1">
        <f t="array" aca="1" ref="K133" ca="1">IFERROR(IRR(IF(_xlfn.SEQUENCE(1, $D$119+1)=1, -$D$130, M131)), -1)</f>
        <v>2.0443934407772133</v>
      </c>
      <c r="L133" s="17" cm="1">
        <f t="array" aca="1" ref="L133" ca="1">IFERROR(IRR(IF(_xlfn.SEQUENCE(1, $D$119+1)=1, -$D$130, N131)), -1)</f>
        <v>1.9659560139051564</v>
      </c>
      <c r="M133" s="17" cm="1">
        <f t="array" aca="1" ref="M133" ca="1">IFERROR(IRR(IF(_xlfn.SEQUENCE(1, $D$119+1)=1, -$D$130, O131)), -1)</f>
        <v>1.8896867861710991</v>
      </c>
      <c r="N133" s="17" cm="1">
        <f t="array" aca="1" ref="N133" ca="1">IFERROR(IRR(IF(_xlfn.SEQUENCE(1, $D$119+1)=1, -$D$130, P131)), -1)</f>
        <v>1.8158953985079052</v>
      </c>
      <c r="O133" s="17" cm="1">
        <f t="array" aca="1" ref="O133" ca="1">IFERROR(IRR(IF(_xlfn.SEQUENCE(1, $D$119+1)=1, -$D$130, Q131)), -1)</f>
        <v>1.9186238888906568</v>
      </c>
      <c r="P133" s="17" cm="1">
        <f t="array" aca="1" ref="P133" ca="1">IFERROR(IRR(IF(_xlfn.SEQUENCE(1, $D$119+1)=1, -$D$130, R131)), -1)</f>
        <v>1.6748139916914733</v>
      </c>
      <c r="Q133" s="17" cm="1">
        <f t="array" aca="1" ref="Q133" ca="1">IFERROR(IRR(IF(_xlfn.SEQUENCE(1, $D$119+1)=1, -$D$130, S131)), -1)</f>
        <v>1.7712670328538902</v>
      </c>
      <c r="R133" s="17" cm="1">
        <f t="array" aca="1" ref="R133" ca="1">IFERROR(IRR(IF(_xlfn.SEQUENCE(1, $D$119+1)=1, -$D$130, T131)), -1)</f>
        <v>1.7009176637803822</v>
      </c>
      <c r="S133" s="17" cm="1">
        <f t="array" aca="1" ref="S133" ca="1">IFERROR(IRR(IF(_xlfn.SEQUENCE(1, $D$119+1)=1, -$D$130, U131)), -1)</f>
        <v>1.4781941225795845</v>
      </c>
      <c r="T133" s="17" cm="1">
        <f t="array" aca="1" ref="T133" ca="1">IFERROR(IRR(IF(_xlfn.SEQUENCE(1, $D$119+1)=1, -$D$130, V131)), -1)</f>
        <v>1.5665403398161755</v>
      </c>
      <c r="U133" s="17" cm="1">
        <f t="array" aca="1" ref="U133" ca="1">IFERROR(IRR(IF(_xlfn.SEQUENCE(1, $D$119+1)=1, -$D$130, W131)), -1)</f>
        <v>1.356896753016307</v>
      </c>
      <c r="V133" s="17" cm="1">
        <f t="array" aca="1" ref="V133" ca="1">IFERROR(IRR(IF(_xlfn.SEQUENCE(1, $D$119+1)=1, -$D$130, X131)), -1)</f>
        <v>1.2991785243523415</v>
      </c>
      <c r="W133" s="17" cm="1">
        <f t="array" aca="1" ref="W133" ca="1">IFERROR(IRR(IF(_xlfn.SEQUENCE(1, $D$119+1)=1, -$D$130, Y131)), -1)</f>
        <v>1.3797631126866778</v>
      </c>
      <c r="X133" s="17" cm="1">
        <f t="array" aca="1" ref="X133" ca="1">IFERROR(IRR(IF(_xlfn.SEQUENCE(1, $D$119+1)=1, -$D$130, Z131)), -1)</f>
        <v>1.1883513280591425</v>
      </c>
      <c r="Y133" s="17" cm="1">
        <f t="array" aca="1" ref="Y133" ca="1">IFERROR(IRR(IF(_xlfn.SEQUENCE(1, $D$119+1)=1, -$D$130, AA131)), -1)</f>
        <v>1.2643097081188244</v>
      </c>
      <c r="Z133" s="17" cm="1">
        <f t="array" aca="1" ref="Z133" ca="1">IFERROR(IRR(IF(_xlfn.SEQUENCE(1, $D$119+1)=1, -$D$130, AB131)), -1)</f>
        <v>1.0839612339362046</v>
      </c>
      <c r="AA133" s="17" cm="1">
        <f t="array" aca="1" ref="AA133" ca="1">IFERROR(IRR(IF(_xlfn.SEQUENCE(1, $D$119+1)=1, -$D$130, AC131)), -1)</f>
        <v>1.034210216300286</v>
      </c>
      <c r="AB133" s="17" cm="1">
        <f t="array" ref="AB133">IFERROR(IRR(IF(_xlfn.SEQUENCE(1, $D$119+1)=1, -$D$130, AD131)), -1)</f>
        <v>-1</v>
      </c>
      <c r="AC133" s="17" cm="1">
        <f t="array" ref="AC133">IFERROR(IRR(IF(_xlfn.SEQUENCE(1, $D$119+1)=1, -$D$130, AE131)), -1)</f>
        <v>-1</v>
      </c>
    </row>
    <row r="134" spans="1:29" x14ac:dyDescent="0.2">
      <c r="A134" t="s">
        <v>779</v>
      </c>
      <c r="D134" s="17">
        <f ca="1">(1 - INDEX(Assumptions!$B:$B, MATCH("Forward IRR weight w (Blended = (1-w)·Spot + w·Forward)", Assumptions!$A:$A, 0))) * D132 + INDEX(Assumptions!$B:$B, MATCH("Forward IRR weight w (Blended = (1-w)·Spot + w·Forward)", Assumptions!$A:$A, 0)) * D133</f>
        <v>2.726975932368787</v>
      </c>
      <c r="E134" s="17">
        <f ca="1">(1 - INDEX(Assumptions!$B:$B, MATCH("Forward IRR weight w (Blended = (1-w)·Spot + w·Forward)", Assumptions!$A:$A, 0))) * E132 + INDEX(Assumptions!$B:$B, MATCH("Forward IRR weight w (Blended = (1-w)·Spot + w·Forward)", Assumptions!$A:$A, 0)) * E133</f>
        <v>2.6278675199265455</v>
      </c>
      <c r="F134" s="17">
        <f ca="1">(1 - INDEX(Assumptions!$B:$B, MATCH("Forward IRR weight w (Blended = (1-w)·Spot + w·Forward)", Assumptions!$A:$A, 0))) * F132 + INDEX(Assumptions!$B:$B, MATCH("Forward IRR weight w (Blended = (1-w)·Spot + w·Forward)", Assumptions!$A:$A, 0)) * F133</f>
        <v>2.5318587515083495</v>
      </c>
      <c r="G134" s="17">
        <f ca="1">(1 - INDEX(Assumptions!$B:$B, MATCH("Forward IRR weight w (Blended = (1-w)·Spot + w·Forward)", Assumptions!$A:$A, 0))) * G132 + INDEX(Assumptions!$B:$B, MATCH("Forward IRR weight w (Blended = (1-w)·Spot + w·Forward)", Assumptions!$A:$A, 0)) * G133</f>
        <v>2.438639535596534</v>
      </c>
      <c r="H134" s="17">
        <f ca="1">(1 - INDEX(Assumptions!$B:$B, MATCH("Forward IRR weight w (Blended = (1-w)·Spot + w·Forward)", Assumptions!$A:$A, 0))) * H132 + INDEX(Assumptions!$B:$B, MATCH("Forward IRR weight w (Blended = (1-w)·Spot + w·Forward)", Assumptions!$A:$A, 0)) * H133</f>
        <v>2.3483027674565315</v>
      </c>
      <c r="I134" s="17">
        <f ca="1">(1 - INDEX(Assumptions!$B:$B, MATCH("Forward IRR weight w (Blended = (1-w)·Spot + w·Forward)", Assumptions!$A:$A, 0))) * I132 + INDEX(Assumptions!$B:$B, MATCH("Forward IRR weight w (Blended = (1-w)·Spot + w·Forward)", Assumptions!$A:$A, 0)) * I133</f>
        <v>2.260755316414075</v>
      </c>
      <c r="J134" s="17">
        <f ca="1">(1 - INDEX(Assumptions!$B:$B, MATCH("Forward IRR weight w (Blended = (1-w)·Spot + w·Forward)", Assumptions!$A:$A, 0))) * J132 + INDEX(Assumptions!$B:$B, MATCH("Forward IRR weight w (Blended = (1-w)·Spot + w·Forward)", Assumptions!$A:$A, 0)) * J133</f>
        <v>2.1759970267565354</v>
      </c>
      <c r="K134" s="17">
        <f ca="1">(1 - INDEX(Assumptions!$B:$B, MATCH("Forward IRR weight w (Blended = (1-w)·Spot + w·Forward)", Assumptions!$A:$A, 0))) * K132 + INDEX(Assumptions!$B:$B, MATCH("Forward IRR weight w (Blended = (1-w)·Spot + w·Forward)", Assumptions!$A:$A, 0)) * K133</f>
        <v>2.0935936763041916</v>
      </c>
      <c r="L134" s="17">
        <f ca="1">(1 - INDEX(Assumptions!$B:$B, MATCH("Forward IRR weight w (Blended = (1-w)·Spot + w·Forward)", Assumptions!$A:$A, 0))) * L132 + INDEX(Assumptions!$B:$B, MATCH("Forward IRR weight w (Blended = (1-w)·Spot + w·Forward)", Assumptions!$A:$A, 0)) * L133</f>
        <v>2.0137620381000989</v>
      </c>
      <c r="M134" s="17">
        <f ca="1">(1 - INDEX(Assumptions!$B:$B, MATCH("Forward IRR weight w (Blended = (1-w)·Spot + w·Forward)", Assumptions!$A:$A, 0))) * M132 + INDEX(Assumptions!$B:$B, MATCH("Forward IRR weight w (Blended = (1-w)·Spot + w·Forward)", Assumptions!$A:$A, 0)) * M133</f>
        <v>1.9360987825529334</v>
      </c>
      <c r="N134" s="17">
        <f ca="1">(1 - INDEX(Assumptions!$B:$B, MATCH("Forward IRR weight w (Blended = (1-w)·Spot + w·Forward)", Assumptions!$A:$A, 0))) * N132 + INDEX(Assumptions!$B:$B, MATCH("Forward IRR weight w (Blended = (1-w)·Spot + w·Forward)", Assumptions!$A:$A, 0)) * N133</f>
        <v>1.8609135831270807</v>
      </c>
      <c r="O134" s="17">
        <f ca="1">(1 - INDEX(Assumptions!$B:$B, MATCH("Forward IRR weight w (Blended = (1-w)·Spot + w·Forward)", Assumptions!$A:$A, 0))) * O132 + INDEX(Assumptions!$B:$B, MATCH("Forward IRR weight w (Blended = (1-w)·Spot + w·Forward)", Assumptions!$A:$A, 0)) * O133</f>
        <v>1.9099427580747894</v>
      </c>
      <c r="P134" s="17">
        <f ca="1">(1 - INDEX(Assumptions!$B:$B, MATCH("Forward IRR weight w (Blended = (1-w)·Spot + w·Forward)", Assumptions!$A:$A, 0))) * P132 + INDEX(Assumptions!$B:$B, MATCH("Forward IRR weight w (Blended = (1-w)·Spot + w·Forward)", Assumptions!$A:$A, 0)) * P133</f>
        <v>1.7171384137364027</v>
      </c>
      <c r="Q134" s="17">
        <f ca="1">(1 - INDEX(Assumptions!$B:$B, MATCH("Forward IRR weight w (Blended = (1-w)·Spot + w·Forward)", Assumptions!$A:$A, 0))) * Q132 + INDEX(Assumptions!$B:$B, MATCH("Forward IRR weight w (Blended = (1-w)·Spot + w·Forward)", Assumptions!$A:$A, 0)) * Q133</f>
        <v>1.81547408966492</v>
      </c>
      <c r="R134" s="17">
        <f ca="1">(1 - INDEX(Assumptions!$B:$B, MATCH("Forward IRR weight w (Blended = (1-w)·Spot + w·Forward)", Assumptions!$A:$A, 0))) * R132 + INDEX(Assumptions!$B:$B, MATCH("Forward IRR weight w (Blended = (1-w)·Spot + w·Forward)", Assumptions!$A:$A, 0)) * R133</f>
        <v>1.6930865621537095</v>
      </c>
      <c r="S134" s="17">
        <f ca="1">(1 - INDEX(Assumptions!$B:$B, MATCH("Forward IRR weight w (Blended = (1-w)·Spot + w·Forward)", Assumptions!$A:$A, 0))) * S132 + INDEX(Assumptions!$B:$B, MATCH("Forward IRR weight w (Blended = (1-w)·Spot + w·Forward)", Assumptions!$A:$A, 0)) * S133</f>
        <v>1.5661159956618764</v>
      </c>
      <c r="T134" s="17">
        <f ca="1">(1 - INDEX(Assumptions!$B:$B, MATCH("Forward IRR weight w (Blended = (1-w)·Spot + w·Forward)", Assumptions!$A:$A, 0))) * T132 + INDEX(Assumptions!$B:$B, MATCH("Forward IRR weight w (Blended = (1-w)·Spot + w·Forward)", Assumptions!$A:$A, 0)) * T133</f>
        <v>1.6068535370054375</v>
      </c>
      <c r="U134" s="17">
        <f ca="1">(1 - INDEX(Assumptions!$B:$B, MATCH("Forward IRR weight w (Blended = (1-w)·Spot + w·Forward)", Assumptions!$A:$A, 0))) * U132 + INDEX(Assumptions!$B:$B, MATCH("Forward IRR weight w (Blended = (1-w)·Spot + w·Forward)", Assumptions!$A:$A, 0)) * U133</f>
        <v>1.3932859638852904</v>
      </c>
      <c r="V134" s="17">
        <f ca="1">(1 - INDEX(Assumptions!$B:$B, MATCH("Forward IRR weight w (Blended = (1-w)·Spot + w·Forward)", Assumptions!$A:$A, 0))) * V132 + INDEX(Assumptions!$B:$B, MATCH("Forward IRR weight w (Blended = (1-w)·Spot + w·Forward)", Assumptions!$A:$A, 0)) * V133</f>
        <v>1.3793870689914918</v>
      </c>
      <c r="W134" s="17">
        <f ca="1">(1 - INDEX(Assumptions!$B:$B, MATCH("Forward IRR weight w (Blended = (1-w)·Spot + w·Forward)", Assumptions!$A:$A, 0))) * W132 + INDEX(Assumptions!$B:$B, MATCH("Forward IRR weight w (Blended = (1-w)·Spot + w·Forward)", Assumptions!$A:$A, 0)) * W133</f>
        <v>1.3729032047855667</v>
      </c>
      <c r="X134" s="17">
        <f ca="1">(1 - INDEX(Assumptions!$B:$B, MATCH("Forward IRR weight w (Blended = (1-w)·Spot + w·Forward)", Assumptions!$A:$A, 0))) * X132 + INDEX(Assumptions!$B:$B, MATCH("Forward IRR weight w (Blended = (1-w)·Spot + w·Forward)", Assumptions!$A:$A, 0)) * X133</f>
        <v>1.2215994869471021</v>
      </c>
      <c r="Y134" s="17">
        <f ca="1">(1 - INDEX(Assumptions!$B:$B, MATCH("Forward IRR weight w (Blended = (1-w)·Spot + w·Forward)", Assumptions!$A:$A, 0))) * Y132 + INDEX(Assumptions!$B:$B, MATCH("Forward IRR weight w (Blended = (1-w)·Spot + w·Forward)", Assumptions!$A:$A, 0)) * Y133</f>
        <v>1.2989457294891804</v>
      </c>
      <c r="Z134" s="17">
        <f ca="1">(1 - INDEX(Assumptions!$B:$B, MATCH("Forward IRR weight w (Blended = (1-w)·Spot + w·Forward)", Assumptions!$A:$A, 0))) * Z132 + INDEX(Assumptions!$B:$B, MATCH("Forward IRR weight w (Blended = (1-w)·Spot + w·Forward)", Assumptions!$A:$A, 0)) * Z133</f>
        <v>1.1152782621730859</v>
      </c>
      <c r="AA134" s="17">
        <f ca="1">(1 - INDEX(Assumptions!$B:$B, MATCH("Forward IRR weight w (Blended = (1-w)·Spot + w·Forward)", Assumptions!$A:$A, 0))) * AA132 + INDEX(Assumptions!$B:$B, MATCH("Forward IRR weight w (Blended = (1-w)·Spot + w·Forward)", Assumptions!$A:$A, 0)) * AA133</f>
        <v>1.1032400638458475</v>
      </c>
      <c r="AB134" s="17">
        <f ca="1">(1 - INDEX(Assumptions!$B:$B, MATCH("Forward IRR weight w (Blended = (1-w)·Spot + w·Forward)", Assumptions!$A:$A, 0))) * AB132 + INDEX(Assumptions!$B:$B, MATCH("Forward IRR weight w (Blended = (1-w)·Spot + w·Forward)", Assumptions!$A:$A, 0)) * AB133</f>
        <v>-0.37481162981913851</v>
      </c>
      <c r="AC134" s="17">
        <f ca="1">(1 - INDEX(Assumptions!$B:$B, MATCH("Forward IRR weight w (Blended = (1-w)·Spot + w·Forward)", Assumptions!$A:$A, 0))) * AC132 + INDEX(Assumptions!$B:$B, MATCH("Forward IRR weight w (Blended = (1-w)·Spot + w·Forward)", Assumptions!$A:$A, 0)) * AC133</f>
        <v>-0.38973693510991414</v>
      </c>
    </row>
    <row r="140" spans="1:29" x14ac:dyDescent="0.2">
      <c r="A140" t="s">
        <v>780</v>
      </c>
      <c r="D140" cm="1">
        <f t="array" aca="1" ref="D140" ca="1">INDEX('Launch Capacity'!$D:$AC, MATCH("Starship manufacturing cost ($mm/stack, this year)", 'Launch Capacity'!$A:$A, 0), D$5+1)</f>
        <v>90</v>
      </c>
      <c r="E140" cm="1">
        <f t="array" aca="1" ref="E140" ca="1">INDEX('Launch Capacity'!$D:$AC, MATCH("Starship manufacturing cost ($mm/stack, this year)", 'Launch Capacity'!$A:$A, 0), E$5+1)</f>
        <v>89.991489074769305</v>
      </c>
      <c r="F140" cm="1">
        <f t="array" aca="1" ref="F140" ca="1">INDEX('Launch Capacity'!$D:$AC, MATCH("Starship manufacturing cost ($mm/stack, this year)", 'Launch Capacity'!$A:$A, 0), F$5+1)</f>
        <v>85.718249890851581</v>
      </c>
      <c r="G140" cm="1">
        <f t="array" aca="1" ref="G140" ca="1">INDEX('Launch Capacity'!$D:$AC, MATCH("Starship manufacturing cost ($mm/stack, this year)", 'Launch Capacity'!$A:$A, 0), G$5+1)</f>
        <v>80.830645459433185</v>
      </c>
      <c r="H140" cm="1">
        <f t="array" aca="1" ref="H140" ca="1">INDEX('Launch Capacity'!$D:$AC, MATCH("Starship manufacturing cost ($mm/stack, this year)", 'Launch Capacity'!$A:$A, 0), H$5+1)</f>
        <v>76.807130562935455</v>
      </c>
      <c r="I140" cm="1">
        <f t="array" aca="1" ref="I140" ca="1">INDEX('Launch Capacity'!$D:$AC, MATCH("Starship manufacturing cost ($mm/stack, this year)", 'Launch Capacity'!$A:$A, 0), I$5+1)</f>
        <v>74.141595549248166</v>
      </c>
      <c r="J140" cm="1">
        <f t="array" aca="1" ref="J140" ca="1">INDEX('Launch Capacity'!$D:$AC, MATCH("Starship manufacturing cost ($mm/stack, this year)", 'Launch Capacity'!$A:$A, 0), J$5+1)</f>
        <v>71.110629804395714</v>
      </c>
      <c r="K140" cm="1">
        <f t="array" aca="1" ref="K140" ca="1">INDEX('Launch Capacity'!$D:$AC, MATCH("Starship manufacturing cost ($mm/stack, this year)", 'Launch Capacity'!$A:$A, 0), K$5+1)</f>
        <v>68.811510801403486</v>
      </c>
      <c r="L140" cm="1">
        <f t="array" aca="1" ref="L140" ca="1">INDEX('Launch Capacity'!$D:$AC, MATCH("Starship manufacturing cost ($mm/stack, this year)", 'Launch Capacity'!$A:$A, 0), L$5+1)</f>
        <v>67.934069907578433</v>
      </c>
      <c r="M140" cm="1">
        <f t="array" aca="1" ref="M140" ca="1">INDEX('Launch Capacity'!$D:$AC, MATCH("Starship manufacturing cost ($mm/stack, this year)", 'Launch Capacity'!$A:$A, 0), M$5+1)</f>
        <v>64.419072699906309</v>
      </c>
      <c r="N140" cm="1">
        <f t="array" aca="1" ref="N140" ca="1">INDEX('Launch Capacity'!$D:$AC, MATCH("Starship manufacturing cost ($mm/stack, this year)", 'Launch Capacity'!$A:$A, 0), N$5+1)</f>
        <v>64.419072699906309</v>
      </c>
      <c r="O140" cm="1">
        <f t="array" aca="1" ref="O140" ca="1">INDEX('Launch Capacity'!$D:$AC, MATCH("Starship manufacturing cost ($mm/stack, this year)", 'Launch Capacity'!$A:$A, 0), O$5+1)</f>
        <v>62.12689715314783</v>
      </c>
      <c r="P140" cm="1">
        <f t="array" aca="1" ref="P140" ca="1">INDEX('Launch Capacity'!$D:$AC, MATCH("Starship manufacturing cost ($mm/stack, this year)", 'Launch Capacity'!$A:$A, 0), P$5+1)</f>
        <v>60.719950131084389</v>
      </c>
      <c r="Q140" cm="1">
        <f t="array" aca="1" ref="Q140" ca="1">INDEX('Launch Capacity'!$D:$AC, MATCH("Starship manufacturing cost ($mm/stack, this year)", 'Launch Capacity'!$A:$A, 0), Q$5+1)</f>
        <v>60.719950131084389</v>
      </c>
      <c r="R140" cm="1">
        <f t="array" aca="1" ref="R140" ca="1">INDEX('Launch Capacity'!$D:$AC, MATCH("Starship manufacturing cost ($mm/stack, this year)", 'Launch Capacity'!$A:$A, 0), R$5+1)</f>
        <v>58.417748465073757</v>
      </c>
      <c r="S140" cm="1">
        <f t="array" aca="1" ref="S140" ca="1">INDEX('Launch Capacity'!$D:$AC, MATCH("Starship manufacturing cost ($mm/stack, this year)", 'Launch Capacity'!$A:$A, 0), S$5+1)</f>
        <v>58.417748465073757</v>
      </c>
      <c r="T140" cm="1">
        <f t="array" aca="1" ref="T140" ca="1">INDEX('Launch Capacity'!$D:$AC, MATCH("Starship manufacturing cost ($mm/stack, this year)", 'Launch Capacity'!$A:$A, 0), T$5+1)</f>
        <v>57.403204906952126</v>
      </c>
      <c r="U140" cm="1">
        <f t="array" aca="1" ref="U140" ca="1">INDEX('Launch Capacity'!$D:$AC, MATCH("Starship manufacturing cost ($mm/stack, this year)", 'Launch Capacity'!$A:$A, 0), U$5+1)</f>
        <v>55.93103007428666</v>
      </c>
      <c r="V140" cm="1">
        <f t="array" aca="1" ref="V140" ca="1">INDEX('Launch Capacity'!$D:$AC, MATCH("Starship manufacturing cost ($mm/stack, this year)", 'Launch Capacity'!$A:$A, 0), V$5+1)</f>
        <v>55.93103007428666</v>
      </c>
      <c r="W140" cm="1">
        <f t="array" aca="1" ref="W140" ca="1">INDEX('Launch Capacity'!$D:$AC, MATCH("Starship manufacturing cost ($mm/stack, this year)", 'Launch Capacity'!$A:$A, 0), W$5+1)</f>
        <v>54.173883624651978</v>
      </c>
      <c r="X140" cm="1">
        <f t="array" aca="1" ref="X140" ca="1">INDEX('Launch Capacity'!$D:$AC, MATCH("Starship manufacturing cost ($mm/stack, this year)", 'Launch Capacity'!$A:$A, 0), X$5+1)</f>
        <v>54.173883624651978</v>
      </c>
      <c r="Y140" cm="1">
        <f t="array" aca="1" ref="Y140" ca="1">INDEX('Launch Capacity'!$D:$AC, MATCH("Starship manufacturing cost ($mm/stack, this year)", 'Launch Capacity'!$A:$A, 0), Y$5+1)</f>
        <v>54.128150777696696</v>
      </c>
      <c r="Z140" cm="1">
        <f t="array" aca="1" ref="Z140" ca="1">INDEX('Launch Capacity'!$D:$AC, MATCH("Starship manufacturing cost ($mm/stack, this year)", 'Launch Capacity'!$A:$A, 0), Z$5+1)</f>
        <v>52.527623089995281</v>
      </c>
      <c r="AA140" cm="1">
        <f t="array" aca="1" ref="AA140" ca="1">INDEX('Launch Capacity'!$D:$AC, MATCH("Starship manufacturing cost ($mm/stack, this year)", 'Launch Capacity'!$A:$A, 0), AA$5+1)</f>
        <v>52.527623089995281</v>
      </c>
      <c r="AB140" cm="1">
        <f t="array" aca="1" ref="AB140" ca="1">INDEX('Launch Capacity'!$D:$AC, MATCH("Starship manufacturing cost ($mm/stack, this year)", 'Launch Capacity'!$A:$A, 0), AB$5+1)</f>
        <v>51.051304846961614</v>
      </c>
      <c r="AC140" cm="1">
        <f t="array" aca="1" ref="AC140" ca="1">INDEX('Launch Capacity'!$D:$AC, MATCH("Starship manufacturing cost ($mm/stack, this year)", 'Launch Capacity'!$A:$A, 0), AC$5+1)</f>
        <v>51.051304846961614</v>
      </c>
    </row>
    <row r="141" spans="1:29" x14ac:dyDescent="0.2">
      <c r="A141" t="s">
        <v>781</v>
      </c>
      <c r="D141" s="23" cm="1">
        <f t="array" aca="1" ref="D141" ca="1">D18 - INDEX('Launch Capacity'!$D:$AC, MATCH("Starship ops + fuel + refurb cost per launch ($mm, this year)", 'Launch Capacity'!$A:$A, 0), D$5+1) - IFERROR(D48/D24, 0) * (IFERROR(INDEX(Assumptions!$B:$B, MATCH("Launch insurance % of external revenue", Assumptions!$A:$A, 0)), 0.01) + IFERROR(INDEX(Assumptions!$B:$B, MATCH("Launch other COGS % of external revenue", Assumptions!$A:$A, 0)), 0.01))</f>
        <v>-12</v>
      </c>
      <c r="E141" s="23" cm="1">
        <f t="array" aca="1" ref="E141" ca="1">E18 - INDEX('Launch Capacity'!$D:$AC, MATCH("Starship ops + fuel + refurb cost per launch ($mm, this year)", 'Launch Capacity'!$A:$A, 0), E$5+1) - IFERROR(E48/E24, 0) * (IFERROR(INDEX(Assumptions!$B:$B, MATCH("Launch insurance % of external revenue", Assumptions!$A:$A, 0)), 0.01) + IFERROR(INDEX(Assumptions!$B:$B, MATCH("Launch other COGS % of external revenue", Assumptions!$A:$A, 0)), 0.01))</f>
        <v>-11.999264306923989</v>
      </c>
      <c r="F141" s="23" cm="1">
        <f t="array" aca="1" ref="F141" ca="1">F18 - INDEX('Launch Capacity'!$D:$AC, MATCH("Starship ops + fuel + refurb cost per launch ($mm, this year)", 'Launch Capacity'!$A:$A, 0), F$5+1) - IFERROR(F48/F24, 0) * (IFERROR(INDEX(Assumptions!$B:$B, MATCH("Launch insurance % of external revenue", Assumptions!$A:$A, 0)), 0.01) + IFERROR(INDEX(Assumptions!$B:$B, MATCH("Launch other COGS % of external revenue", Assumptions!$A:$A, 0)), 0.01))</f>
        <v>51.819905128454963</v>
      </c>
      <c r="G141" s="23" cm="1">
        <f t="array" aca="1" ref="G141" ca="1">G18 - INDEX('Launch Capacity'!$D:$AC, MATCH("Starship ops + fuel + refurb cost per launch ($mm, this year)", 'Launch Capacity'!$A:$A, 0), G$5+1) - IFERROR(G48/G24, 0) * (IFERROR(INDEX(Assumptions!$B:$B, MATCH("Launch insurance % of external revenue", Assumptions!$A:$A, 0)), 0.01) + IFERROR(INDEX(Assumptions!$B:$B, MATCH("Launch other COGS % of external revenue", Assumptions!$A:$A, 0)), 0.01))</f>
        <v>42.151773659640121</v>
      </c>
      <c r="H141" s="23" cm="1">
        <f t="array" aca="1" ref="H141" ca="1">H18 - INDEX('Launch Capacity'!$D:$AC, MATCH("Starship ops + fuel + refurb cost per launch ($mm, this year)", 'Launch Capacity'!$A:$A, 0), H$5+1) - IFERROR(H48/H24, 0) * (IFERROR(INDEX(Assumptions!$B:$B, MATCH("Launch insurance % of external revenue", Assumptions!$A:$A, 0)), 0.01) + IFERROR(INDEX(Assumptions!$B:$B, MATCH("Launch other COGS % of external revenue", Assumptions!$A:$A, 0)), 0.01))</f>
        <v>35.954240979142142</v>
      </c>
      <c r="I141" s="23" cm="1">
        <f t="array" aca="1" ref="I141" ca="1">I18 - INDEX('Launch Capacity'!$D:$AC, MATCH("Starship ops + fuel + refurb cost per launch ($mm, this year)", 'Launch Capacity'!$A:$A, 0), I$5+1) - IFERROR(I48/I24, 0) * (IFERROR(INDEX(Assumptions!$B:$B, MATCH("Launch insurance % of external revenue", Assumptions!$A:$A, 0)), 0.01) + IFERROR(INDEX(Assumptions!$B:$B, MATCH("Launch other COGS % of external revenue", Assumptions!$A:$A, 0)), 0.01))</f>
        <v>32.147442530574246</v>
      </c>
      <c r="J141" s="23" cm="1">
        <f t="array" aca="1" ref="J141" ca="1">J18 - INDEX('Launch Capacity'!$D:$AC, MATCH("Starship ops + fuel + refurb cost per launch ($mm, this year)", 'Launch Capacity'!$A:$A, 0), J$5+1) - IFERROR(J48/J24, 0) * (IFERROR(INDEX(Assumptions!$B:$B, MATCH("Launch insurance % of external revenue", Assumptions!$A:$A, 0)), 0.01) + IFERROR(INDEX(Assumptions!$B:$B, MATCH("Launch other COGS % of external revenue", Assumptions!$A:$A, 0)), 0.01))</f>
        <v>28.805681689139977</v>
      </c>
      <c r="K141" s="23" cm="1">
        <f t="array" aca="1" ref="K141" ca="1">K18 - INDEX('Launch Capacity'!$D:$AC, MATCH("Starship ops + fuel + refurb cost per launch ($mm, this year)", 'Launch Capacity'!$A:$A, 0), K$5+1) - IFERROR(K48/K24, 0) * (IFERROR(INDEX(Assumptions!$B:$B, MATCH("Launch insurance % of external revenue", Assumptions!$A:$A, 0)), 0.01) + IFERROR(INDEX(Assumptions!$B:$B, MATCH("Launch other COGS % of external revenue", Assumptions!$A:$A, 0)), 0.01))</f>
        <v>25.93601443399163</v>
      </c>
      <c r="L141" s="23" cm="1">
        <f t="array" aca="1" ref="L141" ca="1">L18 - INDEX('Launch Capacity'!$D:$AC, MATCH("Starship ops + fuel + refurb cost per launch ($mm, this year)", 'Launch Capacity'!$A:$A, 0), L$5+1) - IFERROR(L48/L24, 0) * (IFERROR(INDEX(Assumptions!$B:$B, MATCH("Launch insurance % of external revenue", Assumptions!$A:$A, 0)), 0.01) + IFERROR(INDEX(Assumptions!$B:$B, MATCH("Launch other COGS % of external revenue", Assumptions!$A:$A, 0)), 0.01))</f>
        <v>23.758167072757544</v>
      </c>
      <c r="M141" s="23" cm="1">
        <f t="array" aca="1" ref="M141" ca="1">M18 - INDEX('Launch Capacity'!$D:$AC, MATCH("Starship ops + fuel + refurb cost per launch ($mm, this year)", 'Launch Capacity'!$A:$A, 0), M$5+1) - IFERROR(M48/M24, 0) * (IFERROR(INDEX(Assumptions!$B:$B, MATCH("Launch insurance % of external revenue", Assumptions!$A:$A, 0)), 0.01) + IFERROR(INDEX(Assumptions!$B:$B, MATCH("Launch other COGS % of external revenue", Assumptions!$A:$A, 0)), 0.01))</f>
        <v>21.212955969929382</v>
      </c>
      <c r="N141" s="23" cm="1">
        <f t="array" aca="1" ref="N141" ca="1">N18 - INDEX('Launch Capacity'!$D:$AC, MATCH("Starship ops + fuel + refurb cost per launch ($mm, this year)", 'Launch Capacity'!$A:$A, 0), N$5+1) - IFERROR(N48/N24, 0) * (IFERROR(INDEX(Assumptions!$B:$B, MATCH("Launch insurance % of external revenue", Assumptions!$A:$A, 0)), 0.01) + IFERROR(INDEX(Assumptions!$B:$B, MATCH("Launch other COGS % of external revenue", Assumptions!$A:$A, 0)), 0.01))</f>
        <v>19.734211933571459</v>
      </c>
      <c r="O141" s="23" cm="1">
        <f t="array" aca="1" ref="O141" ca="1">O18 - INDEX('Launch Capacity'!$D:$AC, MATCH("Starship ops + fuel + refurb cost per launch ($mm, this year)", 'Launch Capacity'!$A:$A, 0), O$5+1) - IFERROR(O48/O24, 0) * (IFERROR(INDEX(Assumptions!$B:$B, MATCH("Launch insurance % of external revenue", Assumptions!$A:$A, 0)), 0.01) + IFERROR(INDEX(Assumptions!$B:$B, MATCH("Launch other COGS % of external revenue", Assumptions!$A:$A, 0)), 0.01))</f>
        <v>17.928001436257642</v>
      </c>
      <c r="P141" s="23" cm="1">
        <f t="array" aca="1" ref="P141" ca="1">P18 - INDEX('Launch Capacity'!$D:$AC, MATCH("Starship ops + fuel + refurb cost per launch ($mm, this year)", 'Launch Capacity'!$A:$A, 0), P$5+1) - IFERROR(P48/P24, 0) * (IFERROR(INDEX(Assumptions!$B:$B, MATCH("Launch insurance % of external revenue", Assumptions!$A:$A, 0)), 0.01) + IFERROR(INDEX(Assumptions!$B:$B, MATCH("Launch other COGS % of external revenue", Assumptions!$A:$A, 0)), 0.01))</f>
        <v>16.427745065048875</v>
      </c>
      <c r="Q141" s="23" cm="1">
        <f t="array" aca="1" ref="Q141" ca="1">Q18 - INDEX('Launch Capacity'!$D:$AC, MATCH("Starship ops + fuel + refurb cost per launch ($mm, this year)", 'Launch Capacity'!$A:$A, 0), Q$5+1) - IFERROR(Q48/Q24, 0) * (IFERROR(INDEX(Assumptions!$B:$B, MATCH("Launch insurance % of external revenue", Assumptions!$A:$A, 0)), 0.01) + IFERROR(INDEX(Assumptions!$B:$B, MATCH("Launch other COGS % of external revenue", Assumptions!$A:$A, 0)), 0.01))</f>
        <v>15.283097315034917</v>
      </c>
      <c r="R141" s="23" cm="1">
        <f t="array" aca="1" ref="R141" ca="1">R18 - INDEX('Launch Capacity'!$D:$AC, MATCH("Starship ops + fuel + refurb cost per launch ($mm, this year)", 'Launch Capacity'!$A:$A, 0), R$5+1) - IFERROR(R48/R24, 0) * (IFERROR(INDEX(Assumptions!$B:$B, MATCH("Launch insurance % of external revenue", Assumptions!$A:$A, 0)), 0.01) + IFERROR(INDEX(Assumptions!$B:$B, MATCH("Launch other COGS % of external revenue", Assumptions!$A:$A, 0)), 0.01))</f>
        <v>13.809455155164139</v>
      </c>
      <c r="S141" s="23" cm="1">
        <f t="array" aca="1" ref="S141" ca="1">S18 - INDEX('Launch Capacity'!$D:$AC, MATCH("Starship ops + fuel + refurb cost per launch ($mm, this year)", 'Launch Capacity'!$A:$A, 0), S$5+1) - IFERROR(S48/S24, 0) * (IFERROR(INDEX(Assumptions!$B:$B, MATCH("Launch insurance % of external revenue", Assumptions!$A:$A, 0)), 0.01) + IFERROR(INDEX(Assumptions!$B:$B, MATCH("Launch other COGS % of external revenue", Assumptions!$A:$A, 0)), 0.01))</f>
        <v>12.805420314319353</v>
      </c>
      <c r="T141" s="23" cm="1">
        <f t="array" aca="1" ref="T141" ca="1">T18 - INDEX('Launch Capacity'!$D:$AC, MATCH("Starship ops + fuel + refurb cost per launch ($mm, this year)", 'Launch Capacity'!$A:$A, 0), T$5+1) - IFERROR(T48/T24, 0) * (IFERROR(INDEX(Assumptions!$B:$B, MATCH("Launch insurance % of external revenue", Assumptions!$A:$A, 0)), 0.01) + IFERROR(INDEX(Assumptions!$B:$B, MATCH("Launch other COGS % of external revenue", Assumptions!$A:$A, 0)), 0.01))</f>
        <v>11.726383469036842</v>
      </c>
      <c r="U141" s="23" cm="1">
        <f t="array" aca="1" ref="U141" ca="1">U18 - INDEX('Launch Capacity'!$D:$AC, MATCH("Starship ops + fuel + refurb cost per launch ($mm, this year)", 'Launch Capacity'!$A:$A, 0), U$5+1) - IFERROR(U48/U24, 0) * (IFERROR(INDEX(Assumptions!$B:$B, MATCH("Launch insurance % of external revenue", Assumptions!$A:$A, 0)), 0.01) + IFERROR(INDEX(Assumptions!$B:$B, MATCH("Launch other COGS % of external revenue", Assumptions!$A:$A, 0)), 0.01))</f>
        <v>10.645882763600156</v>
      </c>
      <c r="V141" s="23" cm="1">
        <f t="array" aca="1" ref="V141" ca="1">V18 - INDEX('Launch Capacity'!$D:$AC, MATCH("Starship ops + fuel + refurb cost per launch ($mm, this year)", 'Launch Capacity'!$A:$A, 0), V$5+1) - IFERROR(V48/V24, 0) * (IFERROR(INDEX(Assumptions!$B:$B, MATCH("Launch insurance % of external revenue", Assumptions!$A:$A, 0)), 0.01) + IFERROR(INDEX(Assumptions!$B:$B, MATCH("Launch other COGS % of external revenue", Assumptions!$A:$A, 0)), 0.01))</f>
        <v>9.8194169929876853</v>
      </c>
      <c r="W141" s="23" cm="1">
        <f t="array" aca="1" ref="W141" ca="1">W18 - INDEX('Launch Capacity'!$D:$AC, MATCH("Starship ops + fuel + refurb cost per launch ($mm, this year)", 'Launch Capacity'!$A:$A, 0), W$5+1) - IFERROR(W48/W24, 0) * (IFERROR(INDEX(Assumptions!$B:$B, MATCH("Launch insurance % of external revenue", Assumptions!$A:$A, 0)), 0.01) + IFERROR(INDEX(Assumptions!$B:$B, MATCH("Launch other COGS % of external revenue", Assumptions!$A:$A, 0)), 0.01))</f>
        <v>8.8222291839776243</v>
      </c>
      <c r="X141" s="23" cm="1">
        <f t="array" aca="1" ref="X141" ca="1">X18 - INDEX('Launch Capacity'!$D:$AC, MATCH("Starship ops + fuel + refurb cost per launch ($mm, this year)", 'Launch Capacity'!$A:$A, 0), X$5+1) - IFERROR(X48/X24, 0) * (IFERROR(INDEX(Assumptions!$B:$B, MATCH("Launch insurance % of external revenue", Assumptions!$A:$A, 0)), 0.01) + IFERROR(INDEX(Assumptions!$B:$B, MATCH("Launch other COGS % of external revenue", Assumptions!$A:$A, 0)), 0.01))</f>
        <v>8.0819671613814617</v>
      </c>
      <c r="Y141" s="23" cm="1">
        <f t="array" aca="1" ref="Y141" ca="1">Y18 - INDEX('Launch Capacity'!$D:$AC, MATCH("Starship ops + fuel + refurb cost per launch ($mm, this year)", 'Launch Capacity'!$A:$A, 0), Y$5+1) - IFERROR(Y48/Y24, 0) * (IFERROR(INDEX(Assumptions!$B:$B, MATCH("Launch insurance % of external revenue", Assumptions!$A:$A, 0)), 0.01) + IFERROR(INDEX(Assumptions!$B:$B, MATCH("Launch other COGS % of external revenue", Assumptions!$A:$A, 0)), 0.01))</f>
        <v>7.3795067245467632</v>
      </c>
      <c r="Z141" s="23" cm="1">
        <f t="array" aca="1" ref="Z141" ca="1">Z18 - INDEX('Launch Capacity'!$D:$AC, MATCH("Starship ops + fuel + refurb cost per launch ($mm, this year)", 'Launch Capacity'!$A:$A, 0), Z$5+1) - IFERROR(Z48/Z24, 0) * (IFERROR(INDEX(Assumptions!$B:$B, MATCH("Launch insurance % of external revenue", Assumptions!$A:$A, 0)), 0.01) + IFERROR(INDEX(Assumptions!$B:$B, MATCH("Launch other COGS % of external revenue", Assumptions!$A:$A, 0)), 0.01))</f>
        <v>6.5647122721907758</v>
      </c>
      <c r="AA141" s="23" cm="1">
        <f t="array" aca="1" ref="AA141" ca="1">AA18 - INDEX('Launch Capacity'!$D:$AC, MATCH("Starship ops + fuel + refurb cost per launch ($mm, this year)", 'Launch Capacity'!$A:$A, 0), AA$5+1) - IFERROR(AA48/AA24, 0) * (IFERROR(INDEX(Assumptions!$B:$B, MATCH("Launch insurance % of external revenue", Assumptions!$A:$A, 0)), 0.01) + IFERROR(INDEX(Assumptions!$B:$B, MATCH("Launch other COGS % of external revenue", Assumptions!$A:$A, 0)), 0.01))</f>
        <v>5.9372912116568095</v>
      </c>
      <c r="AB141" s="23" cm="1">
        <f t="array" aca="1" ref="AB141" ca="1">AB18 - INDEX('Launch Capacity'!$D:$AC, MATCH("Starship ops + fuel + refurb cost per launch ($mm, this year)", 'Launch Capacity'!$A:$A, 0), AB$5+1) - IFERROR(AB48/AB24, 0) * (IFERROR(INDEX(Assumptions!$B:$B, MATCH("Launch insurance % of external revenue", Assumptions!$A:$A, 0)), 0.01) + IFERROR(INDEX(Assumptions!$B:$B, MATCH("Launch other COGS % of external revenue", Assumptions!$A:$A, 0)), 0.01))</f>
        <v>5.2238713306445499</v>
      </c>
      <c r="AC141" s="23" cm="1">
        <f t="array" aca="1" ref="AC141" ca="1">AC18 - INDEX('Launch Capacity'!$D:$AC, MATCH("Starship ops + fuel + refurb cost per launch ($mm, this year)", 'Launch Capacity'!$A:$A, 0), AC$5+1) - IFERROR(AC48/AC24, 0) * (IFERROR(INDEX(Assumptions!$B:$B, MATCH("Launch insurance % of external revenue", Assumptions!$A:$A, 0)), 0.01) + IFERROR(INDEX(Assumptions!$B:$B, MATCH("Launch other COGS % of external revenue", Assumptions!$A:$A, 0)), 0.01))</f>
        <v>4.6588986726095714</v>
      </c>
    </row>
    <row r="142" spans="1:29" x14ac:dyDescent="0.2">
      <c r="A142" t="s">
        <v>782</v>
      </c>
      <c r="D142" s="17" cm="1">
        <f t="array" aca="1" ref="D142" ca="1">IFERROR(IRR(IF(_xlfn.SEQUENCE(1, D121+1)=1, -D140, D141)), 0)</f>
        <v>0</v>
      </c>
      <c r="E142" s="17" cm="1">
        <f t="array" aca="1" ref="E142" ca="1">IFERROR(IRR(IF(_xlfn.SEQUENCE(1, E121+1)=1, -E140, E141)), 0)</f>
        <v>0</v>
      </c>
      <c r="F142" s="17" cm="1">
        <f t="array" aca="1" ref="F142" ca="1">IFERROR(IRR(IF(_xlfn.SEQUENCE(1, F121+1)=1, -F140, F141)), 0)</f>
        <v>0.59900505581653318</v>
      </c>
      <c r="G142" s="17" cm="1">
        <f t="array" aca="1" ref="G142" ca="1">IFERROR(IRR(IF(_xlfn.SEQUENCE(1, G121+1)=1, -G140, G141)), 0)</f>
        <v>0.51319776498658554</v>
      </c>
      <c r="H142" s="17" cm="1">
        <f t="array" aca="1" ref="H142" ca="1">IFERROR(IRR(IF(_xlfn.SEQUENCE(1, H121+1)=1, -H140, H141)), 0)</f>
        <v>0.45727295733612294</v>
      </c>
      <c r="I142" s="17" cm="1">
        <f t="array" aca="1" ref="I142" ca="1">IFERROR(IRR(IF(_xlfn.SEQUENCE(1, I121+1)=1, -I140, I141)), 0)</f>
        <v>0.42064660145532651</v>
      </c>
      <c r="J142" s="17" cm="1">
        <f t="array" aca="1" ref="J142" ca="1">IFERROR(IRR(IF(_xlfn.SEQUENCE(1, J121+1)=1, -J140, J141)), 0)</f>
        <v>0.39004207475759722</v>
      </c>
      <c r="K142" s="17" cm="1">
        <f t="array" aca="1" ref="K142" ca="1">IFERROR(IRR(IF(_xlfn.SEQUENCE(1, K121+1)=1, -K140, K141)), 0)</f>
        <v>0.35942835965201025</v>
      </c>
      <c r="L142" s="17" cm="1">
        <f t="array" aca="1" ref="L142" ca="1">IFERROR(IRR(IF(_xlfn.SEQUENCE(1, L121+1)=1, -L140, L141)), 0)</f>
        <v>0.32944624483034013</v>
      </c>
      <c r="M142" s="17" cm="1">
        <f t="array" aca="1" ref="M142" ca="1">IFERROR(IRR(IF(_xlfn.SEQUENCE(1, M121+1)=1, -M140, M141)), 0)</f>
        <v>0.30658690368066721</v>
      </c>
      <c r="N142" s="17" cm="1">
        <f t="array" aca="1" ref="N142" ca="1">IFERROR(IRR(IF(_xlfn.SEQUENCE(1, N121+1)=1, -N140, N141)), 0)</f>
        <v>0.28049270199374865</v>
      </c>
      <c r="O142" s="17" cm="1">
        <f t="array" aca="1" ref="O142" ca="1">IFERROR(IRR(IF(_xlfn.SEQUENCE(1, O121+1)=1, -O140, O141)), 0)</f>
        <v>0.25994667065974375</v>
      </c>
      <c r="P142" s="17" cm="1">
        <f t="array" aca="1" ref="P142" ca="1">IFERROR(IRR(IF(_xlfn.SEQUENCE(1, P121+1)=1, -P140, P141)), 0)</f>
        <v>0.23875086930218381</v>
      </c>
      <c r="Q142" s="17" cm="1">
        <f t="array" aca="1" ref="Q142" ca="1">IFERROR(IRR(IF(_xlfn.SEQUENCE(1, Q121+1)=1, -Q140, Q141)), 0)</f>
        <v>0.21612779620857392</v>
      </c>
      <c r="R142" s="17" cm="1">
        <f t="array" aca="1" ref="R142" ca="1">IFERROR(IRR(IF(_xlfn.SEQUENCE(1, R121+1)=1, -R140, R141)), 0)</f>
        <v>0.19736402662943653</v>
      </c>
      <c r="S142" s="17" cm="1">
        <f t="array" aca="1" ref="S142" ca="1">IFERROR(IRR(IF(_xlfn.SEQUENCE(1, S121+1)=1, -S140, S141)), 0)</f>
        <v>0.17580286114758992</v>
      </c>
      <c r="T142" s="17" cm="1">
        <f t="array" aca="1" ref="T142" ca="1">IFERROR(IRR(IF(_xlfn.SEQUENCE(1, T121+1)=1, -T140, T141)), 0)</f>
        <v>0.15659050586523593</v>
      </c>
      <c r="U142" s="17" cm="1">
        <f t="array" aca="1" ref="U142" ca="1">IFERROR(IRR(IF(_xlfn.SEQUENCE(1, U121+1)=1, -U140, U141)), 0)</f>
        <v>0.13816088927105485</v>
      </c>
      <c r="V142" s="17" cm="1">
        <f t="array" aca="1" ref="V142" ca="1">IFERROR(IRR(IF(_xlfn.SEQUENCE(1, V121+1)=1, -V140, V141)), 0)</f>
        <v>0.11803501475700062</v>
      </c>
      <c r="W142" s="17" cm="1">
        <f t="array" aca="1" ref="W142" ca="1">IFERROR(IRR(IF(_xlfn.SEQUENCE(1, W121+1)=1, -W140, W141)), 0)</f>
        <v>0.10014992311986015</v>
      </c>
      <c r="X142" s="17" cm="1">
        <f t="array" aca="1" ref="X142" ca="1">IFERROR(IRR(IF(_xlfn.SEQUENCE(1, X121+1)=1, -X140, X141)), 0)</f>
        <v>8.0232290980281729E-2</v>
      </c>
      <c r="Y142" s="17" cm="1">
        <f t="array" aca="1" ref="Y142" ca="1">IFERROR(IRR(IF(_xlfn.SEQUENCE(1, Y121+1)=1, -Y140, Y141)), 0)</f>
        <v>6.0723385792913698E-2</v>
      </c>
      <c r="Z142" s="17" cm="1">
        <f t="array" aca="1" ref="Z142" ca="1">IFERROR(IRR(IF(_xlfn.SEQUENCE(1, Z121+1)=1, -Z140, Z141)), 0)</f>
        <v>4.273675876161076E-2</v>
      </c>
      <c r="AA142" s="17" cm="1">
        <f t="array" aca="1" ref="AA142" ca="1">IFERROR(IRR(IF(_xlfn.SEQUENCE(1, AA121+1)=1, -AA140, AA141)), 0)</f>
        <v>2.2916008967099666E-2</v>
      </c>
      <c r="AB142" s="17" cm="1">
        <f t="array" aca="1" ref="AB142" ca="1">IFERROR(IRR(IF(_xlfn.SEQUENCE(1, AB121+1)=1, -AB140, AB141)), 0)</f>
        <v>4.2024958658348766E-3</v>
      </c>
      <c r="AC142" s="17" cm="1">
        <f t="array" aca="1" ref="AC142" ca="1">IFERROR(IRR(IF(_xlfn.SEQUENCE(1, AC121+1)=1, -AC140, AC141)), 0)</f>
        <v>-1.6293783873601253E-2</v>
      </c>
    </row>
    <row r="143" spans="1:29" x14ac:dyDescent="0.2">
      <c r="A143" t="s">
        <v>783</v>
      </c>
      <c r="D143" s="17" cm="1">
        <f t="array" aca="1" ref="D143" ca="1">IFERROR(IRR(IF(_xlfn.SEQUENCE(1, F121+1)=1, -F140, F141)), 0)</f>
        <v>0.59900505581653318</v>
      </c>
      <c r="E143" s="17" cm="1">
        <f t="array" aca="1" ref="E143" ca="1">IFERROR(IRR(IF(_xlfn.SEQUENCE(1, G121+1)=1, -G140, G141)), 0)</f>
        <v>0.51319776498658554</v>
      </c>
      <c r="F143" s="17" cm="1">
        <f t="array" aca="1" ref="F143" ca="1">IFERROR(IRR(IF(_xlfn.SEQUENCE(1, H121+1)=1, -H140, H141)), 0)</f>
        <v>0.45727295733612294</v>
      </c>
      <c r="G143" s="17" cm="1">
        <f t="array" aca="1" ref="G143" ca="1">IFERROR(IRR(IF(_xlfn.SEQUENCE(1, I121+1)=1, -I140, I141)), 0)</f>
        <v>0.42064660145532651</v>
      </c>
      <c r="H143" s="17" cm="1">
        <f t="array" aca="1" ref="H143" ca="1">IFERROR(IRR(IF(_xlfn.SEQUENCE(1, J121+1)=1, -J140, J141)), 0)</f>
        <v>0.39004207475759722</v>
      </c>
      <c r="I143" s="17" cm="1">
        <f t="array" aca="1" ref="I143" ca="1">IFERROR(IRR(IF(_xlfn.SEQUENCE(1, K121+1)=1, -K140, K141)), 0)</f>
        <v>0.35942835965201025</v>
      </c>
      <c r="J143" s="17" cm="1">
        <f t="array" aca="1" ref="J143" ca="1">IFERROR(IRR(IF(_xlfn.SEQUENCE(1, L121+1)=1, -L140, L141)), 0)</f>
        <v>0.32944624483034013</v>
      </c>
      <c r="K143" s="17" cm="1">
        <f t="array" aca="1" ref="K143" ca="1">IFERROR(IRR(IF(_xlfn.SEQUENCE(1, M121+1)=1, -M140, M141)), 0)</f>
        <v>0.30658690368066721</v>
      </c>
      <c r="L143" s="17" cm="1">
        <f t="array" aca="1" ref="L143" ca="1">IFERROR(IRR(IF(_xlfn.SEQUENCE(1, N121+1)=1, -N140, N141)), 0)</f>
        <v>0.28049270199374865</v>
      </c>
      <c r="M143" s="17" cm="1">
        <f t="array" aca="1" ref="M143" ca="1">IFERROR(IRR(IF(_xlfn.SEQUENCE(1, O121+1)=1, -O140, O141)), 0)</f>
        <v>0.25994667065974375</v>
      </c>
      <c r="N143" s="17" cm="1">
        <f t="array" aca="1" ref="N143" ca="1">IFERROR(IRR(IF(_xlfn.SEQUENCE(1, P121+1)=1, -P140, P141)), 0)</f>
        <v>0.23875086930218381</v>
      </c>
      <c r="O143" s="17" cm="1">
        <f t="array" aca="1" ref="O143" ca="1">IFERROR(IRR(IF(_xlfn.SEQUENCE(1, Q121+1)=1, -Q140, Q141)), 0)</f>
        <v>0.21612779620857392</v>
      </c>
      <c r="P143" s="17" cm="1">
        <f t="array" aca="1" ref="P143" ca="1">IFERROR(IRR(IF(_xlfn.SEQUENCE(1, R121+1)=1, -R140, R141)), 0)</f>
        <v>0.19736402662943653</v>
      </c>
      <c r="Q143" s="17" cm="1">
        <f t="array" aca="1" ref="Q143" ca="1">IFERROR(IRR(IF(_xlfn.SEQUENCE(1, S121+1)=1, -S140, S141)), 0)</f>
        <v>0.17580286114758992</v>
      </c>
      <c r="R143" s="17" cm="1">
        <f t="array" aca="1" ref="R143" ca="1">IFERROR(IRR(IF(_xlfn.SEQUENCE(1, T121+1)=1, -T140, T141)), 0)</f>
        <v>0.15659050586523593</v>
      </c>
      <c r="S143" s="17" cm="1">
        <f t="array" aca="1" ref="S143" ca="1">IFERROR(IRR(IF(_xlfn.SEQUENCE(1, U121+1)=1, -U140, U141)), 0)</f>
        <v>0.13816088927105485</v>
      </c>
      <c r="T143" s="17" cm="1">
        <f t="array" aca="1" ref="T143" ca="1">IFERROR(IRR(IF(_xlfn.SEQUENCE(1, V121+1)=1, -V140, V141)), 0)</f>
        <v>0.11803501475700062</v>
      </c>
      <c r="U143" s="17" cm="1">
        <f t="array" aca="1" ref="U143" ca="1">IFERROR(IRR(IF(_xlfn.SEQUENCE(1, W121+1)=1, -W140, W141)), 0)</f>
        <v>0.10014992311986015</v>
      </c>
      <c r="V143" s="17" cm="1">
        <f t="array" aca="1" ref="V143" ca="1">IFERROR(IRR(IF(_xlfn.SEQUENCE(1, X121+1)=1, -X140, X141)), 0)</f>
        <v>8.0232290980281729E-2</v>
      </c>
      <c r="W143" s="17" cm="1">
        <f t="array" aca="1" ref="W143" ca="1">IFERROR(IRR(IF(_xlfn.SEQUENCE(1, Y121+1)=1, -Y140, Y141)), 0)</f>
        <v>6.0723385792913698E-2</v>
      </c>
      <c r="X143" s="17" cm="1">
        <f t="array" aca="1" ref="X143" ca="1">IFERROR(IRR(IF(_xlfn.SEQUENCE(1, Z121+1)=1, -Z140, Z141)), 0)</f>
        <v>4.273675876161076E-2</v>
      </c>
      <c r="Y143" s="17" cm="1">
        <f t="array" aca="1" ref="Y143" ca="1">IFERROR(IRR(IF(_xlfn.SEQUENCE(1, AA121+1)=1, -AA140, AA141)), 0)</f>
        <v>2.2916008967099666E-2</v>
      </c>
      <c r="Z143" s="17" cm="1">
        <f t="array" aca="1" ref="Z143" ca="1">IFERROR(IRR(IF(_xlfn.SEQUENCE(1, AB121+1)=1, -AB140, AB141)), 0)</f>
        <v>4.2024958658348766E-3</v>
      </c>
      <c r="AA143" s="17" cm="1">
        <f t="array" aca="1" ref="AA143" ca="1">IFERROR(IRR(IF(_xlfn.SEQUENCE(1, AC121+1)=1, -AC140, AC141)), 0)</f>
        <v>-1.6293783873601253E-2</v>
      </c>
      <c r="AB143" s="17" cm="1">
        <f t="array" ref="AB143">IFERROR(IRR(IF(_xlfn.SEQUENCE(1, AD121+1)=1, -AD140, AD141)), 0)</f>
        <v>0</v>
      </c>
      <c r="AC143" s="17" cm="1">
        <f t="array" ref="AC143">IFERROR(IRR(IF(_xlfn.SEQUENCE(1, AE121+1)=1, -AE140, AE141)), 0)</f>
        <v>0</v>
      </c>
    </row>
    <row r="144" spans="1:29" x14ac:dyDescent="0.2">
      <c r="A144" t="s">
        <v>784</v>
      </c>
      <c r="D144" s="17">
        <f ca="1">(1 - INDEX(Assumptions!$B:$B, MATCH("Forward IRR weight w (Blended = (1-w)·Spot + w·Forward)", Assumptions!$A:$A, 0))) * D142 + INDEX(Assumptions!$B:$B, MATCH("Forward IRR weight w (Blended = (1-w)·Spot + w·Forward)", Assumptions!$A:$A, 0)) * D143</f>
        <v>0.41930353907157319</v>
      </c>
      <c r="E144" s="17">
        <f ca="1">(1 - INDEX(Assumptions!$B:$B, MATCH("Forward IRR weight w (Blended = (1-w)·Spot + w·Forward)", Assumptions!$A:$A, 0))) * E142 + INDEX(Assumptions!$B:$B, MATCH("Forward IRR weight w (Blended = (1-w)·Spot + w·Forward)", Assumptions!$A:$A, 0)) * E143</f>
        <v>0.35923843549060985</v>
      </c>
      <c r="F144" s="17">
        <f ca="1">(1 - INDEX(Assumptions!$B:$B, MATCH("Forward IRR weight w (Blended = (1-w)·Spot + w·Forward)", Assumptions!$A:$A, 0))) * F142 + INDEX(Assumptions!$B:$B, MATCH("Forward IRR weight w (Blended = (1-w)·Spot + w·Forward)", Assumptions!$A:$A, 0)) * F143</f>
        <v>0.49979258688024603</v>
      </c>
      <c r="G144" s="17">
        <f ca="1">(1 - INDEX(Assumptions!$B:$B, MATCH("Forward IRR weight w (Blended = (1-w)·Spot + w·Forward)", Assumptions!$A:$A, 0))) * G142 + INDEX(Assumptions!$B:$B, MATCH("Forward IRR weight w (Blended = (1-w)·Spot + w·Forward)", Assumptions!$A:$A, 0)) * G143</f>
        <v>0.44841195051470423</v>
      </c>
      <c r="H144" s="17">
        <f ca="1">(1 - INDEX(Assumptions!$B:$B, MATCH("Forward IRR weight w (Blended = (1-w)·Spot + w·Forward)", Assumptions!$A:$A, 0))) * H142 + INDEX(Assumptions!$B:$B, MATCH("Forward IRR weight w (Blended = (1-w)·Spot + w·Forward)", Assumptions!$A:$A, 0)) * H143</f>
        <v>0.41021133953115496</v>
      </c>
      <c r="I144" s="17">
        <f ca="1">(1 - INDEX(Assumptions!$B:$B, MATCH("Forward IRR weight w (Blended = (1-w)·Spot + w·Forward)", Assumptions!$A:$A, 0))) * I142 + INDEX(Assumptions!$B:$B, MATCH("Forward IRR weight w (Blended = (1-w)·Spot + w·Forward)", Assumptions!$A:$A, 0)) * I143</f>
        <v>0.37779383219300511</v>
      </c>
      <c r="J144" s="17">
        <f ca="1">(1 - INDEX(Assumptions!$B:$B, MATCH("Forward IRR weight w (Blended = (1-w)·Spot + w·Forward)", Assumptions!$A:$A, 0))) * J142 + INDEX(Assumptions!$B:$B, MATCH("Forward IRR weight w (Blended = (1-w)·Spot + w·Forward)", Assumptions!$A:$A, 0)) * J143</f>
        <v>0.34762499380851725</v>
      </c>
      <c r="K144" s="17">
        <f ca="1">(1 - INDEX(Assumptions!$B:$B, MATCH("Forward IRR weight w (Blended = (1-w)·Spot + w·Forward)", Assumptions!$A:$A, 0))) * K142 + INDEX(Assumptions!$B:$B, MATCH("Forward IRR weight w (Blended = (1-w)·Spot + w·Forward)", Assumptions!$A:$A, 0)) * K143</f>
        <v>0.32243934047207012</v>
      </c>
      <c r="L144" s="17">
        <f ca="1">(1 - INDEX(Assumptions!$B:$B, MATCH("Forward IRR weight w (Blended = (1-w)·Spot + w·Forward)", Assumptions!$A:$A, 0))) * L142 + INDEX(Assumptions!$B:$B, MATCH("Forward IRR weight w (Blended = (1-w)·Spot + w·Forward)", Assumptions!$A:$A, 0)) * L143</f>
        <v>0.2951787648447261</v>
      </c>
      <c r="M144" s="17">
        <f ca="1">(1 - INDEX(Assumptions!$B:$B, MATCH("Forward IRR weight w (Blended = (1-w)·Spot + w·Forward)", Assumptions!$A:$A, 0))) * M142 + INDEX(Assumptions!$B:$B, MATCH("Forward IRR weight w (Blended = (1-w)·Spot + w·Forward)", Assumptions!$A:$A, 0)) * M143</f>
        <v>0.2739387405660208</v>
      </c>
      <c r="N144" s="17">
        <f ca="1">(1 - INDEX(Assumptions!$B:$B, MATCH("Forward IRR weight w (Blended = (1-w)·Spot + w·Forward)", Assumptions!$A:$A, 0))) * N142 + INDEX(Assumptions!$B:$B, MATCH("Forward IRR weight w (Blended = (1-w)·Spot + w·Forward)", Assumptions!$A:$A, 0)) * N143</f>
        <v>0.25127341910965328</v>
      </c>
      <c r="O144" s="17">
        <f ca="1">(1 - INDEX(Assumptions!$B:$B, MATCH("Forward IRR weight w (Blended = (1-w)·Spot + w·Forward)", Assumptions!$A:$A, 0))) * O142 + INDEX(Assumptions!$B:$B, MATCH("Forward IRR weight w (Blended = (1-w)·Spot + w·Forward)", Assumptions!$A:$A, 0)) * O143</f>
        <v>0.22927345854392489</v>
      </c>
      <c r="P144" s="17">
        <f ca="1">(1 - INDEX(Assumptions!$B:$B, MATCH("Forward IRR weight w (Blended = (1-w)·Spot + w·Forward)", Assumptions!$A:$A, 0))) * P142 + INDEX(Assumptions!$B:$B, MATCH("Forward IRR weight w (Blended = (1-w)·Spot + w·Forward)", Assumptions!$A:$A, 0)) * P143</f>
        <v>0.2097800794312607</v>
      </c>
      <c r="Q144" s="17">
        <f ca="1">(1 - INDEX(Assumptions!$B:$B, MATCH("Forward IRR weight w (Blended = (1-w)·Spot + w·Forward)", Assumptions!$A:$A, 0))) * Q142 + INDEX(Assumptions!$B:$B, MATCH("Forward IRR weight w (Blended = (1-w)·Spot + w·Forward)", Assumptions!$A:$A, 0)) * Q143</f>
        <v>0.18790034166588512</v>
      </c>
      <c r="R144" s="17">
        <f ca="1">(1 - INDEX(Assumptions!$B:$B, MATCH("Forward IRR weight w (Blended = (1-w)·Spot + w·Forward)", Assumptions!$A:$A, 0))) * R142 + INDEX(Assumptions!$B:$B, MATCH("Forward IRR weight w (Blended = (1-w)·Spot + w·Forward)", Assumptions!$A:$A, 0)) * R143</f>
        <v>0.16882256209449611</v>
      </c>
      <c r="S144" s="17">
        <f ca="1">(1 - INDEX(Assumptions!$B:$B, MATCH("Forward IRR weight w (Blended = (1-w)·Spot + w·Forward)", Assumptions!$A:$A, 0))) * S142 + INDEX(Assumptions!$B:$B, MATCH("Forward IRR weight w (Blended = (1-w)·Spot + w·Forward)", Assumptions!$A:$A, 0)) * S143</f>
        <v>0.14945348083401538</v>
      </c>
      <c r="T144" s="17">
        <f ca="1">(1 - INDEX(Assumptions!$B:$B, MATCH("Forward IRR weight w (Blended = (1-w)·Spot + w·Forward)", Assumptions!$A:$A, 0))) * T142 + INDEX(Assumptions!$B:$B, MATCH("Forward IRR weight w (Blended = (1-w)·Spot + w·Forward)", Assumptions!$A:$A, 0)) * T143</f>
        <v>0.12960166208947121</v>
      </c>
      <c r="U144" s="17">
        <f ca="1">(1 - INDEX(Assumptions!$B:$B, MATCH("Forward IRR weight w (Blended = (1-w)·Spot + w·Forward)", Assumptions!$A:$A, 0))) * U142 + INDEX(Assumptions!$B:$B, MATCH("Forward IRR weight w (Blended = (1-w)·Spot + w·Forward)", Assumptions!$A:$A, 0)) * U143</f>
        <v>0.11155321296521856</v>
      </c>
      <c r="V144" s="17">
        <f ca="1">(1 - INDEX(Assumptions!$B:$B, MATCH("Forward IRR weight w (Blended = (1-w)·Spot + w·Forward)", Assumptions!$A:$A, 0))) * V142 + INDEX(Assumptions!$B:$B, MATCH("Forward IRR weight w (Blended = (1-w)·Spot + w·Forward)", Assumptions!$A:$A, 0)) * V143</f>
        <v>9.15731081132974E-2</v>
      </c>
      <c r="W144" s="17">
        <f ca="1">(1 - INDEX(Assumptions!$B:$B, MATCH("Forward IRR weight w (Blended = (1-w)·Spot + w·Forward)", Assumptions!$A:$A, 0))) * W142 + INDEX(Assumptions!$B:$B, MATCH("Forward IRR weight w (Blended = (1-w)·Spot + w·Forward)", Assumptions!$A:$A, 0)) * W143</f>
        <v>7.2551346990997634E-2</v>
      </c>
      <c r="X144" s="17">
        <f ca="1">(1 - INDEX(Assumptions!$B:$B, MATCH("Forward IRR weight w (Blended = (1-w)·Spot + w·Forward)", Assumptions!$A:$A, 0))) * X142 + INDEX(Assumptions!$B:$B, MATCH("Forward IRR weight w (Blended = (1-w)·Spot + w·Forward)", Assumptions!$A:$A, 0)) * X143</f>
        <v>5.3985418427212051E-2</v>
      </c>
      <c r="Y144" s="17">
        <f ca="1">(1 - INDEX(Assumptions!$B:$B, MATCH("Forward IRR weight w (Blended = (1-w)·Spot + w·Forward)", Assumptions!$A:$A, 0))) * Y142 + INDEX(Assumptions!$B:$B, MATCH("Forward IRR weight w (Blended = (1-w)·Spot + w·Forward)", Assumptions!$A:$A, 0)) * Y143</f>
        <v>3.4258222014843881E-2</v>
      </c>
      <c r="Z144" s="17">
        <f ca="1">(1 - INDEX(Assumptions!$B:$B, MATCH("Forward IRR weight w (Blended = (1-w)·Spot + w·Forward)", Assumptions!$A:$A, 0))) * Z142 + INDEX(Assumptions!$B:$B, MATCH("Forward IRR weight w (Blended = (1-w)·Spot + w·Forward)", Assumptions!$A:$A, 0)) * Z143</f>
        <v>1.5762774734567643E-2</v>
      </c>
      <c r="AA144" s="17">
        <f ca="1">(1 - INDEX(Assumptions!$B:$B, MATCH("Forward IRR weight w (Blended = (1-w)·Spot + w·Forward)", Assumptions!$A:$A, 0))) * AA142 + INDEX(Assumptions!$B:$B, MATCH("Forward IRR weight w (Blended = (1-w)·Spot + w·Forward)", Assumptions!$A:$A, 0)) * AA143</f>
        <v>-4.5308460213909756E-3</v>
      </c>
      <c r="AB144" s="17">
        <f ca="1">(1 - INDEX(Assumptions!$B:$B, MATCH("Forward IRR weight w (Blended = (1-w)·Spot + w·Forward)", Assumptions!$A:$A, 0))) * AB142 + INDEX(Assumptions!$B:$B, MATCH("Forward IRR weight w (Blended = (1-w)·Spot + w·Forward)", Assumptions!$A:$A, 0)) * AB143</f>
        <v>1.2607487597504632E-3</v>
      </c>
      <c r="AC144" s="17">
        <f ca="1">(1 - INDEX(Assumptions!$B:$B, MATCH("Forward IRR weight w (Blended = (1-w)·Spot + w·Forward)", Assumptions!$A:$A, 0))) * AC142 + INDEX(Assumptions!$B:$B, MATCH("Forward IRR weight w (Blended = (1-w)·Spot + w·Forward)", Assumptions!$A:$A, 0)) * AC143</f>
        <v>-4.8881351620803769E-3</v>
      </c>
    </row>
    <row r="177" spans="1:4" x14ac:dyDescent="0.2">
      <c r="A177" s="21" t="s">
        <v>736</v>
      </c>
    </row>
    <row r="179" spans="1:4" x14ac:dyDescent="0.2">
      <c r="A179" s="37" t="s">
        <v>785</v>
      </c>
      <c r="B179" s="18"/>
      <c r="C179" s="18"/>
      <c r="D179" s="18">
        <f>D25</f>
        <v>38.58</v>
      </c>
    </row>
    <row r="180" spans="1:4" x14ac:dyDescent="0.2">
      <c r="A180" s="37" t="s">
        <v>786</v>
      </c>
      <c r="B180" s="18"/>
      <c r="C180" s="18"/>
      <c r="D180" s="36">
        <f>D33</f>
        <v>4282.38</v>
      </c>
    </row>
    <row r="181" spans="1:4" x14ac:dyDescent="0.2">
      <c r="A181" s="37" t="s">
        <v>787</v>
      </c>
      <c r="B181" s="18"/>
      <c r="C181" s="18"/>
      <c r="D181" s="36">
        <f ca="1">D48</f>
        <v>0</v>
      </c>
    </row>
    <row r="182" spans="1:4" x14ac:dyDescent="0.2">
      <c r="A182" s="37" t="s">
        <v>788</v>
      </c>
      <c r="B182" s="18"/>
      <c r="C182" s="18"/>
      <c r="D182" s="18" t="str">
        <f ca="1">IF(AND(ABS(D179-38.58)&lt;2, ABS(D180-4290)/4290&lt;0.05, ABS(D181)&lt;1), "PASS", "CHECK")</f>
        <v>PASS</v>
      </c>
    </row>
    <row r="200" spans="1:29" x14ac:dyDescent="0.2">
      <c r="A200" s="13" t="s">
        <v>603</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x14ac:dyDescent="0.2">
      <c r="A201" t="s">
        <v>604</v>
      </c>
      <c r="C201" t="s">
        <v>614</v>
      </c>
      <c r="D201" s="35">
        <f ca="1">D83</f>
        <v>6572.13</v>
      </c>
      <c r="E201" s="35">
        <f t="shared" ref="E201:AC201" ca="1" si="15">E83</f>
        <v>4361.6040300000004</v>
      </c>
      <c r="F201" s="35">
        <f t="shared" ca="1" si="15"/>
        <v>4358.210007477629</v>
      </c>
      <c r="G201" s="35">
        <f t="shared" ca="1" si="15"/>
        <v>4338.2492255284515</v>
      </c>
      <c r="H201" s="35">
        <f t="shared" ca="1" si="15"/>
        <v>4288.8933531518524</v>
      </c>
      <c r="I201" s="35">
        <f t="shared" ca="1" si="15"/>
        <v>4122.8072363190076</v>
      </c>
      <c r="J201" s="35">
        <f t="shared" ca="1" si="15"/>
        <v>3983.9973385802405</v>
      </c>
      <c r="K201" s="35">
        <f t="shared" ca="1" si="15"/>
        <v>4030.6499790518137</v>
      </c>
      <c r="L201" s="35">
        <f t="shared" ca="1" si="15"/>
        <v>3052.5817327326345</v>
      </c>
      <c r="M201" s="35">
        <f t="shared" ca="1" si="15"/>
        <v>4040.0105875544295</v>
      </c>
      <c r="N201" s="35">
        <f t="shared" ca="1" si="15"/>
        <v>2630.2850050722991</v>
      </c>
      <c r="O201" s="35">
        <f t="shared" ca="1" si="15"/>
        <v>2196.554507819455</v>
      </c>
      <c r="P201" s="35">
        <f t="shared" ca="1" si="15"/>
        <v>4135.76245955378</v>
      </c>
      <c r="Q201" s="35">
        <f t="shared" ca="1" si="15"/>
        <v>1922.816593223982</v>
      </c>
      <c r="R201" s="35">
        <f t="shared" ca="1" si="15"/>
        <v>3969.0950824886386</v>
      </c>
      <c r="S201" s="35">
        <f t="shared" ca="1" si="15"/>
        <v>1886.3818767291466</v>
      </c>
      <c r="T201" s="35">
        <f t="shared" ca="1" si="15"/>
        <v>1873.7163503810875</v>
      </c>
      <c r="U201" s="35">
        <f t="shared" ca="1" si="15"/>
        <v>4404.321390765369</v>
      </c>
      <c r="V201" s="35">
        <f t="shared" ca="1" si="15"/>
        <v>1860.4391304726603</v>
      </c>
      <c r="W201" s="35">
        <f t="shared" ca="1" si="15"/>
        <v>3716.4857382509845</v>
      </c>
      <c r="X201" s="35">
        <f t="shared" ca="1" si="15"/>
        <v>3458.9101263609605</v>
      </c>
      <c r="Y201" s="35">
        <f t="shared" ca="1" si="15"/>
        <v>1850.2910100508213</v>
      </c>
      <c r="Z201" s="35">
        <f t="shared" ca="1" si="15"/>
        <v>4732.2173351977435</v>
      </c>
      <c r="AA201" s="35">
        <f t="shared" ca="1" si="15"/>
        <v>1834.9894607650131</v>
      </c>
      <c r="AB201" s="35">
        <f t="shared" ca="1" si="15"/>
        <v>3087.2372680021163</v>
      </c>
      <c r="AC201" s="35">
        <f t="shared" ca="1" si="15"/>
        <v>4866.9493009279158</v>
      </c>
    </row>
    <row r="202" spans="1:29" x14ac:dyDescent="0.2">
      <c r="A202" t="s">
        <v>605</v>
      </c>
      <c r="C202" t="s">
        <v>615</v>
      </c>
      <c r="D202" s="35">
        <f ca="1">D95</f>
        <v>3071.8146000000011</v>
      </c>
      <c r="E202" s="35">
        <f t="shared" ref="E202:AC202" ca="1" si="16">E95</f>
        <v>3293.6409576000005</v>
      </c>
      <c r="F202" s="35">
        <f t="shared" ca="1" si="16"/>
        <v>3256.1790552671605</v>
      </c>
      <c r="G202" s="35">
        <f t="shared" ca="1" si="16"/>
        <v>3210.2394256066518</v>
      </c>
      <c r="H202" s="35">
        <f t="shared" ca="1" si="16"/>
        <v>3140.3733296645469</v>
      </c>
      <c r="I202" s="35">
        <f t="shared" ca="1" si="16"/>
        <v>2973.2271454715756</v>
      </c>
      <c r="J202" s="35">
        <f t="shared" ca="1" si="16"/>
        <v>2830.9880805806397</v>
      </c>
      <c r="K202" s="35">
        <f t="shared" ca="1" si="16"/>
        <v>2839.430645404982</v>
      </c>
      <c r="L202" s="35">
        <f t="shared" ca="1" si="16"/>
        <v>2023.3302906395932</v>
      </c>
      <c r="M202" s="35">
        <f t="shared" ca="1" si="16"/>
        <v>2784.0596153570314</v>
      </c>
      <c r="N202" s="35">
        <f t="shared" ca="1" si="16"/>
        <v>1636.3537399805523</v>
      </c>
      <c r="O202" s="35">
        <f t="shared" ca="1" si="16"/>
        <v>1272.8697566411352</v>
      </c>
      <c r="P202" s="35">
        <f t="shared" ca="1" si="16"/>
        <v>2749.1787145436547</v>
      </c>
      <c r="Q202" s="35">
        <f t="shared" ca="1" si="16"/>
        <v>1000.5652740982639</v>
      </c>
      <c r="R202" s="35">
        <f t="shared" ca="1" si="16"/>
        <v>2540.8650863689841</v>
      </c>
      <c r="S202" s="35">
        <f t="shared" ca="1" si="16"/>
        <v>914.48757932767296</v>
      </c>
      <c r="T202" s="35">
        <f t="shared" ca="1" si="16"/>
        <v>872.81980573146575</v>
      </c>
      <c r="U202" s="35">
        <f t="shared" ca="1" si="16"/>
        <v>2732.468353728199</v>
      </c>
      <c r="V202" s="35">
        <f t="shared" ca="1" si="16"/>
        <v>791.40544129897239</v>
      </c>
      <c r="W202" s="35">
        <f t="shared" ca="1" si="16"/>
        <v>2124.5916303643917</v>
      </c>
      <c r="X202" s="35">
        <f t="shared" ca="1" si="16"/>
        <v>1882.9256061745475</v>
      </c>
      <c r="Y202" s="35">
        <f t="shared" ca="1" si="16"/>
        <v>662.18649410327043</v>
      </c>
      <c r="Z202" s="35">
        <f t="shared" ca="1" si="16"/>
        <v>2691.7801365266705</v>
      </c>
      <c r="AA202" s="35">
        <f t="shared" ca="1" si="16"/>
        <v>564.87530999276805</v>
      </c>
      <c r="AB202" s="35">
        <f t="shared" ca="1" si="16"/>
        <v>1406.0025019331651</v>
      </c>
      <c r="AC202" s="35">
        <f t="shared" ca="1" si="16"/>
        <v>2583.5916953175538</v>
      </c>
    </row>
    <row r="203" spans="1:29" x14ac:dyDescent="0.2">
      <c r="A203" t="s">
        <v>606</v>
      </c>
      <c r="C203" s="16" t="s">
        <v>616</v>
      </c>
      <c r="D203" s="17">
        <f ca="1">D96</f>
        <v>0.46740015793966355</v>
      </c>
      <c r="E203" s="17">
        <f t="shared" ref="E203:AC203" ca="1" si="17">E96</f>
        <v>0.75514442277328886</v>
      </c>
      <c r="F203" s="17">
        <f t="shared" ca="1" si="17"/>
        <v>0.74713679461988958</v>
      </c>
      <c r="G203" s="17">
        <f t="shared" ca="1" si="17"/>
        <v>0.73998501670120298</v>
      </c>
      <c r="H203" s="17">
        <f t="shared" ca="1" si="17"/>
        <v>0.73221063595734481</v>
      </c>
      <c r="I203" s="17">
        <f t="shared" ca="1" si="17"/>
        <v>0.72116569488855875</v>
      </c>
      <c r="J203" s="17">
        <f t="shared" ca="1" si="17"/>
        <v>0.7105898523490245</v>
      </c>
      <c r="K203" s="17">
        <f t="shared" ca="1" si="17"/>
        <v>0.70445974226542518</v>
      </c>
      <c r="L203" s="17">
        <f t="shared" ca="1" si="17"/>
        <v>0.66282591844914573</v>
      </c>
      <c r="M203" s="17">
        <f t="shared" ca="1" si="17"/>
        <v>0.68912186119846963</v>
      </c>
      <c r="N203" s="17">
        <f t="shared" ca="1" si="17"/>
        <v>0.62212031655313849</v>
      </c>
      <c r="O203" s="17">
        <f t="shared" ca="1" si="17"/>
        <v>0.57948471212978347</v>
      </c>
      <c r="P203" s="17">
        <f t="shared" ca="1" si="17"/>
        <v>0.66473322426749626</v>
      </c>
      <c r="Q203" s="17">
        <f t="shared" ca="1" si="17"/>
        <v>0.52036438505069194</v>
      </c>
      <c r="R203" s="17">
        <f t="shared" ca="1" si="17"/>
        <v>0.64016231245734012</v>
      </c>
      <c r="S203" s="17">
        <f t="shared" ca="1" si="17"/>
        <v>0.48478390860780007</v>
      </c>
      <c r="T203" s="17">
        <f t="shared" ca="1" si="17"/>
        <v>0.46582280479857396</v>
      </c>
      <c r="U203" s="17">
        <f t="shared" ca="1" si="17"/>
        <v>0.62040621273856655</v>
      </c>
      <c r="V203" s="17">
        <f t="shared" ca="1" si="17"/>
        <v>0.42538636622736975</v>
      </c>
      <c r="W203" s="17">
        <f t="shared" ca="1" si="17"/>
        <v>0.57166683259337514</v>
      </c>
      <c r="X203" s="17">
        <f t="shared" ca="1" si="17"/>
        <v>0.54436962435781178</v>
      </c>
      <c r="Y203" s="17">
        <f t="shared" ca="1" si="17"/>
        <v>0.3578823495905557</v>
      </c>
      <c r="Z203" s="17">
        <f t="shared" ca="1" si="17"/>
        <v>0.56882005746132747</v>
      </c>
      <c r="AA203" s="17">
        <f t="shared" ca="1" si="17"/>
        <v>0.30783572443913093</v>
      </c>
      <c r="AB203" s="17">
        <f t="shared" ca="1" si="17"/>
        <v>0.45542418022280801</v>
      </c>
      <c r="AC203" s="17">
        <f t="shared" ca="1" si="17"/>
        <v>0.53084417682858853</v>
      </c>
    </row>
    <row r="204" spans="1:29" x14ac:dyDescent="0.2">
      <c r="A204" t="s">
        <v>607</v>
      </c>
      <c r="C204" s="16" t="s">
        <v>617</v>
      </c>
      <c r="D204" s="35">
        <f ca="1">D101</f>
        <v>3139.5019500000008</v>
      </c>
      <c r="E204" s="35">
        <f t="shared" ref="E204:AC204" ca="1" si="18">E101</f>
        <v>3296.1383374500006</v>
      </c>
      <c r="F204" s="35">
        <f t="shared" ca="1" si="18"/>
        <v>3271.1198908899241</v>
      </c>
      <c r="G204" s="35">
        <f t="shared" ca="1" si="18"/>
        <v>3228.7671119315055</v>
      </c>
      <c r="H204" s="35">
        <f t="shared" ca="1" si="18"/>
        <v>3162.1451684678432</v>
      </c>
      <c r="I204" s="35">
        <f t="shared" ca="1" si="18"/>
        <v>3003.7713662836964</v>
      </c>
      <c r="J204" s="35">
        <f t="shared" ca="1" si="18"/>
        <v>2866.8321570335097</v>
      </c>
      <c r="K204" s="35">
        <f t="shared" ca="1" si="18"/>
        <v>2873.231907530364</v>
      </c>
      <c r="L204" s="35">
        <f t="shared" ca="1" si="18"/>
        <v>2084.4186249321738</v>
      </c>
      <c r="M204" s="35">
        <f t="shared" ca="1" si="18"/>
        <v>2818.0396270381593</v>
      </c>
      <c r="N204" s="35">
        <f t="shared" ca="1" si="18"/>
        <v>1703.6100244860475</v>
      </c>
      <c r="O204" s="35">
        <f t="shared" ca="1" si="18"/>
        <v>1347.802196466678</v>
      </c>
      <c r="P204" s="35">
        <f t="shared" ca="1" si="18"/>
        <v>2786.9830939321628</v>
      </c>
      <c r="Q204" s="35">
        <f t="shared" ca="1" si="18"/>
        <v>1082.9777705984898</v>
      </c>
      <c r="R204" s="35">
        <f t="shared" ca="1" si="18"/>
        <v>2586.2002494002973</v>
      </c>
      <c r="S204" s="35">
        <f t="shared" ca="1" si="18"/>
        <v>998.76363769515751</v>
      </c>
      <c r="T204" s="35">
        <f t="shared" ca="1" si="18"/>
        <v>959.43517549836599</v>
      </c>
      <c r="U204" s="35">
        <f t="shared" ca="1" si="18"/>
        <v>2779.5546390916807</v>
      </c>
      <c r="V204" s="35">
        <f t="shared" ca="1" si="18"/>
        <v>883.80045612668027</v>
      </c>
      <c r="W204" s="35">
        <f t="shared" ca="1" si="18"/>
        <v>2189.0510943559698</v>
      </c>
      <c r="X204" s="35">
        <f t="shared" ca="1" si="18"/>
        <v>1955.7564179916874</v>
      </c>
      <c r="Y204" s="35">
        <f t="shared" ca="1" si="18"/>
        <v>765.41299952573263</v>
      </c>
      <c r="Z204" s="35">
        <f t="shared" ca="1" si="18"/>
        <v>2752.9831095212198</v>
      </c>
      <c r="AA204" s="35">
        <f t="shared" ca="1" si="18"/>
        <v>676.04052416134516</v>
      </c>
      <c r="AB204" s="35">
        <f t="shared" ca="1" si="18"/>
        <v>1500.6642168575243</v>
      </c>
      <c r="AC204" s="35">
        <f t="shared" ca="1" si="18"/>
        <v>2657.0971398783222</v>
      </c>
    </row>
    <row r="205" spans="1:29" x14ac:dyDescent="0.2">
      <c r="A205" t="s">
        <v>608</v>
      </c>
      <c r="C205" t="s">
        <v>614</v>
      </c>
      <c r="D205" s="35">
        <f ca="1">D99</f>
        <v>32.86065</v>
      </c>
      <c r="E205" s="35">
        <f t="shared" ref="E205:AC205" ca="1" si="19">E99</f>
        <v>21.808020150000001</v>
      </c>
      <c r="F205" s="35">
        <f t="shared" ca="1" si="19"/>
        <v>21.791050037388146</v>
      </c>
      <c r="G205" s="35">
        <f t="shared" ca="1" si="19"/>
        <v>21.691246127642259</v>
      </c>
      <c r="H205" s="35">
        <f t="shared" ca="1" si="19"/>
        <v>21.444466765759262</v>
      </c>
      <c r="I205" s="35">
        <f t="shared" ca="1" si="19"/>
        <v>20.61403618159504</v>
      </c>
      <c r="J205" s="35">
        <f t="shared" ca="1" si="19"/>
        <v>19.919986692901201</v>
      </c>
      <c r="K205" s="35">
        <f t="shared" ca="1" si="19"/>
        <v>20.153249895259069</v>
      </c>
      <c r="L205" s="35">
        <f t="shared" ca="1" si="19"/>
        <v>15.262908663663172</v>
      </c>
      <c r="M205" s="35">
        <f t="shared" ca="1" si="19"/>
        <v>20.200052937772149</v>
      </c>
      <c r="N205" s="35">
        <f t="shared" ca="1" si="19"/>
        <v>13.151425025361496</v>
      </c>
      <c r="O205" s="35">
        <f t="shared" ca="1" si="19"/>
        <v>10.982772539097276</v>
      </c>
      <c r="P205" s="35">
        <f t="shared" ca="1" si="19"/>
        <v>20.6788122977689</v>
      </c>
      <c r="Q205" s="35">
        <f t="shared" ca="1" si="19"/>
        <v>9.6140829661199092</v>
      </c>
      <c r="R205" s="35">
        <f t="shared" ca="1" si="19"/>
        <v>19.845475412443193</v>
      </c>
      <c r="S205" s="35">
        <f t="shared" ca="1" si="19"/>
        <v>9.4319093836457331</v>
      </c>
      <c r="T205" s="35">
        <f t="shared" ca="1" si="19"/>
        <v>9.3685817519054382</v>
      </c>
      <c r="U205" s="35">
        <f t="shared" ca="1" si="19"/>
        <v>22.021606953826844</v>
      </c>
      <c r="V205" s="35">
        <f t="shared" ca="1" si="19"/>
        <v>9.3021956523633023</v>
      </c>
      <c r="W205" s="35">
        <f t="shared" ca="1" si="19"/>
        <v>18.582428691254922</v>
      </c>
      <c r="X205" s="35">
        <f t="shared" ca="1" si="19"/>
        <v>17.294550631804803</v>
      </c>
      <c r="Y205" s="35">
        <f t="shared" ca="1" si="19"/>
        <v>9.2514550502541066</v>
      </c>
      <c r="Z205" s="35">
        <f t="shared" ca="1" si="19"/>
        <v>23.661086675988717</v>
      </c>
      <c r="AA205" s="35">
        <f t="shared" ca="1" si="19"/>
        <v>9.174947303825066</v>
      </c>
      <c r="AB205" s="35">
        <f t="shared" ca="1" si="19"/>
        <v>15.436186340010581</v>
      </c>
      <c r="AC205" s="35">
        <f t="shared" ca="1" si="19"/>
        <v>24.334746504639579</v>
      </c>
    </row>
    <row r="206" spans="1:29" x14ac:dyDescent="0.2">
      <c r="A206" t="s">
        <v>609</v>
      </c>
      <c r="C206" s="16" t="s">
        <v>618</v>
      </c>
      <c r="D206" s="35">
        <f ca="1">D102</f>
        <v>32.86065</v>
      </c>
      <c r="E206" s="35">
        <f t="shared" ref="E206:AC206" ca="1" si="20">E102</f>
        <v>21.808020150000001</v>
      </c>
      <c r="F206" s="35">
        <f t="shared" ca="1" si="20"/>
        <v>21.791050037388146</v>
      </c>
      <c r="G206" s="35">
        <f t="shared" ca="1" si="20"/>
        <v>21.691246127642259</v>
      </c>
      <c r="H206" s="35">
        <f t="shared" ca="1" si="20"/>
        <v>21.444466765759262</v>
      </c>
      <c r="I206" s="35">
        <f t="shared" ca="1" si="20"/>
        <v>20.61403618159504</v>
      </c>
      <c r="J206" s="35">
        <f t="shared" ca="1" si="20"/>
        <v>19.919986692901201</v>
      </c>
      <c r="K206" s="35">
        <f t="shared" ca="1" si="20"/>
        <v>20.153249895259069</v>
      </c>
      <c r="L206" s="35">
        <f t="shared" ca="1" si="20"/>
        <v>15.262908663663172</v>
      </c>
      <c r="M206" s="35">
        <f t="shared" ca="1" si="20"/>
        <v>20.200052937772149</v>
      </c>
      <c r="N206" s="35">
        <f t="shared" ca="1" si="20"/>
        <v>13.151425025361496</v>
      </c>
      <c r="O206" s="35">
        <f t="shared" ca="1" si="20"/>
        <v>10.982772539097276</v>
      </c>
      <c r="P206" s="35">
        <f t="shared" ca="1" si="20"/>
        <v>20.6788122977689</v>
      </c>
      <c r="Q206" s="35">
        <f t="shared" ca="1" si="20"/>
        <v>9.6140829661199092</v>
      </c>
      <c r="R206" s="35">
        <f t="shared" ca="1" si="20"/>
        <v>19.845475412443193</v>
      </c>
      <c r="S206" s="35">
        <f t="shared" ca="1" si="20"/>
        <v>9.4319093836457331</v>
      </c>
      <c r="T206" s="35">
        <f t="shared" ca="1" si="20"/>
        <v>9.3685817519054382</v>
      </c>
      <c r="U206" s="35">
        <f t="shared" ca="1" si="20"/>
        <v>22.021606953826844</v>
      </c>
      <c r="V206" s="35">
        <f t="shared" ca="1" si="20"/>
        <v>9.3021956523633023</v>
      </c>
      <c r="W206" s="35">
        <f t="shared" ca="1" si="20"/>
        <v>18.582428691254922</v>
      </c>
      <c r="X206" s="35">
        <f t="shared" ca="1" si="20"/>
        <v>17.294550631804803</v>
      </c>
      <c r="Y206" s="35">
        <f t="shared" ca="1" si="20"/>
        <v>9.2514550502541066</v>
      </c>
      <c r="Z206" s="35">
        <f t="shared" ca="1" si="20"/>
        <v>23.661086675988717</v>
      </c>
      <c r="AA206" s="35">
        <f t="shared" ca="1" si="20"/>
        <v>9.174947303825066</v>
      </c>
      <c r="AB206" s="35">
        <f t="shared" ca="1" si="20"/>
        <v>15.436186340010581</v>
      </c>
      <c r="AC206" s="35">
        <f t="shared" ca="1" si="20"/>
        <v>24.334746504639579</v>
      </c>
    </row>
    <row r="207" spans="1:29" x14ac:dyDescent="0.2">
      <c r="A207" t="s">
        <v>610</v>
      </c>
      <c r="C207" t="s">
        <v>619</v>
      </c>
      <c r="D207" s="17">
        <f ca="1">IFERROR((D132*D33 + D142*D48) / (D33+D48), 0)</f>
        <v>2.8693295189543737</v>
      </c>
      <c r="E207" s="17">
        <f t="shared" ref="E207:AC207" ca="1" si="21">IFERROR((E132*E33 + E142*E48) / (E33+E48), 0)</f>
        <v>2.7660985143920098</v>
      </c>
      <c r="F207" s="17">
        <f t="shared" ca="1" si="21"/>
        <v>2.5908462384980471</v>
      </c>
      <c r="G207" s="17">
        <f t="shared" ca="1" si="21"/>
        <v>2.4536327966494085</v>
      </c>
      <c r="H207" s="17">
        <f t="shared" ca="1" si="21"/>
        <v>2.3170443828745992</v>
      </c>
      <c r="I207" s="17">
        <f t="shared" ca="1" si="21"/>
        <v>2.1303432716155357</v>
      </c>
      <c r="J207" s="17">
        <f t="shared" ca="1" si="21"/>
        <v>1.9769436034771937</v>
      </c>
      <c r="K207" s="17">
        <f t="shared" ca="1" si="21"/>
        <v>1.9162747149217603</v>
      </c>
      <c r="L207" s="17">
        <f t="shared" ca="1" si="21"/>
        <v>1.3223322352608997</v>
      </c>
      <c r="M207" s="17">
        <f t="shared" ca="1" si="21"/>
        <v>1.7624427949764068</v>
      </c>
      <c r="N207" s="17">
        <f t="shared" ca="1" si="21"/>
        <v>0.95267867233279779</v>
      </c>
      <c r="O207" s="17">
        <f t="shared" ca="1" si="21"/>
        <v>0.56050993147258077</v>
      </c>
      <c r="P207" s="17">
        <f t="shared" ca="1" si="21"/>
        <v>1.5593278886487929</v>
      </c>
      <c r="Q207" s="17">
        <f t="shared" ca="1" si="21"/>
        <v>0.21612779620857392</v>
      </c>
      <c r="R207" s="17">
        <f t="shared" ca="1" si="21"/>
        <v>1.3751588705617326</v>
      </c>
      <c r="S207" s="17">
        <f t="shared" ca="1" si="21"/>
        <v>0.17580286114758992</v>
      </c>
      <c r="T207" s="17">
        <f t="shared" ca="1" si="21"/>
        <v>0.15659050586523593</v>
      </c>
      <c r="U207" s="17">
        <f t="shared" ca="1" si="21"/>
        <v>1.2749072422448551</v>
      </c>
      <c r="V207" s="17">
        <f t="shared" ca="1" si="21"/>
        <v>0.11803501475700062</v>
      </c>
      <c r="W207" s="17">
        <f t="shared" ca="1" si="21"/>
        <v>1.013676075868805</v>
      </c>
      <c r="X207" s="17">
        <f t="shared" ca="1" si="21"/>
        <v>0.89269189288230888</v>
      </c>
      <c r="Y207" s="17">
        <f t="shared" ca="1" si="21"/>
        <v>6.0723385792913698E-2</v>
      </c>
      <c r="Z207" s="17">
        <f t="shared" ca="1" si="21"/>
        <v>1.026888571513308</v>
      </c>
      <c r="AA207" s="17">
        <f t="shared" ca="1" si="21"/>
        <v>2.2916008967099666E-2</v>
      </c>
      <c r="AB207" s="17">
        <f t="shared" ca="1" si="21"/>
        <v>0.61784412729644633</v>
      </c>
      <c r="AC207" s="17">
        <f t="shared" ca="1" si="21"/>
        <v>0.88292099090334974</v>
      </c>
    </row>
    <row r="208" spans="1:29" x14ac:dyDescent="0.2">
      <c r="A208" t="s">
        <v>611</v>
      </c>
      <c r="C208" t="s">
        <v>620</v>
      </c>
      <c r="D208" s="17">
        <f ca="1">IFERROR((D133*F33 + D143*F48) / (F33+F48), 0)</f>
        <v>2.5908462384980471</v>
      </c>
      <c r="E208" s="17">
        <f t="shared" ref="E208:AC208" ca="1" si="22">IFERROR((E133*G33 + E143*G48) / (G33+G48), 0)</f>
        <v>2.4536327966494085</v>
      </c>
      <c r="F208" s="17">
        <f t="shared" ca="1" si="22"/>
        <v>2.3170443828745992</v>
      </c>
      <c r="G208" s="17">
        <f t="shared" ca="1" si="22"/>
        <v>2.1303432716155357</v>
      </c>
      <c r="H208" s="17">
        <f t="shared" ca="1" si="22"/>
        <v>1.9769436034771937</v>
      </c>
      <c r="I208" s="17">
        <f t="shared" ca="1" si="22"/>
        <v>1.9162747149217603</v>
      </c>
      <c r="J208" s="17">
        <f t="shared" ca="1" si="22"/>
        <v>1.3223322352608997</v>
      </c>
      <c r="K208" s="17">
        <f t="shared" ca="1" si="22"/>
        <v>1.7624427949764068</v>
      </c>
      <c r="L208" s="17">
        <f t="shared" ca="1" si="22"/>
        <v>0.95267867233279779</v>
      </c>
      <c r="M208" s="17">
        <f t="shared" ca="1" si="22"/>
        <v>0.56050993147258077</v>
      </c>
      <c r="N208" s="17">
        <f t="shared" ca="1" si="22"/>
        <v>1.5593278886487929</v>
      </c>
      <c r="O208" s="17">
        <f t="shared" ca="1" si="22"/>
        <v>0.21612779620857392</v>
      </c>
      <c r="P208" s="17">
        <f t="shared" ca="1" si="22"/>
        <v>1.3751588705617326</v>
      </c>
      <c r="Q208" s="17">
        <f t="shared" ca="1" si="22"/>
        <v>0.17580286114758992</v>
      </c>
      <c r="R208" s="17">
        <f t="shared" ca="1" si="22"/>
        <v>0.15659050586523593</v>
      </c>
      <c r="S208" s="17">
        <f t="shared" ca="1" si="22"/>
        <v>1.2749072422448551</v>
      </c>
      <c r="T208" s="17">
        <f t="shared" ca="1" si="22"/>
        <v>0.11803501475700062</v>
      </c>
      <c r="U208" s="17">
        <f t="shared" ca="1" si="22"/>
        <v>1.013676075868805</v>
      </c>
      <c r="V208" s="17">
        <f t="shared" ca="1" si="22"/>
        <v>0.89269189288230888</v>
      </c>
      <c r="W208" s="17">
        <f t="shared" ca="1" si="22"/>
        <v>6.0723385792913698E-2</v>
      </c>
      <c r="X208" s="17">
        <f t="shared" ca="1" si="22"/>
        <v>1.026888571513308</v>
      </c>
      <c r="Y208" s="17">
        <f t="shared" ca="1" si="22"/>
        <v>2.2916008967099666E-2</v>
      </c>
      <c r="Z208" s="17">
        <f t="shared" ca="1" si="22"/>
        <v>0.61784412729644633</v>
      </c>
      <c r="AA208" s="17">
        <f t="shared" ca="1" si="22"/>
        <v>0.88292099090334974</v>
      </c>
      <c r="AB208" s="17">
        <f t="shared" si="22"/>
        <v>0</v>
      </c>
      <c r="AC208" s="17">
        <f t="shared" si="22"/>
        <v>0</v>
      </c>
    </row>
    <row r="209" spans="1:29" x14ac:dyDescent="0.2">
      <c r="A209" t="s">
        <v>612</v>
      </c>
      <c r="C209" s="16" t="s">
        <v>621</v>
      </c>
      <c r="D209" s="17">
        <f ca="1">(1 - INDEX(Assumptions!$B:$B, MATCH("Forward IRR weight w (Blended = (1-w)·Spot + w·Forward)", Assumptions!$A:$A, 0))) * D207 + INDEX(Assumptions!$B:$B, MATCH("Forward IRR weight w (Blended = (1-w)·Spot + w·Forward)", Assumptions!$A:$A, 0)) * D208</f>
        <v>2.6743912226349451</v>
      </c>
      <c r="E209" s="17">
        <f ca="1">(1 - INDEX(Assumptions!$B:$B, MATCH("Forward IRR weight w (Blended = (1-w)·Spot + w·Forward)", Assumptions!$A:$A, 0))) * E207 + INDEX(Assumptions!$B:$B, MATCH("Forward IRR weight w (Blended = (1-w)·Spot + w·Forward)", Assumptions!$A:$A, 0)) * E208</f>
        <v>2.5473725119721888</v>
      </c>
      <c r="F209" s="17">
        <f ca="1">(1 - INDEX(Assumptions!$B:$B, MATCH("Forward IRR weight w (Blended = (1-w)·Spot + w·Forward)", Assumptions!$A:$A, 0))) * F207 + INDEX(Assumptions!$B:$B, MATCH("Forward IRR weight w (Blended = (1-w)·Spot + w·Forward)", Assumptions!$A:$A, 0)) * F208</f>
        <v>2.3991849395616338</v>
      </c>
      <c r="G209" s="17">
        <f ca="1">(1 - INDEX(Assumptions!$B:$B, MATCH("Forward IRR weight w (Blended = (1-w)·Spot + w·Forward)", Assumptions!$A:$A, 0))) * G207 + INDEX(Assumptions!$B:$B, MATCH("Forward IRR weight w (Blended = (1-w)·Spot + w·Forward)", Assumptions!$A:$A, 0)) * G208</f>
        <v>2.2273301291256975</v>
      </c>
      <c r="H209" s="17">
        <f ca="1">(1 - INDEX(Assumptions!$B:$B, MATCH("Forward IRR weight w (Blended = (1-w)·Spot + w·Forward)", Assumptions!$A:$A, 0))) * H207 + INDEX(Assumptions!$B:$B, MATCH("Forward IRR weight w (Blended = (1-w)·Spot + w·Forward)", Assumptions!$A:$A, 0)) * H208</f>
        <v>2.0789738372964153</v>
      </c>
      <c r="I209" s="17">
        <f ca="1">(1 - INDEX(Assumptions!$B:$B, MATCH("Forward IRR weight w (Blended = (1-w)·Spot + w·Forward)", Assumptions!$A:$A, 0))) * I207 + INDEX(Assumptions!$B:$B, MATCH("Forward IRR weight w (Blended = (1-w)·Spot + w·Forward)", Assumptions!$A:$A, 0)) * I208</f>
        <v>1.9804952819298931</v>
      </c>
      <c r="J209" s="17">
        <f ca="1">(1 - INDEX(Assumptions!$B:$B, MATCH("Forward IRR weight w (Blended = (1-w)·Spot + w·Forward)", Assumptions!$A:$A, 0))) * J207 + INDEX(Assumptions!$B:$B, MATCH("Forward IRR weight w (Blended = (1-w)·Spot + w·Forward)", Assumptions!$A:$A, 0)) * J208</f>
        <v>1.518715645725788</v>
      </c>
      <c r="K209" s="17">
        <f ca="1">(1 - INDEX(Assumptions!$B:$B, MATCH("Forward IRR weight w (Blended = (1-w)·Spot + w·Forward)", Assumptions!$A:$A, 0))) * K207 + INDEX(Assumptions!$B:$B, MATCH("Forward IRR weight w (Blended = (1-w)·Spot + w·Forward)", Assumptions!$A:$A, 0)) * K208</f>
        <v>1.8085923709600129</v>
      </c>
      <c r="L209" s="17">
        <f ca="1">(1 - INDEX(Assumptions!$B:$B, MATCH("Forward IRR weight w (Blended = (1-w)·Spot + w·Forward)", Assumptions!$A:$A, 0))) * L207 + INDEX(Assumptions!$B:$B, MATCH("Forward IRR weight w (Blended = (1-w)·Spot + w·Forward)", Assumptions!$A:$A, 0)) * L208</f>
        <v>1.0635747412112284</v>
      </c>
      <c r="M209" s="17">
        <f ca="1">(1 - INDEX(Assumptions!$B:$B, MATCH("Forward IRR weight w (Blended = (1-w)·Spot + w·Forward)", Assumptions!$A:$A, 0))) * M207 + INDEX(Assumptions!$B:$B, MATCH("Forward IRR weight w (Blended = (1-w)·Spot + w·Forward)", Assumptions!$A:$A, 0)) * M208</f>
        <v>0.92108979052372852</v>
      </c>
      <c r="N209" s="17">
        <f ca="1">(1 - INDEX(Assumptions!$B:$B, MATCH("Forward IRR weight w (Blended = (1-w)·Spot + w·Forward)", Assumptions!$A:$A, 0))) * N207 + INDEX(Assumptions!$B:$B, MATCH("Forward IRR weight w (Blended = (1-w)·Spot + w·Forward)", Assumptions!$A:$A, 0)) * N208</f>
        <v>1.3773331237539943</v>
      </c>
      <c r="O209" s="17">
        <f ca="1">(1 - INDEX(Assumptions!$B:$B, MATCH("Forward IRR weight w (Blended = (1-w)·Spot + w·Forward)", Assumptions!$A:$A, 0))) * O207 + INDEX(Assumptions!$B:$B, MATCH("Forward IRR weight w (Blended = (1-w)·Spot + w·Forward)", Assumptions!$A:$A, 0)) * O208</f>
        <v>0.31944243678777601</v>
      </c>
      <c r="P209" s="17">
        <f ca="1">(1 - INDEX(Assumptions!$B:$B, MATCH("Forward IRR weight w (Blended = (1-w)·Spot + w·Forward)", Assumptions!$A:$A, 0))) * P207 + INDEX(Assumptions!$B:$B, MATCH("Forward IRR weight w (Blended = (1-w)·Spot + w·Forward)", Assumptions!$A:$A, 0)) * P208</f>
        <v>1.4304095759878508</v>
      </c>
      <c r="Q209" s="17">
        <f ca="1">(1 - INDEX(Assumptions!$B:$B, MATCH("Forward IRR weight w (Blended = (1-w)·Spot + w·Forward)", Assumptions!$A:$A, 0))) * Q207 + INDEX(Assumptions!$B:$B, MATCH("Forward IRR weight w (Blended = (1-w)·Spot + w·Forward)", Assumptions!$A:$A, 0)) * Q208</f>
        <v>0.18790034166588512</v>
      </c>
      <c r="R209" s="17">
        <f ca="1">(1 - INDEX(Assumptions!$B:$B, MATCH("Forward IRR weight w (Blended = (1-w)·Spot + w·Forward)", Assumptions!$A:$A, 0))) * R207 + INDEX(Assumptions!$B:$B, MATCH("Forward IRR weight w (Blended = (1-w)·Spot + w·Forward)", Assumptions!$A:$A, 0)) * R208</f>
        <v>0.5221610152741849</v>
      </c>
      <c r="S209" s="17">
        <f ca="1">(1 - INDEX(Assumptions!$B:$B, MATCH("Forward IRR weight w (Blended = (1-w)·Spot + w·Forward)", Assumptions!$A:$A, 0))) * S207 + INDEX(Assumptions!$B:$B, MATCH("Forward IRR weight w (Blended = (1-w)·Spot + w·Forward)", Assumptions!$A:$A, 0)) * S208</f>
        <v>0.94517592791567551</v>
      </c>
      <c r="T209" s="17">
        <f ca="1">(1 - INDEX(Assumptions!$B:$B, MATCH("Forward IRR weight w (Blended = (1-w)·Spot + w·Forward)", Assumptions!$A:$A, 0))) * T207 + INDEX(Assumptions!$B:$B, MATCH("Forward IRR weight w (Blended = (1-w)·Spot + w·Forward)", Assumptions!$A:$A, 0)) * T208</f>
        <v>0.12960166208947121</v>
      </c>
      <c r="U209" s="17">
        <f ca="1">(1 - INDEX(Assumptions!$B:$B, MATCH("Forward IRR weight w (Blended = (1-w)·Spot + w·Forward)", Assumptions!$A:$A, 0))) * U207 + INDEX(Assumptions!$B:$B, MATCH("Forward IRR weight w (Blended = (1-w)·Spot + w·Forward)", Assumptions!$A:$A, 0)) * U208</f>
        <v>1.0920454257816199</v>
      </c>
      <c r="V209" s="17">
        <f ca="1">(1 - INDEX(Assumptions!$B:$B, MATCH("Forward IRR weight w (Blended = (1-w)·Spot + w·Forward)", Assumptions!$A:$A, 0))) * V207 + INDEX(Assumptions!$B:$B, MATCH("Forward IRR weight w (Blended = (1-w)·Spot + w·Forward)", Assumptions!$A:$A, 0)) * V208</f>
        <v>0.66029482944471629</v>
      </c>
      <c r="W209" s="17">
        <f ca="1">(1 - INDEX(Assumptions!$B:$B, MATCH("Forward IRR weight w (Blended = (1-w)·Spot + w·Forward)", Assumptions!$A:$A, 0))) * W207 + INDEX(Assumptions!$B:$B, MATCH("Forward IRR weight w (Blended = (1-w)·Spot + w·Forward)", Assumptions!$A:$A, 0)) * W208</f>
        <v>0.34660919281568114</v>
      </c>
      <c r="X209" s="17">
        <f ca="1">(1 - INDEX(Assumptions!$B:$B, MATCH("Forward IRR weight w (Blended = (1-w)·Spot + w·Forward)", Assumptions!$A:$A, 0))) * X207 + INDEX(Assumptions!$B:$B, MATCH("Forward IRR weight w (Blended = (1-w)·Spot + w·Forward)", Assumptions!$A:$A, 0)) * X208</f>
        <v>0.98662956792400835</v>
      </c>
      <c r="Y209" s="17">
        <f ca="1">(1 - INDEX(Assumptions!$B:$B, MATCH("Forward IRR weight w (Blended = (1-w)·Spot + w·Forward)", Assumptions!$A:$A, 0))) * Y207 + INDEX(Assumptions!$B:$B, MATCH("Forward IRR weight w (Blended = (1-w)·Spot + w·Forward)", Assumptions!$A:$A, 0)) * Y208</f>
        <v>3.4258222014843881E-2</v>
      </c>
      <c r="Z209" s="17">
        <f ca="1">(1 - INDEX(Assumptions!$B:$B, MATCH("Forward IRR weight w (Blended = (1-w)·Spot + w·Forward)", Assumptions!$A:$A, 0))) * Z207 + INDEX(Assumptions!$B:$B, MATCH("Forward IRR weight w (Blended = (1-w)·Spot + w·Forward)", Assumptions!$A:$A, 0)) * Z208</f>
        <v>0.74055746056150484</v>
      </c>
      <c r="AA209" s="17">
        <f ca="1">(1 - INDEX(Assumptions!$B:$B, MATCH("Forward IRR weight w (Blended = (1-w)·Spot + w·Forward)", Assumptions!$A:$A, 0))) * AA207 + INDEX(Assumptions!$B:$B, MATCH("Forward IRR weight w (Blended = (1-w)·Spot + w·Forward)", Assumptions!$A:$A, 0)) * AA208</f>
        <v>0.62491949632247468</v>
      </c>
      <c r="AB209" s="17">
        <f ca="1">(1 - INDEX(Assumptions!$B:$B, MATCH("Forward IRR weight w (Blended = (1-w)·Spot + w·Forward)", Assumptions!$A:$A, 0))) * AB207 + INDEX(Assumptions!$B:$B, MATCH("Forward IRR weight w (Blended = (1-w)·Spot + w·Forward)", Assumptions!$A:$A, 0)) * AB208</f>
        <v>0.18535323818893393</v>
      </c>
      <c r="AC209" s="17">
        <f ca="1">(1 - INDEX(Assumptions!$B:$B, MATCH("Forward IRR weight w (Blended = (1-w)·Spot + w·Forward)", Assumptions!$A:$A, 0))) * AC207 + INDEX(Assumptions!$B:$B, MATCH("Forward IRR weight w (Blended = (1-w)·Spot + w·Forward)", Assumptions!$A:$A, 0)) * AC208</f>
        <v>0.26487629727100498</v>
      </c>
    </row>
    <row r="210" spans="1:29" x14ac:dyDescent="0.2">
      <c r="A210" t="s">
        <v>613</v>
      </c>
      <c r="C210" t="s">
        <v>622</v>
      </c>
      <c r="D210" s="15">
        <f ca="1">D24*D21</f>
        <v>0</v>
      </c>
      <c r="E210" s="15">
        <f t="shared" ref="E210:AC210" ca="1" si="23">E24*E21</f>
        <v>0</v>
      </c>
      <c r="F210" s="15">
        <f t="shared" ca="1" si="23"/>
        <v>232172.86773745186</v>
      </c>
      <c r="G210" s="15">
        <f t="shared" ca="1" si="23"/>
        <v>423134.28148913663</v>
      </c>
      <c r="H210" s="15">
        <f t="shared" ca="1" si="23"/>
        <v>665049.24496605981</v>
      </c>
      <c r="I210" s="15">
        <f t="shared" ca="1" si="23"/>
        <v>1155020.150754624</v>
      </c>
      <c r="J210" s="15">
        <f t="shared" ca="1" si="23"/>
        <v>1578855.7733065963</v>
      </c>
      <c r="K210" s="15">
        <f t="shared" ca="1" si="23"/>
        <v>1644199.4179229192</v>
      </c>
      <c r="L210" s="15">
        <f t="shared" ca="1" si="23"/>
        <v>3760146.1456427388</v>
      </c>
      <c r="M210" s="15">
        <f t="shared" ca="1" si="23"/>
        <v>1974432.3048974934</v>
      </c>
      <c r="N210" s="15">
        <f t="shared" ca="1" si="23"/>
        <v>5002826.816693252</v>
      </c>
      <c r="O210" s="15">
        <f t="shared" ca="1" si="23"/>
        <v>6088290.9280479504</v>
      </c>
      <c r="P210" s="15">
        <f t="shared" ca="1" si="23"/>
        <v>2432227.2387335724</v>
      </c>
      <c r="Q210" s="15">
        <f t="shared" ca="1" si="23"/>
        <v>7274834.391083044</v>
      </c>
      <c r="R210" s="15">
        <f t="shared" ca="1" si="23"/>
        <v>3272512.0032541063</v>
      </c>
      <c r="S210" s="15">
        <f t="shared" ca="1" si="23"/>
        <v>8020504.9161690567</v>
      </c>
      <c r="T210" s="15">
        <f t="shared" ca="1" si="23"/>
        <v>8421530.161977509</v>
      </c>
      <c r="U210" s="15">
        <f t="shared" ca="1" si="23"/>
        <v>3192866.433320045</v>
      </c>
      <c r="V210" s="15">
        <f t="shared" ca="1" si="23"/>
        <v>9284737.0035802051</v>
      </c>
      <c r="W210" s="15">
        <f t="shared" ca="1" si="23"/>
        <v>5407115.5079087652</v>
      </c>
      <c r="X210" s="15">
        <f t="shared" ca="1" si="23"/>
        <v>6416915.8774405876</v>
      </c>
      <c r="Y210" s="15">
        <f t="shared" ca="1" si="23"/>
        <v>10748243.673769534</v>
      </c>
      <c r="Z210" s="15">
        <f t="shared" ca="1" si="23"/>
        <v>4127248.9400326586</v>
      </c>
      <c r="AA210" s="15">
        <f t="shared" ca="1" si="23"/>
        <v>11849938.650330912</v>
      </c>
      <c r="AB210" s="15">
        <f t="shared" ca="1" si="23"/>
        <v>9158664.1331653539</v>
      </c>
      <c r="AC210" s="15">
        <f t="shared" ca="1" si="23"/>
        <v>5026680.7159921201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4274-C2EC-3B4A-9F7D-7828B698B452}">
  <dimension ref="A4:AC235"/>
  <sheetViews>
    <sheetView tabSelected="1" topLeftCell="A62" workbookViewId="0">
      <selection activeCell="K81" sqref="K81"/>
    </sheetView>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7" spans="1:29" x14ac:dyDescent="0.2">
      <c r="A7" s="13" t="s">
        <v>596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2">
      <c r="A8" t="s">
        <v>1692</v>
      </c>
      <c r="C8" t="s">
        <v>601</v>
      </c>
      <c r="D8" s="15" cm="1">
        <f t="array" aca="1" ref="D8" ca="1">IFERROR(INDEX(Allocator!$D:$AC, MATCH("Starlink V2 BB cash allocation", Allocator!$A:$A, 0), D$5+1), 0)</f>
        <v>1116.3912500000001</v>
      </c>
      <c r="E8" s="15" cm="1">
        <f t="array" aca="1" ref="E8" ca="1">IFERROR(INDEX(Allocator!$D:$AC, MATCH("Starlink V2 BB cash allocation", Allocator!$A:$A, 0), E$5+1), 0)</f>
        <v>0</v>
      </c>
      <c r="F8" s="15" cm="1">
        <f t="array" aca="1" ref="F8" ca="1">IFERROR(INDEX(Allocator!$D:$AC, MATCH("Starlink V2 BB cash allocation", Allocator!$A:$A, 0), F$5+1), 0)</f>
        <v>0</v>
      </c>
      <c r="G8" s="15" cm="1">
        <f t="array" aca="1" ref="G8" ca="1">IFERROR(INDEX(Allocator!$D:$AC, MATCH("Starlink V2 BB cash allocation", Allocator!$A:$A, 0), G$5+1), 0)</f>
        <v>0</v>
      </c>
      <c r="H8" s="15" cm="1">
        <f t="array" aca="1" ref="H8" ca="1">IFERROR(INDEX(Allocator!$D:$AC, MATCH("Starlink V2 BB cash allocation", Allocator!$A:$A, 0), H$5+1), 0)</f>
        <v>0</v>
      </c>
      <c r="I8" s="15" cm="1">
        <f t="array" aca="1" ref="I8" ca="1">IFERROR(INDEX(Allocator!$D:$AC, MATCH("Starlink V2 BB cash allocation", Allocator!$A:$A, 0), I$5+1), 0)</f>
        <v>0</v>
      </c>
      <c r="J8" s="15" cm="1">
        <f t="array" aca="1" ref="J8" ca="1">IFERROR(INDEX(Allocator!$D:$AC, MATCH("Starlink V2 BB cash allocation", Allocator!$A:$A, 0), J$5+1), 0)</f>
        <v>0</v>
      </c>
      <c r="K8" s="15" cm="1">
        <f t="array" aca="1" ref="K8" ca="1">IFERROR(INDEX(Allocator!$D:$AC, MATCH("Starlink V2 BB cash allocation", Allocator!$A:$A, 0), K$5+1), 0)</f>
        <v>0</v>
      </c>
      <c r="L8" s="15" cm="1">
        <f t="array" aca="1" ref="L8" ca="1">IFERROR(INDEX(Allocator!$D:$AC, MATCH("Starlink V2 BB cash allocation", Allocator!$A:$A, 0), L$5+1), 0)</f>
        <v>0</v>
      </c>
      <c r="M8" s="15" cm="1">
        <f t="array" aca="1" ref="M8" ca="1">IFERROR(INDEX(Allocator!$D:$AC, MATCH("Starlink V2 BB cash allocation", Allocator!$A:$A, 0), M$5+1), 0)</f>
        <v>0</v>
      </c>
      <c r="N8" s="15" cm="1">
        <f t="array" aca="1" ref="N8" ca="1">IFERROR(INDEX(Allocator!$D:$AC, MATCH("Starlink V2 BB cash allocation", Allocator!$A:$A, 0), N$5+1), 0)</f>
        <v>0</v>
      </c>
      <c r="O8" s="15" cm="1">
        <f t="array" aca="1" ref="O8" ca="1">IFERROR(INDEX(Allocator!$D:$AC, MATCH("Starlink V2 BB cash allocation", Allocator!$A:$A, 0), O$5+1), 0)</f>
        <v>0</v>
      </c>
      <c r="P8" s="15" cm="1">
        <f t="array" aca="1" ref="P8" ca="1">IFERROR(INDEX(Allocator!$D:$AC, MATCH("Starlink V2 BB cash allocation", Allocator!$A:$A, 0), P$5+1), 0)</f>
        <v>0</v>
      </c>
      <c r="Q8" s="15" cm="1">
        <f t="array" aca="1" ref="Q8" ca="1">IFERROR(INDEX(Allocator!$D:$AC, MATCH("Starlink V2 BB cash allocation", Allocator!$A:$A, 0), Q$5+1), 0)</f>
        <v>0</v>
      </c>
      <c r="R8" s="15" cm="1">
        <f t="array" aca="1" ref="R8" ca="1">IFERROR(INDEX(Allocator!$D:$AC, MATCH("Starlink V2 BB cash allocation", Allocator!$A:$A, 0), R$5+1), 0)</f>
        <v>0</v>
      </c>
      <c r="S8" s="15" cm="1">
        <f t="array" aca="1" ref="S8" ca="1">IFERROR(INDEX(Allocator!$D:$AC, MATCH("Starlink V2 BB cash allocation", Allocator!$A:$A, 0), S$5+1), 0)</f>
        <v>0</v>
      </c>
      <c r="T8" s="15" cm="1">
        <f t="array" aca="1" ref="T8" ca="1">IFERROR(INDEX(Allocator!$D:$AC, MATCH("Starlink V2 BB cash allocation", Allocator!$A:$A, 0), T$5+1), 0)</f>
        <v>0</v>
      </c>
      <c r="U8" s="15" cm="1">
        <f t="array" aca="1" ref="U8" ca="1">IFERROR(INDEX(Allocator!$D:$AC, MATCH("Starlink V2 BB cash allocation", Allocator!$A:$A, 0), U$5+1), 0)</f>
        <v>0</v>
      </c>
      <c r="V8" s="15" cm="1">
        <f t="array" aca="1" ref="V8" ca="1">IFERROR(INDEX(Allocator!$D:$AC, MATCH("Starlink V2 BB cash allocation", Allocator!$A:$A, 0), V$5+1), 0)</f>
        <v>0</v>
      </c>
      <c r="W8" s="15" cm="1">
        <f t="array" aca="1" ref="W8" ca="1">IFERROR(INDEX(Allocator!$D:$AC, MATCH("Starlink V2 BB cash allocation", Allocator!$A:$A, 0), W$5+1), 0)</f>
        <v>0</v>
      </c>
      <c r="X8" s="15" cm="1">
        <f t="array" aca="1" ref="X8" ca="1">IFERROR(INDEX(Allocator!$D:$AC, MATCH("Starlink V2 BB cash allocation", Allocator!$A:$A, 0), X$5+1), 0)</f>
        <v>0</v>
      </c>
      <c r="Y8" s="15" cm="1">
        <f t="array" aca="1" ref="Y8" ca="1">IFERROR(INDEX(Allocator!$D:$AC, MATCH("Starlink V2 BB cash allocation", Allocator!$A:$A, 0), Y$5+1), 0)</f>
        <v>0</v>
      </c>
      <c r="Z8" s="15" cm="1">
        <f t="array" aca="1" ref="Z8" ca="1">IFERROR(INDEX(Allocator!$D:$AC, MATCH("Starlink V2 BB cash allocation", Allocator!$A:$A, 0), Z$5+1), 0)</f>
        <v>0</v>
      </c>
      <c r="AA8" s="15" cm="1">
        <f t="array" aca="1" ref="AA8" ca="1">IFERROR(INDEX(Allocator!$D:$AC, MATCH("Starlink V2 BB cash allocation", Allocator!$A:$A, 0), AA$5+1), 0)</f>
        <v>0</v>
      </c>
      <c r="AB8" s="15" cm="1">
        <f t="array" aca="1" ref="AB8" ca="1">IFERROR(INDEX(Allocator!$D:$AC, MATCH("Starlink V2 BB cash allocation", Allocator!$A:$A, 0), AB$5+1), 0)</f>
        <v>0</v>
      </c>
      <c r="AC8" s="15" cm="1">
        <f t="array" aca="1" ref="AC8" ca="1">IFERROR(INDEX(Allocator!$D:$AC, MATCH("Starlink V2 BB cash allocation", Allocator!$A:$A, 0), AC$5+1), 0)</f>
        <v>0</v>
      </c>
    </row>
    <row r="9" spans="1:29" x14ac:dyDescent="0.2">
      <c r="A9" t="s">
        <v>1693</v>
      </c>
      <c r="C9" t="s">
        <v>600</v>
      </c>
      <c r="D9" s="15" cm="1">
        <f t="array" aca="1" ref="D9" ca="1">IFERROR(INDEX(Allocator!$D:$AC, MATCH("Starlink V2 DTC cash allocation", Allocator!$A:$A, 0), D$5+1), 0)</f>
        <v>68.022500000000008</v>
      </c>
      <c r="E9" s="15" cm="1">
        <f t="array" aca="1" ref="E9" ca="1">IFERROR(INDEX(Allocator!$D:$AC, MATCH("Starlink V2 DTC cash allocation", Allocator!$A:$A, 0), E$5+1), 0)</f>
        <v>0</v>
      </c>
      <c r="F9" s="15" cm="1">
        <f t="array" aca="1" ref="F9" ca="1">IFERROR(INDEX(Allocator!$D:$AC, MATCH("Starlink V2 DTC cash allocation", Allocator!$A:$A, 0), F$5+1), 0)</f>
        <v>0</v>
      </c>
      <c r="G9" s="15" cm="1">
        <f t="array" aca="1" ref="G9" ca="1">IFERROR(INDEX(Allocator!$D:$AC, MATCH("Starlink V2 DTC cash allocation", Allocator!$A:$A, 0), G$5+1), 0)</f>
        <v>0</v>
      </c>
      <c r="H9" s="15" cm="1">
        <f t="array" aca="1" ref="H9" ca="1">IFERROR(INDEX(Allocator!$D:$AC, MATCH("Starlink V2 DTC cash allocation", Allocator!$A:$A, 0), H$5+1), 0)</f>
        <v>0</v>
      </c>
      <c r="I9" s="15" cm="1">
        <f t="array" aca="1" ref="I9" ca="1">IFERROR(INDEX(Allocator!$D:$AC, MATCH("Starlink V2 DTC cash allocation", Allocator!$A:$A, 0), I$5+1), 0)</f>
        <v>0</v>
      </c>
      <c r="J9" s="15" cm="1">
        <f t="array" aca="1" ref="J9" ca="1">IFERROR(INDEX(Allocator!$D:$AC, MATCH("Starlink V2 DTC cash allocation", Allocator!$A:$A, 0), J$5+1), 0)</f>
        <v>0</v>
      </c>
      <c r="K9" s="15" cm="1">
        <f t="array" aca="1" ref="K9" ca="1">IFERROR(INDEX(Allocator!$D:$AC, MATCH("Starlink V2 DTC cash allocation", Allocator!$A:$A, 0), K$5+1), 0)</f>
        <v>0</v>
      </c>
      <c r="L9" s="15" cm="1">
        <f t="array" aca="1" ref="L9" ca="1">IFERROR(INDEX(Allocator!$D:$AC, MATCH("Starlink V2 DTC cash allocation", Allocator!$A:$A, 0), L$5+1), 0)</f>
        <v>0</v>
      </c>
      <c r="M9" s="15" cm="1">
        <f t="array" aca="1" ref="M9" ca="1">IFERROR(INDEX(Allocator!$D:$AC, MATCH("Starlink V2 DTC cash allocation", Allocator!$A:$A, 0), M$5+1), 0)</f>
        <v>0</v>
      </c>
      <c r="N9" s="15" cm="1">
        <f t="array" aca="1" ref="N9" ca="1">IFERROR(INDEX(Allocator!$D:$AC, MATCH("Starlink V2 DTC cash allocation", Allocator!$A:$A, 0), N$5+1), 0)</f>
        <v>0</v>
      </c>
      <c r="O9" s="15" cm="1">
        <f t="array" aca="1" ref="O9" ca="1">IFERROR(INDEX(Allocator!$D:$AC, MATCH("Starlink V2 DTC cash allocation", Allocator!$A:$A, 0), O$5+1), 0)</f>
        <v>0</v>
      </c>
      <c r="P9" s="15" cm="1">
        <f t="array" aca="1" ref="P9" ca="1">IFERROR(INDEX(Allocator!$D:$AC, MATCH("Starlink V2 DTC cash allocation", Allocator!$A:$A, 0), P$5+1), 0)</f>
        <v>0</v>
      </c>
      <c r="Q9" s="15" cm="1">
        <f t="array" aca="1" ref="Q9" ca="1">IFERROR(INDEX(Allocator!$D:$AC, MATCH("Starlink V2 DTC cash allocation", Allocator!$A:$A, 0), Q$5+1), 0)</f>
        <v>0</v>
      </c>
      <c r="R9" s="15" cm="1">
        <f t="array" aca="1" ref="R9" ca="1">IFERROR(INDEX(Allocator!$D:$AC, MATCH("Starlink V2 DTC cash allocation", Allocator!$A:$A, 0), R$5+1), 0)</f>
        <v>0</v>
      </c>
      <c r="S9" s="15" cm="1">
        <f t="array" aca="1" ref="S9" ca="1">IFERROR(INDEX(Allocator!$D:$AC, MATCH("Starlink V2 DTC cash allocation", Allocator!$A:$A, 0), S$5+1), 0)</f>
        <v>0</v>
      </c>
      <c r="T9" s="15" cm="1">
        <f t="array" aca="1" ref="T9" ca="1">IFERROR(INDEX(Allocator!$D:$AC, MATCH("Starlink V2 DTC cash allocation", Allocator!$A:$A, 0), T$5+1), 0)</f>
        <v>0</v>
      </c>
      <c r="U9" s="15" cm="1">
        <f t="array" aca="1" ref="U9" ca="1">IFERROR(INDEX(Allocator!$D:$AC, MATCH("Starlink V2 DTC cash allocation", Allocator!$A:$A, 0), U$5+1), 0)</f>
        <v>0</v>
      </c>
      <c r="V9" s="15" cm="1">
        <f t="array" aca="1" ref="V9" ca="1">IFERROR(INDEX(Allocator!$D:$AC, MATCH("Starlink V2 DTC cash allocation", Allocator!$A:$A, 0), V$5+1), 0)</f>
        <v>0</v>
      </c>
      <c r="W9" s="15" cm="1">
        <f t="array" aca="1" ref="W9" ca="1">IFERROR(INDEX(Allocator!$D:$AC, MATCH("Starlink V2 DTC cash allocation", Allocator!$A:$A, 0), W$5+1), 0)</f>
        <v>0</v>
      </c>
      <c r="X9" s="15" cm="1">
        <f t="array" aca="1" ref="X9" ca="1">IFERROR(INDEX(Allocator!$D:$AC, MATCH("Starlink V2 DTC cash allocation", Allocator!$A:$A, 0), X$5+1), 0)</f>
        <v>0</v>
      </c>
      <c r="Y9" s="15" cm="1">
        <f t="array" aca="1" ref="Y9" ca="1">IFERROR(INDEX(Allocator!$D:$AC, MATCH("Starlink V2 DTC cash allocation", Allocator!$A:$A, 0), Y$5+1), 0)</f>
        <v>0</v>
      </c>
      <c r="Z9" s="15" cm="1">
        <f t="array" aca="1" ref="Z9" ca="1">IFERROR(INDEX(Allocator!$D:$AC, MATCH("Starlink V2 DTC cash allocation", Allocator!$A:$A, 0), Z$5+1), 0)</f>
        <v>0</v>
      </c>
      <c r="AA9" s="15" cm="1">
        <f t="array" aca="1" ref="AA9" ca="1">IFERROR(INDEX(Allocator!$D:$AC, MATCH("Starlink V2 DTC cash allocation", Allocator!$A:$A, 0), AA$5+1), 0)</f>
        <v>0</v>
      </c>
      <c r="AB9" s="15" cm="1">
        <f t="array" aca="1" ref="AB9" ca="1">IFERROR(INDEX(Allocator!$D:$AC, MATCH("Starlink V2 DTC cash allocation", Allocator!$A:$A, 0), AB$5+1), 0)</f>
        <v>0</v>
      </c>
      <c r="AC9" s="15" cm="1">
        <f t="array" aca="1" ref="AC9" ca="1">IFERROR(INDEX(Allocator!$D:$AC, MATCH("Starlink V2 DTC cash allocation", Allocator!$A:$A, 0), AC$5+1), 0)</f>
        <v>0</v>
      </c>
    </row>
    <row r="10" spans="1:29" x14ac:dyDescent="0.2">
      <c r="A10" t="s">
        <v>1694</v>
      </c>
      <c r="C10" s="16" t="s">
        <v>602</v>
      </c>
      <c r="D10" s="15" cm="1">
        <f t="array" aca="1" ref="D10" ca="1">IFERROR(INDEX(Allocator!$D:$AC, MATCH("Starlink V3 BB cash allocation", Allocator!$A:$A, 0), D$5+1), 0)</f>
        <v>0</v>
      </c>
      <c r="E10" s="15" cm="1">
        <f t="array" aca="1" ref="E10" ca="1">IFERROR(INDEX(Allocator!$D:$AC, MATCH("Starlink V3 BB cash allocation", Allocator!$A:$A, 0), E$5+1), 0)</f>
        <v>0</v>
      </c>
      <c r="F10" s="15" cm="1">
        <f t="array" aca="1" ref="F10" ca="1">IFERROR(INDEX(Allocator!$D:$AC, MATCH("Starlink V3 BB cash allocation", Allocator!$A:$A, 0), F$5+1), 0)</f>
        <v>0</v>
      </c>
      <c r="G10" s="15" cm="1">
        <f t="array" aca="1" ref="G10" ca="1">IFERROR(INDEX(Allocator!$D:$AC, MATCH("Starlink V3 BB cash allocation", Allocator!$A:$A, 0), G$5+1), 0)</f>
        <v>0</v>
      </c>
      <c r="H10" s="15" cm="1">
        <f t="array" aca="1" ref="H10" ca="1">IFERROR(INDEX(Allocator!$D:$AC, MATCH("Starlink V3 BB cash allocation", Allocator!$A:$A, 0), H$5+1), 0)</f>
        <v>0</v>
      </c>
      <c r="I10" s="15" cm="1">
        <f t="array" aca="1" ref="I10" ca="1">IFERROR(INDEX(Allocator!$D:$AC, MATCH("Starlink V3 BB cash allocation", Allocator!$A:$A, 0), I$5+1), 0)</f>
        <v>0</v>
      </c>
      <c r="J10" s="15" cm="1">
        <f t="array" aca="1" ref="J10" ca="1">IFERROR(INDEX(Allocator!$D:$AC, MATCH("Starlink V3 BB cash allocation", Allocator!$A:$A, 0), J$5+1), 0)</f>
        <v>0</v>
      </c>
      <c r="K10" s="15" cm="1">
        <f t="array" aca="1" ref="K10" ca="1">IFERROR(INDEX(Allocator!$D:$AC, MATCH("Starlink V3 BB cash allocation", Allocator!$A:$A, 0), K$5+1), 0)</f>
        <v>0</v>
      </c>
      <c r="L10" s="15" cm="1">
        <f t="array" aca="1" ref="L10" ca="1">IFERROR(INDEX(Allocator!$D:$AC, MATCH("Starlink V3 BB cash allocation", Allocator!$A:$A, 0), L$5+1), 0)</f>
        <v>0</v>
      </c>
      <c r="M10" s="15" cm="1">
        <f t="array" aca="1" ref="M10" ca="1">IFERROR(INDEX(Allocator!$D:$AC, MATCH("Starlink V3 BB cash allocation", Allocator!$A:$A, 0), M$5+1), 0)</f>
        <v>0</v>
      </c>
      <c r="N10" s="15" cm="1">
        <f t="array" aca="1" ref="N10" ca="1">IFERROR(INDEX(Allocator!$D:$AC, MATCH("Starlink V3 BB cash allocation", Allocator!$A:$A, 0), N$5+1), 0)</f>
        <v>0</v>
      </c>
      <c r="O10" s="15" cm="1">
        <f t="array" aca="1" ref="O10" ca="1">IFERROR(INDEX(Allocator!$D:$AC, MATCH("Starlink V3 BB cash allocation", Allocator!$A:$A, 0), O$5+1), 0)</f>
        <v>0</v>
      </c>
      <c r="P10" s="15" cm="1">
        <f t="array" aca="1" ref="P10" ca="1">IFERROR(INDEX(Allocator!$D:$AC, MATCH("Starlink V3 BB cash allocation", Allocator!$A:$A, 0), P$5+1), 0)</f>
        <v>0</v>
      </c>
      <c r="Q10" s="15" cm="1">
        <f t="array" aca="1" ref="Q10" ca="1">IFERROR(INDEX(Allocator!$D:$AC, MATCH("Starlink V3 BB cash allocation", Allocator!$A:$A, 0), Q$5+1), 0)</f>
        <v>0</v>
      </c>
      <c r="R10" s="15" cm="1">
        <f t="array" aca="1" ref="R10" ca="1">IFERROR(INDEX(Allocator!$D:$AC, MATCH("Starlink V3 BB cash allocation", Allocator!$A:$A, 0), R$5+1), 0)</f>
        <v>0</v>
      </c>
      <c r="S10" s="15" cm="1">
        <f t="array" aca="1" ref="S10" ca="1">IFERROR(INDEX(Allocator!$D:$AC, MATCH("Starlink V3 BB cash allocation", Allocator!$A:$A, 0), S$5+1), 0)</f>
        <v>0</v>
      </c>
      <c r="T10" s="15" cm="1">
        <f t="array" aca="1" ref="T10" ca="1">IFERROR(INDEX(Allocator!$D:$AC, MATCH("Starlink V3 BB cash allocation", Allocator!$A:$A, 0), T$5+1), 0)</f>
        <v>0</v>
      </c>
      <c r="U10" s="15" cm="1">
        <f t="array" aca="1" ref="U10" ca="1">IFERROR(INDEX(Allocator!$D:$AC, MATCH("Starlink V3 BB cash allocation", Allocator!$A:$A, 0), U$5+1), 0)</f>
        <v>0</v>
      </c>
      <c r="V10" s="15" cm="1">
        <f t="array" aca="1" ref="V10" ca="1">IFERROR(INDEX(Allocator!$D:$AC, MATCH("Starlink V3 BB cash allocation", Allocator!$A:$A, 0), V$5+1), 0)</f>
        <v>0</v>
      </c>
      <c r="W10" s="15" cm="1">
        <f t="array" aca="1" ref="W10" ca="1">IFERROR(INDEX(Allocator!$D:$AC, MATCH("Starlink V3 BB cash allocation", Allocator!$A:$A, 0), W$5+1), 0)</f>
        <v>0</v>
      </c>
      <c r="X10" s="15" cm="1">
        <f t="array" aca="1" ref="X10" ca="1">IFERROR(INDEX(Allocator!$D:$AC, MATCH("Starlink V3 BB cash allocation", Allocator!$A:$A, 0), X$5+1), 0)</f>
        <v>0</v>
      </c>
      <c r="Y10" s="15" cm="1">
        <f t="array" aca="1" ref="Y10" ca="1">IFERROR(INDEX(Allocator!$D:$AC, MATCH("Starlink V3 BB cash allocation", Allocator!$A:$A, 0), Y$5+1), 0)</f>
        <v>0</v>
      </c>
      <c r="Z10" s="15" cm="1">
        <f t="array" aca="1" ref="Z10" ca="1">IFERROR(INDEX(Allocator!$D:$AC, MATCH("Starlink V3 BB cash allocation", Allocator!$A:$A, 0), Z$5+1), 0)</f>
        <v>0</v>
      </c>
      <c r="AA10" s="15" cm="1">
        <f t="array" aca="1" ref="AA10" ca="1">IFERROR(INDEX(Allocator!$D:$AC, MATCH("Starlink V3 BB cash allocation", Allocator!$A:$A, 0), AA$5+1), 0)</f>
        <v>0</v>
      </c>
      <c r="AB10" s="15" cm="1">
        <f t="array" aca="1" ref="AB10" ca="1">IFERROR(INDEX(Allocator!$D:$AC, MATCH("Starlink V3 BB cash allocation", Allocator!$A:$A, 0), AB$5+1), 0)</f>
        <v>0</v>
      </c>
      <c r="AC10" s="15" cm="1">
        <f t="array" aca="1" ref="AC10" ca="1">IFERROR(INDEX(Allocator!$D:$AC, MATCH("Starlink V3 BB cash allocation", Allocator!$A:$A, 0), AC$5+1), 0)</f>
        <v>0</v>
      </c>
    </row>
    <row r="11" spans="1:29" x14ac:dyDescent="0.2">
      <c r="A11" t="s">
        <v>1695</v>
      </c>
      <c r="D11" cm="1">
        <f t="array" aca="1" ref="D11" ca="1">IFERROR(INDEX(Allocator!$D:$AC, MATCH("Starlink V3 DTC cash allocation", Allocator!$A:$A, 0), D$5+1), 0)</f>
        <v>0</v>
      </c>
      <c r="E11" cm="1">
        <f t="array" aca="1" ref="E11" ca="1">IFERROR(INDEX(Allocator!$D:$AC, MATCH("Starlink V3 DTC cash allocation", Allocator!$A:$A, 0), E$5+1), 0)</f>
        <v>0</v>
      </c>
      <c r="F11" cm="1">
        <f t="array" aca="1" ref="F11" ca="1">IFERROR(INDEX(Allocator!$D:$AC, MATCH("Starlink V3 DTC cash allocation", Allocator!$A:$A, 0), F$5+1), 0)</f>
        <v>0</v>
      </c>
      <c r="G11" cm="1">
        <f t="array" aca="1" ref="G11" ca="1">IFERROR(INDEX(Allocator!$D:$AC, MATCH("Starlink V3 DTC cash allocation", Allocator!$A:$A, 0), G$5+1), 0)</f>
        <v>0</v>
      </c>
      <c r="H11" cm="1">
        <f t="array" aca="1" ref="H11" ca="1">IFERROR(INDEX(Allocator!$D:$AC, MATCH("Starlink V3 DTC cash allocation", Allocator!$A:$A, 0), H$5+1), 0)</f>
        <v>0</v>
      </c>
      <c r="I11" cm="1">
        <f t="array" aca="1" ref="I11" ca="1">IFERROR(INDEX(Allocator!$D:$AC, MATCH("Starlink V3 DTC cash allocation", Allocator!$A:$A, 0), I$5+1), 0)</f>
        <v>0</v>
      </c>
      <c r="J11" cm="1">
        <f t="array" aca="1" ref="J11" ca="1">IFERROR(INDEX(Allocator!$D:$AC, MATCH("Starlink V3 DTC cash allocation", Allocator!$A:$A, 0), J$5+1), 0)</f>
        <v>0</v>
      </c>
      <c r="K11" cm="1">
        <f t="array" aca="1" ref="K11" ca="1">IFERROR(INDEX(Allocator!$D:$AC, MATCH("Starlink V3 DTC cash allocation", Allocator!$A:$A, 0), K$5+1), 0)</f>
        <v>0</v>
      </c>
      <c r="L11" cm="1">
        <f t="array" aca="1" ref="L11" ca="1">IFERROR(INDEX(Allocator!$D:$AC, MATCH("Starlink V3 DTC cash allocation", Allocator!$A:$A, 0), L$5+1), 0)</f>
        <v>0</v>
      </c>
      <c r="M11" cm="1">
        <f t="array" aca="1" ref="M11" ca="1">IFERROR(INDEX(Allocator!$D:$AC, MATCH("Starlink V3 DTC cash allocation", Allocator!$A:$A, 0), M$5+1), 0)</f>
        <v>0</v>
      </c>
      <c r="N11" cm="1">
        <f t="array" aca="1" ref="N11" ca="1">IFERROR(INDEX(Allocator!$D:$AC, MATCH("Starlink V3 DTC cash allocation", Allocator!$A:$A, 0), N$5+1), 0)</f>
        <v>0</v>
      </c>
      <c r="O11" cm="1">
        <f t="array" aca="1" ref="O11" ca="1">IFERROR(INDEX(Allocator!$D:$AC, MATCH("Starlink V3 DTC cash allocation", Allocator!$A:$A, 0), O$5+1), 0)</f>
        <v>0</v>
      </c>
      <c r="P11" cm="1">
        <f t="array" aca="1" ref="P11" ca="1">IFERROR(INDEX(Allocator!$D:$AC, MATCH("Starlink V3 DTC cash allocation", Allocator!$A:$A, 0), P$5+1), 0)</f>
        <v>0</v>
      </c>
      <c r="Q11" cm="1">
        <f t="array" aca="1" ref="Q11" ca="1">IFERROR(INDEX(Allocator!$D:$AC, MATCH("Starlink V3 DTC cash allocation", Allocator!$A:$A, 0), Q$5+1), 0)</f>
        <v>0</v>
      </c>
      <c r="R11" cm="1">
        <f t="array" aca="1" ref="R11" ca="1">IFERROR(INDEX(Allocator!$D:$AC, MATCH("Starlink V3 DTC cash allocation", Allocator!$A:$A, 0), R$5+1), 0)</f>
        <v>0</v>
      </c>
      <c r="S11" cm="1">
        <f t="array" aca="1" ref="S11" ca="1">IFERROR(INDEX(Allocator!$D:$AC, MATCH("Starlink V3 DTC cash allocation", Allocator!$A:$A, 0), S$5+1), 0)</f>
        <v>0</v>
      </c>
      <c r="T11" cm="1">
        <f t="array" aca="1" ref="T11" ca="1">IFERROR(INDEX(Allocator!$D:$AC, MATCH("Starlink V3 DTC cash allocation", Allocator!$A:$A, 0), T$5+1), 0)</f>
        <v>0</v>
      </c>
      <c r="U11" cm="1">
        <f t="array" aca="1" ref="U11" ca="1">IFERROR(INDEX(Allocator!$D:$AC, MATCH("Starlink V3 DTC cash allocation", Allocator!$A:$A, 0), U$5+1), 0)</f>
        <v>0</v>
      </c>
      <c r="V11" cm="1">
        <f t="array" aca="1" ref="V11" ca="1">IFERROR(INDEX(Allocator!$D:$AC, MATCH("Starlink V3 DTC cash allocation", Allocator!$A:$A, 0), V$5+1), 0)</f>
        <v>0</v>
      </c>
      <c r="W11" cm="1">
        <f t="array" aca="1" ref="W11" ca="1">IFERROR(INDEX(Allocator!$D:$AC, MATCH("Starlink V3 DTC cash allocation", Allocator!$A:$A, 0), W$5+1), 0)</f>
        <v>0</v>
      </c>
      <c r="X11" cm="1">
        <f t="array" aca="1" ref="X11" ca="1">IFERROR(INDEX(Allocator!$D:$AC, MATCH("Starlink V3 DTC cash allocation", Allocator!$A:$A, 0), X$5+1), 0)</f>
        <v>0</v>
      </c>
      <c r="Y11" cm="1">
        <f t="array" aca="1" ref="Y11" ca="1">IFERROR(INDEX(Allocator!$D:$AC, MATCH("Starlink V3 DTC cash allocation", Allocator!$A:$A, 0), Y$5+1), 0)</f>
        <v>0</v>
      </c>
      <c r="Z11" cm="1">
        <f t="array" aca="1" ref="Z11" ca="1">IFERROR(INDEX(Allocator!$D:$AC, MATCH("Starlink V3 DTC cash allocation", Allocator!$A:$A, 0), Z$5+1), 0)</f>
        <v>0</v>
      </c>
      <c r="AA11" cm="1">
        <f t="array" aca="1" ref="AA11" ca="1">IFERROR(INDEX(Allocator!$D:$AC, MATCH("Starlink V3 DTC cash allocation", Allocator!$A:$A, 0), AA$5+1), 0)</f>
        <v>0</v>
      </c>
      <c r="AB11" cm="1">
        <f t="array" aca="1" ref="AB11" ca="1">IFERROR(INDEX(Allocator!$D:$AC, MATCH("Starlink V3 DTC cash allocation", Allocator!$A:$A, 0), AB$5+1), 0)</f>
        <v>0</v>
      </c>
      <c r="AC11" cm="1">
        <f t="array" aca="1" ref="AC11" ca="1">IFERROR(INDEX(Allocator!$D:$AC, MATCH("Starlink V3 DTC cash allocation", Allocator!$A:$A, 0), AC$5+1), 0)</f>
        <v>0</v>
      </c>
    </row>
    <row r="12" spans="1:29" x14ac:dyDescent="0.2">
      <c r="A12" s="38" t="s">
        <v>1696</v>
      </c>
      <c r="D12" cm="1">
        <f t="array" aca="1" ref="D12" ca="1">IFERROR(INDEX(Allocator!$D:$AC, MATCH("Starlink V3 BB kg allocation", Allocator!$A:$A, 0), D$5+1), 0)</f>
        <v>0</v>
      </c>
      <c r="E12" cm="1">
        <f t="array" aca="1" ref="E12" ca="1">IFERROR(INDEX(Allocator!$D:$AC, MATCH("Starlink V3 BB kg allocation", Allocator!$A:$A, 0), E$5+1), 0)</f>
        <v>0</v>
      </c>
      <c r="F12" cm="1">
        <f t="array" aca="1" ref="F12" ca="1">IFERROR(INDEX(Allocator!$D:$AC, MATCH("Starlink V3 BB kg allocation", Allocator!$A:$A, 0), F$5+1), 0)</f>
        <v>0</v>
      </c>
      <c r="G12" cm="1">
        <f t="array" aca="1" ref="G12" ca="1">IFERROR(INDEX(Allocator!$D:$AC, MATCH("Starlink V3 BB kg allocation", Allocator!$A:$A, 0), G$5+1), 0)</f>
        <v>0</v>
      </c>
      <c r="H12" cm="1">
        <f t="array" aca="1" ref="H12" ca="1">IFERROR(INDEX(Allocator!$D:$AC, MATCH("Starlink V3 BB kg allocation", Allocator!$A:$A, 0), H$5+1), 0)</f>
        <v>0</v>
      </c>
      <c r="I12" cm="1">
        <f t="array" aca="1" ref="I12" ca="1">IFERROR(INDEX(Allocator!$D:$AC, MATCH("Starlink V3 BB kg allocation", Allocator!$A:$A, 0), I$5+1), 0)</f>
        <v>0</v>
      </c>
      <c r="J12" cm="1">
        <f t="array" aca="1" ref="J12" ca="1">IFERROR(INDEX(Allocator!$D:$AC, MATCH("Starlink V3 BB kg allocation", Allocator!$A:$A, 0), J$5+1), 0)</f>
        <v>0</v>
      </c>
      <c r="K12" cm="1">
        <f t="array" aca="1" ref="K12" ca="1">IFERROR(INDEX(Allocator!$D:$AC, MATCH("Starlink V3 BB kg allocation", Allocator!$A:$A, 0), K$5+1), 0)</f>
        <v>0</v>
      </c>
      <c r="L12" cm="1">
        <f t="array" aca="1" ref="L12" ca="1">IFERROR(INDEX(Allocator!$D:$AC, MATCH("Starlink V3 BB kg allocation", Allocator!$A:$A, 0), L$5+1), 0)</f>
        <v>0</v>
      </c>
      <c r="M12" cm="1">
        <f t="array" aca="1" ref="M12" ca="1">IFERROR(INDEX(Allocator!$D:$AC, MATCH("Starlink V3 BB kg allocation", Allocator!$A:$A, 0), M$5+1), 0)</f>
        <v>0</v>
      </c>
      <c r="N12" cm="1">
        <f t="array" aca="1" ref="N12" ca="1">IFERROR(INDEX(Allocator!$D:$AC, MATCH("Starlink V3 BB kg allocation", Allocator!$A:$A, 0), N$5+1), 0)</f>
        <v>0</v>
      </c>
      <c r="O12" cm="1">
        <f t="array" aca="1" ref="O12" ca="1">IFERROR(INDEX(Allocator!$D:$AC, MATCH("Starlink V3 BB kg allocation", Allocator!$A:$A, 0), O$5+1), 0)</f>
        <v>0</v>
      </c>
      <c r="P12" cm="1">
        <f t="array" aca="1" ref="P12" ca="1">IFERROR(INDEX(Allocator!$D:$AC, MATCH("Starlink V3 BB kg allocation", Allocator!$A:$A, 0), P$5+1), 0)</f>
        <v>0</v>
      </c>
      <c r="Q12" cm="1">
        <f t="array" aca="1" ref="Q12" ca="1">IFERROR(INDEX(Allocator!$D:$AC, MATCH("Starlink V3 BB kg allocation", Allocator!$A:$A, 0), Q$5+1), 0)</f>
        <v>0</v>
      </c>
      <c r="R12" cm="1">
        <f t="array" aca="1" ref="R12" ca="1">IFERROR(INDEX(Allocator!$D:$AC, MATCH("Starlink V3 BB kg allocation", Allocator!$A:$A, 0), R$5+1), 0)</f>
        <v>0</v>
      </c>
      <c r="S12" cm="1">
        <f t="array" aca="1" ref="S12" ca="1">IFERROR(INDEX(Allocator!$D:$AC, MATCH("Starlink V3 BB kg allocation", Allocator!$A:$A, 0), S$5+1), 0)</f>
        <v>0</v>
      </c>
      <c r="T12" cm="1">
        <f t="array" aca="1" ref="T12" ca="1">IFERROR(INDEX(Allocator!$D:$AC, MATCH("Starlink V3 BB kg allocation", Allocator!$A:$A, 0), T$5+1), 0)</f>
        <v>0</v>
      </c>
      <c r="U12" cm="1">
        <f t="array" aca="1" ref="U12" ca="1">IFERROR(INDEX(Allocator!$D:$AC, MATCH("Starlink V3 BB kg allocation", Allocator!$A:$A, 0), U$5+1), 0)</f>
        <v>0</v>
      </c>
      <c r="V12" cm="1">
        <f t="array" aca="1" ref="V12" ca="1">IFERROR(INDEX(Allocator!$D:$AC, MATCH("Starlink V3 BB kg allocation", Allocator!$A:$A, 0), V$5+1), 0)</f>
        <v>0</v>
      </c>
      <c r="W12" cm="1">
        <f t="array" aca="1" ref="W12" ca="1">IFERROR(INDEX(Allocator!$D:$AC, MATCH("Starlink V3 BB kg allocation", Allocator!$A:$A, 0), W$5+1), 0)</f>
        <v>0</v>
      </c>
      <c r="X12" cm="1">
        <f t="array" aca="1" ref="X12" ca="1">IFERROR(INDEX(Allocator!$D:$AC, MATCH("Starlink V3 BB kg allocation", Allocator!$A:$A, 0), X$5+1), 0)</f>
        <v>0</v>
      </c>
      <c r="Y12" cm="1">
        <f t="array" aca="1" ref="Y12" ca="1">IFERROR(INDEX(Allocator!$D:$AC, MATCH("Starlink V3 BB kg allocation", Allocator!$A:$A, 0), Y$5+1), 0)</f>
        <v>0</v>
      </c>
      <c r="Z12" cm="1">
        <f t="array" aca="1" ref="Z12" ca="1">IFERROR(INDEX(Allocator!$D:$AC, MATCH("Starlink V3 BB kg allocation", Allocator!$A:$A, 0), Z$5+1), 0)</f>
        <v>0</v>
      </c>
      <c r="AA12" cm="1">
        <f t="array" aca="1" ref="AA12" ca="1">IFERROR(INDEX(Allocator!$D:$AC, MATCH("Starlink V3 BB kg allocation", Allocator!$A:$A, 0), AA$5+1), 0)</f>
        <v>0</v>
      </c>
      <c r="AB12" cm="1">
        <f t="array" aca="1" ref="AB12" ca="1">IFERROR(INDEX(Allocator!$D:$AC, MATCH("Starlink V3 BB kg allocation", Allocator!$A:$A, 0), AB$5+1), 0)</f>
        <v>0</v>
      </c>
      <c r="AC12" cm="1">
        <f t="array" aca="1" ref="AC12" ca="1">IFERROR(INDEX(Allocator!$D:$AC, MATCH("Starlink V3 BB kg allocation", Allocator!$A:$A, 0), AC$5+1), 0)</f>
        <v>0</v>
      </c>
    </row>
    <row r="13" spans="1:29" x14ac:dyDescent="0.2">
      <c r="A13" t="s">
        <v>1697</v>
      </c>
      <c r="D13" cm="1">
        <f t="array" aca="1" ref="D13" ca="1">IFERROR(INDEX(Allocator!$D:$AC, MATCH("Starlink V3 DTC kg allocation", Allocator!$A:$A, 0), D$5+1), 0)</f>
        <v>0</v>
      </c>
      <c r="E13" cm="1">
        <f t="array" aca="1" ref="E13" ca="1">IFERROR(INDEX(Allocator!$D:$AC, MATCH("Starlink V3 DTC kg allocation", Allocator!$A:$A, 0), E$5+1), 0)</f>
        <v>0</v>
      </c>
      <c r="F13" cm="1">
        <f t="array" aca="1" ref="F13" ca="1">IFERROR(INDEX(Allocator!$D:$AC, MATCH("Starlink V3 DTC kg allocation", Allocator!$A:$A, 0), F$5+1), 0)</f>
        <v>0</v>
      </c>
      <c r="G13" cm="1">
        <f t="array" aca="1" ref="G13" ca="1">IFERROR(INDEX(Allocator!$D:$AC, MATCH("Starlink V3 DTC kg allocation", Allocator!$A:$A, 0), G$5+1), 0)</f>
        <v>0</v>
      </c>
      <c r="H13" cm="1">
        <f t="array" aca="1" ref="H13" ca="1">IFERROR(INDEX(Allocator!$D:$AC, MATCH("Starlink V3 DTC kg allocation", Allocator!$A:$A, 0), H$5+1), 0)</f>
        <v>0</v>
      </c>
      <c r="I13" cm="1">
        <f t="array" aca="1" ref="I13" ca="1">IFERROR(INDEX(Allocator!$D:$AC, MATCH("Starlink V3 DTC kg allocation", Allocator!$A:$A, 0), I$5+1), 0)</f>
        <v>0</v>
      </c>
      <c r="J13" cm="1">
        <f t="array" aca="1" ref="J13" ca="1">IFERROR(INDEX(Allocator!$D:$AC, MATCH("Starlink V3 DTC kg allocation", Allocator!$A:$A, 0), J$5+1), 0)</f>
        <v>0</v>
      </c>
      <c r="K13" cm="1">
        <f t="array" aca="1" ref="K13" ca="1">IFERROR(INDEX(Allocator!$D:$AC, MATCH("Starlink V3 DTC kg allocation", Allocator!$A:$A, 0), K$5+1), 0)</f>
        <v>0</v>
      </c>
      <c r="L13" cm="1">
        <f t="array" aca="1" ref="L13" ca="1">IFERROR(INDEX(Allocator!$D:$AC, MATCH("Starlink V3 DTC kg allocation", Allocator!$A:$A, 0), L$5+1), 0)</f>
        <v>0</v>
      </c>
      <c r="M13" cm="1">
        <f t="array" aca="1" ref="M13" ca="1">IFERROR(INDEX(Allocator!$D:$AC, MATCH("Starlink V3 DTC kg allocation", Allocator!$A:$A, 0), M$5+1), 0)</f>
        <v>0</v>
      </c>
      <c r="N13" cm="1">
        <f t="array" aca="1" ref="N13" ca="1">IFERROR(INDEX(Allocator!$D:$AC, MATCH("Starlink V3 DTC kg allocation", Allocator!$A:$A, 0), N$5+1), 0)</f>
        <v>0</v>
      </c>
      <c r="O13" cm="1">
        <f t="array" aca="1" ref="O13" ca="1">IFERROR(INDEX(Allocator!$D:$AC, MATCH("Starlink V3 DTC kg allocation", Allocator!$A:$A, 0), O$5+1), 0)</f>
        <v>0</v>
      </c>
      <c r="P13" cm="1">
        <f t="array" aca="1" ref="P13" ca="1">IFERROR(INDEX(Allocator!$D:$AC, MATCH("Starlink V3 DTC kg allocation", Allocator!$A:$A, 0), P$5+1), 0)</f>
        <v>0</v>
      </c>
      <c r="Q13" cm="1">
        <f t="array" aca="1" ref="Q13" ca="1">IFERROR(INDEX(Allocator!$D:$AC, MATCH("Starlink V3 DTC kg allocation", Allocator!$A:$A, 0), Q$5+1), 0)</f>
        <v>0</v>
      </c>
      <c r="R13" cm="1">
        <f t="array" aca="1" ref="R13" ca="1">IFERROR(INDEX(Allocator!$D:$AC, MATCH("Starlink V3 DTC kg allocation", Allocator!$A:$A, 0), R$5+1), 0)</f>
        <v>0</v>
      </c>
      <c r="S13" cm="1">
        <f t="array" aca="1" ref="S13" ca="1">IFERROR(INDEX(Allocator!$D:$AC, MATCH("Starlink V3 DTC kg allocation", Allocator!$A:$A, 0), S$5+1), 0)</f>
        <v>0</v>
      </c>
      <c r="T13" cm="1">
        <f t="array" aca="1" ref="T13" ca="1">IFERROR(INDEX(Allocator!$D:$AC, MATCH("Starlink V3 DTC kg allocation", Allocator!$A:$A, 0), T$5+1), 0)</f>
        <v>0</v>
      </c>
      <c r="U13" cm="1">
        <f t="array" aca="1" ref="U13" ca="1">IFERROR(INDEX(Allocator!$D:$AC, MATCH("Starlink V3 DTC kg allocation", Allocator!$A:$A, 0), U$5+1), 0)</f>
        <v>0</v>
      </c>
      <c r="V13" cm="1">
        <f t="array" aca="1" ref="V13" ca="1">IFERROR(INDEX(Allocator!$D:$AC, MATCH("Starlink V3 DTC kg allocation", Allocator!$A:$A, 0), V$5+1), 0)</f>
        <v>0</v>
      </c>
      <c r="W13" cm="1">
        <f t="array" aca="1" ref="W13" ca="1">IFERROR(INDEX(Allocator!$D:$AC, MATCH("Starlink V3 DTC kg allocation", Allocator!$A:$A, 0), W$5+1), 0)</f>
        <v>0</v>
      </c>
      <c r="X13" cm="1">
        <f t="array" aca="1" ref="X13" ca="1">IFERROR(INDEX(Allocator!$D:$AC, MATCH("Starlink V3 DTC kg allocation", Allocator!$A:$A, 0), X$5+1), 0)</f>
        <v>0</v>
      </c>
      <c r="Y13" cm="1">
        <f t="array" aca="1" ref="Y13" ca="1">IFERROR(INDEX(Allocator!$D:$AC, MATCH("Starlink V3 DTC kg allocation", Allocator!$A:$A, 0), Y$5+1), 0)</f>
        <v>0</v>
      </c>
      <c r="Z13" cm="1">
        <f t="array" aca="1" ref="Z13" ca="1">IFERROR(INDEX(Allocator!$D:$AC, MATCH("Starlink V3 DTC kg allocation", Allocator!$A:$A, 0), Z$5+1), 0)</f>
        <v>0</v>
      </c>
      <c r="AA13" cm="1">
        <f t="array" aca="1" ref="AA13" ca="1">IFERROR(INDEX(Allocator!$D:$AC, MATCH("Starlink V3 DTC kg allocation", Allocator!$A:$A, 0), AA$5+1), 0)</f>
        <v>0</v>
      </c>
      <c r="AB13" cm="1">
        <f t="array" aca="1" ref="AB13" ca="1">IFERROR(INDEX(Allocator!$D:$AC, MATCH("Starlink V3 DTC kg allocation", Allocator!$A:$A, 0), AB$5+1), 0)</f>
        <v>0</v>
      </c>
      <c r="AC13" cm="1">
        <f t="array" aca="1" ref="AC13" ca="1">IFERROR(INDEX(Allocator!$D:$AC, MATCH("Starlink V3 DTC kg allocation", Allocator!$A:$A, 0), AC$5+1), 0)</f>
        <v>0</v>
      </c>
    </row>
    <row r="14" spans="1:29" x14ac:dyDescent="0.2">
      <c r="A14" s="39" t="s">
        <v>599</v>
      </c>
      <c r="D14" s="15">
        <f ca="1">D8+D9+D10+D11</f>
        <v>1184.4137500000002</v>
      </c>
      <c r="E14">
        <f t="shared" ref="E14:AC14" ca="1" si="0">E8+E9+E10+E11</f>
        <v>0</v>
      </c>
      <c r="F14">
        <f t="shared" ca="1" si="0"/>
        <v>0</v>
      </c>
      <c r="G14">
        <f t="shared" ca="1" si="0"/>
        <v>0</v>
      </c>
      <c r="H14">
        <f t="shared" ca="1" si="0"/>
        <v>0</v>
      </c>
      <c r="I14">
        <f t="shared" ca="1" si="0"/>
        <v>0</v>
      </c>
      <c r="J14">
        <f t="shared" ca="1" si="0"/>
        <v>0</v>
      </c>
      <c r="K14">
        <f t="shared" ca="1" si="0"/>
        <v>0</v>
      </c>
      <c r="L14">
        <f t="shared" ca="1" si="0"/>
        <v>0</v>
      </c>
      <c r="M14">
        <f t="shared" ca="1" si="0"/>
        <v>0</v>
      </c>
      <c r="N14">
        <f t="shared" ca="1" si="0"/>
        <v>0</v>
      </c>
      <c r="O14">
        <f t="shared" ca="1" si="0"/>
        <v>0</v>
      </c>
      <c r="P14">
        <f t="shared" ca="1" si="0"/>
        <v>0</v>
      </c>
      <c r="Q14">
        <f t="shared" ca="1" si="0"/>
        <v>0</v>
      </c>
      <c r="R14">
        <f t="shared" ca="1" si="0"/>
        <v>0</v>
      </c>
      <c r="S14">
        <f t="shared" ca="1" si="0"/>
        <v>0</v>
      </c>
      <c r="T14">
        <f t="shared" ca="1" si="0"/>
        <v>0</v>
      </c>
      <c r="U14">
        <f t="shared" ca="1" si="0"/>
        <v>0</v>
      </c>
      <c r="V14">
        <f t="shared" ca="1" si="0"/>
        <v>0</v>
      </c>
      <c r="W14">
        <f t="shared" ca="1" si="0"/>
        <v>0</v>
      </c>
      <c r="X14">
        <f t="shared" ca="1" si="0"/>
        <v>0</v>
      </c>
      <c r="Y14">
        <f t="shared" ca="1" si="0"/>
        <v>0</v>
      </c>
      <c r="Z14">
        <f t="shared" ca="1" si="0"/>
        <v>0</v>
      </c>
      <c r="AA14">
        <f t="shared" ca="1" si="0"/>
        <v>0</v>
      </c>
      <c r="AB14">
        <f t="shared" ca="1" si="0"/>
        <v>0</v>
      </c>
      <c r="AC14">
        <f t="shared" ca="1" si="0"/>
        <v>0</v>
      </c>
    </row>
    <row r="15" spans="1:29" x14ac:dyDescent="0.2">
      <c r="A15" t="s">
        <v>832</v>
      </c>
      <c r="D15" s="40">
        <f>INDEX(Assumptions!$B:$B, MATCH("V2 Mini Bandwidth per Sat — BB (Gbps)", Assumptions!$A:$A, 0))</f>
        <v>96</v>
      </c>
      <c r="E15" s="40">
        <f>INDEX(Assumptions!$B:$B, MATCH("V2 Mini Bandwidth per Sat — BB (Gbps)", Assumptions!$A:$A, 0))</f>
        <v>96</v>
      </c>
      <c r="F15" s="40">
        <f>INDEX(Assumptions!$B:$B, MATCH("V2 Mini Bandwidth per Sat — BB (Gbps)", Assumptions!$A:$A, 0))</f>
        <v>96</v>
      </c>
      <c r="G15" s="40">
        <f>INDEX(Assumptions!$B:$B, MATCH("V2 Mini Bandwidth per Sat — BB (Gbps)", Assumptions!$A:$A, 0))</f>
        <v>96</v>
      </c>
      <c r="H15" s="40">
        <f>INDEX(Assumptions!$B:$B, MATCH("V2 Mini Bandwidth per Sat — BB (Gbps)", Assumptions!$A:$A, 0))</f>
        <v>96</v>
      </c>
      <c r="I15" s="40">
        <f>INDEX(Assumptions!$B:$B, MATCH("V2 Mini Bandwidth per Sat — BB (Gbps)", Assumptions!$A:$A, 0))</f>
        <v>96</v>
      </c>
      <c r="J15" s="40">
        <f>INDEX(Assumptions!$B:$B, MATCH("V2 Mini Bandwidth per Sat — BB (Gbps)", Assumptions!$A:$A, 0))</f>
        <v>96</v>
      </c>
      <c r="K15" s="40">
        <f>INDEX(Assumptions!$B:$B, MATCH("V2 Mini Bandwidth per Sat — BB (Gbps)", Assumptions!$A:$A, 0))</f>
        <v>96</v>
      </c>
      <c r="L15" s="40">
        <f>INDEX(Assumptions!$B:$B, MATCH("V2 Mini Bandwidth per Sat — BB (Gbps)", Assumptions!$A:$A, 0))</f>
        <v>96</v>
      </c>
      <c r="M15" s="40">
        <f>INDEX(Assumptions!$B:$B, MATCH("V2 Mini Bandwidth per Sat — BB (Gbps)", Assumptions!$A:$A, 0))</f>
        <v>96</v>
      </c>
      <c r="N15" s="40">
        <f>INDEX(Assumptions!$B:$B, MATCH("V2 Mini Bandwidth per Sat — BB (Gbps)", Assumptions!$A:$A, 0))</f>
        <v>96</v>
      </c>
      <c r="O15" s="40">
        <f>INDEX(Assumptions!$B:$B, MATCH("V2 Mini Bandwidth per Sat — BB (Gbps)", Assumptions!$A:$A, 0))</f>
        <v>96</v>
      </c>
      <c r="P15" s="40">
        <f>INDEX(Assumptions!$B:$B, MATCH("V2 Mini Bandwidth per Sat — BB (Gbps)", Assumptions!$A:$A, 0))</f>
        <v>96</v>
      </c>
      <c r="Q15" s="40">
        <f>INDEX(Assumptions!$B:$B, MATCH("V2 Mini Bandwidth per Sat — BB (Gbps)", Assumptions!$A:$A, 0))</f>
        <v>96</v>
      </c>
      <c r="R15" s="40">
        <f>INDEX(Assumptions!$B:$B, MATCH("V2 Mini Bandwidth per Sat — BB (Gbps)", Assumptions!$A:$A, 0))</f>
        <v>96</v>
      </c>
      <c r="S15" s="40">
        <f>INDEX(Assumptions!$B:$B, MATCH("V2 Mini Bandwidth per Sat — BB (Gbps)", Assumptions!$A:$A, 0))</f>
        <v>96</v>
      </c>
      <c r="T15" s="40">
        <f>INDEX(Assumptions!$B:$B, MATCH("V2 Mini Bandwidth per Sat — BB (Gbps)", Assumptions!$A:$A, 0))</f>
        <v>96</v>
      </c>
      <c r="U15" s="40">
        <f>INDEX(Assumptions!$B:$B, MATCH("V2 Mini Bandwidth per Sat — BB (Gbps)", Assumptions!$A:$A, 0))</f>
        <v>96</v>
      </c>
      <c r="V15" s="40">
        <f>INDEX(Assumptions!$B:$B, MATCH("V2 Mini Bandwidth per Sat — BB (Gbps)", Assumptions!$A:$A, 0))</f>
        <v>96</v>
      </c>
      <c r="W15" s="40">
        <f>INDEX(Assumptions!$B:$B, MATCH("V2 Mini Bandwidth per Sat — BB (Gbps)", Assumptions!$A:$A, 0))</f>
        <v>96</v>
      </c>
      <c r="X15" s="40">
        <f>INDEX(Assumptions!$B:$B, MATCH("V2 Mini Bandwidth per Sat — BB (Gbps)", Assumptions!$A:$A, 0))</f>
        <v>96</v>
      </c>
      <c r="Y15" s="40">
        <f>INDEX(Assumptions!$B:$B, MATCH("V2 Mini Bandwidth per Sat — BB (Gbps)", Assumptions!$A:$A, 0))</f>
        <v>96</v>
      </c>
      <c r="Z15" s="40">
        <f>INDEX(Assumptions!$B:$B, MATCH("V2 Mini Bandwidth per Sat — BB (Gbps)", Assumptions!$A:$A, 0))</f>
        <v>96</v>
      </c>
      <c r="AA15" s="40">
        <f>INDEX(Assumptions!$B:$B, MATCH("V2 Mini Bandwidth per Sat — BB (Gbps)", Assumptions!$A:$A, 0))</f>
        <v>96</v>
      </c>
      <c r="AB15" s="40">
        <f>INDEX(Assumptions!$B:$B, MATCH("V2 Mini Bandwidth per Sat — BB (Gbps)", Assumptions!$A:$A, 0))</f>
        <v>96</v>
      </c>
      <c r="AC15" s="40">
        <f>INDEX(Assumptions!$B:$B, MATCH("V2 Mini Bandwidth per Sat — BB (Gbps)", Assumptions!$A:$A, 0))</f>
        <v>96</v>
      </c>
    </row>
    <row r="16" spans="1:29" x14ac:dyDescent="0.2">
      <c r="A16" t="s">
        <v>833</v>
      </c>
      <c r="D16" s="40">
        <f>INDEX(Assumptions!$B:$B, MATCH("V2 Mini Bandwidth per Sat — DTC (Gbps)", Assumptions!$A:$A, 0))</f>
        <v>0.2</v>
      </c>
      <c r="E16" s="40">
        <f>INDEX(Assumptions!$B:$B, MATCH("V2 Mini Bandwidth per Sat — DTC (Gbps)", Assumptions!$A:$A, 0))</f>
        <v>0.2</v>
      </c>
      <c r="F16" s="40">
        <f>INDEX(Assumptions!$B:$B, MATCH("V2 Mini Bandwidth per Sat — DTC (Gbps)", Assumptions!$A:$A, 0))</f>
        <v>0.2</v>
      </c>
      <c r="G16" s="40">
        <f>INDEX(Assumptions!$B:$B, MATCH("V2 Mini Bandwidth per Sat — DTC (Gbps)", Assumptions!$A:$A, 0))</f>
        <v>0.2</v>
      </c>
      <c r="H16" s="40">
        <f>INDEX(Assumptions!$B:$B, MATCH("V2 Mini Bandwidth per Sat — DTC (Gbps)", Assumptions!$A:$A, 0))</f>
        <v>0.2</v>
      </c>
      <c r="I16" s="40">
        <f>INDEX(Assumptions!$B:$B, MATCH("V2 Mini Bandwidth per Sat — DTC (Gbps)", Assumptions!$A:$A, 0))</f>
        <v>0.2</v>
      </c>
      <c r="J16" s="40">
        <f>INDEX(Assumptions!$B:$B, MATCH("V2 Mini Bandwidth per Sat — DTC (Gbps)", Assumptions!$A:$A, 0))</f>
        <v>0.2</v>
      </c>
      <c r="K16" s="40">
        <f>INDEX(Assumptions!$B:$B, MATCH("V2 Mini Bandwidth per Sat — DTC (Gbps)", Assumptions!$A:$A, 0))</f>
        <v>0.2</v>
      </c>
      <c r="L16" s="40">
        <f>INDEX(Assumptions!$B:$B, MATCH("V2 Mini Bandwidth per Sat — DTC (Gbps)", Assumptions!$A:$A, 0))</f>
        <v>0.2</v>
      </c>
      <c r="M16" s="40">
        <f>INDEX(Assumptions!$B:$B, MATCH("V2 Mini Bandwidth per Sat — DTC (Gbps)", Assumptions!$A:$A, 0))</f>
        <v>0.2</v>
      </c>
      <c r="N16" s="40">
        <f>INDEX(Assumptions!$B:$B, MATCH("V2 Mini Bandwidth per Sat — DTC (Gbps)", Assumptions!$A:$A, 0))</f>
        <v>0.2</v>
      </c>
      <c r="O16" s="40">
        <f>INDEX(Assumptions!$B:$B, MATCH("V2 Mini Bandwidth per Sat — DTC (Gbps)", Assumptions!$A:$A, 0))</f>
        <v>0.2</v>
      </c>
      <c r="P16" s="40">
        <f>INDEX(Assumptions!$B:$B, MATCH("V2 Mini Bandwidth per Sat — DTC (Gbps)", Assumptions!$A:$A, 0))</f>
        <v>0.2</v>
      </c>
      <c r="Q16" s="40">
        <f>INDEX(Assumptions!$B:$B, MATCH("V2 Mini Bandwidth per Sat — DTC (Gbps)", Assumptions!$A:$A, 0))</f>
        <v>0.2</v>
      </c>
      <c r="R16" s="40">
        <f>INDEX(Assumptions!$B:$B, MATCH("V2 Mini Bandwidth per Sat — DTC (Gbps)", Assumptions!$A:$A, 0))</f>
        <v>0.2</v>
      </c>
      <c r="S16" s="40">
        <f>INDEX(Assumptions!$B:$B, MATCH("V2 Mini Bandwidth per Sat — DTC (Gbps)", Assumptions!$A:$A, 0))</f>
        <v>0.2</v>
      </c>
      <c r="T16" s="40">
        <f>INDEX(Assumptions!$B:$B, MATCH("V2 Mini Bandwidth per Sat — DTC (Gbps)", Assumptions!$A:$A, 0))</f>
        <v>0.2</v>
      </c>
      <c r="U16" s="40">
        <f>INDEX(Assumptions!$B:$B, MATCH("V2 Mini Bandwidth per Sat — DTC (Gbps)", Assumptions!$A:$A, 0))</f>
        <v>0.2</v>
      </c>
      <c r="V16" s="40">
        <f>INDEX(Assumptions!$B:$B, MATCH("V2 Mini Bandwidth per Sat — DTC (Gbps)", Assumptions!$A:$A, 0))</f>
        <v>0.2</v>
      </c>
      <c r="W16" s="40">
        <f>INDEX(Assumptions!$B:$B, MATCH("V2 Mini Bandwidth per Sat — DTC (Gbps)", Assumptions!$A:$A, 0))</f>
        <v>0.2</v>
      </c>
      <c r="X16" s="40">
        <f>INDEX(Assumptions!$B:$B, MATCH("V2 Mini Bandwidth per Sat — DTC (Gbps)", Assumptions!$A:$A, 0))</f>
        <v>0.2</v>
      </c>
      <c r="Y16" s="40">
        <f>INDEX(Assumptions!$B:$B, MATCH("V2 Mini Bandwidth per Sat — DTC (Gbps)", Assumptions!$A:$A, 0))</f>
        <v>0.2</v>
      </c>
      <c r="Z16" s="40">
        <f>INDEX(Assumptions!$B:$B, MATCH("V2 Mini Bandwidth per Sat — DTC (Gbps)", Assumptions!$A:$A, 0))</f>
        <v>0.2</v>
      </c>
      <c r="AA16" s="40">
        <f>INDEX(Assumptions!$B:$B, MATCH("V2 Mini Bandwidth per Sat — DTC (Gbps)", Assumptions!$A:$A, 0))</f>
        <v>0.2</v>
      </c>
      <c r="AB16" s="40">
        <f>INDEX(Assumptions!$B:$B, MATCH("V2 Mini Bandwidth per Sat — DTC (Gbps)", Assumptions!$A:$A, 0))</f>
        <v>0.2</v>
      </c>
      <c r="AC16" s="40">
        <f>INDEX(Assumptions!$B:$B, MATCH("V2 Mini Bandwidth per Sat — DTC (Gbps)", Assumptions!$A:$A, 0))</f>
        <v>0.2</v>
      </c>
    </row>
    <row r="17" spans="1:29" x14ac:dyDescent="0.2">
      <c r="A17" t="s">
        <v>834</v>
      </c>
      <c r="D17" s="15">
        <f ca="1">INDEX(Assumptions!$B:$B,MATCH("V3 BB Bandwidth per Sat — base year (Gbps)",Assumptions!$A:$A,0))*IFERROR((MAX(D235,INDEX(Assumptions!$B:$B,MATCH("V3 BB Wright’s Law anchor — cum sats",Assumptions!$A:$A,0)))/INDEX(Assumptions!$B:$B,MATCH("V3 BB Wright’s Law anchor — cum sats",Assumptions!$A:$A,0)))^(LOG(1+INDEX(Assumptions!$B:$B,MATCH("V3 BB bandwidth-per-sat Wright’s Law learning rate (per doubling)",Assumptions!$A:$A,0)))/LOG(2)),1)</f>
        <v>1000</v>
      </c>
      <c r="E17" s="15">
        <f ca="1">INDEX(Assumptions!$B:$B,MATCH("V3 BB Bandwidth per Sat — base year (Gbps)",Assumptions!$A:$A,0))*IFERROR((MAX(E235,INDEX(Assumptions!$B:$B,MATCH("V3 BB Wright’s Law anchor — cum sats",Assumptions!$A:$A,0)))/INDEX(Assumptions!$B:$B,MATCH("V3 BB Wright’s Law anchor — cum sats",Assumptions!$A:$A,0)))^(LOG(1+INDEX(Assumptions!$B:$B,MATCH("V3 BB bandwidth-per-sat Wright’s Law learning rate (per doubling)",Assumptions!$A:$A,0)))/LOG(2)),1)</f>
        <v>1000</v>
      </c>
      <c r="F17" s="15">
        <f ca="1">INDEX(Assumptions!$B:$B,MATCH("V3 BB Bandwidth per Sat — base year (Gbps)",Assumptions!$A:$A,0))*IFERROR((MAX(F235,INDEX(Assumptions!$B:$B,MATCH("V3 BB Wright’s Law anchor — cum sats",Assumptions!$A:$A,0)))/INDEX(Assumptions!$B:$B,MATCH("V3 BB Wright’s Law anchor — cum sats",Assumptions!$A:$A,0)))^(LOG(1+INDEX(Assumptions!$B:$B,MATCH("V3 BB bandwidth-per-sat Wright’s Law learning rate (per doubling)",Assumptions!$A:$A,0)))/LOG(2)),1)</f>
        <v>1000</v>
      </c>
      <c r="G17" s="15">
        <f ca="1">INDEX(Assumptions!$B:$B,MATCH("V3 BB Bandwidth per Sat — base year (Gbps)",Assumptions!$A:$A,0))*IFERROR((MAX(G235,INDEX(Assumptions!$B:$B,MATCH("V3 BB Wright’s Law anchor — cum sats",Assumptions!$A:$A,0)))/INDEX(Assumptions!$B:$B,MATCH("V3 BB Wright’s Law anchor — cum sats",Assumptions!$A:$A,0)))^(LOG(1+INDEX(Assumptions!$B:$B,MATCH("V3 BB bandwidth-per-sat Wright’s Law learning rate (per doubling)",Assumptions!$A:$A,0)))/LOG(2)),1)</f>
        <v>1000</v>
      </c>
      <c r="H17" s="15">
        <f ca="1">INDEX(Assumptions!$B:$B,MATCH("V3 BB Bandwidth per Sat — base year (Gbps)",Assumptions!$A:$A,0))*IFERROR((MAX(H235,INDEX(Assumptions!$B:$B,MATCH("V3 BB Wright’s Law anchor — cum sats",Assumptions!$A:$A,0)))/INDEX(Assumptions!$B:$B,MATCH("V3 BB Wright’s Law anchor — cum sats",Assumptions!$A:$A,0)))^(LOG(1+INDEX(Assumptions!$B:$B,MATCH("V3 BB bandwidth-per-sat Wright’s Law learning rate (per doubling)",Assumptions!$A:$A,0)))/LOG(2)),1)</f>
        <v>1000</v>
      </c>
      <c r="I17" s="15">
        <f ca="1">INDEX(Assumptions!$B:$B,MATCH("V3 BB Bandwidth per Sat — base year (Gbps)",Assumptions!$A:$A,0))*IFERROR((MAX(I235,INDEX(Assumptions!$B:$B,MATCH("V3 BB Wright’s Law anchor — cum sats",Assumptions!$A:$A,0)))/INDEX(Assumptions!$B:$B,MATCH("V3 BB Wright’s Law anchor — cum sats",Assumptions!$A:$A,0)))^(LOG(1+INDEX(Assumptions!$B:$B,MATCH("V3 BB bandwidth-per-sat Wright’s Law learning rate (per doubling)",Assumptions!$A:$A,0)))/LOG(2)),1)</f>
        <v>1000</v>
      </c>
      <c r="J17" s="15">
        <f ca="1">INDEX(Assumptions!$B:$B,MATCH("V3 BB Bandwidth per Sat — base year (Gbps)",Assumptions!$A:$A,0))*IFERROR((MAX(J235,INDEX(Assumptions!$B:$B,MATCH("V3 BB Wright’s Law anchor — cum sats",Assumptions!$A:$A,0)))/INDEX(Assumptions!$B:$B,MATCH("V3 BB Wright’s Law anchor — cum sats",Assumptions!$A:$A,0)))^(LOG(1+INDEX(Assumptions!$B:$B,MATCH("V3 BB bandwidth-per-sat Wright’s Law learning rate (per doubling)",Assumptions!$A:$A,0)))/LOG(2)),1)</f>
        <v>1000</v>
      </c>
      <c r="K17" s="15">
        <f ca="1">INDEX(Assumptions!$B:$B,MATCH("V3 BB Bandwidth per Sat — base year (Gbps)",Assumptions!$A:$A,0))*IFERROR((MAX(K235,INDEX(Assumptions!$B:$B,MATCH("V3 BB Wright’s Law anchor — cum sats",Assumptions!$A:$A,0)))/INDEX(Assumptions!$B:$B,MATCH("V3 BB Wright’s Law anchor — cum sats",Assumptions!$A:$A,0)))^(LOG(1+INDEX(Assumptions!$B:$B,MATCH("V3 BB bandwidth-per-sat Wright’s Law learning rate (per doubling)",Assumptions!$A:$A,0)))/LOG(2)),1)</f>
        <v>1000</v>
      </c>
      <c r="L17" s="15">
        <f ca="1">INDEX(Assumptions!$B:$B,MATCH("V3 BB Bandwidth per Sat — base year (Gbps)",Assumptions!$A:$A,0))*IFERROR((MAX(L235,INDEX(Assumptions!$B:$B,MATCH("V3 BB Wright’s Law anchor — cum sats",Assumptions!$A:$A,0)))/INDEX(Assumptions!$B:$B,MATCH("V3 BB Wright’s Law anchor — cum sats",Assumptions!$A:$A,0)))^(LOG(1+INDEX(Assumptions!$B:$B,MATCH("V3 BB bandwidth-per-sat Wright’s Law learning rate (per doubling)",Assumptions!$A:$A,0)))/LOG(2)),1)</f>
        <v>1000</v>
      </c>
      <c r="M17" s="15">
        <f ca="1">INDEX(Assumptions!$B:$B,MATCH("V3 BB Bandwidth per Sat — base year (Gbps)",Assumptions!$A:$A,0))*IFERROR((MAX(M235,INDEX(Assumptions!$B:$B,MATCH("V3 BB Wright’s Law anchor — cum sats",Assumptions!$A:$A,0)))/INDEX(Assumptions!$B:$B,MATCH("V3 BB Wright’s Law anchor — cum sats",Assumptions!$A:$A,0)))^(LOG(1+INDEX(Assumptions!$B:$B,MATCH("V3 BB bandwidth-per-sat Wright’s Law learning rate (per doubling)",Assumptions!$A:$A,0)))/LOG(2)),1)</f>
        <v>1000</v>
      </c>
      <c r="N17" s="15">
        <f ca="1">INDEX(Assumptions!$B:$B,MATCH("V3 BB Bandwidth per Sat — base year (Gbps)",Assumptions!$A:$A,0))*IFERROR((MAX(N235,INDEX(Assumptions!$B:$B,MATCH("V3 BB Wright’s Law anchor — cum sats",Assumptions!$A:$A,0)))/INDEX(Assumptions!$B:$B,MATCH("V3 BB Wright’s Law anchor — cum sats",Assumptions!$A:$A,0)))^(LOG(1+INDEX(Assumptions!$B:$B,MATCH("V3 BB bandwidth-per-sat Wright’s Law learning rate (per doubling)",Assumptions!$A:$A,0)))/LOG(2)),1)</f>
        <v>1000</v>
      </c>
      <c r="O17" s="15">
        <f ca="1">INDEX(Assumptions!$B:$B,MATCH("V3 BB Bandwidth per Sat — base year (Gbps)",Assumptions!$A:$A,0))*IFERROR((MAX(O235,INDEX(Assumptions!$B:$B,MATCH("V3 BB Wright’s Law anchor — cum sats",Assumptions!$A:$A,0)))/INDEX(Assumptions!$B:$B,MATCH("V3 BB Wright’s Law anchor — cum sats",Assumptions!$A:$A,0)))^(LOG(1+INDEX(Assumptions!$B:$B,MATCH("V3 BB bandwidth-per-sat Wright’s Law learning rate (per doubling)",Assumptions!$A:$A,0)))/LOG(2)),1)</f>
        <v>1000</v>
      </c>
      <c r="P17" s="15">
        <f ca="1">INDEX(Assumptions!$B:$B,MATCH("V3 BB Bandwidth per Sat — base year (Gbps)",Assumptions!$A:$A,0))*IFERROR((MAX(P235,INDEX(Assumptions!$B:$B,MATCH("V3 BB Wright’s Law anchor — cum sats",Assumptions!$A:$A,0)))/INDEX(Assumptions!$B:$B,MATCH("V3 BB Wright’s Law anchor — cum sats",Assumptions!$A:$A,0)))^(LOG(1+INDEX(Assumptions!$B:$B,MATCH("V3 BB bandwidth-per-sat Wright’s Law learning rate (per doubling)",Assumptions!$A:$A,0)))/LOG(2)),1)</f>
        <v>1000</v>
      </c>
      <c r="Q17" s="15">
        <f ca="1">INDEX(Assumptions!$B:$B,MATCH("V3 BB Bandwidth per Sat — base year (Gbps)",Assumptions!$A:$A,0))*IFERROR((MAX(Q235,INDEX(Assumptions!$B:$B,MATCH("V3 BB Wright’s Law anchor — cum sats",Assumptions!$A:$A,0)))/INDEX(Assumptions!$B:$B,MATCH("V3 BB Wright’s Law anchor — cum sats",Assumptions!$A:$A,0)))^(LOG(1+INDEX(Assumptions!$B:$B,MATCH("V3 BB bandwidth-per-sat Wright’s Law learning rate (per doubling)",Assumptions!$A:$A,0)))/LOG(2)),1)</f>
        <v>1000</v>
      </c>
      <c r="R17" s="15">
        <f ca="1">INDEX(Assumptions!$B:$B,MATCH("V3 BB Bandwidth per Sat — base year (Gbps)",Assumptions!$A:$A,0))*IFERROR((MAX(R235,INDEX(Assumptions!$B:$B,MATCH("V3 BB Wright’s Law anchor — cum sats",Assumptions!$A:$A,0)))/INDEX(Assumptions!$B:$B,MATCH("V3 BB Wright’s Law anchor — cum sats",Assumptions!$A:$A,0)))^(LOG(1+INDEX(Assumptions!$B:$B,MATCH("V3 BB bandwidth-per-sat Wright’s Law learning rate (per doubling)",Assumptions!$A:$A,0)))/LOG(2)),1)</f>
        <v>1000</v>
      </c>
      <c r="S17" s="15">
        <f ca="1">INDEX(Assumptions!$B:$B,MATCH("V3 BB Bandwidth per Sat — base year (Gbps)",Assumptions!$A:$A,0))*IFERROR((MAX(S235,INDEX(Assumptions!$B:$B,MATCH("V3 BB Wright’s Law anchor — cum sats",Assumptions!$A:$A,0)))/INDEX(Assumptions!$B:$B,MATCH("V3 BB Wright’s Law anchor — cum sats",Assumptions!$A:$A,0)))^(LOG(1+INDEX(Assumptions!$B:$B,MATCH("V3 BB bandwidth-per-sat Wright’s Law learning rate (per doubling)",Assumptions!$A:$A,0)))/LOG(2)),1)</f>
        <v>1000</v>
      </c>
      <c r="T17" s="15">
        <f ca="1">INDEX(Assumptions!$B:$B,MATCH("V3 BB Bandwidth per Sat — base year (Gbps)",Assumptions!$A:$A,0))*IFERROR((MAX(T235,INDEX(Assumptions!$B:$B,MATCH("V3 BB Wright’s Law anchor — cum sats",Assumptions!$A:$A,0)))/INDEX(Assumptions!$B:$B,MATCH("V3 BB Wright’s Law anchor — cum sats",Assumptions!$A:$A,0)))^(LOG(1+INDEX(Assumptions!$B:$B,MATCH("V3 BB bandwidth-per-sat Wright’s Law learning rate (per doubling)",Assumptions!$A:$A,0)))/LOG(2)),1)</f>
        <v>1000</v>
      </c>
      <c r="U17" s="15">
        <f ca="1">INDEX(Assumptions!$B:$B,MATCH("V3 BB Bandwidth per Sat — base year (Gbps)",Assumptions!$A:$A,0))*IFERROR((MAX(U235,INDEX(Assumptions!$B:$B,MATCH("V3 BB Wright’s Law anchor — cum sats",Assumptions!$A:$A,0)))/INDEX(Assumptions!$B:$B,MATCH("V3 BB Wright’s Law anchor — cum sats",Assumptions!$A:$A,0)))^(LOG(1+INDEX(Assumptions!$B:$B,MATCH("V3 BB bandwidth-per-sat Wright’s Law learning rate (per doubling)",Assumptions!$A:$A,0)))/LOG(2)),1)</f>
        <v>1000</v>
      </c>
      <c r="V17" s="15">
        <f ca="1">INDEX(Assumptions!$B:$B,MATCH("V3 BB Bandwidth per Sat — base year (Gbps)",Assumptions!$A:$A,0))*IFERROR((MAX(V235,INDEX(Assumptions!$B:$B,MATCH("V3 BB Wright’s Law anchor — cum sats",Assumptions!$A:$A,0)))/INDEX(Assumptions!$B:$B,MATCH("V3 BB Wright’s Law anchor — cum sats",Assumptions!$A:$A,0)))^(LOG(1+INDEX(Assumptions!$B:$B,MATCH("V3 BB bandwidth-per-sat Wright’s Law learning rate (per doubling)",Assumptions!$A:$A,0)))/LOG(2)),1)</f>
        <v>1000</v>
      </c>
      <c r="W17" s="15">
        <f ca="1">INDEX(Assumptions!$B:$B,MATCH("V3 BB Bandwidth per Sat — base year (Gbps)",Assumptions!$A:$A,0))*IFERROR((MAX(W235,INDEX(Assumptions!$B:$B,MATCH("V3 BB Wright’s Law anchor — cum sats",Assumptions!$A:$A,0)))/INDEX(Assumptions!$B:$B,MATCH("V3 BB Wright’s Law anchor — cum sats",Assumptions!$A:$A,0)))^(LOG(1+INDEX(Assumptions!$B:$B,MATCH("V3 BB bandwidth-per-sat Wright’s Law learning rate (per doubling)",Assumptions!$A:$A,0)))/LOG(2)),1)</f>
        <v>1000</v>
      </c>
      <c r="X17" s="15">
        <f ca="1">INDEX(Assumptions!$B:$B,MATCH("V3 BB Bandwidth per Sat — base year (Gbps)",Assumptions!$A:$A,0))*IFERROR((MAX(X235,INDEX(Assumptions!$B:$B,MATCH("V3 BB Wright’s Law anchor — cum sats",Assumptions!$A:$A,0)))/INDEX(Assumptions!$B:$B,MATCH("V3 BB Wright’s Law anchor — cum sats",Assumptions!$A:$A,0)))^(LOG(1+INDEX(Assumptions!$B:$B,MATCH("V3 BB bandwidth-per-sat Wright’s Law learning rate (per doubling)",Assumptions!$A:$A,0)))/LOG(2)),1)</f>
        <v>1000</v>
      </c>
      <c r="Y17" s="15">
        <f ca="1">INDEX(Assumptions!$B:$B,MATCH("V3 BB Bandwidth per Sat — base year (Gbps)",Assumptions!$A:$A,0))*IFERROR((MAX(Y235,INDEX(Assumptions!$B:$B,MATCH("V3 BB Wright’s Law anchor — cum sats",Assumptions!$A:$A,0)))/INDEX(Assumptions!$B:$B,MATCH("V3 BB Wright’s Law anchor — cum sats",Assumptions!$A:$A,0)))^(LOG(1+INDEX(Assumptions!$B:$B,MATCH("V3 BB bandwidth-per-sat Wright’s Law learning rate (per doubling)",Assumptions!$A:$A,0)))/LOG(2)),1)</f>
        <v>1000</v>
      </c>
      <c r="Z17" s="15">
        <f ca="1">INDEX(Assumptions!$B:$B,MATCH("V3 BB Bandwidth per Sat — base year (Gbps)",Assumptions!$A:$A,0))*IFERROR((MAX(Z235,INDEX(Assumptions!$B:$B,MATCH("V3 BB Wright’s Law anchor — cum sats",Assumptions!$A:$A,0)))/INDEX(Assumptions!$B:$B,MATCH("V3 BB Wright’s Law anchor — cum sats",Assumptions!$A:$A,0)))^(LOG(1+INDEX(Assumptions!$B:$B,MATCH("V3 BB bandwidth-per-sat Wright’s Law learning rate (per doubling)",Assumptions!$A:$A,0)))/LOG(2)),1)</f>
        <v>1000</v>
      </c>
      <c r="AA17" s="15">
        <f ca="1">INDEX(Assumptions!$B:$B,MATCH("V3 BB Bandwidth per Sat — base year (Gbps)",Assumptions!$A:$A,0))*IFERROR((MAX(AA235,INDEX(Assumptions!$B:$B,MATCH("V3 BB Wright’s Law anchor — cum sats",Assumptions!$A:$A,0)))/INDEX(Assumptions!$B:$B,MATCH("V3 BB Wright’s Law anchor — cum sats",Assumptions!$A:$A,0)))^(LOG(1+INDEX(Assumptions!$B:$B,MATCH("V3 BB bandwidth-per-sat Wright’s Law learning rate (per doubling)",Assumptions!$A:$A,0)))/LOG(2)),1)</f>
        <v>1000</v>
      </c>
      <c r="AB17" s="15">
        <f ca="1">INDEX(Assumptions!$B:$B,MATCH("V3 BB Bandwidth per Sat — base year (Gbps)",Assumptions!$A:$A,0))*IFERROR((MAX(AB235,INDEX(Assumptions!$B:$B,MATCH("V3 BB Wright’s Law anchor — cum sats",Assumptions!$A:$A,0)))/INDEX(Assumptions!$B:$B,MATCH("V3 BB Wright’s Law anchor — cum sats",Assumptions!$A:$A,0)))^(LOG(1+INDEX(Assumptions!$B:$B,MATCH("V3 BB bandwidth-per-sat Wright’s Law learning rate (per doubling)",Assumptions!$A:$A,0)))/LOG(2)),1)</f>
        <v>1000</v>
      </c>
      <c r="AC17" s="15">
        <f ca="1">INDEX(Assumptions!$B:$B,MATCH("V3 BB Bandwidth per Sat — base year (Gbps)",Assumptions!$A:$A,0))*IFERROR((MAX(AC235,INDEX(Assumptions!$B:$B,MATCH("V3 BB Wright’s Law anchor — cum sats",Assumptions!$A:$A,0)))/INDEX(Assumptions!$B:$B,MATCH("V3 BB Wright’s Law anchor — cum sats",Assumptions!$A:$A,0)))^(LOG(1+INDEX(Assumptions!$B:$B,MATCH("V3 BB bandwidth-per-sat Wright’s Law learning rate (per doubling)",Assumptions!$A:$A,0)))/LOG(2)),1)</f>
        <v>1000</v>
      </c>
    </row>
    <row r="18" spans="1:29" x14ac:dyDescent="0.2">
      <c r="A18" t="s">
        <v>835</v>
      </c>
      <c r="D18" s="41">
        <f>INDEX(Assumptions!$B:$B, MATCH("V3 DTC Bandwidth per Sat (Gbps)", Assumptions!$A:$A, 0))</f>
        <v>2.75</v>
      </c>
      <c r="E18" s="41">
        <f>INDEX(Assumptions!$B:$B, MATCH("V3 DTC Bandwidth per Sat (Gbps)", Assumptions!$A:$A, 0))</f>
        <v>2.75</v>
      </c>
      <c r="F18" s="41">
        <f>INDEX(Assumptions!$B:$B, MATCH("V3 DTC Bandwidth per Sat (Gbps)", Assumptions!$A:$A, 0))</f>
        <v>2.75</v>
      </c>
      <c r="G18" s="41">
        <f>INDEX(Assumptions!$B:$B, MATCH("V3 DTC Bandwidth per Sat (Gbps)", Assumptions!$A:$A, 0))</f>
        <v>2.75</v>
      </c>
      <c r="H18" s="41">
        <f>INDEX(Assumptions!$B:$B, MATCH("V3 DTC Bandwidth per Sat (Gbps)", Assumptions!$A:$A, 0))</f>
        <v>2.75</v>
      </c>
      <c r="I18" s="41">
        <f>INDEX(Assumptions!$B:$B, MATCH("V3 DTC Bandwidth per Sat (Gbps)", Assumptions!$A:$A, 0))</f>
        <v>2.75</v>
      </c>
      <c r="J18" s="41">
        <f>INDEX(Assumptions!$B:$B, MATCH("V3 DTC Bandwidth per Sat (Gbps)", Assumptions!$A:$A, 0))</f>
        <v>2.75</v>
      </c>
      <c r="K18" s="41">
        <f>INDEX(Assumptions!$B:$B, MATCH("V3 DTC Bandwidth per Sat (Gbps)", Assumptions!$A:$A, 0))</f>
        <v>2.75</v>
      </c>
      <c r="L18" s="41">
        <f>INDEX(Assumptions!$B:$B, MATCH("V3 DTC Bandwidth per Sat (Gbps)", Assumptions!$A:$A, 0))</f>
        <v>2.75</v>
      </c>
      <c r="M18" s="41">
        <f>INDEX(Assumptions!$B:$B, MATCH("V3 DTC Bandwidth per Sat (Gbps)", Assumptions!$A:$A, 0))</f>
        <v>2.75</v>
      </c>
      <c r="N18" s="41">
        <f>INDEX(Assumptions!$B:$B, MATCH("V3 DTC Bandwidth per Sat (Gbps)", Assumptions!$A:$A, 0))</f>
        <v>2.75</v>
      </c>
      <c r="O18" s="41">
        <f>INDEX(Assumptions!$B:$B, MATCH("V3 DTC Bandwidth per Sat (Gbps)", Assumptions!$A:$A, 0))</f>
        <v>2.75</v>
      </c>
      <c r="P18" s="41">
        <f>INDEX(Assumptions!$B:$B, MATCH("V3 DTC Bandwidth per Sat (Gbps)", Assumptions!$A:$A, 0))</f>
        <v>2.75</v>
      </c>
      <c r="Q18" s="41">
        <f>INDEX(Assumptions!$B:$B, MATCH("V3 DTC Bandwidth per Sat (Gbps)", Assumptions!$A:$A, 0))</f>
        <v>2.75</v>
      </c>
      <c r="R18" s="41">
        <f>INDEX(Assumptions!$B:$B, MATCH("V3 DTC Bandwidth per Sat (Gbps)", Assumptions!$A:$A, 0))</f>
        <v>2.75</v>
      </c>
      <c r="S18" s="41">
        <f>INDEX(Assumptions!$B:$B, MATCH("V3 DTC Bandwidth per Sat (Gbps)", Assumptions!$A:$A, 0))</f>
        <v>2.75</v>
      </c>
      <c r="T18" s="41">
        <f>INDEX(Assumptions!$B:$B, MATCH("V3 DTC Bandwidth per Sat (Gbps)", Assumptions!$A:$A, 0))</f>
        <v>2.75</v>
      </c>
      <c r="U18" s="41">
        <f>INDEX(Assumptions!$B:$B, MATCH("V3 DTC Bandwidth per Sat (Gbps)", Assumptions!$A:$A, 0))</f>
        <v>2.75</v>
      </c>
      <c r="V18" s="41">
        <f>INDEX(Assumptions!$B:$B, MATCH("V3 DTC Bandwidth per Sat (Gbps)", Assumptions!$A:$A, 0))</f>
        <v>2.75</v>
      </c>
      <c r="W18" s="41">
        <f>INDEX(Assumptions!$B:$B, MATCH("V3 DTC Bandwidth per Sat (Gbps)", Assumptions!$A:$A, 0))</f>
        <v>2.75</v>
      </c>
      <c r="X18" s="41">
        <f>INDEX(Assumptions!$B:$B, MATCH("V3 DTC Bandwidth per Sat (Gbps)", Assumptions!$A:$A, 0))</f>
        <v>2.75</v>
      </c>
      <c r="Y18" s="41">
        <f>INDEX(Assumptions!$B:$B, MATCH("V3 DTC Bandwidth per Sat (Gbps)", Assumptions!$A:$A, 0))</f>
        <v>2.75</v>
      </c>
      <c r="Z18" s="41">
        <f>INDEX(Assumptions!$B:$B, MATCH("V3 DTC Bandwidth per Sat (Gbps)", Assumptions!$A:$A, 0))</f>
        <v>2.75</v>
      </c>
      <c r="AA18" s="41">
        <f>INDEX(Assumptions!$B:$B, MATCH("V3 DTC Bandwidth per Sat (Gbps)", Assumptions!$A:$A, 0))</f>
        <v>2.75</v>
      </c>
      <c r="AB18" s="41">
        <f>INDEX(Assumptions!$B:$B, MATCH("V3 DTC Bandwidth per Sat (Gbps)", Assumptions!$A:$A, 0))</f>
        <v>2.75</v>
      </c>
      <c r="AC18" s="41">
        <f>INDEX(Assumptions!$B:$B, MATCH("V3 DTC Bandwidth per Sat (Gbps)", Assumptions!$A:$A, 0))</f>
        <v>2.75</v>
      </c>
    </row>
    <row r="32" spans="1:29" x14ac:dyDescent="0.2">
      <c r="A32" s="39" t="s">
        <v>836</v>
      </c>
    </row>
    <row r="33" spans="1:29" x14ac:dyDescent="0.2">
      <c r="A33" t="s">
        <v>837</v>
      </c>
      <c r="D33" s="15">
        <f>INDEX(Assumptions!$B:$B, MATCH("V2 Mini BB Sats Launched 2025", Assumptions!$A:$A, 0))</f>
        <v>2987</v>
      </c>
      <c r="E33" s="15" cm="1">
        <f t="array" aca="1" ref="E33" ca="1">IF(E$4 &gt;= INDEX(Assumptions!$B:$B, MATCH("V2 phase-out year (no V2 BB / V2 DTC launches from this year)", Assumptions!$A:$A, 0)), 0, MIN(IFERROR(E8 / INDEX(Starlink!$D:$AC, MATCH("V2 BB sat unit cost ($mm/sat)", Starlink!$A:$A, 0), E$5+1), 0), $D$33*(1+INDEX(Assumptions!$B:$B, MATCH("Satellite cost per kg — learning rate", Assumptions!$A:$A, 0)))^E$5))</f>
        <v>0</v>
      </c>
      <c r="F33" s="15" cm="1">
        <f t="array" aca="1" ref="F33" ca="1">IF(F$4 &gt;= INDEX(Assumptions!$B:$B, MATCH("V2 phase-out year (no V2 BB / V2 DTC launches from this year)", Assumptions!$A:$A, 0)), 0, MIN(IFERROR(F8 / INDEX(Starlink!$D:$AC, MATCH("V2 BB sat unit cost ($mm/sat)", Starlink!$A:$A, 0), F$5+1), 0), $D$33*(1+INDEX(Assumptions!$B:$B, MATCH("Satellite cost per kg — learning rate", Assumptions!$A:$A, 0)))^F$5))</f>
        <v>0</v>
      </c>
      <c r="G33" s="15" cm="1">
        <f t="array" aca="1" ref="G33" ca="1">IF(G$4 &gt;= INDEX(Assumptions!$B:$B, MATCH("V2 phase-out year (no V2 BB / V2 DTC launches from this year)", Assumptions!$A:$A, 0)), 0, MIN(IFERROR(G8 / INDEX(Starlink!$D:$AC, MATCH("V2 BB sat unit cost ($mm/sat)", Starlink!$A:$A, 0), G$5+1), 0), $D$33*(1+INDEX(Assumptions!$B:$B, MATCH("Satellite cost per kg — learning rate", Assumptions!$A:$A, 0)))^G$5))</f>
        <v>0</v>
      </c>
      <c r="H33" s="15" cm="1">
        <f t="array" aca="1" ref="H33" ca="1">IF(H$4 &gt;= INDEX(Assumptions!$B:$B, MATCH("V2 phase-out year (no V2 BB / V2 DTC launches from this year)", Assumptions!$A:$A, 0)), 0, MIN(IFERROR(H8 / INDEX(Starlink!$D:$AC, MATCH("V2 BB sat unit cost ($mm/sat)", Starlink!$A:$A, 0), H$5+1), 0), $D$33*(1+INDEX(Assumptions!$B:$B, MATCH("Satellite cost per kg — learning rate", Assumptions!$A:$A, 0)))^H$5))</f>
        <v>0</v>
      </c>
      <c r="I33" s="15" cm="1">
        <f t="array" aca="1" ref="I33" ca="1">IF(I$4 &gt;= INDEX(Assumptions!$B:$B, MATCH("V2 phase-out year (no V2 BB / V2 DTC launches from this year)", Assumptions!$A:$A, 0)), 0, MIN(IFERROR(I8 / INDEX(Starlink!$D:$AC, MATCH("V2 BB sat unit cost ($mm/sat)", Starlink!$A:$A, 0), I$5+1), 0), $D$33*(1+INDEX(Assumptions!$B:$B, MATCH("Satellite cost per kg — learning rate", Assumptions!$A:$A, 0)))^I$5))</f>
        <v>0</v>
      </c>
      <c r="J33" s="15" cm="1">
        <f t="array" aca="1" ref="J33" ca="1">IF(J$4 &gt;= INDEX(Assumptions!$B:$B, MATCH("V2 phase-out year (no V2 BB / V2 DTC launches from this year)", Assumptions!$A:$A, 0)), 0, MIN(IFERROR(J8 / INDEX(Starlink!$D:$AC, MATCH("V2 BB sat unit cost ($mm/sat)", Starlink!$A:$A, 0), J$5+1), 0), $D$33*(1+INDEX(Assumptions!$B:$B, MATCH("Satellite cost per kg — learning rate", Assumptions!$A:$A, 0)))^J$5))</f>
        <v>0</v>
      </c>
      <c r="K33" s="15" cm="1">
        <f t="array" aca="1" ref="K33" ca="1">IF(K$4 &gt;= INDEX(Assumptions!$B:$B, MATCH("V2 phase-out year (no V2 BB / V2 DTC launches from this year)", Assumptions!$A:$A, 0)), 0, MIN(IFERROR(K8 / INDEX(Starlink!$D:$AC, MATCH("V2 BB sat unit cost ($mm/sat)", Starlink!$A:$A, 0), K$5+1), 0), $D$33*(1+INDEX(Assumptions!$B:$B, MATCH("Satellite cost per kg — learning rate", Assumptions!$A:$A, 0)))^K$5))</f>
        <v>0</v>
      </c>
      <c r="L33" s="15" cm="1">
        <f t="array" aca="1" ref="L33" ca="1">IF(L$4 &gt;= INDEX(Assumptions!$B:$B, MATCH("V2 phase-out year (no V2 BB / V2 DTC launches from this year)", Assumptions!$A:$A, 0)), 0, MIN(IFERROR(L8 / INDEX(Starlink!$D:$AC, MATCH("V2 BB sat unit cost ($mm/sat)", Starlink!$A:$A, 0), L$5+1), 0), $D$33*(1+INDEX(Assumptions!$B:$B, MATCH("Satellite cost per kg — learning rate", Assumptions!$A:$A, 0)))^L$5))</f>
        <v>0</v>
      </c>
      <c r="M33" s="15" cm="1">
        <f t="array" aca="1" ref="M33" ca="1">IF(M$4 &gt;= INDEX(Assumptions!$B:$B, MATCH("V2 phase-out year (no V2 BB / V2 DTC launches from this year)", Assumptions!$A:$A, 0)), 0, MIN(IFERROR(M8 / INDEX(Starlink!$D:$AC, MATCH("V2 BB sat unit cost ($mm/sat)", Starlink!$A:$A, 0), M$5+1), 0), $D$33*(1+INDEX(Assumptions!$B:$B, MATCH("Satellite cost per kg — learning rate", Assumptions!$A:$A, 0)))^M$5))</f>
        <v>0</v>
      </c>
      <c r="N33" s="15" cm="1">
        <f t="array" aca="1" ref="N33" ca="1">IF(N$4 &gt;= INDEX(Assumptions!$B:$B, MATCH("V2 phase-out year (no V2 BB / V2 DTC launches from this year)", Assumptions!$A:$A, 0)), 0, MIN(IFERROR(N8 / INDEX(Starlink!$D:$AC, MATCH("V2 BB sat unit cost ($mm/sat)", Starlink!$A:$A, 0), N$5+1), 0), $D$33*(1+INDEX(Assumptions!$B:$B, MATCH("Satellite cost per kg — learning rate", Assumptions!$A:$A, 0)))^N$5))</f>
        <v>0</v>
      </c>
      <c r="O33" s="15" cm="1">
        <f t="array" aca="1" ref="O33" ca="1">IF(O$4 &gt;= INDEX(Assumptions!$B:$B, MATCH("V2 phase-out year (no V2 BB / V2 DTC launches from this year)", Assumptions!$A:$A, 0)), 0, MIN(IFERROR(O8 / INDEX(Starlink!$D:$AC, MATCH("V2 BB sat unit cost ($mm/sat)", Starlink!$A:$A, 0), O$5+1), 0), $D$33*(1+INDEX(Assumptions!$B:$B, MATCH("Satellite cost per kg — learning rate", Assumptions!$A:$A, 0)))^O$5))</f>
        <v>0</v>
      </c>
      <c r="P33" s="15" cm="1">
        <f t="array" aca="1" ref="P33" ca="1">IF(P$4 &gt;= INDEX(Assumptions!$B:$B, MATCH("V2 phase-out year (no V2 BB / V2 DTC launches from this year)", Assumptions!$A:$A, 0)), 0, MIN(IFERROR(P8 / INDEX(Starlink!$D:$AC, MATCH("V2 BB sat unit cost ($mm/sat)", Starlink!$A:$A, 0), P$5+1), 0), $D$33*(1+INDEX(Assumptions!$B:$B, MATCH("Satellite cost per kg — learning rate", Assumptions!$A:$A, 0)))^P$5))</f>
        <v>0</v>
      </c>
      <c r="Q33" s="15" cm="1">
        <f t="array" aca="1" ref="Q33" ca="1">IF(Q$4 &gt;= INDEX(Assumptions!$B:$B, MATCH("V2 phase-out year (no V2 BB / V2 DTC launches from this year)", Assumptions!$A:$A, 0)), 0, MIN(IFERROR(Q8 / INDEX(Starlink!$D:$AC, MATCH("V2 BB sat unit cost ($mm/sat)", Starlink!$A:$A, 0), Q$5+1), 0), $D$33*(1+INDEX(Assumptions!$B:$B, MATCH("Satellite cost per kg — learning rate", Assumptions!$A:$A, 0)))^Q$5))</f>
        <v>0</v>
      </c>
      <c r="R33" s="15" cm="1">
        <f t="array" aca="1" ref="R33" ca="1">IF(R$4 &gt;= INDEX(Assumptions!$B:$B, MATCH("V2 phase-out year (no V2 BB / V2 DTC launches from this year)", Assumptions!$A:$A, 0)), 0, MIN(IFERROR(R8 / INDEX(Starlink!$D:$AC, MATCH("V2 BB sat unit cost ($mm/sat)", Starlink!$A:$A, 0), R$5+1), 0), $D$33*(1+INDEX(Assumptions!$B:$B, MATCH("Satellite cost per kg — learning rate", Assumptions!$A:$A, 0)))^R$5))</f>
        <v>0</v>
      </c>
      <c r="S33" s="15" cm="1">
        <f t="array" aca="1" ref="S33" ca="1">IF(S$4 &gt;= INDEX(Assumptions!$B:$B, MATCH("V2 phase-out year (no V2 BB / V2 DTC launches from this year)", Assumptions!$A:$A, 0)), 0, MIN(IFERROR(S8 / INDEX(Starlink!$D:$AC, MATCH("V2 BB sat unit cost ($mm/sat)", Starlink!$A:$A, 0), S$5+1), 0), $D$33*(1+INDEX(Assumptions!$B:$B, MATCH("Satellite cost per kg — learning rate", Assumptions!$A:$A, 0)))^S$5))</f>
        <v>0</v>
      </c>
      <c r="T33" s="15" cm="1">
        <f t="array" aca="1" ref="T33" ca="1">IF(T$4 &gt;= INDEX(Assumptions!$B:$B, MATCH("V2 phase-out year (no V2 BB / V2 DTC launches from this year)", Assumptions!$A:$A, 0)), 0, MIN(IFERROR(T8 / INDEX(Starlink!$D:$AC, MATCH("V2 BB sat unit cost ($mm/sat)", Starlink!$A:$A, 0), T$5+1), 0), $D$33*(1+INDEX(Assumptions!$B:$B, MATCH("Satellite cost per kg — learning rate", Assumptions!$A:$A, 0)))^T$5))</f>
        <v>0</v>
      </c>
      <c r="U33" s="15" cm="1">
        <f t="array" aca="1" ref="U33" ca="1">IF(U$4 &gt;= INDEX(Assumptions!$B:$B, MATCH("V2 phase-out year (no V2 BB / V2 DTC launches from this year)", Assumptions!$A:$A, 0)), 0, MIN(IFERROR(U8 / INDEX(Starlink!$D:$AC, MATCH("V2 BB sat unit cost ($mm/sat)", Starlink!$A:$A, 0), U$5+1), 0), $D$33*(1+INDEX(Assumptions!$B:$B, MATCH("Satellite cost per kg — learning rate", Assumptions!$A:$A, 0)))^U$5))</f>
        <v>0</v>
      </c>
      <c r="V33" s="15" cm="1">
        <f t="array" aca="1" ref="V33" ca="1">IF(V$4 &gt;= INDEX(Assumptions!$B:$B, MATCH("V2 phase-out year (no V2 BB / V2 DTC launches from this year)", Assumptions!$A:$A, 0)), 0, MIN(IFERROR(V8 / INDEX(Starlink!$D:$AC, MATCH("V2 BB sat unit cost ($mm/sat)", Starlink!$A:$A, 0), V$5+1), 0), $D$33*(1+INDEX(Assumptions!$B:$B, MATCH("Satellite cost per kg — learning rate", Assumptions!$A:$A, 0)))^V$5))</f>
        <v>0</v>
      </c>
      <c r="W33" s="15" cm="1">
        <f t="array" aca="1" ref="W33" ca="1">IF(W$4 &gt;= INDEX(Assumptions!$B:$B, MATCH("V2 phase-out year (no V2 BB / V2 DTC launches from this year)", Assumptions!$A:$A, 0)), 0, MIN(IFERROR(W8 / INDEX(Starlink!$D:$AC, MATCH("V2 BB sat unit cost ($mm/sat)", Starlink!$A:$A, 0), W$5+1), 0), $D$33*(1+INDEX(Assumptions!$B:$B, MATCH("Satellite cost per kg — learning rate", Assumptions!$A:$A, 0)))^W$5))</f>
        <v>0</v>
      </c>
      <c r="X33" s="15" cm="1">
        <f t="array" aca="1" ref="X33" ca="1">IF(X$4 &gt;= INDEX(Assumptions!$B:$B, MATCH("V2 phase-out year (no V2 BB / V2 DTC launches from this year)", Assumptions!$A:$A, 0)), 0, MIN(IFERROR(X8 / INDEX(Starlink!$D:$AC, MATCH("V2 BB sat unit cost ($mm/sat)", Starlink!$A:$A, 0), X$5+1), 0), $D$33*(1+INDEX(Assumptions!$B:$B, MATCH("Satellite cost per kg — learning rate", Assumptions!$A:$A, 0)))^X$5))</f>
        <v>0</v>
      </c>
      <c r="Y33" s="15" cm="1">
        <f t="array" aca="1" ref="Y33" ca="1">IF(Y$4 &gt;= INDEX(Assumptions!$B:$B, MATCH("V2 phase-out year (no V2 BB / V2 DTC launches from this year)", Assumptions!$A:$A, 0)), 0, MIN(IFERROR(Y8 / INDEX(Starlink!$D:$AC, MATCH("V2 BB sat unit cost ($mm/sat)", Starlink!$A:$A, 0), Y$5+1), 0), $D$33*(1+INDEX(Assumptions!$B:$B, MATCH("Satellite cost per kg — learning rate", Assumptions!$A:$A, 0)))^Y$5))</f>
        <v>0</v>
      </c>
      <c r="Z33" s="15" cm="1">
        <f t="array" aca="1" ref="Z33" ca="1">IF(Z$4 &gt;= INDEX(Assumptions!$B:$B, MATCH("V2 phase-out year (no V2 BB / V2 DTC launches from this year)", Assumptions!$A:$A, 0)), 0, MIN(IFERROR(Z8 / INDEX(Starlink!$D:$AC, MATCH("V2 BB sat unit cost ($mm/sat)", Starlink!$A:$A, 0), Z$5+1), 0), $D$33*(1+INDEX(Assumptions!$B:$B, MATCH("Satellite cost per kg — learning rate", Assumptions!$A:$A, 0)))^Z$5))</f>
        <v>0</v>
      </c>
      <c r="AA33" s="15" cm="1">
        <f t="array" aca="1" ref="AA33" ca="1">IF(AA$4 &gt;= INDEX(Assumptions!$B:$B, MATCH("V2 phase-out year (no V2 BB / V2 DTC launches from this year)", Assumptions!$A:$A, 0)), 0, MIN(IFERROR(AA8 / INDEX(Starlink!$D:$AC, MATCH("V2 BB sat unit cost ($mm/sat)", Starlink!$A:$A, 0), AA$5+1), 0), $D$33*(1+INDEX(Assumptions!$B:$B, MATCH("Satellite cost per kg — learning rate", Assumptions!$A:$A, 0)))^AA$5))</f>
        <v>0</v>
      </c>
      <c r="AB33" s="15" cm="1">
        <f t="array" aca="1" ref="AB33" ca="1">IF(AB$4 &gt;= INDEX(Assumptions!$B:$B, MATCH("V2 phase-out year (no V2 BB / V2 DTC launches from this year)", Assumptions!$A:$A, 0)), 0, MIN(IFERROR(AB8 / INDEX(Starlink!$D:$AC, MATCH("V2 BB sat unit cost ($mm/sat)", Starlink!$A:$A, 0), AB$5+1), 0), $D$33*(1+INDEX(Assumptions!$B:$B, MATCH("Satellite cost per kg — learning rate", Assumptions!$A:$A, 0)))^AB$5))</f>
        <v>0</v>
      </c>
      <c r="AC33" s="15" cm="1">
        <f t="array" aca="1" ref="AC33" ca="1">IF(AC$4 &gt;= INDEX(Assumptions!$B:$B, MATCH("V2 phase-out year (no V2 BB / V2 DTC launches from this year)", Assumptions!$A:$A, 0)), 0, MIN(IFERROR(AC8 / INDEX(Starlink!$D:$AC, MATCH("V2 BB sat unit cost ($mm/sat)", Starlink!$A:$A, 0), AC$5+1), 0), $D$33*(1+INDEX(Assumptions!$B:$B, MATCH("Satellite cost per kg — learning rate", Assumptions!$A:$A, 0)))^AC$5))</f>
        <v>0</v>
      </c>
    </row>
    <row r="37" spans="1:29" x14ac:dyDescent="0.2">
      <c r="A37" t="s">
        <v>838</v>
      </c>
      <c r="D37" s="15">
        <f>INDEX(Assumptions!$B:$B, MATCH("V2 Mini DTC Sats Launched 2025", Assumptions!$A:$A, 0))</f>
        <v>182</v>
      </c>
      <c r="E37" s="15" cm="1">
        <f t="array" aca="1" ref="E37" ca="1">IF(E$4 &gt;= INDEX(Assumptions!$B:$B, MATCH("V2 phase-out year (no V2 BB / V2 DTC launches from this year)", Assumptions!$A:$A, 0)), 0, MIN(IFERROR(E9 / INDEX(Starlink!$D:$AC, MATCH("V2 DTC sat unit cost ($mm/sat)", Starlink!$A:$A, 0), E$5+1), 0), $D$37*(1+INDEX(Assumptions!$B:$B, MATCH("Satellite cost per kg — learning rate", Assumptions!$A:$A, 0)))^E$5))</f>
        <v>0</v>
      </c>
      <c r="F37" s="15" cm="1">
        <f t="array" aca="1" ref="F37" ca="1">IF(F$4 &gt;= INDEX(Assumptions!$B:$B, MATCH("V2 phase-out year (no V2 BB / V2 DTC launches from this year)", Assumptions!$A:$A, 0)), 0, MIN(IFERROR(F9 / INDEX(Starlink!$D:$AC, MATCH("V2 DTC sat unit cost ($mm/sat)", Starlink!$A:$A, 0), F$5+1), 0), $D$37*(1+INDEX(Assumptions!$B:$B, MATCH("Satellite cost per kg — learning rate", Assumptions!$A:$A, 0)))^F$5))</f>
        <v>0</v>
      </c>
      <c r="G37" s="15" cm="1">
        <f t="array" aca="1" ref="G37" ca="1">IF(G$4 &gt;= INDEX(Assumptions!$B:$B, MATCH("V2 phase-out year (no V2 BB / V2 DTC launches from this year)", Assumptions!$A:$A, 0)), 0, MIN(IFERROR(G9 / INDEX(Starlink!$D:$AC, MATCH("V2 DTC sat unit cost ($mm/sat)", Starlink!$A:$A, 0), G$5+1), 0), $D$37*(1+INDEX(Assumptions!$B:$B, MATCH("Satellite cost per kg — learning rate", Assumptions!$A:$A, 0)))^G$5))</f>
        <v>0</v>
      </c>
      <c r="H37" s="15" cm="1">
        <f t="array" aca="1" ref="H37" ca="1">IF(H$4 &gt;= INDEX(Assumptions!$B:$B, MATCH("V2 phase-out year (no V2 BB / V2 DTC launches from this year)", Assumptions!$A:$A, 0)), 0, MIN(IFERROR(H9 / INDEX(Starlink!$D:$AC, MATCH("V2 DTC sat unit cost ($mm/sat)", Starlink!$A:$A, 0), H$5+1), 0), $D$37*(1+INDEX(Assumptions!$B:$B, MATCH("Satellite cost per kg — learning rate", Assumptions!$A:$A, 0)))^H$5))</f>
        <v>0</v>
      </c>
      <c r="I37" s="15" cm="1">
        <f t="array" aca="1" ref="I37" ca="1">IF(I$4 &gt;= INDEX(Assumptions!$B:$B, MATCH("V2 phase-out year (no V2 BB / V2 DTC launches from this year)", Assumptions!$A:$A, 0)), 0, MIN(IFERROR(I9 / INDEX(Starlink!$D:$AC, MATCH("V2 DTC sat unit cost ($mm/sat)", Starlink!$A:$A, 0), I$5+1), 0), $D$37*(1+INDEX(Assumptions!$B:$B, MATCH("Satellite cost per kg — learning rate", Assumptions!$A:$A, 0)))^I$5))</f>
        <v>0</v>
      </c>
      <c r="J37" s="15" cm="1">
        <f t="array" aca="1" ref="J37" ca="1">IF(J$4 &gt;= INDEX(Assumptions!$B:$B, MATCH("V2 phase-out year (no V2 BB / V2 DTC launches from this year)", Assumptions!$A:$A, 0)), 0, MIN(IFERROR(J9 / INDEX(Starlink!$D:$AC, MATCH("V2 DTC sat unit cost ($mm/sat)", Starlink!$A:$A, 0), J$5+1), 0), $D$37*(1+INDEX(Assumptions!$B:$B, MATCH("Satellite cost per kg — learning rate", Assumptions!$A:$A, 0)))^J$5))</f>
        <v>0</v>
      </c>
      <c r="K37" s="15" cm="1">
        <f t="array" aca="1" ref="K37" ca="1">IF(K$4 &gt;= INDEX(Assumptions!$B:$B, MATCH("V2 phase-out year (no V2 BB / V2 DTC launches from this year)", Assumptions!$A:$A, 0)), 0, MIN(IFERROR(K9 / INDEX(Starlink!$D:$AC, MATCH("V2 DTC sat unit cost ($mm/sat)", Starlink!$A:$A, 0), K$5+1), 0), $D$37*(1+INDEX(Assumptions!$B:$B, MATCH("Satellite cost per kg — learning rate", Assumptions!$A:$A, 0)))^K$5))</f>
        <v>0</v>
      </c>
      <c r="L37" s="15" cm="1">
        <f t="array" aca="1" ref="L37" ca="1">IF(L$4 &gt;= INDEX(Assumptions!$B:$B, MATCH("V2 phase-out year (no V2 BB / V2 DTC launches from this year)", Assumptions!$A:$A, 0)), 0, MIN(IFERROR(L9 / INDEX(Starlink!$D:$AC, MATCH("V2 DTC sat unit cost ($mm/sat)", Starlink!$A:$A, 0), L$5+1), 0), $D$37*(1+INDEX(Assumptions!$B:$B, MATCH("Satellite cost per kg — learning rate", Assumptions!$A:$A, 0)))^L$5))</f>
        <v>0</v>
      </c>
      <c r="M37" s="15" cm="1">
        <f t="array" aca="1" ref="M37" ca="1">IF(M$4 &gt;= INDEX(Assumptions!$B:$B, MATCH("V2 phase-out year (no V2 BB / V2 DTC launches from this year)", Assumptions!$A:$A, 0)), 0, MIN(IFERROR(M9 / INDEX(Starlink!$D:$AC, MATCH("V2 DTC sat unit cost ($mm/sat)", Starlink!$A:$A, 0), M$5+1), 0), $D$37*(1+INDEX(Assumptions!$B:$B, MATCH("Satellite cost per kg — learning rate", Assumptions!$A:$A, 0)))^M$5))</f>
        <v>0</v>
      </c>
      <c r="N37" s="15" cm="1">
        <f t="array" aca="1" ref="N37" ca="1">IF(N$4 &gt;= INDEX(Assumptions!$B:$B, MATCH("V2 phase-out year (no V2 BB / V2 DTC launches from this year)", Assumptions!$A:$A, 0)), 0, MIN(IFERROR(N9 / INDEX(Starlink!$D:$AC, MATCH("V2 DTC sat unit cost ($mm/sat)", Starlink!$A:$A, 0), N$5+1), 0), $D$37*(1+INDEX(Assumptions!$B:$B, MATCH("Satellite cost per kg — learning rate", Assumptions!$A:$A, 0)))^N$5))</f>
        <v>0</v>
      </c>
      <c r="O37" s="15" cm="1">
        <f t="array" aca="1" ref="O37" ca="1">IF(O$4 &gt;= INDEX(Assumptions!$B:$B, MATCH("V2 phase-out year (no V2 BB / V2 DTC launches from this year)", Assumptions!$A:$A, 0)), 0, MIN(IFERROR(O9 / INDEX(Starlink!$D:$AC, MATCH("V2 DTC sat unit cost ($mm/sat)", Starlink!$A:$A, 0), O$5+1), 0), $D$37*(1+INDEX(Assumptions!$B:$B, MATCH("Satellite cost per kg — learning rate", Assumptions!$A:$A, 0)))^O$5))</f>
        <v>0</v>
      </c>
      <c r="P37" s="15" cm="1">
        <f t="array" aca="1" ref="P37" ca="1">IF(P$4 &gt;= INDEX(Assumptions!$B:$B, MATCH("V2 phase-out year (no V2 BB / V2 DTC launches from this year)", Assumptions!$A:$A, 0)), 0, MIN(IFERROR(P9 / INDEX(Starlink!$D:$AC, MATCH("V2 DTC sat unit cost ($mm/sat)", Starlink!$A:$A, 0), P$5+1), 0), $D$37*(1+INDEX(Assumptions!$B:$B, MATCH("Satellite cost per kg — learning rate", Assumptions!$A:$A, 0)))^P$5))</f>
        <v>0</v>
      </c>
      <c r="Q37" s="15" cm="1">
        <f t="array" aca="1" ref="Q37" ca="1">IF(Q$4 &gt;= INDEX(Assumptions!$B:$B, MATCH("V2 phase-out year (no V2 BB / V2 DTC launches from this year)", Assumptions!$A:$A, 0)), 0, MIN(IFERROR(Q9 / INDEX(Starlink!$D:$AC, MATCH("V2 DTC sat unit cost ($mm/sat)", Starlink!$A:$A, 0), Q$5+1), 0), $D$37*(1+INDEX(Assumptions!$B:$B, MATCH("Satellite cost per kg — learning rate", Assumptions!$A:$A, 0)))^Q$5))</f>
        <v>0</v>
      </c>
      <c r="R37" s="15" cm="1">
        <f t="array" aca="1" ref="R37" ca="1">IF(R$4 &gt;= INDEX(Assumptions!$B:$B, MATCH("V2 phase-out year (no V2 BB / V2 DTC launches from this year)", Assumptions!$A:$A, 0)), 0, MIN(IFERROR(R9 / INDEX(Starlink!$D:$AC, MATCH("V2 DTC sat unit cost ($mm/sat)", Starlink!$A:$A, 0), R$5+1), 0), $D$37*(1+INDEX(Assumptions!$B:$B, MATCH("Satellite cost per kg — learning rate", Assumptions!$A:$A, 0)))^R$5))</f>
        <v>0</v>
      </c>
      <c r="S37" s="15" cm="1">
        <f t="array" aca="1" ref="S37" ca="1">IF(S$4 &gt;= INDEX(Assumptions!$B:$B, MATCH("V2 phase-out year (no V2 BB / V2 DTC launches from this year)", Assumptions!$A:$A, 0)), 0, MIN(IFERROR(S9 / INDEX(Starlink!$D:$AC, MATCH("V2 DTC sat unit cost ($mm/sat)", Starlink!$A:$A, 0), S$5+1), 0), $D$37*(1+INDEX(Assumptions!$B:$B, MATCH("Satellite cost per kg — learning rate", Assumptions!$A:$A, 0)))^S$5))</f>
        <v>0</v>
      </c>
      <c r="T37" s="15" cm="1">
        <f t="array" aca="1" ref="T37" ca="1">IF(T$4 &gt;= INDEX(Assumptions!$B:$B, MATCH("V2 phase-out year (no V2 BB / V2 DTC launches from this year)", Assumptions!$A:$A, 0)), 0, MIN(IFERROR(T9 / INDEX(Starlink!$D:$AC, MATCH("V2 DTC sat unit cost ($mm/sat)", Starlink!$A:$A, 0), T$5+1), 0), $D$37*(1+INDEX(Assumptions!$B:$B, MATCH("Satellite cost per kg — learning rate", Assumptions!$A:$A, 0)))^T$5))</f>
        <v>0</v>
      </c>
      <c r="U37" s="15" cm="1">
        <f t="array" aca="1" ref="U37" ca="1">IF(U$4 &gt;= INDEX(Assumptions!$B:$B, MATCH("V2 phase-out year (no V2 BB / V2 DTC launches from this year)", Assumptions!$A:$A, 0)), 0, MIN(IFERROR(U9 / INDEX(Starlink!$D:$AC, MATCH("V2 DTC sat unit cost ($mm/sat)", Starlink!$A:$A, 0), U$5+1), 0), $D$37*(1+INDEX(Assumptions!$B:$B, MATCH("Satellite cost per kg — learning rate", Assumptions!$A:$A, 0)))^U$5))</f>
        <v>0</v>
      </c>
      <c r="V37" s="15" cm="1">
        <f t="array" aca="1" ref="V37" ca="1">IF(V$4 &gt;= INDEX(Assumptions!$B:$B, MATCH("V2 phase-out year (no V2 BB / V2 DTC launches from this year)", Assumptions!$A:$A, 0)), 0, MIN(IFERROR(V9 / INDEX(Starlink!$D:$AC, MATCH("V2 DTC sat unit cost ($mm/sat)", Starlink!$A:$A, 0), V$5+1), 0), $D$37*(1+INDEX(Assumptions!$B:$B, MATCH("Satellite cost per kg — learning rate", Assumptions!$A:$A, 0)))^V$5))</f>
        <v>0</v>
      </c>
      <c r="W37" s="15" cm="1">
        <f t="array" aca="1" ref="W37" ca="1">IF(W$4 &gt;= INDEX(Assumptions!$B:$B, MATCH("V2 phase-out year (no V2 BB / V2 DTC launches from this year)", Assumptions!$A:$A, 0)), 0, MIN(IFERROR(W9 / INDEX(Starlink!$D:$AC, MATCH("V2 DTC sat unit cost ($mm/sat)", Starlink!$A:$A, 0), W$5+1), 0), $D$37*(1+INDEX(Assumptions!$B:$B, MATCH("Satellite cost per kg — learning rate", Assumptions!$A:$A, 0)))^W$5))</f>
        <v>0</v>
      </c>
      <c r="X37" s="15" cm="1">
        <f t="array" aca="1" ref="X37" ca="1">IF(X$4 &gt;= INDEX(Assumptions!$B:$B, MATCH("V2 phase-out year (no V2 BB / V2 DTC launches from this year)", Assumptions!$A:$A, 0)), 0, MIN(IFERROR(X9 / INDEX(Starlink!$D:$AC, MATCH("V2 DTC sat unit cost ($mm/sat)", Starlink!$A:$A, 0), X$5+1), 0), $D$37*(1+INDEX(Assumptions!$B:$B, MATCH("Satellite cost per kg — learning rate", Assumptions!$A:$A, 0)))^X$5))</f>
        <v>0</v>
      </c>
      <c r="Y37" s="15" cm="1">
        <f t="array" aca="1" ref="Y37" ca="1">IF(Y$4 &gt;= INDEX(Assumptions!$B:$B, MATCH("V2 phase-out year (no V2 BB / V2 DTC launches from this year)", Assumptions!$A:$A, 0)), 0, MIN(IFERROR(Y9 / INDEX(Starlink!$D:$AC, MATCH("V2 DTC sat unit cost ($mm/sat)", Starlink!$A:$A, 0), Y$5+1), 0), $D$37*(1+INDEX(Assumptions!$B:$B, MATCH("Satellite cost per kg — learning rate", Assumptions!$A:$A, 0)))^Y$5))</f>
        <v>0</v>
      </c>
      <c r="Z37" s="15" cm="1">
        <f t="array" aca="1" ref="Z37" ca="1">IF(Z$4 &gt;= INDEX(Assumptions!$B:$B, MATCH("V2 phase-out year (no V2 BB / V2 DTC launches from this year)", Assumptions!$A:$A, 0)), 0, MIN(IFERROR(Z9 / INDEX(Starlink!$D:$AC, MATCH("V2 DTC sat unit cost ($mm/sat)", Starlink!$A:$A, 0), Z$5+1), 0), $D$37*(1+INDEX(Assumptions!$B:$B, MATCH("Satellite cost per kg — learning rate", Assumptions!$A:$A, 0)))^Z$5))</f>
        <v>0</v>
      </c>
      <c r="AA37" s="15" cm="1">
        <f t="array" aca="1" ref="AA37" ca="1">IF(AA$4 &gt;= INDEX(Assumptions!$B:$B, MATCH("V2 phase-out year (no V2 BB / V2 DTC launches from this year)", Assumptions!$A:$A, 0)), 0, MIN(IFERROR(AA9 / INDEX(Starlink!$D:$AC, MATCH("V2 DTC sat unit cost ($mm/sat)", Starlink!$A:$A, 0), AA$5+1), 0), $D$37*(1+INDEX(Assumptions!$B:$B, MATCH("Satellite cost per kg — learning rate", Assumptions!$A:$A, 0)))^AA$5))</f>
        <v>0</v>
      </c>
      <c r="AB37" s="15" cm="1">
        <f t="array" aca="1" ref="AB37" ca="1">IF(AB$4 &gt;= INDEX(Assumptions!$B:$B, MATCH("V2 phase-out year (no V2 BB / V2 DTC launches from this year)", Assumptions!$A:$A, 0)), 0, MIN(IFERROR(AB9 / INDEX(Starlink!$D:$AC, MATCH("V2 DTC sat unit cost ($mm/sat)", Starlink!$A:$A, 0), AB$5+1), 0), $D$37*(1+INDEX(Assumptions!$B:$B, MATCH("Satellite cost per kg — learning rate", Assumptions!$A:$A, 0)))^AB$5))</f>
        <v>0</v>
      </c>
      <c r="AC37" s="15" cm="1">
        <f t="array" aca="1" ref="AC37" ca="1">IF(AC$4 &gt;= INDEX(Assumptions!$B:$B, MATCH("V2 phase-out year (no V2 BB / V2 DTC launches from this year)", Assumptions!$A:$A, 0)), 0, MIN(IFERROR(AC9 / INDEX(Starlink!$D:$AC, MATCH("V2 DTC sat unit cost ($mm/sat)", Starlink!$A:$A, 0), AC$5+1), 0), $D$37*(1+INDEX(Assumptions!$B:$B, MATCH("Satellite cost per kg — learning rate", Assumptions!$A:$A, 0)))^AC$5))</f>
        <v>0</v>
      </c>
    </row>
    <row r="39" spans="1:29" x14ac:dyDescent="0.2">
      <c r="A39" t="s">
        <v>839</v>
      </c>
      <c r="D39" s="15" cm="1">
        <f t="array" aca="1" ref="D39" ca="1">IF(D$4 &lt; INDEX('Launch Capacity'!$D:$AC, MATCH("V3 Starlink launch trigger year", 'Launch Capacity'!$A:$A, 0), 1), 0, MIN(IFERROR(D10 / INDEX(Starlink!$D:$AC, MATCH("V3 BB sat unit cost ($mm/sat)", Starlink!$A:$A, 0), D$5+1), 0), IFERROR(D12 / INDEX(Assumptions!$B:$B, MATCH("V3 Mass (kg)", Assumptions!$A:$A, 0)), 0), IFERROR(INDEX(Assumptions!$D:$AC, MATCH("V3 BB launches per year stub trajectory", Assumptions!$A:$A, 0), D$5+1), 0)))</f>
        <v>0</v>
      </c>
      <c r="E39" s="15" cm="1">
        <f t="array" aca="1" ref="E39" ca="1">IF(E$4 &lt; INDEX('Launch Capacity'!$D:$AC, MATCH("V3 Starlink launch trigger year", 'Launch Capacity'!$A:$A, 0), 1), 0, MIN(IFERROR(E10 / INDEX(Starlink!$D:$AC, MATCH("V3 BB sat unit cost ($mm/sat)", Starlink!$A:$A, 0), E$5+1), 0), IFERROR(E12 / INDEX(Assumptions!$B:$B, MATCH("V3 Mass (kg)", Assumptions!$A:$A, 0)), 0), IFERROR(INDEX(Assumptions!$D:$AC, MATCH("V3 BB launches per year stub trajectory", Assumptions!$A:$A, 0), E$5+1), 0)))</f>
        <v>0</v>
      </c>
      <c r="F39" s="15" cm="1">
        <f t="array" aca="1" ref="F39" ca="1">IF(F$4 &lt; INDEX('Launch Capacity'!$D:$AC, MATCH("V3 Starlink launch trigger year", 'Launch Capacity'!$A:$A, 0), 1), 0, MIN(IFERROR(F10 / INDEX(Starlink!$D:$AC, MATCH("V3 BB sat unit cost ($mm/sat)", Starlink!$A:$A, 0), F$5+1), 0), IFERROR(F12 / INDEX(Assumptions!$B:$B, MATCH("V3 Mass (kg)", Assumptions!$A:$A, 0)), 0), IFERROR(INDEX(Assumptions!$D:$AC, MATCH("V3 BB launches per year stub trajectory", Assumptions!$A:$A, 0), F$5+1), 0)))</f>
        <v>0</v>
      </c>
      <c r="G39" s="15" cm="1">
        <f t="array" aca="1" ref="G39" ca="1">IF(G$4 &lt; INDEX('Launch Capacity'!$D:$AC, MATCH("V3 Starlink launch trigger year", 'Launch Capacity'!$A:$A, 0), 1), 0, MIN(IFERROR(G10 / INDEX(Starlink!$D:$AC, MATCH("V3 BB sat unit cost ($mm/sat)", Starlink!$A:$A, 0), G$5+1), 0), IFERROR(G12 / INDEX(Assumptions!$B:$B, MATCH("V3 Mass (kg)", Assumptions!$A:$A, 0)), 0), IFERROR(INDEX(Assumptions!$D:$AC, MATCH("V3 BB launches per year stub trajectory", Assumptions!$A:$A, 0), G$5+1), 0)))</f>
        <v>0</v>
      </c>
      <c r="H39" s="15" cm="1">
        <f t="array" aca="1" ref="H39" ca="1">IF(H$4 &lt; INDEX('Launch Capacity'!$D:$AC, MATCH("V3 Starlink launch trigger year", 'Launch Capacity'!$A:$A, 0), 1), 0, MIN(IFERROR(H10 / INDEX(Starlink!$D:$AC, MATCH("V3 BB sat unit cost ($mm/sat)", Starlink!$A:$A, 0), H$5+1), 0), IFERROR(H12 / INDEX(Assumptions!$B:$B, MATCH("V3 Mass (kg)", Assumptions!$A:$A, 0)), 0), IFERROR(INDEX(Assumptions!$D:$AC, MATCH("V3 BB launches per year stub trajectory", Assumptions!$A:$A, 0), H$5+1), 0)))</f>
        <v>0</v>
      </c>
      <c r="I39" s="15" cm="1">
        <f t="array" aca="1" ref="I39" ca="1">IF(I$4 &lt; INDEX('Launch Capacity'!$D:$AC, MATCH("V3 Starlink launch trigger year", 'Launch Capacity'!$A:$A, 0), 1), 0, MIN(IFERROR(I10 / INDEX(Starlink!$D:$AC, MATCH("V3 BB sat unit cost ($mm/sat)", Starlink!$A:$A, 0), I$5+1), 0), IFERROR(I12 / INDEX(Assumptions!$B:$B, MATCH("V3 Mass (kg)", Assumptions!$A:$A, 0)), 0), IFERROR(INDEX(Assumptions!$D:$AC, MATCH("V3 BB launches per year stub trajectory", Assumptions!$A:$A, 0), I$5+1), 0)))</f>
        <v>0</v>
      </c>
      <c r="J39" s="15" cm="1">
        <f t="array" aca="1" ref="J39" ca="1">IF(J$4 &lt; INDEX('Launch Capacity'!$D:$AC, MATCH("V3 Starlink launch trigger year", 'Launch Capacity'!$A:$A, 0), 1), 0, MIN(IFERROR(J10 / INDEX(Starlink!$D:$AC, MATCH("V3 BB sat unit cost ($mm/sat)", Starlink!$A:$A, 0), J$5+1), 0), IFERROR(J12 / INDEX(Assumptions!$B:$B, MATCH("V3 Mass (kg)", Assumptions!$A:$A, 0)), 0), IFERROR(INDEX(Assumptions!$D:$AC, MATCH("V3 BB launches per year stub trajectory", Assumptions!$A:$A, 0), J$5+1), 0)))</f>
        <v>0</v>
      </c>
      <c r="K39" s="15" cm="1">
        <f t="array" aca="1" ref="K39" ca="1">IF(K$4 &lt; INDEX('Launch Capacity'!$D:$AC, MATCH("V3 Starlink launch trigger year", 'Launch Capacity'!$A:$A, 0), 1), 0, MIN(IFERROR(K10 / INDEX(Starlink!$D:$AC, MATCH("V3 BB sat unit cost ($mm/sat)", Starlink!$A:$A, 0), K$5+1), 0), IFERROR(K12 / INDEX(Assumptions!$B:$B, MATCH("V3 Mass (kg)", Assumptions!$A:$A, 0)), 0), IFERROR(INDEX(Assumptions!$D:$AC, MATCH("V3 BB launches per year stub trajectory", Assumptions!$A:$A, 0), K$5+1), 0)))</f>
        <v>0</v>
      </c>
      <c r="L39" s="15" cm="1">
        <f t="array" aca="1" ref="L39" ca="1">IF(L$4 &lt; INDEX('Launch Capacity'!$D:$AC, MATCH("V3 Starlink launch trigger year", 'Launch Capacity'!$A:$A, 0), 1), 0, MIN(IFERROR(L10 / INDEX(Starlink!$D:$AC, MATCH("V3 BB sat unit cost ($mm/sat)", Starlink!$A:$A, 0), L$5+1), 0), IFERROR(L12 / INDEX(Assumptions!$B:$B, MATCH("V3 Mass (kg)", Assumptions!$A:$A, 0)), 0), IFERROR(INDEX(Assumptions!$D:$AC, MATCH("V3 BB launches per year stub trajectory", Assumptions!$A:$A, 0), L$5+1), 0)))</f>
        <v>0</v>
      </c>
      <c r="M39" s="15" cm="1">
        <f t="array" aca="1" ref="M39" ca="1">IF(M$4 &lt; INDEX('Launch Capacity'!$D:$AC, MATCH("V3 Starlink launch trigger year", 'Launch Capacity'!$A:$A, 0), 1), 0, MIN(IFERROR(M10 / INDEX(Starlink!$D:$AC, MATCH("V3 BB sat unit cost ($mm/sat)", Starlink!$A:$A, 0), M$5+1), 0), IFERROR(M12 / INDEX(Assumptions!$B:$B, MATCH("V3 Mass (kg)", Assumptions!$A:$A, 0)), 0), IFERROR(INDEX(Assumptions!$D:$AC, MATCH("V3 BB launches per year stub trajectory", Assumptions!$A:$A, 0), M$5+1), 0)))</f>
        <v>0</v>
      </c>
      <c r="N39" s="15" cm="1">
        <f t="array" aca="1" ref="N39" ca="1">IF(N$4 &lt; INDEX('Launch Capacity'!$D:$AC, MATCH("V3 Starlink launch trigger year", 'Launch Capacity'!$A:$A, 0), 1), 0, MIN(IFERROR(N10 / INDEX(Starlink!$D:$AC, MATCH("V3 BB sat unit cost ($mm/sat)", Starlink!$A:$A, 0), N$5+1), 0), IFERROR(N12 / INDEX(Assumptions!$B:$B, MATCH("V3 Mass (kg)", Assumptions!$A:$A, 0)), 0), IFERROR(INDEX(Assumptions!$D:$AC, MATCH("V3 BB launches per year stub trajectory", Assumptions!$A:$A, 0), N$5+1), 0)))</f>
        <v>0</v>
      </c>
      <c r="O39" s="15" cm="1">
        <f t="array" aca="1" ref="O39" ca="1">IF(O$4 &lt; INDEX('Launch Capacity'!$D:$AC, MATCH("V3 Starlink launch trigger year", 'Launch Capacity'!$A:$A, 0), 1), 0, MIN(IFERROR(O10 / INDEX(Starlink!$D:$AC, MATCH("V3 BB sat unit cost ($mm/sat)", Starlink!$A:$A, 0), O$5+1), 0), IFERROR(O12 / INDEX(Assumptions!$B:$B, MATCH("V3 Mass (kg)", Assumptions!$A:$A, 0)), 0), IFERROR(INDEX(Assumptions!$D:$AC, MATCH("V3 BB launches per year stub trajectory", Assumptions!$A:$A, 0), O$5+1), 0)))</f>
        <v>0</v>
      </c>
      <c r="P39" s="15" cm="1">
        <f t="array" aca="1" ref="P39" ca="1">IF(P$4 &lt; INDEX('Launch Capacity'!$D:$AC, MATCH("V3 Starlink launch trigger year", 'Launch Capacity'!$A:$A, 0), 1), 0, MIN(IFERROR(P10 / INDEX(Starlink!$D:$AC, MATCH("V3 BB sat unit cost ($mm/sat)", Starlink!$A:$A, 0), P$5+1), 0), IFERROR(P12 / INDEX(Assumptions!$B:$B, MATCH("V3 Mass (kg)", Assumptions!$A:$A, 0)), 0), IFERROR(INDEX(Assumptions!$D:$AC, MATCH("V3 BB launches per year stub trajectory", Assumptions!$A:$A, 0), P$5+1), 0)))</f>
        <v>0</v>
      </c>
      <c r="Q39" s="15" cm="1">
        <f t="array" aca="1" ref="Q39" ca="1">IF(Q$4 &lt; INDEX('Launch Capacity'!$D:$AC, MATCH("V3 Starlink launch trigger year", 'Launch Capacity'!$A:$A, 0), 1), 0, MIN(IFERROR(Q10 / INDEX(Starlink!$D:$AC, MATCH("V3 BB sat unit cost ($mm/sat)", Starlink!$A:$A, 0), Q$5+1), 0), IFERROR(Q12 / INDEX(Assumptions!$B:$B, MATCH("V3 Mass (kg)", Assumptions!$A:$A, 0)), 0), IFERROR(INDEX(Assumptions!$D:$AC, MATCH("V3 BB launches per year stub trajectory", Assumptions!$A:$A, 0), Q$5+1), 0)))</f>
        <v>0</v>
      </c>
      <c r="R39" s="15" cm="1">
        <f t="array" aca="1" ref="R39" ca="1">IF(R$4 &lt; INDEX('Launch Capacity'!$D:$AC, MATCH("V3 Starlink launch trigger year", 'Launch Capacity'!$A:$A, 0), 1), 0, MIN(IFERROR(R10 / INDEX(Starlink!$D:$AC, MATCH("V3 BB sat unit cost ($mm/sat)", Starlink!$A:$A, 0), R$5+1), 0), IFERROR(R12 / INDEX(Assumptions!$B:$B, MATCH("V3 Mass (kg)", Assumptions!$A:$A, 0)), 0), IFERROR(INDEX(Assumptions!$D:$AC, MATCH("V3 BB launches per year stub trajectory", Assumptions!$A:$A, 0), R$5+1), 0)))</f>
        <v>0</v>
      </c>
      <c r="S39" s="15" cm="1">
        <f t="array" aca="1" ref="S39" ca="1">IF(S$4 &lt; INDEX('Launch Capacity'!$D:$AC, MATCH("V3 Starlink launch trigger year", 'Launch Capacity'!$A:$A, 0), 1), 0, MIN(IFERROR(S10 / INDEX(Starlink!$D:$AC, MATCH("V3 BB sat unit cost ($mm/sat)", Starlink!$A:$A, 0), S$5+1), 0), IFERROR(S12 / INDEX(Assumptions!$B:$B, MATCH("V3 Mass (kg)", Assumptions!$A:$A, 0)), 0), IFERROR(INDEX(Assumptions!$D:$AC, MATCH("V3 BB launches per year stub trajectory", Assumptions!$A:$A, 0), S$5+1), 0)))</f>
        <v>0</v>
      </c>
      <c r="T39" s="15" cm="1">
        <f t="array" aca="1" ref="T39" ca="1">IF(T$4 &lt; INDEX('Launch Capacity'!$D:$AC, MATCH("V3 Starlink launch trigger year", 'Launch Capacity'!$A:$A, 0), 1), 0, MIN(IFERROR(T10 / INDEX(Starlink!$D:$AC, MATCH("V3 BB sat unit cost ($mm/sat)", Starlink!$A:$A, 0), T$5+1), 0), IFERROR(T12 / INDEX(Assumptions!$B:$B, MATCH("V3 Mass (kg)", Assumptions!$A:$A, 0)), 0), IFERROR(INDEX(Assumptions!$D:$AC, MATCH("V3 BB launches per year stub trajectory", Assumptions!$A:$A, 0), T$5+1), 0)))</f>
        <v>0</v>
      </c>
      <c r="U39" s="15" cm="1">
        <f t="array" aca="1" ref="U39" ca="1">IF(U$4 &lt; INDEX('Launch Capacity'!$D:$AC, MATCH("V3 Starlink launch trigger year", 'Launch Capacity'!$A:$A, 0), 1), 0, MIN(IFERROR(U10 / INDEX(Starlink!$D:$AC, MATCH("V3 BB sat unit cost ($mm/sat)", Starlink!$A:$A, 0), U$5+1), 0), IFERROR(U12 / INDEX(Assumptions!$B:$B, MATCH("V3 Mass (kg)", Assumptions!$A:$A, 0)), 0), IFERROR(INDEX(Assumptions!$D:$AC, MATCH("V3 BB launches per year stub trajectory", Assumptions!$A:$A, 0), U$5+1), 0)))</f>
        <v>0</v>
      </c>
      <c r="V39" s="15" cm="1">
        <f t="array" aca="1" ref="V39" ca="1">IF(V$4 &lt; INDEX('Launch Capacity'!$D:$AC, MATCH("V3 Starlink launch trigger year", 'Launch Capacity'!$A:$A, 0), 1), 0, MIN(IFERROR(V10 / INDEX(Starlink!$D:$AC, MATCH("V3 BB sat unit cost ($mm/sat)", Starlink!$A:$A, 0), V$5+1), 0), IFERROR(V12 / INDEX(Assumptions!$B:$B, MATCH("V3 Mass (kg)", Assumptions!$A:$A, 0)), 0), IFERROR(INDEX(Assumptions!$D:$AC, MATCH("V3 BB launches per year stub trajectory", Assumptions!$A:$A, 0), V$5+1), 0)))</f>
        <v>0</v>
      </c>
      <c r="W39" s="15" cm="1">
        <f t="array" aca="1" ref="W39" ca="1">IF(W$4 &lt; INDEX('Launch Capacity'!$D:$AC, MATCH("V3 Starlink launch trigger year", 'Launch Capacity'!$A:$A, 0), 1), 0, MIN(IFERROR(W10 / INDEX(Starlink!$D:$AC, MATCH("V3 BB sat unit cost ($mm/sat)", Starlink!$A:$A, 0), W$5+1), 0), IFERROR(W12 / INDEX(Assumptions!$B:$B, MATCH("V3 Mass (kg)", Assumptions!$A:$A, 0)), 0), IFERROR(INDEX(Assumptions!$D:$AC, MATCH("V3 BB launches per year stub trajectory", Assumptions!$A:$A, 0), W$5+1), 0)))</f>
        <v>0</v>
      </c>
      <c r="X39" s="15" cm="1">
        <f t="array" aca="1" ref="X39" ca="1">IF(X$4 &lt; INDEX('Launch Capacity'!$D:$AC, MATCH("V3 Starlink launch trigger year", 'Launch Capacity'!$A:$A, 0), 1), 0, MIN(IFERROR(X10 / INDEX(Starlink!$D:$AC, MATCH("V3 BB sat unit cost ($mm/sat)", Starlink!$A:$A, 0), X$5+1), 0), IFERROR(X12 / INDEX(Assumptions!$B:$B, MATCH("V3 Mass (kg)", Assumptions!$A:$A, 0)), 0), IFERROR(INDEX(Assumptions!$D:$AC, MATCH("V3 BB launches per year stub trajectory", Assumptions!$A:$A, 0), X$5+1), 0)))</f>
        <v>0</v>
      </c>
      <c r="Y39" s="15" cm="1">
        <f t="array" aca="1" ref="Y39" ca="1">IF(Y$4 &lt; INDEX('Launch Capacity'!$D:$AC, MATCH("V3 Starlink launch trigger year", 'Launch Capacity'!$A:$A, 0), 1), 0, MIN(IFERROR(Y10 / INDEX(Starlink!$D:$AC, MATCH("V3 BB sat unit cost ($mm/sat)", Starlink!$A:$A, 0), Y$5+1), 0), IFERROR(Y12 / INDEX(Assumptions!$B:$B, MATCH("V3 Mass (kg)", Assumptions!$A:$A, 0)), 0), IFERROR(INDEX(Assumptions!$D:$AC, MATCH("V3 BB launches per year stub trajectory", Assumptions!$A:$A, 0), Y$5+1), 0)))</f>
        <v>0</v>
      </c>
      <c r="Z39" s="15" cm="1">
        <f t="array" aca="1" ref="Z39" ca="1">IF(Z$4 &lt; INDEX('Launch Capacity'!$D:$AC, MATCH("V3 Starlink launch trigger year", 'Launch Capacity'!$A:$A, 0), 1), 0, MIN(IFERROR(Z10 / INDEX(Starlink!$D:$AC, MATCH("V3 BB sat unit cost ($mm/sat)", Starlink!$A:$A, 0), Z$5+1), 0), IFERROR(Z12 / INDEX(Assumptions!$B:$B, MATCH("V3 Mass (kg)", Assumptions!$A:$A, 0)), 0), IFERROR(INDEX(Assumptions!$D:$AC, MATCH("V3 BB launches per year stub trajectory", Assumptions!$A:$A, 0), Z$5+1), 0)))</f>
        <v>0</v>
      </c>
      <c r="AA39" s="15" cm="1">
        <f t="array" aca="1" ref="AA39" ca="1">IF(AA$4 &lt; INDEX('Launch Capacity'!$D:$AC, MATCH("V3 Starlink launch trigger year", 'Launch Capacity'!$A:$A, 0), 1), 0, MIN(IFERROR(AA10 / INDEX(Starlink!$D:$AC, MATCH("V3 BB sat unit cost ($mm/sat)", Starlink!$A:$A, 0), AA$5+1), 0), IFERROR(AA12 / INDEX(Assumptions!$B:$B, MATCH("V3 Mass (kg)", Assumptions!$A:$A, 0)), 0), IFERROR(INDEX(Assumptions!$D:$AC, MATCH("V3 BB launches per year stub trajectory", Assumptions!$A:$A, 0), AA$5+1), 0)))</f>
        <v>0</v>
      </c>
      <c r="AB39" s="15" cm="1">
        <f t="array" aca="1" ref="AB39" ca="1">IF(AB$4 &lt; INDEX('Launch Capacity'!$D:$AC, MATCH("V3 Starlink launch trigger year", 'Launch Capacity'!$A:$A, 0), 1), 0, MIN(IFERROR(AB10 / INDEX(Starlink!$D:$AC, MATCH("V3 BB sat unit cost ($mm/sat)", Starlink!$A:$A, 0), AB$5+1), 0), IFERROR(AB12 / INDEX(Assumptions!$B:$B, MATCH("V3 Mass (kg)", Assumptions!$A:$A, 0)), 0), IFERROR(INDEX(Assumptions!$D:$AC, MATCH("V3 BB launches per year stub trajectory", Assumptions!$A:$A, 0), AB$5+1), 0)))</f>
        <v>0</v>
      </c>
      <c r="AC39" s="15" cm="1">
        <f t="array" aca="1" ref="AC39" ca="1">IF(AC$4 &lt; INDEX('Launch Capacity'!$D:$AC, MATCH("V3 Starlink launch trigger year", 'Launch Capacity'!$A:$A, 0), 1), 0, MIN(IFERROR(AC10 / INDEX(Starlink!$D:$AC, MATCH("V3 BB sat unit cost ($mm/sat)", Starlink!$A:$A, 0), AC$5+1), 0), IFERROR(AC12 / INDEX(Assumptions!$B:$B, MATCH("V3 Mass (kg)", Assumptions!$A:$A, 0)), 0), IFERROR(INDEX(Assumptions!$D:$AC, MATCH("V3 BB launches per year stub trajectory", Assumptions!$A:$A, 0), AC$5+1), 0)))</f>
        <v>0</v>
      </c>
    </row>
    <row r="41" spans="1:29" x14ac:dyDescent="0.2">
      <c r="A41" t="s">
        <v>840</v>
      </c>
      <c r="D41" s="15" cm="1">
        <f t="array" aca="1" ref="D41" ca="1">IF(D$4 &lt; INDEX('Launch Capacity'!$D:$AC, MATCH("V3 Starlink launch trigger year", 'Launch Capacity'!$A:$A, 0), 1), 0, MIN(IFERROR(D11 / INDEX(Starlink!$D:$AC, MATCH("V3 DTC sat unit cost ($mm/sat)", Starlink!$A:$A, 0), D$5+1), 0), IFERROR(D13 / INDEX(Assumptions!$B:$B, MATCH("V3 Mass (kg)", Assumptions!$A:$A, 0)), 0), IFERROR(INDEX(Assumptions!$D:$AC, MATCH("V3 DTC launches per year stub trajectory", Assumptions!$A:$A, 0), D$5+1), 0)))</f>
        <v>0</v>
      </c>
      <c r="E41" s="15" cm="1">
        <f t="array" aca="1" ref="E41" ca="1">IF(E$4 &lt; INDEX('Launch Capacity'!$D:$AC, MATCH("V3 Starlink launch trigger year", 'Launch Capacity'!$A:$A, 0), 1), 0, MIN(IFERROR(E11 / INDEX(Starlink!$D:$AC, MATCH("V3 DTC sat unit cost ($mm/sat)", Starlink!$A:$A, 0), E$5+1), 0), IFERROR(E13 / INDEX(Assumptions!$B:$B, MATCH("V3 Mass (kg)", Assumptions!$A:$A, 0)), 0), IFERROR(INDEX(Assumptions!$D:$AC, MATCH("V3 DTC launches per year stub trajectory", Assumptions!$A:$A, 0), E$5+1), 0)))</f>
        <v>0</v>
      </c>
      <c r="F41" s="15" cm="1">
        <f t="array" aca="1" ref="F41" ca="1">IF(F$4 &lt; INDEX('Launch Capacity'!$D:$AC, MATCH("V3 Starlink launch trigger year", 'Launch Capacity'!$A:$A, 0), 1), 0, MIN(IFERROR(F11 / INDEX(Starlink!$D:$AC, MATCH("V3 DTC sat unit cost ($mm/sat)", Starlink!$A:$A, 0), F$5+1), 0), IFERROR(F13 / INDEX(Assumptions!$B:$B, MATCH("V3 Mass (kg)", Assumptions!$A:$A, 0)), 0), IFERROR(INDEX(Assumptions!$D:$AC, MATCH("V3 DTC launches per year stub trajectory", Assumptions!$A:$A, 0), F$5+1), 0)))</f>
        <v>0</v>
      </c>
      <c r="G41" s="15" cm="1">
        <f t="array" aca="1" ref="G41" ca="1">IF(G$4 &lt; INDEX('Launch Capacity'!$D:$AC, MATCH("V3 Starlink launch trigger year", 'Launch Capacity'!$A:$A, 0), 1), 0, MIN(IFERROR(G11 / INDEX(Starlink!$D:$AC, MATCH("V3 DTC sat unit cost ($mm/sat)", Starlink!$A:$A, 0), G$5+1), 0), IFERROR(G13 / INDEX(Assumptions!$B:$B, MATCH("V3 Mass (kg)", Assumptions!$A:$A, 0)), 0), IFERROR(INDEX(Assumptions!$D:$AC, MATCH("V3 DTC launches per year stub trajectory", Assumptions!$A:$A, 0), G$5+1), 0)))</f>
        <v>0</v>
      </c>
      <c r="H41" s="15" cm="1">
        <f t="array" aca="1" ref="H41" ca="1">IF(H$4 &lt; INDEX('Launch Capacity'!$D:$AC, MATCH("V3 Starlink launch trigger year", 'Launch Capacity'!$A:$A, 0), 1), 0, MIN(IFERROR(H11 / INDEX(Starlink!$D:$AC, MATCH("V3 DTC sat unit cost ($mm/sat)", Starlink!$A:$A, 0), H$5+1), 0), IFERROR(H13 / INDEX(Assumptions!$B:$B, MATCH("V3 Mass (kg)", Assumptions!$A:$A, 0)), 0), IFERROR(INDEX(Assumptions!$D:$AC, MATCH("V3 DTC launches per year stub trajectory", Assumptions!$A:$A, 0), H$5+1), 0)))</f>
        <v>0</v>
      </c>
      <c r="I41" s="15" cm="1">
        <f t="array" aca="1" ref="I41" ca="1">IF(I$4 &lt; INDEX('Launch Capacity'!$D:$AC, MATCH("V3 Starlink launch trigger year", 'Launch Capacity'!$A:$A, 0), 1), 0, MIN(IFERROR(I11 / INDEX(Starlink!$D:$AC, MATCH("V3 DTC sat unit cost ($mm/sat)", Starlink!$A:$A, 0), I$5+1), 0), IFERROR(I13 / INDEX(Assumptions!$B:$B, MATCH("V3 Mass (kg)", Assumptions!$A:$A, 0)), 0), IFERROR(INDEX(Assumptions!$D:$AC, MATCH("V3 DTC launches per year stub trajectory", Assumptions!$A:$A, 0), I$5+1), 0)))</f>
        <v>0</v>
      </c>
      <c r="J41" s="15" cm="1">
        <f t="array" aca="1" ref="J41" ca="1">IF(J$4 &lt; INDEX('Launch Capacity'!$D:$AC, MATCH("V3 Starlink launch trigger year", 'Launch Capacity'!$A:$A, 0), 1), 0, MIN(IFERROR(J11 / INDEX(Starlink!$D:$AC, MATCH("V3 DTC sat unit cost ($mm/sat)", Starlink!$A:$A, 0), J$5+1), 0), IFERROR(J13 / INDEX(Assumptions!$B:$B, MATCH("V3 Mass (kg)", Assumptions!$A:$A, 0)), 0), IFERROR(INDEX(Assumptions!$D:$AC, MATCH("V3 DTC launches per year stub trajectory", Assumptions!$A:$A, 0), J$5+1), 0)))</f>
        <v>0</v>
      </c>
      <c r="K41" s="15" cm="1">
        <f t="array" aca="1" ref="K41" ca="1">IF(K$4 &lt; INDEX('Launch Capacity'!$D:$AC, MATCH("V3 Starlink launch trigger year", 'Launch Capacity'!$A:$A, 0), 1), 0, MIN(IFERROR(K11 / INDEX(Starlink!$D:$AC, MATCH("V3 DTC sat unit cost ($mm/sat)", Starlink!$A:$A, 0), K$5+1), 0), IFERROR(K13 / INDEX(Assumptions!$B:$B, MATCH("V3 Mass (kg)", Assumptions!$A:$A, 0)), 0), IFERROR(INDEX(Assumptions!$D:$AC, MATCH("V3 DTC launches per year stub trajectory", Assumptions!$A:$A, 0), K$5+1), 0)))</f>
        <v>0</v>
      </c>
      <c r="L41" s="15" cm="1">
        <f t="array" aca="1" ref="L41" ca="1">IF(L$4 &lt; INDEX('Launch Capacity'!$D:$AC, MATCH("V3 Starlink launch trigger year", 'Launch Capacity'!$A:$A, 0), 1), 0, MIN(IFERROR(L11 / INDEX(Starlink!$D:$AC, MATCH("V3 DTC sat unit cost ($mm/sat)", Starlink!$A:$A, 0), L$5+1), 0), IFERROR(L13 / INDEX(Assumptions!$B:$B, MATCH("V3 Mass (kg)", Assumptions!$A:$A, 0)), 0), IFERROR(INDEX(Assumptions!$D:$AC, MATCH("V3 DTC launches per year stub trajectory", Assumptions!$A:$A, 0), L$5+1), 0)))</f>
        <v>0</v>
      </c>
      <c r="M41" s="15" cm="1">
        <f t="array" aca="1" ref="M41" ca="1">IF(M$4 &lt; INDEX('Launch Capacity'!$D:$AC, MATCH("V3 Starlink launch trigger year", 'Launch Capacity'!$A:$A, 0), 1), 0, MIN(IFERROR(M11 / INDEX(Starlink!$D:$AC, MATCH("V3 DTC sat unit cost ($mm/sat)", Starlink!$A:$A, 0), M$5+1), 0), IFERROR(M13 / INDEX(Assumptions!$B:$B, MATCH("V3 Mass (kg)", Assumptions!$A:$A, 0)), 0), IFERROR(INDEX(Assumptions!$D:$AC, MATCH("V3 DTC launches per year stub trajectory", Assumptions!$A:$A, 0), M$5+1), 0)))</f>
        <v>0</v>
      </c>
      <c r="N41" s="15" cm="1">
        <f t="array" aca="1" ref="N41" ca="1">IF(N$4 &lt; INDEX('Launch Capacity'!$D:$AC, MATCH("V3 Starlink launch trigger year", 'Launch Capacity'!$A:$A, 0), 1), 0, MIN(IFERROR(N11 / INDEX(Starlink!$D:$AC, MATCH("V3 DTC sat unit cost ($mm/sat)", Starlink!$A:$A, 0), N$5+1), 0), IFERROR(N13 / INDEX(Assumptions!$B:$B, MATCH("V3 Mass (kg)", Assumptions!$A:$A, 0)), 0), IFERROR(INDEX(Assumptions!$D:$AC, MATCH("V3 DTC launches per year stub trajectory", Assumptions!$A:$A, 0), N$5+1), 0)))</f>
        <v>0</v>
      </c>
      <c r="O41" s="15" cm="1">
        <f t="array" aca="1" ref="O41" ca="1">IF(O$4 &lt; INDEX('Launch Capacity'!$D:$AC, MATCH("V3 Starlink launch trigger year", 'Launch Capacity'!$A:$A, 0), 1), 0, MIN(IFERROR(O11 / INDEX(Starlink!$D:$AC, MATCH("V3 DTC sat unit cost ($mm/sat)", Starlink!$A:$A, 0), O$5+1), 0), IFERROR(O13 / INDEX(Assumptions!$B:$B, MATCH("V3 Mass (kg)", Assumptions!$A:$A, 0)), 0), IFERROR(INDEX(Assumptions!$D:$AC, MATCH("V3 DTC launches per year stub trajectory", Assumptions!$A:$A, 0), O$5+1), 0)))</f>
        <v>0</v>
      </c>
      <c r="P41" s="15" cm="1">
        <f t="array" aca="1" ref="P41" ca="1">IF(P$4 &lt; INDEX('Launch Capacity'!$D:$AC, MATCH("V3 Starlink launch trigger year", 'Launch Capacity'!$A:$A, 0), 1), 0, MIN(IFERROR(P11 / INDEX(Starlink!$D:$AC, MATCH("V3 DTC sat unit cost ($mm/sat)", Starlink!$A:$A, 0), P$5+1), 0), IFERROR(P13 / INDEX(Assumptions!$B:$B, MATCH("V3 Mass (kg)", Assumptions!$A:$A, 0)), 0), IFERROR(INDEX(Assumptions!$D:$AC, MATCH("V3 DTC launches per year stub trajectory", Assumptions!$A:$A, 0), P$5+1), 0)))</f>
        <v>0</v>
      </c>
      <c r="Q41" s="15" cm="1">
        <f t="array" aca="1" ref="Q41" ca="1">IF(Q$4 &lt; INDEX('Launch Capacity'!$D:$AC, MATCH("V3 Starlink launch trigger year", 'Launch Capacity'!$A:$A, 0), 1), 0, MIN(IFERROR(Q11 / INDEX(Starlink!$D:$AC, MATCH("V3 DTC sat unit cost ($mm/sat)", Starlink!$A:$A, 0), Q$5+1), 0), IFERROR(Q13 / INDEX(Assumptions!$B:$B, MATCH("V3 Mass (kg)", Assumptions!$A:$A, 0)), 0), IFERROR(INDEX(Assumptions!$D:$AC, MATCH("V3 DTC launches per year stub trajectory", Assumptions!$A:$A, 0), Q$5+1), 0)))</f>
        <v>0</v>
      </c>
      <c r="R41" s="15" cm="1">
        <f t="array" aca="1" ref="R41" ca="1">IF(R$4 &lt; INDEX('Launch Capacity'!$D:$AC, MATCH("V3 Starlink launch trigger year", 'Launch Capacity'!$A:$A, 0), 1), 0, MIN(IFERROR(R11 / INDEX(Starlink!$D:$AC, MATCH("V3 DTC sat unit cost ($mm/sat)", Starlink!$A:$A, 0), R$5+1), 0), IFERROR(R13 / INDEX(Assumptions!$B:$B, MATCH("V3 Mass (kg)", Assumptions!$A:$A, 0)), 0), IFERROR(INDEX(Assumptions!$D:$AC, MATCH("V3 DTC launches per year stub trajectory", Assumptions!$A:$A, 0), R$5+1), 0)))</f>
        <v>0</v>
      </c>
      <c r="S41" s="15" cm="1">
        <f t="array" aca="1" ref="S41" ca="1">IF(S$4 &lt; INDEX('Launch Capacity'!$D:$AC, MATCH("V3 Starlink launch trigger year", 'Launch Capacity'!$A:$A, 0), 1), 0, MIN(IFERROR(S11 / INDEX(Starlink!$D:$AC, MATCH("V3 DTC sat unit cost ($mm/sat)", Starlink!$A:$A, 0), S$5+1), 0), IFERROR(S13 / INDEX(Assumptions!$B:$B, MATCH("V3 Mass (kg)", Assumptions!$A:$A, 0)), 0), IFERROR(INDEX(Assumptions!$D:$AC, MATCH("V3 DTC launches per year stub trajectory", Assumptions!$A:$A, 0), S$5+1), 0)))</f>
        <v>0</v>
      </c>
      <c r="T41" s="15" cm="1">
        <f t="array" aca="1" ref="T41" ca="1">IF(T$4 &lt; INDEX('Launch Capacity'!$D:$AC, MATCH("V3 Starlink launch trigger year", 'Launch Capacity'!$A:$A, 0), 1), 0, MIN(IFERROR(T11 / INDEX(Starlink!$D:$AC, MATCH("V3 DTC sat unit cost ($mm/sat)", Starlink!$A:$A, 0), T$5+1), 0), IFERROR(T13 / INDEX(Assumptions!$B:$B, MATCH("V3 Mass (kg)", Assumptions!$A:$A, 0)), 0), IFERROR(INDEX(Assumptions!$D:$AC, MATCH("V3 DTC launches per year stub trajectory", Assumptions!$A:$A, 0), T$5+1), 0)))</f>
        <v>0</v>
      </c>
      <c r="U41" s="15" cm="1">
        <f t="array" aca="1" ref="U41" ca="1">IF(U$4 &lt; INDEX('Launch Capacity'!$D:$AC, MATCH("V3 Starlink launch trigger year", 'Launch Capacity'!$A:$A, 0), 1), 0, MIN(IFERROR(U11 / INDEX(Starlink!$D:$AC, MATCH("V3 DTC sat unit cost ($mm/sat)", Starlink!$A:$A, 0), U$5+1), 0), IFERROR(U13 / INDEX(Assumptions!$B:$B, MATCH("V3 Mass (kg)", Assumptions!$A:$A, 0)), 0), IFERROR(INDEX(Assumptions!$D:$AC, MATCH("V3 DTC launches per year stub trajectory", Assumptions!$A:$A, 0), U$5+1), 0)))</f>
        <v>0</v>
      </c>
      <c r="V41" s="15" cm="1">
        <f t="array" aca="1" ref="V41" ca="1">IF(V$4 &lt; INDEX('Launch Capacity'!$D:$AC, MATCH("V3 Starlink launch trigger year", 'Launch Capacity'!$A:$A, 0), 1), 0, MIN(IFERROR(V11 / INDEX(Starlink!$D:$AC, MATCH("V3 DTC sat unit cost ($mm/sat)", Starlink!$A:$A, 0), V$5+1), 0), IFERROR(V13 / INDEX(Assumptions!$B:$B, MATCH("V3 Mass (kg)", Assumptions!$A:$A, 0)), 0), IFERROR(INDEX(Assumptions!$D:$AC, MATCH("V3 DTC launches per year stub trajectory", Assumptions!$A:$A, 0), V$5+1), 0)))</f>
        <v>0</v>
      </c>
      <c r="W41" s="15" cm="1">
        <f t="array" aca="1" ref="W41" ca="1">IF(W$4 &lt; INDEX('Launch Capacity'!$D:$AC, MATCH("V3 Starlink launch trigger year", 'Launch Capacity'!$A:$A, 0), 1), 0, MIN(IFERROR(W11 / INDEX(Starlink!$D:$AC, MATCH("V3 DTC sat unit cost ($mm/sat)", Starlink!$A:$A, 0), W$5+1), 0), IFERROR(W13 / INDEX(Assumptions!$B:$B, MATCH("V3 Mass (kg)", Assumptions!$A:$A, 0)), 0), IFERROR(INDEX(Assumptions!$D:$AC, MATCH("V3 DTC launches per year stub trajectory", Assumptions!$A:$A, 0), W$5+1), 0)))</f>
        <v>0</v>
      </c>
      <c r="X41" s="15" cm="1">
        <f t="array" aca="1" ref="X41" ca="1">IF(X$4 &lt; INDEX('Launch Capacity'!$D:$AC, MATCH("V3 Starlink launch trigger year", 'Launch Capacity'!$A:$A, 0), 1), 0, MIN(IFERROR(X11 / INDEX(Starlink!$D:$AC, MATCH("V3 DTC sat unit cost ($mm/sat)", Starlink!$A:$A, 0), X$5+1), 0), IFERROR(X13 / INDEX(Assumptions!$B:$B, MATCH("V3 Mass (kg)", Assumptions!$A:$A, 0)), 0), IFERROR(INDEX(Assumptions!$D:$AC, MATCH("V3 DTC launches per year stub trajectory", Assumptions!$A:$A, 0), X$5+1), 0)))</f>
        <v>0</v>
      </c>
      <c r="Y41" s="15" cm="1">
        <f t="array" aca="1" ref="Y41" ca="1">IF(Y$4 &lt; INDEX('Launch Capacity'!$D:$AC, MATCH("V3 Starlink launch trigger year", 'Launch Capacity'!$A:$A, 0), 1), 0, MIN(IFERROR(Y11 / INDEX(Starlink!$D:$AC, MATCH("V3 DTC sat unit cost ($mm/sat)", Starlink!$A:$A, 0), Y$5+1), 0), IFERROR(Y13 / INDEX(Assumptions!$B:$B, MATCH("V3 Mass (kg)", Assumptions!$A:$A, 0)), 0), IFERROR(INDEX(Assumptions!$D:$AC, MATCH("V3 DTC launches per year stub trajectory", Assumptions!$A:$A, 0), Y$5+1), 0)))</f>
        <v>0</v>
      </c>
      <c r="Z41" s="15" cm="1">
        <f t="array" aca="1" ref="Z41" ca="1">IF(Z$4 &lt; INDEX('Launch Capacity'!$D:$AC, MATCH("V3 Starlink launch trigger year", 'Launch Capacity'!$A:$A, 0), 1), 0, MIN(IFERROR(Z11 / INDEX(Starlink!$D:$AC, MATCH("V3 DTC sat unit cost ($mm/sat)", Starlink!$A:$A, 0), Z$5+1), 0), IFERROR(Z13 / INDEX(Assumptions!$B:$B, MATCH("V3 Mass (kg)", Assumptions!$A:$A, 0)), 0), IFERROR(INDEX(Assumptions!$D:$AC, MATCH("V3 DTC launches per year stub trajectory", Assumptions!$A:$A, 0), Z$5+1), 0)))</f>
        <v>0</v>
      </c>
      <c r="AA41" s="15" cm="1">
        <f t="array" aca="1" ref="AA41" ca="1">IF(AA$4 &lt; INDEX('Launch Capacity'!$D:$AC, MATCH("V3 Starlink launch trigger year", 'Launch Capacity'!$A:$A, 0), 1), 0, MIN(IFERROR(AA11 / INDEX(Starlink!$D:$AC, MATCH("V3 DTC sat unit cost ($mm/sat)", Starlink!$A:$A, 0), AA$5+1), 0), IFERROR(AA13 / INDEX(Assumptions!$B:$B, MATCH("V3 Mass (kg)", Assumptions!$A:$A, 0)), 0), IFERROR(INDEX(Assumptions!$D:$AC, MATCH("V3 DTC launches per year stub trajectory", Assumptions!$A:$A, 0), AA$5+1), 0)))</f>
        <v>0</v>
      </c>
      <c r="AB41" s="15" cm="1">
        <f t="array" aca="1" ref="AB41" ca="1">IF(AB$4 &lt; INDEX('Launch Capacity'!$D:$AC, MATCH("V3 Starlink launch trigger year", 'Launch Capacity'!$A:$A, 0), 1), 0, MIN(IFERROR(AB11 / INDEX(Starlink!$D:$AC, MATCH("V3 DTC sat unit cost ($mm/sat)", Starlink!$A:$A, 0), AB$5+1), 0), IFERROR(AB13 / INDEX(Assumptions!$B:$B, MATCH("V3 Mass (kg)", Assumptions!$A:$A, 0)), 0), IFERROR(INDEX(Assumptions!$D:$AC, MATCH("V3 DTC launches per year stub trajectory", Assumptions!$A:$A, 0), AB$5+1), 0)))</f>
        <v>0</v>
      </c>
      <c r="AC41" s="15" cm="1">
        <f t="array" aca="1" ref="AC41" ca="1">IF(AC$4 &lt; INDEX('Launch Capacity'!$D:$AC, MATCH("V3 Starlink launch trigger year", 'Launch Capacity'!$A:$A, 0), 1), 0, MIN(IFERROR(AC11 / INDEX(Starlink!$D:$AC, MATCH("V3 DTC sat unit cost ($mm/sat)", Starlink!$A:$A, 0), AC$5+1), 0), IFERROR(AC13 / INDEX(Assumptions!$B:$B, MATCH("V3 Mass (kg)", Assumptions!$A:$A, 0)), 0), IFERROR(INDEX(Assumptions!$D:$AC, MATCH("V3 DTC launches per year stub trajectory", Assumptions!$A:$A, 0), AC$5+1), 0)))</f>
        <v>0</v>
      </c>
    </row>
    <row r="43" spans="1:29" x14ac:dyDescent="0.2">
      <c r="A43" t="s">
        <v>1698</v>
      </c>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row>
    <row r="45" spans="1:29" x14ac:dyDescent="0.2">
      <c r="A45" t="s">
        <v>841</v>
      </c>
      <c r="D45" s="40">
        <f>IFERROR(D33/INDEX(Assumptions!$B:$B,MATCH("Sats per F9 launch — V2 BB",Assumptions!$A:$A,0)),0)</f>
        <v>103</v>
      </c>
      <c r="E45" s="40">
        <f ca="1">IFERROR(E33/INDEX(Assumptions!$B:$B,MATCH("Sats per F9 launch — V2 BB",Assumptions!$A:$A,0)),0)</f>
        <v>0</v>
      </c>
      <c r="F45" s="40">
        <f ca="1">IFERROR(F33/INDEX(Assumptions!$B:$B,MATCH("Sats per F9 launch — V2 BB",Assumptions!$A:$A,0)),0)</f>
        <v>0</v>
      </c>
      <c r="G45" s="40">
        <f ca="1">IFERROR(G33/INDEX(Assumptions!$B:$B,MATCH("Sats per F9 launch — V2 BB",Assumptions!$A:$A,0)),0)</f>
        <v>0</v>
      </c>
      <c r="H45" s="40">
        <f ca="1">IFERROR(H33/INDEX(Assumptions!$B:$B,MATCH("Sats per F9 launch — V2 BB",Assumptions!$A:$A,0)),0)</f>
        <v>0</v>
      </c>
      <c r="I45" s="40">
        <f ca="1">IFERROR(I33/INDEX(Assumptions!$B:$B,MATCH("Sats per F9 launch — V2 BB",Assumptions!$A:$A,0)),0)</f>
        <v>0</v>
      </c>
      <c r="J45" s="40">
        <f ca="1">IFERROR(J33/INDEX(Assumptions!$B:$B,MATCH("Sats per F9 launch — V2 BB",Assumptions!$A:$A,0)),0)</f>
        <v>0</v>
      </c>
      <c r="K45" s="40">
        <f ca="1">IFERROR(K33/INDEX(Assumptions!$B:$B,MATCH("Sats per F9 launch — V2 BB",Assumptions!$A:$A,0)),0)</f>
        <v>0</v>
      </c>
      <c r="L45" s="40">
        <f ca="1">IFERROR(L33/INDEX(Assumptions!$B:$B,MATCH("Sats per F9 launch — V2 BB",Assumptions!$A:$A,0)),0)</f>
        <v>0</v>
      </c>
      <c r="M45" s="40">
        <f ca="1">IFERROR(M33/INDEX(Assumptions!$B:$B,MATCH("Sats per F9 launch — V2 BB",Assumptions!$A:$A,0)),0)</f>
        <v>0</v>
      </c>
      <c r="N45" s="40">
        <f ca="1">IFERROR(N33/INDEX(Assumptions!$B:$B,MATCH("Sats per F9 launch — V2 BB",Assumptions!$A:$A,0)),0)</f>
        <v>0</v>
      </c>
      <c r="O45" s="40">
        <f ca="1">IFERROR(O33/INDEX(Assumptions!$B:$B,MATCH("Sats per F9 launch — V2 BB",Assumptions!$A:$A,0)),0)</f>
        <v>0</v>
      </c>
      <c r="P45" s="40">
        <f ca="1">IFERROR(P33/INDEX(Assumptions!$B:$B,MATCH("Sats per F9 launch — V2 BB",Assumptions!$A:$A,0)),0)</f>
        <v>0</v>
      </c>
      <c r="Q45" s="40">
        <f ca="1">IFERROR(Q33/INDEX(Assumptions!$B:$B,MATCH("Sats per F9 launch — V2 BB",Assumptions!$A:$A,0)),0)</f>
        <v>0</v>
      </c>
      <c r="R45" s="40">
        <f ca="1">IFERROR(R33/INDEX(Assumptions!$B:$B,MATCH("Sats per F9 launch — V2 BB",Assumptions!$A:$A,0)),0)</f>
        <v>0</v>
      </c>
      <c r="S45" s="40">
        <f ca="1">IFERROR(S33/INDEX(Assumptions!$B:$B,MATCH("Sats per F9 launch — V2 BB",Assumptions!$A:$A,0)),0)</f>
        <v>0</v>
      </c>
      <c r="T45" s="40">
        <f ca="1">IFERROR(T33/INDEX(Assumptions!$B:$B,MATCH("Sats per F9 launch — V2 BB",Assumptions!$A:$A,0)),0)</f>
        <v>0</v>
      </c>
      <c r="U45" s="40">
        <f ca="1">IFERROR(U33/INDEX(Assumptions!$B:$B,MATCH("Sats per F9 launch — V2 BB",Assumptions!$A:$A,0)),0)</f>
        <v>0</v>
      </c>
      <c r="V45" s="40">
        <f ca="1">IFERROR(V33/INDEX(Assumptions!$B:$B,MATCH("Sats per F9 launch — V2 BB",Assumptions!$A:$A,0)),0)</f>
        <v>0</v>
      </c>
      <c r="W45" s="40">
        <f ca="1">IFERROR(W33/INDEX(Assumptions!$B:$B,MATCH("Sats per F9 launch — V2 BB",Assumptions!$A:$A,0)),0)</f>
        <v>0</v>
      </c>
      <c r="X45" s="40">
        <f ca="1">IFERROR(X33/INDEX(Assumptions!$B:$B,MATCH("Sats per F9 launch — V2 BB",Assumptions!$A:$A,0)),0)</f>
        <v>0</v>
      </c>
      <c r="Y45" s="40">
        <f ca="1">IFERROR(Y33/INDEX(Assumptions!$B:$B,MATCH("Sats per F9 launch — V2 BB",Assumptions!$A:$A,0)),0)</f>
        <v>0</v>
      </c>
      <c r="Z45" s="40">
        <f ca="1">IFERROR(Z33/INDEX(Assumptions!$B:$B,MATCH("Sats per F9 launch — V2 BB",Assumptions!$A:$A,0)),0)</f>
        <v>0</v>
      </c>
      <c r="AA45" s="40">
        <f ca="1">IFERROR(AA33/INDEX(Assumptions!$B:$B,MATCH("Sats per F9 launch — V2 BB",Assumptions!$A:$A,0)),0)</f>
        <v>0</v>
      </c>
      <c r="AB45" s="40">
        <f ca="1">IFERROR(AB33/INDEX(Assumptions!$B:$B,MATCH("Sats per F9 launch — V2 BB",Assumptions!$A:$A,0)),0)</f>
        <v>0</v>
      </c>
      <c r="AC45" s="40">
        <f ca="1">IFERROR(AC33/INDEX(Assumptions!$B:$B,MATCH("Sats per F9 launch — V2 BB",Assumptions!$A:$A,0)),0)</f>
        <v>0</v>
      </c>
    </row>
    <row r="46" spans="1:29" x14ac:dyDescent="0.2">
      <c r="A46" t="s">
        <v>842</v>
      </c>
      <c r="D46" s="40">
        <f>IFERROR(D37/INDEX(Assumptions!$B:$B,MATCH("Sats per F9 launch — V2 DTC",Assumptions!$A:$A,0)),0)</f>
        <v>26</v>
      </c>
      <c r="E46" s="40">
        <f ca="1">IFERROR(E37/INDEX(Assumptions!$B:$B,MATCH("Sats per F9 launch — V2 DTC",Assumptions!$A:$A,0)),0)</f>
        <v>0</v>
      </c>
      <c r="F46" s="40">
        <f ca="1">IFERROR(F37/INDEX(Assumptions!$B:$B,MATCH("Sats per F9 launch — V2 DTC",Assumptions!$A:$A,0)),0)</f>
        <v>0</v>
      </c>
      <c r="G46" s="40">
        <f ca="1">IFERROR(G37/INDEX(Assumptions!$B:$B,MATCH("Sats per F9 launch — V2 DTC",Assumptions!$A:$A,0)),0)</f>
        <v>0</v>
      </c>
      <c r="H46" s="40">
        <f ca="1">IFERROR(H37/INDEX(Assumptions!$B:$B,MATCH("Sats per F9 launch — V2 DTC",Assumptions!$A:$A,0)),0)</f>
        <v>0</v>
      </c>
      <c r="I46" s="40">
        <f ca="1">IFERROR(I37/INDEX(Assumptions!$B:$B,MATCH("Sats per F9 launch — V2 DTC",Assumptions!$A:$A,0)),0)</f>
        <v>0</v>
      </c>
      <c r="J46" s="40">
        <f ca="1">IFERROR(J37/INDEX(Assumptions!$B:$B,MATCH("Sats per F9 launch — V2 DTC",Assumptions!$A:$A,0)),0)</f>
        <v>0</v>
      </c>
      <c r="K46" s="40">
        <f ca="1">IFERROR(K37/INDEX(Assumptions!$B:$B,MATCH("Sats per F9 launch — V2 DTC",Assumptions!$A:$A,0)),0)</f>
        <v>0</v>
      </c>
      <c r="L46" s="40">
        <f ca="1">IFERROR(L37/INDEX(Assumptions!$B:$B,MATCH("Sats per F9 launch — V2 DTC",Assumptions!$A:$A,0)),0)</f>
        <v>0</v>
      </c>
      <c r="M46" s="40">
        <f ca="1">IFERROR(M37/INDEX(Assumptions!$B:$B,MATCH("Sats per F9 launch — V2 DTC",Assumptions!$A:$A,0)),0)</f>
        <v>0</v>
      </c>
      <c r="N46" s="40">
        <f ca="1">IFERROR(N37/INDEX(Assumptions!$B:$B,MATCH("Sats per F9 launch — V2 DTC",Assumptions!$A:$A,0)),0)</f>
        <v>0</v>
      </c>
      <c r="O46" s="40">
        <f ca="1">IFERROR(O37/INDEX(Assumptions!$B:$B,MATCH("Sats per F9 launch — V2 DTC",Assumptions!$A:$A,0)),0)</f>
        <v>0</v>
      </c>
      <c r="P46" s="40">
        <f ca="1">IFERROR(P37/INDEX(Assumptions!$B:$B,MATCH("Sats per F9 launch — V2 DTC",Assumptions!$A:$A,0)),0)</f>
        <v>0</v>
      </c>
      <c r="Q46" s="40">
        <f ca="1">IFERROR(Q37/INDEX(Assumptions!$B:$B,MATCH("Sats per F9 launch — V2 DTC",Assumptions!$A:$A,0)),0)</f>
        <v>0</v>
      </c>
      <c r="R46" s="40">
        <f ca="1">IFERROR(R37/INDEX(Assumptions!$B:$B,MATCH("Sats per F9 launch — V2 DTC",Assumptions!$A:$A,0)),0)</f>
        <v>0</v>
      </c>
      <c r="S46" s="40">
        <f ca="1">IFERROR(S37/INDEX(Assumptions!$B:$B,MATCH("Sats per F9 launch — V2 DTC",Assumptions!$A:$A,0)),0)</f>
        <v>0</v>
      </c>
      <c r="T46" s="40">
        <f ca="1">IFERROR(T37/INDEX(Assumptions!$B:$B,MATCH("Sats per F9 launch — V2 DTC",Assumptions!$A:$A,0)),0)</f>
        <v>0</v>
      </c>
      <c r="U46" s="40">
        <f ca="1">IFERROR(U37/INDEX(Assumptions!$B:$B,MATCH("Sats per F9 launch — V2 DTC",Assumptions!$A:$A,0)),0)</f>
        <v>0</v>
      </c>
      <c r="V46" s="40">
        <f ca="1">IFERROR(V37/INDEX(Assumptions!$B:$B,MATCH("Sats per F9 launch — V2 DTC",Assumptions!$A:$A,0)),0)</f>
        <v>0</v>
      </c>
      <c r="W46" s="40">
        <f ca="1">IFERROR(W37/INDEX(Assumptions!$B:$B,MATCH("Sats per F9 launch — V2 DTC",Assumptions!$A:$A,0)),0)</f>
        <v>0</v>
      </c>
      <c r="X46" s="40">
        <f ca="1">IFERROR(X37/INDEX(Assumptions!$B:$B,MATCH("Sats per F9 launch — V2 DTC",Assumptions!$A:$A,0)),0)</f>
        <v>0</v>
      </c>
      <c r="Y46" s="40">
        <f ca="1">IFERROR(Y37/INDEX(Assumptions!$B:$B,MATCH("Sats per F9 launch — V2 DTC",Assumptions!$A:$A,0)),0)</f>
        <v>0</v>
      </c>
      <c r="Z46" s="40">
        <f ca="1">IFERROR(Z37/INDEX(Assumptions!$B:$B,MATCH("Sats per F9 launch — V2 DTC",Assumptions!$A:$A,0)),0)</f>
        <v>0</v>
      </c>
      <c r="AA46" s="40">
        <f ca="1">IFERROR(AA37/INDEX(Assumptions!$B:$B,MATCH("Sats per F9 launch — V2 DTC",Assumptions!$A:$A,0)),0)</f>
        <v>0</v>
      </c>
      <c r="AB46" s="40">
        <f ca="1">IFERROR(AB37/INDEX(Assumptions!$B:$B,MATCH("Sats per F9 launch — V2 DTC",Assumptions!$A:$A,0)),0)</f>
        <v>0</v>
      </c>
      <c r="AC46" s="40">
        <f ca="1">IFERROR(AC37/INDEX(Assumptions!$B:$B,MATCH("Sats per F9 launch — V2 DTC",Assumptions!$A:$A,0)),0)</f>
        <v>0</v>
      </c>
    </row>
    <row r="47" spans="1:29" x14ac:dyDescent="0.2">
      <c r="A47" t="s">
        <v>843</v>
      </c>
      <c r="D47" s="40">
        <f ca="1">IFERROR(D39/INDEX(Assumptions!$B:$B,MATCH("Sats per Starship launch — V3 BB",Assumptions!$A:$A,0)),0)</f>
        <v>0</v>
      </c>
      <c r="E47" s="40">
        <f ca="1">IFERROR(E39/INDEX(Assumptions!$B:$B,MATCH("Sats per Starship launch — V3 BB",Assumptions!$A:$A,0)),0)</f>
        <v>0</v>
      </c>
      <c r="F47" s="40">
        <f ca="1">IFERROR(F39/INDEX(Assumptions!$B:$B,MATCH("Sats per Starship launch — V3 BB",Assumptions!$A:$A,0)),0)</f>
        <v>0</v>
      </c>
      <c r="G47" s="40">
        <f ca="1">IFERROR(G39/INDEX(Assumptions!$B:$B,MATCH("Sats per Starship launch — V3 BB",Assumptions!$A:$A,0)),0)</f>
        <v>0</v>
      </c>
      <c r="H47" s="40">
        <f ca="1">IFERROR(H39/INDEX(Assumptions!$B:$B,MATCH("Sats per Starship launch — V3 BB",Assumptions!$A:$A,0)),0)</f>
        <v>0</v>
      </c>
      <c r="I47" s="40">
        <f ca="1">IFERROR(I39/INDEX(Assumptions!$B:$B,MATCH("Sats per Starship launch — V3 BB",Assumptions!$A:$A,0)),0)</f>
        <v>0</v>
      </c>
      <c r="J47" s="40">
        <f ca="1">IFERROR(J39/INDEX(Assumptions!$B:$B,MATCH("Sats per Starship launch — V3 BB",Assumptions!$A:$A,0)),0)</f>
        <v>0</v>
      </c>
      <c r="K47" s="40">
        <f ca="1">IFERROR(K39/INDEX(Assumptions!$B:$B,MATCH("Sats per Starship launch — V3 BB",Assumptions!$A:$A,0)),0)</f>
        <v>0</v>
      </c>
      <c r="L47" s="40">
        <f ca="1">IFERROR(L39/INDEX(Assumptions!$B:$B,MATCH("Sats per Starship launch — V3 BB",Assumptions!$A:$A,0)),0)</f>
        <v>0</v>
      </c>
      <c r="M47" s="40">
        <f ca="1">IFERROR(M39/INDEX(Assumptions!$B:$B,MATCH("Sats per Starship launch — V3 BB",Assumptions!$A:$A,0)),0)</f>
        <v>0</v>
      </c>
      <c r="N47" s="40">
        <f ca="1">IFERROR(N39/INDEX(Assumptions!$B:$B,MATCH("Sats per Starship launch — V3 BB",Assumptions!$A:$A,0)),0)</f>
        <v>0</v>
      </c>
      <c r="O47" s="40">
        <f ca="1">IFERROR(O39/INDEX(Assumptions!$B:$B,MATCH("Sats per Starship launch — V3 BB",Assumptions!$A:$A,0)),0)</f>
        <v>0</v>
      </c>
      <c r="P47" s="40">
        <f ca="1">IFERROR(P39/INDEX(Assumptions!$B:$B,MATCH("Sats per Starship launch — V3 BB",Assumptions!$A:$A,0)),0)</f>
        <v>0</v>
      </c>
      <c r="Q47" s="40">
        <f ca="1">IFERROR(Q39/INDEX(Assumptions!$B:$B,MATCH("Sats per Starship launch — V3 BB",Assumptions!$A:$A,0)),0)</f>
        <v>0</v>
      </c>
      <c r="R47" s="40">
        <f ca="1">IFERROR(R39/INDEX(Assumptions!$B:$B,MATCH("Sats per Starship launch — V3 BB",Assumptions!$A:$A,0)),0)</f>
        <v>0</v>
      </c>
      <c r="S47" s="40">
        <f ca="1">IFERROR(S39/INDEX(Assumptions!$B:$B,MATCH("Sats per Starship launch — V3 BB",Assumptions!$A:$A,0)),0)</f>
        <v>0</v>
      </c>
      <c r="T47" s="40">
        <f ca="1">IFERROR(T39/INDEX(Assumptions!$B:$B,MATCH("Sats per Starship launch — V3 BB",Assumptions!$A:$A,0)),0)</f>
        <v>0</v>
      </c>
      <c r="U47" s="40">
        <f ca="1">IFERROR(U39/INDEX(Assumptions!$B:$B,MATCH("Sats per Starship launch — V3 BB",Assumptions!$A:$A,0)),0)</f>
        <v>0</v>
      </c>
      <c r="V47" s="40">
        <f ca="1">IFERROR(V39/INDEX(Assumptions!$B:$B,MATCH("Sats per Starship launch — V3 BB",Assumptions!$A:$A,0)),0)</f>
        <v>0</v>
      </c>
      <c r="W47" s="40">
        <f ca="1">IFERROR(W39/INDEX(Assumptions!$B:$B,MATCH("Sats per Starship launch — V3 BB",Assumptions!$A:$A,0)),0)</f>
        <v>0</v>
      </c>
      <c r="X47" s="40">
        <f ca="1">IFERROR(X39/INDEX(Assumptions!$B:$B,MATCH("Sats per Starship launch — V3 BB",Assumptions!$A:$A,0)),0)</f>
        <v>0</v>
      </c>
      <c r="Y47" s="40">
        <f ca="1">IFERROR(Y39/INDEX(Assumptions!$B:$B,MATCH("Sats per Starship launch — V3 BB",Assumptions!$A:$A,0)),0)</f>
        <v>0</v>
      </c>
      <c r="Z47" s="40">
        <f ca="1">IFERROR(Z39/INDEX(Assumptions!$B:$B,MATCH("Sats per Starship launch — V3 BB",Assumptions!$A:$A,0)),0)</f>
        <v>0</v>
      </c>
      <c r="AA47" s="40">
        <f ca="1">IFERROR(AA39/INDEX(Assumptions!$B:$B,MATCH("Sats per Starship launch — V3 BB",Assumptions!$A:$A,0)),0)</f>
        <v>0</v>
      </c>
      <c r="AB47" s="40">
        <f ca="1">IFERROR(AB39/INDEX(Assumptions!$B:$B,MATCH("Sats per Starship launch — V3 BB",Assumptions!$A:$A,0)),0)</f>
        <v>0</v>
      </c>
      <c r="AC47" s="40">
        <f ca="1">IFERROR(AC39/INDEX(Assumptions!$B:$B,MATCH("Sats per Starship launch — V3 BB",Assumptions!$A:$A,0)),0)</f>
        <v>0</v>
      </c>
    </row>
    <row r="48" spans="1:29" x14ac:dyDescent="0.2">
      <c r="A48" t="s">
        <v>844</v>
      </c>
      <c r="D48" s="40">
        <f ca="1">IFERROR(D41/INDEX(Assumptions!$B:$B,MATCH("Sats per Starship launch — V3 DTC",Assumptions!$A:$A,0)),0)</f>
        <v>0</v>
      </c>
      <c r="E48" s="40">
        <f ca="1">IFERROR(E41/INDEX(Assumptions!$B:$B,MATCH("Sats per Starship launch — V3 DTC",Assumptions!$A:$A,0)),0)</f>
        <v>0</v>
      </c>
      <c r="F48" s="40">
        <f ca="1">IFERROR(F41/INDEX(Assumptions!$B:$B,MATCH("Sats per Starship launch — V3 DTC",Assumptions!$A:$A,0)),0)</f>
        <v>0</v>
      </c>
      <c r="G48" s="40">
        <f ca="1">IFERROR(G41/INDEX(Assumptions!$B:$B,MATCH("Sats per Starship launch — V3 DTC",Assumptions!$A:$A,0)),0)</f>
        <v>0</v>
      </c>
      <c r="H48" s="40">
        <f ca="1">IFERROR(H41/INDEX(Assumptions!$B:$B,MATCH("Sats per Starship launch — V3 DTC",Assumptions!$A:$A,0)),0)</f>
        <v>0</v>
      </c>
      <c r="I48" s="40">
        <f ca="1">IFERROR(I41/INDEX(Assumptions!$B:$B,MATCH("Sats per Starship launch — V3 DTC",Assumptions!$A:$A,0)),0)</f>
        <v>0</v>
      </c>
      <c r="J48" s="40">
        <f ca="1">IFERROR(J41/INDEX(Assumptions!$B:$B,MATCH("Sats per Starship launch — V3 DTC",Assumptions!$A:$A,0)),0)</f>
        <v>0</v>
      </c>
      <c r="K48" s="40">
        <f ca="1">IFERROR(K41/INDEX(Assumptions!$B:$B,MATCH("Sats per Starship launch — V3 DTC",Assumptions!$A:$A,0)),0)</f>
        <v>0</v>
      </c>
      <c r="L48" s="40">
        <f ca="1">IFERROR(L41/INDEX(Assumptions!$B:$B,MATCH("Sats per Starship launch — V3 DTC",Assumptions!$A:$A,0)),0)</f>
        <v>0</v>
      </c>
      <c r="M48" s="40">
        <f ca="1">IFERROR(M41/INDEX(Assumptions!$B:$B,MATCH("Sats per Starship launch — V3 DTC",Assumptions!$A:$A,0)),0)</f>
        <v>0</v>
      </c>
      <c r="N48" s="40">
        <f ca="1">IFERROR(N41/INDEX(Assumptions!$B:$B,MATCH("Sats per Starship launch — V3 DTC",Assumptions!$A:$A,0)),0)</f>
        <v>0</v>
      </c>
      <c r="O48" s="40">
        <f ca="1">IFERROR(O41/INDEX(Assumptions!$B:$B,MATCH("Sats per Starship launch — V3 DTC",Assumptions!$A:$A,0)),0)</f>
        <v>0</v>
      </c>
      <c r="P48" s="40">
        <f ca="1">IFERROR(P41/INDEX(Assumptions!$B:$B,MATCH("Sats per Starship launch — V3 DTC",Assumptions!$A:$A,0)),0)</f>
        <v>0</v>
      </c>
      <c r="Q48" s="40">
        <f ca="1">IFERROR(Q41/INDEX(Assumptions!$B:$B,MATCH("Sats per Starship launch — V3 DTC",Assumptions!$A:$A,0)),0)</f>
        <v>0</v>
      </c>
      <c r="R48" s="40">
        <f ca="1">IFERROR(R41/INDEX(Assumptions!$B:$B,MATCH("Sats per Starship launch — V3 DTC",Assumptions!$A:$A,0)),0)</f>
        <v>0</v>
      </c>
      <c r="S48" s="40">
        <f ca="1">IFERROR(S41/INDEX(Assumptions!$B:$B,MATCH("Sats per Starship launch — V3 DTC",Assumptions!$A:$A,0)),0)</f>
        <v>0</v>
      </c>
      <c r="T48" s="40">
        <f ca="1">IFERROR(T41/INDEX(Assumptions!$B:$B,MATCH("Sats per Starship launch — V3 DTC",Assumptions!$A:$A,0)),0)</f>
        <v>0</v>
      </c>
      <c r="U48" s="40">
        <f ca="1">IFERROR(U41/INDEX(Assumptions!$B:$B,MATCH("Sats per Starship launch — V3 DTC",Assumptions!$A:$A,0)),0)</f>
        <v>0</v>
      </c>
      <c r="V48" s="40">
        <f ca="1">IFERROR(V41/INDEX(Assumptions!$B:$B,MATCH("Sats per Starship launch — V3 DTC",Assumptions!$A:$A,0)),0)</f>
        <v>0</v>
      </c>
      <c r="W48" s="40">
        <f ca="1">IFERROR(W41/INDEX(Assumptions!$B:$B,MATCH("Sats per Starship launch — V3 DTC",Assumptions!$A:$A,0)),0)</f>
        <v>0</v>
      </c>
      <c r="X48" s="40">
        <f ca="1">IFERROR(X41/INDEX(Assumptions!$B:$B,MATCH("Sats per Starship launch — V3 DTC",Assumptions!$A:$A,0)),0)</f>
        <v>0</v>
      </c>
      <c r="Y48" s="40">
        <f ca="1">IFERROR(Y41/INDEX(Assumptions!$B:$B,MATCH("Sats per Starship launch — V3 DTC",Assumptions!$A:$A,0)),0)</f>
        <v>0</v>
      </c>
      <c r="Z48" s="40">
        <f ca="1">IFERROR(Z41/INDEX(Assumptions!$B:$B,MATCH("Sats per Starship launch — V3 DTC",Assumptions!$A:$A,0)),0)</f>
        <v>0</v>
      </c>
      <c r="AA48" s="40">
        <f ca="1">IFERROR(AA41/INDEX(Assumptions!$B:$B,MATCH("Sats per Starship launch — V3 DTC",Assumptions!$A:$A,0)),0)</f>
        <v>0</v>
      </c>
      <c r="AB48" s="40">
        <f ca="1">IFERROR(AB41/INDEX(Assumptions!$B:$B,MATCH("Sats per Starship launch — V3 DTC",Assumptions!$A:$A,0)),0)</f>
        <v>0</v>
      </c>
      <c r="AC48" s="40">
        <f ca="1">IFERROR(AC41/INDEX(Assumptions!$B:$B,MATCH("Sats per Starship launch — V3 DTC",Assumptions!$A:$A,0)),0)</f>
        <v>0</v>
      </c>
    </row>
    <row r="49" spans="1:29" x14ac:dyDescent="0.2">
      <c r="A49" t="s">
        <v>845</v>
      </c>
      <c r="D49" s="15">
        <f ca="1">D39*INDEX(Assumptions!$B:$B,MATCH("V3 Mass (kg)",Assumptions!$A:$A,0))</f>
        <v>0</v>
      </c>
      <c r="E49" s="15">
        <f ca="1">E39*INDEX(Assumptions!$B:$B,MATCH("V3 Mass (kg)",Assumptions!$A:$A,0))</f>
        <v>0</v>
      </c>
      <c r="F49" s="15">
        <f ca="1">F39*INDEX(Assumptions!$B:$B,MATCH("V3 Mass (kg)",Assumptions!$A:$A,0))</f>
        <v>0</v>
      </c>
      <c r="G49" s="15">
        <f ca="1">G39*INDEX(Assumptions!$B:$B,MATCH("V3 Mass (kg)",Assumptions!$A:$A,0))</f>
        <v>0</v>
      </c>
      <c r="H49" s="15">
        <f ca="1">H39*INDEX(Assumptions!$B:$B,MATCH("V3 Mass (kg)",Assumptions!$A:$A,0))</f>
        <v>0</v>
      </c>
      <c r="I49" s="15">
        <f ca="1">I39*INDEX(Assumptions!$B:$B,MATCH("V3 Mass (kg)",Assumptions!$A:$A,0))</f>
        <v>0</v>
      </c>
      <c r="J49" s="15">
        <f ca="1">J39*INDEX(Assumptions!$B:$B,MATCH("V3 Mass (kg)",Assumptions!$A:$A,0))</f>
        <v>0</v>
      </c>
      <c r="K49" s="15">
        <f ca="1">K39*INDEX(Assumptions!$B:$B,MATCH("V3 Mass (kg)",Assumptions!$A:$A,0))</f>
        <v>0</v>
      </c>
      <c r="L49" s="15">
        <f ca="1">L39*INDEX(Assumptions!$B:$B,MATCH("V3 Mass (kg)",Assumptions!$A:$A,0))</f>
        <v>0</v>
      </c>
      <c r="M49" s="15">
        <f ca="1">M39*INDEX(Assumptions!$B:$B,MATCH("V3 Mass (kg)",Assumptions!$A:$A,0))</f>
        <v>0</v>
      </c>
      <c r="N49" s="15">
        <f ca="1">N39*INDEX(Assumptions!$B:$B,MATCH("V3 Mass (kg)",Assumptions!$A:$A,0))</f>
        <v>0</v>
      </c>
      <c r="O49" s="15">
        <f ca="1">O39*INDEX(Assumptions!$B:$B,MATCH("V3 Mass (kg)",Assumptions!$A:$A,0))</f>
        <v>0</v>
      </c>
      <c r="P49" s="15">
        <f ca="1">P39*INDEX(Assumptions!$B:$B,MATCH("V3 Mass (kg)",Assumptions!$A:$A,0))</f>
        <v>0</v>
      </c>
      <c r="Q49" s="15">
        <f ca="1">Q39*INDEX(Assumptions!$B:$B,MATCH("V3 Mass (kg)",Assumptions!$A:$A,0))</f>
        <v>0</v>
      </c>
      <c r="R49" s="15">
        <f ca="1">R39*INDEX(Assumptions!$B:$B,MATCH("V3 Mass (kg)",Assumptions!$A:$A,0))</f>
        <v>0</v>
      </c>
      <c r="S49" s="15">
        <f ca="1">S39*INDEX(Assumptions!$B:$B,MATCH("V3 Mass (kg)",Assumptions!$A:$A,0))</f>
        <v>0</v>
      </c>
      <c r="T49" s="15">
        <f ca="1">T39*INDEX(Assumptions!$B:$B,MATCH("V3 Mass (kg)",Assumptions!$A:$A,0))</f>
        <v>0</v>
      </c>
      <c r="U49" s="15">
        <f ca="1">U39*INDEX(Assumptions!$B:$B,MATCH("V3 Mass (kg)",Assumptions!$A:$A,0))</f>
        <v>0</v>
      </c>
      <c r="V49" s="15">
        <f ca="1">V39*INDEX(Assumptions!$B:$B,MATCH("V3 Mass (kg)",Assumptions!$A:$A,0))</f>
        <v>0</v>
      </c>
      <c r="W49" s="15">
        <f ca="1">W39*INDEX(Assumptions!$B:$B,MATCH("V3 Mass (kg)",Assumptions!$A:$A,0))</f>
        <v>0</v>
      </c>
      <c r="X49" s="15">
        <f ca="1">X39*INDEX(Assumptions!$B:$B,MATCH("V3 Mass (kg)",Assumptions!$A:$A,0))</f>
        <v>0</v>
      </c>
      <c r="Y49" s="15">
        <f ca="1">Y39*INDEX(Assumptions!$B:$B,MATCH("V3 Mass (kg)",Assumptions!$A:$A,0))</f>
        <v>0</v>
      </c>
      <c r="Z49" s="15">
        <f ca="1">Z39*INDEX(Assumptions!$B:$B,MATCH("V3 Mass (kg)",Assumptions!$A:$A,0))</f>
        <v>0</v>
      </c>
      <c r="AA49" s="15">
        <f ca="1">AA39*INDEX(Assumptions!$B:$B,MATCH("V3 Mass (kg)",Assumptions!$A:$A,0))</f>
        <v>0</v>
      </c>
      <c r="AB49" s="15">
        <f ca="1">AB39*INDEX(Assumptions!$B:$B,MATCH("V3 Mass (kg)",Assumptions!$A:$A,0))</f>
        <v>0</v>
      </c>
      <c r="AC49" s="15">
        <f ca="1">AC39*INDEX(Assumptions!$B:$B,MATCH("V3 Mass (kg)",Assumptions!$A:$A,0))</f>
        <v>0</v>
      </c>
    </row>
    <row r="50" spans="1:29" x14ac:dyDescent="0.2">
      <c r="A50" t="s">
        <v>846</v>
      </c>
      <c r="D50" s="15">
        <f ca="1">D41*INDEX(Assumptions!$B:$B,MATCH("V3 Mass (kg)",Assumptions!$A:$A,0))</f>
        <v>0</v>
      </c>
      <c r="E50" s="15">
        <f ca="1">E41*INDEX(Assumptions!$B:$B,MATCH("V3 Mass (kg)",Assumptions!$A:$A,0))</f>
        <v>0</v>
      </c>
      <c r="F50" s="15">
        <f ca="1">F41*INDEX(Assumptions!$B:$B,MATCH("V3 Mass (kg)",Assumptions!$A:$A,0))</f>
        <v>0</v>
      </c>
      <c r="G50" s="15">
        <f ca="1">G41*INDEX(Assumptions!$B:$B,MATCH("V3 Mass (kg)",Assumptions!$A:$A,0))</f>
        <v>0</v>
      </c>
      <c r="H50" s="15">
        <f ca="1">H41*INDEX(Assumptions!$B:$B,MATCH("V3 Mass (kg)",Assumptions!$A:$A,0))</f>
        <v>0</v>
      </c>
      <c r="I50" s="15">
        <f ca="1">I41*INDEX(Assumptions!$B:$B,MATCH("V3 Mass (kg)",Assumptions!$A:$A,0))</f>
        <v>0</v>
      </c>
      <c r="J50" s="15">
        <f ca="1">J41*INDEX(Assumptions!$B:$B,MATCH("V3 Mass (kg)",Assumptions!$A:$A,0))</f>
        <v>0</v>
      </c>
      <c r="K50" s="15">
        <f ca="1">K41*INDEX(Assumptions!$B:$B,MATCH("V3 Mass (kg)",Assumptions!$A:$A,0))</f>
        <v>0</v>
      </c>
      <c r="L50" s="15">
        <f ca="1">L41*INDEX(Assumptions!$B:$B,MATCH("V3 Mass (kg)",Assumptions!$A:$A,0))</f>
        <v>0</v>
      </c>
      <c r="M50" s="15">
        <f ca="1">M41*INDEX(Assumptions!$B:$B,MATCH("V3 Mass (kg)",Assumptions!$A:$A,0))</f>
        <v>0</v>
      </c>
      <c r="N50" s="15">
        <f ca="1">N41*INDEX(Assumptions!$B:$B,MATCH("V3 Mass (kg)",Assumptions!$A:$A,0))</f>
        <v>0</v>
      </c>
      <c r="O50" s="15">
        <f ca="1">O41*INDEX(Assumptions!$B:$B,MATCH("V3 Mass (kg)",Assumptions!$A:$A,0))</f>
        <v>0</v>
      </c>
      <c r="P50" s="15">
        <f ca="1">P41*INDEX(Assumptions!$B:$B,MATCH("V3 Mass (kg)",Assumptions!$A:$A,0))</f>
        <v>0</v>
      </c>
      <c r="Q50" s="15">
        <f ca="1">Q41*INDEX(Assumptions!$B:$B,MATCH("V3 Mass (kg)",Assumptions!$A:$A,0))</f>
        <v>0</v>
      </c>
      <c r="R50" s="15">
        <f ca="1">R41*INDEX(Assumptions!$B:$B,MATCH("V3 Mass (kg)",Assumptions!$A:$A,0))</f>
        <v>0</v>
      </c>
      <c r="S50" s="15">
        <f ca="1">S41*INDEX(Assumptions!$B:$B,MATCH("V3 Mass (kg)",Assumptions!$A:$A,0))</f>
        <v>0</v>
      </c>
      <c r="T50" s="15">
        <f ca="1">T41*INDEX(Assumptions!$B:$B,MATCH("V3 Mass (kg)",Assumptions!$A:$A,0))</f>
        <v>0</v>
      </c>
      <c r="U50" s="15">
        <f ca="1">U41*INDEX(Assumptions!$B:$B,MATCH("V3 Mass (kg)",Assumptions!$A:$A,0))</f>
        <v>0</v>
      </c>
      <c r="V50" s="15">
        <f ca="1">V41*INDEX(Assumptions!$B:$B,MATCH("V3 Mass (kg)",Assumptions!$A:$A,0))</f>
        <v>0</v>
      </c>
      <c r="W50" s="15">
        <f ca="1">W41*INDEX(Assumptions!$B:$B,MATCH("V3 Mass (kg)",Assumptions!$A:$A,0))</f>
        <v>0</v>
      </c>
      <c r="X50" s="15">
        <f ca="1">X41*INDEX(Assumptions!$B:$B,MATCH("V3 Mass (kg)",Assumptions!$A:$A,0))</f>
        <v>0</v>
      </c>
      <c r="Y50" s="15">
        <f ca="1">Y41*INDEX(Assumptions!$B:$B,MATCH("V3 Mass (kg)",Assumptions!$A:$A,0))</f>
        <v>0</v>
      </c>
      <c r="Z50" s="15">
        <f ca="1">Z41*INDEX(Assumptions!$B:$B,MATCH("V3 Mass (kg)",Assumptions!$A:$A,0))</f>
        <v>0</v>
      </c>
      <c r="AA50" s="15">
        <f ca="1">AA41*INDEX(Assumptions!$B:$B,MATCH("V3 Mass (kg)",Assumptions!$A:$A,0))</f>
        <v>0</v>
      </c>
      <c r="AB50" s="15">
        <f ca="1">AB41*INDEX(Assumptions!$B:$B,MATCH("V3 Mass (kg)",Assumptions!$A:$A,0))</f>
        <v>0</v>
      </c>
      <c r="AC50" s="15">
        <f ca="1">AC41*INDEX(Assumptions!$B:$B,MATCH("V3 Mass (kg)",Assumptions!$A:$A,0))</f>
        <v>0</v>
      </c>
    </row>
    <row r="52" spans="1:29" x14ac:dyDescent="0.2">
      <c r="A52" t="s">
        <v>847</v>
      </c>
      <c r="D52" s="40">
        <f>IF(D$5&lt;INDEX(Assumptions!$B:$B,MATCH("Satellite useful life — V2 Mini (years)",Assumptions!$A:$A,0)),INDEX(Assumptions!$B:$B,MATCH("V2 Mini BB Active Sats — end-2025",Assumptions!$A:$A,0))/INDEX(Assumptions!$B:$B,MATCH("Satellite useful life — V2 Mini (years)",Assumptions!$A:$A,0)),0)</f>
        <v>1049.2</v>
      </c>
      <c r="E52" s="40">
        <f>IF(E$5&lt;INDEX(Assumptions!$B:$B,MATCH("Satellite useful life — V2 Mini (years)",Assumptions!$A:$A,0)),INDEX(Assumptions!$B:$B,MATCH("V2 Mini BB Active Sats — end-2025",Assumptions!$A:$A,0))/INDEX(Assumptions!$B:$B,MATCH("Satellite useful life — V2 Mini (years)",Assumptions!$A:$A,0)),0)</f>
        <v>1049.2</v>
      </c>
      <c r="F52" s="40">
        <f>IF(F$5&lt;INDEX(Assumptions!$B:$B,MATCH("Satellite useful life — V2 Mini (years)",Assumptions!$A:$A,0)),INDEX(Assumptions!$B:$B,MATCH("V2 Mini BB Active Sats — end-2025",Assumptions!$A:$A,0))/INDEX(Assumptions!$B:$B,MATCH("Satellite useful life — V2 Mini (years)",Assumptions!$A:$A,0)),0)</f>
        <v>1049.2</v>
      </c>
      <c r="G52" s="40">
        <f>IF(G$5&lt;INDEX(Assumptions!$B:$B,MATCH("Satellite useful life — V2 Mini (years)",Assumptions!$A:$A,0)),INDEX(Assumptions!$B:$B,MATCH("V2 Mini BB Active Sats — end-2025",Assumptions!$A:$A,0))/INDEX(Assumptions!$B:$B,MATCH("Satellite useful life — V2 Mini (years)",Assumptions!$A:$A,0)),0)</f>
        <v>1049.2</v>
      </c>
      <c r="H52" s="40">
        <f>IF(H$5&lt;INDEX(Assumptions!$B:$B,MATCH("Satellite useful life — V2 Mini (years)",Assumptions!$A:$A,0)),INDEX(Assumptions!$B:$B,MATCH("V2 Mini BB Active Sats — end-2025",Assumptions!$A:$A,0))/INDEX(Assumptions!$B:$B,MATCH("Satellite useful life — V2 Mini (years)",Assumptions!$A:$A,0)),0)</f>
        <v>1049.2</v>
      </c>
      <c r="I52" s="40">
        <f>IF(I$5&lt;INDEX(Assumptions!$B:$B,MATCH("Satellite useful life — V2 Mini (years)",Assumptions!$A:$A,0)),INDEX(Assumptions!$B:$B,MATCH("V2 Mini BB Active Sats — end-2025",Assumptions!$A:$A,0))/INDEX(Assumptions!$B:$B,MATCH("Satellite useful life — V2 Mini (years)",Assumptions!$A:$A,0)),0)</f>
        <v>0</v>
      </c>
      <c r="J52" s="40">
        <f>IF(J$5&lt;INDEX(Assumptions!$B:$B,MATCH("Satellite useful life — V2 Mini (years)",Assumptions!$A:$A,0)),INDEX(Assumptions!$B:$B,MATCH("V2 Mini BB Active Sats — end-2025",Assumptions!$A:$A,0))/INDEX(Assumptions!$B:$B,MATCH("Satellite useful life — V2 Mini (years)",Assumptions!$A:$A,0)),0)</f>
        <v>0</v>
      </c>
      <c r="K52" s="40">
        <f>IF(K$5&lt;INDEX(Assumptions!$B:$B,MATCH("Satellite useful life — V2 Mini (years)",Assumptions!$A:$A,0)),INDEX(Assumptions!$B:$B,MATCH("V2 Mini BB Active Sats — end-2025",Assumptions!$A:$A,0))/INDEX(Assumptions!$B:$B,MATCH("Satellite useful life — V2 Mini (years)",Assumptions!$A:$A,0)),0)</f>
        <v>0</v>
      </c>
      <c r="L52" s="40">
        <f>IF(L$5&lt;INDEX(Assumptions!$B:$B,MATCH("Satellite useful life — V2 Mini (years)",Assumptions!$A:$A,0)),INDEX(Assumptions!$B:$B,MATCH("V2 Mini BB Active Sats — end-2025",Assumptions!$A:$A,0))/INDEX(Assumptions!$B:$B,MATCH("Satellite useful life — V2 Mini (years)",Assumptions!$A:$A,0)),0)</f>
        <v>0</v>
      </c>
      <c r="M52" s="40">
        <f>IF(M$5&lt;INDEX(Assumptions!$B:$B,MATCH("Satellite useful life — V2 Mini (years)",Assumptions!$A:$A,0)),INDEX(Assumptions!$B:$B,MATCH("V2 Mini BB Active Sats — end-2025",Assumptions!$A:$A,0))/INDEX(Assumptions!$B:$B,MATCH("Satellite useful life — V2 Mini (years)",Assumptions!$A:$A,0)),0)</f>
        <v>0</v>
      </c>
      <c r="N52" s="40">
        <f>IF(N$5&lt;INDEX(Assumptions!$B:$B,MATCH("Satellite useful life — V2 Mini (years)",Assumptions!$A:$A,0)),INDEX(Assumptions!$B:$B,MATCH("V2 Mini BB Active Sats — end-2025",Assumptions!$A:$A,0))/INDEX(Assumptions!$B:$B,MATCH("Satellite useful life — V2 Mini (years)",Assumptions!$A:$A,0)),0)</f>
        <v>0</v>
      </c>
      <c r="O52" s="40">
        <f>IF(O$5&lt;INDEX(Assumptions!$B:$B,MATCH("Satellite useful life — V2 Mini (years)",Assumptions!$A:$A,0)),INDEX(Assumptions!$B:$B,MATCH("V2 Mini BB Active Sats — end-2025",Assumptions!$A:$A,0))/INDEX(Assumptions!$B:$B,MATCH("Satellite useful life — V2 Mini (years)",Assumptions!$A:$A,0)),0)</f>
        <v>0</v>
      </c>
      <c r="P52" s="40">
        <f>IF(P$5&lt;INDEX(Assumptions!$B:$B,MATCH("Satellite useful life — V2 Mini (years)",Assumptions!$A:$A,0)),INDEX(Assumptions!$B:$B,MATCH("V2 Mini BB Active Sats — end-2025",Assumptions!$A:$A,0))/INDEX(Assumptions!$B:$B,MATCH("Satellite useful life — V2 Mini (years)",Assumptions!$A:$A,0)),0)</f>
        <v>0</v>
      </c>
      <c r="Q52" s="40">
        <f>IF(Q$5&lt;INDEX(Assumptions!$B:$B,MATCH("Satellite useful life — V2 Mini (years)",Assumptions!$A:$A,0)),INDEX(Assumptions!$B:$B,MATCH("V2 Mini BB Active Sats — end-2025",Assumptions!$A:$A,0))/INDEX(Assumptions!$B:$B,MATCH("Satellite useful life — V2 Mini (years)",Assumptions!$A:$A,0)),0)</f>
        <v>0</v>
      </c>
      <c r="R52" s="40">
        <f>IF(R$5&lt;INDEX(Assumptions!$B:$B,MATCH("Satellite useful life — V2 Mini (years)",Assumptions!$A:$A,0)),INDEX(Assumptions!$B:$B,MATCH("V2 Mini BB Active Sats — end-2025",Assumptions!$A:$A,0))/INDEX(Assumptions!$B:$B,MATCH("Satellite useful life — V2 Mini (years)",Assumptions!$A:$A,0)),0)</f>
        <v>0</v>
      </c>
      <c r="S52" s="40">
        <f>IF(S$5&lt;INDEX(Assumptions!$B:$B,MATCH("Satellite useful life — V2 Mini (years)",Assumptions!$A:$A,0)),INDEX(Assumptions!$B:$B,MATCH("V2 Mini BB Active Sats — end-2025",Assumptions!$A:$A,0))/INDEX(Assumptions!$B:$B,MATCH("Satellite useful life — V2 Mini (years)",Assumptions!$A:$A,0)),0)</f>
        <v>0</v>
      </c>
      <c r="T52" s="40">
        <f>IF(T$5&lt;INDEX(Assumptions!$B:$B,MATCH("Satellite useful life — V2 Mini (years)",Assumptions!$A:$A,0)),INDEX(Assumptions!$B:$B,MATCH("V2 Mini BB Active Sats — end-2025",Assumptions!$A:$A,0))/INDEX(Assumptions!$B:$B,MATCH("Satellite useful life — V2 Mini (years)",Assumptions!$A:$A,0)),0)</f>
        <v>0</v>
      </c>
      <c r="U52" s="40">
        <f>IF(U$5&lt;INDEX(Assumptions!$B:$B,MATCH("Satellite useful life — V2 Mini (years)",Assumptions!$A:$A,0)),INDEX(Assumptions!$B:$B,MATCH("V2 Mini BB Active Sats — end-2025",Assumptions!$A:$A,0))/INDEX(Assumptions!$B:$B,MATCH("Satellite useful life — V2 Mini (years)",Assumptions!$A:$A,0)),0)</f>
        <v>0</v>
      </c>
      <c r="V52" s="40">
        <f>IF(V$5&lt;INDEX(Assumptions!$B:$B,MATCH("Satellite useful life — V2 Mini (years)",Assumptions!$A:$A,0)),INDEX(Assumptions!$B:$B,MATCH("V2 Mini BB Active Sats — end-2025",Assumptions!$A:$A,0))/INDEX(Assumptions!$B:$B,MATCH("Satellite useful life — V2 Mini (years)",Assumptions!$A:$A,0)),0)</f>
        <v>0</v>
      </c>
      <c r="W52" s="40">
        <f>IF(W$5&lt;INDEX(Assumptions!$B:$B,MATCH("Satellite useful life — V2 Mini (years)",Assumptions!$A:$A,0)),INDEX(Assumptions!$B:$B,MATCH("V2 Mini BB Active Sats — end-2025",Assumptions!$A:$A,0))/INDEX(Assumptions!$B:$B,MATCH("Satellite useful life — V2 Mini (years)",Assumptions!$A:$A,0)),0)</f>
        <v>0</v>
      </c>
      <c r="X52" s="40">
        <f>IF(X$5&lt;INDEX(Assumptions!$B:$B,MATCH("Satellite useful life — V2 Mini (years)",Assumptions!$A:$A,0)),INDEX(Assumptions!$B:$B,MATCH("V2 Mini BB Active Sats — end-2025",Assumptions!$A:$A,0))/INDEX(Assumptions!$B:$B,MATCH("Satellite useful life — V2 Mini (years)",Assumptions!$A:$A,0)),0)</f>
        <v>0</v>
      </c>
      <c r="Y52" s="40">
        <f>IF(Y$5&lt;INDEX(Assumptions!$B:$B,MATCH("Satellite useful life — V2 Mini (years)",Assumptions!$A:$A,0)),INDEX(Assumptions!$B:$B,MATCH("V2 Mini BB Active Sats — end-2025",Assumptions!$A:$A,0))/INDEX(Assumptions!$B:$B,MATCH("Satellite useful life — V2 Mini (years)",Assumptions!$A:$A,0)),0)</f>
        <v>0</v>
      </c>
      <c r="Z52" s="40">
        <f>IF(Z$5&lt;INDEX(Assumptions!$B:$B,MATCH("Satellite useful life — V2 Mini (years)",Assumptions!$A:$A,0)),INDEX(Assumptions!$B:$B,MATCH("V2 Mini BB Active Sats — end-2025",Assumptions!$A:$A,0))/INDEX(Assumptions!$B:$B,MATCH("Satellite useful life — V2 Mini (years)",Assumptions!$A:$A,0)),0)</f>
        <v>0</v>
      </c>
      <c r="AA52" s="40">
        <f>IF(AA$5&lt;INDEX(Assumptions!$B:$B,MATCH("Satellite useful life — V2 Mini (years)",Assumptions!$A:$A,0)),INDEX(Assumptions!$B:$B,MATCH("V2 Mini BB Active Sats — end-2025",Assumptions!$A:$A,0))/INDEX(Assumptions!$B:$B,MATCH("Satellite useful life — V2 Mini (years)",Assumptions!$A:$A,0)),0)</f>
        <v>0</v>
      </c>
      <c r="AB52" s="40">
        <f>IF(AB$5&lt;INDEX(Assumptions!$B:$B,MATCH("Satellite useful life — V2 Mini (years)",Assumptions!$A:$A,0)),INDEX(Assumptions!$B:$B,MATCH("V2 Mini BB Active Sats — end-2025",Assumptions!$A:$A,0))/INDEX(Assumptions!$B:$B,MATCH("Satellite useful life — V2 Mini (years)",Assumptions!$A:$A,0)),0)</f>
        <v>0</v>
      </c>
      <c r="AC52" s="40">
        <f>IF(AC$5&lt;INDEX(Assumptions!$B:$B,MATCH("Satellite useful life — V2 Mini (years)",Assumptions!$A:$A,0)),INDEX(Assumptions!$B:$B,MATCH("V2 Mini BB Active Sats — end-2025",Assumptions!$A:$A,0))/INDEX(Assumptions!$B:$B,MATCH("Satellite useful life — V2 Mini (years)",Assumptions!$A:$A,0)),0)</f>
        <v>0</v>
      </c>
    </row>
    <row r="53" spans="1:29" x14ac:dyDescent="0.2">
      <c r="A53" t="s">
        <v>848</v>
      </c>
      <c r="D53" s="40">
        <f>IF(D$5&lt;INDEX(Assumptions!$B:$B,MATCH("Satellite useful life — V2 Mini (years)",Assumptions!$A:$A,0)),INDEX(Assumptions!$B:$B,MATCH("V2 Mini DTC Active Sats — end-2025",Assumptions!$A:$A,0))/INDEX(Assumptions!$B:$B,MATCH("Satellite useful life — V2 Mini (years)",Assumptions!$A:$A,0)),0)</f>
        <v>130</v>
      </c>
      <c r="E53" s="40">
        <f>IF(E$5&lt;INDEX(Assumptions!$B:$B,MATCH("Satellite useful life — V2 Mini (years)",Assumptions!$A:$A,0)),INDEX(Assumptions!$B:$B,MATCH("V2 Mini DTC Active Sats — end-2025",Assumptions!$A:$A,0))/INDEX(Assumptions!$B:$B,MATCH("Satellite useful life — V2 Mini (years)",Assumptions!$A:$A,0)),0)</f>
        <v>130</v>
      </c>
      <c r="F53" s="40">
        <f>IF(F$5&lt;INDEX(Assumptions!$B:$B,MATCH("Satellite useful life — V2 Mini (years)",Assumptions!$A:$A,0)),INDEX(Assumptions!$B:$B,MATCH("V2 Mini DTC Active Sats — end-2025",Assumptions!$A:$A,0))/INDEX(Assumptions!$B:$B,MATCH("Satellite useful life — V2 Mini (years)",Assumptions!$A:$A,0)),0)</f>
        <v>130</v>
      </c>
      <c r="G53" s="40">
        <f>IF(G$5&lt;INDEX(Assumptions!$B:$B,MATCH("Satellite useful life — V2 Mini (years)",Assumptions!$A:$A,0)),INDEX(Assumptions!$B:$B,MATCH("V2 Mini DTC Active Sats — end-2025",Assumptions!$A:$A,0))/INDEX(Assumptions!$B:$B,MATCH("Satellite useful life — V2 Mini (years)",Assumptions!$A:$A,0)),0)</f>
        <v>130</v>
      </c>
      <c r="H53" s="40">
        <f>IF(H$5&lt;INDEX(Assumptions!$B:$B,MATCH("Satellite useful life — V2 Mini (years)",Assumptions!$A:$A,0)),INDEX(Assumptions!$B:$B,MATCH("V2 Mini DTC Active Sats — end-2025",Assumptions!$A:$A,0))/INDEX(Assumptions!$B:$B,MATCH("Satellite useful life — V2 Mini (years)",Assumptions!$A:$A,0)),0)</f>
        <v>130</v>
      </c>
      <c r="I53" s="40">
        <f>IF(I$5&lt;INDEX(Assumptions!$B:$B,MATCH("Satellite useful life — V2 Mini (years)",Assumptions!$A:$A,0)),INDEX(Assumptions!$B:$B,MATCH("V2 Mini DTC Active Sats — end-2025",Assumptions!$A:$A,0))/INDEX(Assumptions!$B:$B,MATCH("Satellite useful life — V2 Mini (years)",Assumptions!$A:$A,0)),0)</f>
        <v>0</v>
      </c>
      <c r="J53" s="40">
        <f>IF(J$5&lt;INDEX(Assumptions!$B:$B,MATCH("Satellite useful life — V2 Mini (years)",Assumptions!$A:$A,0)),INDEX(Assumptions!$B:$B,MATCH("V2 Mini DTC Active Sats — end-2025",Assumptions!$A:$A,0))/INDEX(Assumptions!$B:$B,MATCH("Satellite useful life — V2 Mini (years)",Assumptions!$A:$A,0)),0)</f>
        <v>0</v>
      </c>
      <c r="K53" s="40">
        <f>IF(K$5&lt;INDEX(Assumptions!$B:$B,MATCH("Satellite useful life — V2 Mini (years)",Assumptions!$A:$A,0)),INDEX(Assumptions!$B:$B,MATCH("V2 Mini DTC Active Sats — end-2025",Assumptions!$A:$A,0))/INDEX(Assumptions!$B:$B,MATCH("Satellite useful life — V2 Mini (years)",Assumptions!$A:$A,0)),0)</f>
        <v>0</v>
      </c>
      <c r="L53" s="40">
        <f>IF(L$5&lt;INDEX(Assumptions!$B:$B,MATCH("Satellite useful life — V2 Mini (years)",Assumptions!$A:$A,0)),INDEX(Assumptions!$B:$B,MATCH("V2 Mini DTC Active Sats — end-2025",Assumptions!$A:$A,0))/INDEX(Assumptions!$B:$B,MATCH("Satellite useful life — V2 Mini (years)",Assumptions!$A:$A,0)),0)</f>
        <v>0</v>
      </c>
      <c r="M53" s="40">
        <f>IF(M$5&lt;INDEX(Assumptions!$B:$B,MATCH("Satellite useful life — V2 Mini (years)",Assumptions!$A:$A,0)),INDEX(Assumptions!$B:$B,MATCH("V2 Mini DTC Active Sats — end-2025",Assumptions!$A:$A,0))/INDEX(Assumptions!$B:$B,MATCH("Satellite useful life — V2 Mini (years)",Assumptions!$A:$A,0)),0)</f>
        <v>0</v>
      </c>
      <c r="N53" s="40">
        <f>IF(N$5&lt;INDEX(Assumptions!$B:$B,MATCH("Satellite useful life — V2 Mini (years)",Assumptions!$A:$A,0)),INDEX(Assumptions!$B:$B,MATCH("V2 Mini DTC Active Sats — end-2025",Assumptions!$A:$A,0))/INDEX(Assumptions!$B:$B,MATCH("Satellite useful life — V2 Mini (years)",Assumptions!$A:$A,0)),0)</f>
        <v>0</v>
      </c>
      <c r="O53" s="40">
        <f>IF(O$5&lt;INDEX(Assumptions!$B:$B,MATCH("Satellite useful life — V2 Mini (years)",Assumptions!$A:$A,0)),INDEX(Assumptions!$B:$B,MATCH("V2 Mini DTC Active Sats — end-2025",Assumptions!$A:$A,0))/INDEX(Assumptions!$B:$B,MATCH("Satellite useful life — V2 Mini (years)",Assumptions!$A:$A,0)),0)</f>
        <v>0</v>
      </c>
      <c r="P53" s="40">
        <f>IF(P$5&lt;INDEX(Assumptions!$B:$B,MATCH("Satellite useful life — V2 Mini (years)",Assumptions!$A:$A,0)),INDEX(Assumptions!$B:$B,MATCH("V2 Mini DTC Active Sats — end-2025",Assumptions!$A:$A,0))/INDEX(Assumptions!$B:$B,MATCH("Satellite useful life — V2 Mini (years)",Assumptions!$A:$A,0)),0)</f>
        <v>0</v>
      </c>
      <c r="Q53" s="40">
        <f>IF(Q$5&lt;INDEX(Assumptions!$B:$B,MATCH("Satellite useful life — V2 Mini (years)",Assumptions!$A:$A,0)),INDEX(Assumptions!$B:$B,MATCH("V2 Mini DTC Active Sats — end-2025",Assumptions!$A:$A,0))/INDEX(Assumptions!$B:$B,MATCH("Satellite useful life — V2 Mini (years)",Assumptions!$A:$A,0)),0)</f>
        <v>0</v>
      </c>
      <c r="R53" s="40">
        <f>IF(R$5&lt;INDEX(Assumptions!$B:$B,MATCH("Satellite useful life — V2 Mini (years)",Assumptions!$A:$A,0)),INDEX(Assumptions!$B:$B,MATCH("V2 Mini DTC Active Sats — end-2025",Assumptions!$A:$A,0))/INDEX(Assumptions!$B:$B,MATCH("Satellite useful life — V2 Mini (years)",Assumptions!$A:$A,0)),0)</f>
        <v>0</v>
      </c>
      <c r="S53" s="40">
        <f>IF(S$5&lt;INDEX(Assumptions!$B:$B,MATCH("Satellite useful life — V2 Mini (years)",Assumptions!$A:$A,0)),INDEX(Assumptions!$B:$B,MATCH("V2 Mini DTC Active Sats — end-2025",Assumptions!$A:$A,0))/INDEX(Assumptions!$B:$B,MATCH("Satellite useful life — V2 Mini (years)",Assumptions!$A:$A,0)),0)</f>
        <v>0</v>
      </c>
      <c r="T53" s="40">
        <f>IF(T$5&lt;INDEX(Assumptions!$B:$B,MATCH("Satellite useful life — V2 Mini (years)",Assumptions!$A:$A,0)),INDEX(Assumptions!$B:$B,MATCH("V2 Mini DTC Active Sats — end-2025",Assumptions!$A:$A,0))/INDEX(Assumptions!$B:$B,MATCH("Satellite useful life — V2 Mini (years)",Assumptions!$A:$A,0)),0)</f>
        <v>0</v>
      </c>
      <c r="U53" s="40">
        <f>IF(U$5&lt;INDEX(Assumptions!$B:$B,MATCH("Satellite useful life — V2 Mini (years)",Assumptions!$A:$A,0)),INDEX(Assumptions!$B:$B,MATCH("V2 Mini DTC Active Sats — end-2025",Assumptions!$A:$A,0))/INDEX(Assumptions!$B:$B,MATCH("Satellite useful life — V2 Mini (years)",Assumptions!$A:$A,0)),0)</f>
        <v>0</v>
      </c>
      <c r="V53" s="40">
        <f>IF(V$5&lt;INDEX(Assumptions!$B:$B,MATCH("Satellite useful life — V2 Mini (years)",Assumptions!$A:$A,0)),INDEX(Assumptions!$B:$B,MATCH("V2 Mini DTC Active Sats — end-2025",Assumptions!$A:$A,0))/INDEX(Assumptions!$B:$B,MATCH("Satellite useful life — V2 Mini (years)",Assumptions!$A:$A,0)),0)</f>
        <v>0</v>
      </c>
      <c r="W53" s="40">
        <f>IF(W$5&lt;INDEX(Assumptions!$B:$B,MATCH("Satellite useful life — V2 Mini (years)",Assumptions!$A:$A,0)),INDEX(Assumptions!$B:$B,MATCH("V2 Mini DTC Active Sats — end-2025",Assumptions!$A:$A,0))/INDEX(Assumptions!$B:$B,MATCH("Satellite useful life — V2 Mini (years)",Assumptions!$A:$A,0)),0)</f>
        <v>0</v>
      </c>
      <c r="X53" s="40">
        <f>IF(X$5&lt;INDEX(Assumptions!$B:$B,MATCH("Satellite useful life — V2 Mini (years)",Assumptions!$A:$A,0)),INDEX(Assumptions!$B:$B,MATCH("V2 Mini DTC Active Sats — end-2025",Assumptions!$A:$A,0))/INDEX(Assumptions!$B:$B,MATCH("Satellite useful life — V2 Mini (years)",Assumptions!$A:$A,0)),0)</f>
        <v>0</v>
      </c>
      <c r="Y53" s="40">
        <f>IF(Y$5&lt;INDEX(Assumptions!$B:$B,MATCH("Satellite useful life — V2 Mini (years)",Assumptions!$A:$A,0)),INDEX(Assumptions!$B:$B,MATCH("V2 Mini DTC Active Sats — end-2025",Assumptions!$A:$A,0))/INDEX(Assumptions!$B:$B,MATCH("Satellite useful life — V2 Mini (years)",Assumptions!$A:$A,0)),0)</f>
        <v>0</v>
      </c>
      <c r="Z53" s="40">
        <f>IF(Z$5&lt;INDEX(Assumptions!$B:$B,MATCH("Satellite useful life — V2 Mini (years)",Assumptions!$A:$A,0)),INDEX(Assumptions!$B:$B,MATCH("V2 Mini DTC Active Sats — end-2025",Assumptions!$A:$A,0))/INDEX(Assumptions!$B:$B,MATCH("Satellite useful life — V2 Mini (years)",Assumptions!$A:$A,0)),0)</f>
        <v>0</v>
      </c>
      <c r="AA53" s="40">
        <f>IF(AA$5&lt;INDEX(Assumptions!$B:$B,MATCH("Satellite useful life — V2 Mini (years)",Assumptions!$A:$A,0)),INDEX(Assumptions!$B:$B,MATCH("V2 Mini DTC Active Sats — end-2025",Assumptions!$A:$A,0))/INDEX(Assumptions!$B:$B,MATCH("Satellite useful life — V2 Mini (years)",Assumptions!$A:$A,0)),0)</f>
        <v>0</v>
      </c>
      <c r="AB53" s="40">
        <f>IF(AB$5&lt;INDEX(Assumptions!$B:$B,MATCH("Satellite useful life — V2 Mini (years)",Assumptions!$A:$A,0)),INDEX(Assumptions!$B:$B,MATCH("V2 Mini DTC Active Sats — end-2025",Assumptions!$A:$A,0))/INDEX(Assumptions!$B:$B,MATCH("Satellite useful life — V2 Mini (years)",Assumptions!$A:$A,0)),0)</f>
        <v>0</v>
      </c>
      <c r="AC53" s="40">
        <f>IF(AC$5&lt;INDEX(Assumptions!$B:$B,MATCH("Satellite useful life — V2 Mini (years)",Assumptions!$A:$A,0)),INDEX(Assumptions!$B:$B,MATCH("V2 Mini DTC Active Sats — end-2025",Assumptions!$A:$A,0))/INDEX(Assumptions!$B:$B,MATCH("Satellite useful life — V2 Mini (years)",Assumptions!$A:$A,0)),0)</f>
        <v>0</v>
      </c>
    </row>
    <row r="54" spans="1:29" x14ac:dyDescent="0.2">
      <c r="A54" t="s">
        <v>849</v>
      </c>
      <c r="D54" s="15" cm="1">
        <f t="array" aca="1" ref="D54" ca="1">IF(D$5+1-INDEX(Assumptions!$B:$B,MATCH("Satellite useful life — V2 Mini (years)",Assumptions!$A:$A,0))&lt;1,0,IFERROR(INDEX($D33:$AC33,1,D$5+1-INDEX(Assumptions!$B:$B,MATCH("Satellite useful life — V2 Mini (years)",Assumptions!$A:$A,0))),0))</f>
        <v>0</v>
      </c>
      <c r="E54" s="15" cm="1">
        <f t="array" aca="1" ref="E54" ca="1">IF(E$5+1-INDEX(Assumptions!$B:$B,MATCH("Satellite useful life — V2 Mini (years)",Assumptions!$A:$A,0))&lt;1,0,IFERROR(INDEX($D33:$AC33,1,E$5+1-INDEX(Assumptions!$B:$B,MATCH("Satellite useful life — V2 Mini (years)",Assumptions!$A:$A,0))),0))</f>
        <v>0</v>
      </c>
      <c r="F54" s="15" cm="1">
        <f t="array" aca="1" ref="F54" ca="1">IF(F$5+1-INDEX(Assumptions!$B:$B,MATCH("Satellite useful life — V2 Mini (years)",Assumptions!$A:$A,0))&lt;1,0,IFERROR(INDEX($D33:$AC33,1,F$5+1-INDEX(Assumptions!$B:$B,MATCH("Satellite useful life — V2 Mini (years)",Assumptions!$A:$A,0))),0))</f>
        <v>0</v>
      </c>
      <c r="G54" s="15" cm="1">
        <f t="array" aca="1" ref="G54" ca="1">IF(G$5+1-INDEX(Assumptions!$B:$B,MATCH("Satellite useful life — V2 Mini (years)",Assumptions!$A:$A,0))&lt;1,0,IFERROR(INDEX($D33:$AC33,1,G$5+1-INDEX(Assumptions!$B:$B,MATCH("Satellite useful life — V2 Mini (years)",Assumptions!$A:$A,0))),0))</f>
        <v>0</v>
      </c>
      <c r="H54" s="15" cm="1">
        <f t="array" aca="1" ref="H54" ca="1">IF(H$5+1-INDEX(Assumptions!$B:$B,MATCH("Satellite useful life — V2 Mini (years)",Assumptions!$A:$A,0))&lt;1,0,IFERROR(INDEX($D33:$AC33,1,H$5+1-INDEX(Assumptions!$B:$B,MATCH("Satellite useful life — V2 Mini (years)",Assumptions!$A:$A,0))),0))</f>
        <v>0</v>
      </c>
      <c r="I54" s="15" cm="1">
        <f t="array" aca="1" ref="I54" ca="1">IF(I$5+1-INDEX(Assumptions!$B:$B,MATCH("Satellite useful life — V2 Mini (years)",Assumptions!$A:$A,0))&lt;1,0,IFERROR(INDEX($D33:$AC33,1,I$5+1-INDEX(Assumptions!$B:$B,MATCH("Satellite useful life — V2 Mini (years)",Assumptions!$A:$A,0))),0))</f>
        <v>2987</v>
      </c>
      <c r="J54" s="15" cm="1">
        <f t="array" aca="1" ref="J54" ca="1">IF(J$5+1-INDEX(Assumptions!$B:$B,MATCH("Satellite useful life — V2 Mini (years)",Assumptions!$A:$A,0))&lt;1,0,IFERROR(INDEX($D33:$AC33,1,J$5+1-INDEX(Assumptions!$B:$B,MATCH("Satellite useful life — V2 Mini (years)",Assumptions!$A:$A,0))),0))</f>
        <v>0</v>
      </c>
      <c r="K54" s="15" cm="1">
        <f t="array" aca="1" ref="K54" ca="1">IF(K$5+1-INDEX(Assumptions!$B:$B,MATCH("Satellite useful life — V2 Mini (years)",Assumptions!$A:$A,0))&lt;1,0,IFERROR(INDEX($D33:$AC33,1,K$5+1-INDEX(Assumptions!$B:$B,MATCH("Satellite useful life — V2 Mini (years)",Assumptions!$A:$A,0))),0))</f>
        <v>0</v>
      </c>
      <c r="L54" s="15" cm="1">
        <f t="array" aca="1" ref="L54" ca="1">IF(L$5+1-INDEX(Assumptions!$B:$B,MATCH("Satellite useful life — V2 Mini (years)",Assumptions!$A:$A,0))&lt;1,0,IFERROR(INDEX($D33:$AC33,1,L$5+1-INDEX(Assumptions!$B:$B,MATCH("Satellite useful life — V2 Mini (years)",Assumptions!$A:$A,0))),0))</f>
        <v>0</v>
      </c>
      <c r="M54" s="15" cm="1">
        <f t="array" aca="1" ref="M54" ca="1">IF(M$5+1-INDEX(Assumptions!$B:$B,MATCH("Satellite useful life — V2 Mini (years)",Assumptions!$A:$A,0))&lt;1,0,IFERROR(INDEX($D33:$AC33,1,M$5+1-INDEX(Assumptions!$B:$B,MATCH("Satellite useful life — V2 Mini (years)",Assumptions!$A:$A,0))),0))</f>
        <v>0</v>
      </c>
      <c r="N54" s="15" cm="1">
        <f t="array" aca="1" ref="N54" ca="1">IF(N$5+1-INDEX(Assumptions!$B:$B,MATCH("Satellite useful life — V2 Mini (years)",Assumptions!$A:$A,0))&lt;1,0,IFERROR(INDEX($D33:$AC33,1,N$5+1-INDEX(Assumptions!$B:$B,MATCH("Satellite useful life — V2 Mini (years)",Assumptions!$A:$A,0))),0))</f>
        <v>0</v>
      </c>
      <c r="O54" s="15" cm="1">
        <f t="array" aca="1" ref="O54" ca="1">IF(O$5+1-INDEX(Assumptions!$B:$B,MATCH("Satellite useful life — V2 Mini (years)",Assumptions!$A:$A,0))&lt;1,0,IFERROR(INDEX($D33:$AC33,1,O$5+1-INDEX(Assumptions!$B:$B,MATCH("Satellite useful life — V2 Mini (years)",Assumptions!$A:$A,0))),0))</f>
        <v>0</v>
      </c>
      <c r="P54" s="15" cm="1">
        <f t="array" aca="1" ref="P54" ca="1">IF(P$5+1-INDEX(Assumptions!$B:$B,MATCH("Satellite useful life — V2 Mini (years)",Assumptions!$A:$A,0))&lt;1,0,IFERROR(INDEX($D33:$AC33,1,P$5+1-INDEX(Assumptions!$B:$B,MATCH("Satellite useful life — V2 Mini (years)",Assumptions!$A:$A,0))),0))</f>
        <v>0</v>
      </c>
      <c r="Q54" s="15" cm="1">
        <f t="array" aca="1" ref="Q54" ca="1">IF(Q$5+1-INDEX(Assumptions!$B:$B,MATCH("Satellite useful life — V2 Mini (years)",Assumptions!$A:$A,0))&lt;1,0,IFERROR(INDEX($D33:$AC33,1,Q$5+1-INDEX(Assumptions!$B:$B,MATCH("Satellite useful life — V2 Mini (years)",Assumptions!$A:$A,0))),0))</f>
        <v>0</v>
      </c>
      <c r="R54" s="15" cm="1">
        <f t="array" aca="1" ref="R54" ca="1">IF(R$5+1-INDEX(Assumptions!$B:$B,MATCH("Satellite useful life — V2 Mini (years)",Assumptions!$A:$A,0))&lt;1,0,IFERROR(INDEX($D33:$AC33,1,R$5+1-INDEX(Assumptions!$B:$B,MATCH("Satellite useful life — V2 Mini (years)",Assumptions!$A:$A,0))),0))</f>
        <v>0</v>
      </c>
      <c r="S54" s="15" cm="1">
        <f t="array" aca="1" ref="S54" ca="1">IF(S$5+1-INDEX(Assumptions!$B:$B,MATCH("Satellite useful life — V2 Mini (years)",Assumptions!$A:$A,0))&lt;1,0,IFERROR(INDEX($D33:$AC33,1,S$5+1-INDEX(Assumptions!$B:$B,MATCH("Satellite useful life — V2 Mini (years)",Assumptions!$A:$A,0))),0))</f>
        <v>0</v>
      </c>
      <c r="T54" s="15" cm="1">
        <f t="array" aca="1" ref="T54" ca="1">IF(T$5+1-INDEX(Assumptions!$B:$B,MATCH("Satellite useful life — V2 Mini (years)",Assumptions!$A:$A,0))&lt;1,0,IFERROR(INDEX($D33:$AC33,1,T$5+1-INDEX(Assumptions!$B:$B,MATCH("Satellite useful life — V2 Mini (years)",Assumptions!$A:$A,0))),0))</f>
        <v>0</v>
      </c>
      <c r="U54" s="15" cm="1">
        <f t="array" aca="1" ref="U54" ca="1">IF(U$5+1-INDEX(Assumptions!$B:$B,MATCH("Satellite useful life — V2 Mini (years)",Assumptions!$A:$A,0))&lt;1,0,IFERROR(INDEX($D33:$AC33,1,U$5+1-INDEX(Assumptions!$B:$B,MATCH("Satellite useful life — V2 Mini (years)",Assumptions!$A:$A,0))),0))</f>
        <v>0</v>
      </c>
      <c r="V54" s="15" cm="1">
        <f t="array" aca="1" ref="V54" ca="1">IF(V$5+1-INDEX(Assumptions!$B:$B,MATCH("Satellite useful life — V2 Mini (years)",Assumptions!$A:$A,0))&lt;1,0,IFERROR(INDEX($D33:$AC33,1,V$5+1-INDEX(Assumptions!$B:$B,MATCH("Satellite useful life — V2 Mini (years)",Assumptions!$A:$A,0))),0))</f>
        <v>0</v>
      </c>
      <c r="W54" s="15" cm="1">
        <f t="array" aca="1" ref="W54" ca="1">IF(W$5+1-INDEX(Assumptions!$B:$B,MATCH("Satellite useful life — V2 Mini (years)",Assumptions!$A:$A,0))&lt;1,0,IFERROR(INDEX($D33:$AC33,1,W$5+1-INDEX(Assumptions!$B:$B,MATCH("Satellite useful life — V2 Mini (years)",Assumptions!$A:$A,0))),0))</f>
        <v>0</v>
      </c>
      <c r="X54" s="15" cm="1">
        <f t="array" aca="1" ref="X54" ca="1">IF(X$5+1-INDEX(Assumptions!$B:$B,MATCH("Satellite useful life — V2 Mini (years)",Assumptions!$A:$A,0))&lt;1,0,IFERROR(INDEX($D33:$AC33,1,X$5+1-INDEX(Assumptions!$B:$B,MATCH("Satellite useful life — V2 Mini (years)",Assumptions!$A:$A,0))),0))</f>
        <v>0</v>
      </c>
      <c r="Y54" s="15" cm="1">
        <f t="array" aca="1" ref="Y54" ca="1">IF(Y$5+1-INDEX(Assumptions!$B:$B,MATCH("Satellite useful life — V2 Mini (years)",Assumptions!$A:$A,0))&lt;1,0,IFERROR(INDEX($D33:$AC33,1,Y$5+1-INDEX(Assumptions!$B:$B,MATCH("Satellite useful life — V2 Mini (years)",Assumptions!$A:$A,0))),0))</f>
        <v>0</v>
      </c>
      <c r="Z54" s="15" cm="1">
        <f t="array" aca="1" ref="Z54" ca="1">IF(Z$5+1-INDEX(Assumptions!$B:$B,MATCH("Satellite useful life — V2 Mini (years)",Assumptions!$A:$A,0))&lt;1,0,IFERROR(INDEX($D33:$AC33,1,Z$5+1-INDEX(Assumptions!$B:$B,MATCH("Satellite useful life — V2 Mini (years)",Assumptions!$A:$A,0))),0))</f>
        <v>0</v>
      </c>
      <c r="AA54" s="15" cm="1">
        <f t="array" aca="1" ref="AA54" ca="1">IF(AA$5+1-INDEX(Assumptions!$B:$B,MATCH("Satellite useful life — V2 Mini (years)",Assumptions!$A:$A,0))&lt;1,0,IFERROR(INDEX($D33:$AC33,1,AA$5+1-INDEX(Assumptions!$B:$B,MATCH("Satellite useful life — V2 Mini (years)",Assumptions!$A:$A,0))),0))</f>
        <v>0</v>
      </c>
      <c r="AB54" s="15" cm="1">
        <f t="array" aca="1" ref="AB54" ca="1">IF(AB$5+1-INDEX(Assumptions!$B:$B,MATCH("Satellite useful life — V2 Mini (years)",Assumptions!$A:$A,0))&lt;1,0,IFERROR(INDEX($D33:$AC33,1,AB$5+1-INDEX(Assumptions!$B:$B,MATCH("Satellite useful life — V2 Mini (years)",Assumptions!$A:$A,0))),0))</f>
        <v>0</v>
      </c>
      <c r="AC54" s="15" cm="1">
        <f t="array" aca="1" ref="AC54" ca="1">IF(AC$5+1-INDEX(Assumptions!$B:$B,MATCH("Satellite useful life — V2 Mini (years)",Assumptions!$A:$A,0))&lt;1,0,IFERROR(INDEX($D33:$AC33,1,AC$5+1-INDEX(Assumptions!$B:$B,MATCH("Satellite useful life — V2 Mini (years)",Assumptions!$A:$A,0))),0))</f>
        <v>0</v>
      </c>
    </row>
    <row r="55" spans="1:29" x14ac:dyDescent="0.2">
      <c r="A55" t="s">
        <v>850</v>
      </c>
      <c r="D55" s="15" cm="1">
        <f t="array" aca="1" ref="D55" ca="1">IF(D$5+1-INDEX(Assumptions!$B:$B,MATCH("Satellite useful life — V2 Mini (years)",Assumptions!$A:$A,0))&lt;1,0,IFERROR(INDEX($D37:$AC37,1,D$5+1-INDEX(Assumptions!$B:$B,MATCH("Satellite useful life — V2 Mini (years)",Assumptions!$A:$A,0))),0))</f>
        <v>0</v>
      </c>
      <c r="E55" s="15" cm="1">
        <f t="array" aca="1" ref="E55" ca="1">IF(E$5+1-INDEX(Assumptions!$B:$B,MATCH("Satellite useful life — V2 Mini (years)",Assumptions!$A:$A,0))&lt;1,0,IFERROR(INDEX($D37:$AC37,1,E$5+1-INDEX(Assumptions!$B:$B,MATCH("Satellite useful life — V2 Mini (years)",Assumptions!$A:$A,0))),0))</f>
        <v>0</v>
      </c>
      <c r="F55" s="15" cm="1">
        <f t="array" aca="1" ref="F55" ca="1">IF(F$5+1-INDEX(Assumptions!$B:$B,MATCH("Satellite useful life — V2 Mini (years)",Assumptions!$A:$A,0))&lt;1,0,IFERROR(INDEX($D37:$AC37,1,F$5+1-INDEX(Assumptions!$B:$B,MATCH("Satellite useful life — V2 Mini (years)",Assumptions!$A:$A,0))),0))</f>
        <v>0</v>
      </c>
      <c r="G55" s="15" cm="1">
        <f t="array" aca="1" ref="G55" ca="1">IF(G$5+1-INDEX(Assumptions!$B:$B,MATCH("Satellite useful life — V2 Mini (years)",Assumptions!$A:$A,0))&lt;1,0,IFERROR(INDEX($D37:$AC37,1,G$5+1-INDEX(Assumptions!$B:$B,MATCH("Satellite useful life — V2 Mini (years)",Assumptions!$A:$A,0))),0))</f>
        <v>0</v>
      </c>
      <c r="H55" s="15" cm="1">
        <f t="array" aca="1" ref="H55" ca="1">IF(H$5+1-INDEX(Assumptions!$B:$B,MATCH("Satellite useful life — V2 Mini (years)",Assumptions!$A:$A,0))&lt;1,0,IFERROR(INDEX($D37:$AC37,1,H$5+1-INDEX(Assumptions!$B:$B,MATCH("Satellite useful life — V2 Mini (years)",Assumptions!$A:$A,0))),0))</f>
        <v>0</v>
      </c>
      <c r="I55" s="15" cm="1">
        <f t="array" aca="1" ref="I55" ca="1">IF(I$5+1-INDEX(Assumptions!$B:$B,MATCH("Satellite useful life — V2 Mini (years)",Assumptions!$A:$A,0))&lt;1,0,IFERROR(INDEX($D37:$AC37,1,I$5+1-INDEX(Assumptions!$B:$B,MATCH("Satellite useful life — V2 Mini (years)",Assumptions!$A:$A,0))),0))</f>
        <v>182</v>
      </c>
      <c r="J55" s="15" cm="1">
        <f t="array" aca="1" ref="J55" ca="1">IF(J$5+1-INDEX(Assumptions!$B:$B,MATCH("Satellite useful life — V2 Mini (years)",Assumptions!$A:$A,0))&lt;1,0,IFERROR(INDEX($D37:$AC37,1,J$5+1-INDEX(Assumptions!$B:$B,MATCH("Satellite useful life — V2 Mini (years)",Assumptions!$A:$A,0))),0))</f>
        <v>0</v>
      </c>
      <c r="K55" s="15" cm="1">
        <f t="array" aca="1" ref="K55" ca="1">IF(K$5+1-INDEX(Assumptions!$B:$B,MATCH("Satellite useful life — V2 Mini (years)",Assumptions!$A:$A,0))&lt;1,0,IFERROR(INDEX($D37:$AC37,1,K$5+1-INDEX(Assumptions!$B:$B,MATCH("Satellite useful life — V2 Mini (years)",Assumptions!$A:$A,0))),0))</f>
        <v>0</v>
      </c>
      <c r="L55" s="15" cm="1">
        <f t="array" aca="1" ref="L55" ca="1">IF(L$5+1-INDEX(Assumptions!$B:$B,MATCH("Satellite useful life — V2 Mini (years)",Assumptions!$A:$A,0))&lt;1,0,IFERROR(INDEX($D37:$AC37,1,L$5+1-INDEX(Assumptions!$B:$B,MATCH("Satellite useful life — V2 Mini (years)",Assumptions!$A:$A,0))),0))</f>
        <v>0</v>
      </c>
      <c r="M55" s="15" cm="1">
        <f t="array" aca="1" ref="M55" ca="1">IF(M$5+1-INDEX(Assumptions!$B:$B,MATCH("Satellite useful life — V2 Mini (years)",Assumptions!$A:$A,0))&lt;1,0,IFERROR(INDEX($D37:$AC37,1,M$5+1-INDEX(Assumptions!$B:$B,MATCH("Satellite useful life — V2 Mini (years)",Assumptions!$A:$A,0))),0))</f>
        <v>0</v>
      </c>
      <c r="N55" s="15" cm="1">
        <f t="array" aca="1" ref="N55" ca="1">IF(N$5+1-INDEX(Assumptions!$B:$B,MATCH("Satellite useful life — V2 Mini (years)",Assumptions!$A:$A,0))&lt;1,0,IFERROR(INDEX($D37:$AC37,1,N$5+1-INDEX(Assumptions!$B:$B,MATCH("Satellite useful life — V2 Mini (years)",Assumptions!$A:$A,0))),0))</f>
        <v>0</v>
      </c>
      <c r="O55" s="15" cm="1">
        <f t="array" aca="1" ref="O55" ca="1">IF(O$5+1-INDEX(Assumptions!$B:$B,MATCH("Satellite useful life — V2 Mini (years)",Assumptions!$A:$A,0))&lt;1,0,IFERROR(INDEX($D37:$AC37,1,O$5+1-INDEX(Assumptions!$B:$B,MATCH("Satellite useful life — V2 Mini (years)",Assumptions!$A:$A,0))),0))</f>
        <v>0</v>
      </c>
      <c r="P55" s="15" cm="1">
        <f t="array" aca="1" ref="P55" ca="1">IF(P$5+1-INDEX(Assumptions!$B:$B,MATCH("Satellite useful life — V2 Mini (years)",Assumptions!$A:$A,0))&lt;1,0,IFERROR(INDEX($D37:$AC37,1,P$5+1-INDEX(Assumptions!$B:$B,MATCH("Satellite useful life — V2 Mini (years)",Assumptions!$A:$A,0))),0))</f>
        <v>0</v>
      </c>
      <c r="Q55" s="15" cm="1">
        <f t="array" aca="1" ref="Q55" ca="1">IF(Q$5+1-INDEX(Assumptions!$B:$B,MATCH("Satellite useful life — V2 Mini (years)",Assumptions!$A:$A,0))&lt;1,0,IFERROR(INDEX($D37:$AC37,1,Q$5+1-INDEX(Assumptions!$B:$B,MATCH("Satellite useful life — V2 Mini (years)",Assumptions!$A:$A,0))),0))</f>
        <v>0</v>
      </c>
      <c r="R55" s="15" cm="1">
        <f t="array" aca="1" ref="R55" ca="1">IF(R$5+1-INDEX(Assumptions!$B:$B,MATCH("Satellite useful life — V2 Mini (years)",Assumptions!$A:$A,0))&lt;1,0,IFERROR(INDEX($D37:$AC37,1,R$5+1-INDEX(Assumptions!$B:$B,MATCH("Satellite useful life — V2 Mini (years)",Assumptions!$A:$A,0))),0))</f>
        <v>0</v>
      </c>
      <c r="S55" s="15" cm="1">
        <f t="array" aca="1" ref="S55" ca="1">IF(S$5+1-INDEX(Assumptions!$B:$B,MATCH("Satellite useful life — V2 Mini (years)",Assumptions!$A:$A,0))&lt;1,0,IFERROR(INDEX($D37:$AC37,1,S$5+1-INDEX(Assumptions!$B:$B,MATCH("Satellite useful life — V2 Mini (years)",Assumptions!$A:$A,0))),0))</f>
        <v>0</v>
      </c>
      <c r="T55" s="15" cm="1">
        <f t="array" aca="1" ref="T55" ca="1">IF(T$5+1-INDEX(Assumptions!$B:$B,MATCH("Satellite useful life — V2 Mini (years)",Assumptions!$A:$A,0))&lt;1,0,IFERROR(INDEX($D37:$AC37,1,T$5+1-INDEX(Assumptions!$B:$B,MATCH("Satellite useful life — V2 Mini (years)",Assumptions!$A:$A,0))),0))</f>
        <v>0</v>
      </c>
      <c r="U55" s="15" cm="1">
        <f t="array" aca="1" ref="U55" ca="1">IF(U$5+1-INDEX(Assumptions!$B:$B,MATCH("Satellite useful life — V2 Mini (years)",Assumptions!$A:$A,0))&lt;1,0,IFERROR(INDEX($D37:$AC37,1,U$5+1-INDEX(Assumptions!$B:$B,MATCH("Satellite useful life — V2 Mini (years)",Assumptions!$A:$A,0))),0))</f>
        <v>0</v>
      </c>
      <c r="V55" s="15" cm="1">
        <f t="array" aca="1" ref="V55" ca="1">IF(V$5+1-INDEX(Assumptions!$B:$B,MATCH("Satellite useful life — V2 Mini (years)",Assumptions!$A:$A,0))&lt;1,0,IFERROR(INDEX($D37:$AC37,1,V$5+1-INDEX(Assumptions!$B:$B,MATCH("Satellite useful life — V2 Mini (years)",Assumptions!$A:$A,0))),0))</f>
        <v>0</v>
      </c>
      <c r="W55" s="15" cm="1">
        <f t="array" aca="1" ref="W55" ca="1">IF(W$5+1-INDEX(Assumptions!$B:$B,MATCH("Satellite useful life — V2 Mini (years)",Assumptions!$A:$A,0))&lt;1,0,IFERROR(INDEX($D37:$AC37,1,W$5+1-INDEX(Assumptions!$B:$B,MATCH("Satellite useful life — V2 Mini (years)",Assumptions!$A:$A,0))),0))</f>
        <v>0</v>
      </c>
      <c r="X55" s="15" cm="1">
        <f t="array" aca="1" ref="X55" ca="1">IF(X$5+1-INDEX(Assumptions!$B:$B,MATCH("Satellite useful life — V2 Mini (years)",Assumptions!$A:$A,0))&lt;1,0,IFERROR(INDEX($D37:$AC37,1,X$5+1-INDEX(Assumptions!$B:$B,MATCH("Satellite useful life — V2 Mini (years)",Assumptions!$A:$A,0))),0))</f>
        <v>0</v>
      </c>
      <c r="Y55" s="15" cm="1">
        <f t="array" aca="1" ref="Y55" ca="1">IF(Y$5+1-INDEX(Assumptions!$B:$B,MATCH("Satellite useful life — V2 Mini (years)",Assumptions!$A:$A,0))&lt;1,0,IFERROR(INDEX($D37:$AC37,1,Y$5+1-INDEX(Assumptions!$B:$B,MATCH("Satellite useful life — V2 Mini (years)",Assumptions!$A:$A,0))),0))</f>
        <v>0</v>
      </c>
      <c r="Z55" s="15" cm="1">
        <f t="array" aca="1" ref="Z55" ca="1">IF(Z$5+1-INDEX(Assumptions!$B:$B,MATCH("Satellite useful life — V2 Mini (years)",Assumptions!$A:$A,0))&lt;1,0,IFERROR(INDEX($D37:$AC37,1,Z$5+1-INDEX(Assumptions!$B:$B,MATCH("Satellite useful life — V2 Mini (years)",Assumptions!$A:$A,0))),0))</f>
        <v>0</v>
      </c>
      <c r="AA55" s="15" cm="1">
        <f t="array" aca="1" ref="AA55" ca="1">IF(AA$5+1-INDEX(Assumptions!$B:$B,MATCH("Satellite useful life — V2 Mini (years)",Assumptions!$A:$A,0))&lt;1,0,IFERROR(INDEX($D37:$AC37,1,AA$5+1-INDEX(Assumptions!$B:$B,MATCH("Satellite useful life — V2 Mini (years)",Assumptions!$A:$A,0))),0))</f>
        <v>0</v>
      </c>
      <c r="AB55" s="15" cm="1">
        <f t="array" aca="1" ref="AB55" ca="1">IF(AB$5+1-INDEX(Assumptions!$B:$B,MATCH("Satellite useful life — V2 Mini (years)",Assumptions!$A:$A,0))&lt;1,0,IFERROR(INDEX($D37:$AC37,1,AB$5+1-INDEX(Assumptions!$B:$B,MATCH("Satellite useful life — V2 Mini (years)",Assumptions!$A:$A,0))),0))</f>
        <v>0</v>
      </c>
      <c r="AC55" s="15" cm="1">
        <f t="array" aca="1" ref="AC55" ca="1">IF(AC$5+1-INDEX(Assumptions!$B:$B,MATCH("Satellite useful life — V2 Mini (years)",Assumptions!$A:$A,0))&lt;1,0,IFERROR(INDEX($D37:$AC37,1,AC$5+1-INDEX(Assumptions!$B:$B,MATCH("Satellite useful life — V2 Mini (years)",Assumptions!$A:$A,0))),0))</f>
        <v>0</v>
      </c>
    </row>
    <row r="56" spans="1:29" x14ac:dyDescent="0.2">
      <c r="A56" t="s">
        <v>851</v>
      </c>
      <c r="D56" s="15" cm="1">
        <f t="array" aca="1" ref="D56" ca="1">IF(D$5+1-INDEX(Assumptions!$B:$B,MATCH("Satellite useful life — V2 Mini (years)",Assumptions!$A:$A,0))&lt;1,0,IFERROR(INDEX($D39:$AC39,1,D$5+1-INDEX(Assumptions!$B:$B,MATCH("Satellite useful life — V2 Mini (years)",Assumptions!$A:$A,0))),0))</f>
        <v>0</v>
      </c>
      <c r="E56" s="15" cm="1">
        <f t="array" aca="1" ref="E56" ca="1">IF(E$5+1-INDEX(Assumptions!$B:$B,MATCH("Satellite useful life — V2 Mini (years)",Assumptions!$A:$A,0))&lt;1,0,IFERROR(INDEX($D39:$AC39,1,E$5+1-INDEX(Assumptions!$B:$B,MATCH("Satellite useful life — V2 Mini (years)",Assumptions!$A:$A,0))),0))</f>
        <v>0</v>
      </c>
      <c r="F56" s="15" cm="1">
        <f t="array" aca="1" ref="F56" ca="1">IF(F$5+1-INDEX(Assumptions!$B:$B,MATCH("Satellite useful life — V2 Mini (years)",Assumptions!$A:$A,0))&lt;1,0,IFERROR(INDEX($D39:$AC39,1,F$5+1-INDEX(Assumptions!$B:$B,MATCH("Satellite useful life — V2 Mini (years)",Assumptions!$A:$A,0))),0))</f>
        <v>0</v>
      </c>
      <c r="G56" s="15" cm="1">
        <f t="array" aca="1" ref="G56" ca="1">IF(G$5+1-INDEX(Assumptions!$B:$B,MATCH("Satellite useful life — V2 Mini (years)",Assumptions!$A:$A,0))&lt;1,0,IFERROR(INDEX($D39:$AC39,1,G$5+1-INDEX(Assumptions!$B:$B,MATCH("Satellite useful life — V2 Mini (years)",Assumptions!$A:$A,0))),0))</f>
        <v>0</v>
      </c>
      <c r="H56" s="15" cm="1">
        <f t="array" aca="1" ref="H56" ca="1">IF(H$5+1-INDEX(Assumptions!$B:$B,MATCH("Satellite useful life — V2 Mini (years)",Assumptions!$A:$A,0))&lt;1,0,IFERROR(INDEX($D39:$AC39,1,H$5+1-INDEX(Assumptions!$B:$B,MATCH("Satellite useful life — V2 Mini (years)",Assumptions!$A:$A,0))),0))</f>
        <v>0</v>
      </c>
      <c r="I56" s="15" cm="1">
        <f t="array" aca="1" ref="I56" ca="1">IF(I$5+1-INDEX(Assumptions!$B:$B,MATCH("Satellite useful life — V2 Mini (years)",Assumptions!$A:$A,0))&lt;1,0,IFERROR(INDEX($D39:$AC39,1,I$5+1-INDEX(Assumptions!$B:$B,MATCH("Satellite useful life — V2 Mini (years)",Assumptions!$A:$A,0))),0))</f>
        <v>0</v>
      </c>
      <c r="J56" s="15" cm="1">
        <f t="array" aca="1" ref="J56" ca="1">IF(J$5+1-INDEX(Assumptions!$B:$B,MATCH("Satellite useful life — V2 Mini (years)",Assumptions!$A:$A,0))&lt;1,0,IFERROR(INDEX($D39:$AC39,1,J$5+1-INDEX(Assumptions!$B:$B,MATCH("Satellite useful life — V2 Mini (years)",Assumptions!$A:$A,0))),0))</f>
        <v>0</v>
      </c>
      <c r="K56" s="15" cm="1">
        <f t="array" aca="1" ref="K56" ca="1">IF(K$5+1-INDEX(Assumptions!$B:$B,MATCH("Satellite useful life — V2 Mini (years)",Assumptions!$A:$A,0))&lt;1,0,IFERROR(INDEX($D39:$AC39,1,K$5+1-INDEX(Assumptions!$B:$B,MATCH("Satellite useful life — V2 Mini (years)",Assumptions!$A:$A,0))),0))</f>
        <v>0</v>
      </c>
      <c r="L56" s="15" cm="1">
        <f t="array" aca="1" ref="L56" ca="1">IF(L$5+1-INDEX(Assumptions!$B:$B,MATCH("Satellite useful life — V2 Mini (years)",Assumptions!$A:$A,0))&lt;1,0,IFERROR(INDEX($D39:$AC39,1,L$5+1-INDEX(Assumptions!$B:$B,MATCH("Satellite useful life — V2 Mini (years)",Assumptions!$A:$A,0))),0))</f>
        <v>0</v>
      </c>
      <c r="M56" s="15" cm="1">
        <f t="array" aca="1" ref="M56" ca="1">IF(M$5+1-INDEX(Assumptions!$B:$B,MATCH("Satellite useful life — V2 Mini (years)",Assumptions!$A:$A,0))&lt;1,0,IFERROR(INDEX($D39:$AC39,1,M$5+1-INDEX(Assumptions!$B:$B,MATCH("Satellite useful life — V2 Mini (years)",Assumptions!$A:$A,0))),0))</f>
        <v>0</v>
      </c>
      <c r="N56" s="15" cm="1">
        <f t="array" aca="1" ref="N56" ca="1">IF(N$5+1-INDEX(Assumptions!$B:$B,MATCH("Satellite useful life — V2 Mini (years)",Assumptions!$A:$A,0))&lt;1,0,IFERROR(INDEX($D39:$AC39,1,N$5+1-INDEX(Assumptions!$B:$B,MATCH("Satellite useful life — V2 Mini (years)",Assumptions!$A:$A,0))),0))</f>
        <v>0</v>
      </c>
      <c r="O56" s="15" cm="1">
        <f t="array" aca="1" ref="O56" ca="1">IF(O$5+1-INDEX(Assumptions!$B:$B,MATCH("Satellite useful life — V2 Mini (years)",Assumptions!$A:$A,0))&lt;1,0,IFERROR(INDEX($D39:$AC39,1,O$5+1-INDEX(Assumptions!$B:$B,MATCH("Satellite useful life — V2 Mini (years)",Assumptions!$A:$A,0))),0))</f>
        <v>0</v>
      </c>
      <c r="P56" s="15" cm="1">
        <f t="array" aca="1" ref="P56" ca="1">IF(P$5+1-INDEX(Assumptions!$B:$B,MATCH("Satellite useful life — V2 Mini (years)",Assumptions!$A:$A,0))&lt;1,0,IFERROR(INDEX($D39:$AC39,1,P$5+1-INDEX(Assumptions!$B:$B,MATCH("Satellite useful life — V2 Mini (years)",Assumptions!$A:$A,0))),0))</f>
        <v>0</v>
      </c>
      <c r="Q56" s="15" cm="1">
        <f t="array" aca="1" ref="Q56" ca="1">IF(Q$5+1-INDEX(Assumptions!$B:$B,MATCH("Satellite useful life — V2 Mini (years)",Assumptions!$A:$A,0))&lt;1,0,IFERROR(INDEX($D39:$AC39,1,Q$5+1-INDEX(Assumptions!$B:$B,MATCH("Satellite useful life — V2 Mini (years)",Assumptions!$A:$A,0))),0))</f>
        <v>0</v>
      </c>
      <c r="R56" s="15" cm="1">
        <f t="array" aca="1" ref="R56" ca="1">IF(R$5+1-INDEX(Assumptions!$B:$B,MATCH("Satellite useful life — V2 Mini (years)",Assumptions!$A:$A,0))&lt;1,0,IFERROR(INDEX($D39:$AC39,1,R$5+1-INDEX(Assumptions!$B:$B,MATCH("Satellite useful life — V2 Mini (years)",Assumptions!$A:$A,0))),0))</f>
        <v>0</v>
      </c>
      <c r="S56" s="15" cm="1">
        <f t="array" aca="1" ref="S56" ca="1">IF(S$5+1-INDEX(Assumptions!$B:$B,MATCH("Satellite useful life — V2 Mini (years)",Assumptions!$A:$A,0))&lt;1,0,IFERROR(INDEX($D39:$AC39,1,S$5+1-INDEX(Assumptions!$B:$B,MATCH("Satellite useful life — V2 Mini (years)",Assumptions!$A:$A,0))),0))</f>
        <v>0</v>
      </c>
      <c r="T56" s="15" cm="1">
        <f t="array" aca="1" ref="T56" ca="1">IF(T$5+1-INDEX(Assumptions!$B:$B,MATCH("Satellite useful life — V2 Mini (years)",Assumptions!$A:$A,0))&lt;1,0,IFERROR(INDEX($D39:$AC39,1,T$5+1-INDEX(Assumptions!$B:$B,MATCH("Satellite useful life — V2 Mini (years)",Assumptions!$A:$A,0))),0))</f>
        <v>0</v>
      </c>
      <c r="U56" s="15" cm="1">
        <f t="array" aca="1" ref="U56" ca="1">IF(U$5+1-INDEX(Assumptions!$B:$B,MATCH("Satellite useful life — V2 Mini (years)",Assumptions!$A:$A,0))&lt;1,0,IFERROR(INDEX($D39:$AC39,1,U$5+1-INDEX(Assumptions!$B:$B,MATCH("Satellite useful life — V2 Mini (years)",Assumptions!$A:$A,0))),0))</f>
        <v>0</v>
      </c>
      <c r="V56" s="15" cm="1">
        <f t="array" aca="1" ref="V56" ca="1">IF(V$5+1-INDEX(Assumptions!$B:$B,MATCH("Satellite useful life — V2 Mini (years)",Assumptions!$A:$A,0))&lt;1,0,IFERROR(INDEX($D39:$AC39,1,V$5+1-INDEX(Assumptions!$B:$B,MATCH("Satellite useful life — V2 Mini (years)",Assumptions!$A:$A,0))),0))</f>
        <v>0</v>
      </c>
      <c r="W56" s="15" cm="1">
        <f t="array" aca="1" ref="W56" ca="1">IF(W$5+1-INDEX(Assumptions!$B:$B,MATCH("Satellite useful life — V2 Mini (years)",Assumptions!$A:$A,0))&lt;1,0,IFERROR(INDEX($D39:$AC39,1,W$5+1-INDEX(Assumptions!$B:$B,MATCH("Satellite useful life — V2 Mini (years)",Assumptions!$A:$A,0))),0))</f>
        <v>0</v>
      </c>
      <c r="X56" s="15" cm="1">
        <f t="array" aca="1" ref="X56" ca="1">IF(X$5+1-INDEX(Assumptions!$B:$B,MATCH("Satellite useful life — V2 Mini (years)",Assumptions!$A:$A,0))&lt;1,0,IFERROR(INDEX($D39:$AC39,1,X$5+1-INDEX(Assumptions!$B:$B,MATCH("Satellite useful life — V2 Mini (years)",Assumptions!$A:$A,0))),0))</f>
        <v>0</v>
      </c>
      <c r="Y56" s="15" cm="1">
        <f t="array" aca="1" ref="Y56" ca="1">IF(Y$5+1-INDEX(Assumptions!$B:$B,MATCH("Satellite useful life — V2 Mini (years)",Assumptions!$A:$A,0))&lt;1,0,IFERROR(INDEX($D39:$AC39,1,Y$5+1-INDEX(Assumptions!$B:$B,MATCH("Satellite useful life — V2 Mini (years)",Assumptions!$A:$A,0))),0))</f>
        <v>0</v>
      </c>
      <c r="Z56" s="15" cm="1">
        <f t="array" aca="1" ref="Z56" ca="1">IF(Z$5+1-INDEX(Assumptions!$B:$B,MATCH("Satellite useful life — V2 Mini (years)",Assumptions!$A:$A,0))&lt;1,0,IFERROR(INDEX($D39:$AC39,1,Z$5+1-INDEX(Assumptions!$B:$B,MATCH("Satellite useful life — V2 Mini (years)",Assumptions!$A:$A,0))),0))</f>
        <v>0</v>
      </c>
      <c r="AA56" s="15" cm="1">
        <f t="array" aca="1" ref="AA56" ca="1">IF(AA$5+1-INDEX(Assumptions!$B:$B,MATCH("Satellite useful life — V2 Mini (years)",Assumptions!$A:$A,0))&lt;1,0,IFERROR(INDEX($D39:$AC39,1,AA$5+1-INDEX(Assumptions!$B:$B,MATCH("Satellite useful life — V2 Mini (years)",Assumptions!$A:$A,0))),0))</f>
        <v>0</v>
      </c>
      <c r="AB56" s="15" cm="1">
        <f t="array" aca="1" ref="AB56" ca="1">IF(AB$5+1-INDEX(Assumptions!$B:$B,MATCH("Satellite useful life — V2 Mini (years)",Assumptions!$A:$A,0))&lt;1,0,IFERROR(INDEX($D39:$AC39,1,AB$5+1-INDEX(Assumptions!$B:$B,MATCH("Satellite useful life — V2 Mini (years)",Assumptions!$A:$A,0))),0))</f>
        <v>0</v>
      </c>
      <c r="AC56" s="15" cm="1">
        <f t="array" aca="1" ref="AC56" ca="1">IF(AC$5+1-INDEX(Assumptions!$B:$B,MATCH("Satellite useful life — V2 Mini (years)",Assumptions!$A:$A,0))&lt;1,0,IFERROR(INDEX($D39:$AC39,1,AC$5+1-INDEX(Assumptions!$B:$B,MATCH("Satellite useful life — V2 Mini (years)",Assumptions!$A:$A,0))),0))</f>
        <v>0</v>
      </c>
    </row>
    <row r="57" spans="1:29" x14ac:dyDescent="0.2">
      <c r="A57" t="s">
        <v>852</v>
      </c>
      <c r="D57" s="15" cm="1">
        <f t="array" aca="1" ref="D57" ca="1">IF(D$5+1-INDEX(Assumptions!$B:$B,MATCH("Satellite useful life — V2 Mini (years)",Assumptions!$A:$A,0))&lt;1,0,IFERROR(INDEX($D41:$AC41,1,D$5+1-INDEX(Assumptions!$B:$B,MATCH("Satellite useful life — V2 Mini (years)",Assumptions!$A:$A,0))),0))</f>
        <v>0</v>
      </c>
      <c r="E57" s="15" cm="1">
        <f t="array" aca="1" ref="E57" ca="1">IF(E$5+1-INDEX(Assumptions!$B:$B,MATCH("Satellite useful life — V2 Mini (years)",Assumptions!$A:$A,0))&lt;1,0,IFERROR(INDEX($D41:$AC41,1,E$5+1-INDEX(Assumptions!$B:$B,MATCH("Satellite useful life — V2 Mini (years)",Assumptions!$A:$A,0))),0))</f>
        <v>0</v>
      </c>
      <c r="F57" s="15" cm="1">
        <f t="array" aca="1" ref="F57" ca="1">IF(F$5+1-INDEX(Assumptions!$B:$B,MATCH("Satellite useful life — V2 Mini (years)",Assumptions!$A:$A,0))&lt;1,0,IFERROR(INDEX($D41:$AC41,1,F$5+1-INDEX(Assumptions!$B:$B,MATCH("Satellite useful life — V2 Mini (years)",Assumptions!$A:$A,0))),0))</f>
        <v>0</v>
      </c>
      <c r="G57" s="15" cm="1">
        <f t="array" aca="1" ref="G57" ca="1">IF(G$5+1-INDEX(Assumptions!$B:$B,MATCH("Satellite useful life — V2 Mini (years)",Assumptions!$A:$A,0))&lt;1,0,IFERROR(INDEX($D41:$AC41,1,G$5+1-INDEX(Assumptions!$B:$B,MATCH("Satellite useful life — V2 Mini (years)",Assumptions!$A:$A,0))),0))</f>
        <v>0</v>
      </c>
      <c r="H57" s="15" cm="1">
        <f t="array" aca="1" ref="H57" ca="1">IF(H$5+1-INDEX(Assumptions!$B:$B,MATCH("Satellite useful life — V2 Mini (years)",Assumptions!$A:$A,0))&lt;1,0,IFERROR(INDEX($D41:$AC41,1,H$5+1-INDEX(Assumptions!$B:$B,MATCH("Satellite useful life — V2 Mini (years)",Assumptions!$A:$A,0))),0))</f>
        <v>0</v>
      </c>
      <c r="I57" s="15" cm="1">
        <f t="array" aca="1" ref="I57" ca="1">IF(I$5+1-INDEX(Assumptions!$B:$B,MATCH("Satellite useful life — V2 Mini (years)",Assumptions!$A:$A,0))&lt;1,0,IFERROR(INDEX($D41:$AC41,1,I$5+1-INDEX(Assumptions!$B:$B,MATCH("Satellite useful life — V2 Mini (years)",Assumptions!$A:$A,0))),0))</f>
        <v>0</v>
      </c>
      <c r="J57" s="15" cm="1">
        <f t="array" aca="1" ref="J57" ca="1">IF(J$5+1-INDEX(Assumptions!$B:$B,MATCH("Satellite useful life — V2 Mini (years)",Assumptions!$A:$A,0))&lt;1,0,IFERROR(INDEX($D41:$AC41,1,J$5+1-INDEX(Assumptions!$B:$B,MATCH("Satellite useful life — V2 Mini (years)",Assumptions!$A:$A,0))),0))</f>
        <v>0</v>
      </c>
      <c r="K57" s="15" cm="1">
        <f t="array" aca="1" ref="K57" ca="1">IF(K$5+1-INDEX(Assumptions!$B:$B,MATCH("Satellite useful life — V2 Mini (years)",Assumptions!$A:$A,0))&lt;1,0,IFERROR(INDEX($D41:$AC41,1,K$5+1-INDEX(Assumptions!$B:$B,MATCH("Satellite useful life — V2 Mini (years)",Assumptions!$A:$A,0))),0))</f>
        <v>0</v>
      </c>
      <c r="L57" s="15" cm="1">
        <f t="array" aca="1" ref="L57" ca="1">IF(L$5+1-INDEX(Assumptions!$B:$B,MATCH("Satellite useful life — V2 Mini (years)",Assumptions!$A:$A,0))&lt;1,0,IFERROR(INDEX($D41:$AC41,1,L$5+1-INDEX(Assumptions!$B:$B,MATCH("Satellite useful life — V2 Mini (years)",Assumptions!$A:$A,0))),0))</f>
        <v>0</v>
      </c>
      <c r="M57" s="15" cm="1">
        <f t="array" aca="1" ref="M57" ca="1">IF(M$5+1-INDEX(Assumptions!$B:$B,MATCH("Satellite useful life — V2 Mini (years)",Assumptions!$A:$A,0))&lt;1,0,IFERROR(INDEX($D41:$AC41,1,M$5+1-INDEX(Assumptions!$B:$B,MATCH("Satellite useful life — V2 Mini (years)",Assumptions!$A:$A,0))),0))</f>
        <v>0</v>
      </c>
      <c r="N57" s="15" cm="1">
        <f t="array" aca="1" ref="N57" ca="1">IF(N$5+1-INDEX(Assumptions!$B:$B,MATCH("Satellite useful life — V2 Mini (years)",Assumptions!$A:$A,0))&lt;1,0,IFERROR(INDEX($D41:$AC41,1,N$5+1-INDEX(Assumptions!$B:$B,MATCH("Satellite useful life — V2 Mini (years)",Assumptions!$A:$A,0))),0))</f>
        <v>0</v>
      </c>
      <c r="O57" s="15" cm="1">
        <f t="array" aca="1" ref="O57" ca="1">IF(O$5+1-INDEX(Assumptions!$B:$B,MATCH("Satellite useful life — V2 Mini (years)",Assumptions!$A:$A,0))&lt;1,0,IFERROR(INDEX($D41:$AC41,1,O$5+1-INDEX(Assumptions!$B:$B,MATCH("Satellite useful life — V2 Mini (years)",Assumptions!$A:$A,0))),0))</f>
        <v>0</v>
      </c>
      <c r="P57" s="15" cm="1">
        <f t="array" aca="1" ref="P57" ca="1">IF(P$5+1-INDEX(Assumptions!$B:$B,MATCH("Satellite useful life — V2 Mini (years)",Assumptions!$A:$A,0))&lt;1,0,IFERROR(INDEX($D41:$AC41,1,P$5+1-INDEX(Assumptions!$B:$B,MATCH("Satellite useful life — V2 Mini (years)",Assumptions!$A:$A,0))),0))</f>
        <v>0</v>
      </c>
      <c r="Q57" s="15" cm="1">
        <f t="array" aca="1" ref="Q57" ca="1">IF(Q$5+1-INDEX(Assumptions!$B:$B,MATCH("Satellite useful life — V2 Mini (years)",Assumptions!$A:$A,0))&lt;1,0,IFERROR(INDEX($D41:$AC41,1,Q$5+1-INDEX(Assumptions!$B:$B,MATCH("Satellite useful life — V2 Mini (years)",Assumptions!$A:$A,0))),0))</f>
        <v>0</v>
      </c>
      <c r="R57" s="15" cm="1">
        <f t="array" aca="1" ref="R57" ca="1">IF(R$5+1-INDEX(Assumptions!$B:$B,MATCH("Satellite useful life — V2 Mini (years)",Assumptions!$A:$A,0))&lt;1,0,IFERROR(INDEX($D41:$AC41,1,R$5+1-INDEX(Assumptions!$B:$B,MATCH("Satellite useful life — V2 Mini (years)",Assumptions!$A:$A,0))),0))</f>
        <v>0</v>
      </c>
      <c r="S57" s="15" cm="1">
        <f t="array" aca="1" ref="S57" ca="1">IF(S$5+1-INDEX(Assumptions!$B:$B,MATCH("Satellite useful life — V2 Mini (years)",Assumptions!$A:$A,0))&lt;1,0,IFERROR(INDEX($D41:$AC41,1,S$5+1-INDEX(Assumptions!$B:$B,MATCH("Satellite useful life — V2 Mini (years)",Assumptions!$A:$A,0))),0))</f>
        <v>0</v>
      </c>
      <c r="T57" s="15" cm="1">
        <f t="array" aca="1" ref="T57" ca="1">IF(T$5+1-INDEX(Assumptions!$B:$B,MATCH("Satellite useful life — V2 Mini (years)",Assumptions!$A:$A,0))&lt;1,0,IFERROR(INDEX($D41:$AC41,1,T$5+1-INDEX(Assumptions!$B:$B,MATCH("Satellite useful life — V2 Mini (years)",Assumptions!$A:$A,0))),0))</f>
        <v>0</v>
      </c>
      <c r="U57" s="15" cm="1">
        <f t="array" aca="1" ref="U57" ca="1">IF(U$5+1-INDEX(Assumptions!$B:$B,MATCH("Satellite useful life — V2 Mini (years)",Assumptions!$A:$A,0))&lt;1,0,IFERROR(INDEX($D41:$AC41,1,U$5+1-INDEX(Assumptions!$B:$B,MATCH("Satellite useful life — V2 Mini (years)",Assumptions!$A:$A,0))),0))</f>
        <v>0</v>
      </c>
      <c r="V57" s="15" cm="1">
        <f t="array" aca="1" ref="V57" ca="1">IF(V$5+1-INDEX(Assumptions!$B:$B,MATCH("Satellite useful life — V2 Mini (years)",Assumptions!$A:$A,0))&lt;1,0,IFERROR(INDEX($D41:$AC41,1,V$5+1-INDEX(Assumptions!$B:$B,MATCH("Satellite useful life — V2 Mini (years)",Assumptions!$A:$A,0))),0))</f>
        <v>0</v>
      </c>
      <c r="W57" s="15" cm="1">
        <f t="array" aca="1" ref="W57" ca="1">IF(W$5+1-INDEX(Assumptions!$B:$B,MATCH("Satellite useful life — V2 Mini (years)",Assumptions!$A:$A,0))&lt;1,0,IFERROR(INDEX($D41:$AC41,1,W$5+1-INDEX(Assumptions!$B:$B,MATCH("Satellite useful life — V2 Mini (years)",Assumptions!$A:$A,0))),0))</f>
        <v>0</v>
      </c>
      <c r="X57" s="15" cm="1">
        <f t="array" aca="1" ref="X57" ca="1">IF(X$5+1-INDEX(Assumptions!$B:$B,MATCH("Satellite useful life — V2 Mini (years)",Assumptions!$A:$A,0))&lt;1,0,IFERROR(INDEX($D41:$AC41,1,X$5+1-INDEX(Assumptions!$B:$B,MATCH("Satellite useful life — V2 Mini (years)",Assumptions!$A:$A,0))),0))</f>
        <v>0</v>
      </c>
      <c r="Y57" s="15" cm="1">
        <f t="array" aca="1" ref="Y57" ca="1">IF(Y$5+1-INDEX(Assumptions!$B:$B,MATCH("Satellite useful life — V2 Mini (years)",Assumptions!$A:$A,0))&lt;1,0,IFERROR(INDEX($D41:$AC41,1,Y$5+1-INDEX(Assumptions!$B:$B,MATCH("Satellite useful life — V2 Mini (years)",Assumptions!$A:$A,0))),0))</f>
        <v>0</v>
      </c>
      <c r="Z57" s="15" cm="1">
        <f t="array" aca="1" ref="Z57" ca="1">IF(Z$5+1-INDEX(Assumptions!$B:$B,MATCH("Satellite useful life — V2 Mini (years)",Assumptions!$A:$A,0))&lt;1,0,IFERROR(INDEX($D41:$AC41,1,Z$5+1-INDEX(Assumptions!$B:$B,MATCH("Satellite useful life — V2 Mini (years)",Assumptions!$A:$A,0))),0))</f>
        <v>0</v>
      </c>
      <c r="AA57" s="15" cm="1">
        <f t="array" aca="1" ref="AA57" ca="1">IF(AA$5+1-INDEX(Assumptions!$B:$B,MATCH("Satellite useful life — V2 Mini (years)",Assumptions!$A:$A,0))&lt;1,0,IFERROR(INDEX($D41:$AC41,1,AA$5+1-INDEX(Assumptions!$B:$B,MATCH("Satellite useful life — V2 Mini (years)",Assumptions!$A:$A,0))),0))</f>
        <v>0</v>
      </c>
      <c r="AB57" s="15" cm="1">
        <f t="array" aca="1" ref="AB57" ca="1">IF(AB$5+1-INDEX(Assumptions!$B:$B,MATCH("Satellite useful life — V2 Mini (years)",Assumptions!$A:$A,0))&lt;1,0,IFERROR(INDEX($D41:$AC41,1,AB$5+1-INDEX(Assumptions!$B:$B,MATCH("Satellite useful life — V2 Mini (years)",Assumptions!$A:$A,0))),0))</f>
        <v>0</v>
      </c>
      <c r="AC57" s="15" cm="1">
        <f t="array" aca="1" ref="AC57" ca="1">IF(AC$5+1-INDEX(Assumptions!$B:$B,MATCH("Satellite useful life — V2 Mini (years)",Assumptions!$A:$A,0))&lt;1,0,IFERROR(INDEX($D41:$AC41,1,AC$5+1-INDEX(Assumptions!$B:$B,MATCH("Satellite useful life — V2 Mini (years)",Assumptions!$A:$A,0))),0))</f>
        <v>0</v>
      </c>
    </row>
    <row r="60" spans="1:29" x14ac:dyDescent="0.2">
      <c r="A60" t="s">
        <v>853</v>
      </c>
      <c r="D60" s="15">
        <f>INDEX(Assumptions!$B:$B,MATCH("V2 Mini BB Active Sats — end-2025",Assumptions!$A:$A,0))</f>
        <v>5246</v>
      </c>
      <c r="E60" s="15">
        <f ca="1">MAX(0,D60+E33-E52-E54)</f>
        <v>4196.8</v>
      </c>
      <c r="F60" s="15">
        <f ca="1">MAX(0,E60+F33-F52-F54)</f>
        <v>3147.6000000000004</v>
      </c>
      <c r="G60" s="15">
        <f t="shared" ref="G60:AC60" ca="1" si="1">MAX(0,F60+G33-G52-G54)</f>
        <v>2098.4000000000005</v>
      </c>
      <c r="H60" s="15">
        <f t="shared" ca="1" si="1"/>
        <v>1049.2000000000005</v>
      </c>
      <c r="I60" s="15">
        <f t="shared" ca="1" si="1"/>
        <v>0</v>
      </c>
      <c r="J60" s="15">
        <f t="shared" ca="1" si="1"/>
        <v>0</v>
      </c>
      <c r="K60" s="15">
        <f t="shared" ca="1" si="1"/>
        <v>0</v>
      </c>
      <c r="L60" s="15">
        <f t="shared" ca="1" si="1"/>
        <v>0</v>
      </c>
      <c r="M60" s="15">
        <f t="shared" ca="1" si="1"/>
        <v>0</v>
      </c>
      <c r="N60" s="15">
        <f t="shared" ca="1" si="1"/>
        <v>0</v>
      </c>
      <c r="O60" s="15">
        <f t="shared" ca="1" si="1"/>
        <v>0</v>
      </c>
      <c r="P60" s="15">
        <f t="shared" ca="1" si="1"/>
        <v>0</v>
      </c>
      <c r="Q60" s="15">
        <f t="shared" ca="1" si="1"/>
        <v>0</v>
      </c>
      <c r="R60" s="15">
        <f t="shared" ca="1" si="1"/>
        <v>0</v>
      </c>
      <c r="S60" s="15">
        <f t="shared" ca="1" si="1"/>
        <v>0</v>
      </c>
      <c r="T60" s="15">
        <f t="shared" ca="1" si="1"/>
        <v>0</v>
      </c>
      <c r="U60" s="15">
        <f t="shared" ca="1" si="1"/>
        <v>0</v>
      </c>
      <c r="V60" s="15">
        <f t="shared" ca="1" si="1"/>
        <v>0</v>
      </c>
      <c r="W60" s="15">
        <f t="shared" ca="1" si="1"/>
        <v>0</v>
      </c>
      <c r="X60" s="15">
        <f t="shared" ca="1" si="1"/>
        <v>0</v>
      </c>
      <c r="Y60" s="15">
        <f t="shared" ca="1" si="1"/>
        <v>0</v>
      </c>
      <c r="Z60" s="15">
        <f t="shared" ca="1" si="1"/>
        <v>0</v>
      </c>
      <c r="AA60" s="15">
        <f t="shared" ca="1" si="1"/>
        <v>0</v>
      </c>
      <c r="AB60" s="15">
        <f t="shared" ca="1" si="1"/>
        <v>0</v>
      </c>
      <c r="AC60" s="15">
        <f t="shared" ca="1" si="1"/>
        <v>0</v>
      </c>
    </row>
    <row r="61" spans="1:29" x14ac:dyDescent="0.2">
      <c r="A61" t="s">
        <v>854</v>
      </c>
      <c r="D61" s="15">
        <f>INDEX(Assumptions!$B:$B,MATCH("V2 Mini DTC Active Sats — end-2025",Assumptions!$A:$A,0))</f>
        <v>650</v>
      </c>
      <c r="E61" s="15">
        <f ca="1">MAX(0,D61+E37-E53-E55)</f>
        <v>520</v>
      </c>
      <c r="F61" s="15">
        <f t="shared" ref="F61:AC61" ca="1" si="2">MAX(0,E61+F37-F53-F55)</f>
        <v>390</v>
      </c>
      <c r="G61" s="15">
        <f t="shared" ca="1" si="2"/>
        <v>260</v>
      </c>
      <c r="H61" s="15">
        <f t="shared" ca="1" si="2"/>
        <v>130</v>
      </c>
      <c r="I61" s="15">
        <f t="shared" ca="1" si="2"/>
        <v>0</v>
      </c>
      <c r="J61" s="15">
        <f t="shared" ca="1" si="2"/>
        <v>0</v>
      </c>
      <c r="K61" s="15">
        <f t="shared" ca="1" si="2"/>
        <v>0</v>
      </c>
      <c r="L61" s="15">
        <f t="shared" ca="1" si="2"/>
        <v>0</v>
      </c>
      <c r="M61" s="15">
        <f t="shared" ca="1" si="2"/>
        <v>0</v>
      </c>
      <c r="N61" s="15">
        <f t="shared" ca="1" si="2"/>
        <v>0</v>
      </c>
      <c r="O61" s="15">
        <f t="shared" ca="1" si="2"/>
        <v>0</v>
      </c>
      <c r="P61" s="15">
        <f t="shared" ca="1" si="2"/>
        <v>0</v>
      </c>
      <c r="Q61" s="15">
        <f t="shared" ca="1" si="2"/>
        <v>0</v>
      </c>
      <c r="R61" s="15">
        <f t="shared" ca="1" si="2"/>
        <v>0</v>
      </c>
      <c r="S61" s="15">
        <f t="shared" ca="1" si="2"/>
        <v>0</v>
      </c>
      <c r="T61" s="15">
        <f t="shared" ca="1" si="2"/>
        <v>0</v>
      </c>
      <c r="U61" s="15">
        <f t="shared" ca="1" si="2"/>
        <v>0</v>
      </c>
      <c r="V61" s="15">
        <f t="shared" ca="1" si="2"/>
        <v>0</v>
      </c>
      <c r="W61" s="15">
        <f t="shared" ca="1" si="2"/>
        <v>0</v>
      </c>
      <c r="X61" s="15">
        <f t="shared" ca="1" si="2"/>
        <v>0</v>
      </c>
      <c r="Y61" s="15">
        <f t="shared" ca="1" si="2"/>
        <v>0</v>
      </c>
      <c r="Z61" s="15">
        <f t="shared" ca="1" si="2"/>
        <v>0</v>
      </c>
      <c r="AA61" s="15">
        <f t="shared" ca="1" si="2"/>
        <v>0</v>
      </c>
      <c r="AB61" s="15">
        <f t="shared" ca="1" si="2"/>
        <v>0</v>
      </c>
      <c r="AC61" s="15">
        <f t="shared" ca="1" si="2"/>
        <v>0</v>
      </c>
    </row>
    <row r="62" spans="1:29" x14ac:dyDescent="0.2">
      <c r="A62" t="s">
        <v>855</v>
      </c>
      <c r="D62" s="15">
        <f>0</f>
        <v>0</v>
      </c>
      <c r="E62" s="15">
        <f ca="1">MAX(0,D62+E39-E56)</f>
        <v>0</v>
      </c>
      <c r="F62" s="15">
        <f t="shared" ref="F62:AC62" ca="1" si="3">MAX(0,E62+F39-F56)</f>
        <v>0</v>
      </c>
      <c r="G62" s="15">
        <f t="shared" ca="1" si="3"/>
        <v>0</v>
      </c>
      <c r="H62" s="15">
        <f t="shared" ca="1" si="3"/>
        <v>0</v>
      </c>
      <c r="I62" s="15">
        <f t="shared" ca="1" si="3"/>
        <v>0</v>
      </c>
      <c r="J62" s="15">
        <f t="shared" ca="1" si="3"/>
        <v>0</v>
      </c>
      <c r="K62" s="15">
        <f t="shared" ca="1" si="3"/>
        <v>0</v>
      </c>
      <c r="L62" s="15">
        <f t="shared" ca="1" si="3"/>
        <v>0</v>
      </c>
      <c r="M62" s="15">
        <f t="shared" ca="1" si="3"/>
        <v>0</v>
      </c>
      <c r="N62" s="15">
        <f t="shared" ca="1" si="3"/>
        <v>0</v>
      </c>
      <c r="O62" s="15">
        <f t="shared" ca="1" si="3"/>
        <v>0</v>
      </c>
      <c r="P62" s="15">
        <f t="shared" ca="1" si="3"/>
        <v>0</v>
      </c>
      <c r="Q62" s="15">
        <f t="shared" ca="1" si="3"/>
        <v>0</v>
      </c>
      <c r="R62" s="15">
        <f t="shared" ca="1" si="3"/>
        <v>0</v>
      </c>
      <c r="S62" s="15">
        <f t="shared" ca="1" si="3"/>
        <v>0</v>
      </c>
      <c r="T62" s="15">
        <f t="shared" ca="1" si="3"/>
        <v>0</v>
      </c>
      <c r="U62" s="15">
        <f t="shared" ca="1" si="3"/>
        <v>0</v>
      </c>
      <c r="V62" s="15">
        <f t="shared" ca="1" si="3"/>
        <v>0</v>
      </c>
      <c r="W62" s="15">
        <f t="shared" ca="1" si="3"/>
        <v>0</v>
      </c>
      <c r="X62" s="15">
        <f t="shared" ca="1" si="3"/>
        <v>0</v>
      </c>
      <c r="Y62" s="15">
        <f t="shared" ca="1" si="3"/>
        <v>0</v>
      </c>
      <c r="Z62" s="15">
        <f t="shared" ca="1" si="3"/>
        <v>0</v>
      </c>
      <c r="AA62" s="15">
        <f t="shared" ca="1" si="3"/>
        <v>0</v>
      </c>
      <c r="AB62" s="15">
        <f t="shared" ca="1" si="3"/>
        <v>0</v>
      </c>
      <c r="AC62" s="15">
        <f t="shared" ca="1" si="3"/>
        <v>0</v>
      </c>
    </row>
    <row r="63" spans="1:29" x14ac:dyDescent="0.2">
      <c r="A63" t="s">
        <v>856</v>
      </c>
      <c r="D63" s="15">
        <f>0</f>
        <v>0</v>
      </c>
      <c r="E63" s="15">
        <f ca="1">MAX(0,D63+E41-E57)</f>
        <v>0</v>
      </c>
      <c r="F63" s="15">
        <f t="shared" ref="F63:AC63" ca="1" si="4">MAX(0,E63+F41-F57)</f>
        <v>0</v>
      </c>
      <c r="G63" s="15">
        <f t="shared" ca="1" si="4"/>
        <v>0</v>
      </c>
      <c r="H63" s="15">
        <f t="shared" ca="1" si="4"/>
        <v>0</v>
      </c>
      <c r="I63" s="15">
        <f t="shared" ca="1" si="4"/>
        <v>0</v>
      </c>
      <c r="J63" s="15">
        <f t="shared" ca="1" si="4"/>
        <v>0</v>
      </c>
      <c r="K63" s="15">
        <f t="shared" ca="1" si="4"/>
        <v>0</v>
      </c>
      <c r="L63" s="15">
        <f t="shared" ca="1" si="4"/>
        <v>0</v>
      </c>
      <c r="M63" s="15">
        <f t="shared" ca="1" si="4"/>
        <v>0</v>
      </c>
      <c r="N63" s="15">
        <f t="shared" ca="1" si="4"/>
        <v>0</v>
      </c>
      <c r="O63" s="15">
        <f t="shared" ca="1" si="4"/>
        <v>0</v>
      </c>
      <c r="P63" s="15">
        <f t="shared" ca="1" si="4"/>
        <v>0</v>
      </c>
      <c r="Q63" s="15">
        <f t="shared" ca="1" si="4"/>
        <v>0</v>
      </c>
      <c r="R63" s="15">
        <f t="shared" ca="1" si="4"/>
        <v>0</v>
      </c>
      <c r="S63" s="15">
        <f t="shared" ca="1" si="4"/>
        <v>0</v>
      </c>
      <c r="T63" s="15">
        <f t="shared" ca="1" si="4"/>
        <v>0</v>
      </c>
      <c r="U63" s="15">
        <f t="shared" ca="1" si="4"/>
        <v>0</v>
      </c>
      <c r="V63" s="15">
        <f t="shared" ca="1" si="4"/>
        <v>0</v>
      </c>
      <c r="W63" s="15">
        <f t="shared" ca="1" si="4"/>
        <v>0</v>
      </c>
      <c r="X63" s="15">
        <f t="shared" ca="1" si="4"/>
        <v>0</v>
      </c>
      <c r="Y63" s="15">
        <f t="shared" ca="1" si="4"/>
        <v>0</v>
      </c>
      <c r="Z63" s="15">
        <f t="shared" ca="1" si="4"/>
        <v>0</v>
      </c>
      <c r="AA63" s="15">
        <f t="shared" ca="1" si="4"/>
        <v>0</v>
      </c>
      <c r="AB63" s="15">
        <f t="shared" ca="1" si="4"/>
        <v>0</v>
      </c>
      <c r="AC63" s="15">
        <f t="shared" ca="1" si="4"/>
        <v>0</v>
      </c>
    </row>
    <row r="65" spans="1:29" x14ac:dyDescent="0.2">
      <c r="A65" s="18" t="s">
        <v>857</v>
      </c>
      <c r="D65" s="15">
        <f>D60+D61+D62+D63</f>
        <v>5896</v>
      </c>
      <c r="E65" s="15">
        <f t="shared" ref="E65:AC65" ca="1" si="5">E60+E61+E62+E63</f>
        <v>4716.8</v>
      </c>
      <c r="F65" s="15">
        <f t="shared" ca="1" si="5"/>
        <v>3537.6000000000004</v>
      </c>
      <c r="G65" s="15">
        <f t="shared" ca="1" si="5"/>
        <v>2358.4000000000005</v>
      </c>
      <c r="H65" s="15">
        <f t="shared" ca="1" si="5"/>
        <v>1179.2000000000005</v>
      </c>
      <c r="I65" s="15">
        <f t="shared" ca="1" si="5"/>
        <v>0</v>
      </c>
      <c r="J65" s="15">
        <f t="shared" ca="1" si="5"/>
        <v>0</v>
      </c>
      <c r="K65" s="15">
        <f t="shared" ca="1" si="5"/>
        <v>0</v>
      </c>
      <c r="L65" s="15">
        <f t="shared" ca="1" si="5"/>
        <v>0</v>
      </c>
      <c r="M65" s="15">
        <f t="shared" ca="1" si="5"/>
        <v>0</v>
      </c>
      <c r="N65" s="15">
        <f t="shared" ca="1" si="5"/>
        <v>0</v>
      </c>
      <c r="O65" s="15">
        <f t="shared" ca="1" si="5"/>
        <v>0</v>
      </c>
      <c r="P65" s="15">
        <f t="shared" ca="1" si="5"/>
        <v>0</v>
      </c>
      <c r="Q65" s="15">
        <f t="shared" ca="1" si="5"/>
        <v>0</v>
      </c>
      <c r="R65" s="15">
        <f t="shared" ca="1" si="5"/>
        <v>0</v>
      </c>
      <c r="S65" s="15">
        <f t="shared" ca="1" si="5"/>
        <v>0</v>
      </c>
      <c r="T65" s="15">
        <f t="shared" ca="1" si="5"/>
        <v>0</v>
      </c>
      <c r="U65" s="15">
        <f t="shared" ca="1" si="5"/>
        <v>0</v>
      </c>
      <c r="V65" s="15">
        <f t="shared" ca="1" si="5"/>
        <v>0</v>
      </c>
      <c r="W65" s="15">
        <f t="shared" ca="1" si="5"/>
        <v>0</v>
      </c>
      <c r="X65" s="15">
        <f t="shared" ca="1" si="5"/>
        <v>0</v>
      </c>
      <c r="Y65" s="15">
        <f t="shared" ca="1" si="5"/>
        <v>0</v>
      </c>
      <c r="Z65" s="15">
        <f t="shared" ca="1" si="5"/>
        <v>0</v>
      </c>
      <c r="AA65" s="15">
        <f t="shared" ca="1" si="5"/>
        <v>0</v>
      </c>
      <c r="AB65" s="15">
        <f t="shared" ca="1" si="5"/>
        <v>0</v>
      </c>
      <c r="AC65" s="15">
        <f t="shared" ca="1" si="5"/>
        <v>0</v>
      </c>
    </row>
    <row r="77" spans="1:29" x14ac:dyDescent="0.2">
      <c r="A77" s="39" t="s">
        <v>858</v>
      </c>
    </row>
    <row r="78" spans="1:29" x14ac:dyDescent="0.2">
      <c r="A78" t="s">
        <v>859</v>
      </c>
      <c r="D78" s="42">
        <f>INDEX(Assumptions!$B:$B,MATCH("V2 Mini cost per kg — base year ($/kg)",Assumptions!$A:$A,0))*INDEX(Assumptions!$B:$B,MATCH("V2 Mini Mass (kg)",Assumptions!$A:$A,0))/1000000</f>
        <v>0.37375000000000003</v>
      </c>
      <c r="E78" s="42">
        <f>MAX(INDEX(Assumptions!$B:$B,MATCH("V2 Mini cost floor ($/kg)",Assumptions!$A:$A,0))*INDEX(Assumptions!$B:$B,MATCH("V2 Mini Mass (kg)",Assumptions!$A:$A,0))/1000000,$D$78*(1-INDEX(Assumptions!$B:$B,MATCH("V2 Mini cost per kg — learning rate",Assumptions!$A:$A,0)))^E$5)</f>
        <v>0.3550625</v>
      </c>
      <c r="F78" s="42">
        <f>MAX(INDEX(Assumptions!$B:$B,MATCH("V2 Mini cost floor ($/kg)",Assumptions!$A:$A,0))*INDEX(Assumptions!$B:$B,MATCH("V2 Mini Mass (kg)",Assumptions!$A:$A,0))/1000000,$D$78*(1-INDEX(Assumptions!$B:$B,MATCH("V2 Mini cost per kg — learning rate",Assumptions!$A:$A,0)))^F$5)</f>
        <v>0.33730937500000002</v>
      </c>
      <c r="G78" s="42">
        <f>MAX(INDEX(Assumptions!$B:$B,MATCH("V2 Mini cost floor ($/kg)",Assumptions!$A:$A,0))*INDEX(Assumptions!$B:$B,MATCH("V2 Mini Mass (kg)",Assumptions!$A:$A,0))/1000000,$D$78*(1-INDEX(Assumptions!$B:$B,MATCH("V2 Mini cost per kg — learning rate",Assumptions!$A:$A,0)))^G$5)</f>
        <v>0.32044390624999997</v>
      </c>
      <c r="H78" s="42">
        <f>MAX(INDEX(Assumptions!$B:$B,MATCH("V2 Mini cost floor ($/kg)",Assumptions!$A:$A,0))*INDEX(Assumptions!$B:$B,MATCH("V2 Mini Mass (kg)",Assumptions!$A:$A,0))/1000000,$D$78*(1-INDEX(Assumptions!$B:$B,MATCH("V2 Mini cost per kg — learning rate",Assumptions!$A:$A,0)))^H$5)</f>
        <v>0.30442171093750003</v>
      </c>
      <c r="I78" s="42">
        <f>MAX(INDEX(Assumptions!$B:$B,MATCH("V2 Mini cost floor ($/kg)",Assumptions!$A:$A,0))*INDEX(Assumptions!$B:$B,MATCH("V2 Mini Mass (kg)",Assumptions!$A:$A,0))/1000000,$D$78*(1-INDEX(Assumptions!$B:$B,MATCH("V2 Mini cost per kg — learning rate",Assumptions!$A:$A,0)))^I$5)</f>
        <v>0.28920062539062502</v>
      </c>
      <c r="J78" s="42">
        <f>MAX(INDEX(Assumptions!$B:$B,MATCH("V2 Mini cost floor ($/kg)",Assumptions!$A:$A,0))*INDEX(Assumptions!$B:$B,MATCH("V2 Mini Mass (kg)",Assumptions!$A:$A,0))/1000000,$D$78*(1-INDEX(Assumptions!$B:$B,MATCH("V2 Mini cost per kg — learning rate",Assumptions!$A:$A,0)))^J$5)</f>
        <v>0.27474059412109375</v>
      </c>
      <c r="K78" s="42">
        <f>MAX(INDEX(Assumptions!$B:$B,MATCH("V2 Mini cost floor ($/kg)",Assumptions!$A:$A,0))*INDEX(Assumptions!$B:$B,MATCH("V2 Mini Mass (kg)",Assumptions!$A:$A,0))/1000000,$D$78*(1-INDEX(Assumptions!$B:$B,MATCH("V2 Mini cost per kg — learning rate",Assumptions!$A:$A,0)))^K$5)</f>
        <v>0.26100356441503908</v>
      </c>
      <c r="L78" s="42">
        <f>MAX(INDEX(Assumptions!$B:$B,MATCH("V2 Mini cost floor ($/kg)",Assumptions!$A:$A,0))*INDEX(Assumptions!$B:$B,MATCH("V2 Mini Mass (kg)",Assumptions!$A:$A,0))/1000000,$D$78*(1-INDEX(Assumptions!$B:$B,MATCH("V2 Mini cost per kg — learning rate",Assumptions!$A:$A,0)))^L$5)</f>
        <v>0.24795338619428711</v>
      </c>
      <c r="M78" s="42">
        <f>MAX(INDEX(Assumptions!$B:$B,MATCH("V2 Mini cost floor ($/kg)",Assumptions!$A:$A,0))*INDEX(Assumptions!$B:$B,MATCH("V2 Mini Mass (kg)",Assumptions!$A:$A,0))/1000000,$D$78*(1-INDEX(Assumptions!$B:$B,MATCH("V2 Mini cost per kg — learning rate",Assumptions!$A:$A,0)))^M$5)</f>
        <v>0.23555571688457275</v>
      </c>
      <c r="N78" s="42">
        <f>MAX(INDEX(Assumptions!$B:$B,MATCH("V2 Mini cost floor ($/kg)",Assumptions!$A:$A,0))*INDEX(Assumptions!$B:$B,MATCH("V2 Mini Mass (kg)",Assumptions!$A:$A,0))/1000000,$D$78*(1-INDEX(Assumptions!$B:$B,MATCH("V2 Mini cost per kg — learning rate",Assumptions!$A:$A,0)))^N$5)</f>
        <v>0.23</v>
      </c>
      <c r="O78" s="42">
        <f>MAX(INDEX(Assumptions!$B:$B,MATCH("V2 Mini cost floor ($/kg)",Assumptions!$A:$A,0))*INDEX(Assumptions!$B:$B,MATCH("V2 Mini Mass (kg)",Assumptions!$A:$A,0))/1000000,$D$78*(1-INDEX(Assumptions!$B:$B,MATCH("V2 Mini cost per kg — learning rate",Assumptions!$A:$A,0)))^O$5)</f>
        <v>0.23</v>
      </c>
      <c r="P78" s="42">
        <f>MAX(INDEX(Assumptions!$B:$B,MATCH("V2 Mini cost floor ($/kg)",Assumptions!$A:$A,0))*INDEX(Assumptions!$B:$B,MATCH("V2 Mini Mass (kg)",Assumptions!$A:$A,0))/1000000,$D$78*(1-INDEX(Assumptions!$B:$B,MATCH("V2 Mini cost per kg — learning rate",Assumptions!$A:$A,0)))^P$5)</f>
        <v>0.23</v>
      </c>
      <c r="Q78" s="42">
        <f>MAX(INDEX(Assumptions!$B:$B,MATCH("V2 Mini cost floor ($/kg)",Assumptions!$A:$A,0))*INDEX(Assumptions!$B:$B,MATCH("V2 Mini Mass (kg)",Assumptions!$A:$A,0))/1000000,$D$78*(1-INDEX(Assumptions!$B:$B,MATCH("V2 Mini cost per kg — learning rate",Assumptions!$A:$A,0)))^Q$5)</f>
        <v>0.23</v>
      </c>
      <c r="R78" s="42">
        <f>MAX(INDEX(Assumptions!$B:$B,MATCH("V2 Mini cost floor ($/kg)",Assumptions!$A:$A,0))*INDEX(Assumptions!$B:$B,MATCH("V2 Mini Mass (kg)",Assumptions!$A:$A,0))/1000000,$D$78*(1-INDEX(Assumptions!$B:$B,MATCH("V2 Mini cost per kg — learning rate",Assumptions!$A:$A,0)))^R$5)</f>
        <v>0.23</v>
      </c>
      <c r="S78" s="42">
        <f>MAX(INDEX(Assumptions!$B:$B,MATCH("V2 Mini cost floor ($/kg)",Assumptions!$A:$A,0))*INDEX(Assumptions!$B:$B,MATCH("V2 Mini Mass (kg)",Assumptions!$A:$A,0))/1000000,$D$78*(1-INDEX(Assumptions!$B:$B,MATCH("V2 Mini cost per kg — learning rate",Assumptions!$A:$A,0)))^S$5)</f>
        <v>0.23</v>
      </c>
      <c r="T78" s="42">
        <f>MAX(INDEX(Assumptions!$B:$B,MATCH("V2 Mini cost floor ($/kg)",Assumptions!$A:$A,0))*INDEX(Assumptions!$B:$B,MATCH("V2 Mini Mass (kg)",Assumptions!$A:$A,0))/1000000,$D$78*(1-INDEX(Assumptions!$B:$B,MATCH("V2 Mini cost per kg — learning rate",Assumptions!$A:$A,0)))^T$5)</f>
        <v>0.23</v>
      </c>
      <c r="U78" s="42">
        <f>MAX(INDEX(Assumptions!$B:$B,MATCH("V2 Mini cost floor ($/kg)",Assumptions!$A:$A,0))*INDEX(Assumptions!$B:$B,MATCH("V2 Mini Mass (kg)",Assumptions!$A:$A,0))/1000000,$D$78*(1-INDEX(Assumptions!$B:$B,MATCH("V2 Mini cost per kg — learning rate",Assumptions!$A:$A,0)))^U$5)</f>
        <v>0.23</v>
      </c>
      <c r="V78" s="42">
        <f>MAX(INDEX(Assumptions!$B:$B,MATCH("V2 Mini cost floor ($/kg)",Assumptions!$A:$A,0))*INDEX(Assumptions!$B:$B,MATCH("V2 Mini Mass (kg)",Assumptions!$A:$A,0))/1000000,$D$78*(1-INDEX(Assumptions!$B:$B,MATCH("V2 Mini cost per kg — learning rate",Assumptions!$A:$A,0)))^V$5)</f>
        <v>0.23</v>
      </c>
      <c r="W78" s="42">
        <f>MAX(INDEX(Assumptions!$B:$B,MATCH("V2 Mini cost floor ($/kg)",Assumptions!$A:$A,0))*INDEX(Assumptions!$B:$B,MATCH("V2 Mini Mass (kg)",Assumptions!$A:$A,0))/1000000,$D$78*(1-INDEX(Assumptions!$B:$B,MATCH("V2 Mini cost per kg — learning rate",Assumptions!$A:$A,0)))^W$5)</f>
        <v>0.23</v>
      </c>
      <c r="X78" s="42">
        <f>MAX(INDEX(Assumptions!$B:$B,MATCH("V2 Mini cost floor ($/kg)",Assumptions!$A:$A,0))*INDEX(Assumptions!$B:$B,MATCH("V2 Mini Mass (kg)",Assumptions!$A:$A,0))/1000000,$D$78*(1-INDEX(Assumptions!$B:$B,MATCH("V2 Mini cost per kg — learning rate",Assumptions!$A:$A,0)))^X$5)</f>
        <v>0.23</v>
      </c>
      <c r="Y78" s="42">
        <f>MAX(INDEX(Assumptions!$B:$B,MATCH("V2 Mini cost floor ($/kg)",Assumptions!$A:$A,0))*INDEX(Assumptions!$B:$B,MATCH("V2 Mini Mass (kg)",Assumptions!$A:$A,0))/1000000,$D$78*(1-INDEX(Assumptions!$B:$B,MATCH("V2 Mini cost per kg — learning rate",Assumptions!$A:$A,0)))^Y$5)</f>
        <v>0.23</v>
      </c>
      <c r="Z78" s="42">
        <f>MAX(INDEX(Assumptions!$B:$B,MATCH("V2 Mini cost floor ($/kg)",Assumptions!$A:$A,0))*INDEX(Assumptions!$B:$B,MATCH("V2 Mini Mass (kg)",Assumptions!$A:$A,0))/1000000,$D$78*(1-INDEX(Assumptions!$B:$B,MATCH("V2 Mini cost per kg — learning rate",Assumptions!$A:$A,0)))^Z$5)</f>
        <v>0.23</v>
      </c>
      <c r="AA78" s="42">
        <f>MAX(INDEX(Assumptions!$B:$B,MATCH("V2 Mini cost floor ($/kg)",Assumptions!$A:$A,0))*INDEX(Assumptions!$B:$B,MATCH("V2 Mini Mass (kg)",Assumptions!$A:$A,0))/1000000,$D$78*(1-INDEX(Assumptions!$B:$B,MATCH("V2 Mini cost per kg — learning rate",Assumptions!$A:$A,0)))^AA$5)</f>
        <v>0.23</v>
      </c>
      <c r="AB78" s="42">
        <f>MAX(INDEX(Assumptions!$B:$B,MATCH("V2 Mini cost floor ($/kg)",Assumptions!$A:$A,0))*INDEX(Assumptions!$B:$B,MATCH("V2 Mini Mass (kg)",Assumptions!$A:$A,0))/1000000,$D$78*(1-INDEX(Assumptions!$B:$B,MATCH("V2 Mini cost per kg — learning rate",Assumptions!$A:$A,0)))^AB$5)</f>
        <v>0.23</v>
      </c>
      <c r="AC78" s="42">
        <f>MAX(INDEX(Assumptions!$B:$B,MATCH("V2 Mini cost floor ($/kg)",Assumptions!$A:$A,0))*INDEX(Assumptions!$B:$B,MATCH("V2 Mini Mass (kg)",Assumptions!$A:$A,0))/1000000,$D$78*(1-INDEX(Assumptions!$B:$B,MATCH("V2 Mini cost per kg — learning rate",Assumptions!$A:$A,0)))^AC$5)</f>
        <v>0.23</v>
      </c>
    </row>
    <row r="79" spans="1:29" x14ac:dyDescent="0.2">
      <c r="A79" t="s">
        <v>860</v>
      </c>
      <c r="D79" s="42">
        <f>D78</f>
        <v>0.37375000000000003</v>
      </c>
      <c r="E79" s="42">
        <f t="shared" ref="E79:AC79" si="6">E78</f>
        <v>0.3550625</v>
      </c>
      <c r="F79" s="42">
        <f t="shared" si="6"/>
        <v>0.33730937500000002</v>
      </c>
      <c r="G79" s="42">
        <f t="shared" si="6"/>
        <v>0.32044390624999997</v>
      </c>
      <c r="H79" s="42">
        <f t="shared" si="6"/>
        <v>0.30442171093750003</v>
      </c>
      <c r="I79" s="42">
        <f t="shared" si="6"/>
        <v>0.28920062539062502</v>
      </c>
      <c r="J79" s="42">
        <f t="shared" si="6"/>
        <v>0.27474059412109375</v>
      </c>
      <c r="K79" s="42">
        <f t="shared" si="6"/>
        <v>0.26100356441503908</v>
      </c>
      <c r="L79" s="42">
        <f t="shared" si="6"/>
        <v>0.24795338619428711</v>
      </c>
      <c r="M79" s="42">
        <f t="shared" si="6"/>
        <v>0.23555571688457275</v>
      </c>
      <c r="N79" s="42">
        <f t="shared" si="6"/>
        <v>0.23</v>
      </c>
      <c r="O79" s="42">
        <f t="shared" si="6"/>
        <v>0.23</v>
      </c>
      <c r="P79" s="42">
        <f t="shared" si="6"/>
        <v>0.23</v>
      </c>
      <c r="Q79" s="42">
        <f t="shared" si="6"/>
        <v>0.23</v>
      </c>
      <c r="R79" s="42">
        <f t="shared" si="6"/>
        <v>0.23</v>
      </c>
      <c r="S79" s="42">
        <f t="shared" si="6"/>
        <v>0.23</v>
      </c>
      <c r="T79" s="42">
        <f t="shared" si="6"/>
        <v>0.23</v>
      </c>
      <c r="U79" s="42">
        <f t="shared" si="6"/>
        <v>0.23</v>
      </c>
      <c r="V79" s="42">
        <f t="shared" si="6"/>
        <v>0.23</v>
      </c>
      <c r="W79" s="42">
        <f t="shared" si="6"/>
        <v>0.23</v>
      </c>
      <c r="X79" s="42">
        <f t="shared" si="6"/>
        <v>0.23</v>
      </c>
      <c r="Y79" s="42">
        <f t="shared" si="6"/>
        <v>0.23</v>
      </c>
      <c r="Z79" s="42">
        <f t="shared" si="6"/>
        <v>0.23</v>
      </c>
      <c r="AA79" s="42">
        <f t="shared" si="6"/>
        <v>0.23</v>
      </c>
      <c r="AB79" s="42">
        <f t="shared" si="6"/>
        <v>0.23</v>
      </c>
      <c r="AC79" s="42">
        <f t="shared" si="6"/>
        <v>0.23</v>
      </c>
    </row>
    <row r="80" spans="1:29" x14ac:dyDescent="0.2">
      <c r="A80" t="s">
        <v>861</v>
      </c>
      <c r="D80" s="42">
        <f>INDEX(Assumptions!$B:$B,MATCH("Satellite cost per kg — base year ($/kg)",Assumptions!$A:$A,0))*INDEX(Assumptions!$B:$B,MATCH("V3 Mass (kg)",Assumptions!$A:$A,0))/1000000</f>
        <v>1.3</v>
      </c>
      <c r="E80" s="42">
        <f>MAX(INDEX(Assumptions!$B:$B,MATCH("Satellite cost floor ($/kg)",Assumptions!$A:$A,0))*INDEX(Assumptions!$B:$B,MATCH("V3 Mass (kg)",Assumptions!$A:$A,0))/1000000,$D$80*(1-INDEX(Assumptions!$B:$B,MATCH("Satellite cost per kg — learning rate",Assumptions!$A:$A,0)))^E$5)</f>
        <v>1.2349999999999999</v>
      </c>
      <c r="F80" s="42">
        <f>MAX(INDEX(Assumptions!$B:$B,MATCH("Satellite cost floor ($/kg)",Assumptions!$A:$A,0))*INDEX(Assumptions!$B:$B,MATCH("V3 Mass (kg)",Assumptions!$A:$A,0))/1000000,$D$80*(1-INDEX(Assumptions!$B:$B,MATCH("Satellite cost per kg — learning rate",Assumptions!$A:$A,0)))^F$5)</f>
        <v>1.1732499999999999</v>
      </c>
      <c r="G80" s="42">
        <f>MAX(INDEX(Assumptions!$B:$B,MATCH("Satellite cost floor ($/kg)",Assumptions!$A:$A,0))*INDEX(Assumptions!$B:$B,MATCH("V3 Mass (kg)",Assumptions!$A:$A,0))/1000000,$D$80*(1-INDEX(Assumptions!$B:$B,MATCH("Satellite cost per kg — learning rate",Assumptions!$A:$A,0)))^G$5)</f>
        <v>1.1145874999999998</v>
      </c>
      <c r="H80" s="42">
        <f>MAX(INDEX(Assumptions!$B:$B,MATCH("Satellite cost floor ($/kg)",Assumptions!$A:$A,0))*INDEX(Assumptions!$B:$B,MATCH("V3 Mass (kg)",Assumptions!$A:$A,0))/1000000,$D$80*(1-INDEX(Assumptions!$B:$B,MATCH("Satellite cost per kg — learning rate",Assumptions!$A:$A,0)))^H$5)</f>
        <v>1.058858125</v>
      </c>
      <c r="I80" s="42">
        <f>MAX(INDEX(Assumptions!$B:$B,MATCH("Satellite cost floor ($/kg)",Assumptions!$A:$A,0))*INDEX(Assumptions!$B:$B,MATCH("V3 Mass (kg)",Assumptions!$A:$A,0))/1000000,$D$80*(1-INDEX(Assumptions!$B:$B,MATCH("Satellite cost per kg — learning rate",Assumptions!$A:$A,0)))^I$5)</f>
        <v>1.00591521875</v>
      </c>
      <c r="J80" s="42">
        <f>MAX(INDEX(Assumptions!$B:$B,MATCH("Satellite cost floor ($/kg)",Assumptions!$A:$A,0))*INDEX(Assumptions!$B:$B,MATCH("V3 Mass (kg)",Assumptions!$A:$A,0))/1000000,$D$80*(1-INDEX(Assumptions!$B:$B,MATCH("Satellite cost per kg — learning rate",Assumptions!$A:$A,0)))^J$5)</f>
        <v>0.95561945781249991</v>
      </c>
      <c r="K80" s="42">
        <f>MAX(INDEX(Assumptions!$B:$B,MATCH("Satellite cost floor ($/kg)",Assumptions!$A:$A,0))*INDEX(Assumptions!$B:$B,MATCH("V3 Mass (kg)",Assumptions!$A:$A,0))/1000000,$D$80*(1-INDEX(Assumptions!$B:$B,MATCH("Satellite cost per kg — learning rate",Assumptions!$A:$A,0)))^K$5)</f>
        <v>0.90783848492187491</v>
      </c>
      <c r="L80" s="42">
        <f>MAX(INDEX(Assumptions!$B:$B,MATCH("Satellite cost floor ($/kg)",Assumptions!$A:$A,0))*INDEX(Assumptions!$B:$B,MATCH("V3 Mass (kg)",Assumptions!$A:$A,0))/1000000,$D$80*(1-INDEX(Assumptions!$B:$B,MATCH("Satellite cost per kg — learning rate",Assumptions!$A:$A,0)))^L$5)</f>
        <v>0.86244656067578129</v>
      </c>
      <c r="M80" s="42">
        <f>MAX(INDEX(Assumptions!$B:$B,MATCH("Satellite cost floor ($/kg)",Assumptions!$A:$A,0))*INDEX(Assumptions!$B:$B,MATCH("V3 Mass (kg)",Assumptions!$A:$A,0))/1000000,$D$80*(1-INDEX(Assumptions!$B:$B,MATCH("Satellite cost per kg — learning rate",Assumptions!$A:$A,0)))^M$5)</f>
        <v>0.81932423264199217</v>
      </c>
      <c r="N80" s="42">
        <f>MAX(INDEX(Assumptions!$B:$B,MATCH("Satellite cost floor ($/kg)",Assumptions!$A:$A,0))*INDEX(Assumptions!$B:$B,MATCH("V3 Mass (kg)",Assumptions!$A:$A,0))/1000000,$D$80*(1-INDEX(Assumptions!$B:$B,MATCH("Satellite cost per kg — learning rate",Assumptions!$A:$A,0)))^N$5)</f>
        <v>0.8</v>
      </c>
      <c r="O80" s="42">
        <f>MAX(INDEX(Assumptions!$B:$B,MATCH("Satellite cost floor ($/kg)",Assumptions!$A:$A,0))*INDEX(Assumptions!$B:$B,MATCH("V3 Mass (kg)",Assumptions!$A:$A,0))/1000000,$D$80*(1-INDEX(Assumptions!$B:$B,MATCH("Satellite cost per kg — learning rate",Assumptions!$A:$A,0)))^O$5)</f>
        <v>0.8</v>
      </c>
      <c r="P80" s="42">
        <f>MAX(INDEX(Assumptions!$B:$B,MATCH("Satellite cost floor ($/kg)",Assumptions!$A:$A,0))*INDEX(Assumptions!$B:$B,MATCH("V3 Mass (kg)",Assumptions!$A:$A,0))/1000000,$D$80*(1-INDEX(Assumptions!$B:$B,MATCH("Satellite cost per kg — learning rate",Assumptions!$A:$A,0)))^P$5)</f>
        <v>0.8</v>
      </c>
      <c r="Q80" s="42">
        <f>MAX(INDEX(Assumptions!$B:$B,MATCH("Satellite cost floor ($/kg)",Assumptions!$A:$A,0))*INDEX(Assumptions!$B:$B,MATCH("V3 Mass (kg)",Assumptions!$A:$A,0))/1000000,$D$80*(1-INDEX(Assumptions!$B:$B,MATCH("Satellite cost per kg — learning rate",Assumptions!$A:$A,0)))^Q$5)</f>
        <v>0.8</v>
      </c>
      <c r="R80" s="42">
        <f>MAX(INDEX(Assumptions!$B:$B,MATCH("Satellite cost floor ($/kg)",Assumptions!$A:$A,0))*INDEX(Assumptions!$B:$B,MATCH("V3 Mass (kg)",Assumptions!$A:$A,0))/1000000,$D$80*(1-INDEX(Assumptions!$B:$B,MATCH("Satellite cost per kg — learning rate",Assumptions!$A:$A,0)))^R$5)</f>
        <v>0.8</v>
      </c>
      <c r="S80" s="42">
        <f>MAX(INDEX(Assumptions!$B:$B,MATCH("Satellite cost floor ($/kg)",Assumptions!$A:$A,0))*INDEX(Assumptions!$B:$B,MATCH("V3 Mass (kg)",Assumptions!$A:$A,0))/1000000,$D$80*(1-INDEX(Assumptions!$B:$B,MATCH("Satellite cost per kg — learning rate",Assumptions!$A:$A,0)))^S$5)</f>
        <v>0.8</v>
      </c>
      <c r="T80" s="42">
        <f>MAX(INDEX(Assumptions!$B:$B,MATCH("Satellite cost floor ($/kg)",Assumptions!$A:$A,0))*INDEX(Assumptions!$B:$B,MATCH("V3 Mass (kg)",Assumptions!$A:$A,0))/1000000,$D$80*(1-INDEX(Assumptions!$B:$B,MATCH("Satellite cost per kg — learning rate",Assumptions!$A:$A,0)))^T$5)</f>
        <v>0.8</v>
      </c>
      <c r="U80" s="42">
        <f>MAX(INDEX(Assumptions!$B:$B,MATCH("Satellite cost floor ($/kg)",Assumptions!$A:$A,0))*INDEX(Assumptions!$B:$B,MATCH("V3 Mass (kg)",Assumptions!$A:$A,0))/1000000,$D$80*(1-INDEX(Assumptions!$B:$B,MATCH("Satellite cost per kg — learning rate",Assumptions!$A:$A,0)))^U$5)</f>
        <v>0.8</v>
      </c>
      <c r="V80" s="42">
        <f>MAX(INDEX(Assumptions!$B:$B,MATCH("Satellite cost floor ($/kg)",Assumptions!$A:$A,0))*INDEX(Assumptions!$B:$B,MATCH("V3 Mass (kg)",Assumptions!$A:$A,0))/1000000,$D$80*(1-INDEX(Assumptions!$B:$B,MATCH("Satellite cost per kg — learning rate",Assumptions!$A:$A,0)))^V$5)</f>
        <v>0.8</v>
      </c>
      <c r="W80" s="42">
        <f>MAX(INDEX(Assumptions!$B:$B,MATCH("Satellite cost floor ($/kg)",Assumptions!$A:$A,0))*INDEX(Assumptions!$B:$B,MATCH("V3 Mass (kg)",Assumptions!$A:$A,0))/1000000,$D$80*(1-INDEX(Assumptions!$B:$B,MATCH("Satellite cost per kg — learning rate",Assumptions!$A:$A,0)))^W$5)</f>
        <v>0.8</v>
      </c>
      <c r="X80" s="42">
        <f>MAX(INDEX(Assumptions!$B:$B,MATCH("Satellite cost floor ($/kg)",Assumptions!$A:$A,0))*INDEX(Assumptions!$B:$B,MATCH("V3 Mass (kg)",Assumptions!$A:$A,0))/1000000,$D$80*(1-INDEX(Assumptions!$B:$B,MATCH("Satellite cost per kg — learning rate",Assumptions!$A:$A,0)))^X$5)</f>
        <v>0.8</v>
      </c>
      <c r="Y80" s="42">
        <f>MAX(INDEX(Assumptions!$B:$B,MATCH("Satellite cost floor ($/kg)",Assumptions!$A:$A,0))*INDEX(Assumptions!$B:$B,MATCH("V3 Mass (kg)",Assumptions!$A:$A,0))/1000000,$D$80*(1-INDEX(Assumptions!$B:$B,MATCH("Satellite cost per kg — learning rate",Assumptions!$A:$A,0)))^Y$5)</f>
        <v>0.8</v>
      </c>
      <c r="Z80" s="42">
        <f>MAX(INDEX(Assumptions!$B:$B,MATCH("Satellite cost floor ($/kg)",Assumptions!$A:$A,0))*INDEX(Assumptions!$B:$B,MATCH("V3 Mass (kg)",Assumptions!$A:$A,0))/1000000,$D$80*(1-INDEX(Assumptions!$B:$B,MATCH("Satellite cost per kg — learning rate",Assumptions!$A:$A,0)))^Z$5)</f>
        <v>0.8</v>
      </c>
      <c r="AA80" s="42">
        <f>MAX(INDEX(Assumptions!$B:$B,MATCH("Satellite cost floor ($/kg)",Assumptions!$A:$A,0))*INDEX(Assumptions!$B:$B,MATCH("V3 Mass (kg)",Assumptions!$A:$A,0))/1000000,$D$80*(1-INDEX(Assumptions!$B:$B,MATCH("Satellite cost per kg — learning rate",Assumptions!$A:$A,0)))^AA$5)</f>
        <v>0.8</v>
      </c>
      <c r="AB80" s="42">
        <f>MAX(INDEX(Assumptions!$B:$B,MATCH("Satellite cost floor ($/kg)",Assumptions!$A:$A,0))*INDEX(Assumptions!$B:$B,MATCH("V3 Mass (kg)",Assumptions!$A:$A,0))/1000000,$D$80*(1-INDEX(Assumptions!$B:$B,MATCH("Satellite cost per kg — learning rate",Assumptions!$A:$A,0)))^AB$5)</f>
        <v>0.8</v>
      </c>
      <c r="AC80" s="42">
        <f>MAX(INDEX(Assumptions!$B:$B,MATCH("Satellite cost floor ($/kg)",Assumptions!$A:$A,0))*INDEX(Assumptions!$B:$B,MATCH("V3 Mass (kg)",Assumptions!$A:$A,0))/1000000,$D$80*(1-INDEX(Assumptions!$B:$B,MATCH("Satellite cost per kg — learning rate",Assumptions!$A:$A,0)))^AC$5)</f>
        <v>0.8</v>
      </c>
    </row>
    <row r="81" spans="1:29" x14ac:dyDescent="0.2">
      <c r="A81" t="s">
        <v>862</v>
      </c>
      <c r="D81" s="42">
        <f>D80</f>
        <v>1.3</v>
      </c>
      <c r="E81" s="42">
        <f t="shared" ref="E81:AC81" si="7">E80</f>
        <v>1.2349999999999999</v>
      </c>
      <c r="F81" s="42">
        <f t="shared" si="7"/>
        <v>1.1732499999999999</v>
      </c>
      <c r="G81" s="42">
        <f t="shared" si="7"/>
        <v>1.1145874999999998</v>
      </c>
      <c r="H81" s="42">
        <f t="shared" si="7"/>
        <v>1.058858125</v>
      </c>
      <c r="I81" s="42">
        <f t="shared" si="7"/>
        <v>1.00591521875</v>
      </c>
      <c r="J81" s="42">
        <f t="shared" si="7"/>
        <v>0.95561945781249991</v>
      </c>
      <c r="K81" s="42">
        <f t="shared" si="7"/>
        <v>0.90783848492187491</v>
      </c>
      <c r="L81" s="42">
        <f t="shared" si="7"/>
        <v>0.86244656067578129</v>
      </c>
      <c r="M81" s="42">
        <f t="shared" si="7"/>
        <v>0.81932423264199217</v>
      </c>
      <c r="N81" s="42">
        <f t="shared" si="7"/>
        <v>0.8</v>
      </c>
      <c r="O81" s="42">
        <f t="shared" si="7"/>
        <v>0.8</v>
      </c>
      <c r="P81" s="42">
        <f t="shared" si="7"/>
        <v>0.8</v>
      </c>
      <c r="Q81" s="42">
        <f t="shared" si="7"/>
        <v>0.8</v>
      </c>
      <c r="R81" s="42">
        <f t="shared" si="7"/>
        <v>0.8</v>
      </c>
      <c r="S81" s="42">
        <f t="shared" si="7"/>
        <v>0.8</v>
      </c>
      <c r="T81" s="42">
        <f t="shared" si="7"/>
        <v>0.8</v>
      </c>
      <c r="U81" s="42">
        <f t="shared" si="7"/>
        <v>0.8</v>
      </c>
      <c r="V81" s="42">
        <f t="shared" si="7"/>
        <v>0.8</v>
      </c>
      <c r="W81" s="42">
        <f t="shared" si="7"/>
        <v>0.8</v>
      </c>
      <c r="X81" s="42">
        <f t="shared" si="7"/>
        <v>0.8</v>
      </c>
      <c r="Y81" s="42">
        <f t="shared" si="7"/>
        <v>0.8</v>
      </c>
      <c r="Z81" s="42">
        <f t="shared" si="7"/>
        <v>0.8</v>
      </c>
      <c r="AA81" s="42">
        <f t="shared" si="7"/>
        <v>0.8</v>
      </c>
      <c r="AB81" s="42">
        <f t="shared" si="7"/>
        <v>0.8</v>
      </c>
      <c r="AC81" s="42">
        <f t="shared" si="7"/>
        <v>0.8</v>
      </c>
    </row>
    <row r="83" spans="1:29" x14ac:dyDescent="0.2">
      <c r="A83" t="s">
        <v>863</v>
      </c>
      <c r="D83" s="43">
        <f>INDEX(Assumptions!$B:$B,MATCH("Facility CapEx per satellite — base year ($)",Assumptions!$A:$A,0))/1000000</f>
        <v>9.0649999999999994E-2</v>
      </c>
      <c r="E83" s="43">
        <f>$D$83*(1-INDEX(Assumptions!$B:$B,MATCH("Facility CapEx — learning rate",Assumptions!$A:$A,0)))^E$5</f>
        <v>8.1584999999999991E-2</v>
      </c>
      <c r="F83" s="43">
        <f>$D$83*(1-INDEX(Assumptions!$B:$B,MATCH("Facility CapEx — learning rate",Assumptions!$A:$A,0)))^F$5</f>
        <v>7.3426500000000006E-2</v>
      </c>
      <c r="G83" s="43">
        <f>$D$83*(1-INDEX(Assumptions!$B:$B,MATCH("Facility CapEx — learning rate",Assumptions!$A:$A,0)))^G$5</f>
        <v>6.608385E-2</v>
      </c>
      <c r="H83" s="43">
        <f>$D$83*(1-INDEX(Assumptions!$B:$B,MATCH("Facility CapEx — learning rate",Assumptions!$A:$A,0)))^H$5</f>
        <v>5.9475465000000005E-2</v>
      </c>
      <c r="I83" s="43">
        <f>$D$83*(1-INDEX(Assumptions!$B:$B,MATCH("Facility CapEx — learning rate",Assumptions!$A:$A,0)))^I$5</f>
        <v>5.3527918500000014E-2</v>
      </c>
      <c r="J83" s="43">
        <f>$D$83*(1-INDEX(Assumptions!$B:$B,MATCH("Facility CapEx — learning rate",Assumptions!$A:$A,0)))^J$5</f>
        <v>4.8175126650000011E-2</v>
      </c>
      <c r="K83" s="43">
        <f>$D$83*(1-INDEX(Assumptions!$B:$B,MATCH("Facility CapEx — learning rate",Assumptions!$A:$A,0)))^K$5</f>
        <v>4.3357613985000008E-2</v>
      </c>
      <c r="L83" s="43">
        <f>$D$83*(1-INDEX(Assumptions!$B:$B,MATCH("Facility CapEx — learning rate",Assumptions!$A:$A,0)))^L$5</f>
        <v>3.9021852586500011E-2</v>
      </c>
      <c r="M83" s="43">
        <f>$D$83*(1-INDEX(Assumptions!$B:$B,MATCH("Facility CapEx — learning rate",Assumptions!$A:$A,0)))^M$5</f>
        <v>3.5119667327850011E-2</v>
      </c>
      <c r="N83" s="43">
        <f>$D$83*(1-INDEX(Assumptions!$B:$B,MATCH("Facility CapEx — learning rate",Assumptions!$A:$A,0)))^N$5</f>
        <v>3.1607700595065014E-2</v>
      </c>
      <c r="O83" s="43">
        <f>$D$83*(1-INDEX(Assumptions!$B:$B,MATCH("Facility CapEx — learning rate",Assumptions!$A:$A,0)))^O$5</f>
        <v>2.8446930535558513E-2</v>
      </c>
      <c r="P83" s="43">
        <f>$D$83*(1-INDEX(Assumptions!$B:$B,MATCH("Facility CapEx — learning rate",Assumptions!$A:$A,0)))^P$5</f>
        <v>2.5602237482002663E-2</v>
      </c>
      <c r="Q83" s="43">
        <f>$D$83*(1-INDEX(Assumptions!$B:$B,MATCH("Facility CapEx — learning rate",Assumptions!$A:$A,0)))^Q$5</f>
        <v>2.3042013733802401E-2</v>
      </c>
      <c r="R83" s="43">
        <f>$D$83*(1-INDEX(Assumptions!$B:$B,MATCH("Facility CapEx — learning rate",Assumptions!$A:$A,0)))^R$5</f>
        <v>2.0737812360422159E-2</v>
      </c>
      <c r="S83" s="43">
        <f>$D$83*(1-INDEX(Assumptions!$B:$B,MATCH("Facility CapEx — learning rate",Assumptions!$A:$A,0)))^S$5</f>
        <v>1.8664031124379941E-2</v>
      </c>
      <c r="T83" s="43">
        <f>$D$83*(1-INDEX(Assumptions!$B:$B,MATCH("Facility CapEx — learning rate",Assumptions!$A:$A,0)))^T$5</f>
        <v>1.6797628011941949E-2</v>
      </c>
      <c r="U83" s="43">
        <f>$D$83*(1-INDEX(Assumptions!$B:$B,MATCH("Facility CapEx — learning rate",Assumptions!$A:$A,0)))^U$5</f>
        <v>1.5117865210747755E-2</v>
      </c>
      <c r="V83" s="43">
        <f>$D$83*(1-INDEX(Assumptions!$B:$B,MATCH("Facility CapEx — learning rate",Assumptions!$A:$A,0)))^V$5</f>
        <v>1.3606078689672979E-2</v>
      </c>
      <c r="W83" s="43">
        <f>$D$83*(1-INDEX(Assumptions!$B:$B,MATCH("Facility CapEx — learning rate",Assumptions!$A:$A,0)))^W$5</f>
        <v>1.2245470820705684E-2</v>
      </c>
      <c r="X83" s="43">
        <f>$D$83*(1-INDEX(Assumptions!$B:$B,MATCH("Facility CapEx — learning rate",Assumptions!$A:$A,0)))^X$5</f>
        <v>1.1020923738635115E-2</v>
      </c>
      <c r="Y83" s="43">
        <f>$D$83*(1-INDEX(Assumptions!$B:$B,MATCH("Facility CapEx — learning rate",Assumptions!$A:$A,0)))^Y$5</f>
        <v>9.9188313647716048E-3</v>
      </c>
      <c r="Z83" s="43">
        <f>$D$83*(1-INDEX(Assumptions!$B:$B,MATCH("Facility CapEx — learning rate",Assumptions!$A:$A,0)))^Z$5</f>
        <v>8.9269482282944446E-3</v>
      </c>
      <c r="AA83" s="43">
        <f>$D$83*(1-INDEX(Assumptions!$B:$B,MATCH("Facility CapEx — learning rate",Assumptions!$A:$A,0)))^AA$5</f>
        <v>8.034253405465E-3</v>
      </c>
      <c r="AB83" s="43">
        <f>$D$83*(1-INDEX(Assumptions!$B:$B,MATCH("Facility CapEx — learning rate",Assumptions!$A:$A,0)))^AB$5</f>
        <v>7.2308280649185002E-3</v>
      </c>
      <c r="AC83" s="43">
        <f>$D$83*(1-INDEX(Assumptions!$B:$B,MATCH("Facility CapEx — learning rate",Assumptions!$A:$A,0)))^AC$5</f>
        <v>6.5077452584266513E-3</v>
      </c>
    </row>
    <row r="84" spans="1:29" x14ac:dyDescent="0.2">
      <c r="A84" t="s">
        <v>864</v>
      </c>
      <c r="D84" s="43">
        <f>D83</f>
        <v>9.0649999999999994E-2</v>
      </c>
      <c r="E84" s="43">
        <f t="shared" ref="E84:AC84" si="8">E83</f>
        <v>8.1584999999999991E-2</v>
      </c>
      <c r="F84" s="43">
        <f t="shared" si="8"/>
        <v>7.3426500000000006E-2</v>
      </c>
      <c r="G84" s="43">
        <f t="shared" si="8"/>
        <v>6.608385E-2</v>
      </c>
      <c r="H84" s="43">
        <f t="shared" si="8"/>
        <v>5.9475465000000005E-2</v>
      </c>
      <c r="I84" s="43">
        <f t="shared" si="8"/>
        <v>5.3527918500000014E-2</v>
      </c>
      <c r="J84" s="43">
        <f t="shared" si="8"/>
        <v>4.8175126650000011E-2</v>
      </c>
      <c r="K84" s="43">
        <f t="shared" si="8"/>
        <v>4.3357613985000008E-2</v>
      </c>
      <c r="L84" s="43">
        <f t="shared" si="8"/>
        <v>3.9021852586500011E-2</v>
      </c>
      <c r="M84" s="43">
        <f t="shared" si="8"/>
        <v>3.5119667327850011E-2</v>
      </c>
      <c r="N84" s="43">
        <f t="shared" si="8"/>
        <v>3.1607700595065014E-2</v>
      </c>
      <c r="O84" s="43">
        <f t="shared" si="8"/>
        <v>2.8446930535558513E-2</v>
      </c>
      <c r="P84" s="43">
        <f t="shared" si="8"/>
        <v>2.5602237482002663E-2</v>
      </c>
      <c r="Q84" s="43">
        <f t="shared" si="8"/>
        <v>2.3042013733802401E-2</v>
      </c>
      <c r="R84" s="43">
        <f t="shared" si="8"/>
        <v>2.0737812360422159E-2</v>
      </c>
      <c r="S84" s="43">
        <f t="shared" si="8"/>
        <v>1.8664031124379941E-2</v>
      </c>
      <c r="T84" s="43">
        <f t="shared" si="8"/>
        <v>1.6797628011941949E-2</v>
      </c>
      <c r="U84" s="43">
        <f t="shared" si="8"/>
        <v>1.5117865210747755E-2</v>
      </c>
      <c r="V84" s="43">
        <f t="shared" si="8"/>
        <v>1.3606078689672979E-2</v>
      </c>
      <c r="W84" s="43">
        <f t="shared" si="8"/>
        <v>1.2245470820705684E-2</v>
      </c>
      <c r="X84" s="43">
        <f t="shared" si="8"/>
        <v>1.1020923738635115E-2</v>
      </c>
      <c r="Y84" s="43">
        <f t="shared" si="8"/>
        <v>9.9188313647716048E-3</v>
      </c>
      <c r="Z84" s="43">
        <f t="shared" si="8"/>
        <v>8.9269482282944446E-3</v>
      </c>
      <c r="AA84" s="43">
        <f t="shared" si="8"/>
        <v>8.034253405465E-3</v>
      </c>
      <c r="AB84" s="43">
        <f t="shared" si="8"/>
        <v>7.2308280649185002E-3</v>
      </c>
      <c r="AC84" s="43">
        <f t="shared" si="8"/>
        <v>6.5077452584266513E-3</v>
      </c>
    </row>
    <row r="85" spans="1:29" x14ac:dyDescent="0.2">
      <c r="A85" t="s">
        <v>865</v>
      </c>
      <c r="D85" s="43">
        <f>D83</f>
        <v>9.0649999999999994E-2</v>
      </c>
      <c r="E85" s="43">
        <f t="shared" ref="E85:AC85" si="9">E83</f>
        <v>8.1584999999999991E-2</v>
      </c>
      <c r="F85" s="43">
        <f t="shared" si="9"/>
        <v>7.3426500000000006E-2</v>
      </c>
      <c r="G85" s="43">
        <f t="shared" si="9"/>
        <v>6.608385E-2</v>
      </c>
      <c r="H85" s="43">
        <f t="shared" si="9"/>
        <v>5.9475465000000005E-2</v>
      </c>
      <c r="I85" s="43">
        <f t="shared" si="9"/>
        <v>5.3527918500000014E-2</v>
      </c>
      <c r="J85" s="43">
        <f t="shared" si="9"/>
        <v>4.8175126650000011E-2</v>
      </c>
      <c r="K85" s="43">
        <f t="shared" si="9"/>
        <v>4.3357613985000008E-2</v>
      </c>
      <c r="L85" s="43">
        <f t="shared" si="9"/>
        <v>3.9021852586500011E-2</v>
      </c>
      <c r="M85" s="43">
        <f t="shared" si="9"/>
        <v>3.5119667327850011E-2</v>
      </c>
      <c r="N85" s="43">
        <f t="shared" si="9"/>
        <v>3.1607700595065014E-2</v>
      </c>
      <c r="O85" s="43">
        <f t="shared" si="9"/>
        <v>2.8446930535558513E-2</v>
      </c>
      <c r="P85" s="43">
        <f t="shared" si="9"/>
        <v>2.5602237482002663E-2</v>
      </c>
      <c r="Q85" s="43">
        <f t="shared" si="9"/>
        <v>2.3042013733802401E-2</v>
      </c>
      <c r="R85" s="43">
        <f t="shared" si="9"/>
        <v>2.0737812360422159E-2</v>
      </c>
      <c r="S85" s="43">
        <f t="shared" si="9"/>
        <v>1.8664031124379941E-2</v>
      </c>
      <c r="T85" s="43">
        <f t="shared" si="9"/>
        <v>1.6797628011941949E-2</v>
      </c>
      <c r="U85" s="43">
        <f t="shared" si="9"/>
        <v>1.5117865210747755E-2</v>
      </c>
      <c r="V85" s="43">
        <f t="shared" si="9"/>
        <v>1.3606078689672979E-2</v>
      </c>
      <c r="W85" s="43">
        <f t="shared" si="9"/>
        <v>1.2245470820705684E-2</v>
      </c>
      <c r="X85" s="43">
        <f t="shared" si="9"/>
        <v>1.1020923738635115E-2</v>
      </c>
      <c r="Y85" s="43">
        <f t="shared" si="9"/>
        <v>9.9188313647716048E-3</v>
      </c>
      <c r="Z85" s="43">
        <f t="shared" si="9"/>
        <v>8.9269482282944446E-3</v>
      </c>
      <c r="AA85" s="43">
        <f t="shared" si="9"/>
        <v>8.034253405465E-3</v>
      </c>
      <c r="AB85" s="43">
        <f t="shared" si="9"/>
        <v>7.2308280649185002E-3</v>
      </c>
      <c r="AC85" s="43">
        <f t="shared" si="9"/>
        <v>6.5077452584266513E-3</v>
      </c>
    </row>
    <row r="86" spans="1:29" x14ac:dyDescent="0.2">
      <c r="A86" t="s">
        <v>866</v>
      </c>
      <c r="D86" s="43">
        <f>D83</f>
        <v>9.0649999999999994E-2</v>
      </c>
      <c r="E86" s="43">
        <f t="shared" ref="E86:AC86" si="10">E83</f>
        <v>8.1584999999999991E-2</v>
      </c>
      <c r="F86" s="43">
        <f t="shared" si="10"/>
        <v>7.3426500000000006E-2</v>
      </c>
      <c r="G86" s="43">
        <f t="shared" si="10"/>
        <v>6.608385E-2</v>
      </c>
      <c r="H86" s="43">
        <f t="shared" si="10"/>
        <v>5.9475465000000005E-2</v>
      </c>
      <c r="I86" s="43">
        <f t="shared" si="10"/>
        <v>5.3527918500000014E-2</v>
      </c>
      <c r="J86" s="43">
        <f t="shared" si="10"/>
        <v>4.8175126650000011E-2</v>
      </c>
      <c r="K86" s="43">
        <f t="shared" si="10"/>
        <v>4.3357613985000008E-2</v>
      </c>
      <c r="L86" s="43">
        <f t="shared" si="10"/>
        <v>3.9021852586500011E-2</v>
      </c>
      <c r="M86" s="43">
        <f t="shared" si="10"/>
        <v>3.5119667327850011E-2</v>
      </c>
      <c r="N86" s="43">
        <f t="shared" si="10"/>
        <v>3.1607700595065014E-2</v>
      </c>
      <c r="O86" s="43">
        <f t="shared" si="10"/>
        <v>2.8446930535558513E-2</v>
      </c>
      <c r="P86" s="43">
        <f t="shared" si="10"/>
        <v>2.5602237482002663E-2</v>
      </c>
      <c r="Q86" s="43">
        <f t="shared" si="10"/>
        <v>2.3042013733802401E-2</v>
      </c>
      <c r="R86" s="43">
        <f t="shared" si="10"/>
        <v>2.0737812360422159E-2</v>
      </c>
      <c r="S86" s="43">
        <f t="shared" si="10"/>
        <v>1.8664031124379941E-2</v>
      </c>
      <c r="T86" s="43">
        <f t="shared" si="10"/>
        <v>1.6797628011941949E-2</v>
      </c>
      <c r="U86" s="43">
        <f t="shared" si="10"/>
        <v>1.5117865210747755E-2</v>
      </c>
      <c r="V86" s="43">
        <f t="shared" si="10"/>
        <v>1.3606078689672979E-2</v>
      </c>
      <c r="W86" s="43">
        <f t="shared" si="10"/>
        <v>1.2245470820705684E-2</v>
      </c>
      <c r="X86" s="43">
        <f t="shared" si="10"/>
        <v>1.1020923738635115E-2</v>
      </c>
      <c r="Y86" s="43">
        <f t="shared" si="10"/>
        <v>9.9188313647716048E-3</v>
      </c>
      <c r="Z86" s="43">
        <f t="shared" si="10"/>
        <v>8.9269482282944446E-3</v>
      </c>
      <c r="AA86" s="43">
        <f t="shared" si="10"/>
        <v>8.034253405465E-3</v>
      </c>
      <c r="AB86" s="43">
        <f t="shared" si="10"/>
        <v>7.2308280649185002E-3</v>
      </c>
      <c r="AC86" s="43">
        <f t="shared" si="10"/>
        <v>6.5077452584266513E-3</v>
      </c>
    </row>
    <row r="88" spans="1:29" x14ac:dyDescent="0.2">
      <c r="A88" t="s">
        <v>867</v>
      </c>
      <c r="D88" s="31">
        <f>D33*D78</f>
        <v>1116.3912500000001</v>
      </c>
      <c r="E88" s="31">
        <f t="shared" ref="E88:AC88" ca="1" si="11">E33*E78</f>
        <v>0</v>
      </c>
      <c r="F88" s="31">
        <f t="shared" ca="1" si="11"/>
        <v>0</v>
      </c>
      <c r="G88" s="31">
        <f t="shared" ca="1" si="11"/>
        <v>0</v>
      </c>
      <c r="H88" s="31">
        <f t="shared" ca="1" si="11"/>
        <v>0</v>
      </c>
      <c r="I88" s="31">
        <f t="shared" ca="1" si="11"/>
        <v>0</v>
      </c>
      <c r="J88" s="31">
        <f t="shared" ca="1" si="11"/>
        <v>0</v>
      </c>
      <c r="K88" s="31">
        <f t="shared" ca="1" si="11"/>
        <v>0</v>
      </c>
      <c r="L88" s="31">
        <f t="shared" ca="1" si="11"/>
        <v>0</v>
      </c>
      <c r="M88" s="31">
        <f t="shared" ca="1" si="11"/>
        <v>0</v>
      </c>
      <c r="N88" s="31">
        <f t="shared" ca="1" si="11"/>
        <v>0</v>
      </c>
      <c r="O88" s="31">
        <f t="shared" ca="1" si="11"/>
        <v>0</v>
      </c>
      <c r="P88" s="31">
        <f t="shared" ca="1" si="11"/>
        <v>0</v>
      </c>
      <c r="Q88" s="31">
        <f t="shared" ca="1" si="11"/>
        <v>0</v>
      </c>
      <c r="R88" s="31">
        <f t="shared" ca="1" si="11"/>
        <v>0</v>
      </c>
      <c r="S88" s="31">
        <f t="shared" ca="1" si="11"/>
        <v>0</v>
      </c>
      <c r="T88" s="31">
        <f t="shared" ca="1" si="11"/>
        <v>0</v>
      </c>
      <c r="U88" s="31">
        <f t="shared" ca="1" si="11"/>
        <v>0</v>
      </c>
      <c r="V88" s="31">
        <f t="shared" ca="1" si="11"/>
        <v>0</v>
      </c>
      <c r="W88" s="31">
        <f t="shared" ca="1" si="11"/>
        <v>0</v>
      </c>
      <c r="X88" s="31">
        <f t="shared" ca="1" si="11"/>
        <v>0</v>
      </c>
      <c r="Y88" s="31">
        <f t="shared" ca="1" si="11"/>
        <v>0</v>
      </c>
      <c r="Z88" s="31">
        <f t="shared" ca="1" si="11"/>
        <v>0</v>
      </c>
      <c r="AA88" s="31">
        <f t="shared" ca="1" si="11"/>
        <v>0</v>
      </c>
      <c r="AB88" s="31">
        <f t="shared" ca="1" si="11"/>
        <v>0</v>
      </c>
      <c r="AC88" s="31">
        <f t="shared" ca="1" si="11"/>
        <v>0</v>
      </c>
    </row>
    <row r="89" spans="1:29" x14ac:dyDescent="0.2">
      <c r="A89" t="s">
        <v>868</v>
      </c>
      <c r="D89" s="31" cm="1">
        <f t="array" aca="1" ref="D89" ca="1">IFERROR(INDEX($D33:$AC33,1,D$5+2)*INDEX($D83:$AC83,1,D$5+1),0)</f>
        <v>0</v>
      </c>
      <c r="E89" s="31" cm="1">
        <f t="array" aca="1" ref="E89" ca="1">IFERROR(INDEX($D33:$AC33,1,E$5+2)*INDEX($D83:$AC83,1,E$5+1),0)</f>
        <v>0</v>
      </c>
      <c r="F89" s="31" cm="1">
        <f t="array" aca="1" ref="F89" ca="1">IFERROR(INDEX($D33:$AC33,1,F$5+2)*INDEX($D83:$AC83,1,F$5+1),0)</f>
        <v>0</v>
      </c>
      <c r="G89" s="31" cm="1">
        <f t="array" aca="1" ref="G89" ca="1">IFERROR(INDEX($D33:$AC33,1,G$5+2)*INDEX($D83:$AC83,1,G$5+1),0)</f>
        <v>0</v>
      </c>
      <c r="H89" s="31" cm="1">
        <f t="array" aca="1" ref="H89" ca="1">IFERROR(INDEX($D33:$AC33,1,H$5+2)*INDEX($D83:$AC83,1,H$5+1),0)</f>
        <v>0</v>
      </c>
      <c r="I89" s="31" cm="1">
        <f t="array" aca="1" ref="I89" ca="1">IFERROR(INDEX($D33:$AC33,1,I$5+2)*INDEX($D83:$AC83,1,I$5+1),0)</f>
        <v>0</v>
      </c>
      <c r="J89" s="31" cm="1">
        <f t="array" aca="1" ref="J89" ca="1">IFERROR(INDEX($D33:$AC33,1,J$5+2)*INDEX($D83:$AC83,1,J$5+1),0)</f>
        <v>0</v>
      </c>
      <c r="K89" s="31" cm="1">
        <f t="array" aca="1" ref="K89" ca="1">IFERROR(INDEX($D33:$AC33,1,K$5+2)*INDEX($D83:$AC83,1,K$5+1),0)</f>
        <v>0</v>
      </c>
      <c r="L89" s="31" cm="1">
        <f t="array" aca="1" ref="L89" ca="1">IFERROR(INDEX($D33:$AC33,1,L$5+2)*INDEX($D83:$AC83,1,L$5+1),0)</f>
        <v>0</v>
      </c>
      <c r="M89" s="31" cm="1">
        <f t="array" aca="1" ref="M89" ca="1">IFERROR(INDEX($D33:$AC33,1,M$5+2)*INDEX($D83:$AC83,1,M$5+1),0)</f>
        <v>0</v>
      </c>
      <c r="N89" s="31" cm="1">
        <f t="array" aca="1" ref="N89" ca="1">IFERROR(INDEX($D33:$AC33,1,N$5+2)*INDEX($D83:$AC83,1,N$5+1),0)</f>
        <v>0</v>
      </c>
      <c r="O89" s="31" cm="1">
        <f t="array" aca="1" ref="O89" ca="1">IFERROR(INDEX($D33:$AC33,1,O$5+2)*INDEX($D83:$AC83,1,O$5+1),0)</f>
        <v>0</v>
      </c>
      <c r="P89" s="31" cm="1">
        <f t="array" aca="1" ref="P89" ca="1">IFERROR(INDEX($D33:$AC33,1,P$5+2)*INDEX($D83:$AC83,1,P$5+1),0)</f>
        <v>0</v>
      </c>
      <c r="Q89" s="31" cm="1">
        <f t="array" aca="1" ref="Q89" ca="1">IFERROR(INDEX($D33:$AC33,1,Q$5+2)*INDEX($D83:$AC83,1,Q$5+1),0)</f>
        <v>0</v>
      </c>
      <c r="R89" s="31" cm="1">
        <f t="array" aca="1" ref="R89" ca="1">IFERROR(INDEX($D33:$AC33,1,R$5+2)*INDEX($D83:$AC83,1,R$5+1),0)</f>
        <v>0</v>
      </c>
      <c r="S89" s="31" cm="1">
        <f t="array" aca="1" ref="S89" ca="1">IFERROR(INDEX($D33:$AC33,1,S$5+2)*INDEX($D83:$AC83,1,S$5+1),0)</f>
        <v>0</v>
      </c>
      <c r="T89" s="31" cm="1">
        <f t="array" aca="1" ref="T89" ca="1">IFERROR(INDEX($D33:$AC33,1,T$5+2)*INDEX($D83:$AC83,1,T$5+1),0)</f>
        <v>0</v>
      </c>
      <c r="U89" s="31" cm="1">
        <f t="array" aca="1" ref="U89" ca="1">IFERROR(INDEX($D33:$AC33,1,U$5+2)*INDEX($D83:$AC83,1,U$5+1),0)</f>
        <v>0</v>
      </c>
      <c r="V89" s="31" cm="1">
        <f t="array" aca="1" ref="V89" ca="1">IFERROR(INDEX($D33:$AC33,1,V$5+2)*INDEX($D83:$AC83,1,V$5+1),0)</f>
        <v>0</v>
      </c>
      <c r="W89" s="31" cm="1">
        <f t="array" aca="1" ref="W89" ca="1">IFERROR(INDEX($D33:$AC33,1,W$5+2)*INDEX($D83:$AC83,1,W$5+1),0)</f>
        <v>0</v>
      </c>
      <c r="X89" s="31" cm="1">
        <f t="array" aca="1" ref="X89" ca="1">IFERROR(INDEX($D33:$AC33,1,X$5+2)*INDEX($D83:$AC83,1,X$5+1),0)</f>
        <v>0</v>
      </c>
      <c r="Y89" s="31" cm="1">
        <f t="array" aca="1" ref="Y89" ca="1">IFERROR(INDEX($D33:$AC33,1,Y$5+2)*INDEX($D83:$AC83,1,Y$5+1),0)</f>
        <v>0</v>
      </c>
      <c r="Z89" s="31" cm="1">
        <f t="array" aca="1" ref="Z89" ca="1">IFERROR(INDEX($D33:$AC33,1,Z$5+2)*INDEX($D83:$AC83,1,Z$5+1),0)</f>
        <v>0</v>
      </c>
      <c r="AA89" s="31" cm="1">
        <f t="array" aca="1" ref="AA89" ca="1">IFERROR(INDEX($D33:$AC33,1,AA$5+2)*INDEX($D83:$AC83,1,AA$5+1),0)</f>
        <v>0</v>
      </c>
      <c r="AB89" s="31" cm="1">
        <f t="array" aca="1" ref="AB89" ca="1">IFERROR(INDEX($D33:$AC33,1,AB$5+2)*INDEX($D83:$AC83,1,AB$5+1),0)</f>
        <v>0</v>
      </c>
      <c r="AC89" s="31" cm="1">
        <f t="array" aca="1" ref="AC89" ca="1">IFERROR(INDEX($D33:$AC33,1,AC$5+2)*INDEX($D83:$AC83,1,AC$5+1),0)</f>
        <v>0</v>
      </c>
    </row>
    <row r="90" spans="1:29" x14ac:dyDescent="0.2">
      <c r="A90" t="s">
        <v>869</v>
      </c>
      <c r="D90" s="31">
        <f>D37*D79</f>
        <v>68.022500000000008</v>
      </c>
      <c r="E90" s="31">
        <f t="shared" ref="E90:AC90" ca="1" si="12">E37*E79</f>
        <v>0</v>
      </c>
      <c r="F90" s="31">
        <f t="shared" ca="1" si="12"/>
        <v>0</v>
      </c>
      <c r="G90" s="31">
        <f t="shared" ca="1" si="12"/>
        <v>0</v>
      </c>
      <c r="H90" s="31">
        <f t="shared" ca="1" si="12"/>
        <v>0</v>
      </c>
      <c r="I90" s="31">
        <f t="shared" ca="1" si="12"/>
        <v>0</v>
      </c>
      <c r="J90" s="31">
        <f t="shared" ca="1" si="12"/>
        <v>0</v>
      </c>
      <c r="K90" s="31">
        <f t="shared" ca="1" si="12"/>
        <v>0</v>
      </c>
      <c r="L90" s="31">
        <f t="shared" ca="1" si="12"/>
        <v>0</v>
      </c>
      <c r="M90" s="31">
        <f t="shared" ca="1" si="12"/>
        <v>0</v>
      </c>
      <c r="N90" s="31">
        <f t="shared" ca="1" si="12"/>
        <v>0</v>
      </c>
      <c r="O90" s="31">
        <f t="shared" ca="1" si="12"/>
        <v>0</v>
      </c>
      <c r="P90" s="31">
        <f t="shared" ca="1" si="12"/>
        <v>0</v>
      </c>
      <c r="Q90" s="31">
        <f t="shared" ca="1" si="12"/>
        <v>0</v>
      </c>
      <c r="R90" s="31">
        <f t="shared" ca="1" si="12"/>
        <v>0</v>
      </c>
      <c r="S90" s="31">
        <f t="shared" ca="1" si="12"/>
        <v>0</v>
      </c>
      <c r="T90" s="31">
        <f t="shared" ca="1" si="12"/>
        <v>0</v>
      </c>
      <c r="U90" s="31">
        <f t="shared" ca="1" si="12"/>
        <v>0</v>
      </c>
      <c r="V90" s="31">
        <f t="shared" ca="1" si="12"/>
        <v>0</v>
      </c>
      <c r="W90" s="31">
        <f t="shared" ca="1" si="12"/>
        <v>0</v>
      </c>
      <c r="X90" s="31">
        <f t="shared" ca="1" si="12"/>
        <v>0</v>
      </c>
      <c r="Y90" s="31">
        <f t="shared" ca="1" si="12"/>
        <v>0</v>
      </c>
      <c r="Z90" s="31">
        <f t="shared" ca="1" si="12"/>
        <v>0</v>
      </c>
      <c r="AA90" s="31">
        <f t="shared" ca="1" si="12"/>
        <v>0</v>
      </c>
      <c r="AB90" s="31">
        <f t="shared" ca="1" si="12"/>
        <v>0</v>
      </c>
      <c r="AC90" s="31">
        <f t="shared" ca="1" si="12"/>
        <v>0</v>
      </c>
    </row>
    <row r="91" spans="1:29" x14ac:dyDescent="0.2">
      <c r="A91" t="s">
        <v>870</v>
      </c>
      <c r="D91" s="31" cm="1">
        <f t="array" aca="1" ref="D91" ca="1">IFERROR(INDEX($D37:$AC37,1,D$5+2)*INDEX($D84:$AC84,1,D$5+1),0)</f>
        <v>0</v>
      </c>
      <c r="E91" s="31" cm="1">
        <f t="array" aca="1" ref="E91" ca="1">IFERROR(INDEX($D37:$AC37,1,E$5+2)*INDEX($D84:$AC84,1,E$5+1),0)</f>
        <v>0</v>
      </c>
      <c r="F91" s="31" cm="1">
        <f t="array" aca="1" ref="F91" ca="1">IFERROR(INDEX($D37:$AC37,1,F$5+2)*INDEX($D84:$AC84,1,F$5+1),0)</f>
        <v>0</v>
      </c>
      <c r="G91" s="31" cm="1">
        <f t="array" aca="1" ref="G91" ca="1">IFERROR(INDEX($D37:$AC37,1,G$5+2)*INDEX($D84:$AC84,1,G$5+1),0)</f>
        <v>0</v>
      </c>
      <c r="H91" s="31" cm="1">
        <f t="array" aca="1" ref="H91" ca="1">IFERROR(INDEX($D37:$AC37,1,H$5+2)*INDEX($D84:$AC84,1,H$5+1),0)</f>
        <v>0</v>
      </c>
      <c r="I91" s="31" cm="1">
        <f t="array" aca="1" ref="I91" ca="1">IFERROR(INDEX($D37:$AC37,1,I$5+2)*INDEX($D84:$AC84,1,I$5+1),0)</f>
        <v>0</v>
      </c>
      <c r="J91" s="31" cm="1">
        <f t="array" aca="1" ref="J91" ca="1">IFERROR(INDEX($D37:$AC37,1,J$5+2)*INDEX($D84:$AC84,1,J$5+1),0)</f>
        <v>0</v>
      </c>
      <c r="K91" s="31" cm="1">
        <f t="array" aca="1" ref="K91" ca="1">IFERROR(INDEX($D37:$AC37,1,K$5+2)*INDEX($D84:$AC84,1,K$5+1),0)</f>
        <v>0</v>
      </c>
      <c r="L91" s="31" cm="1">
        <f t="array" aca="1" ref="L91" ca="1">IFERROR(INDEX($D37:$AC37,1,L$5+2)*INDEX($D84:$AC84,1,L$5+1),0)</f>
        <v>0</v>
      </c>
      <c r="M91" s="31" cm="1">
        <f t="array" aca="1" ref="M91" ca="1">IFERROR(INDEX($D37:$AC37,1,M$5+2)*INDEX($D84:$AC84,1,M$5+1),0)</f>
        <v>0</v>
      </c>
      <c r="N91" s="31" cm="1">
        <f t="array" aca="1" ref="N91" ca="1">IFERROR(INDEX($D37:$AC37,1,N$5+2)*INDEX($D84:$AC84,1,N$5+1),0)</f>
        <v>0</v>
      </c>
      <c r="O91" s="31" cm="1">
        <f t="array" aca="1" ref="O91" ca="1">IFERROR(INDEX($D37:$AC37,1,O$5+2)*INDEX($D84:$AC84,1,O$5+1),0)</f>
        <v>0</v>
      </c>
      <c r="P91" s="31" cm="1">
        <f t="array" aca="1" ref="P91" ca="1">IFERROR(INDEX($D37:$AC37,1,P$5+2)*INDEX($D84:$AC84,1,P$5+1),0)</f>
        <v>0</v>
      </c>
      <c r="Q91" s="31" cm="1">
        <f t="array" aca="1" ref="Q91" ca="1">IFERROR(INDEX($D37:$AC37,1,Q$5+2)*INDEX($D84:$AC84,1,Q$5+1),0)</f>
        <v>0</v>
      </c>
      <c r="R91" s="31" cm="1">
        <f t="array" aca="1" ref="R91" ca="1">IFERROR(INDEX($D37:$AC37,1,R$5+2)*INDEX($D84:$AC84,1,R$5+1),0)</f>
        <v>0</v>
      </c>
      <c r="S91" s="31" cm="1">
        <f t="array" aca="1" ref="S91" ca="1">IFERROR(INDEX($D37:$AC37,1,S$5+2)*INDEX($D84:$AC84,1,S$5+1),0)</f>
        <v>0</v>
      </c>
      <c r="T91" s="31" cm="1">
        <f t="array" aca="1" ref="T91" ca="1">IFERROR(INDEX($D37:$AC37,1,T$5+2)*INDEX($D84:$AC84,1,T$5+1),0)</f>
        <v>0</v>
      </c>
      <c r="U91" s="31" cm="1">
        <f t="array" aca="1" ref="U91" ca="1">IFERROR(INDEX($D37:$AC37,1,U$5+2)*INDEX($D84:$AC84,1,U$5+1),0)</f>
        <v>0</v>
      </c>
      <c r="V91" s="31" cm="1">
        <f t="array" aca="1" ref="V91" ca="1">IFERROR(INDEX($D37:$AC37,1,V$5+2)*INDEX($D84:$AC84,1,V$5+1),0)</f>
        <v>0</v>
      </c>
      <c r="W91" s="31" cm="1">
        <f t="array" aca="1" ref="W91" ca="1">IFERROR(INDEX($D37:$AC37,1,W$5+2)*INDEX($D84:$AC84,1,W$5+1),0)</f>
        <v>0</v>
      </c>
      <c r="X91" s="31" cm="1">
        <f t="array" aca="1" ref="X91" ca="1">IFERROR(INDEX($D37:$AC37,1,X$5+2)*INDEX($D84:$AC84,1,X$5+1),0)</f>
        <v>0</v>
      </c>
      <c r="Y91" s="31" cm="1">
        <f t="array" aca="1" ref="Y91" ca="1">IFERROR(INDEX($D37:$AC37,1,Y$5+2)*INDEX($D84:$AC84,1,Y$5+1),0)</f>
        <v>0</v>
      </c>
      <c r="Z91" s="31" cm="1">
        <f t="array" aca="1" ref="Z91" ca="1">IFERROR(INDEX($D37:$AC37,1,Z$5+2)*INDEX($D84:$AC84,1,Z$5+1),0)</f>
        <v>0</v>
      </c>
      <c r="AA91" s="31" cm="1">
        <f t="array" aca="1" ref="AA91" ca="1">IFERROR(INDEX($D37:$AC37,1,AA$5+2)*INDEX($D84:$AC84,1,AA$5+1),0)</f>
        <v>0</v>
      </c>
      <c r="AB91" s="31" cm="1">
        <f t="array" aca="1" ref="AB91" ca="1">IFERROR(INDEX($D37:$AC37,1,AB$5+2)*INDEX($D84:$AC84,1,AB$5+1),0)</f>
        <v>0</v>
      </c>
      <c r="AC91" s="31" cm="1">
        <f t="array" aca="1" ref="AC91" ca="1">IFERROR(INDEX($D37:$AC37,1,AC$5+2)*INDEX($D84:$AC84,1,AC$5+1),0)</f>
        <v>0</v>
      </c>
    </row>
    <row r="92" spans="1:29" x14ac:dyDescent="0.2">
      <c r="A92" t="s">
        <v>871</v>
      </c>
      <c r="D92" s="31">
        <f ca="1">D39*D80</f>
        <v>0</v>
      </c>
      <c r="E92" s="31">
        <f t="shared" ref="E92:AC92" ca="1" si="13">E39*E80</f>
        <v>0</v>
      </c>
      <c r="F92" s="31">
        <f t="shared" ca="1" si="13"/>
        <v>0</v>
      </c>
      <c r="G92" s="31">
        <f t="shared" ca="1" si="13"/>
        <v>0</v>
      </c>
      <c r="H92" s="31">
        <f t="shared" ca="1" si="13"/>
        <v>0</v>
      </c>
      <c r="I92" s="31">
        <f t="shared" ca="1" si="13"/>
        <v>0</v>
      </c>
      <c r="J92" s="31">
        <f t="shared" ca="1" si="13"/>
        <v>0</v>
      </c>
      <c r="K92" s="31">
        <f t="shared" ca="1" si="13"/>
        <v>0</v>
      </c>
      <c r="L92" s="31">
        <f t="shared" ca="1" si="13"/>
        <v>0</v>
      </c>
      <c r="M92" s="31">
        <f t="shared" ca="1" si="13"/>
        <v>0</v>
      </c>
      <c r="N92" s="31">
        <f t="shared" ca="1" si="13"/>
        <v>0</v>
      </c>
      <c r="O92" s="31">
        <f t="shared" ca="1" si="13"/>
        <v>0</v>
      </c>
      <c r="P92" s="31">
        <f t="shared" ca="1" si="13"/>
        <v>0</v>
      </c>
      <c r="Q92" s="31">
        <f t="shared" ca="1" si="13"/>
        <v>0</v>
      </c>
      <c r="R92" s="31">
        <f t="shared" ca="1" si="13"/>
        <v>0</v>
      </c>
      <c r="S92" s="31">
        <f t="shared" ca="1" si="13"/>
        <v>0</v>
      </c>
      <c r="T92" s="31">
        <f t="shared" ca="1" si="13"/>
        <v>0</v>
      </c>
      <c r="U92" s="31">
        <f t="shared" ca="1" si="13"/>
        <v>0</v>
      </c>
      <c r="V92" s="31">
        <f t="shared" ca="1" si="13"/>
        <v>0</v>
      </c>
      <c r="W92" s="31">
        <f t="shared" ca="1" si="13"/>
        <v>0</v>
      </c>
      <c r="X92" s="31">
        <f t="shared" ca="1" si="13"/>
        <v>0</v>
      </c>
      <c r="Y92" s="31">
        <f t="shared" ca="1" si="13"/>
        <v>0</v>
      </c>
      <c r="Z92" s="31">
        <f t="shared" ca="1" si="13"/>
        <v>0</v>
      </c>
      <c r="AA92" s="31">
        <f t="shared" ca="1" si="13"/>
        <v>0</v>
      </c>
      <c r="AB92" s="31">
        <f t="shared" ca="1" si="13"/>
        <v>0</v>
      </c>
      <c r="AC92" s="31">
        <f t="shared" ca="1" si="13"/>
        <v>0</v>
      </c>
    </row>
    <row r="93" spans="1:29" x14ac:dyDescent="0.2">
      <c r="A93" t="s">
        <v>872</v>
      </c>
      <c r="D93" s="31" cm="1">
        <f t="array" aca="1" ref="D93" ca="1">IFERROR(INDEX($D39:$AC39,1,D$5+2)*INDEX($D85:$AC85,1,D$5+1),0)</f>
        <v>0</v>
      </c>
      <c r="E93" s="31" cm="1">
        <f t="array" aca="1" ref="E93" ca="1">IFERROR(INDEX($D39:$AC39,1,E$5+2)*INDEX($D85:$AC85,1,E$5+1),0)</f>
        <v>0</v>
      </c>
      <c r="F93" s="31" cm="1">
        <f t="array" aca="1" ref="F93" ca="1">IFERROR(INDEX($D39:$AC39,1,F$5+2)*INDEX($D85:$AC85,1,F$5+1),0)</f>
        <v>0</v>
      </c>
      <c r="G93" s="31" cm="1">
        <f t="array" aca="1" ref="G93" ca="1">IFERROR(INDEX($D39:$AC39,1,G$5+2)*INDEX($D85:$AC85,1,G$5+1),0)</f>
        <v>0</v>
      </c>
      <c r="H93" s="31" cm="1">
        <f t="array" aca="1" ref="H93" ca="1">IFERROR(INDEX($D39:$AC39,1,H$5+2)*INDEX($D85:$AC85,1,H$5+1),0)</f>
        <v>0</v>
      </c>
      <c r="I93" s="31" cm="1">
        <f t="array" aca="1" ref="I93" ca="1">IFERROR(INDEX($D39:$AC39,1,I$5+2)*INDEX($D85:$AC85,1,I$5+1),0)</f>
        <v>0</v>
      </c>
      <c r="J93" s="31" cm="1">
        <f t="array" aca="1" ref="J93" ca="1">IFERROR(INDEX($D39:$AC39,1,J$5+2)*INDEX($D85:$AC85,1,J$5+1),0)</f>
        <v>0</v>
      </c>
      <c r="K93" s="31" cm="1">
        <f t="array" aca="1" ref="K93" ca="1">IFERROR(INDEX($D39:$AC39,1,K$5+2)*INDEX($D85:$AC85,1,K$5+1),0)</f>
        <v>0</v>
      </c>
      <c r="L93" s="31" cm="1">
        <f t="array" aca="1" ref="L93" ca="1">IFERROR(INDEX($D39:$AC39,1,L$5+2)*INDEX($D85:$AC85,1,L$5+1),0)</f>
        <v>0</v>
      </c>
      <c r="M93" s="31" cm="1">
        <f t="array" aca="1" ref="M93" ca="1">IFERROR(INDEX($D39:$AC39,1,M$5+2)*INDEX($D85:$AC85,1,M$5+1),0)</f>
        <v>0</v>
      </c>
      <c r="N93" s="31" cm="1">
        <f t="array" aca="1" ref="N93" ca="1">IFERROR(INDEX($D39:$AC39,1,N$5+2)*INDEX($D85:$AC85,1,N$5+1),0)</f>
        <v>0</v>
      </c>
      <c r="O93" s="31" cm="1">
        <f t="array" aca="1" ref="O93" ca="1">IFERROR(INDEX($D39:$AC39,1,O$5+2)*INDEX($D85:$AC85,1,O$5+1),0)</f>
        <v>0</v>
      </c>
      <c r="P93" s="31" cm="1">
        <f t="array" aca="1" ref="P93" ca="1">IFERROR(INDEX($D39:$AC39,1,P$5+2)*INDEX($D85:$AC85,1,P$5+1),0)</f>
        <v>0</v>
      </c>
      <c r="Q93" s="31" cm="1">
        <f t="array" aca="1" ref="Q93" ca="1">IFERROR(INDEX($D39:$AC39,1,Q$5+2)*INDEX($D85:$AC85,1,Q$5+1),0)</f>
        <v>0</v>
      </c>
      <c r="R93" s="31" cm="1">
        <f t="array" aca="1" ref="R93" ca="1">IFERROR(INDEX($D39:$AC39,1,R$5+2)*INDEX($D85:$AC85,1,R$5+1),0)</f>
        <v>0</v>
      </c>
      <c r="S93" s="31" cm="1">
        <f t="array" aca="1" ref="S93" ca="1">IFERROR(INDEX($D39:$AC39,1,S$5+2)*INDEX($D85:$AC85,1,S$5+1),0)</f>
        <v>0</v>
      </c>
      <c r="T93" s="31" cm="1">
        <f t="array" aca="1" ref="T93" ca="1">IFERROR(INDEX($D39:$AC39,1,T$5+2)*INDEX($D85:$AC85,1,T$5+1),0)</f>
        <v>0</v>
      </c>
      <c r="U93" s="31" cm="1">
        <f t="array" aca="1" ref="U93" ca="1">IFERROR(INDEX($D39:$AC39,1,U$5+2)*INDEX($D85:$AC85,1,U$5+1),0)</f>
        <v>0</v>
      </c>
      <c r="V93" s="31" cm="1">
        <f t="array" aca="1" ref="V93" ca="1">IFERROR(INDEX($D39:$AC39,1,V$5+2)*INDEX($D85:$AC85,1,V$5+1),0)</f>
        <v>0</v>
      </c>
      <c r="W93" s="31" cm="1">
        <f t="array" aca="1" ref="W93" ca="1">IFERROR(INDEX($D39:$AC39,1,W$5+2)*INDEX($D85:$AC85,1,W$5+1),0)</f>
        <v>0</v>
      </c>
      <c r="X93" s="31" cm="1">
        <f t="array" aca="1" ref="X93" ca="1">IFERROR(INDEX($D39:$AC39,1,X$5+2)*INDEX($D85:$AC85,1,X$5+1),0)</f>
        <v>0</v>
      </c>
      <c r="Y93" s="31" cm="1">
        <f t="array" aca="1" ref="Y93" ca="1">IFERROR(INDEX($D39:$AC39,1,Y$5+2)*INDEX($D85:$AC85,1,Y$5+1),0)</f>
        <v>0</v>
      </c>
      <c r="Z93" s="31" cm="1">
        <f t="array" aca="1" ref="Z93" ca="1">IFERROR(INDEX($D39:$AC39,1,Z$5+2)*INDEX($D85:$AC85,1,Z$5+1),0)</f>
        <v>0</v>
      </c>
      <c r="AA93" s="31" cm="1">
        <f t="array" aca="1" ref="AA93" ca="1">IFERROR(INDEX($D39:$AC39,1,AA$5+2)*INDEX($D85:$AC85,1,AA$5+1),0)</f>
        <v>0</v>
      </c>
      <c r="AB93" s="31" cm="1">
        <f t="array" aca="1" ref="AB93" ca="1">IFERROR(INDEX($D39:$AC39,1,AB$5+2)*INDEX($D85:$AC85,1,AB$5+1),0)</f>
        <v>0</v>
      </c>
      <c r="AC93" s="31" cm="1">
        <f t="array" aca="1" ref="AC93" ca="1">IFERROR(INDEX($D39:$AC39,1,AC$5+2)*INDEX($D85:$AC85,1,AC$5+1),0)</f>
        <v>0</v>
      </c>
    </row>
    <row r="94" spans="1:29" x14ac:dyDescent="0.2">
      <c r="A94" t="s">
        <v>873</v>
      </c>
      <c r="D94" s="31">
        <f ca="1">D41*D81</f>
        <v>0</v>
      </c>
      <c r="E94" s="31">
        <f t="shared" ref="E94:AC94" ca="1" si="14">E41*E81</f>
        <v>0</v>
      </c>
      <c r="F94" s="31">
        <f t="shared" ca="1" si="14"/>
        <v>0</v>
      </c>
      <c r="G94" s="31">
        <f t="shared" ca="1" si="14"/>
        <v>0</v>
      </c>
      <c r="H94" s="31">
        <f t="shared" ca="1" si="14"/>
        <v>0</v>
      </c>
      <c r="I94" s="31">
        <f t="shared" ca="1" si="14"/>
        <v>0</v>
      </c>
      <c r="J94" s="31">
        <f t="shared" ca="1" si="14"/>
        <v>0</v>
      </c>
      <c r="K94" s="31">
        <f t="shared" ca="1" si="14"/>
        <v>0</v>
      </c>
      <c r="L94" s="31">
        <f t="shared" ca="1" si="14"/>
        <v>0</v>
      </c>
      <c r="M94" s="31">
        <f t="shared" ca="1" si="14"/>
        <v>0</v>
      </c>
      <c r="N94" s="31">
        <f t="shared" ca="1" si="14"/>
        <v>0</v>
      </c>
      <c r="O94" s="31">
        <f t="shared" ca="1" si="14"/>
        <v>0</v>
      </c>
      <c r="P94" s="31">
        <f t="shared" ca="1" si="14"/>
        <v>0</v>
      </c>
      <c r="Q94" s="31">
        <f t="shared" ca="1" si="14"/>
        <v>0</v>
      </c>
      <c r="R94" s="31">
        <f t="shared" ca="1" si="14"/>
        <v>0</v>
      </c>
      <c r="S94" s="31">
        <f t="shared" ca="1" si="14"/>
        <v>0</v>
      </c>
      <c r="T94" s="31">
        <f t="shared" ca="1" si="14"/>
        <v>0</v>
      </c>
      <c r="U94" s="31">
        <f t="shared" ca="1" si="14"/>
        <v>0</v>
      </c>
      <c r="V94" s="31">
        <f t="shared" ca="1" si="14"/>
        <v>0</v>
      </c>
      <c r="W94" s="31">
        <f t="shared" ca="1" si="14"/>
        <v>0</v>
      </c>
      <c r="X94" s="31">
        <f t="shared" ca="1" si="14"/>
        <v>0</v>
      </c>
      <c r="Y94" s="31">
        <f t="shared" ca="1" si="14"/>
        <v>0</v>
      </c>
      <c r="Z94" s="31">
        <f t="shared" ca="1" si="14"/>
        <v>0</v>
      </c>
      <c r="AA94" s="31">
        <f t="shared" ca="1" si="14"/>
        <v>0</v>
      </c>
      <c r="AB94" s="31">
        <f t="shared" ca="1" si="14"/>
        <v>0</v>
      </c>
      <c r="AC94" s="31">
        <f t="shared" ca="1" si="14"/>
        <v>0</v>
      </c>
    </row>
    <row r="95" spans="1:29" x14ac:dyDescent="0.2">
      <c r="A95" t="s">
        <v>874</v>
      </c>
      <c r="D95" s="31" cm="1">
        <f t="array" aca="1" ref="D95" ca="1">IFERROR(INDEX($D41:$AC41,1,D$5+2)*INDEX($D86:$AC86,1,D$5+1),0)</f>
        <v>0</v>
      </c>
      <c r="E95" s="31" cm="1">
        <f t="array" aca="1" ref="E95" ca="1">IFERROR(INDEX($D41:$AC41,1,E$5+2)*INDEX($D86:$AC86,1,E$5+1),0)</f>
        <v>0</v>
      </c>
      <c r="F95" s="31" cm="1">
        <f t="array" aca="1" ref="F95" ca="1">IFERROR(INDEX($D41:$AC41,1,F$5+2)*INDEX($D86:$AC86,1,F$5+1),0)</f>
        <v>0</v>
      </c>
      <c r="G95" s="31" cm="1">
        <f t="array" aca="1" ref="G95" ca="1">IFERROR(INDEX($D41:$AC41,1,G$5+2)*INDEX($D86:$AC86,1,G$5+1),0)</f>
        <v>0</v>
      </c>
      <c r="H95" s="31" cm="1">
        <f t="array" aca="1" ref="H95" ca="1">IFERROR(INDEX($D41:$AC41,1,H$5+2)*INDEX($D86:$AC86,1,H$5+1),0)</f>
        <v>0</v>
      </c>
      <c r="I95" s="31" cm="1">
        <f t="array" aca="1" ref="I95" ca="1">IFERROR(INDEX($D41:$AC41,1,I$5+2)*INDEX($D86:$AC86,1,I$5+1),0)</f>
        <v>0</v>
      </c>
      <c r="J95" s="31" cm="1">
        <f t="array" aca="1" ref="J95" ca="1">IFERROR(INDEX($D41:$AC41,1,J$5+2)*INDEX($D86:$AC86,1,J$5+1),0)</f>
        <v>0</v>
      </c>
      <c r="K95" s="31" cm="1">
        <f t="array" aca="1" ref="K95" ca="1">IFERROR(INDEX($D41:$AC41,1,K$5+2)*INDEX($D86:$AC86,1,K$5+1),0)</f>
        <v>0</v>
      </c>
      <c r="L95" s="31" cm="1">
        <f t="array" aca="1" ref="L95" ca="1">IFERROR(INDEX($D41:$AC41,1,L$5+2)*INDEX($D86:$AC86,1,L$5+1),0)</f>
        <v>0</v>
      </c>
      <c r="M95" s="31" cm="1">
        <f t="array" aca="1" ref="M95" ca="1">IFERROR(INDEX($D41:$AC41,1,M$5+2)*INDEX($D86:$AC86,1,M$5+1),0)</f>
        <v>0</v>
      </c>
      <c r="N95" s="31" cm="1">
        <f t="array" aca="1" ref="N95" ca="1">IFERROR(INDEX($D41:$AC41,1,N$5+2)*INDEX($D86:$AC86,1,N$5+1),0)</f>
        <v>0</v>
      </c>
      <c r="O95" s="31" cm="1">
        <f t="array" aca="1" ref="O95" ca="1">IFERROR(INDEX($D41:$AC41,1,O$5+2)*INDEX($D86:$AC86,1,O$5+1),0)</f>
        <v>0</v>
      </c>
      <c r="P95" s="31" cm="1">
        <f t="array" aca="1" ref="P95" ca="1">IFERROR(INDEX($D41:$AC41,1,P$5+2)*INDEX($D86:$AC86,1,P$5+1),0)</f>
        <v>0</v>
      </c>
      <c r="Q95" s="31" cm="1">
        <f t="array" aca="1" ref="Q95" ca="1">IFERROR(INDEX($D41:$AC41,1,Q$5+2)*INDEX($D86:$AC86,1,Q$5+1),0)</f>
        <v>0</v>
      </c>
      <c r="R95" s="31" cm="1">
        <f t="array" aca="1" ref="R95" ca="1">IFERROR(INDEX($D41:$AC41,1,R$5+2)*INDEX($D86:$AC86,1,R$5+1),0)</f>
        <v>0</v>
      </c>
      <c r="S95" s="31" cm="1">
        <f t="array" aca="1" ref="S95" ca="1">IFERROR(INDEX($D41:$AC41,1,S$5+2)*INDEX($D86:$AC86,1,S$5+1),0)</f>
        <v>0</v>
      </c>
      <c r="T95" s="31" cm="1">
        <f t="array" aca="1" ref="T95" ca="1">IFERROR(INDEX($D41:$AC41,1,T$5+2)*INDEX($D86:$AC86,1,T$5+1),0)</f>
        <v>0</v>
      </c>
      <c r="U95" s="31" cm="1">
        <f t="array" aca="1" ref="U95" ca="1">IFERROR(INDEX($D41:$AC41,1,U$5+2)*INDEX($D86:$AC86,1,U$5+1),0)</f>
        <v>0</v>
      </c>
      <c r="V95" s="31" cm="1">
        <f t="array" aca="1" ref="V95" ca="1">IFERROR(INDEX($D41:$AC41,1,V$5+2)*INDEX($D86:$AC86,1,V$5+1),0)</f>
        <v>0</v>
      </c>
      <c r="W95" s="31" cm="1">
        <f t="array" aca="1" ref="W95" ca="1">IFERROR(INDEX($D41:$AC41,1,W$5+2)*INDEX($D86:$AC86,1,W$5+1),0)</f>
        <v>0</v>
      </c>
      <c r="X95" s="31" cm="1">
        <f t="array" aca="1" ref="X95" ca="1">IFERROR(INDEX($D41:$AC41,1,X$5+2)*INDEX($D86:$AC86,1,X$5+1),0)</f>
        <v>0</v>
      </c>
      <c r="Y95" s="31" cm="1">
        <f t="array" aca="1" ref="Y95" ca="1">IFERROR(INDEX($D41:$AC41,1,Y$5+2)*INDEX($D86:$AC86,1,Y$5+1),0)</f>
        <v>0</v>
      </c>
      <c r="Z95" s="31" cm="1">
        <f t="array" aca="1" ref="Z95" ca="1">IFERROR(INDEX($D41:$AC41,1,Z$5+2)*INDEX($D86:$AC86,1,Z$5+1),0)</f>
        <v>0</v>
      </c>
      <c r="AA95" s="31" cm="1">
        <f t="array" aca="1" ref="AA95" ca="1">IFERROR(INDEX($D41:$AC41,1,AA$5+2)*INDEX($D86:$AC86,1,AA$5+1),0)</f>
        <v>0</v>
      </c>
      <c r="AB95" s="31" cm="1">
        <f t="array" aca="1" ref="AB95" ca="1">IFERROR(INDEX($D41:$AC41,1,AB$5+2)*INDEX($D86:$AC86,1,AB$5+1),0)</f>
        <v>0</v>
      </c>
      <c r="AC95" s="31" cm="1">
        <f t="array" aca="1" ref="AC95" ca="1">IFERROR(INDEX($D41:$AC41,1,AC$5+2)*INDEX($D86:$AC86,1,AC$5+1),0)</f>
        <v>0</v>
      </c>
    </row>
    <row r="98" spans="1:29" x14ac:dyDescent="0.2">
      <c r="A98" t="s">
        <v>608</v>
      </c>
      <c r="D98" s="31">
        <f ca="1">D88+D89+D90+D91+D92+D93+D94+D95</f>
        <v>1184.4137500000002</v>
      </c>
      <c r="E98" s="31">
        <f t="shared" ref="E98:AC98" ca="1" si="15">E88+E89+E90+E91+E92+E93+E94+E95</f>
        <v>0</v>
      </c>
      <c r="F98" s="31">
        <f t="shared" ca="1" si="15"/>
        <v>0</v>
      </c>
      <c r="G98" s="31">
        <f t="shared" ca="1" si="15"/>
        <v>0</v>
      </c>
      <c r="H98" s="31">
        <f t="shared" ca="1" si="15"/>
        <v>0</v>
      </c>
      <c r="I98" s="31">
        <f t="shared" ca="1" si="15"/>
        <v>0</v>
      </c>
      <c r="J98" s="31">
        <f t="shared" ca="1" si="15"/>
        <v>0</v>
      </c>
      <c r="K98" s="31">
        <f t="shared" ca="1" si="15"/>
        <v>0</v>
      </c>
      <c r="L98" s="31">
        <f t="shared" ca="1" si="15"/>
        <v>0</v>
      </c>
      <c r="M98" s="31">
        <f t="shared" ca="1" si="15"/>
        <v>0</v>
      </c>
      <c r="N98" s="31">
        <f t="shared" ca="1" si="15"/>
        <v>0</v>
      </c>
      <c r="O98" s="31">
        <f t="shared" ca="1" si="15"/>
        <v>0</v>
      </c>
      <c r="P98" s="31">
        <f t="shared" ca="1" si="15"/>
        <v>0</v>
      </c>
      <c r="Q98" s="31">
        <f t="shared" ca="1" si="15"/>
        <v>0</v>
      </c>
      <c r="R98" s="31">
        <f t="shared" ca="1" si="15"/>
        <v>0</v>
      </c>
      <c r="S98" s="31">
        <f t="shared" ca="1" si="15"/>
        <v>0</v>
      </c>
      <c r="T98" s="31">
        <f t="shared" ca="1" si="15"/>
        <v>0</v>
      </c>
      <c r="U98" s="31">
        <f t="shared" ca="1" si="15"/>
        <v>0</v>
      </c>
      <c r="V98" s="31">
        <f t="shared" ca="1" si="15"/>
        <v>0</v>
      </c>
      <c r="W98" s="31">
        <f t="shared" ca="1" si="15"/>
        <v>0</v>
      </c>
      <c r="X98" s="31">
        <f t="shared" ca="1" si="15"/>
        <v>0</v>
      </c>
      <c r="Y98" s="31">
        <f t="shared" ca="1" si="15"/>
        <v>0</v>
      </c>
      <c r="Z98" s="31">
        <f t="shared" ca="1" si="15"/>
        <v>0</v>
      </c>
      <c r="AA98" s="31">
        <f t="shared" ca="1" si="15"/>
        <v>0</v>
      </c>
      <c r="AB98" s="31">
        <f t="shared" ca="1" si="15"/>
        <v>0</v>
      </c>
      <c r="AC98" s="31">
        <f t="shared" ca="1" si="15"/>
        <v>0</v>
      </c>
    </row>
    <row r="99" spans="1:29" x14ac:dyDescent="0.2">
      <c r="A99" t="s">
        <v>609</v>
      </c>
      <c r="D99" s="31">
        <f ca="1">D33*(D78+D83)+D37*(D79+D84)+D39*(D80+D85)+D41*(D81+D86)</f>
        <v>1471.6836000000001</v>
      </c>
      <c r="E99" s="31">
        <f t="shared" ref="E99:AC99" ca="1" si="16">E33*(E78+E83)+E37*(E79+E84)+E39*(E80+E85)+E41*(E81+E86)</f>
        <v>0</v>
      </c>
      <c r="F99" s="31">
        <f t="shared" ca="1" si="16"/>
        <v>0</v>
      </c>
      <c r="G99" s="31">
        <f t="shared" ca="1" si="16"/>
        <v>0</v>
      </c>
      <c r="H99" s="31">
        <f t="shared" ca="1" si="16"/>
        <v>0</v>
      </c>
      <c r="I99" s="31">
        <f t="shared" ca="1" si="16"/>
        <v>0</v>
      </c>
      <c r="J99" s="31">
        <f t="shared" ca="1" si="16"/>
        <v>0</v>
      </c>
      <c r="K99" s="31">
        <f t="shared" ca="1" si="16"/>
        <v>0</v>
      </c>
      <c r="L99" s="31">
        <f t="shared" ca="1" si="16"/>
        <v>0</v>
      </c>
      <c r="M99" s="31">
        <f t="shared" ca="1" si="16"/>
        <v>0</v>
      </c>
      <c r="N99" s="31">
        <f t="shared" ca="1" si="16"/>
        <v>0</v>
      </c>
      <c r="O99" s="31">
        <f t="shared" ca="1" si="16"/>
        <v>0</v>
      </c>
      <c r="P99" s="31">
        <f t="shared" ca="1" si="16"/>
        <v>0</v>
      </c>
      <c r="Q99" s="31">
        <f t="shared" ca="1" si="16"/>
        <v>0</v>
      </c>
      <c r="R99" s="31">
        <f t="shared" ca="1" si="16"/>
        <v>0</v>
      </c>
      <c r="S99" s="31">
        <f t="shared" ca="1" si="16"/>
        <v>0</v>
      </c>
      <c r="T99" s="31">
        <f t="shared" ca="1" si="16"/>
        <v>0</v>
      </c>
      <c r="U99" s="31">
        <f t="shared" ca="1" si="16"/>
        <v>0</v>
      </c>
      <c r="V99" s="31">
        <f t="shared" ca="1" si="16"/>
        <v>0</v>
      </c>
      <c r="W99" s="31">
        <f t="shared" ca="1" si="16"/>
        <v>0</v>
      </c>
      <c r="X99" s="31">
        <f t="shared" ca="1" si="16"/>
        <v>0</v>
      </c>
      <c r="Y99" s="31">
        <f t="shared" ca="1" si="16"/>
        <v>0</v>
      </c>
      <c r="Z99" s="31">
        <f t="shared" ca="1" si="16"/>
        <v>0</v>
      </c>
      <c r="AA99" s="31">
        <f t="shared" ca="1" si="16"/>
        <v>0</v>
      </c>
      <c r="AB99" s="31">
        <f t="shared" ca="1" si="16"/>
        <v>0</v>
      </c>
      <c r="AC99" s="31">
        <f t="shared" ca="1" si="16"/>
        <v>0</v>
      </c>
    </row>
    <row r="102" spans="1:29" x14ac:dyDescent="0.2">
      <c r="A102" s="39" t="s">
        <v>875</v>
      </c>
    </row>
    <row r="103" spans="1:29" x14ac:dyDescent="0.2">
      <c r="A103" t="s">
        <v>876</v>
      </c>
      <c r="D103" s="15" cm="1">
        <f t="array" aca="1" ref="D103" ca="1">D60*D15+D62*D17+IFERROR(INDEX(Assumptions!$D:$AC,MATCH("Legacy V1/V1.5 Active Bandwidth (Gbps, year-row runoff)",Assumptions!$A:$A,0),D$5+1),0)</f>
        <v>575504</v>
      </c>
      <c r="E103" s="15" cm="1">
        <f t="array" aca="1" ref="E103" ca="1">E60*E15+E62*E17+IFERROR(INDEX(Assumptions!$D:$AC,MATCH("Legacy V1/V1.5 Active Bandwidth (Gbps, year-row runoff)",Assumptions!$A:$A,0),E$5+1),0)</f>
        <v>456808.80000000005</v>
      </c>
      <c r="F103" s="15" cm="1">
        <f t="array" aca="1" ref="F103" ca="1">F60*F15+F62*F17+IFERROR(INDEX(Assumptions!$D:$AC,MATCH("Legacy V1/V1.5 Active Bandwidth (Gbps, year-row runoff)",Assumptions!$A:$A,0),F$5+1),0)</f>
        <v>338113.60000000003</v>
      </c>
      <c r="G103" s="15" cm="1">
        <f t="array" aca="1" ref="G103" ca="1">G60*G15+G62*G17+IFERROR(INDEX(Assumptions!$D:$AC,MATCH("Legacy V1/V1.5 Active Bandwidth (Gbps, year-row runoff)",Assumptions!$A:$A,0),G$5+1),0)</f>
        <v>219418.40000000005</v>
      </c>
      <c r="H103" s="15" cm="1">
        <f t="array" aca="1" ref="H103" ca="1">H60*H15+H62*H17+IFERROR(INDEX(Assumptions!$D:$AC,MATCH("Legacy V1/V1.5 Active Bandwidth (Gbps, year-row runoff)",Assumptions!$A:$A,0),H$5+1),0)</f>
        <v>100723.20000000004</v>
      </c>
      <c r="I103" s="15" cm="1">
        <f t="array" aca="1" ref="I103" ca="1">I60*I15+I62*I17+IFERROR(INDEX(Assumptions!$D:$AC,MATCH("Legacy V1/V1.5 Active Bandwidth (Gbps, year-row runoff)",Assumptions!$A:$A,0),I$5+1),0)</f>
        <v>0</v>
      </c>
      <c r="J103" s="15" cm="1">
        <f t="array" aca="1" ref="J103" ca="1">J60*J15+J62*J17+IFERROR(INDEX(Assumptions!$D:$AC,MATCH("Legacy V1/V1.5 Active Bandwidth (Gbps, year-row runoff)",Assumptions!$A:$A,0),J$5+1),0)</f>
        <v>0</v>
      </c>
      <c r="K103" s="15" cm="1">
        <f t="array" aca="1" ref="K103" ca="1">K60*K15+K62*K17+IFERROR(INDEX(Assumptions!$D:$AC,MATCH("Legacy V1/V1.5 Active Bandwidth (Gbps, year-row runoff)",Assumptions!$A:$A,0),K$5+1),0)</f>
        <v>0</v>
      </c>
      <c r="L103" s="15" cm="1">
        <f t="array" aca="1" ref="L103" ca="1">L60*L15+L62*L17+IFERROR(INDEX(Assumptions!$D:$AC,MATCH("Legacy V1/V1.5 Active Bandwidth (Gbps, year-row runoff)",Assumptions!$A:$A,0),L$5+1),0)</f>
        <v>0</v>
      </c>
      <c r="M103" s="15" cm="1">
        <f t="array" aca="1" ref="M103" ca="1">M60*M15+M62*M17+IFERROR(INDEX(Assumptions!$D:$AC,MATCH("Legacy V1/V1.5 Active Bandwidth (Gbps, year-row runoff)",Assumptions!$A:$A,0),M$5+1),0)</f>
        <v>0</v>
      </c>
      <c r="N103" s="15" cm="1">
        <f t="array" aca="1" ref="N103" ca="1">N60*N15+N62*N17+IFERROR(INDEX(Assumptions!$D:$AC,MATCH("Legacy V1/V1.5 Active Bandwidth (Gbps, year-row runoff)",Assumptions!$A:$A,0),N$5+1),0)</f>
        <v>0</v>
      </c>
      <c r="O103" s="15" cm="1">
        <f t="array" aca="1" ref="O103" ca="1">O60*O15+O62*O17+IFERROR(INDEX(Assumptions!$D:$AC,MATCH("Legacy V1/V1.5 Active Bandwidth (Gbps, year-row runoff)",Assumptions!$A:$A,0),O$5+1),0)</f>
        <v>0</v>
      </c>
      <c r="P103" s="15" cm="1">
        <f t="array" aca="1" ref="P103" ca="1">P60*P15+P62*P17+IFERROR(INDEX(Assumptions!$D:$AC,MATCH("Legacy V1/V1.5 Active Bandwidth (Gbps, year-row runoff)",Assumptions!$A:$A,0),P$5+1),0)</f>
        <v>0</v>
      </c>
      <c r="Q103" s="15" cm="1">
        <f t="array" aca="1" ref="Q103" ca="1">Q60*Q15+Q62*Q17+IFERROR(INDEX(Assumptions!$D:$AC,MATCH("Legacy V1/V1.5 Active Bandwidth (Gbps, year-row runoff)",Assumptions!$A:$A,0),Q$5+1),0)</f>
        <v>0</v>
      </c>
      <c r="R103" s="15" cm="1">
        <f t="array" aca="1" ref="R103" ca="1">R60*R15+R62*R17+IFERROR(INDEX(Assumptions!$D:$AC,MATCH("Legacy V1/V1.5 Active Bandwidth (Gbps, year-row runoff)",Assumptions!$A:$A,0),R$5+1),0)</f>
        <v>0</v>
      </c>
      <c r="S103" s="15" cm="1">
        <f t="array" aca="1" ref="S103" ca="1">S60*S15+S62*S17+IFERROR(INDEX(Assumptions!$D:$AC,MATCH("Legacy V1/V1.5 Active Bandwidth (Gbps, year-row runoff)",Assumptions!$A:$A,0),S$5+1),0)</f>
        <v>0</v>
      </c>
      <c r="T103" s="15" cm="1">
        <f t="array" aca="1" ref="T103" ca="1">T60*T15+T62*T17+IFERROR(INDEX(Assumptions!$D:$AC,MATCH("Legacy V1/V1.5 Active Bandwidth (Gbps, year-row runoff)",Assumptions!$A:$A,0),T$5+1),0)</f>
        <v>0</v>
      </c>
      <c r="U103" s="15" cm="1">
        <f t="array" aca="1" ref="U103" ca="1">U60*U15+U62*U17+IFERROR(INDEX(Assumptions!$D:$AC,MATCH("Legacy V1/V1.5 Active Bandwidth (Gbps, year-row runoff)",Assumptions!$A:$A,0),U$5+1),0)</f>
        <v>0</v>
      </c>
      <c r="V103" s="15" cm="1">
        <f t="array" aca="1" ref="V103" ca="1">V60*V15+V62*V17+IFERROR(INDEX(Assumptions!$D:$AC,MATCH("Legacy V1/V1.5 Active Bandwidth (Gbps, year-row runoff)",Assumptions!$A:$A,0),V$5+1),0)</f>
        <v>0</v>
      </c>
      <c r="W103" s="15" cm="1">
        <f t="array" aca="1" ref="W103" ca="1">W60*W15+W62*W17+IFERROR(INDEX(Assumptions!$D:$AC,MATCH("Legacy V1/V1.5 Active Bandwidth (Gbps, year-row runoff)",Assumptions!$A:$A,0),W$5+1),0)</f>
        <v>0</v>
      </c>
      <c r="X103" s="15" cm="1">
        <f t="array" aca="1" ref="X103" ca="1">X60*X15+X62*X17+IFERROR(INDEX(Assumptions!$D:$AC,MATCH("Legacy V1/V1.5 Active Bandwidth (Gbps, year-row runoff)",Assumptions!$A:$A,0),X$5+1),0)</f>
        <v>0</v>
      </c>
      <c r="Y103" s="15" cm="1">
        <f t="array" aca="1" ref="Y103" ca="1">Y60*Y15+Y62*Y17+IFERROR(INDEX(Assumptions!$D:$AC,MATCH("Legacy V1/V1.5 Active Bandwidth (Gbps, year-row runoff)",Assumptions!$A:$A,0),Y$5+1),0)</f>
        <v>0</v>
      </c>
      <c r="Z103" s="15" cm="1">
        <f t="array" aca="1" ref="Z103" ca="1">Z60*Z15+Z62*Z17+IFERROR(INDEX(Assumptions!$D:$AC,MATCH("Legacy V1/V1.5 Active Bandwidth (Gbps, year-row runoff)",Assumptions!$A:$A,0),Z$5+1),0)</f>
        <v>0</v>
      </c>
      <c r="AA103" s="15" cm="1">
        <f t="array" aca="1" ref="AA103" ca="1">AA60*AA15+AA62*AA17+IFERROR(INDEX(Assumptions!$D:$AC,MATCH("Legacy V1/V1.5 Active Bandwidth (Gbps, year-row runoff)",Assumptions!$A:$A,0),AA$5+1),0)</f>
        <v>0</v>
      </c>
      <c r="AB103" s="15" cm="1">
        <f t="array" aca="1" ref="AB103" ca="1">AB60*AB15+AB62*AB17+IFERROR(INDEX(Assumptions!$D:$AC,MATCH("Legacy V1/V1.5 Active Bandwidth (Gbps, year-row runoff)",Assumptions!$A:$A,0),AB$5+1),0)</f>
        <v>0</v>
      </c>
      <c r="AC103" s="15" cm="1">
        <f t="array" aca="1" ref="AC103" ca="1">AC60*AC15+AC62*AC17+IFERROR(INDEX(Assumptions!$D:$AC,MATCH("Legacy V1/V1.5 Active Bandwidth (Gbps, year-row runoff)",Assumptions!$A:$A,0),AC$5+1),0)</f>
        <v>0</v>
      </c>
    </row>
    <row r="104" spans="1:29" x14ac:dyDescent="0.2">
      <c r="A104" t="s">
        <v>877</v>
      </c>
      <c r="D104" s="44">
        <f>INDEX(Assumptions!$B:$B,MATCH("Starshield Reserved % — start",Assumptions!$A:$A,0))</f>
        <v>2.5700000000000001E-2</v>
      </c>
      <c r="E104" s="44">
        <f>MAX(INDEX(Assumptions!$B:$B,MATCH("Starshield Reserved % — floor",Assumptions!$A:$A,0)),$D$104*(1-INDEX(Assumptions!$B:$B,MATCH("Starshield Reserved % — decay rate",Assumptions!$A:$A,0)))^E$5)</f>
        <v>1.9275E-2</v>
      </c>
      <c r="F104" s="44">
        <f>MAX(INDEX(Assumptions!$B:$B,MATCH("Starshield Reserved % — floor",Assumptions!$A:$A,0)),$D$104*(1-INDEX(Assumptions!$B:$B,MATCH("Starshield Reserved % — decay rate",Assumptions!$A:$A,0)))^F$5)</f>
        <v>1.445625E-2</v>
      </c>
      <c r="G104" s="44">
        <f>MAX(INDEX(Assumptions!$B:$B,MATCH("Starshield Reserved % — floor",Assumptions!$A:$A,0)),$D$104*(1-INDEX(Assumptions!$B:$B,MATCH("Starshield Reserved % — decay rate",Assumptions!$A:$A,0)))^G$5)</f>
        <v>1.0842187499999999E-2</v>
      </c>
      <c r="H104" s="44">
        <f>MAX(INDEX(Assumptions!$B:$B,MATCH("Starshield Reserved % — floor",Assumptions!$A:$A,0)),$D$104*(1-INDEX(Assumptions!$B:$B,MATCH("Starshield Reserved % — decay rate",Assumptions!$A:$A,0)))^H$5)</f>
        <v>8.1316406250000004E-3</v>
      </c>
      <c r="I104" s="44">
        <f>MAX(INDEX(Assumptions!$B:$B,MATCH("Starshield Reserved % — floor",Assumptions!$A:$A,0)),$D$104*(1-INDEX(Assumptions!$B:$B,MATCH("Starshield Reserved % — decay rate",Assumptions!$A:$A,0)))^I$5)</f>
        <v>6.0987304687499999E-3</v>
      </c>
      <c r="J104" s="44">
        <f>MAX(INDEX(Assumptions!$B:$B,MATCH("Starshield Reserved % — floor",Assumptions!$A:$A,0)),$D$104*(1-INDEX(Assumptions!$B:$B,MATCH("Starshield Reserved % — decay rate",Assumptions!$A:$A,0)))^J$5)</f>
        <v>4.5740478515624997E-3</v>
      </c>
      <c r="K104" s="44">
        <f>MAX(INDEX(Assumptions!$B:$B,MATCH("Starshield Reserved % — floor",Assumptions!$A:$A,0)),$D$104*(1-INDEX(Assumptions!$B:$B,MATCH("Starshield Reserved % — decay rate",Assumptions!$A:$A,0)))^K$5)</f>
        <v>3.430535888671875E-3</v>
      </c>
      <c r="L104" s="44">
        <f>MAX(INDEX(Assumptions!$B:$B,MATCH("Starshield Reserved % — floor",Assumptions!$A:$A,0)),$D$104*(1-INDEX(Assumptions!$B:$B,MATCH("Starshield Reserved % — decay rate",Assumptions!$A:$A,0)))^L$5)</f>
        <v>2.5729019165039065E-3</v>
      </c>
      <c r="M104" s="44">
        <f>MAX(INDEX(Assumptions!$B:$B,MATCH("Starshield Reserved % — floor",Assumptions!$A:$A,0)),$D$104*(1-INDEX(Assumptions!$B:$B,MATCH("Starshield Reserved % — decay rate",Assumptions!$A:$A,0)))^M$5)</f>
        <v>1.9296764373779298E-3</v>
      </c>
      <c r="N104" s="44">
        <f>MAX(INDEX(Assumptions!$B:$B,MATCH("Starshield Reserved % — floor",Assumptions!$A:$A,0)),$D$104*(1-INDEX(Assumptions!$B:$B,MATCH("Starshield Reserved % — decay rate",Assumptions!$A:$A,0)))^N$5)</f>
        <v>1.4472573280334474E-3</v>
      </c>
      <c r="O104" s="44">
        <f>MAX(INDEX(Assumptions!$B:$B,MATCH("Starshield Reserved % — floor",Assumptions!$A:$A,0)),$D$104*(1-INDEX(Assumptions!$B:$B,MATCH("Starshield Reserved % — decay rate",Assumptions!$A:$A,0)))^O$5)</f>
        <v>1.0854429960250854E-3</v>
      </c>
      <c r="P104" s="44">
        <f>MAX(INDEX(Assumptions!$B:$B,MATCH("Starshield Reserved % — floor",Assumptions!$A:$A,0)),$D$104*(1-INDEX(Assumptions!$B:$B,MATCH("Starshield Reserved % — decay rate",Assumptions!$A:$A,0)))^P$5)</f>
        <v>8.1408224701881408E-4</v>
      </c>
      <c r="Q104" s="44">
        <f>MAX(INDEX(Assumptions!$B:$B,MATCH("Starshield Reserved % — floor",Assumptions!$A:$A,0)),$D$104*(1-INDEX(Assumptions!$B:$B,MATCH("Starshield Reserved % — decay rate",Assumptions!$A:$A,0)))^Q$5)</f>
        <v>6.1056168526411056E-4</v>
      </c>
      <c r="R104" s="44">
        <f>MAX(INDEX(Assumptions!$B:$B,MATCH("Starshield Reserved % — floor",Assumptions!$A:$A,0)),$D$104*(1-INDEX(Assumptions!$B:$B,MATCH("Starshield Reserved % — decay rate",Assumptions!$A:$A,0)))^R$5)</f>
        <v>4.5792126394808292E-4</v>
      </c>
      <c r="S104" s="44">
        <f>MAX(INDEX(Assumptions!$B:$B,MATCH("Starshield Reserved % — floor",Assumptions!$A:$A,0)),$D$104*(1-INDEX(Assumptions!$B:$B,MATCH("Starshield Reserved % — decay rate",Assumptions!$A:$A,0)))^S$5)</f>
        <v>3.4344094796106222E-4</v>
      </c>
      <c r="T104" s="44">
        <f>MAX(INDEX(Assumptions!$B:$B,MATCH("Starshield Reserved % — floor",Assumptions!$A:$A,0)),$D$104*(1-INDEX(Assumptions!$B:$B,MATCH("Starshield Reserved % — decay rate",Assumptions!$A:$A,0)))^T$5)</f>
        <v>2.5758071097079665E-4</v>
      </c>
      <c r="U104" s="44">
        <f>MAX(INDEX(Assumptions!$B:$B,MATCH("Starshield Reserved % — floor",Assumptions!$A:$A,0)),$D$104*(1-INDEX(Assumptions!$B:$B,MATCH("Starshield Reserved % — decay rate",Assumptions!$A:$A,0)))^U$5)</f>
        <v>1.9318553322809749E-4</v>
      </c>
      <c r="V104" s="44">
        <f>MAX(INDEX(Assumptions!$B:$B,MATCH("Starshield Reserved % — floor",Assumptions!$A:$A,0)),$D$104*(1-INDEX(Assumptions!$B:$B,MATCH("Starshield Reserved % — decay rate",Assumptions!$A:$A,0)))^V$5)</f>
        <v>1.4488914992107313E-4</v>
      </c>
      <c r="W104" s="44">
        <f>MAX(INDEX(Assumptions!$B:$B,MATCH("Starshield Reserved % — floor",Assumptions!$A:$A,0)),$D$104*(1-INDEX(Assumptions!$B:$B,MATCH("Starshield Reserved % — decay rate",Assumptions!$A:$A,0)))^W$5)</f>
        <v>1.0866686244080484E-4</v>
      </c>
      <c r="X104" s="44">
        <f>MAX(INDEX(Assumptions!$B:$B,MATCH("Starshield Reserved % — floor",Assumptions!$A:$A,0)),$D$104*(1-INDEX(Assumptions!$B:$B,MATCH("Starshield Reserved % — decay rate",Assumptions!$A:$A,0)))^X$5)</f>
        <v>1E-4</v>
      </c>
      <c r="Y104" s="44">
        <f>MAX(INDEX(Assumptions!$B:$B,MATCH("Starshield Reserved % — floor",Assumptions!$A:$A,0)),$D$104*(1-INDEX(Assumptions!$B:$B,MATCH("Starshield Reserved % — decay rate",Assumptions!$A:$A,0)))^Y$5)</f>
        <v>1E-4</v>
      </c>
      <c r="Z104" s="44">
        <f>MAX(INDEX(Assumptions!$B:$B,MATCH("Starshield Reserved % — floor",Assumptions!$A:$A,0)),$D$104*(1-INDEX(Assumptions!$B:$B,MATCH("Starshield Reserved % — decay rate",Assumptions!$A:$A,0)))^Z$5)</f>
        <v>1E-4</v>
      </c>
      <c r="AA104" s="44">
        <f>MAX(INDEX(Assumptions!$B:$B,MATCH("Starshield Reserved % — floor",Assumptions!$A:$A,0)),$D$104*(1-INDEX(Assumptions!$B:$B,MATCH("Starshield Reserved % — decay rate",Assumptions!$A:$A,0)))^AA$5)</f>
        <v>1E-4</v>
      </c>
      <c r="AB104" s="44">
        <f>MAX(INDEX(Assumptions!$B:$B,MATCH("Starshield Reserved % — floor",Assumptions!$A:$A,0)),$D$104*(1-INDEX(Assumptions!$B:$B,MATCH("Starshield Reserved % — decay rate",Assumptions!$A:$A,0)))^AB$5)</f>
        <v>1E-4</v>
      </c>
      <c r="AC104" s="44">
        <f>MAX(INDEX(Assumptions!$B:$B,MATCH("Starshield Reserved % — floor",Assumptions!$A:$A,0)),$D$104*(1-INDEX(Assumptions!$B:$B,MATCH("Starshield Reserved % — decay rate",Assumptions!$A:$A,0)))^AC$5)</f>
        <v>1E-4</v>
      </c>
    </row>
    <row r="105" spans="1:29" x14ac:dyDescent="0.2">
      <c r="A105" t="s">
        <v>878</v>
      </c>
      <c r="D105" s="15">
        <f ca="1">D103*D104</f>
        <v>14790.452800000001</v>
      </c>
      <c r="E105" s="15">
        <f t="shared" ref="E105:AC105" ca="1" si="17">E103*E104</f>
        <v>8804.9896200000003</v>
      </c>
      <c r="F105" s="15">
        <f t="shared" ca="1" si="17"/>
        <v>4887.8547300000009</v>
      </c>
      <c r="G105" s="15">
        <f t="shared" ca="1" si="17"/>
        <v>2378.9754337500003</v>
      </c>
      <c r="H105" s="15">
        <f t="shared" ca="1" si="17"/>
        <v>819.04486500000041</v>
      </c>
      <c r="I105" s="15">
        <f t="shared" ca="1" si="17"/>
        <v>0</v>
      </c>
      <c r="J105" s="15">
        <f t="shared" ca="1" si="17"/>
        <v>0</v>
      </c>
      <c r="K105" s="15">
        <f t="shared" ca="1" si="17"/>
        <v>0</v>
      </c>
      <c r="L105" s="15">
        <f t="shared" ca="1" si="17"/>
        <v>0</v>
      </c>
      <c r="M105" s="15">
        <f t="shared" ca="1" si="17"/>
        <v>0</v>
      </c>
      <c r="N105" s="15">
        <f t="shared" ca="1" si="17"/>
        <v>0</v>
      </c>
      <c r="O105" s="15">
        <f t="shared" ca="1" si="17"/>
        <v>0</v>
      </c>
      <c r="P105" s="15">
        <f t="shared" ca="1" si="17"/>
        <v>0</v>
      </c>
      <c r="Q105" s="15">
        <f t="shared" ca="1" si="17"/>
        <v>0</v>
      </c>
      <c r="R105" s="15">
        <f t="shared" ca="1" si="17"/>
        <v>0</v>
      </c>
      <c r="S105" s="15">
        <f t="shared" ca="1" si="17"/>
        <v>0</v>
      </c>
      <c r="T105" s="15">
        <f t="shared" ca="1" si="17"/>
        <v>0</v>
      </c>
      <c r="U105" s="15">
        <f t="shared" ca="1" si="17"/>
        <v>0</v>
      </c>
      <c r="V105" s="15">
        <f t="shared" ca="1" si="17"/>
        <v>0</v>
      </c>
      <c r="W105" s="15">
        <f t="shared" ca="1" si="17"/>
        <v>0</v>
      </c>
      <c r="X105" s="15">
        <f t="shared" ca="1" si="17"/>
        <v>0</v>
      </c>
      <c r="Y105" s="15">
        <f t="shared" ca="1" si="17"/>
        <v>0</v>
      </c>
      <c r="Z105" s="15">
        <f t="shared" ca="1" si="17"/>
        <v>0</v>
      </c>
      <c r="AA105" s="15">
        <f t="shared" ca="1" si="17"/>
        <v>0</v>
      </c>
      <c r="AB105" s="15">
        <f t="shared" ca="1" si="17"/>
        <v>0</v>
      </c>
      <c r="AC105" s="15">
        <f t="shared" ca="1" si="17"/>
        <v>0</v>
      </c>
    </row>
    <row r="106" spans="1:29" x14ac:dyDescent="0.2">
      <c r="A106" t="s">
        <v>879</v>
      </c>
      <c r="D106" s="31">
        <f>INDEX(Assumptions!$B:$B,MATCH("Starshield Rev per Gbps — base year ($/Gbps)",Assumptions!$A:$A,0))</f>
        <v>164699</v>
      </c>
      <c r="E106" s="31">
        <f>$D$106*(1-INDEX(Assumptions!$B:$B,MATCH("Starshield Rev per Gbps — decay rate",Assumptions!$A:$A,0)))^E$5</f>
        <v>156464.04999999999</v>
      </c>
      <c r="F106" s="31">
        <f>$D$106*(1-INDEX(Assumptions!$B:$B,MATCH("Starshield Rev per Gbps — decay rate",Assumptions!$A:$A,0)))^F$5</f>
        <v>148640.8475</v>
      </c>
      <c r="G106" s="31">
        <f>$D$106*(1-INDEX(Assumptions!$B:$B,MATCH("Starshield Rev per Gbps — decay rate",Assumptions!$A:$A,0)))^G$5</f>
        <v>141208.80512499998</v>
      </c>
      <c r="H106" s="31">
        <f>$D$106*(1-INDEX(Assumptions!$B:$B,MATCH("Starshield Rev per Gbps — decay rate",Assumptions!$A:$A,0)))^H$5</f>
        <v>134148.36486875001</v>
      </c>
      <c r="I106" s="31">
        <f>$D$106*(1-INDEX(Assumptions!$B:$B,MATCH("Starshield Rev per Gbps — decay rate",Assumptions!$A:$A,0)))^I$5</f>
        <v>127440.9466253125</v>
      </c>
      <c r="J106" s="31">
        <f>$D$106*(1-INDEX(Assumptions!$B:$B,MATCH("Starshield Rev per Gbps — decay rate",Assumptions!$A:$A,0)))^J$5</f>
        <v>121068.89929404686</v>
      </c>
      <c r="K106" s="31">
        <f>$D$106*(1-INDEX(Assumptions!$B:$B,MATCH("Starshield Rev per Gbps — decay rate",Assumptions!$A:$A,0)))^K$5</f>
        <v>115015.45432934452</v>
      </c>
      <c r="L106" s="31">
        <f>$D$106*(1-INDEX(Assumptions!$B:$B,MATCH("Starshield Rev per Gbps — decay rate",Assumptions!$A:$A,0)))^L$5</f>
        <v>109264.68161287731</v>
      </c>
      <c r="M106" s="31">
        <f>$D$106*(1-INDEX(Assumptions!$B:$B,MATCH("Starshield Rev per Gbps — decay rate",Assumptions!$A:$A,0)))^M$5</f>
        <v>103801.44753223343</v>
      </c>
      <c r="N106" s="31">
        <f>$D$106*(1-INDEX(Assumptions!$B:$B,MATCH("Starshield Rev per Gbps — decay rate",Assumptions!$A:$A,0)))^N$5</f>
        <v>98611.375155621761</v>
      </c>
      <c r="O106" s="31">
        <f>$D$106*(1-INDEX(Assumptions!$B:$B,MATCH("Starshield Rev per Gbps — decay rate",Assumptions!$A:$A,0)))^O$5</f>
        <v>93680.806397840672</v>
      </c>
      <c r="P106" s="31">
        <f>$D$106*(1-INDEX(Assumptions!$B:$B,MATCH("Starshield Rev per Gbps — decay rate",Assumptions!$A:$A,0)))^P$5</f>
        <v>88996.766077948632</v>
      </c>
      <c r="Q106" s="31">
        <f>$D$106*(1-INDEX(Assumptions!$B:$B,MATCH("Starshield Rev per Gbps — decay rate",Assumptions!$A:$A,0)))^Q$5</f>
        <v>84546.927774051204</v>
      </c>
      <c r="R106" s="31">
        <f>$D$106*(1-INDEX(Assumptions!$B:$B,MATCH("Starshield Rev per Gbps — decay rate",Assumptions!$A:$A,0)))^R$5</f>
        <v>80319.581385348632</v>
      </c>
      <c r="S106" s="31">
        <f>$D$106*(1-INDEX(Assumptions!$B:$B,MATCH("Starshield Rev per Gbps — decay rate",Assumptions!$A:$A,0)))^S$5</f>
        <v>76303.602316081218</v>
      </c>
      <c r="T106" s="31">
        <f>$D$106*(1-INDEX(Assumptions!$B:$B,MATCH("Starshield Rev per Gbps — decay rate",Assumptions!$A:$A,0)))^T$5</f>
        <v>72488.422200277142</v>
      </c>
      <c r="U106" s="31">
        <f>$D$106*(1-INDEX(Assumptions!$B:$B,MATCH("Starshield Rev per Gbps — decay rate",Assumptions!$A:$A,0)))^U$5</f>
        <v>68864.001090263293</v>
      </c>
      <c r="V106" s="31">
        <f>$D$106*(1-INDEX(Assumptions!$B:$B,MATCH("Starshield Rev per Gbps — decay rate",Assumptions!$A:$A,0)))^V$5</f>
        <v>65420.801035750126</v>
      </c>
      <c r="W106" s="31">
        <f>$D$106*(1-INDEX(Assumptions!$B:$B,MATCH("Starshield Rev per Gbps — decay rate",Assumptions!$A:$A,0)))^W$5</f>
        <v>62149.760983962617</v>
      </c>
      <c r="X106" s="31">
        <f>$D$106*(1-INDEX(Assumptions!$B:$B,MATCH("Starshield Rev per Gbps — decay rate",Assumptions!$A:$A,0)))^X$5</f>
        <v>59042.272934764485</v>
      </c>
      <c r="Y106" s="31">
        <f>$D$106*(1-INDEX(Assumptions!$B:$B,MATCH("Starshield Rev per Gbps — decay rate",Assumptions!$A:$A,0)))^Y$5</f>
        <v>56090.159288026269</v>
      </c>
      <c r="Z106" s="31">
        <f>$D$106*(1-INDEX(Assumptions!$B:$B,MATCH("Starshield Rev per Gbps — decay rate",Assumptions!$A:$A,0)))^Z$5</f>
        <v>53285.651323624945</v>
      </c>
      <c r="AA106" s="31">
        <f>$D$106*(1-INDEX(Assumptions!$B:$B,MATCH("Starshield Rev per Gbps — decay rate",Assumptions!$A:$A,0)))^AA$5</f>
        <v>50621.368757443706</v>
      </c>
      <c r="AB106" s="31">
        <f>$D$106*(1-INDEX(Assumptions!$B:$B,MATCH("Starshield Rev per Gbps — decay rate",Assumptions!$A:$A,0)))^AB$5</f>
        <v>48090.300319571521</v>
      </c>
      <c r="AC106" s="31">
        <f>$D$106*(1-INDEX(Assumptions!$B:$B,MATCH("Starshield Rev per Gbps — decay rate",Assumptions!$A:$A,0)))^AC$5</f>
        <v>45685.785303592937</v>
      </c>
    </row>
    <row r="110" spans="1:29" x14ac:dyDescent="0.2">
      <c r="A110" t="s">
        <v>880</v>
      </c>
      <c r="D110" s="31">
        <f ca="1">D105*D106/1000000</f>
        <v>2435.9727857072003</v>
      </c>
      <c r="E110" s="31">
        <f t="shared" ref="E110:AC110" ca="1" si="18">E105*E106/1000000</f>
        <v>1377.664336153161</v>
      </c>
      <c r="F110" s="31">
        <f t="shared" ca="1" si="18"/>
        <v>726.53486952408389</v>
      </c>
      <c r="G110" s="31">
        <f t="shared" ca="1" si="18"/>
        <v>335.93227842156614</v>
      </c>
      <c r="H110" s="31">
        <f t="shared" ca="1" si="18"/>
        <v>109.87352939389615</v>
      </c>
      <c r="I110" s="31">
        <f t="shared" ca="1" si="18"/>
        <v>0</v>
      </c>
      <c r="J110" s="31">
        <f t="shared" ca="1" si="18"/>
        <v>0</v>
      </c>
      <c r="K110" s="31">
        <f t="shared" ca="1" si="18"/>
        <v>0</v>
      </c>
      <c r="L110" s="31">
        <f t="shared" ca="1" si="18"/>
        <v>0</v>
      </c>
      <c r="M110" s="31">
        <f t="shared" ca="1" si="18"/>
        <v>0</v>
      </c>
      <c r="N110" s="31">
        <f t="shared" ca="1" si="18"/>
        <v>0</v>
      </c>
      <c r="O110" s="31">
        <f t="shared" ca="1" si="18"/>
        <v>0</v>
      </c>
      <c r="P110" s="31">
        <f t="shared" ca="1" si="18"/>
        <v>0</v>
      </c>
      <c r="Q110" s="31">
        <f t="shared" ca="1" si="18"/>
        <v>0</v>
      </c>
      <c r="R110" s="31">
        <f t="shared" ca="1" si="18"/>
        <v>0</v>
      </c>
      <c r="S110" s="31">
        <f t="shared" ca="1" si="18"/>
        <v>0</v>
      </c>
      <c r="T110" s="31">
        <f t="shared" ca="1" si="18"/>
        <v>0</v>
      </c>
      <c r="U110" s="31">
        <f t="shared" ca="1" si="18"/>
        <v>0</v>
      </c>
      <c r="V110" s="31">
        <f t="shared" ca="1" si="18"/>
        <v>0</v>
      </c>
      <c r="W110" s="31">
        <f t="shared" ca="1" si="18"/>
        <v>0</v>
      </c>
      <c r="X110" s="31">
        <f t="shared" ca="1" si="18"/>
        <v>0</v>
      </c>
      <c r="Y110" s="31">
        <f t="shared" ca="1" si="18"/>
        <v>0</v>
      </c>
      <c r="Z110" s="31">
        <f t="shared" ca="1" si="18"/>
        <v>0</v>
      </c>
      <c r="AA110" s="31">
        <f t="shared" ca="1" si="18"/>
        <v>0</v>
      </c>
      <c r="AB110" s="31">
        <f t="shared" ca="1" si="18"/>
        <v>0</v>
      </c>
      <c r="AC110" s="31">
        <f t="shared" ca="1" si="18"/>
        <v>0</v>
      </c>
    </row>
    <row r="117" spans="1:29" x14ac:dyDescent="0.2">
      <c r="A117" s="39" t="s">
        <v>881</v>
      </c>
    </row>
    <row r="118" spans="1:29" x14ac:dyDescent="0.2">
      <c r="A118" t="s">
        <v>882</v>
      </c>
      <c r="D118" s="15" cm="1">
        <f t="array" aca="1" ref="D118" ca="1">INDEX('Starlink Capacity'!$D:$AC,MATCH("BB Gbps available for external Starlink revenue",'Starlink Capacity'!$A:$A,0),D$5+1)</f>
        <v>575504</v>
      </c>
      <c r="E118" s="15" cm="1">
        <f t="array" aca="1" ref="E118" ca="1">INDEX('Starlink Capacity'!$D:$AC,MATCH("BB Gbps available for external Starlink revenue",'Starlink Capacity'!$A:$A,0),E$5+1)</f>
        <v>456808.80000000005</v>
      </c>
      <c r="F118" s="15" cm="1">
        <f t="array" aca="1" ref="F118" ca="1">INDEX('Starlink Capacity'!$D:$AC,MATCH("BB Gbps available for external Starlink revenue",'Starlink Capacity'!$A:$A,0),F$5+1)</f>
        <v>338113.60000000003</v>
      </c>
      <c r="G118" s="15" cm="1">
        <f t="array" aca="1" ref="G118" ca="1">INDEX('Starlink Capacity'!$D:$AC,MATCH("BB Gbps available for external Starlink revenue",'Starlink Capacity'!$A:$A,0),G$5+1)</f>
        <v>219418.40000000005</v>
      </c>
      <c r="H118" s="15" cm="1">
        <f t="array" aca="1" ref="H118" ca="1">INDEX('Starlink Capacity'!$D:$AC,MATCH("BB Gbps available for external Starlink revenue",'Starlink Capacity'!$A:$A,0),H$5+1)</f>
        <v>100723.20000000004</v>
      </c>
      <c r="I118" s="15" cm="1">
        <f t="array" aca="1" ref="I118" ca="1">INDEX('Starlink Capacity'!$D:$AC,MATCH("BB Gbps available for external Starlink revenue",'Starlink Capacity'!$A:$A,0),I$5+1)</f>
        <v>0</v>
      </c>
      <c r="J118" s="15" cm="1">
        <f t="array" aca="1" ref="J118" ca="1">INDEX('Starlink Capacity'!$D:$AC,MATCH("BB Gbps available for external Starlink revenue",'Starlink Capacity'!$A:$A,0),J$5+1)</f>
        <v>0</v>
      </c>
      <c r="K118" s="15" cm="1">
        <f t="array" aca="1" ref="K118" ca="1">INDEX('Starlink Capacity'!$D:$AC,MATCH("BB Gbps available for external Starlink revenue",'Starlink Capacity'!$A:$A,0),K$5+1)</f>
        <v>0</v>
      </c>
      <c r="L118" s="15" cm="1">
        <f t="array" aca="1" ref="L118" ca="1">INDEX('Starlink Capacity'!$D:$AC,MATCH("BB Gbps available for external Starlink revenue",'Starlink Capacity'!$A:$A,0),L$5+1)</f>
        <v>0</v>
      </c>
      <c r="M118" s="15" cm="1">
        <f t="array" aca="1" ref="M118" ca="1">INDEX('Starlink Capacity'!$D:$AC,MATCH("BB Gbps available for external Starlink revenue",'Starlink Capacity'!$A:$A,0),M$5+1)</f>
        <v>0</v>
      </c>
      <c r="N118" s="15" cm="1">
        <f t="array" aca="1" ref="N118" ca="1">INDEX('Starlink Capacity'!$D:$AC,MATCH("BB Gbps available for external Starlink revenue",'Starlink Capacity'!$A:$A,0),N$5+1)</f>
        <v>0</v>
      </c>
      <c r="O118" s="15" cm="1">
        <f t="array" aca="1" ref="O118" ca="1">INDEX('Starlink Capacity'!$D:$AC,MATCH("BB Gbps available for external Starlink revenue",'Starlink Capacity'!$A:$A,0),O$5+1)</f>
        <v>0</v>
      </c>
      <c r="P118" s="15" cm="1">
        <f t="array" aca="1" ref="P118" ca="1">INDEX('Starlink Capacity'!$D:$AC,MATCH("BB Gbps available for external Starlink revenue",'Starlink Capacity'!$A:$A,0),P$5+1)</f>
        <v>0</v>
      </c>
      <c r="Q118" s="15" cm="1">
        <f t="array" aca="1" ref="Q118" ca="1">INDEX('Starlink Capacity'!$D:$AC,MATCH("BB Gbps available for external Starlink revenue",'Starlink Capacity'!$A:$A,0),Q$5+1)</f>
        <v>0</v>
      </c>
      <c r="R118" s="15" cm="1">
        <f t="array" aca="1" ref="R118" ca="1">INDEX('Starlink Capacity'!$D:$AC,MATCH("BB Gbps available for external Starlink revenue",'Starlink Capacity'!$A:$A,0),R$5+1)</f>
        <v>0</v>
      </c>
      <c r="S118" s="15" cm="1">
        <f t="array" aca="1" ref="S118" ca="1">INDEX('Starlink Capacity'!$D:$AC,MATCH("BB Gbps available for external Starlink revenue",'Starlink Capacity'!$A:$A,0),S$5+1)</f>
        <v>0</v>
      </c>
      <c r="T118" s="15" cm="1">
        <f t="array" aca="1" ref="T118" ca="1">INDEX('Starlink Capacity'!$D:$AC,MATCH("BB Gbps available for external Starlink revenue",'Starlink Capacity'!$A:$A,0),T$5+1)</f>
        <v>0</v>
      </c>
      <c r="U118" s="15" cm="1">
        <f t="array" aca="1" ref="U118" ca="1">INDEX('Starlink Capacity'!$D:$AC,MATCH("BB Gbps available for external Starlink revenue",'Starlink Capacity'!$A:$A,0),U$5+1)</f>
        <v>0</v>
      </c>
      <c r="V118" s="15" cm="1">
        <f t="array" aca="1" ref="V118" ca="1">INDEX('Starlink Capacity'!$D:$AC,MATCH("BB Gbps available for external Starlink revenue",'Starlink Capacity'!$A:$A,0),V$5+1)</f>
        <v>0</v>
      </c>
      <c r="W118" s="15" cm="1">
        <f t="array" aca="1" ref="W118" ca="1">INDEX('Starlink Capacity'!$D:$AC,MATCH("BB Gbps available for external Starlink revenue",'Starlink Capacity'!$A:$A,0),W$5+1)</f>
        <v>0</v>
      </c>
      <c r="X118" s="15" cm="1">
        <f t="array" aca="1" ref="X118" ca="1">INDEX('Starlink Capacity'!$D:$AC,MATCH("BB Gbps available for external Starlink revenue",'Starlink Capacity'!$A:$A,0),X$5+1)</f>
        <v>0</v>
      </c>
      <c r="Y118" s="15" cm="1">
        <f t="array" aca="1" ref="Y118" ca="1">INDEX('Starlink Capacity'!$D:$AC,MATCH("BB Gbps available for external Starlink revenue",'Starlink Capacity'!$A:$A,0),Y$5+1)</f>
        <v>0</v>
      </c>
      <c r="Z118" s="15" cm="1">
        <f t="array" aca="1" ref="Z118" ca="1">INDEX('Starlink Capacity'!$D:$AC,MATCH("BB Gbps available for external Starlink revenue",'Starlink Capacity'!$A:$A,0),Z$5+1)</f>
        <v>0</v>
      </c>
      <c r="AA118" s="15" cm="1">
        <f t="array" aca="1" ref="AA118" ca="1">INDEX('Starlink Capacity'!$D:$AC,MATCH("BB Gbps available for external Starlink revenue",'Starlink Capacity'!$A:$A,0),AA$5+1)</f>
        <v>0</v>
      </c>
      <c r="AB118" s="15" cm="1">
        <f t="array" aca="1" ref="AB118" ca="1">INDEX('Starlink Capacity'!$D:$AC,MATCH("BB Gbps available for external Starlink revenue",'Starlink Capacity'!$A:$A,0),AB$5+1)</f>
        <v>0</v>
      </c>
      <c r="AC118" s="15" cm="1">
        <f t="array" aca="1" ref="AC118" ca="1">INDEX('Starlink Capacity'!$D:$AC,MATCH("BB Gbps available for external Starlink revenue",'Starlink Capacity'!$A:$A,0),AC$5+1)</f>
        <v>0</v>
      </c>
    </row>
    <row r="119" spans="1:29" x14ac:dyDescent="0.2">
      <c r="A119" t="s">
        <v>883</v>
      </c>
      <c r="D119" s="31">
        <f ca="1">IFERROR(D120*1000000/D118,0)</f>
        <v>11721.387126187828</v>
      </c>
      <c r="E119" s="31">
        <f t="shared" ref="E119:AC119" ca="1" si="19">IFERROR(E120*1000000/E118,0)</f>
        <v>13444.115840063869</v>
      </c>
      <c r="F119" s="31">
        <f t="shared" ca="1" si="19"/>
        <v>16047.304506477538</v>
      </c>
      <c r="G119" s="31">
        <f t="shared" ca="1" si="19"/>
        <v>20942.85700930253</v>
      </c>
      <c r="H119" s="31">
        <f t="shared" ca="1" si="19"/>
        <v>36289.681421352216</v>
      </c>
      <c r="I119" s="31">
        <f t="shared" ca="1" si="19"/>
        <v>0</v>
      </c>
      <c r="J119" s="31">
        <f t="shared" ca="1" si="19"/>
        <v>0</v>
      </c>
      <c r="K119" s="31">
        <f t="shared" ca="1" si="19"/>
        <v>0</v>
      </c>
      <c r="L119" s="31">
        <f t="shared" ca="1" si="19"/>
        <v>0</v>
      </c>
      <c r="M119" s="31">
        <f t="shared" ca="1" si="19"/>
        <v>0</v>
      </c>
      <c r="N119" s="31">
        <f t="shared" ca="1" si="19"/>
        <v>0</v>
      </c>
      <c r="O119" s="31">
        <f t="shared" ca="1" si="19"/>
        <v>0</v>
      </c>
      <c r="P119" s="31">
        <f t="shared" ca="1" si="19"/>
        <v>0</v>
      </c>
      <c r="Q119" s="31">
        <f t="shared" ca="1" si="19"/>
        <v>0</v>
      </c>
      <c r="R119" s="31">
        <f t="shared" ca="1" si="19"/>
        <v>0</v>
      </c>
      <c r="S119" s="31">
        <f t="shared" ca="1" si="19"/>
        <v>0</v>
      </c>
      <c r="T119" s="31">
        <f t="shared" ca="1" si="19"/>
        <v>0</v>
      </c>
      <c r="U119" s="31">
        <f t="shared" ca="1" si="19"/>
        <v>0</v>
      </c>
      <c r="V119" s="31">
        <f t="shared" ca="1" si="19"/>
        <v>0</v>
      </c>
      <c r="W119" s="31">
        <f t="shared" ca="1" si="19"/>
        <v>0</v>
      </c>
      <c r="X119" s="31">
        <f t="shared" ca="1" si="19"/>
        <v>0</v>
      </c>
      <c r="Y119" s="31">
        <f t="shared" ca="1" si="19"/>
        <v>0</v>
      </c>
      <c r="Z119" s="31">
        <f t="shared" ca="1" si="19"/>
        <v>0</v>
      </c>
      <c r="AA119" s="31">
        <f t="shared" ca="1" si="19"/>
        <v>0</v>
      </c>
      <c r="AB119" s="31">
        <f t="shared" ca="1" si="19"/>
        <v>0</v>
      </c>
      <c r="AC119" s="31">
        <f t="shared" ca="1" si="19"/>
        <v>0</v>
      </c>
    </row>
    <row r="120" spans="1:29" x14ac:dyDescent="0.2">
      <c r="A120" t="s">
        <v>884</v>
      </c>
      <c r="D120" s="31" cm="1">
        <f t="array" aca="1" ref="D120" ca="1">IFERROR(INDEX('Demand Curves'!$D:$AC,MATCH("Starlink BB Revenue from curve ($mm)",'Demand Curves'!$A:$A,0),D$5+1),0)</f>
        <v>6745.7051766695995</v>
      </c>
      <c r="E120" s="31" cm="1">
        <f t="array" aca="1" ref="E120" ca="1">IFERROR(INDEX('Demand Curves'!$D:$AC,MATCH("Starlink BB Revenue from curve ($mm)",'Demand Curves'!$A:$A,0),E$5+1),0)</f>
        <v>6141.3904239605681</v>
      </c>
      <c r="F120" s="31" cm="1">
        <f t="array" aca="1" ref="F120" ca="1">IFERROR(INDEX('Demand Curves'!$D:$AC,MATCH("Starlink BB Revenue from curve ($mm)",'Demand Curves'!$A:$A,0),F$5+1),0)</f>
        <v>5425.811896981344</v>
      </c>
      <c r="G120" s="31" cm="1">
        <f t="array" aca="1" ref="G120" ca="1">IFERROR(INDEX('Demand Curves'!$D:$AC,MATCH("Starlink BB Revenue from curve ($mm)",'Demand Curves'!$A:$A,0),G$5+1),0)</f>
        <v>4595.2481764099475</v>
      </c>
      <c r="H120" s="31" cm="1">
        <f t="array" aca="1" ref="H120" ca="1">IFERROR(INDEX('Demand Curves'!$D:$AC,MATCH("Starlink BB Revenue from curve ($mm)",'Demand Curves'!$A:$A,0),H$5+1),0)</f>
        <v>3655.2128397391452</v>
      </c>
      <c r="I120" s="31" cm="1">
        <f t="array" aca="1" ref="I120" ca="1">IFERROR(INDEX('Demand Curves'!$D:$AC,MATCH("Starlink BB Revenue from curve ($mm)",'Demand Curves'!$A:$A,0),I$5+1),0)</f>
        <v>3851.2961515283678</v>
      </c>
      <c r="J120" s="31" cm="1">
        <f t="array" aca="1" ref="J120" ca="1">IFERROR(INDEX('Demand Curves'!$D:$AC,MATCH("Starlink BB Revenue from curve ($mm)",'Demand Curves'!$A:$A,0),J$5+1),0)</f>
        <v>4066.0059119760735</v>
      </c>
      <c r="K120" s="31" cm="1">
        <f t="array" aca="1" ref="K120" ca="1">IFERROR(INDEX('Demand Curves'!$D:$AC,MATCH("Starlink BB Revenue from curve ($mm)",'Demand Curves'!$A:$A,0),K$5+1),0)</f>
        <v>4292.68574156874</v>
      </c>
      <c r="L120" s="31" cm="1">
        <f t="array" aca="1" ref="L120" ca="1">IFERROR(INDEX('Demand Curves'!$D:$AC,MATCH("Starlink BB Revenue from curve ($mm)",'Demand Curves'!$A:$A,0),L$5+1),0)</f>
        <v>4532.0029716611962</v>
      </c>
      <c r="M120" s="31" cm="1">
        <f t="array" aca="1" ref="M120" ca="1">IFERROR(INDEX('Demand Curves'!$D:$AC,MATCH("Starlink BB Revenue from curve ($mm)",'Demand Curves'!$A:$A,0),M$5+1),0)</f>
        <v>4784.6621373313073</v>
      </c>
      <c r="N120" s="31" cm="1">
        <f t="array" aca="1" ref="N120" ca="1">IFERROR(INDEX('Demand Curves'!$D:$AC,MATCH("Starlink BB Revenue from curve ($mm)",'Demand Curves'!$A:$A,0),N$5+1),0)</f>
        <v>5051.4070514875284</v>
      </c>
      <c r="O120" s="31" cm="1">
        <f t="array" aca="1" ref="O120" ca="1">IFERROR(INDEX('Demand Curves'!$D:$AC,MATCH("Starlink BB Revenue from curve ($mm)",'Demand Curves'!$A:$A,0),O$5+1),0)</f>
        <v>5333.022994607958</v>
      </c>
      <c r="P120" s="31" cm="1">
        <f t="array" aca="1" ref="P120" ca="1">IFERROR(INDEX('Demand Curves'!$D:$AC,MATCH("Starlink BB Revenue from curve ($mm)",'Demand Curves'!$A:$A,0),P$5+1),0)</f>
        <v>5630.3390265573498</v>
      </c>
      <c r="Q120" s="31" cm="1">
        <f t="array" aca="1" ref="Q120" ca="1">IFERROR(INDEX('Demand Curves'!$D:$AC,MATCH("Starlink BB Revenue from curve ($mm)",'Demand Curves'!$A:$A,0),Q$5+1),0)</f>
        <v>5944.230427287921</v>
      </c>
      <c r="R120" s="31" cm="1">
        <f t="array" aca="1" ref="R120" ca="1">IFERROR(INDEX('Demand Curves'!$D:$AC,MATCH("Starlink BB Revenue from curve ($mm)",'Demand Curves'!$A:$A,0),R$5+1),0)</f>
        <v>6275.621273609223</v>
      </c>
      <c r="S120" s="31" cm="1">
        <f t="array" aca="1" ref="S120" ca="1">IFERROR(INDEX('Demand Curves'!$D:$AC,MATCH("Starlink BB Revenue from curve ($mm)",'Demand Curves'!$A:$A,0),S$5+1),0)</f>
        <v>6625.4871596129396</v>
      </c>
      <c r="T120" s="31" cm="1">
        <f t="array" aca="1" ref="T120" ca="1">IFERROR(INDEX('Demand Curves'!$D:$AC,MATCH("Starlink BB Revenue from curve ($mm)",'Demand Curves'!$A:$A,0),T$5+1),0)</f>
        <v>6994.8580687613594</v>
      </c>
      <c r="U120" s="31" cm="1">
        <f t="array" aca="1" ref="U120" ca="1">IFERROR(INDEX('Demand Curves'!$D:$AC,MATCH("Starlink BB Revenue from curve ($mm)",'Demand Curves'!$A:$A,0),U$5+1),0)</f>
        <v>7384.8214060948039</v>
      </c>
      <c r="V120" s="31" cm="1">
        <f t="array" aca="1" ref="V120" ca="1">IFERROR(INDEX('Demand Curves'!$D:$AC,MATCH("Starlink BB Revenue from curve ($mm)",'Demand Curves'!$A:$A,0),V$5+1),0)</f>
        <v>7796.5251994845894</v>
      </c>
      <c r="W120" s="31" cm="1">
        <f t="array" aca="1" ref="W120" ca="1">IFERROR(INDEX('Demand Curves'!$D:$AC,MATCH("Starlink BB Revenue from curve ($mm)",'Demand Curves'!$A:$A,0),W$5+1),0)</f>
        <v>8231.1814793558551</v>
      </c>
      <c r="X120" s="31" cm="1">
        <f t="array" aca="1" ref="X120" ca="1">IFERROR(INDEX('Demand Curves'!$D:$AC,MATCH("Starlink BB Revenue from curve ($mm)",'Demand Curves'!$A:$A,0),X$5+1),0)</f>
        <v>8690.0698468299433</v>
      </c>
      <c r="Y120" s="31" cm="1">
        <f t="array" aca="1" ref="Y120" ca="1">IFERROR(INDEX('Demand Curves'!$D:$AC,MATCH("Starlink BB Revenue from curve ($mm)",'Demand Curves'!$A:$A,0),Y$5+1),0)</f>
        <v>9174.5412407907097</v>
      </c>
      <c r="Z120" s="31" cm="1">
        <f t="array" aca="1" ref="Z120" ca="1">IFERROR(INDEX('Demand Curves'!$D:$AC,MATCH("Starlink BB Revenue from curve ($mm)",'Demand Curves'!$A:$A,0),Z$5+1),0)</f>
        <v>9686.0219149647928</v>
      </c>
      <c r="AA120" s="31" cm="1">
        <f t="array" aca="1" ref="AA120" ca="1">IFERROR(INDEX('Demand Curves'!$D:$AC,MATCH("Starlink BB Revenue from curve ($mm)",'Demand Curves'!$A:$A,0),AA$5+1),0)</f>
        <v>10226.01763672408</v>
      </c>
      <c r="AB120" s="31" cm="1">
        <f t="array" aca="1" ref="AB120" ca="1">IFERROR(INDEX('Demand Curves'!$D:$AC,MATCH("Starlink BB Revenue from curve ($mm)",'Demand Curves'!$A:$A,0),AB$5+1),0)</f>
        <v>10796.118119971447</v>
      </c>
      <c r="AC120" s="31" cm="1">
        <f t="array" aca="1" ref="AC120" ca="1">IFERROR(INDEX('Demand Curves'!$D:$AC,MATCH("Starlink BB Revenue from curve ($mm)",'Demand Curves'!$A:$A,0),AC$5+1),0)</f>
        <v>11398.001705159852</v>
      </c>
    </row>
    <row r="121" spans="1:29" x14ac:dyDescent="0.2">
      <c r="A121" t="s">
        <v>885</v>
      </c>
      <c r="D121" s="31" cm="1">
        <f t="array" ref="D121">INDEX(Assumptions!$D:$AC,MATCH("Broadband ARPU ($/sub/mo, year-row)",Assumptions!$A:$A,0),D$5+1)</f>
        <v>100</v>
      </c>
      <c r="E121" s="31" cm="1">
        <f t="array" ref="E121">INDEX(Assumptions!$D:$AC,MATCH("Broadband ARPU ($/sub/mo, year-row)",Assumptions!$A:$A,0),E$5+1)</f>
        <v>95</v>
      </c>
      <c r="F121" s="31" cm="1">
        <f t="array" ref="F121">INDEX(Assumptions!$D:$AC,MATCH("Broadband ARPU ($/sub/mo, year-row)",Assumptions!$A:$A,0),F$5+1)</f>
        <v>90</v>
      </c>
      <c r="G121" s="31" cm="1">
        <f t="array" ref="G121">INDEX(Assumptions!$D:$AC,MATCH("Broadband ARPU ($/sub/mo, year-row)",Assumptions!$A:$A,0),G$5+1)</f>
        <v>85</v>
      </c>
      <c r="H121" s="31" cm="1">
        <f t="array" ref="H121">INDEX(Assumptions!$D:$AC,MATCH("Broadband ARPU ($/sub/mo, year-row)",Assumptions!$A:$A,0),H$5+1)</f>
        <v>80</v>
      </c>
      <c r="I121" s="31" cm="1">
        <f t="array" ref="I121">INDEX(Assumptions!$D:$AC,MATCH("Broadband ARPU ($/sub/mo, year-row)",Assumptions!$A:$A,0),I$5+1)</f>
        <v>75</v>
      </c>
      <c r="J121" s="31" cm="1">
        <f t="array" ref="J121">INDEX(Assumptions!$D:$AC,MATCH("Broadband ARPU ($/sub/mo, year-row)",Assumptions!$A:$A,0),J$5+1)</f>
        <v>75</v>
      </c>
      <c r="K121" s="31" cm="1">
        <f t="array" ref="K121">INDEX(Assumptions!$D:$AC,MATCH("Broadband ARPU ($/sub/mo, year-row)",Assumptions!$A:$A,0),K$5+1)</f>
        <v>75</v>
      </c>
      <c r="L121" s="31" cm="1">
        <f t="array" ref="L121">INDEX(Assumptions!$D:$AC,MATCH("Broadband ARPU ($/sub/mo, year-row)",Assumptions!$A:$A,0),L$5+1)</f>
        <v>75</v>
      </c>
      <c r="M121" s="31" cm="1">
        <f t="array" ref="M121">INDEX(Assumptions!$D:$AC,MATCH("Broadband ARPU ($/sub/mo, year-row)",Assumptions!$A:$A,0),M$5+1)</f>
        <v>75</v>
      </c>
      <c r="N121" s="31" cm="1">
        <f t="array" ref="N121">INDEX(Assumptions!$D:$AC,MATCH("Broadband ARPU ($/sub/mo, year-row)",Assumptions!$A:$A,0),N$5+1)</f>
        <v>75</v>
      </c>
      <c r="O121" s="31" cm="1">
        <f t="array" ref="O121">INDEX(Assumptions!$D:$AC,MATCH("Broadband ARPU ($/sub/mo, year-row)",Assumptions!$A:$A,0),O$5+1)</f>
        <v>75</v>
      </c>
      <c r="P121" s="31" cm="1">
        <f t="array" ref="P121">INDEX(Assumptions!$D:$AC,MATCH("Broadband ARPU ($/sub/mo, year-row)",Assumptions!$A:$A,0),P$5+1)</f>
        <v>75</v>
      </c>
      <c r="Q121" s="31" cm="1">
        <f t="array" ref="Q121">INDEX(Assumptions!$D:$AC,MATCH("Broadband ARPU ($/sub/mo, year-row)",Assumptions!$A:$A,0),Q$5+1)</f>
        <v>75</v>
      </c>
      <c r="R121" s="31" cm="1">
        <f t="array" ref="R121">INDEX(Assumptions!$D:$AC,MATCH("Broadband ARPU ($/sub/mo, year-row)",Assumptions!$A:$A,0),R$5+1)</f>
        <v>75</v>
      </c>
      <c r="S121" s="31" cm="1">
        <f t="array" ref="S121">INDEX(Assumptions!$D:$AC,MATCH("Broadband ARPU ($/sub/mo, year-row)",Assumptions!$A:$A,0),S$5+1)</f>
        <v>75</v>
      </c>
      <c r="T121" s="31" cm="1">
        <f t="array" ref="T121">INDEX(Assumptions!$D:$AC,MATCH("Broadband ARPU ($/sub/mo, year-row)",Assumptions!$A:$A,0),T$5+1)</f>
        <v>75</v>
      </c>
      <c r="U121" s="31" cm="1">
        <f t="array" ref="U121">INDEX(Assumptions!$D:$AC,MATCH("Broadband ARPU ($/sub/mo, year-row)",Assumptions!$A:$A,0),U$5+1)</f>
        <v>75</v>
      </c>
      <c r="V121" s="31" cm="1">
        <f t="array" ref="V121">INDEX(Assumptions!$D:$AC,MATCH("Broadband ARPU ($/sub/mo, year-row)",Assumptions!$A:$A,0),V$5+1)</f>
        <v>75</v>
      </c>
      <c r="W121" s="31" cm="1">
        <f t="array" ref="W121">INDEX(Assumptions!$D:$AC,MATCH("Broadband ARPU ($/sub/mo, year-row)",Assumptions!$A:$A,0),W$5+1)</f>
        <v>75</v>
      </c>
      <c r="X121" s="31" cm="1">
        <f t="array" ref="X121">INDEX(Assumptions!$D:$AC,MATCH("Broadband ARPU ($/sub/mo, year-row)",Assumptions!$A:$A,0),X$5+1)</f>
        <v>75</v>
      </c>
      <c r="Y121" s="31" cm="1">
        <f t="array" ref="Y121">INDEX(Assumptions!$D:$AC,MATCH("Broadband ARPU ($/sub/mo, year-row)",Assumptions!$A:$A,0),Y$5+1)</f>
        <v>75</v>
      </c>
      <c r="Z121" s="31" cm="1">
        <f t="array" ref="Z121">INDEX(Assumptions!$D:$AC,MATCH("Broadband ARPU ($/sub/mo, year-row)",Assumptions!$A:$A,0),Z$5+1)</f>
        <v>75</v>
      </c>
      <c r="AA121" s="31" cm="1">
        <f t="array" ref="AA121">INDEX(Assumptions!$D:$AC,MATCH("Broadband ARPU ($/sub/mo, year-row)",Assumptions!$A:$A,0),AA$5+1)</f>
        <v>75</v>
      </c>
      <c r="AB121" s="31" cm="1">
        <f t="array" ref="AB121">INDEX(Assumptions!$D:$AC,MATCH("Broadband ARPU ($/sub/mo, year-row)",Assumptions!$A:$A,0),AB$5+1)</f>
        <v>75</v>
      </c>
      <c r="AC121" s="31" cm="1">
        <f t="array" ref="AC121">INDEX(Assumptions!$D:$AC,MATCH("Broadband ARPU ($/sub/mo, year-row)",Assumptions!$A:$A,0),AC$5+1)</f>
        <v>75</v>
      </c>
    </row>
    <row r="122" spans="1:29" x14ac:dyDescent="0.2">
      <c r="A122" t="s">
        <v>886</v>
      </c>
      <c r="D122" s="40">
        <f ca="1">IFERROR(D120/(D121*12),0)</f>
        <v>5.6214209805579998</v>
      </c>
      <c r="E122" s="40">
        <f t="shared" ref="E122:AC122" ca="1" si="20">IFERROR(E120/(E121*12),0)</f>
        <v>5.3871845824215514</v>
      </c>
      <c r="F122" s="40">
        <f t="shared" ca="1" si="20"/>
        <v>5.0238999046123558</v>
      </c>
      <c r="G122" s="40">
        <f t="shared" ca="1" si="20"/>
        <v>4.5051452709901447</v>
      </c>
      <c r="H122" s="40">
        <f t="shared" ca="1" si="20"/>
        <v>3.8075133747282761</v>
      </c>
      <c r="I122" s="40">
        <f t="shared" ca="1" si="20"/>
        <v>4.279217946142631</v>
      </c>
      <c r="J122" s="40">
        <f t="shared" ca="1" si="20"/>
        <v>4.5177843466400818</v>
      </c>
      <c r="K122" s="40">
        <f t="shared" ca="1" si="20"/>
        <v>4.7696508239652671</v>
      </c>
      <c r="L122" s="40">
        <f t="shared" ca="1" si="20"/>
        <v>5.0355588574013295</v>
      </c>
      <c r="M122" s="40">
        <f t="shared" ca="1" si="20"/>
        <v>5.3162912637014523</v>
      </c>
      <c r="N122" s="40">
        <f t="shared" ca="1" si="20"/>
        <v>5.6126745016528092</v>
      </c>
      <c r="O122" s="40">
        <f t="shared" ca="1" si="20"/>
        <v>5.925581105119953</v>
      </c>
      <c r="P122" s="40">
        <f t="shared" ca="1" si="20"/>
        <v>6.255932251730389</v>
      </c>
      <c r="Q122" s="40">
        <f t="shared" ca="1" si="20"/>
        <v>6.604700474764357</v>
      </c>
      <c r="R122" s="40">
        <f t="shared" ca="1" si="20"/>
        <v>6.97291252623247</v>
      </c>
      <c r="S122" s="40">
        <f t="shared" ca="1" si="20"/>
        <v>7.361652399569933</v>
      </c>
      <c r="T122" s="40">
        <f t="shared" ca="1" si="20"/>
        <v>7.7720645208459551</v>
      </c>
      <c r="U122" s="40">
        <f t="shared" ca="1" si="20"/>
        <v>8.2053571178831159</v>
      </c>
      <c r="V122" s="40">
        <f t="shared" ca="1" si="20"/>
        <v>8.662805777205099</v>
      </c>
      <c r="W122" s="40">
        <f t="shared" ca="1" si="20"/>
        <v>9.145757199284283</v>
      </c>
      <c r="X122" s="40">
        <f t="shared" ca="1" si="20"/>
        <v>9.6556331631443815</v>
      </c>
      <c r="Y122" s="40">
        <f t="shared" ca="1" si="20"/>
        <v>10.193934711989677</v>
      </c>
      <c r="Z122" s="40">
        <f t="shared" ca="1" si="20"/>
        <v>10.762246572183104</v>
      </c>
      <c r="AA122" s="40">
        <f t="shared" ca="1" si="20"/>
        <v>11.36224181858231</v>
      </c>
      <c r="AB122" s="40">
        <f t="shared" ca="1" si="20"/>
        <v>11.995686799968274</v>
      </c>
      <c r="AC122" s="40">
        <f t="shared" ca="1" si="20"/>
        <v>12.664446339066501</v>
      </c>
    </row>
    <row r="128" spans="1:29" x14ac:dyDescent="0.2">
      <c r="A128" t="s">
        <v>887</v>
      </c>
      <c r="D128" s="15" cm="1">
        <f t="array" aca="1" ref="D128" ca="1">INDEX('Starlink Capacity'!$D:$AC,MATCH("DTC Gbps available for external Starlink revenue",'Starlink Capacity'!$A:$A,0),D$5+1)</f>
        <v>130</v>
      </c>
      <c r="E128" s="15" cm="1">
        <f t="array" aca="1" ref="E128" ca="1">INDEX('Starlink Capacity'!$D:$AC,MATCH("DTC Gbps available for external Starlink revenue",'Starlink Capacity'!$A:$A,0),E$5+1)</f>
        <v>104</v>
      </c>
      <c r="F128" s="15" cm="1">
        <f t="array" aca="1" ref="F128" ca="1">INDEX('Starlink Capacity'!$D:$AC,MATCH("DTC Gbps available for external Starlink revenue",'Starlink Capacity'!$A:$A,0),F$5+1)</f>
        <v>78</v>
      </c>
      <c r="G128" s="15" cm="1">
        <f t="array" aca="1" ref="G128" ca="1">INDEX('Starlink Capacity'!$D:$AC,MATCH("DTC Gbps available for external Starlink revenue",'Starlink Capacity'!$A:$A,0),G$5+1)</f>
        <v>52</v>
      </c>
      <c r="H128" s="15" cm="1">
        <f t="array" aca="1" ref="H128" ca="1">INDEX('Starlink Capacity'!$D:$AC,MATCH("DTC Gbps available for external Starlink revenue",'Starlink Capacity'!$A:$A,0),H$5+1)</f>
        <v>26</v>
      </c>
      <c r="I128" s="15" cm="1">
        <f t="array" aca="1" ref="I128" ca="1">INDEX('Starlink Capacity'!$D:$AC,MATCH("DTC Gbps available for external Starlink revenue",'Starlink Capacity'!$A:$A,0),I$5+1)</f>
        <v>0</v>
      </c>
      <c r="J128" s="15" cm="1">
        <f t="array" aca="1" ref="J128" ca="1">INDEX('Starlink Capacity'!$D:$AC,MATCH("DTC Gbps available for external Starlink revenue",'Starlink Capacity'!$A:$A,0),J$5+1)</f>
        <v>0</v>
      </c>
      <c r="K128" s="15" cm="1">
        <f t="array" aca="1" ref="K128" ca="1">INDEX('Starlink Capacity'!$D:$AC,MATCH("DTC Gbps available for external Starlink revenue",'Starlink Capacity'!$A:$A,0),K$5+1)</f>
        <v>0</v>
      </c>
      <c r="L128" s="15" cm="1">
        <f t="array" aca="1" ref="L128" ca="1">INDEX('Starlink Capacity'!$D:$AC,MATCH("DTC Gbps available for external Starlink revenue",'Starlink Capacity'!$A:$A,0),L$5+1)</f>
        <v>0</v>
      </c>
      <c r="M128" s="15" cm="1">
        <f t="array" aca="1" ref="M128" ca="1">INDEX('Starlink Capacity'!$D:$AC,MATCH("DTC Gbps available for external Starlink revenue",'Starlink Capacity'!$A:$A,0),M$5+1)</f>
        <v>0</v>
      </c>
      <c r="N128" s="15" cm="1">
        <f t="array" aca="1" ref="N128" ca="1">INDEX('Starlink Capacity'!$D:$AC,MATCH("DTC Gbps available for external Starlink revenue",'Starlink Capacity'!$A:$A,0),N$5+1)</f>
        <v>0</v>
      </c>
      <c r="O128" s="15" cm="1">
        <f t="array" aca="1" ref="O128" ca="1">INDEX('Starlink Capacity'!$D:$AC,MATCH("DTC Gbps available for external Starlink revenue",'Starlink Capacity'!$A:$A,0),O$5+1)</f>
        <v>0</v>
      </c>
      <c r="P128" s="15" cm="1">
        <f t="array" aca="1" ref="P128" ca="1">INDEX('Starlink Capacity'!$D:$AC,MATCH("DTC Gbps available for external Starlink revenue",'Starlink Capacity'!$A:$A,0),P$5+1)</f>
        <v>0</v>
      </c>
      <c r="Q128" s="15" cm="1">
        <f t="array" aca="1" ref="Q128" ca="1">INDEX('Starlink Capacity'!$D:$AC,MATCH("DTC Gbps available for external Starlink revenue",'Starlink Capacity'!$A:$A,0),Q$5+1)</f>
        <v>0</v>
      </c>
      <c r="R128" s="15" cm="1">
        <f t="array" aca="1" ref="R128" ca="1">INDEX('Starlink Capacity'!$D:$AC,MATCH("DTC Gbps available for external Starlink revenue",'Starlink Capacity'!$A:$A,0),R$5+1)</f>
        <v>0</v>
      </c>
      <c r="S128" s="15" cm="1">
        <f t="array" aca="1" ref="S128" ca="1">INDEX('Starlink Capacity'!$D:$AC,MATCH("DTC Gbps available for external Starlink revenue",'Starlink Capacity'!$A:$A,0),S$5+1)</f>
        <v>0</v>
      </c>
      <c r="T128" s="15" cm="1">
        <f t="array" aca="1" ref="T128" ca="1">INDEX('Starlink Capacity'!$D:$AC,MATCH("DTC Gbps available for external Starlink revenue",'Starlink Capacity'!$A:$A,0),T$5+1)</f>
        <v>0</v>
      </c>
      <c r="U128" s="15" cm="1">
        <f t="array" aca="1" ref="U128" ca="1">INDEX('Starlink Capacity'!$D:$AC,MATCH("DTC Gbps available for external Starlink revenue",'Starlink Capacity'!$A:$A,0),U$5+1)</f>
        <v>0</v>
      </c>
      <c r="V128" s="15" cm="1">
        <f t="array" aca="1" ref="V128" ca="1">INDEX('Starlink Capacity'!$D:$AC,MATCH("DTC Gbps available for external Starlink revenue",'Starlink Capacity'!$A:$A,0),V$5+1)</f>
        <v>0</v>
      </c>
      <c r="W128" s="15" cm="1">
        <f t="array" aca="1" ref="W128" ca="1">INDEX('Starlink Capacity'!$D:$AC,MATCH("DTC Gbps available for external Starlink revenue",'Starlink Capacity'!$A:$A,0),W$5+1)</f>
        <v>0</v>
      </c>
      <c r="X128" s="15" cm="1">
        <f t="array" aca="1" ref="X128" ca="1">INDEX('Starlink Capacity'!$D:$AC,MATCH("DTC Gbps available for external Starlink revenue",'Starlink Capacity'!$A:$A,0),X$5+1)</f>
        <v>0</v>
      </c>
      <c r="Y128" s="15" cm="1">
        <f t="array" aca="1" ref="Y128" ca="1">INDEX('Starlink Capacity'!$D:$AC,MATCH("DTC Gbps available for external Starlink revenue",'Starlink Capacity'!$A:$A,0),Y$5+1)</f>
        <v>0</v>
      </c>
      <c r="Z128" s="15" cm="1">
        <f t="array" aca="1" ref="Z128" ca="1">INDEX('Starlink Capacity'!$D:$AC,MATCH("DTC Gbps available for external Starlink revenue",'Starlink Capacity'!$A:$A,0),Z$5+1)</f>
        <v>0</v>
      </c>
      <c r="AA128" s="15" cm="1">
        <f t="array" aca="1" ref="AA128" ca="1">INDEX('Starlink Capacity'!$D:$AC,MATCH("DTC Gbps available for external Starlink revenue",'Starlink Capacity'!$A:$A,0),AA$5+1)</f>
        <v>0</v>
      </c>
      <c r="AB128" s="15" cm="1">
        <f t="array" aca="1" ref="AB128" ca="1">INDEX('Starlink Capacity'!$D:$AC,MATCH("DTC Gbps available for external Starlink revenue",'Starlink Capacity'!$A:$A,0),AB$5+1)</f>
        <v>0</v>
      </c>
      <c r="AC128" s="15" cm="1">
        <f t="array" aca="1" ref="AC128" ca="1">INDEX('Starlink Capacity'!$D:$AC,MATCH("DTC Gbps available for external Starlink revenue",'Starlink Capacity'!$A:$A,0),AC$5+1)</f>
        <v>0</v>
      </c>
    </row>
    <row r="129" spans="1:29" x14ac:dyDescent="0.2">
      <c r="A129" t="s">
        <v>888</v>
      </c>
      <c r="D129" s="31">
        <f ca="1">IFERROR(D131*1000000/D128,0)</f>
        <v>1095645.9671663099</v>
      </c>
      <c r="E129" s="31">
        <f t="shared" ref="E129:AC129" ca="1" si="21">IFERROR(E131*1000000/E128,0)</f>
        <v>1156728.2298358316</v>
      </c>
      <c r="F129" s="31">
        <f t="shared" ca="1" si="21"/>
        <v>1221215.8286491791</v>
      </c>
      <c r="G129" s="31">
        <f t="shared" ca="1" si="21"/>
        <v>1289298.611096371</v>
      </c>
      <c r="H129" s="31">
        <f t="shared" ca="1" si="21"/>
        <v>1361177.0086649933</v>
      </c>
      <c r="I129" s="31">
        <f t="shared" ca="1" si="21"/>
        <v>0</v>
      </c>
      <c r="J129" s="31">
        <f t="shared" ca="1" si="21"/>
        <v>0</v>
      </c>
      <c r="K129" s="31">
        <f t="shared" ca="1" si="21"/>
        <v>0</v>
      </c>
      <c r="L129" s="31">
        <f t="shared" ca="1" si="21"/>
        <v>0</v>
      </c>
      <c r="M129" s="31">
        <f t="shared" ca="1" si="21"/>
        <v>0</v>
      </c>
      <c r="N129" s="31">
        <f t="shared" ca="1" si="21"/>
        <v>0</v>
      </c>
      <c r="O129" s="31">
        <f t="shared" ca="1" si="21"/>
        <v>0</v>
      </c>
      <c r="P129" s="31">
        <f t="shared" ca="1" si="21"/>
        <v>0</v>
      </c>
      <c r="Q129" s="31">
        <f t="shared" ca="1" si="21"/>
        <v>0</v>
      </c>
      <c r="R129" s="31">
        <f t="shared" ca="1" si="21"/>
        <v>0</v>
      </c>
      <c r="S129" s="31">
        <f t="shared" ca="1" si="21"/>
        <v>0</v>
      </c>
      <c r="T129" s="31">
        <f t="shared" ca="1" si="21"/>
        <v>0</v>
      </c>
      <c r="U129" s="31">
        <f t="shared" ca="1" si="21"/>
        <v>0</v>
      </c>
      <c r="V129" s="31">
        <f t="shared" ca="1" si="21"/>
        <v>0</v>
      </c>
      <c r="W129" s="31">
        <f t="shared" ca="1" si="21"/>
        <v>0</v>
      </c>
      <c r="X129" s="31">
        <f t="shared" ca="1" si="21"/>
        <v>0</v>
      </c>
      <c r="Y129" s="31">
        <f t="shared" ca="1" si="21"/>
        <v>0</v>
      </c>
      <c r="Z129" s="31">
        <f t="shared" ca="1" si="21"/>
        <v>0</v>
      </c>
      <c r="AA129" s="31">
        <f t="shared" ca="1" si="21"/>
        <v>0</v>
      </c>
      <c r="AB129" s="31">
        <f t="shared" ca="1" si="21"/>
        <v>0</v>
      </c>
      <c r="AC129" s="31">
        <f t="shared" ca="1" si="21"/>
        <v>0</v>
      </c>
    </row>
    <row r="130" spans="1:29" x14ac:dyDescent="0.2">
      <c r="A130" t="s">
        <v>889</v>
      </c>
      <c r="D130" s="31" cm="1">
        <f t="array" ref="D130">INDEX(Assumptions!$D:$AC,MATCH("DTC ARPU ($/sub/mo, year-row)",Assumptions!$A:$A,0),D$5+1)</f>
        <v>16</v>
      </c>
      <c r="E130" s="31" cm="1">
        <f t="array" ref="E130">INDEX(Assumptions!$D:$AC,MATCH("DTC ARPU ($/sub/mo, year-row)",Assumptions!$A:$A,0),E$5+1)</f>
        <v>14.8</v>
      </c>
      <c r="F130" s="31" cm="1">
        <f t="array" ref="F130">INDEX(Assumptions!$D:$AC,MATCH("DTC ARPU ($/sub/mo, year-row)",Assumptions!$A:$A,0),F$5+1)</f>
        <v>13.6</v>
      </c>
      <c r="G130" s="31" cm="1">
        <f t="array" ref="G130">INDEX(Assumptions!$D:$AC,MATCH("DTC ARPU ($/sub/mo, year-row)",Assumptions!$A:$A,0),G$5+1)</f>
        <v>12.4</v>
      </c>
      <c r="H130" s="31" cm="1">
        <f t="array" ref="H130">INDEX(Assumptions!$D:$AC,MATCH("DTC ARPU ($/sub/mo, year-row)",Assumptions!$A:$A,0),H$5+1)</f>
        <v>11.2</v>
      </c>
      <c r="I130" s="31" cm="1">
        <f t="array" ref="I130">INDEX(Assumptions!$D:$AC,MATCH("DTC ARPU ($/sub/mo, year-row)",Assumptions!$A:$A,0),I$5+1)</f>
        <v>10</v>
      </c>
      <c r="J130" s="31" cm="1">
        <f t="array" ref="J130">INDEX(Assumptions!$D:$AC,MATCH("DTC ARPU ($/sub/mo, year-row)",Assumptions!$A:$A,0),J$5+1)</f>
        <v>10</v>
      </c>
      <c r="K130" s="31" cm="1">
        <f t="array" ref="K130">INDEX(Assumptions!$D:$AC,MATCH("DTC ARPU ($/sub/mo, year-row)",Assumptions!$A:$A,0),K$5+1)</f>
        <v>10</v>
      </c>
      <c r="L130" s="31" cm="1">
        <f t="array" ref="L130">INDEX(Assumptions!$D:$AC,MATCH("DTC ARPU ($/sub/mo, year-row)",Assumptions!$A:$A,0),L$5+1)</f>
        <v>10</v>
      </c>
      <c r="M130" s="31" cm="1">
        <f t="array" ref="M130">INDEX(Assumptions!$D:$AC,MATCH("DTC ARPU ($/sub/mo, year-row)",Assumptions!$A:$A,0),M$5+1)</f>
        <v>10</v>
      </c>
      <c r="N130" s="31" cm="1">
        <f t="array" ref="N130">INDEX(Assumptions!$D:$AC,MATCH("DTC ARPU ($/sub/mo, year-row)",Assumptions!$A:$A,0),N$5+1)</f>
        <v>10</v>
      </c>
      <c r="O130" s="31" cm="1">
        <f t="array" ref="O130">INDEX(Assumptions!$D:$AC,MATCH("DTC ARPU ($/sub/mo, year-row)",Assumptions!$A:$A,0),O$5+1)</f>
        <v>10</v>
      </c>
      <c r="P130" s="31" cm="1">
        <f t="array" ref="P130">INDEX(Assumptions!$D:$AC,MATCH("DTC ARPU ($/sub/mo, year-row)",Assumptions!$A:$A,0),P$5+1)</f>
        <v>10</v>
      </c>
      <c r="Q130" s="31" cm="1">
        <f t="array" ref="Q130">INDEX(Assumptions!$D:$AC,MATCH("DTC ARPU ($/sub/mo, year-row)",Assumptions!$A:$A,0),Q$5+1)</f>
        <v>10</v>
      </c>
      <c r="R130" s="31" cm="1">
        <f t="array" ref="R130">INDEX(Assumptions!$D:$AC,MATCH("DTC ARPU ($/sub/mo, year-row)",Assumptions!$A:$A,0),R$5+1)</f>
        <v>10</v>
      </c>
      <c r="S130" s="31" cm="1">
        <f t="array" ref="S130">INDEX(Assumptions!$D:$AC,MATCH("DTC ARPU ($/sub/mo, year-row)",Assumptions!$A:$A,0),S$5+1)</f>
        <v>10</v>
      </c>
      <c r="T130" s="31" cm="1">
        <f t="array" ref="T130">INDEX(Assumptions!$D:$AC,MATCH("DTC ARPU ($/sub/mo, year-row)",Assumptions!$A:$A,0),T$5+1)</f>
        <v>10</v>
      </c>
      <c r="U130" s="31" cm="1">
        <f t="array" ref="U130">INDEX(Assumptions!$D:$AC,MATCH("DTC ARPU ($/sub/mo, year-row)",Assumptions!$A:$A,0),U$5+1)</f>
        <v>10</v>
      </c>
      <c r="V130" s="31" cm="1">
        <f t="array" ref="V130">INDEX(Assumptions!$D:$AC,MATCH("DTC ARPU ($/sub/mo, year-row)",Assumptions!$A:$A,0),V$5+1)</f>
        <v>10</v>
      </c>
      <c r="W130" s="31" cm="1">
        <f t="array" ref="W130">INDEX(Assumptions!$D:$AC,MATCH("DTC ARPU ($/sub/mo, year-row)",Assumptions!$A:$A,0),W$5+1)</f>
        <v>10</v>
      </c>
      <c r="X130" s="31" cm="1">
        <f t="array" ref="X130">INDEX(Assumptions!$D:$AC,MATCH("DTC ARPU ($/sub/mo, year-row)",Assumptions!$A:$A,0),X$5+1)</f>
        <v>10</v>
      </c>
      <c r="Y130" s="31" cm="1">
        <f t="array" ref="Y130">INDEX(Assumptions!$D:$AC,MATCH("DTC ARPU ($/sub/mo, year-row)",Assumptions!$A:$A,0),Y$5+1)</f>
        <v>10</v>
      </c>
      <c r="Z130" s="31" cm="1">
        <f t="array" ref="Z130">INDEX(Assumptions!$D:$AC,MATCH("DTC ARPU ($/sub/mo, year-row)",Assumptions!$A:$A,0),Z$5+1)</f>
        <v>10</v>
      </c>
      <c r="AA130" s="31" cm="1">
        <f t="array" ref="AA130">INDEX(Assumptions!$D:$AC,MATCH("DTC ARPU ($/sub/mo, year-row)",Assumptions!$A:$A,0),AA$5+1)</f>
        <v>10</v>
      </c>
      <c r="AB130" s="31" cm="1">
        <f t="array" ref="AB130">INDEX(Assumptions!$D:$AC,MATCH("DTC ARPU ($/sub/mo, year-row)",Assumptions!$A:$A,0),AB$5+1)</f>
        <v>10</v>
      </c>
      <c r="AC130" s="31" cm="1">
        <f t="array" ref="AC130">INDEX(Assumptions!$D:$AC,MATCH("DTC ARPU ($/sub/mo, year-row)",Assumptions!$A:$A,0),AC$5+1)</f>
        <v>10</v>
      </c>
    </row>
    <row r="131" spans="1:29" x14ac:dyDescent="0.2">
      <c r="A131" t="s">
        <v>890</v>
      </c>
      <c r="D131" s="31" cm="1">
        <f t="array" aca="1" ref="D131" ca="1">IFERROR(INDEX('Demand Curves'!$D:$AC,MATCH("Starlink DTC Revenue from curve ($mm)",'Demand Curves'!$A:$A,0),D$5+1),0)</f>
        <v>142.43397573162028</v>
      </c>
      <c r="E131" s="31" cm="1">
        <f t="array" aca="1" ref="E131" ca="1">IFERROR(INDEX('Demand Curves'!$D:$AC,MATCH("Starlink DTC Revenue from curve ($mm)",'Demand Curves'!$A:$A,0),E$5+1),0)</f>
        <v>120.29973590292649</v>
      </c>
      <c r="F131" s="31" cm="1">
        <f t="array" aca="1" ref="F131" ca="1">IFERROR(INDEX('Demand Curves'!$D:$AC,MATCH("Starlink DTC Revenue from curve ($mm)",'Demand Curves'!$A:$A,0),F$5+1),0)</f>
        <v>95.254834634635969</v>
      </c>
      <c r="G131" s="31" cm="1">
        <f t="array" aca="1" ref="G131" ca="1">IFERROR(INDEX('Demand Curves'!$D:$AC,MATCH("Starlink DTC Revenue from curve ($mm)",'Demand Curves'!$A:$A,0),G$5+1),0)</f>
        <v>67.043527777011292</v>
      </c>
      <c r="H131" s="31" cm="1">
        <f t="array" aca="1" ref="H131" ca="1">IFERROR(INDEX('Demand Curves'!$D:$AC,MATCH("Starlink DTC Revenue from curve ($mm)",'Demand Curves'!$A:$A,0),H$5+1),0)</f>
        <v>35.390602225289825</v>
      </c>
      <c r="I131" s="31" cm="1">
        <f t="array" aca="1" ref="I131" ca="1">IFERROR(INDEX('Demand Curves'!$D:$AC,MATCH("Starlink DTC Revenue from curve ($mm)",'Demand Curves'!$A:$A,0),I$5+1),0)</f>
        <v>0</v>
      </c>
      <c r="J131" s="31" cm="1">
        <f t="array" aca="1" ref="J131" ca="1">IFERROR(INDEX('Demand Curves'!$D:$AC,MATCH("Starlink DTC Revenue from curve ($mm)",'Demand Curves'!$A:$A,0),J$5+1),0)</f>
        <v>0</v>
      </c>
      <c r="K131" s="31" cm="1">
        <f t="array" aca="1" ref="K131" ca="1">IFERROR(INDEX('Demand Curves'!$D:$AC,MATCH("Starlink DTC Revenue from curve ($mm)",'Demand Curves'!$A:$A,0),K$5+1),0)</f>
        <v>0</v>
      </c>
      <c r="L131" s="31" cm="1">
        <f t="array" aca="1" ref="L131" ca="1">IFERROR(INDEX('Demand Curves'!$D:$AC,MATCH("Starlink DTC Revenue from curve ($mm)",'Demand Curves'!$A:$A,0),L$5+1),0)</f>
        <v>0</v>
      </c>
      <c r="M131" s="31" cm="1">
        <f t="array" aca="1" ref="M131" ca="1">IFERROR(INDEX('Demand Curves'!$D:$AC,MATCH("Starlink DTC Revenue from curve ($mm)",'Demand Curves'!$A:$A,0),M$5+1),0)</f>
        <v>0</v>
      </c>
      <c r="N131" s="31" cm="1">
        <f t="array" aca="1" ref="N131" ca="1">IFERROR(INDEX('Demand Curves'!$D:$AC,MATCH("Starlink DTC Revenue from curve ($mm)",'Demand Curves'!$A:$A,0),N$5+1),0)</f>
        <v>0</v>
      </c>
      <c r="O131" s="31" cm="1">
        <f t="array" aca="1" ref="O131" ca="1">IFERROR(INDEX('Demand Curves'!$D:$AC,MATCH("Starlink DTC Revenue from curve ($mm)",'Demand Curves'!$A:$A,0),O$5+1),0)</f>
        <v>0</v>
      </c>
      <c r="P131" s="31" cm="1">
        <f t="array" aca="1" ref="P131" ca="1">IFERROR(INDEX('Demand Curves'!$D:$AC,MATCH("Starlink DTC Revenue from curve ($mm)",'Demand Curves'!$A:$A,0),P$5+1),0)</f>
        <v>0</v>
      </c>
      <c r="Q131" s="31" cm="1">
        <f t="array" aca="1" ref="Q131" ca="1">IFERROR(INDEX('Demand Curves'!$D:$AC,MATCH("Starlink DTC Revenue from curve ($mm)",'Demand Curves'!$A:$A,0),Q$5+1),0)</f>
        <v>0</v>
      </c>
      <c r="R131" s="31" cm="1">
        <f t="array" aca="1" ref="R131" ca="1">IFERROR(INDEX('Demand Curves'!$D:$AC,MATCH("Starlink DTC Revenue from curve ($mm)",'Demand Curves'!$A:$A,0),R$5+1),0)</f>
        <v>0</v>
      </c>
      <c r="S131" s="31" cm="1">
        <f t="array" aca="1" ref="S131" ca="1">IFERROR(INDEX('Demand Curves'!$D:$AC,MATCH("Starlink DTC Revenue from curve ($mm)",'Demand Curves'!$A:$A,0),S$5+1),0)</f>
        <v>0</v>
      </c>
      <c r="T131" s="31" cm="1">
        <f t="array" aca="1" ref="T131" ca="1">IFERROR(INDEX('Demand Curves'!$D:$AC,MATCH("Starlink DTC Revenue from curve ($mm)",'Demand Curves'!$A:$A,0),T$5+1),0)</f>
        <v>0</v>
      </c>
      <c r="U131" s="31" cm="1">
        <f t="array" aca="1" ref="U131" ca="1">IFERROR(INDEX('Demand Curves'!$D:$AC,MATCH("Starlink DTC Revenue from curve ($mm)",'Demand Curves'!$A:$A,0),U$5+1),0)</f>
        <v>0</v>
      </c>
      <c r="V131" s="31" cm="1">
        <f t="array" aca="1" ref="V131" ca="1">IFERROR(INDEX('Demand Curves'!$D:$AC,MATCH("Starlink DTC Revenue from curve ($mm)",'Demand Curves'!$A:$A,0),V$5+1),0)</f>
        <v>0</v>
      </c>
      <c r="W131" s="31" cm="1">
        <f t="array" aca="1" ref="W131" ca="1">IFERROR(INDEX('Demand Curves'!$D:$AC,MATCH("Starlink DTC Revenue from curve ($mm)",'Demand Curves'!$A:$A,0),W$5+1),0)</f>
        <v>0</v>
      </c>
      <c r="X131" s="31" cm="1">
        <f t="array" aca="1" ref="X131" ca="1">IFERROR(INDEX('Demand Curves'!$D:$AC,MATCH("Starlink DTC Revenue from curve ($mm)",'Demand Curves'!$A:$A,0),X$5+1),0)</f>
        <v>0</v>
      </c>
      <c r="Y131" s="31" cm="1">
        <f t="array" aca="1" ref="Y131" ca="1">IFERROR(INDEX('Demand Curves'!$D:$AC,MATCH("Starlink DTC Revenue from curve ($mm)",'Demand Curves'!$A:$A,0),Y$5+1),0)</f>
        <v>0</v>
      </c>
      <c r="Z131" s="31" cm="1">
        <f t="array" aca="1" ref="Z131" ca="1">IFERROR(INDEX('Demand Curves'!$D:$AC,MATCH("Starlink DTC Revenue from curve ($mm)",'Demand Curves'!$A:$A,0),Z$5+1),0)</f>
        <v>0</v>
      </c>
      <c r="AA131" s="31" cm="1">
        <f t="array" aca="1" ref="AA131" ca="1">IFERROR(INDEX('Demand Curves'!$D:$AC,MATCH("Starlink DTC Revenue from curve ($mm)",'Demand Curves'!$A:$A,0),AA$5+1),0)</f>
        <v>0</v>
      </c>
      <c r="AB131" s="31" cm="1">
        <f t="array" aca="1" ref="AB131" ca="1">IFERROR(INDEX('Demand Curves'!$D:$AC,MATCH("Starlink DTC Revenue from curve ($mm)",'Demand Curves'!$A:$A,0),AB$5+1),0)</f>
        <v>0</v>
      </c>
      <c r="AC131" s="31" cm="1">
        <f t="array" aca="1" ref="AC131" ca="1">IFERROR(INDEX('Demand Curves'!$D:$AC,MATCH("Starlink DTC Revenue from curve ($mm)",'Demand Curves'!$A:$A,0),AC$5+1),0)</f>
        <v>0</v>
      </c>
    </row>
    <row r="132" spans="1:29" x14ac:dyDescent="0.2">
      <c r="A132" t="s">
        <v>891</v>
      </c>
      <c r="D132" s="41">
        <f ca="1">IFERROR(D131/(D130*12),0)</f>
        <v>0.74184362360218892</v>
      </c>
      <c r="E132" s="41">
        <f t="shared" ref="E132:AC132" ca="1" si="22">IFERROR(E131/(E130*12),0)</f>
        <v>0.67736337783179323</v>
      </c>
      <c r="F132" s="41">
        <f t="shared" ca="1" si="22"/>
        <v>0.58366932986909303</v>
      </c>
      <c r="G132" s="41">
        <f t="shared" ca="1" si="22"/>
        <v>0.45056134258744146</v>
      </c>
      <c r="H132" s="41">
        <f t="shared" ca="1" si="22"/>
        <v>0.26332293322388267</v>
      </c>
      <c r="I132" s="41">
        <f t="shared" ca="1" si="22"/>
        <v>0</v>
      </c>
      <c r="J132" s="41">
        <f t="shared" ca="1" si="22"/>
        <v>0</v>
      </c>
      <c r="K132" s="41">
        <f t="shared" ca="1" si="22"/>
        <v>0</v>
      </c>
      <c r="L132" s="41">
        <f t="shared" ca="1" si="22"/>
        <v>0</v>
      </c>
      <c r="M132" s="41">
        <f t="shared" ca="1" si="22"/>
        <v>0</v>
      </c>
      <c r="N132" s="41">
        <f t="shared" ca="1" si="22"/>
        <v>0</v>
      </c>
      <c r="O132" s="41">
        <f t="shared" ca="1" si="22"/>
        <v>0</v>
      </c>
      <c r="P132" s="41">
        <f t="shared" ca="1" si="22"/>
        <v>0</v>
      </c>
      <c r="Q132" s="41">
        <f t="shared" ca="1" si="22"/>
        <v>0</v>
      </c>
      <c r="R132" s="41">
        <f t="shared" ca="1" si="22"/>
        <v>0</v>
      </c>
      <c r="S132" s="41">
        <f t="shared" ca="1" si="22"/>
        <v>0</v>
      </c>
      <c r="T132" s="41">
        <f t="shared" ca="1" si="22"/>
        <v>0</v>
      </c>
      <c r="U132" s="41">
        <f t="shared" ca="1" si="22"/>
        <v>0</v>
      </c>
      <c r="V132" s="41">
        <f t="shared" ca="1" si="22"/>
        <v>0</v>
      </c>
      <c r="W132" s="41">
        <f t="shared" ca="1" si="22"/>
        <v>0</v>
      </c>
      <c r="X132" s="41">
        <f t="shared" ca="1" si="22"/>
        <v>0</v>
      </c>
      <c r="Y132" s="41">
        <f t="shared" ca="1" si="22"/>
        <v>0</v>
      </c>
      <c r="Z132" s="41">
        <f t="shared" ca="1" si="22"/>
        <v>0</v>
      </c>
      <c r="AA132" s="41">
        <f t="shared" ca="1" si="22"/>
        <v>0</v>
      </c>
      <c r="AB132" s="41">
        <f t="shared" ca="1" si="22"/>
        <v>0</v>
      </c>
      <c r="AC132" s="41">
        <f t="shared" ca="1" si="22"/>
        <v>0</v>
      </c>
    </row>
    <row r="135" spans="1:29" x14ac:dyDescent="0.2">
      <c r="A135" t="s">
        <v>892</v>
      </c>
      <c r="D135" s="31" cm="1">
        <f t="array" aca="1" ref="D135" ca="1">MAX(0,D122-IF(D$5=0,IFERROR(INDEX(Assumptions!$B:$B,MATCH("Starting BoY 2025 subscribers (millions)",Assumptions!$A:$A,0)),0),IFERROR(INDEX($D122:$AC122,1,D$5),0)))*(INDEX(Assumptions!$B:$B,MATCH("Subsidy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248.56839222319991</v>
      </c>
      <c r="E135" s="31" cm="1">
        <f t="array" aca="1" ref="E135" ca="1">MAX(0,E122-IF(E$5=0,IFERROR(INDEX(Assumptions!$B:$B,MATCH("Starting BoY 2025 subscribers (millions)",Assumptions!$A:$A,0)),0),IFERROR(INDEX($D122:$AC122,1,E$5),0)))*(INDEX(Assumptions!$B:$B,MATCH("Subsidy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0</v>
      </c>
      <c r="F135" s="31" cm="1">
        <f t="array" aca="1" ref="F135" ca="1">MAX(0,F122-IF(F$5=0,IFERROR(INDEX(Assumptions!$B:$B,MATCH("Starting BoY 2025 subscribers (millions)",Assumptions!$A:$A,0)),0),IFERROR(INDEX($D122:$AC122,1,F$5),0)))*(INDEX(Assumptions!$B:$B,MATCH("Subsidy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0</v>
      </c>
      <c r="G135" s="31" cm="1">
        <f t="array" aca="1" ref="G135" ca="1">MAX(0,G122-IF(G$5=0,IFERROR(INDEX(Assumptions!$B:$B,MATCH("Starting BoY 2025 subscribers (millions)",Assumptions!$A:$A,0)),0),IFERROR(INDEX($D122:$AC122,1,G$5),0)))*(INDEX(Assumptions!$B:$B,MATCH("Subsidy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0</v>
      </c>
      <c r="H135" s="31" cm="1">
        <f t="array" aca="1" ref="H135" ca="1">MAX(0,H122-IF(H$5=0,IFERROR(INDEX(Assumptions!$B:$B,MATCH("Starting BoY 2025 subscribers (millions)",Assumptions!$A:$A,0)),0),IFERROR(INDEX($D122:$AC122,1,H$5),0)))*(INDEX(Assumptions!$B:$B,MATCH("Subsidy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0</v>
      </c>
      <c r="I135" s="31" cm="1">
        <f t="array" aca="1" ref="I135" ca="1">MAX(0,I122-IF(I$5=0,IFERROR(INDEX(Assumptions!$B:$B,MATCH("Starting BoY 2025 subscribers (millions)",Assumptions!$A:$A,0)),0),IFERROR(INDEX($D122:$AC122,1,I$5),0)))*(INDEX(Assumptions!$B:$B,MATCH("Subsidy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188.68182856574194</v>
      </c>
      <c r="J135" s="31" cm="1">
        <f t="array" aca="1" ref="J135" ca="1">MAX(0,J122-IF(J$5=0,IFERROR(INDEX(Assumptions!$B:$B,MATCH("Starting BoY 2025 subscribers (millions)",Assumptions!$A:$A,0)),0),IFERROR(INDEX($D122:$AC122,1,J$5),0)))*(INDEX(Assumptions!$B:$B,MATCH("Subsidy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95.426560198980326</v>
      </c>
      <c r="K135" s="31" cm="1">
        <f t="array" aca="1" ref="K135" ca="1">MAX(0,K122-IF(K$5=0,IFERROR(INDEX(Assumptions!$B:$B,MATCH("Starting BoY 2025 subscribers (millions)",Assumptions!$A:$A,0)),0),IFERROR(INDEX($D122:$AC122,1,K$5),0)))*(INDEX(Assumptions!$B:$B,MATCH("Subsidy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100.74659093007412</v>
      </c>
      <c r="L135" s="31" cm="1">
        <f t="array" aca="1" ref="L135" ca="1">MAX(0,L122-IF(L$5=0,IFERROR(INDEX(Assumptions!$B:$B,MATCH("Starting BoY 2025 subscribers (millions)",Assumptions!$A:$A,0)),0),IFERROR(INDEX($D122:$AC122,1,L$5),0)))*(INDEX(Assumptions!$B:$B,MATCH("Subsidy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106.36321337442496</v>
      </c>
      <c r="M135" s="31" cm="1">
        <f t="array" aca="1" ref="M135" ca="1">MAX(0,M122-IF(M$5=0,IFERROR(INDEX(Assumptions!$B:$B,MATCH("Starting BoY 2025 subscribers (millions)",Assumptions!$A:$A,0)),0),IFERROR(INDEX($D122:$AC122,1,M$5),0)))*(INDEX(Assumptions!$B:$B,MATCH("Subsidy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112.29296252004914</v>
      </c>
      <c r="N135" s="31" cm="1">
        <f t="array" aca="1" ref="N135" ca="1">MAX(0,N122-IF(N$5=0,IFERROR(INDEX(Assumptions!$B:$B,MATCH("Starting BoY 2025 subscribers (millions)",Assumptions!$A:$A,0)),0),IFERROR(INDEX($D122:$AC122,1,N$5),0)))*(INDEX(Assumptions!$B:$B,MATCH("Subsidy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118.55329518054276</v>
      </c>
      <c r="O135" s="31" cm="1">
        <f t="array" aca="1" ref="O135" ca="1">MAX(0,O122-IF(O$5=0,IFERROR(INDEX(Assumptions!$B:$B,MATCH("Starting BoY 2025 subscribers (millions)",Assumptions!$A:$A,0)),0),IFERROR(INDEX($D122:$AC122,1,O$5),0)))*(INDEX(Assumptions!$B:$B,MATCH("Subsidy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125.16264138685749</v>
      </c>
      <c r="P135" s="31" cm="1">
        <f t="array" aca="1" ref="P135" ca="1">MAX(0,P122-IF(P$5=0,IFERROR(INDEX(Assumptions!$B:$B,MATCH("Starting BoY 2025 subscribers (millions)",Assumptions!$A:$A,0)),0),IFERROR(INDEX($D122:$AC122,1,P$5),0)))*(INDEX(Assumptions!$B:$B,MATCH("Subsidy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132.14045864417443</v>
      </c>
      <c r="Q135" s="31" cm="1">
        <f t="array" aca="1" ref="Q135" ca="1">MAX(0,Q122-IF(Q$5=0,IFERROR(INDEX(Assumptions!$B:$B,MATCH("Starting BoY 2025 subscribers (millions)",Assumptions!$A:$A,0)),0),IFERROR(INDEX($D122:$AC122,1,Q$5),0)))*(INDEX(Assumptions!$B:$B,MATCH("Subsidy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139.50728921358717</v>
      </c>
      <c r="R135" s="31" cm="1">
        <f t="array" aca="1" ref="R135" ca="1">MAX(0,R122-IF(R$5=0,IFERROR(INDEX(Assumptions!$B:$B,MATCH("Starting BoY 2025 subscribers (millions)",Assumptions!$A:$A,0)),0),IFERROR(INDEX($D122:$AC122,1,R$5),0)))*(INDEX(Assumptions!$B:$B,MATCH("Subsidy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147.28482058724524</v>
      </c>
      <c r="S135" s="31" cm="1">
        <f t="array" aca="1" ref="S135" ca="1">MAX(0,S122-IF(S$5=0,IFERROR(INDEX(Assumptions!$B:$B,MATCH("Starting BoY 2025 subscribers (millions)",Assumptions!$A:$A,0)),0),IFERROR(INDEX($D122:$AC122,1,S$5),0)))*(INDEX(Assumptions!$B:$B,MATCH("Subsidy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155.4959493349852</v>
      </c>
      <c r="T135" s="31" cm="1">
        <f t="array" aca="1" ref="T135" ca="1">MAX(0,T122-IF(T$5=0,IFERROR(INDEX(Assumptions!$B:$B,MATCH("Starting BoY 2025 subscribers (millions)",Assumptions!$A:$A,0)),0),IFERROR(INDEX($D122:$AC122,1,T$5),0)))*(INDEX(Assumptions!$B:$B,MATCH("Subsidy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164.16484851040883</v>
      </c>
      <c r="U135" s="31" cm="1">
        <f t="array" aca="1" ref="U135" ca="1">MAX(0,U122-IF(U$5=0,IFERROR(INDEX(Assumptions!$B:$B,MATCH("Starting BoY 2025 subscribers (millions)",Assumptions!$A:$A,0)),0),IFERROR(INDEX($D122:$AC122,1,U$5),0)))*(INDEX(Assumptions!$B:$B,MATCH("Subsidy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173.31703881486433</v>
      </c>
      <c r="V135" s="31" cm="1">
        <f t="array" aca="1" ref="V135" ca="1">MAX(0,V122-IF(V$5=0,IFERROR(INDEX(Assumptions!$B:$B,MATCH("Starting BoY 2025 subscribers (millions)",Assumptions!$A:$A,0)),0),IFERROR(INDEX($D122:$AC122,1,V$5),0)))*(INDEX(Assumptions!$B:$B,MATCH("Subsidy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182.97946372879323</v>
      </c>
      <c r="W135" s="31" cm="1">
        <f t="array" aca="1" ref="W135" ca="1">MAX(0,W122-IF(W$5=0,IFERROR(INDEX(Assumptions!$B:$B,MATCH("Starting BoY 2025 subscribers (millions)",Assumptions!$A:$A,0)),0),IFERROR(INDEX($D122:$AC122,1,W$5),0)))*(INDEX(Assumptions!$B:$B,MATCH("Subsidy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193.18056883167358</v>
      </c>
      <c r="X135" s="31" cm="1">
        <f t="array" aca="1" ref="X135" ca="1">MAX(0,X122-IF(X$5=0,IFERROR(INDEX(Assumptions!$B:$B,MATCH("Starting BoY 2025 subscribers (millions)",Assumptions!$A:$A,0)),0),IFERROR(INDEX($D122:$AC122,1,X$5),0)))*(INDEX(Assumptions!$B:$B,MATCH("Subsidy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203.95038554403939</v>
      </c>
      <c r="Y135" s="31" cm="1">
        <f t="array" aca="1" ref="Y135" ca="1">MAX(0,Y122-IF(Y$5=0,IFERROR(INDEX(Assumptions!$B:$B,MATCH("Starting BoY 2025 subscribers (millions)",Assumptions!$A:$A,0)),0),IFERROR(INDEX($D122:$AC122,1,Y$5),0)))*(INDEX(Assumptions!$B:$B,MATCH("Subsidy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215.32061953811805</v>
      </c>
      <c r="Z135" s="31" cm="1">
        <f t="array" aca="1" ref="Z135" ca="1">MAX(0,Z122-IF(Z$5=0,IFERROR(INDEX(Assumptions!$B:$B,MATCH("Starting BoY 2025 subscribers (millions)",Assumptions!$A:$A,0)),0),IFERROR(INDEX($D122:$AC122,1,Z$5),0)))*(INDEX(Assumptions!$B:$B,MATCH("Subsidy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227.32474407737087</v>
      </c>
      <c r="AA135" s="31" cm="1">
        <f t="array" aca="1" ref="AA135" ca="1">MAX(0,AA122-IF(AA$5=0,IFERROR(INDEX(Assumptions!$B:$B,MATCH("Starting BoY 2025 subscribers (millions)",Assumptions!$A:$A,0)),0),IFERROR(INDEX($D122:$AC122,1,AA$5),0)))*(INDEX(Assumptions!$B:$B,MATCH("Subsidy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239.99809855968266</v>
      </c>
      <c r="AB135" s="31" cm="1">
        <f t="array" aca="1" ref="AB135" ca="1">MAX(0,AB122-IF(AB$5=0,IFERROR(INDEX(Assumptions!$B:$B,MATCH("Starting BoY 2025 subscribers (millions)",Assumptions!$A:$A,0)),0),IFERROR(INDEX($D122:$AC122,1,AB$5),0)))*(INDEX(Assumptions!$B:$B,MATCH("Subsidy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253.3779925543854</v>
      </c>
      <c r="AC135" s="31" cm="1">
        <f t="array" aca="1" ref="AC135" ca="1">MAX(0,AC122-IF(AC$5=0,IFERROR(INDEX(Assumptions!$B:$B,MATCH("Starting BoY 2025 subscribers (millions)",Assumptions!$A:$A,0)),0),IFERROR(INDEX($D122:$AC122,1,AC$5),0)))*(INDEX(Assumptions!$B:$B,MATCH("Subsidy mix (% of net adds subsidized)",Assumptions!$A:$A,0))*INDEX(Assumptions!$B:$B,MATCH("Terminal retail price ($, subsidized)",Assumptions!$A:$A,0))+(1-INDEX(Assumptions!$B:$B,MATCH("Subsidy mix (% of net adds subsidized)",Assumptions!$A:$A,0)))*INDEX(Assumptions!$B:$B,MATCH("Terminal retail price ($, non-subsidized)",Assumptions!$A:$A,0)))</f>
        <v>267.50381563929079</v>
      </c>
    </row>
    <row r="142" spans="1:29" x14ac:dyDescent="0.2">
      <c r="A142" s="39" t="s">
        <v>893</v>
      </c>
    </row>
    <row r="143" spans="1:29" x14ac:dyDescent="0.2">
      <c r="A143" t="s">
        <v>894</v>
      </c>
      <c r="D143" s="31" cm="1">
        <f t="array" aca="1" ref="D143" ca="1">IFERROR(INDEX('Starlink Capacity'!$D:$AC,MATCH("ODC BB Gbps demand",'Starlink Capacity'!$A:$A,0),D$5+1)*INDEX('Starlink Capacity'!$D:$AC,MATCH("BB pool at-cost rate ($/Gbps/yr)",'Starlink Capacity'!$A:$A,0),D$5+1)/1000000,0)+IFERROR(INDEX('Starlink Capacity'!$D:$AC,MATCH("ODC DTC Gbps demand",'Starlink Capacity'!$A:$A,0),D$5+1)*INDEX('Starlink Capacity'!$D:$AC,MATCH("DTC pool at-cost rate ($/Gbps/yr)",'Starlink Capacity'!$A:$A,0),D$5+1)/1000000,0)</f>
        <v>0</v>
      </c>
      <c r="E143" s="31" cm="1">
        <f t="array" aca="1" ref="E143" ca="1">IFERROR(INDEX('Starlink Capacity'!$D:$AC,MATCH("ODC BB Gbps demand",'Starlink Capacity'!$A:$A,0),E$5+1)*INDEX('Starlink Capacity'!$D:$AC,MATCH("BB pool at-cost rate ($/Gbps/yr)",'Starlink Capacity'!$A:$A,0),E$5+1)/1000000,0)+IFERROR(INDEX('Starlink Capacity'!$D:$AC,MATCH("ODC DTC Gbps demand",'Starlink Capacity'!$A:$A,0),E$5+1)*INDEX('Starlink Capacity'!$D:$AC,MATCH("DTC pool at-cost rate ($/Gbps/yr)",'Starlink Capacity'!$A:$A,0),E$5+1)/1000000,0)</f>
        <v>0</v>
      </c>
      <c r="F143" s="31" cm="1">
        <f t="array" aca="1" ref="F143" ca="1">IFERROR(INDEX('Starlink Capacity'!$D:$AC,MATCH("ODC BB Gbps demand",'Starlink Capacity'!$A:$A,0),F$5+1)*INDEX('Starlink Capacity'!$D:$AC,MATCH("BB pool at-cost rate ($/Gbps/yr)",'Starlink Capacity'!$A:$A,0),F$5+1)/1000000,0)+IFERROR(INDEX('Starlink Capacity'!$D:$AC,MATCH("ODC DTC Gbps demand",'Starlink Capacity'!$A:$A,0),F$5+1)*INDEX('Starlink Capacity'!$D:$AC,MATCH("DTC pool at-cost rate ($/Gbps/yr)",'Starlink Capacity'!$A:$A,0),F$5+1)/1000000,0)</f>
        <v>0</v>
      </c>
      <c r="G143" s="31" cm="1">
        <f t="array" aca="1" ref="G143" ca="1">IFERROR(INDEX('Starlink Capacity'!$D:$AC,MATCH("ODC BB Gbps demand",'Starlink Capacity'!$A:$A,0),G$5+1)*INDEX('Starlink Capacity'!$D:$AC,MATCH("BB pool at-cost rate ($/Gbps/yr)",'Starlink Capacity'!$A:$A,0),G$5+1)/1000000,0)+IFERROR(INDEX('Starlink Capacity'!$D:$AC,MATCH("ODC DTC Gbps demand",'Starlink Capacity'!$A:$A,0),G$5+1)*INDEX('Starlink Capacity'!$D:$AC,MATCH("DTC pool at-cost rate ($/Gbps/yr)",'Starlink Capacity'!$A:$A,0),G$5+1)/1000000,0)</f>
        <v>0</v>
      </c>
      <c r="H143" s="31" cm="1">
        <f t="array" aca="1" ref="H143" ca="1">IFERROR(INDEX('Starlink Capacity'!$D:$AC,MATCH("ODC BB Gbps demand",'Starlink Capacity'!$A:$A,0),H$5+1)*INDEX('Starlink Capacity'!$D:$AC,MATCH("BB pool at-cost rate ($/Gbps/yr)",'Starlink Capacity'!$A:$A,0),H$5+1)/1000000,0)+IFERROR(INDEX('Starlink Capacity'!$D:$AC,MATCH("ODC DTC Gbps demand",'Starlink Capacity'!$A:$A,0),H$5+1)*INDEX('Starlink Capacity'!$D:$AC,MATCH("DTC pool at-cost rate ($/Gbps/yr)",'Starlink Capacity'!$A:$A,0),H$5+1)/1000000,0)</f>
        <v>0</v>
      </c>
      <c r="I143" s="31" cm="1">
        <f t="array" aca="1" ref="I143" ca="1">IFERROR(INDEX('Starlink Capacity'!$D:$AC,MATCH("ODC BB Gbps demand",'Starlink Capacity'!$A:$A,0),I$5+1)*INDEX('Starlink Capacity'!$D:$AC,MATCH("BB pool at-cost rate ($/Gbps/yr)",'Starlink Capacity'!$A:$A,0),I$5+1)/1000000,0)+IFERROR(INDEX('Starlink Capacity'!$D:$AC,MATCH("ODC DTC Gbps demand",'Starlink Capacity'!$A:$A,0),I$5+1)*INDEX('Starlink Capacity'!$D:$AC,MATCH("DTC pool at-cost rate ($/Gbps/yr)",'Starlink Capacity'!$A:$A,0),I$5+1)/1000000,0)</f>
        <v>0</v>
      </c>
      <c r="J143" s="31" cm="1">
        <f t="array" aca="1" ref="J143" ca="1">IFERROR(INDEX('Starlink Capacity'!$D:$AC,MATCH("ODC BB Gbps demand",'Starlink Capacity'!$A:$A,0),J$5+1)*INDEX('Starlink Capacity'!$D:$AC,MATCH("BB pool at-cost rate ($/Gbps/yr)",'Starlink Capacity'!$A:$A,0),J$5+1)/1000000,0)+IFERROR(INDEX('Starlink Capacity'!$D:$AC,MATCH("ODC DTC Gbps demand",'Starlink Capacity'!$A:$A,0),J$5+1)*INDEX('Starlink Capacity'!$D:$AC,MATCH("DTC pool at-cost rate ($/Gbps/yr)",'Starlink Capacity'!$A:$A,0),J$5+1)/1000000,0)</f>
        <v>0</v>
      </c>
      <c r="K143" s="31" cm="1">
        <f t="array" aca="1" ref="K143" ca="1">IFERROR(INDEX('Starlink Capacity'!$D:$AC,MATCH("ODC BB Gbps demand",'Starlink Capacity'!$A:$A,0),K$5+1)*INDEX('Starlink Capacity'!$D:$AC,MATCH("BB pool at-cost rate ($/Gbps/yr)",'Starlink Capacity'!$A:$A,0),K$5+1)/1000000,0)+IFERROR(INDEX('Starlink Capacity'!$D:$AC,MATCH("ODC DTC Gbps demand",'Starlink Capacity'!$A:$A,0),K$5+1)*INDEX('Starlink Capacity'!$D:$AC,MATCH("DTC pool at-cost rate ($/Gbps/yr)",'Starlink Capacity'!$A:$A,0),K$5+1)/1000000,0)</f>
        <v>0</v>
      </c>
      <c r="L143" s="31" cm="1">
        <f t="array" aca="1" ref="L143" ca="1">IFERROR(INDEX('Starlink Capacity'!$D:$AC,MATCH("ODC BB Gbps demand",'Starlink Capacity'!$A:$A,0),L$5+1)*INDEX('Starlink Capacity'!$D:$AC,MATCH("BB pool at-cost rate ($/Gbps/yr)",'Starlink Capacity'!$A:$A,0),L$5+1)/1000000,0)+IFERROR(INDEX('Starlink Capacity'!$D:$AC,MATCH("ODC DTC Gbps demand",'Starlink Capacity'!$A:$A,0),L$5+1)*INDEX('Starlink Capacity'!$D:$AC,MATCH("DTC pool at-cost rate ($/Gbps/yr)",'Starlink Capacity'!$A:$A,0),L$5+1)/1000000,0)</f>
        <v>0</v>
      </c>
      <c r="M143" s="31" cm="1">
        <f t="array" aca="1" ref="M143" ca="1">IFERROR(INDEX('Starlink Capacity'!$D:$AC,MATCH("ODC BB Gbps demand",'Starlink Capacity'!$A:$A,0),M$5+1)*INDEX('Starlink Capacity'!$D:$AC,MATCH("BB pool at-cost rate ($/Gbps/yr)",'Starlink Capacity'!$A:$A,0),M$5+1)/1000000,0)+IFERROR(INDEX('Starlink Capacity'!$D:$AC,MATCH("ODC DTC Gbps demand",'Starlink Capacity'!$A:$A,0),M$5+1)*INDEX('Starlink Capacity'!$D:$AC,MATCH("DTC pool at-cost rate ($/Gbps/yr)",'Starlink Capacity'!$A:$A,0),M$5+1)/1000000,0)</f>
        <v>0</v>
      </c>
      <c r="N143" s="31" cm="1">
        <f t="array" aca="1" ref="N143" ca="1">IFERROR(INDEX('Starlink Capacity'!$D:$AC,MATCH("ODC BB Gbps demand",'Starlink Capacity'!$A:$A,0),N$5+1)*INDEX('Starlink Capacity'!$D:$AC,MATCH("BB pool at-cost rate ($/Gbps/yr)",'Starlink Capacity'!$A:$A,0),N$5+1)/1000000,0)+IFERROR(INDEX('Starlink Capacity'!$D:$AC,MATCH("ODC DTC Gbps demand",'Starlink Capacity'!$A:$A,0),N$5+1)*INDEX('Starlink Capacity'!$D:$AC,MATCH("DTC pool at-cost rate ($/Gbps/yr)",'Starlink Capacity'!$A:$A,0),N$5+1)/1000000,0)</f>
        <v>0</v>
      </c>
      <c r="O143" s="31" cm="1">
        <f t="array" aca="1" ref="O143" ca="1">IFERROR(INDEX('Starlink Capacity'!$D:$AC,MATCH("ODC BB Gbps demand",'Starlink Capacity'!$A:$A,0),O$5+1)*INDEX('Starlink Capacity'!$D:$AC,MATCH("BB pool at-cost rate ($/Gbps/yr)",'Starlink Capacity'!$A:$A,0),O$5+1)/1000000,0)+IFERROR(INDEX('Starlink Capacity'!$D:$AC,MATCH("ODC DTC Gbps demand",'Starlink Capacity'!$A:$A,0),O$5+1)*INDEX('Starlink Capacity'!$D:$AC,MATCH("DTC pool at-cost rate ($/Gbps/yr)",'Starlink Capacity'!$A:$A,0),O$5+1)/1000000,0)</f>
        <v>0</v>
      </c>
      <c r="P143" s="31" cm="1">
        <f t="array" aca="1" ref="P143" ca="1">IFERROR(INDEX('Starlink Capacity'!$D:$AC,MATCH("ODC BB Gbps demand",'Starlink Capacity'!$A:$A,0),P$5+1)*INDEX('Starlink Capacity'!$D:$AC,MATCH("BB pool at-cost rate ($/Gbps/yr)",'Starlink Capacity'!$A:$A,0),P$5+1)/1000000,0)+IFERROR(INDEX('Starlink Capacity'!$D:$AC,MATCH("ODC DTC Gbps demand",'Starlink Capacity'!$A:$A,0),P$5+1)*INDEX('Starlink Capacity'!$D:$AC,MATCH("DTC pool at-cost rate ($/Gbps/yr)",'Starlink Capacity'!$A:$A,0),P$5+1)/1000000,0)</f>
        <v>0</v>
      </c>
      <c r="Q143" s="31" cm="1">
        <f t="array" aca="1" ref="Q143" ca="1">IFERROR(INDEX('Starlink Capacity'!$D:$AC,MATCH("ODC BB Gbps demand",'Starlink Capacity'!$A:$A,0),Q$5+1)*INDEX('Starlink Capacity'!$D:$AC,MATCH("BB pool at-cost rate ($/Gbps/yr)",'Starlink Capacity'!$A:$A,0),Q$5+1)/1000000,0)+IFERROR(INDEX('Starlink Capacity'!$D:$AC,MATCH("ODC DTC Gbps demand",'Starlink Capacity'!$A:$A,0),Q$5+1)*INDEX('Starlink Capacity'!$D:$AC,MATCH("DTC pool at-cost rate ($/Gbps/yr)",'Starlink Capacity'!$A:$A,0),Q$5+1)/1000000,0)</f>
        <v>0</v>
      </c>
      <c r="R143" s="31" cm="1">
        <f t="array" aca="1" ref="R143" ca="1">IFERROR(INDEX('Starlink Capacity'!$D:$AC,MATCH("ODC BB Gbps demand",'Starlink Capacity'!$A:$A,0),R$5+1)*INDEX('Starlink Capacity'!$D:$AC,MATCH("BB pool at-cost rate ($/Gbps/yr)",'Starlink Capacity'!$A:$A,0),R$5+1)/1000000,0)+IFERROR(INDEX('Starlink Capacity'!$D:$AC,MATCH("ODC DTC Gbps demand",'Starlink Capacity'!$A:$A,0),R$5+1)*INDEX('Starlink Capacity'!$D:$AC,MATCH("DTC pool at-cost rate ($/Gbps/yr)",'Starlink Capacity'!$A:$A,0),R$5+1)/1000000,0)</f>
        <v>0</v>
      </c>
      <c r="S143" s="31" cm="1">
        <f t="array" aca="1" ref="S143" ca="1">IFERROR(INDEX('Starlink Capacity'!$D:$AC,MATCH("ODC BB Gbps demand",'Starlink Capacity'!$A:$A,0),S$5+1)*INDEX('Starlink Capacity'!$D:$AC,MATCH("BB pool at-cost rate ($/Gbps/yr)",'Starlink Capacity'!$A:$A,0),S$5+1)/1000000,0)+IFERROR(INDEX('Starlink Capacity'!$D:$AC,MATCH("ODC DTC Gbps demand",'Starlink Capacity'!$A:$A,0),S$5+1)*INDEX('Starlink Capacity'!$D:$AC,MATCH("DTC pool at-cost rate ($/Gbps/yr)",'Starlink Capacity'!$A:$A,0),S$5+1)/1000000,0)</f>
        <v>0</v>
      </c>
      <c r="T143" s="31" cm="1">
        <f t="array" aca="1" ref="T143" ca="1">IFERROR(INDEX('Starlink Capacity'!$D:$AC,MATCH("ODC BB Gbps demand",'Starlink Capacity'!$A:$A,0),T$5+1)*INDEX('Starlink Capacity'!$D:$AC,MATCH("BB pool at-cost rate ($/Gbps/yr)",'Starlink Capacity'!$A:$A,0),T$5+1)/1000000,0)+IFERROR(INDEX('Starlink Capacity'!$D:$AC,MATCH("ODC DTC Gbps demand",'Starlink Capacity'!$A:$A,0),T$5+1)*INDEX('Starlink Capacity'!$D:$AC,MATCH("DTC pool at-cost rate ($/Gbps/yr)",'Starlink Capacity'!$A:$A,0),T$5+1)/1000000,0)</f>
        <v>0</v>
      </c>
      <c r="U143" s="31" cm="1">
        <f t="array" aca="1" ref="U143" ca="1">IFERROR(INDEX('Starlink Capacity'!$D:$AC,MATCH("ODC BB Gbps demand",'Starlink Capacity'!$A:$A,0),U$5+1)*INDEX('Starlink Capacity'!$D:$AC,MATCH("BB pool at-cost rate ($/Gbps/yr)",'Starlink Capacity'!$A:$A,0),U$5+1)/1000000,0)+IFERROR(INDEX('Starlink Capacity'!$D:$AC,MATCH("ODC DTC Gbps demand",'Starlink Capacity'!$A:$A,0),U$5+1)*INDEX('Starlink Capacity'!$D:$AC,MATCH("DTC pool at-cost rate ($/Gbps/yr)",'Starlink Capacity'!$A:$A,0),U$5+1)/1000000,0)</f>
        <v>0</v>
      </c>
      <c r="V143" s="31" cm="1">
        <f t="array" aca="1" ref="V143" ca="1">IFERROR(INDEX('Starlink Capacity'!$D:$AC,MATCH("ODC BB Gbps demand",'Starlink Capacity'!$A:$A,0),V$5+1)*INDEX('Starlink Capacity'!$D:$AC,MATCH("BB pool at-cost rate ($/Gbps/yr)",'Starlink Capacity'!$A:$A,0),V$5+1)/1000000,0)+IFERROR(INDEX('Starlink Capacity'!$D:$AC,MATCH("ODC DTC Gbps demand",'Starlink Capacity'!$A:$A,0),V$5+1)*INDEX('Starlink Capacity'!$D:$AC,MATCH("DTC pool at-cost rate ($/Gbps/yr)",'Starlink Capacity'!$A:$A,0),V$5+1)/1000000,0)</f>
        <v>0</v>
      </c>
      <c r="W143" s="31" cm="1">
        <f t="array" aca="1" ref="W143" ca="1">IFERROR(INDEX('Starlink Capacity'!$D:$AC,MATCH("ODC BB Gbps demand",'Starlink Capacity'!$A:$A,0),W$5+1)*INDEX('Starlink Capacity'!$D:$AC,MATCH("BB pool at-cost rate ($/Gbps/yr)",'Starlink Capacity'!$A:$A,0),W$5+1)/1000000,0)+IFERROR(INDEX('Starlink Capacity'!$D:$AC,MATCH("ODC DTC Gbps demand",'Starlink Capacity'!$A:$A,0),W$5+1)*INDEX('Starlink Capacity'!$D:$AC,MATCH("DTC pool at-cost rate ($/Gbps/yr)",'Starlink Capacity'!$A:$A,0),W$5+1)/1000000,0)</f>
        <v>0</v>
      </c>
      <c r="X143" s="31" cm="1">
        <f t="array" aca="1" ref="X143" ca="1">IFERROR(INDEX('Starlink Capacity'!$D:$AC,MATCH("ODC BB Gbps demand",'Starlink Capacity'!$A:$A,0),X$5+1)*INDEX('Starlink Capacity'!$D:$AC,MATCH("BB pool at-cost rate ($/Gbps/yr)",'Starlink Capacity'!$A:$A,0),X$5+1)/1000000,0)+IFERROR(INDEX('Starlink Capacity'!$D:$AC,MATCH("ODC DTC Gbps demand",'Starlink Capacity'!$A:$A,0),X$5+1)*INDEX('Starlink Capacity'!$D:$AC,MATCH("DTC pool at-cost rate ($/Gbps/yr)",'Starlink Capacity'!$A:$A,0),X$5+1)/1000000,0)</f>
        <v>0</v>
      </c>
      <c r="Y143" s="31" cm="1">
        <f t="array" aca="1" ref="Y143" ca="1">IFERROR(INDEX('Starlink Capacity'!$D:$AC,MATCH("ODC BB Gbps demand",'Starlink Capacity'!$A:$A,0),Y$5+1)*INDEX('Starlink Capacity'!$D:$AC,MATCH("BB pool at-cost rate ($/Gbps/yr)",'Starlink Capacity'!$A:$A,0),Y$5+1)/1000000,0)+IFERROR(INDEX('Starlink Capacity'!$D:$AC,MATCH("ODC DTC Gbps demand",'Starlink Capacity'!$A:$A,0),Y$5+1)*INDEX('Starlink Capacity'!$D:$AC,MATCH("DTC pool at-cost rate ($/Gbps/yr)",'Starlink Capacity'!$A:$A,0),Y$5+1)/1000000,0)</f>
        <v>0</v>
      </c>
      <c r="Z143" s="31" cm="1">
        <f t="array" aca="1" ref="Z143" ca="1">IFERROR(INDEX('Starlink Capacity'!$D:$AC,MATCH("ODC BB Gbps demand",'Starlink Capacity'!$A:$A,0),Z$5+1)*INDEX('Starlink Capacity'!$D:$AC,MATCH("BB pool at-cost rate ($/Gbps/yr)",'Starlink Capacity'!$A:$A,0),Z$5+1)/1000000,0)+IFERROR(INDEX('Starlink Capacity'!$D:$AC,MATCH("ODC DTC Gbps demand",'Starlink Capacity'!$A:$A,0),Z$5+1)*INDEX('Starlink Capacity'!$D:$AC,MATCH("DTC pool at-cost rate ($/Gbps/yr)",'Starlink Capacity'!$A:$A,0),Z$5+1)/1000000,0)</f>
        <v>0</v>
      </c>
      <c r="AA143" s="31" cm="1">
        <f t="array" aca="1" ref="AA143" ca="1">IFERROR(INDEX('Starlink Capacity'!$D:$AC,MATCH("ODC BB Gbps demand",'Starlink Capacity'!$A:$A,0),AA$5+1)*INDEX('Starlink Capacity'!$D:$AC,MATCH("BB pool at-cost rate ($/Gbps/yr)",'Starlink Capacity'!$A:$A,0),AA$5+1)/1000000,0)+IFERROR(INDEX('Starlink Capacity'!$D:$AC,MATCH("ODC DTC Gbps demand",'Starlink Capacity'!$A:$A,0),AA$5+1)*INDEX('Starlink Capacity'!$D:$AC,MATCH("DTC pool at-cost rate ($/Gbps/yr)",'Starlink Capacity'!$A:$A,0),AA$5+1)/1000000,0)</f>
        <v>0</v>
      </c>
      <c r="AB143" s="31" cm="1">
        <f t="array" aca="1" ref="AB143" ca="1">IFERROR(INDEX('Starlink Capacity'!$D:$AC,MATCH("ODC BB Gbps demand",'Starlink Capacity'!$A:$A,0),AB$5+1)*INDEX('Starlink Capacity'!$D:$AC,MATCH("BB pool at-cost rate ($/Gbps/yr)",'Starlink Capacity'!$A:$A,0),AB$5+1)/1000000,0)+IFERROR(INDEX('Starlink Capacity'!$D:$AC,MATCH("ODC DTC Gbps demand",'Starlink Capacity'!$A:$A,0),AB$5+1)*INDEX('Starlink Capacity'!$D:$AC,MATCH("DTC pool at-cost rate ($/Gbps/yr)",'Starlink Capacity'!$A:$A,0),AB$5+1)/1000000,0)</f>
        <v>0</v>
      </c>
      <c r="AC143" s="31" cm="1">
        <f t="array" aca="1" ref="AC143" ca="1">IFERROR(INDEX('Starlink Capacity'!$D:$AC,MATCH("ODC BB Gbps demand",'Starlink Capacity'!$A:$A,0),AC$5+1)*INDEX('Starlink Capacity'!$D:$AC,MATCH("BB pool at-cost rate ($/Gbps/yr)",'Starlink Capacity'!$A:$A,0),AC$5+1)/1000000,0)+IFERROR(INDEX('Starlink Capacity'!$D:$AC,MATCH("ODC DTC Gbps demand",'Starlink Capacity'!$A:$A,0),AC$5+1)*INDEX('Starlink Capacity'!$D:$AC,MATCH("DTC pool at-cost rate ($/Gbps/yr)",'Starlink Capacity'!$A:$A,0),AC$5+1)/1000000,0)</f>
        <v>0</v>
      </c>
    </row>
    <row r="152" spans="1:29" x14ac:dyDescent="0.2">
      <c r="A152" s="39" t="s">
        <v>895</v>
      </c>
    </row>
    <row r="153" spans="1:29" x14ac:dyDescent="0.2">
      <c r="A153" t="s">
        <v>896</v>
      </c>
      <c r="D153" s="31">
        <f>(D60+D61)*INDEX(Assumptions!$B:$B,MATCH("V2 Mini Mass (kg)",Assumptions!$A:$A,0))*INDEX(Assumptions!$B:$B,MATCH("Satellite Dep per kg — base year ($/kg/yr)",Assumptions!$A:$A,0))*(1-INDEX(Assumptions!$B:$B,MATCH("Satellite Dep per kg — annual decay rate",Assumptions!$A:$A,0)))^D$5/1000000+(D62+D63)*INDEX(Assumptions!$B:$B,MATCH("V3 Mass (kg)",Assumptions!$A:$A,0))*INDEX(Assumptions!$B:$B,MATCH("Satellite Dep per kg — base year ($/kg/yr)",Assumptions!$A:$A,0))*(1-INDEX(Assumptions!$B:$B,MATCH("Satellite Dep per kg — annual decay rate",Assumptions!$A:$A,0)))^D$5/1000000+D233+D234</f>
        <v>706.65776000000005</v>
      </c>
      <c r="E153" s="31">
        <f ca="1">(E60+E61)*INDEX(Assumptions!$B:$B,MATCH("V2 Mini Mass (kg)",Assumptions!$A:$A,0))*INDEX(Assumptions!$B:$B,MATCH("Satellite Dep per kg — base year ($/kg/yr)",Assumptions!$A:$A,0))*(1-INDEX(Assumptions!$B:$B,MATCH("Satellite Dep per kg — annual decay rate",Assumptions!$A:$A,0)))^E$5/1000000+(E62+E63)*INDEX(Assumptions!$B:$B,MATCH("V3 Mass (kg)",Assumptions!$A:$A,0))*INDEX(Assumptions!$B:$B,MATCH("Satellite Dep per kg — base year ($/kg/yr)",Assumptions!$A:$A,0))*(1-INDEX(Assumptions!$B:$B,MATCH("Satellite Dep per kg — annual decay rate",Assumptions!$A:$A,0)))^E$5/1000000+E233+E234</f>
        <v>583.33294592000016</v>
      </c>
      <c r="F153" s="31">
        <f ca="1">(F60+F61)*INDEX(Assumptions!$B:$B,MATCH("V2 Mini Mass (kg)",Assumptions!$A:$A,0))*INDEX(Assumptions!$B:$B,MATCH("Satellite Dep per kg — base year ($/kg/yr)",Assumptions!$A:$A,0))*(1-INDEX(Assumptions!$B:$B,MATCH("Satellite Dep per kg — annual decay rate",Assumptions!$A:$A,0)))^F$5/1000000+(F62+F63)*INDEX(Assumptions!$B:$B,MATCH("V3 Mass (kg)",Assumptions!$A:$A,0))*INDEX(Assumptions!$B:$B,MATCH("Satellite Dep per kg — base year ($/kg/yr)",Assumptions!$A:$A,0))*(1-INDEX(Assumptions!$B:$B,MATCH("Satellite Dep per kg — annual decay rate",Assumptions!$A:$A,0)))^F$5/1000000+F233+F234</f>
        <v>461.78096234560002</v>
      </c>
      <c r="G153" s="31">
        <f ca="1">(G60+G61)*INDEX(Assumptions!$B:$B,MATCH("V2 Mini Mass (kg)",Assumptions!$A:$A,0))*INDEX(Assumptions!$B:$B,MATCH("Satellite Dep per kg — base year ($/kg/yr)",Assumptions!$A:$A,0))*(1-INDEX(Assumptions!$B:$B,MATCH("Satellite Dep per kg — annual decay rate",Assumptions!$A:$A,0)))^G$5/1000000+(G62+G63)*INDEX(Assumptions!$B:$B,MATCH("V3 Mass (kg)",Assumptions!$A:$A,0))*INDEX(Assumptions!$B:$B,MATCH("Satellite Dep per kg — base year ($/kg/yr)",Assumptions!$A:$A,0))*(1-INDEX(Assumptions!$B:$B,MATCH("Satellite Dep per kg — annual decay rate",Assumptions!$A:$A,0)))^G$5/1000000+G233+G234</f>
        <v>341.97543514809604</v>
      </c>
      <c r="H153" s="31">
        <f ca="1">(H60+H61)*INDEX(Assumptions!$B:$B,MATCH("V2 Mini Mass (kg)",Assumptions!$A:$A,0))*INDEX(Assumptions!$B:$B,MATCH("Satellite Dep per kg — base year ($/kg/yr)",Assumptions!$A:$A,0))*(1-INDEX(Assumptions!$B:$B,MATCH("Satellite Dep per kg — annual decay rate",Assumptions!$A:$A,0)))^H$5/1000000+(H62+H63)*INDEX(Assumptions!$B:$B,MATCH("V3 Mass (kg)",Assumptions!$A:$A,0))*INDEX(Assumptions!$B:$B,MATCH("Satellite Dep per kg — base year ($/kg/yr)",Assumptions!$A:$A,0))*(1-INDEX(Assumptions!$B:$B,MATCH("Satellite Dep per kg — annual decay rate",Assumptions!$A:$A,0)))^H$5/1000000+H233+H234</f>
        <v>223.89034039830756</v>
      </c>
      <c r="I153" s="31">
        <f ca="1">(I60+I61)*INDEX(Assumptions!$B:$B,MATCH("V2 Mini Mass (kg)",Assumptions!$A:$A,0))*INDEX(Assumptions!$B:$B,MATCH("Satellite Dep per kg — base year ($/kg/yr)",Assumptions!$A:$A,0))*(1-INDEX(Assumptions!$B:$B,MATCH("Satellite Dep per kg — annual decay rate",Assumptions!$A:$A,0)))^I$5/1000000+(I62+I63)*INDEX(Assumptions!$B:$B,MATCH("V3 Mass (kg)",Assumptions!$A:$A,0))*INDEX(Assumptions!$B:$B,MATCH("Satellite Dep per kg — base year ($/kg/yr)",Assumptions!$A:$A,0))*(1-INDEX(Assumptions!$B:$B,MATCH("Satellite Dep per kg — annual decay rate",Assumptions!$A:$A,0)))^I$5/1000000+I233+I234</f>
        <v>140</v>
      </c>
      <c r="J153" s="31">
        <f ca="1">(J60+J61)*INDEX(Assumptions!$B:$B,MATCH("V2 Mini Mass (kg)",Assumptions!$A:$A,0))*INDEX(Assumptions!$B:$B,MATCH("Satellite Dep per kg — base year ($/kg/yr)",Assumptions!$A:$A,0))*(1-INDEX(Assumptions!$B:$B,MATCH("Satellite Dep per kg — annual decay rate",Assumptions!$A:$A,0)))^J$5/1000000+(J62+J63)*INDEX(Assumptions!$B:$B,MATCH("V3 Mass (kg)",Assumptions!$A:$A,0))*INDEX(Assumptions!$B:$B,MATCH("Satellite Dep per kg — base year ($/kg/yr)",Assumptions!$A:$A,0))*(1-INDEX(Assumptions!$B:$B,MATCH("Satellite Dep per kg — annual decay rate",Assumptions!$A:$A,0)))^J$5/1000000+J233+J234</f>
        <v>140</v>
      </c>
      <c r="K153" s="31">
        <f ca="1">(K60+K61)*INDEX(Assumptions!$B:$B,MATCH("V2 Mini Mass (kg)",Assumptions!$A:$A,0))*INDEX(Assumptions!$B:$B,MATCH("Satellite Dep per kg — base year ($/kg/yr)",Assumptions!$A:$A,0))*(1-INDEX(Assumptions!$B:$B,MATCH("Satellite Dep per kg — annual decay rate",Assumptions!$A:$A,0)))^K$5/1000000+(K62+K63)*INDEX(Assumptions!$B:$B,MATCH("V3 Mass (kg)",Assumptions!$A:$A,0))*INDEX(Assumptions!$B:$B,MATCH("Satellite Dep per kg — base year ($/kg/yr)",Assumptions!$A:$A,0))*(1-INDEX(Assumptions!$B:$B,MATCH("Satellite Dep per kg — annual decay rate",Assumptions!$A:$A,0)))^K$5/1000000+K233+K234</f>
        <v>140</v>
      </c>
      <c r="L153" s="31">
        <f ca="1">(L60+L61)*INDEX(Assumptions!$B:$B,MATCH("V2 Mini Mass (kg)",Assumptions!$A:$A,0))*INDEX(Assumptions!$B:$B,MATCH("Satellite Dep per kg — base year ($/kg/yr)",Assumptions!$A:$A,0))*(1-INDEX(Assumptions!$B:$B,MATCH("Satellite Dep per kg — annual decay rate",Assumptions!$A:$A,0)))^L$5/1000000+(L62+L63)*INDEX(Assumptions!$B:$B,MATCH("V3 Mass (kg)",Assumptions!$A:$A,0))*INDEX(Assumptions!$B:$B,MATCH("Satellite Dep per kg — base year ($/kg/yr)",Assumptions!$A:$A,0))*(1-INDEX(Assumptions!$B:$B,MATCH("Satellite Dep per kg — annual decay rate",Assumptions!$A:$A,0)))^L$5/1000000+L233+L234</f>
        <v>140</v>
      </c>
      <c r="M153" s="31">
        <f ca="1">(M60+M61)*INDEX(Assumptions!$B:$B,MATCH("V2 Mini Mass (kg)",Assumptions!$A:$A,0))*INDEX(Assumptions!$B:$B,MATCH("Satellite Dep per kg — base year ($/kg/yr)",Assumptions!$A:$A,0))*(1-INDEX(Assumptions!$B:$B,MATCH("Satellite Dep per kg — annual decay rate",Assumptions!$A:$A,0)))^M$5/1000000+(M62+M63)*INDEX(Assumptions!$B:$B,MATCH("V3 Mass (kg)",Assumptions!$A:$A,0))*INDEX(Assumptions!$B:$B,MATCH("Satellite Dep per kg — base year ($/kg/yr)",Assumptions!$A:$A,0))*(1-INDEX(Assumptions!$B:$B,MATCH("Satellite Dep per kg — annual decay rate",Assumptions!$A:$A,0)))^M$5/1000000+M233+M234</f>
        <v>140</v>
      </c>
      <c r="N153" s="31">
        <f ca="1">(N60+N61)*INDEX(Assumptions!$B:$B,MATCH("V2 Mini Mass (kg)",Assumptions!$A:$A,0))*INDEX(Assumptions!$B:$B,MATCH("Satellite Dep per kg — base year ($/kg/yr)",Assumptions!$A:$A,0))*(1-INDEX(Assumptions!$B:$B,MATCH("Satellite Dep per kg — annual decay rate",Assumptions!$A:$A,0)))^N$5/1000000+(N62+N63)*INDEX(Assumptions!$B:$B,MATCH("V3 Mass (kg)",Assumptions!$A:$A,0))*INDEX(Assumptions!$B:$B,MATCH("Satellite Dep per kg — base year ($/kg/yr)",Assumptions!$A:$A,0))*(1-INDEX(Assumptions!$B:$B,MATCH("Satellite Dep per kg — annual decay rate",Assumptions!$A:$A,0)))^N$5/1000000+N233+N234</f>
        <v>140</v>
      </c>
      <c r="O153" s="31">
        <f ca="1">(O60+O61)*INDEX(Assumptions!$B:$B,MATCH("V2 Mini Mass (kg)",Assumptions!$A:$A,0))*INDEX(Assumptions!$B:$B,MATCH("Satellite Dep per kg — base year ($/kg/yr)",Assumptions!$A:$A,0))*(1-INDEX(Assumptions!$B:$B,MATCH("Satellite Dep per kg — annual decay rate",Assumptions!$A:$A,0)))^O$5/1000000+(O62+O63)*INDEX(Assumptions!$B:$B,MATCH("V3 Mass (kg)",Assumptions!$A:$A,0))*INDEX(Assumptions!$B:$B,MATCH("Satellite Dep per kg — base year ($/kg/yr)",Assumptions!$A:$A,0))*(1-INDEX(Assumptions!$B:$B,MATCH("Satellite Dep per kg — annual decay rate",Assumptions!$A:$A,0)))^O$5/1000000+O233+O234</f>
        <v>140</v>
      </c>
      <c r="P153" s="31">
        <f ca="1">(P60+P61)*INDEX(Assumptions!$B:$B,MATCH("V2 Mini Mass (kg)",Assumptions!$A:$A,0))*INDEX(Assumptions!$B:$B,MATCH("Satellite Dep per kg — base year ($/kg/yr)",Assumptions!$A:$A,0))*(1-INDEX(Assumptions!$B:$B,MATCH("Satellite Dep per kg — annual decay rate",Assumptions!$A:$A,0)))^P$5/1000000+(P62+P63)*INDEX(Assumptions!$B:$B,MATCH("V3 Mass (kg)",Assumptions!$A:$A,0))*INDEX(Assumptions!$B:$B,MATCH("Satellite Dep per kg — base year ($/kg/yr)",Assumptions!$A:$A,0))*(1-INDEX(Assumptions!$B:$B,MATCH("Satellite Dep per kg — annual decay rate",Assumptions!$A:$A,0)))^P$5/1000000+P233+P234</f>
        <v>140</v>
      </c>
      <c r="Q153" s="31">
        <f ca="1">(Q60+Q61)*INDEX(Assumptions!$B:$B,MATCH("V2 Mini Mass (kg)",Assumptions!$A:$A,0))*INDEX(Assumptions!$B:$B,MATCH("Satellite Dep per kg — base year ($/kg/yr)",Assumptions!$A:$A,0))*(1-INDEX(Assumptions!$B:$B,MATCH("Satellite Dep per kg — annual decay rate",Assumptions!$A:$A,0)))^Q$5/1000000+(Q62+Q63)*INDEX(Assumptions!$B:$B,MATCH("V3 Mass (kg)",Assumptions!$A:$A,0))*INDEX(Assumptions!$B:$B,MATCH("Satellite Dep per kg — base year ($/kg/yr)",Assumptions!$A:$A,0))*(1-INDEX(Assumptions!$B:$B,MATCH("Satellite Dep per kg — annual decay rate",Assumptions!$A:$A,0)))^Q$5/1000000+Q233+Q234</f>
        <v>140</v>
      </c>
      <c r="R153" s="31">
        <f ca="1">(R60+R61)*INDEX(Assumptions!$B:$B,MATCH("V2 Mini Mass (kg)",Assumptions!$A:$A,0))*INDEX(Assumptions!$B:$B,MATCH("Satellite Dep per kg — base year ($/kg/yr)",Assumptions!$A:$A,0))*(1-INDEX(Assumptions!$B:$B,MATCH("Satellite Dep per kg — annual decay rate",Assumptions!$A:$A,0)))^R$5/1000000+(R62+R63)*INDEX(Assumptions!$B:$B,MATCH("V3 Mass (kg)",Assumptions!$A:$A,0))*INDEX(Assumptions!$B:$B,MATCH("Satellite Dep per kg — base year ($/kg/yr)",Assumptions!$A:$A,0))*(1-INDEX(Assumptions!$B:$B,MATCH("Satellite Dep per kg — annual decay rate",Assumptions!$A:$A,0)))^R$5/1000000+R233+R234</f>
        <v>140</v>
      </c>
      <c r="S153" s="31">
        <f ca="1">(S60+S61)*INDEX(Assumptions!$B:$B,MATCH("V2 Mini Mass (kg)",Assumptions!$A:$A,0))*INDEX(Assumptions!$B:$B,MATCH("Satellite Dep per kg — base year ($/kg/yr)",Assumptions!$A:$A,0))*(1-INDEX(Assumptions!$B:$B,MATCH("Satellite Dep per kg — annual decay rate",Assumptions!$A:$A,0)))^S$5/1000000+(S62+S63)*INDEX(Assumptions!$B:$B,MATCH("V3 Mass (kg)",Assumptions!$A:$A,0))*INDEX(Assumptions!$B:$B,MATCH("Satellite Dep per kg — base year ($/kg/yr)",Assumptions!$A:$A,0))*(1-INDEX(Assumptions!$B:$B,MATCH("Satellite Dep per kg — annual decay rate",Assumptions!$A:$A,0)))^S$5/1000000+S233+S234</f>
        <v>140</v>
      </c>
      <c r="T153" s="31">
        <f ca="1">(T60+T61)*INDEX(Assumptions!$B:$B,MATCH("V2 Mini Mass (kg)",Assumptions!$A:$A,0))*INDEX(Assumptions!$B:$B,MATCH("Satellite Dep per kg — base year ($/kg/yr)",Assumptions!$A:$A,0))*(1-INDEX(Assumptions!$B:$B,MATCH("Satellite Dep per kg — annual decay rate",Assumptions!$A:$A,0)))^T$5/1000000+(T62+T63)*INDEX(Assumptions!$B:$B,MATCH("V3 Mass (kg)",Assumptions!$A:$A,0))*INDEX(Assumptions!$B:$B,MATCH("Satellite Dep per kg — base year ($/kg/yr)",Assumptions!$A:$A,0))*(1-INDEX(Assumptions!$B:$B,MATCH("Satellite Dep per kg — annual decay rate",Assumptions!$A:$A,0)))^T$5/1000000+T233+T234</f>
        <v>140</v>
      </c>
      <c r="U153" s="31">
        <f ca="1">(U60+U61)*INDEX(Assumptions!$B:$B,MATCH("V2 Mini Mass (kg)",Assumptions!$A:$A,0))*INDEX(Assumptions!$B:$B,MATCH("Satellite Dep per kg — base year ($/kg/yr)",Assumptions!$A:$A,0))*(1-INDEX(Assumptions!$B:$B,MATCH("Satellite Dep per kg — annual decay rate",Assumptions!$A:$A,0)))^U$5/1000000+(U62+U63)*INDEX(Assumptions!$B:$B,MATCH("V3 Mass (kg)",Assumptions!$A:$A,0))*INDEX(Assumptions!$B:$B,MATCH("Satellite Dep per kg — base year ($/kg/yr)",Assumptions!$A:$A,0))*(1-INDEX(Assumptions!$B:$B,MATCH("Satellite Dep per kg — annual decay rate",Assumptions!$A:$A,0)))^U$5/1000000+U233+U234</f>
        <v>140</v>
      </c>
      <c r="V153" s="31">
        <f ca="1">(V60+V61)*INDEX(Assumptions!$B:$B,MATCH("V2 Mini Mass (kg)",Assumptions!$A:$A,0))*INDEX(Assumptions!$B:$B,MATCH("Satellite Dep per kg — base year ($/kg/yr)",Assumptions!$A:$A,0))*(1-INDEX(Assumptions!$B:$B,MATCH("Satellite Dep per kg — annual decay rate",Assumptions!$A:$A,0)))^V$5/1000000+(V62+V63)*INDEX(Assumptions!$B:$B,MATCH("V3 Mass (kg)",Assumptions!$A:$A,0))*INDEX(Assumptions!$B:$B,MATCH("Satellite Dep per kg — base year ($/kg/yr)",Assumptions!$A:$A,0))*(1-INDEX(Assumptions!$B:$B,MATCH("Satellite Dep per kg — annual decay rate",Assumptions!$A:$A,0)))^V$5/1000000+V233+V234</f>
        <v>140</v>
      </c>
      <c r="W153" s="31">
        <f ca="1">(W60+W61)*INDEX(Assumptions!$B:$B,MATCH("V2 Mini Mass (kg)",Assumptions!$A:$A,0))*INDEX(Assumptions!$B:$B,MATCH("Satellite Dep per kg — base year ($/kg/yr)",Assumptions!$A:$A,0))*(1-INDEX(Assumptions!$B:$B,MATCH("Satellite Dep per kg — annual decay rate",Assumptions!$A:$A,0)))^W$5/1000000+(W62+W63)*INDEX(Assumptions!$B:$B,MATCH("V3 Mass (kg)",Assumptions!$A:$A,0))*INDEX(Assumptions!$B:$B,MATCH("Satellite Dep per kg — base year ($/kg/yr)",Assumptions!$A:$A,0))*(1-INDEX(Assumptions!$B:$B,MATCH("Satellite Dep per kg — annual decay rate",Assumptions!$A:$A,0)))^W$5/1000000+W233+W234</f>
        <v>140</v>
      </c>
      <c r="X153" s="31">
        <f ca="1">(X60+X61)*INDEX(Assumptions!$B:$B,MATCH("V2 Mini Mass (kg)",Assumptions!$A:$A,0))*INDEX(Assumptions!$B:$B,MATCH("Satellite Dep per kg — base year ($/kg/yr)",Assumptions!$A:$A,0))*(1-INDEX(Assumptions!$B:$B,MATCH("Satellite Dep per kg — annual decay rate",Assumptions!$A:$A,0)))^X$5/1000000+(X62+X63)*INDEX(Assumptions!$B:$B,MATCH("V3 Mass (kg)",Assumptions!$A:$A,0))*INDEX(Assumptions!$B:$B,MATCH("Satellite Dep per kg — base year ($/kg/yr)",Assumptions!$A:$A,0))*(1-INDEX(Assumptions!$B:$B,MATCH("Satellite Dep per kg — annual decay rate",Assumptions!$A:$A,0)))^X$5/1000000+X233+X234</f>
        <v>140</v>
      </c>
      <c r="Y153" s="31">
        <f ca="1">(Y60+Y61)*INDEX(Assumptions!$B:$B,MATCH("V2 Mini Mass (kg)",Assumptions!$A:$A,0))*INDEX(Assumptions!$B:$B,MATCH("Satellite Dep per kg — base year ($/kg/yr)",Assumptions!$A:$A,0))*(1-INDEX(Assumptions!$B:$B,MATCH("Satellite Dep per kg — annual decay rate",Assumptions!$A:$A,0)))^Y$5/1000000+(Y62+Y63)*INDEX(Assumptions!$B:$B,MATCH("V3 Mass (kg)",Assumptions!$A:$A,0))*INDEX(Assumptions!$B:$B,MATCH("Satellite Dep per kg — base year ($/kg/yr)",Assumptions!$A:$A,0))*(1-INDEX(Assumptions!$B:$B,MATCH("Satellite Dep per kg — annual decay rate",Assumptions!$A:$A,0)))^Y$5/1000000+Y233+Y234</f>
        <v>140</v>
      </c>
      <c r="Z153" s="31">
        <f ca="1">(Z60+Z61)*INDEX(Assumptions!$B:$B,MATCH("V2 Mini Mass (kg)",Assumptions!$A:$A,0))*INDEX(Assumptions!$B:$B,MATCH("Satellite Dep per kg — base year ($/kg/yr)",Assumptions!$A:$A,0))*(1-INDEX(Assumptions!$B:$B,MATCH("Satellite Dep per kg — annual decay rate",Assumptions!$A:$A,0)))^Z$5/1000000+(Z62+Z63)*INDEX(Assumptions!$B:$B,MATCH("V3 Mass (kg)",Assumptions!$A:$A,0))*INDEX(Assumptions!$B:$B,MATCH("Satellite Dep per kg — base year ($/kg/yr)",Assumptions!$A:$A,0))*(1-INDEX(Assumptions!$B:$B,MATCH("Satellite Dep per kg — annual decay rate",Assumptions!$A:$A,0)))^Z$5/1000000+Z233+Z234</f>
        <v>140</v>
      </c>
      <c r="AA153" s="31">
        <f ca="1">(AA60+AA61)*INDEX(Assumptions!$B:$B,MATCH("V2 Mini Mass (kg)",Assumptions!$A:$A,0))*INDEX(Assumptions!$B:$B,MATCH("Satellite Dep per kg — base year ($/kg/yr)",Assumptions!$A:$A,0))*(1-INDEX(Assumptions!$B:$B,MATCH("Satellite Dep per kg — annual decay rate",Assumptions!$A:$A,0)))^AA$5/1000000+(AA62+AA63)*INDEX(Assumptions!$B:$B,MATCH("V3 Mass (kg)",Assumptions!$A:$A,0))*INDEX(Assumptions!$B:$B,MATCH("Satellite Dep per kg — base year ($/kg/yr)",Assumptions!$A:$A,0))*(1-INDEX(Assumptions!$B:$B,MATCH("Satellite Dep per kg — annual decay rate",Assumptions!$A:$A,0)))^AA$5/1000000+AA233+AA234</f>
        <v>140</v>
      </c>
      <c r="AB153" s="31">
        <f ca="1">(AB60+AB61)*INDEX(Assumptions!$B:$B,MATCH("V2 Mini Mass (kg)",Assumptions!$A:$A,0))*INDEX(Assumptions!$B:$B,MATCH("Satellite Dep per kg — base year ($/kg/yr)",Assumptions!$A:$A,0))*(1-INDEX(Assumptions!$B:$B,MATCH("Satellite Dep per kg — annual decay rate",Assumptions!$A:$A,0)))^AB$5/1000000+(AB62+AB63)*INDEX(Assumptions!$B:$B,MATCH("V3 Mass (kg)",Assumptions!$A:$A,0))*INDEX(Assumptions!$B:$B,MATCH("Satellite Dep per kg — base year ($/kg/yr)",Assumptions!$A:$A,0))*(1-INDEX(Assumptions!$B:$B,MATCH("Satellite Dep per kg — annual decay rate",Assumptions!$A:$A,0)))^AB$5/1000000+AB233+AB234</f>
        <v>140</v>
      </c>
      <c r="AC153" s="31">
        <f ca="1">(AC60+AC61)*INDEX(Assumptions!$B:$B,MATCH("V2 Mini Mass (kg)",Assumptions!$A:$A,0))*INDEX(Assumptions!$B:$B,MATCH("Satellite Dep per kg — base year ($/kg/yr)",Assumptions!$A:$A,0))*(1-INDEX(Assumptions!$B:$B,MATCH("Satellite Dep per kg — annual decay rate",Assumptions!$A:$A,0)))^AC$5/1000000+(AC62+AC63)*INDEX(Assumptions!$B:$B,MATCH("V3 Mass (kg)",Assumptions!$A:$A,0))*INDEX(Assumptions!$B:$B,MATCH("Satellite Dep per kg — base year ($/kg/yr)",Assumptions!$A:$A,0))*(1-INDEX(Assumptions!$B:$B,MATCH("Satellite Dep per kg — annual decay rate",Assumptions!$A:$A,0)))^AC$5/1000000+AC233+AC234</f>
        <v>140</v>
      </c>
    </row>
    <row r="156" spans="1:29" x14ac:dyDescent="0.2">
      <c r="A156" t="s">
        <v>897</v>
      </c>
      <c r="D156" s="31" cm="1">
        <f t="array" aca="1" ref="D156" ca="1">(IFERROR(D45,0)+IFERROR(D46,0))*IFERROR(INDEX('Launch Capacity'!$D:$AC,MATCH("F9 at-cost rate ($mm/launch)",'Launch Capacity'!$A:$A,0),D$5+1),0)+(IFERROR(D47,0)+IFERROR(D48,0))*IFERROR(INDEX('Launch Capacity'!$D:$AC,MATCH("Starship at-cost rate ($mm/launch)",'Launch Capacity'!$A:$A,0),D$5+1),0)</f>
        <v>2289.75</v>
      </c>
      <c r="E156" s="31" cm="1">
        <f t="array" aca="1" ref="E156" ca="1">(IFERROR(E45,0)+IFERROR(E46,0))*IFERROR(INDEX('Launch Capacity'!$D:$AC,MATCH("F9 at-cost rate ($mm/launch)",'Launch Capacity'!$A:$A,0),E$5+1),0)+(IFERROR(E47,0)+IFERROR(E48,0))*IFERROR(INDEX('Launch Capacity'!$D:$AC,MATCH("Starship at-cost rate ($mm/launch)",'Launch Capacity'!$A:$A,0),E$5+1),0)</f>
        <v>0</v>
      </c>
      <c r="F156" s="31" cm="1">
        <f t="array" aca="1" ref="F156" ca="1">(IFERROR(F45,0)+IFERROR(F46,0))*IFERROR(INDEX('Launch Capacity'!$D:$AC,MATCH("F9 at-cost rate ($mm/launch)",'Launch Capacity'!$A:$A,0),F$5+1),0)+(IFERROR(F47,0)+IFERROR(F48,0))*IFERROR(INDEX('Launch Capacity'!$D:$AC,MATCH("Starship at-cost rate ($mm/launch)",'Launch Capacity'!$A:$A,0),F$5+1),0)</f>
        <v>0</v>
      </c>
      <c r="G156" s="31" cm="1">
        <f t="array" aca="1" ref="G156" ca="1">(IFERROR(G45,0)+IFERROR(G46,0))*IFERROR(INDEX('Launch Capacity'!$D:$AC,MATCH("F9 at-cost rate ($mm/launch)",'Launch Capacity'!$A:$A,0),G$5+1),0)+(IFERROR(G47,0)+IFERROR(G48,0))*IFERROR(INDEX('Launch Capacity'!$D:$AC,MATCH("Starship at-cost rate ($mm/launch)",'Launch Capacity'!$A:$A,0),G$5+1),0)</f>
        <v>0</v>
      </c>
      <c r="H156" s="31" cm="1">
        <f t="array" aca="1" ref="H156" ca="1">(IFERROR(H45,0)+IFERROR(H46,0))*IFERROR(INDEX('Launch Capacity'!$D:$AC,MATCH("F9 at-cost rate ($mm/launch)",'Launch Capacity'!$A:$A,0),H$5+1),0)+(IFERROR(H47,0)+IFERROR(H48,0))*IFERROR(INDEX('Launch Capacity'!$D:$AC,MATCH("Starship at-cost rate ($mm/launch)",'Launch Capacity'!$A:$A,0),H$5+1),0)</f>
        <v>0</v>
      </c>
      <c r="I156" s="31" cm="1">
        <f t="array" aca="1" ref="I156" ca="1">(IFERROR(I45,0)+IFERROR(I46,0))*IFERROR(INDEX('Launch Capacity'!$D:$AC,MATCH("F9 at-cost rate ($mm/launch)",'Launch Capacity'!$A:$A,0),I$5+1),0)+(IFERROR(I47,0)+IFERROR(I48,0))*IFERROR(INDEX('Launch Capacity'!$D:$AC,MATCH("Starship at-cost rate ($mm/launch)",'Launch Capacity'!$A:$A,0),I$5+1),0)</f>
        <v>0</v>
      </c>
      <c r="J156" s="31" cm="1">
        <f t="array" aca="1" ref="J156" ca="1">(IFERROR(J45,0)+IFERROR(J46,0))*IFERROR(INDEX('Launch Capacity'!$D:$AC,MATCH("F9 at-cost rate ($mm/launch)",'Launch Capacity'!$A:$A,0),J$5+1),0)+(IFERROR(J47,0)+IFERROR(J48,0))*IFERROR(INDEX('Launch Capacity'!$D:$AC,MATCH("Starship at-cost rate ($mm/launch)",'Launch Capacity'!$A:$A,0),J$5+1),0)</f>
        <v>0</v>
      </c>
      <c r="K156" s="31" cm="1">
        <f t="array" aca="1" ref="K156" ca="1">(IFERROR(K45,0)+IFERROR(K46,0))*IFERROR(INDEX('Launch Capacity'!$D:$AC,MATCH("F9 at-cost rate ($mm/launch)",'Launch Capacity'!$A:$A,0),K$5+1),0)+(IFERROR(K47,0)+IFERROR(K48,0))*IFERROR(INDEX('Launch Capacity'!$D:$AC,MATCH("Starship at-cost rate ($mm/launch)",'Launch Capacity'!$A:$A,0),K$5+1),0)</f>
        <v>0</v>
      </c>
      <c r="L156" s="31" cm="1">
        <f t="array" aca="1" ref="L156" ca="1">(IFERROR(L45,0)+IFERROR(L46,0))*IFERROR(INDEX('Launch Capacity'!$D:$AC,MATCH("F9 at-cost rate ($mm/launch)",'Launch Capacity'!$A:$A,0),L$5+1),0)+(IFERROR(L47,0)+IFERROR(L48,0))*IFERROR(INDEX('Launch Capacity'!$D:$AC,MATCH("Starship at-cost rate ($mm/launch)",'Launch Capacity'!$A:$A,0),L$5+1),0)</f>
        <v>0</v>
      </c>
      <c r="M156" s="31" cm="1">
        <f t="array" aca="1" ref="M156" ca="1">(IFERROR(M45,0)+IFERROR(M46,0))*IFERROR(INDEX('Launch Capacity'!$D:$AC,MATCH("F9 at-cost rate ($mm/launch)",'Launch Capacity'!$A:$A,0),M$5+1),0)+(IFERROR(M47,0)+IFERROR(M48,0))*IFERROR(INDEX('Launch Capacity'!$D:$AC,MATCH("Starship at-cost rate ($mm/launch)",'Launch Capacity'!$A:$A,0),M$5+1),0)</f>
        <v>0</v>
      </c>
      <c r="N156" s="31" cm="1">
        <f t="array" aca="1" ref="N156" ca="1">(IFERROR(N45,0)+IFERROR(N46,0))*IFERROR(INDEX('Launch Capacity'!$D:$AC,MATCH("F9 at-cost rate ($mm/launch)",'Launch Capacity'!$A:$A,0),N$5+1),0)+(IFERROR(N47,0)+IFERROR(N48,0))*IFERROR(INDEX('Launch Capacity'!$D:$AC,MATCH("Starship at-cost rate ($mm/launch)",'Launch Capacity'!$A:$A,0),N$5+1),0)</f>
        <v>0</v>
      </c>
      <c r="O156" s="31" cm="1">
        <f t="array" aca="1" ref="O156" ca="1">(IFERROR(O45,0)+IFERROR(O46,0))*IFERROR(INDEX('Launch Capacity'!$D:$AC,MATCH("F9 at-cost rate ($mm/launch)",'Launch Capacity'!$A:$A,0),O$5+1),0)+(IFERROR(O47,0)+IFERROR(O48,0))*IFERROR(INDEX('Launch Capacity'!$D:$AC,MATCH("Starship at-cost rate ($mm/launch)",'Launch Capacity'!$A:$A,0),O$5+1),0)</f>
        <v>0</v>
      </c>
      <c r="P156" s="31" cm="1">
        <f t="array" aca="1" ref="P156" ca="1">(IFERROR(P45,0)+IFERROR(P46,0))*IFERROR(INDEX('Launch Capacity'!$D:$AC,MATCH("F9 at-cost rate ($mm/launch)",'Launch Capacity'!$A:$A,0),P$5+1),0)+(IFERROR(P47,0)+IFERROR(P48,0))*IFERROR(INDEX('Launch Capacity'!$D:$AC,MATCH("Starship at-cost rate ($mm/launch)",'Launch Capacity'!$A:$A,0),P$5+1),0)</f>
        <v>0</v>
      </c>
      <c r="Q156" s="31" cm="1">
        <f t="array" aca="1" ref="Q156" ca="1">(IFERROR(Q45,0)+IFERROR(Q46,0))*IFERROR(INDEX('Launch Capacity'!$D:$AC,MATCH("F9 at-cost rate ($mm/launch)",'Launch Capacity'!$A:$A,0),Q$5+1),0)+(IFERROR(Q47,0)+IFERROR(Q48,0))*IFERROR(INDEX('Launch Capacity'!$D:$AC,MATCH("Starship at-cost rate ($mm/launch)",'Launch Capacity'!$A:$A,0),Q$5+1),0)</f>
        <v>0</v>
      </c>
      <c r="R156" s="31" cm="1">
        <f t="array" aca="1" ref="R156" ca="1">(IFERROR(R45,0)+IFERROR(R46,0))*IFERROR(INDEX('Launch Capacity'!$D:$AC,MATCH("F9 at-cost rate ($mm/launch)",'Launch Capacity'!$A:$A,0),R$5+1),0)+(IFERROR(R47,0)+IFERROR(R48,0))*IFERROR(INDEX('Launch Capacity'!$D:$AC,MATCH("Starship at-cost rate ($mm/launch)",'Launch Capacity'!$A:$A,0),R$5+1),0)</f>
        <v>0</v>
      </c>
      <c r="S156" s="31" cm="1">
        <f t="array" aca="1" ref="S156" ca="1">(IFERROR(S45,0)+IFERROR(S46,0))*IFERROR(INDEX('Launch Capacity'!$D:$AC,MATCH("F9 at-cost rate ($mm/launch)",'Launch Capacity'!$A:$A,0),S$5+1),0)+(IFERROR(S47,0)+IFERROR(S48,0))*IFERROR(INDEX('Launch Capacity'!$D:$AC,MATCH("Starship at-cost rate ($mm/launch)",'Launch Capacity'!$A:$A,0),S$5+1),0)</f>
        <v>0</v>
      </c>
      <c r="T156" s="31" cm="1">
        <f t="array" aca="1" ref="T156" ca="1">(IFERROR(T45,0)+IFERROR(T46,0))*IFERROR(INDEX('Launch Capacity'!$D:$AC,MATCH("F9 at-cost rate ($mm/launch)",'Launch Capacity'!$A:$A,0),T$5+1),0)+(IFERROR(T47,0)+IFERROR(T48,0))*IFERROR(INDEX('Launch Capacity'!$D:$AC,MATCH("Starship at-cost rate ($mm/launch)",'Launch Capacity'!$A:$A,0),T$5+1),0)</f>
        <v>0</v>
      </c>
      <c r="U156" s="31" cm="1">
        <f t="array" aca="1" ref="U156" ca="1">(IFERROR(U45,0)+IFERROR(U46,0))*IFERROR(INDEX('Launch Capacity'!$D:$AC,MATCH("F9 at-cost rate ($mm/launch)",'Launch Capacity'!$A:$A,0),U$5+1),0)+(IFERROR(U47,0)+IFERROR(U48,0))*IFERROR(INDEX('Launch Capacity'!$D:$AC,MATCH("Starship at-cost rate ($mm/launch)",'Launch Capacity'!$A:$A,0),U$5+1),0)</f>
        <v>0</v>
      </c>
      <c r="V156" s="31" cm="1">
        <f t="array" aca="1" ref="V156" ca="1">(IFERROR(V45,0)+IFERROR(V46,0))*IFERROR(INDEX('Launch Capacity'!$D:$AC,MATCH("F9 at-cost rate ($mm/launch)",'Launch Capacity'!$A:$A,0),V$5+1),0)+(IFERROR(V47,0)+IFERROR(V48,0))*IFERROR(INDEX('Launch Capacity'!$D:$AC,MATCH("Starship at-cost rate ($mm/launch)",'Launch Capacity'!$A:$A,0),V$5+1),0)</f>
        <v>0</v>
      </c>
      <c r="W156" s="31" cm="1">
        <f t="array" aca="1" ref="W156" ca="1">(IFERROR(W45,0)+IFERROR(W46,0))*IFERROR(INDEX('Launch Capacity'!$D:$AC,MATCH("F9 at-cost rate ($mm/launch)",'Launch Capacity'!$A:$A,0),W$5+1),0)+(IFERROR(W47,0)+IFERROR(W48,0))*IFERROR(INDEX('Launch Capacity'!$D:$AC,MATCH("Starship at-cost rate ($mm/launch)",'Launch Capacity'!$A:$A,0),W$5+1),0)</f>
        <v>0</v>
      </c>
      <c r="X156" s="31" cm="1">
        <f t="array" aca="1" ref="X156" ca="1">(IFERROR(X45,0)+IFERROR(X46,0))*IFERROR(INDEX('Launch Capacity'!$D:$AC,MATCH("F9 at-cost rate ($mm/launch)",'Launch Capacity'!$A:$A,0),X$5+1),0)+(IFERROR(X47,0)+IFERROR(X48,0))*IFERROR(INDEX('Launch Capacity'!$D:$AC,MATCH("Starship at-cost rate ($mm/launch)",'Launch Capacity'!$A:$A,0),X$5+1),0)</f>
        <v>0</v>
      </c>
      <c r="Y156" s="31" cm="1">
        <f t="array" aca="1" ref="Y156" ca="1">(IFERROR(Y45,0)+IFERROR(Y46,0))*IFERROR(INDEX('Launch Capacity'!$D:$AC,MATCH("F9 at-cost rate ($mm/launch)",'Launch Capacity'!$A:$A,0),Y$5+1),0)+(IFERROR(Y47,0)+IFERROR(Y48,0))*IFERROR(INDEX('Launch Capacity'!$D:$AC,MATCH("Starship at-cost rate ($mm/launch)",'Launch Capacity'!$A:$A,0),Y$5+1),0)</f>
        <v>0</v>
      </c>
      <c r="Z156" s="31" cm="1">
        <f t="array" aca="1" ref="Z156" ca="1">(IFERROR(Z45,0)+IFERROR(Z46,0))*IFERROR(INDEX('Launch Capacity'!$D:$AC,MATCH("F9 at-cost rate ($mm/launch)",'Launch Capacity'!$A:$A,0),Z$5+1),0)+(IFERROR(Z47,0)+IFERROR(Z48,0))*IFERROR(INDEX('Launch Capacity'!$D:$AC,MATCH("Starship at-cost rate ($mm/launch)",'Launch Capacity'!$A:$A,0),Z$5+1),0)</f>
        <v>0</v>
      </c>
      <c r="AA156" s="31" cm="1">
        <f t="array" aca="1" ref="AA156" ca="1">(IFERROR(AA45,0)+IFERROR(AA46,0))*IFERROR(INDEX('Launch Capacity'!$D:$AC,MATCH("F9 at-cost rate ($mm/launch)",'Launch Capacity'!$A:$A,0),AA$5+1),0)+(IFERROR(AA47,0)+IFERROR(AA48,0))*IFERROR(INDEX('Launch Capacity'!$D:$AC,MATCH("Starship at-cost rate ($mm/launch)",'Launch Capacity'!$A:$A,0),AA$5+1),0)</f>
        <v>0</v>
      </c>
      <c r="AB156" s="31" cm="1">
        <f t="array" aca="1" ref="AB156" ca="1">(IFERROR(AB45,0)+IFERROR(AB46,0))*IFERROR(INDEX('Launch Capacity'!$D:$AC,MATCH("F9 at-cost rate ($mm/launch)",'Launch Capacity'!$A:$A,0),AB$5+1),0)+(IFERROR(AB47,0)+IFERROR(AB48,0))*IFERROR(INDEX('Launch Capacity'!$D:$AC,MATCH("Starship at-cost rate ($mm/launch)",'Launch Capacity'!$A:$A,0),AB$5+1),0)</f>
        <v>0</v>
      </c>
      <c r="AC156" s="31" cm="1">
        <f t="array" aca="1" ref="AC156" ca="1">(IFERROR(AC45,0)+IFERROR(AC46,0))*IFERROR(INDEX('Launch Capacity'!$D:$AC,MATCH("F9 at-cost rate ($mm/launch)",'Launch Capacity'!$A:$A,0),AC$5+1),0)+(IFERROR(AC47,0)+IFERROR(AC48,0))*IFERROR(INDEX('Launch Capacity'!$D:$AC,MATCH("Starship at-cost rate ($mm/launch)",'Launch Capacity'!$A:$A,0),AC$5+1),0)</f>
        <v>0</v>
      </c>
    </row>
    <row r="158" spans="1:29" x14ac:dyDescent="0.2">
      <c r="A158" t="s">
        <v>898</v>
      </c>
      <c r="D158" s="31">
        <f ca="1">D178*INDEX(Assumptions!$B:$B,MATCH("Starlink ground ops % of revenue",Assumptions!$A:$A,0))</f>
        <v>382.90721321326475</v>
      </c>
      <c r="E158" s="31">
        <f ca="1">E178*INDEX(Assumptions!$B:$B,MATCH("Starlink ground ops % of revenue",Assumptions!$A:$A,0))</f>
        <v>305.57417984066626</v>
      </c>
      <c r="F158" s="31">
        <f ca="1">F178*INDEX(Assumptions!$B:$B,MATCH("Starlink ground ops % of revenue",Assumptions!$A:$A,0))</f>
        <v>249.90406404560255</v>
      </c>
      <c r="G158" s="31">
        <f ca="1">G178*INDEX(Assumptions!$B:$B,MATCH("Starlink ground ops % of revenue",Assumptions!$A:$A,0))</f>
        <v>199.92895930434102</v>
      </c>
      <c r="H158" s="31">
        <f ca="1">H178*INDEX(Assumptions!$B:$B,MATCH("Starlink ground ops % of revenue",Assumptions!$A:$A,0))</f>
        <v>152.01907885433326</v>
      </c>
      <c r="I158" s="31">
        <f ca="1">I178*INDEX(Assumptions!$B:$B,MATCH("Starlink ground ops % of revenue",Assumptions!$A:$A,0))</f>
        <v>161.59911920376439</v>
      </c>
      <c r="J158" s="31">
        <f ca="1">J178*INDEX(Assumptions!$B:$B,MATCH("Starlink ground ops % of revenue",Assumptions!$A:$A,0))</f>
        <v>166.45729888700214</v>
      </c>
      <c r="K158" s="31">
        <f ca="1">K178*INDEX(Assumptions!$B:$B,MATCH("Starlink ground ops % of revenue",Assumptions!$A:$A,0))</f>
        <v>175.7372932999526</v>
      </c>
      <c r="L158" s="31">
        <f ca="1">L178*INDEX(Assumptions!$B:$B,MATCH("Starlink ground ops % of revenue",Assumptions!$A:$A,0))</f>
        <v>185.53464740142485</v>
      </c>
      <c r="M158" s="31">
        <f ca="1">M178*INDEX(Assumptions!$B:$B,MATCH("Starlink ground ops % of revenue",Assumptions!$A:$A,0))</f>
        <v>195.87820399405427</v>
      </c>
      <c r="N158" s="31">
        <f ca="1">N178*INDEX(Assumptions!$B:$B,MATCH("Starlink ground ops % of revenue",Assumptions!$A:$A,0))</f>
        <v>206.79841386672285</v>
      </c>
      <c r="O158" s="31">
        <f ca="1">O178*INDEX(Assumptions!$B:$B,MATCH("Starlink ground ops % of revenue",Assumptions!$A:$A,0))</f>
        <v>218.32742543979262</v>
      </c>
      <c r="P158" s="31">
        <f ca="1">P178*INDEX(Assumptions!$B:$B,MATCH("Starlink ground ops % of revenue",Assumptions!$A:$A,0))</f>
        <v>230.49917940806097</v>
      </c>
      <c r="Q158" s="31">
        <f ca="1">Q178*INDEX(Assumptions!$B:$B,MATCH("Starlink ground ops % of revenue",Assumptions!$A:$A,0))</f>
        <v>243.34950866006031</v>
      </c>
      <c r="R158" s="31">
        <f ca="1">R178*INDEX(Assumptions!$B:$B,MATCH("Starlink ground ops % of revenue",Assumptions!$A:$A,0))</f>
        <v>256.9162437678587</v>
      </c>
      <c r="S158" s="31">
        <f ca="1">S178*INDEX(Assumptions!$B:$B,MATCH("Starlink ground ops % of revenue",Assumptions!$A:$A,0))</f>
        <v>271.23932435791698</v>
      </c>
      <c r="T158" s="31">
        <f ca="1">T178*INDEX(Assumptions!$B:$B,MATCH("Starlink ground ops % of revenue",Assumptions!$A:$A,0))</f>
        <v>286.36091669087074</v>
      </c>
      <c r="U158" s="31">
        <f ca="1">U178*INDEX(Assumptions!$B:$B,MATCH("Starlink ground ops % of revenue",Assumptions!$A:$A,0))</f>
        <v>302.32553779638675</v>
      </c>
      <c r="V158" s="31">
        <f ca="1">V178*INDEX(Assumptions!$B:$B,MATCH("Starlink ground ops % of revenue",Assumptions!$A:$A,0))</f>
        <v>319.18018652853533</v>
      </c>
      <c r="W158" s="31">
        <f ca="1">W178*INDEX(Assumptions!$B:$B,MATCH("Starlink ground ops % of revenue",Assumptions!$A:$A,0))</f>
        <v>336.97448192750119</v>
      </c>
      <c r="X158" s="31">
        <f ca="1">X178*INDEX(Assumptions!$B:$B,MATCH("Starlink ground ops % of revenue",Assumptions!$A:$A,0))</f>
        <v>355.76080929495936</v>
      </c>
      <c r="Y158" s="31">
        <f ca="1">Y178*INDEX(Assumptions!$B:$B,MATCH("Starlink ground ops % of revenue",Assumptions!$A:$A,0))</f>
        <v>375.59447441315308</v>
      </c>
      <c r="Z158" s="31">
        <f ca="1">Z178*INDEX(Assumptions!$B:$B,MATCH("Starlink ground ops % of revenue",Assumptions!$A:$A,0))</f>
        <v>396.53386636168653</v>
      </c>
      <c r="AA158" s="31">
        <f ca="1">AA178*INDEX(Assumptions!$B:$B,MATCH("Starlink ground ops % of revenue",Assumptions!$A:$A,0))</f>
        <v>418.64062941135052</v>
      </c>
      <c r="AB158" s="31">
        <f ca="1">AB178*INDEX(Assumptions!$B:$B,MATCH("Starlink ground ops % of revenue",Assumptions!$A:$A,0))</f>
        <v>441.97984450103331</v>
      </c>
      <c r="AC158" s="31">
        <f ca="1">AC178*INDEX(Assumptions!$B:$B,MATCH("Starlink ground ops % of revenue",Assumptions!$A:$A,0))</f>
        <v>466.6202208319657</v>
      </c>
    </row>
    <row r="160" spans="1:29" x14ac:dyDescent="0.2">
      <c r="A160" t="s">
        <v>899</v>
      </c>
      <c r="D160" s="31" cm="1">
        <f t="array" aca="1" ref="D160" ca="1">IFERROR(INDEX(CapEx!$D:$AC,MATCH("Annual Spectrum amortization ($mm/yr)",CapEx!$A:$A,0),D$5+1),0)</f>
        <v>0</v>
      </c>
      <c r="E160" s="31" cm="1">
        <f t="array" aca="1" ref="E160" ca="1">IFERROR(INDEX(CapEx!$D:$AC,MATCH("Annual Spectrum amortization ($mm/yr)",CapEx!$A:$A,0),E$5+1),0)</f>
        <v>0</v>
      </c>
      <c r="F160" s="31" cm="1">
        <f t="array" aca="1" ref="F160" ca="1">IFERROR(INDEX(CapEx!$D:$AC,MATCH("Annual Spectrum amortization ($mm/yr)",CapEx!$A:$A,0),F$5+1),0)</f>
        <v>0</v>
      </c>
      <c r="G160" s="31" cm="1">
        <f t="array" aca="1" ref="G160" ca="1">IFERROR(INDEX(CapEx!$D:$AC,MATCH("Annual Spectrum amortization ($mm/yr)",CapEx!$A:$A,0),G$5+1),0)</f>
        <v>0</v>
      </c>
      <c r="H160" s="31" cm="1">
        <f t="array" aca="1" ref="H160" ca="1">IFERROR(INDEX(CapEx!$D:$AC,MATCH("Annual Spectrum amortization ($mm/yr)",CapEx!$A:$A,0),H$5+1),0)</f>
        <v>0</v>
      </c>
      <c r="I160" s="31" cm="1">
        <f t="array" aca="1" ref="I160" ca="1">IFERROR(INDEX(CapEx!$D:$AC,MATCH("Annual Spectrum amortization ($mm/yr)",CapEx!$A:$A,0),I$5+1),0)</f>
        <v>0</v>
      </c>
      <c r="J160" s="31" cm="1">
        <f t="array" aca="1" ref="J160" ca="1">IFERROR(INDEX(CapEx!$D:$AC,MATCH("Annual Spectrum amortization ($mm/yr)",CapEx!$A:$A,0),J$5+1),0)</f>
        <v>0</v>
      </c>
      <c r="K160" s="31" cm="1">
        <f t="array" aca="1" ref="K160" ca="1">IFERROR(INDEX(CapEx!$D:$AC,MATCH("Annual Spectrum amortization ($mm/yr)",CapEx!$A:$A,0),K$5+1),0)</f>
        <v>0</v>
      </c>
      <c r="L160" s="31" cm="1">
        <f t="array" aca="1" ref="L160" ca="1">IFERROR(INDEX(CapEx!$D:$AC,MATCH("Annual Spectrum amortization ($mm/yr)",CapEx!$A:$A,0),L$5+1),0)</f>
        <v>0</v>
      </c>
      <c r="M160" s="31" cm="1">
        <f t="array" aca="1" ref="M160" ca="1">IFERROR(INDEX(CapEx!$D:$AC,MATCH("Annual Spectrum amortization ($mm/yr)",CapEx!$A:$A,0),M$5+1),0)</f>
        <v>0</v>
      </c>
      <c r="N160" s="31" cm="1">
        <f t="array" aca="1" ref="N160" ca="1">IFERROR(INDEX(CapEx!$D:$AC,MATCH("Annual Spectrum amortization ($mm/yr)",CapEx!$A:$A,0),N$5+1),0)</f>
        <v>0</v>
      </c>
      <c r="O160" s="31" cm="1">
        <f t="array" aca="1" ref="O160" ca="1">IFERROR(INDEX(CapEx!$D:$AC,MATCH("Annual Spectrum amortization ($mm/yr)",CapEx!$A:$A,0),O$5+1),0)</f>
        <v>0</v>
      </c>
      <c r="P160" s="31" cm="1">
        <f t="array" aca="1" ref="P160" ca="1">IFERROR(INDEX(CapEx!$D:$AC,MATCH("Annual Spectrum amortization ($mm/yr)",CapEx!$A:$A,0),P$5+1),0)</f>
        <v>0</v>
      </c>
      <c r="Q160" s="31" cm="1">
        <f t="array" aca="1" ref="Q160" ca="1">IFERROR(INDEX(CapEx!$D:$AC,MATCH("Annual Spectrum amortization ($mm/yr)",CapEx!$A:$A,0),Q$5+1),0)</f>
        <v>0</v>
      </c>
      <c r="R160" s="31" cm="1">
        <f t="array" aca="1" ref="R160" ca="1">IFERROR(INDEX(CapEx!$D:$AC,MATCH("Annual Spectrum amortization ($mm/yr)",CapEx!$A:$A,0),R$5+1),0)</f>
        <v>0</v>
      </c>
      <c r="S160" s="31" cm="1">
        <f t="array" aca="1" ref="S160" ca="1">IFERROR(INDEX(CapEx!$D:$AC,MATCH("Annual Spectrum amortization ($mm/yr)",CapEx!$A:$A,0),S$5+1),0)</f>
        <v>0</v>
      </c>
      <c r="T160" s="31" cm="1">
        <f t="array" aca="1" ref="T160" ca="1">IFERROR(INDEX(CapEx!$D:$AC,MATCH("Annual Spectrum amortization ($mm/yr)",CapEx!$A:$A,0),T$5+1),0)</f>
        <v>0</v>
      </c>
      <c r="U160" s="31" cm="1">
        <f t="array" aca="1" ref="U160" ca="1">IFERROR(INDEX(CapEx!$D:$AC,MATCH("Annual Spectrum amortization ($mm/yr)",CapEx!$A:$A,0),U$5+1),0)</f>
        <v>0</v>
      </c>
      <c r="V160" s="31" cm="1">
        <f t="array" aca="1" ref="V160" ca="1">IFERROR(INDEX(CapEx!$D:$AC,MATCH("Annual Spectrum amortization ($mm/yr)",CapEx!$A:$A,0),V$5+1),0)</f>
        <v>0</v>
      </c>
      <c r="W160" s="31" cm="1">
        <f t="array" aca="1" ref="W160" ca="1">IFERROR(INDEX(CapEx!$D:$AC,MATCH("Annual Spectrum amortization ($mm/yr)",CapEx!$A:$A,0),W$5+1),0)</f>
        <v>0</v>
      </c>
      <c r="X160" s="31" cm="1">
        <f t="array" aca="1" ref="X160" ca="1">IFERROR(INDEX(CapEx!$D:$AC,MATCH("Annual Spectrum amortization ($mm/yr)",CapEx!$A:$A,0),X$5+1),0)</f>
        <v>0</v>
      </c>
      <c r="Y160" s="31" cm="1">
        <f t="array" aca="1" ref="Y160" ca="1">IFERROR(INDEX(CapEx!$D:$AC,MATCH("Annual Spectrum amortization ($mm/yr)",CapEx!$A:$A,0),Y$5+1),0)</f>
        <v>0</v>
      </c>
      <c r="Z160" s="31" cm="1">
        <f t="array" aca="1" ref="Z160" ca="1">IFERROR(INDEX(CapEx!$D:$AC,MATCH("Annual Spectrum amortization ($mm/yr)",CapEx!$A:$A,0),Z$5+1),0)</f>
        <v>0</v>
      </c>
      <c r="AA160" s="31" cm="1">
        <f t="array" aca="1" ref="AA160" ca="1">IFERROR(INDEX(CapEx!$D:$AC,MATCH("Annual Spectrum amortization ($mm/yr)",CapEx!$A:$A,0),AA$5+1),0)</f>
        <v>0</v>
      </c>
      <c r="AB160" s="31" cm="1">
        <f t="array" aca="1" ref="AB160" ca="1">IFERROR(INDEX(CapEx!$D:$AC,MATCH("Annual Spectrum amortization ($mm/yr)",CapEx!$A:$A,0),AB$5+1),0)</f>
        <v>0</v>
      </c>
      <c r="AC160" s="31" cm="1">
        <f t="array" aca="1" ref="AC160" ca="1">IFERROR(INDEX(CapEx!$D:$AC,MATCH("Annual Spectrum amortization ($mm/yr)",CapEx!$A:$A,0),AC$5+1),0)</f>
        <v>0</v>
      </c>
    </row>
    <row r="162" spans="1:29" x14ac:dyDescent="0.2">
      <c r="A162" t="s">
        <v>900</v>
      </c>
      <c r="D162" s="31" cm="1">
        <f t="array" aca="1" ref="D162" ca="1">MAX(0,D122-IF(D$5=0,IFERROR(INDEX(Assumptions!$B:$B,MATCH("Starting BoY 2025 subscribers (millions)",Assumptions!$A:$A,0)),0),IFERROR(INDEX($D122:$AC122,1,D$5),0)))*IFERROR(INDEX(Assumptions!$B:$B,MATCH("Terminal COGS per unit ($)",Assumptions!$A:$A,0)),0)</f>
        <v>310.71049027899988</v>
      </c>
      <c r="E162" s="31" cm="1">
        <f t="array" aca="1" ref="E162" ca="1">MAX(0,E122-IF(E$5=0,IFERROR(INDEX(Assumptions!$B:$B,MATCH("Starting BoY 2025 subscribers (millions)",Assumptions!$A:$A,0)),0),IFERROR(INDEX($D122:$AC122,1,E$5),0)))*IFERROR(INDEX(Assumptions!$B:$B,MATCH("Terminal COGS per unit ($)",Assumptions!$A:$A,0)),0)</f>
        <v>0</v>
      </c>
      <c r="F162" s="31" cm="1">
        <f t="array" aca="1" ref="F162" ca="1">MAX(0,F122-IF(F$5=0,IFERROR(INDEX(Assumptions!$B:$B,MATCH("Starting BoY 2025 subscribers (millions)",Assumptions!$A:$A,0)),0),IFERROR(INDEX($D122:$AC122,1,F$5),0)))*IFERROR(INDEX(Assumptions!$B:$B,MATCH("Terminal COGS per unit ($)",Assumptions!$A:$A,0)),0)</f>
        <v>0</v>
      </c>
      <c r="G162" s="31" cm="1">
        <f t="array" aca="1" ref="G162" ca="1">MAX(0,G122-IF(G$5=0,IFERROR(INDEX(Assumptions!$B:$B,MATCH("Starting BoY 2025 subscribers (millions)",Assumptions!$A:$A,0)),0),IFERROR(INDEX($D122:$AC122,1,G$5),0)))*IFERROR(INDEX(Assumptions!$B:$B,MATCH("Terminal COGS per unit ($)",Assumptions!$A:$A,0)),0)</f>
        <v>0</v>
      </c>
      <c r="H162" s="31" cm="1">
        <f t="array" aca="1" ref="H162" ca="1">MAX(0,H122-IF(H$5=0,IFERROR(INDEX(Assumptions!$B:$B,MATCH("Starting BoY 2025 subscribers (millions)",Assumptions!$A:$A,0)),0),IFERROR(INDEX($D122:$AC122,1,H$5),0)))*IFERROR(INDEX(Assumptions!$B:$B,MATCH("Terminal COGS per unit ($)",Assumptions!$A:$A,0)),0)</f>
        <v>0</v>
      </c>
      <c r="I162" s="31" cm="1">
        <f t="array" aca="1" ref="I162" ca="1">MAX(0,I122-IF(I$5=0,IFERROR(INDEX(Assumptions!$B:$B,MATCH("Starting BoY 2025 subscribers (millions)",Assumptions!$A:$A,0)),0),IFERROR(INDEX($D122:$AC122,1,I$5),0)))*IFERROR(INDEX(Assumptions!$B:$B,MATCH("Terminal COGS per unit ($)",Assumptions!$A:$A,0)),0)</f>
        <v>235.85228570717743</v>
      </c>
      <c r="J162" s="31" cm="1">
        <f t="array" aca="1" ref="J162" ca="1">MAX(0,J122-IF(J$5=0,IFERROR(INDEX(Assumptions!$B:$B,MATCH("Starting BoY 2025 subscribers (millions)",Assumptions!$A:$A,0)),0),IFERROR(INDEX($D122:$AC122,1,J$5),0)))*IFERROR(INDEX(Assumptions!$B:$B,MATCH("Terminal COGS per unit ($)",Assumptions!$A:$A,0)),0)</f>
        <v>119.28320024872541</v>
      </c>
      <c r="K162" s="31" cm="1">
        <f t="array" aca="1" ref="K162" ca="1">MAX(0,K122-IF(K$5=0,IFERROR(INDEX(Assumptions!$B:$B,MATCH("Starting BoY 2025 subscribers (millions)",Assumptions!$A:$A,0)),0),IFERROR(INDEX($D122:$AC122,1,K$5),0)))*IFERROR(INDEX(Assumptions!$B:$B,MATCH("Terminal COGS per unit ($)",Assumptions!$A:$A,0)),0)</f>
        <v>125.93323866259266</v>
      </c>
      <c r="L162" s="31" cm="1">
        <f t="array" aca="1" ref="L162" ca="1">MAX(0,L122-IF(L$5=0,IFERROR(INDEX(Assumptions!$B:$B,MATCH("Starting BoY 2025 subscribers (millions)",Assumptions!$A:$A,0)),0),IFERROR(INDEX($D122:$AC122,1,L$5),0)))*IFERROR(INDEX(Assumptions!$B:$B,MATCH("Terminal COGS per unit ($)",Assumptions!$A:$A,0)),0)</f>
        <v>132.9540167180312</v>
      </c>
      <c r="M162" s="31" cm="1">
        <f t="array" aca="1" ref="M162" ca="1">MAX(0,M122-IF(M$5=0,IFERROR(INDEX(Assumptions!$B:$B,MATCH("Starting BoY 2025 subscribers (millions)",Assumptions!$A:$A,0)),0),IFERROR(INDEX($D122:$AC122,1,M$5),0)))*IFERROR(INDEX(Assumptions!$B:$B,MATCH("Terminal COGS per unit ($)",Assumptions!$A:$A,0)),0)</f>
        <v>140.36620315006144</v>
      </c>
      <c r="N162" s="31" cm="1">
        <f t="array" aca="1" ref="N162" ca="1">MAX(0,N122-IF(N$5=0,IFERROR(INDEX(Assumptions!$B:$B,MATCH("Starting BoY 2025 subscribers (millions)",Assumptions!$A:$A,0)),0),IFERROR(INDEX($D122:$AC122,1,N$5),0)))*IFERROR(INDEX(Assumptions!$B:$B,MATCH("Terminal COGS per unit ($)",Assumptions!$A:$A,0)),0)</f>
        <v>148.19161897567847</v>
      </c>
      <c r="O162" s="31" cm="1">
        <f t="array" aca="1" ref="O162" ca="1">MAX(0,O122-IF(O$5=0,IFERROR(INDEX(Assumptions!$B:$B,MATCH("Starting BoY 2025 subscribers (millions)",Assumptions!$A:$A,0)),0),IFERROR(INDEX($D122:$AC122,1,O$5),0)))*IFERROR(INDEX(Assumptions!$B:$B,MATCH("Terminal COGS per unit ($)",Assumptions!$A:$A,0)),0)</f>
        <v>156.45330173357186</v>
      </c>
      <c r="P162" s="31" cm="1">
        <f t="array" aca="1" ref="P162" ca="1">MAX(0,P122-IF(P$5=0,IFERROR(INDEX(Assumptions!$B:$B,MATCH("Starting BoY 2025 subscribers (millions)",Assumptions!$A:$A,0)),0),IFERROR(INDEX($D122:$AC122,1,P$5),0)))*IFERROR(INDEX(Assumptions!$B:$B,MATCH("Terminal COGS per unit ($)",Assumptions!$A:$A,0)),0)</f>
        <v>165.17557330521805</v>
      </c>
      <c r="Q162" s="31" cm="1">
        <f t="array" aca="1" ref="Q162" ca="1">MAX(0,Q122-IF(Q$5=0,IFERROR(INDEX(Assumptions!$B:$B,MATCH("Starting BoY 2025 subscribers (millions)",Assumptions!$A:$A,0)),0),IFERROR(INDEX($D122:$AC122,1,Q$5),0)))*IFERROR(INDEX(Assumptions!$B:$B,MATCH("Terminal COGS per unit ($)",Assumptions!$A:$A,0)),0)</f>
        <v>174.38411151698398</v>
      </c>
      <c r="R162" s="31" cm="1">
        <f t="array" aca="1" ref="R162" ca="1">MAX(0,R122-IF(R$5=0,IFERROR(INDEX(Assumptions!$B:$B,MATCH("Starting BoY 2025 subscribers (millions)",Assumptions!$A:$A,0)),0),IFERROR(INDEX($D122:$AC122,1,R$5),0)))*IFERROR(INDEX(Assumptions!$B:$B,MATCH("Terminal COGS per unit ($)",Assumptions!$A:$A,0)),0)</f>
        <v>184.10602573405654</v>
      </c>
      <c r="S162" s="31" cm="1">
        <f t="array" aca="1" ref="S162" ca="1">MAX(0,S122-IF(S$5=0,IFERROR(INDEX(Assumptions!$B:$B,MATCH("Starting BoY 2025 subscribers (millions)",Assumptions!$A:$A,0)),0),IFERROR(INDEX($D122:$AC122,1,S$5),0)))*IFERROR(INDEX(Assumptions!$B:$B,MATCH("Terminal COGS per unit ($)",Assumptions!$A:$A,0)),0)</f>
        <v>194.36993666873147</v>
      </c>
      <c r="T162" s="31" cm="1">
        <f t="array" aca="1" ref="T162" ca="1">MAX(0,T122-IF(T$5=0,IFERROR(INDEX(Assumptions!$B:$B,MATCH("Starting BoY 2025 subscribers (millions)",Assumptions!$A:$A,0)),0),IFERROR(INDEX($D122:$AC122,1,T$5),0)))*IFERROR(INDEX(Assumptions!$B:$B,MATCH("Terminal COGS per unit ($)",Assumptions!$A:$A,0)),0)</f>
        <v>205.20606063801105</v>
      </c>
      <c r="U162" s="31" cm="1">
        <f t="array" aca="1" ref="U162" ca="1">MAX(0,U122-IF(U$5=0,IFERROR(INDEX(Assumptions!$B:$B,MATCH("Starting BoY 2025 subscribers (millions)",Assumptions!$A:$A,0)),0),IFERROR(INDEX($D122:$AC122,1,U$5),0)))*IFERROR(INDEX(Assumptions!$B:$B,MATCH("Terminal COGS per unit ($)",Assumptions!$A:$A,0)),0)</f>
        <v>216.64629851858041</v>
      </c>
      <c r="V162" s="31" cm="1">
        <f t="array" aca="1" ref="V162" ca="1">MAX(0,V122-IF(V$5=0,IFERROR(INDEX(Assumptions!$B:$B,MATCH("Starting BoY 2025 subscribers (millions)",Assumptions!$A:$A,0)),0),IFERROR(INDEX($D122:$AC122,1,V$5),0)))*IFERROR(INDEX(Assumptions!$B:$B,MATCH("Terminal COGS per unit ($)",Assumptions!$A:$A,0)),0)</f>
        <v>228.72432966099154</v>
      </c>
      <c r="W162" s="31" cm="1">
        <f t="array" aca="1" ref="W162" ca="1">MAX(0,W122-IF(W$5=0,IFERROR(INDEX(Assumptions!$B:$B,MATCH("Starting BoY 2025 subscribers (millions)",Assumptions!$A:$A,0)),0),IFERROR(INDEX($D122:$AC122,1,W$5),0)))*IFERROR(INDEX(Assumptions!$B:$B,MATCH("Terminal COGS per unit ($)",Assumptions!$A:$A,0)),0)</f>
        <v>241.47571103959197</v>
      </c>
      <c r="X162" s="31" cm="1">
        <f t="array" aca="1" ref="X162" ca="1">MAX(0,X122-IF(X$5=0,IFERROR(INDEX(Assumptions!$B:$B,MATCH("Starting BoY 2025 subscribers (millions)",Assumptions!$A:$A,0)),0),IFERROR(INDEX($D122:$AC122,1,X$5),0)))*IFERROR(INDEX(Assumptions!$B:$B,MATCH("Terminal COGS per unit ($)",Assumptions!$A:$A,0)),0)</f>
        <v>254.93798193004923</v>
      </c>
      <c r="Y162" s="31" cm="1">
        <f t="array" aca="1" ref="Y162" ca="1">MAX(0,Y122-IF(Y$5=0,IFERROR(INDEX(Assumptions!$B:$B,MATCH("Starting BoY 2025 subscribers (millions)",Assumptions!$A:$A,0)),0),IFERROR(INDEX($D122:$AC122,1,Y$5),0)))*IFERROR(INDEX(Assumptions!$B:$B,MATCH("Terminal COGS per unit ($)",Assumptions!$A:$A,0)),0)</f>
        <v>269.15077442264754</v>
      </c>
      <c r="Z162" s="31" cm="1">
        <f t="array" aca="1" ref="Z162" ca="1">MAX(0,Z122-IF(Z$5=0,IFERROR(INDEX(Assumptions!$B:$B,MATCH("Starting BoY 2025 subscribers (millions)",Assumptions!$A:$A,0)),0),IFERROR(INDEX($D122:$AC122,1,Z$5),0)))*IFERROR(INDEX(Assumptions!$B:$B,MATCH("Terminal COGS per unit ($)",Assumptions!$A:$A,0)),0)</f>
        <v>284.15593009671358</v>
      </c>
      <c r="AA162" s="31" cm="1">
        <f t="array" aca="1" ref="AA162" ca="1">MAX(0,AA122-IF(AA$5=0,IFERROR(INDEX(Assumptions!$B:$B,MATCH("Starting BoY 2025 subscribers (millions)",Assumptions!$A:$A,0)),0),IFERROR(INDEX($D122:$AC122,1,AA$5),0)))*IFERROR(INDEX(Assumptions!$B:$B,MATCH("Terminal COGS per unit ($)",Assumptions!$A:$A,0)),0)</f>
        <v>299.99762319960331</v>
      </c>
      <c r="AB162" s="31" cm="1">
        <f t="array" aca="1" ref="AB162" ca="1">MAX(0,AB122-IF(AB$5=0,IFERROR(INDEX(Assumptions!$B:$B,MATCH("Starting BoY 2025 subscribers (millions)",Assumptions!$A:$A,0)),0),IFERROR(INDEX($D122:$AC122,1,AB$5),0)))*IFERROR(INDEX(Assumptions!$B:$B,MATCH("Terminal COGS per unit ($)",Assumptions!$A:$A,0)),0)</f>
        <v>316.72249069298175</v>
      </c>
      <c r="AC162" s="31" cm="1">
        <f t="array" aca="1" ref="AC162" ca="1">MAX(0,AC122-IF(AC$5=0,IFERROR(INDEX(Assumptions!$B:$B,MATCH("Starting BoY 2025 subscribers (millions)",Assumptions!$A:$A,0)),0),IFERROR(INDEX($D122:$AC122,1,AC$5),0)))*IFERROR(INDEX(Assumptions!$B:$B,MATCH("Terminal COGS per unit ($)",Assumptions!$A:$A,0)),0)</f>
        <v>334.37976954911352</v>
      </c>
    </row>
    <row r="165" spans="1:29" x14ac:dyDescent="0.2">
      <c r="A165" t="s">
        <v>901</v>
      </c>
      <c r="D165" s="31">
        <f ca="1">D178*INDEX(Assumptions!$B:$B,MATCH("Starlink insurance % of revenue",Assumptions!$A:$A,0))</f>
        <v>95.726803303316188</v>
      </c>
      <c r="E165" s="31">
        <f ca="1">E178*INDEX(Assumptions!$B:$B,MATCH("Starlink insurance % of revenue",Assumptions!$A:$A,0))</f>
        <v>76.393544960166565</v>
      </c>
      <c r="F165" s="31">
        <f ca="1">F178*INDEX(Assumptions!$B:$B,MATCH("Starlink insurance % of revenue",Assumptions!$A:$A,0))</f>
        <v>62.476016011400638</v>
      </c>
      <c r="G165" s="31">
        <f ca="1">G178*INDEX(Assumptions!$B:$B,MATCH("Starlink insurance % of revenue",Assumptions!$A:$A,0))</f>
        <v>49.982239826085255</v>
      </c>
      <c r="H165" s="31">
        <f ca="1">H178*INDEX(Assumptions!$B:$B,MATCH("Starlink insurance % of revenue",Assumptions!$A:$A,0))</f>
        <v>38.004769713583315</v>
      </c>
      <c r="I165" s="31">
        <f ca="1">I178*INDEX(Assumptions!$B:$B,MATCH("Starlink insurance % of revenue",Assumptions!$A:$A,0))</f>
        <v>40.399779800941097</v>
      </c>
      <c r="J165" s="31">
        <f ca="1">J178*INDEX(Assumptions!$B:$B,MATCH("Starlink insurance % of revenue",Assumptions!$A:$A,0))</f>
        <v>41.614324721750535</v>
      </c>
      <c r="K165" s="31">
        <f ca="1">K178*INDEX(Assumptions!$B:$B,MATCH("Starlink insurance % of revenue",Assumptions!$A:$A,0))</f>
        <v>43.934323324988149</v>
      </c>
      <c r="L165" s="31">
        <f ca="1">L178*INDEX(Assumptions!$B:$B,MATCH("Starlink insurance % of revenue",Assumptions!$A:$A,0))</f>
        <v>46.383661850356212</v>
      </c>
      <c r="M165" s="31">
        <f ca="1">M178*INDEX(Assumptions!$B:$B,MATCH("Starlink insurance % of revenue",Assumptions!$A:$A,0))</f>
        <v>48.969550998513569</v>
      </c>
      <c r="N165" s="31">
        <f ca="1">N178*INDEX(Assumptions!$B:$B,MATCH("Starlink insurance % of revenue",Assumptions!$A:$A,0))</f>
        <v>51.699603466680713</v>
      </c>
      <c r="O165" s="31">
        <f ca="1">O178*INDEX(Assumptions!$B:$B,MATCH("Starlink insurance % of revenue",Assumptions!$A:$A,0))</f>
        <v>54.581856359948155</v>
      </c>
      <c r="P165" s="31">
        <f ca="1">P178*INDEX(Assumptions!$B:$B,MATCH("Starlink insurance % of revenue",Assumptions!$A:$A,0))</f>
        <v>57.624794852015242</v>
      </c>
      <c r="Q165" s="31">
        <f ca="1">Q178*INDEX(Assumptions!$B:$B,MATCH("Starlink insurance % of revenue",Assumptions!$A:$A,0))</f>
        <v>60.837377165015077</v>
      </c>
      <c r="R165" s="31">
        <f ca="1">R178*INDEX(Assumptions!$B:$B,MATCH("Starlink insurance % of revenue",Assumptions!$A:$A,0))</f>
        <v>64.229060941964676</v>
      </c>
      <c r="S165" s="31">
        <f ca="1">S178*INDEX(Assumptions!$B:$B,MATCH("Starlink insurance % of revenue",Assumptions!$A:$A,0))</f>
        <v>67.809831089479246</v>
      </c>
      <c r="T165" s="31">
        <f ca="1">T178*INDEX(Assumptions!$B:$B,MATCH("Starlink insurance % of revenue",Assumptions!$A:$A,0))</f>
        <v>71.590229172717684</v>
      </c>
      <c r="U165" s="31">
        <f ca="1">U178*INDEX(Assumptions!$B:$B,MATCH("Starlink insurance % of revenue",Assumptions!$A:$A,0))</f>
        <v>75.581384449096689</v>
      </c>
      <c r="V165" s="31">
        <f ca="1">V178*INDEX(Assumptions!$B:$B,MATCH("Starlink insurance % of revenue",Assumptions!$A:$A,0))</f>
        <v>79.795046632133833</v>
      </c>
      <c r="W165" s="31">
        <f ca="1">W178*INDEX(Assumptions!$B:$B,MATCH("Starlink insurance % of revenue",Assumptions!$A:$A,0))</f>
        <v>84.243620481875297</v>
      </c>
      <c r="X165" s="31">
        <f ca="1">X178*INDEX(Assumptions!$B:$B,MATCH("Starlink insurance % of revenue",Assumptions!$A:$A,0))</f>
        <v>88.94020232373984</v>
      </c>
      <c r="Y165" s="31">
        <f ca="1">Y178*INDEX(Assumptions!$B:$B,MATCH("Starlink insurance % of revenue",Assumptions!$A:$A,0))</f>
        <v>93.89861860328827</v>
      </c>
      <c r="Z165" s="31">
        <f ca="1">Z178*INDEX(Assumptions!$B:$B,MATCH("Starlink insurance % of revenue",Assumptions!$A:$A,0))</f>
        <v>99.133466590421634</v>
      </c>
      <c r="AA165" s="31">
        <f ca="1">AA178*INDEX(Assumptions!$B:$B,MATCH("Starlink insurance % of revenue",Assumptions!$A:$A,0))</f>
        <v>104.66015735283763</v>
      </c>
      <c r="AB165" s="31">
        <f ca="1">AB178*INDEX(Assumptions!$B:$B,MATCH("Starlink insurance % of revenue",Assumptions!$A:$A,0))</f>
        <v>110.49496112525833</v>
      </c>
      <c r="AC165" s="31">
        <f ca="1">AC178*INDEX(Assumptions!$B:$B,MATCH("Starlink insurance % of revenue",Assumptions!$A:$A,0))</f>
        <v>116.65505520799142</v>
      </c>
    </row>
    <row r="167" spans="1:29" x14ac:dyDescent="0.2">
      <c r="A167" t="s">
        <v>902</v>
      </c>
      <c r="D167" s="31">
        <f ca="1">D178*INDEX(Assumptions!$B:$B,MATCH("Starlink other COGS % of revenue",Assumptions!$A:$A,0))</f>
        <v>191.45360660663238</v>
      </c>
      <c r="E167" s="31">
        <f ca="1">E178*INDEX(Assumptions!$B:$B,MATCH("Starlink other COGS % of revenue",Assumptions!$A:$A,0))</f>
        <v>152.78708992033313</v>
      </c>
      <c r="F167" s="31">
        <f ca="1">F178*INDEX(Assumptions!$B:$B,MATCH("Starlink other COGS % of revenue",Assumptions!$A:$A,0))</f>
        <v>124.95203202280128</v>
      </c>
      <c r="G167" s="31">
        <f ca="1">G178*INDEX(Assumptions!$B:$B,MATCH("Starlink other COGS % of revenue",Assumptions!$A:$A,0))</f>
        <v>99.96447965217051</v>
      </c>
      <c r="H167" s="31">
        <f ca="1">H178*INDEX(Assumptions!$B:$B,MATCH("Starlink other COGS % of revenue",Assumptions!$A:$A,0))</f>
        <v>76.009539427166629</v>
      </c>
      <c r="I167" s="31">
        <f ca="1">I178*INDEX(Assumptions!$B:$B,MATCH("Starlink other COGS % of revenue",Assumptions!$A:$A,0))</f>
        <v>80.799559601882194</v>
      </c>
      <c r="J167" s="31">
        <f ca="1">J178*INDEX(Assumptions!$B:$B,MATCH("Starlink other COGS % of revenue",Assumptions!$A:$A,0))</f>
        <v>83.22864944350107</v>
      </c>
      <c r="K167" s="31">
        <f ca="1">K178*INDEX(Assumptions!$B:$B,MATCH("Starlink other COGS % of revenue",Assumptions!$A:$A,0))</f>
        <v>87.868646649976299</v>
      </c>
      <c r="L167" s="31">
        <f ca="1">L178*INDEX(Assumptions!$B:$B,MATCH("Starlink other COGS % of revenue",Assumptions!$A:$A,0))</f>
        <v>92.767323700712424</v>
      </c>
      <c r="M167" s="31">
        <f ca="1">M178*INDEX(Assumptions!$B:$B,MATCH("Starlink other COGS % of revenue",Assumptions!$A:$A,0))</f>
        <v>97.939101997027137</v>
      </c>
      <c r="N167" s="31">
        <f ca="1">N178*INDEX(Assumptions!$B:$B,MATCH("Starlink other COGS % of revenue",Assumptions!$A:$A,0))</f>
        <v>103.39920693336143</v>
      </c>
      <c r="O167" s="31">
        <f ca="1">O178*INDEX(Assumptions!$B:$B,MATCH("Starlink other COGS % of revenue",Assumptions!$A:$A,0))</f>
        <v>109.16371271989631</v>
      </c>
      <c r="P167" s="31">
        <f ca="1">P178*INDEX(Assumptions!$B:$B,MATCH("Starlink other COGS % of revenue",Assumptions!$A:$A,0))</f>
        <v>115.24958970403048</v>
      </c>
      <c r="Q167" s="31">
        <f ca="1">Q178*INDEX(Assumptions!$B:$B,MATCH("Starlink other COGS % of revenue",Assumptions!$A:$A,0))</f>
        <v>121.67475433003015</v>
      </c>
      <c r="R167" s="31">
        <f ca="1">R178*INDEX(Assumptions!$B:$B,MATCH("Starlink other COGS % of revenue",Assumptions!$A:$A,0))</f>
        <v>128.45812188392935</v>
      </c>
      <c r="S167" s="31">
        <f ca="1">S178*INDEX(Assumptions!$B:$B,MATCH("Starlink other COGS % of revenue",Assumptions!$A:$A,0))</f>
        <v>135.61966217895849</v>
      </c>
      <c r="T167" s="31">
        <f ca="1">T178*INDEX(Assumptions!$B:$B,MATCH("Starlink other COGS % of revenue",Assumptions!$A:$A,0))</f>
        <v>143.18045834543537</v>
      </c>
      <c r="U167" s="31">
        <f ca="1">U178*INDEX(Assumptions!$B:$B,MATCH("Starlink other COGS % of revenue",Assumptions!$A:$A,0))</f>
        <v>151.16276889819338</v>
      </c>
      <c r="V167" s="31">
        <f ca="1">V178*INDEX(Assumptions!$B:$B,MATCH("Starlink other COGS % of revenue",Assumptions!$A:$A,0))</f>
        <v>159.59009326426767</v>
      </c>
      <c r="W167" s="31">
        <f ca="1">W178*INDEX(Assumptions!$B:$B,MATCH("Starlink other COGS % of revenue",Assumptions!$A:$A,0))</f>
        <v>168.48724096375059</v>
      </c>
      <c r="X167" s="31">
        <f ca="1">X178*INDEX(Assumptions!$B:$B,MATCH("Starlink other COGS % of revenue",Assumptions!$A:$A,0))</f>
        <v>177.88040464747968</v>
      </c>
      <c r="Y167" s="31">
        <f ca="1">Y178*INDEX(Assumptions!$B:$B,MATCH("Starlink other COGS % of revenue",Assumptions!$A:$A,0))</f>
        <v>187.79723720657654</v>
      </c>
      <c r="Z167" s="31">
        <f ca="1">Z178*INDEX(Assumptions!$B:$B,MATCH("Starlink other COGS % of revenue",Assumptions!$A:$A,0))</f>
        <v>198.26693318084327</v>
      </c>
      <c r="AA167" s="31">
        <f ca="1">AA178*INDEX(Assumptions!$B:$B,MATCH("Starlink other COGS % of revenue",Assumptions!$A:$A,0))</f>
        <v>209.32031470567526</v>
      </c>
      <c r="AB167" s="31">
        <f ca="1">AB178*INDEX(Assumptions!$B:$B,MATCH("Starlink other COGS % of revenue",Assumptions!$A:$A,0))</f>
        <v>220.98992225051666</v>
      </c>
      <c r="AC167" s="31">
        <f ca="1">AC178*INDEX(Assumptions!$B:$B,MATCH("Starlink other COGS % of revenue",Assumptions!$A:$A,0))</f>
        <v>233.31011041598285</v>
      </c>
    </row>
    <row r="170" spans="1:29" x14ac:dyDescent="0.2">
      <c r="A170" t="s">
        <v>767</v>
      </c>
      <c r="D170" s="31">
        <f ca="1">D153+D156+D158+D160+D162+D165+D167</f>
        <v>3977.205873402213</v>
      </c>
      <c r="E170" s="31">
        <f t="shared" ref="E170:AC170" ca="1" si="23">E153+E156+E158+E160+E162+E165+E167</f>
        <v>1118.0877606411661</v>
      </c>
      <c r="F170" s="31">
        <f t="shared" ca="1" si="23"/>
        <v>899.11307442540442</v>
      </c>
      <c r="G170" s="31">
        <f t="shared" ca="1" si="23"/>
        <v>691.8511139306928</v>
      </c>
      <c r="H170" s="31">
        <f t="shared" ca="1" si="23"/>
        <v>489.92372839339077</v>
      </c>
      <c r="I170" s="31">
        <f t="shared" ca="1" si="23"/>
        <v>658.65074431376513</v>
      </c>
      <c r="J170" s="31">
        <f t="shared" ca="1" si="23"/>
        <v>550.58347330097922</v>
      </c>
      <c r="K170" s="31">
        <f t="shared" ca="1" si="23"/>
        <v>573.4735019375097</v>
      </c>
      <c r="L170" s="31">
        <f t="shared" ca="1" si="23"/>
        <v>597.6396496705247</v>
      </c>
      <c r="M170" s="31">
        <f t="shared" ca="1" si="23"/>
        <v>623.15306013965642</v>
      </c>
      <c r="N170" s="31">
        <f t="shared" ca="1" si="23"/>
        <v>650.08884324244355</v>
      </c>
      <c r="O170" s="31">
        <f t="shared" ca="1" si="23"/>
        <v>678.5262962532089</v>
      </c>
      <c r="P170" s="31">
        <f t="shared" ca="1" si="23"/>
        <v>708.54913726932477</v>
      </c>
      <c r="Q170" s="31">
        <f t="shared" ca="1" si="23"/>
        <v>740.24575167208945</v>
      </c>
      <c r="R170" s="31">
        <f t="shared" ca="1" si="23"/>
        <v>773.70945232780934</v>
      </c>
      <c r="S170" s="31">
        <f t="shared" ca="1" si="23"/>
        <v>809.03875429508628</v>
      </c>
      <c r="T170" s="31">
        <f t="shared" ca="1" si="23"/>
        <v>846.33766484703483</v>
      </c>
      <c r="U170" s="31">
        <f t="shared" ca="1" si="23"/>
        <v>885.71598966225724</v>
      </c>
      <c r="V170" s="31">
        <f t="shared" ca="1" si="23"/>
        <v>927.28965608592841</v>
      </c>
      <c r="W170" s="31">
        <f t="shared" ca="1" si="23"/>
        <v>971.18105441271905</v>
      </c>
      <c r="X170" s="31">
        <f t="shared" ca="1" si="23"/>
        <v>1017.5193981962282</v>
      </c>
      <c r="Y170" s="31">
        <f t="shared" ca="1" si="23"/>
        <v>1066.4411046456653</v>
      </c>
      <c r="Z170" s="31">
        <f t="shared" ca="1" si="23"/>
        <v>1118.090196229665</v>
      </c>
      <c r="AA170" s="31">
        <f t="shared" ca="1" si="23"/>
        <v>1172.6187246694667</v>
      </c>
      <c r="AB170" s="31">
        <f t="shared" ca="1" si="23"/>
        <v>1230.18721856979</v>
      </c>
      <c r="AC170" s="31">
        <f t="shared" ca="1" si="23"/>
        <v>1290.9651560050534</v>
      </c>
    </row>
    <row r="177" spans="1:29" x14ac:dyDescent="0.2">
      <c r="A177" s="39" t="s">
        <v>903</v>
      </c>
    </row>
    <row r="178" spans="1:29" x14ac:dyDescent="0.2">
      <c r="A178" t="s">
        <v>604</v>
      </c>
      <c r="D178" s="31">
        <f ca="1">D120+D131+D135+D110+D143</f>
        <v>9572.6803303316192</v>
      </c>
      <c r="E178" s="31">
        <f t="shared" ref="E178:AC178" ca="1" si="24">E120+E131+E135+E110+E143</f>
        <v>7639.3544960166564</v>
      </c>
      <c r="F178" s="31">
        <f t="shared" ca="1" si="24"/>
        <v>6247.6016011400634</v>
      </c>
      <c r="G178" s="31">
        <f t="shared" ca="1" si="24"/>
        <v>4998.2239826085251</v>
      </c>
      <c r="H178" s="31">
        <f t="shared" ca="1" si="24"/>
        <v>3800.4769713583314</v>
      </c>
      <c r="I178" s="31">
        <f t="shared" ca="1" si="24"/>
        <v>4039.9779800941096</v>
      </c>
      <c r="J178" s="31">
        <f t="shared" ca="1" si="24"/>
        <v>4161.4324721750536</v>
      </c>
      <c r="K178" s="31">
        <f t="shared" ca="1" si="24"/>
        <v>4393.4323324988145</v>
      </c>
      <c r="L178" s="31">
        <f t="shared" ca="1" si="24"/>
        <v>4638.3661850356211</v>
      </c>
      <c r="M178" s="31">
        <f t="shared" ca="1" si="24"/>
        <v>4896.9550998513569</v>
      </c>
      <c r="N178" s="31">
        <f t="shared" ca="1" si="24"/>
        <v>5169.960346668071</v>
      </c>
      <c r="O178" s="31">
        <f t="shared" ca="1" si="24"/>
        <v>5458.1856359948151</v>
      </c>
      <c r="P178" s="31">
        <f t="shared" ca="1" si="24"/>
        <v>5762.4794852015239</v>
      </c>
      <c r="Q178" s="31">
        <f t="shared" ca="1" si="24"/>
        <v>6083.7377165015077</v>
      </c>
      <c r="R178" s="31">
        <f t="shared" ca="1" si="24"/>
        <v>6422.9060941964681</v>
      </c>
      <c r="S178" s="31">
        <f t="shared" ca="1" si="24"/>
        <v>6780.9831089479248</v>
      </c>
      <c r="T178" s="31">
        <f t="shared" ca="1" si="24"/>
        <v>7159.0229172717682</v>
      </c>
      <c r="U178" s="31">
        <f t="shared" ca="1" si="24"/>
        <v>7558.1384449096686</v>
      </c>
      <c r="V178" s="31">
        <f t="shared" ca="1" si="24"/>
        <v>7979.5046632133826</v>
      </c>
      <c r="W178" s="31">
        <f t="shared" ca="1" si="24"/>
        <v>8424.3620481875296</v>
      </c>
      <c r="X178" s="31">
        <f t="shared" ca="1" si="24"/>
        <v>8894.0202323739832</v>
      </c>
      <c r="Y178" s="31">
        <f t="shared" ca="1" si="24"/>
        <v>9389.8618603288269</v>
      </c>
      <c r="Z178" s="31">
        <f t="shared" ca="1" si="24"/>
        <v>9913.3466590421631</v>
      </c>
      <c r="AA178" s="31">
        <f t="shared" ca="1" si="24"/>
        <v>10466.015735283763</v>
      </c>
      <c r="AB178" s="31">
        <f t="shared" ca="1" si="24"/>
        <v>11049.496112525832</v>
      </c>
      <c r="AC178" s="31">
        <f t="shared" ca="1" si="24"/>
        <v>11665.505520799143</v>
      </c>
    </row>
    <row r="181" spans="1:29" x14ac:dyDescent="0.2">
      <c r="A181" t="s">
        <v>605</v>
      </c>
      <c r="D181" s="31">
        <f ca="1">D178-D170</f>
        <v>5595.4744569294062</v>
      </c>
      <c r="E181" s="31">
        <f t="shared" ref="E181:AC181" ca="1" si="25">E178-E170</f>
        <v>6521.2667353754905</v>
      </c>
      <c r="F181" s="31">
        <f t="shared" ca="1" si="25"/>
        <v>5348.4885267146592</v>
      </c>
      <c r="G181" s="31">
        <f t="shared" ca="1" si="25"/>
        <v>4306.3728686778322</v>
      </c>
      <c r="H181" s="31">
        <f t="shared" ca="1" si="25"/>
        <v>3310.5532429649406</v>
      </c>
      <c r="I181" s="31">
        <f t="shared" ca="1" si="25"/>
        <v>3381.3272357803444</v>
      </c>
      <c r="J181" s="31">
        <f t="shared" ca="1" si="25"/>
        <v>3610.8489988740744</v>
      </c>
      <c r="K181" s="31">
        <f t="shared" ca="1" si="25"/>
        <v>3819.9588305613047</v>
      </c>
      <c r="L181" s="31">
        <f t="shared" ca="1" si="25"/>
        <v>4040.7265353650964</v>
      </c>
      <c r="M181" s="31">
        <f t="shared" ca="1" si="25"/>
        <v>4273.8020397117007</v>
      </c>
      <c r="N181" s="31">
        <f t="shared" ca="1" si="25"/>
        <v>4519.8715034256275</v>
      </c>
      <c r="O181" s="31">
        <f t="shared" ca="1" si="25"/>
        <v>4779.6593397416063</v>
      </c>
      <c r="P181" s="31">
        <f t="shared" ca="1" si="25"/>
        <v>5053.9303479321989</v>
      </c>
      <c r="Q181" s="31">
        <f t="shared" ca="1" si="25"/>
        <v>5343.4919648294181</v>
      </c>
      <c r="R181" s="31">
        <f t="shared" ca="1" si="25"/>
        <v>5649.1966418686588</v>
      </c>
      <c r="S181" s="31">
        <f t="shared" ca="1" si="25"/>
        <v>5971.9443546528382</v>
      </c>
      <c r="T181" s="31">
        <f t="shared" ca="1" si="25"/>
        <v>6312.6852524247333</v>
      </c>
      <c r="U181" s="31">
        <f t="shared" ca="1" si="25"/>
        <v>6672.4224552474116</v>
      </c>
      <c r="V181" s="31">
        <f t="shared" ca="1" si="25"/>
        <v>7052.2150071274546</v>
      </c>
      <c r="W181" s="31">
        <f t="shared" ca="1" si="25"/>
        <v>7453.1809937748103</v>
      </c>
      <c r="X181" s="31">
        <f t="shared" ca="1" si="25"/>
        <v>7876.5008341777548</v>
      </c>
      <c r="Y181" s="31">
        <f t="shared" ca="1" si="25"/>
        <v>8323.4207556831607</v>
      </c>
      <c r="Z181" s="31">
        <f t="shared" ca="1" si="25"/>
        <v>8795.2564628124983</v>
      </c>
      <c r="AA181" s="31">
        <f t="shared" ca="1" si="25"/>
        <v>9293.397010614297</v>
      </c>
      <c r="AB181" s="31">
        <f t="shared" ca="1" si="25"/>
        <v>9819.3088939560421</v>
      </c>
      <c r="AC181" s="31">
        <f t="shared" ca="1" si="25"/>
        <v>10374.540364794089</v>
      </c>
    </row>
    <row r="182" spans="1:29" x14ac:dyDescent="0.2">
      <c r="A182" t="s">
        <v>606</v>
      </c>
      <c r="D182" s="17">
        <f ca="1">IFERROR(D181/D178,0)</f>
        <v>0.58452536424932167</v>
      </c>
      <c r="E182" s="17">
        <f t="shared" ref="E182:AC182" ca="1" si="26">IFERROR(E181/E178,0)</f>
        <v>0.8536410685975937</v>
      </c>
      <c r="F182" s="17">
        <f t="shared" ca="1" si="26"/>
        <v>0.85608668224597839</v>
      </c>
      <c r="G182" s="17">
        <f t="shared" ca="1" si="26"/>
        <v>0.86158061016512866</v>
      </c>
      <c r="H182" s="17">
        <f t="shared" ca="1" si="26"/>
        <v>0.87108888382020988</v>
      </c>
      <c r="I182" s="17">
        <f t="shared" ca="1" si="26"/>
        <v>0.83696674893796763</v>
      </c>
      <c r="J182" s="17">
        <f t="shared" ca="1" si="26"/>
        <v>0.86769376242858842</v>
      </c>
      <c r="K182" s="17">
        <f t="shared" ca="1" si="26"/>
        <v>0.86947027778362518</v>
      </c>
      <c r="L182" s="17">
        <f t="shared" ca="1" si="26"/>
        <v>0.87115298235860716</v>
      </c>
      <c r="M182" s="17">
        <f t="shared" ca="1" si="26"/>
        <v>0.8727468299314054</v>
      </c>
      <c r="N182" s="17">
        <f t="shared" ca="1" si="26"/>
        <v>0.87425651269038995</v>
      </c>
      <c r="O182" s="17">
        <f t="shared" ca="1" si="26"/>
        <v>0.8756864750479415</v>
      </c>
      <c r="P182" s="17">
        <f t="shared" ca="1" si="26"/>
        <v>0.87704092672452338</v>
      </c>
      <c r="Q182" s="17">
        <f t="shared" ca="1" si="26"/>
        <v>0.87832385514183986</v>
      </c>
      <c r="R182" s="17">
        <f t="shared" ca="1" si="26"/>
        <v>0.87953903716155712</v>
      </c>
      <c r="S182" s="17">
        <f t="shared" ca="1" si="26"/>
        <v>0.88069005020414959</v>
      </c>
      <c r="T182" s="17">
        <f t="shared" ca="1" si="26"/>
        <v>0.88178028278060527</v>
      </c>
      <c r="U182" s="17">
        <f t="shared" ca="1" si="26"/>
        <v>0.88281294446798897</v>
      </c>
      <c r="V182" s="17">
        <f t="shared" ca="1" si="26"/>
        <v>0.88379107535824108</v>
      </c>
      <c r="W182" s="17">
        <f t="shared" ca="1" si="26"/>
        <v>0.88471755500801808</v>
      </c>
      <c r="X182" s="17">
        <f t="shared" ca="1" si="26"/>
        <v>0.88559511091592902</v>
      </c>
      <c r="Y182" s="17">
        <f t="shared" ca="1" si="26"/>
        <v>0.8864263265521225</v>
      </c>
      <c r="Z182" s="17">
        <f t="shared" ca="1" si="26"/>
        <v>0.88721364896386101</v>
      </c>
      <c r="AA182" s="17">
        <f t="shared" ca="1" si="26"/>
        <v>0.88795939597947937</v>
      </c>
      <c r="AB182" s="17">
        <f t="shared" ca="1" si="26"/>
        <v>0.88866576303192357</v>
      </c>
      <c r="AC182" s="17">
        <f t="shared" ca="1" si="26"/>
        <v>0.88933482962197286</v>
      </c>
    </row>
    <row r="185" spans="1:29" x14ac:dyDescent="0.2">
      <c r="A185" t="s">
        <v>904</v>
      </c>
      <c r="D185" s="31">
        <f ca="1">D98</f>
        <v>1184.4137500000002</v>
      </c>
      <c r="E185" s="31">
        <f t="shared" ref="E185:AC185" ca="1" si="27">E98</f>
        <v>0</v>
      </c>
      <c r="F185" s="31">
        <f t="shared" ca="1" si="27"/>
        <v>0</v>
      </c>
      <c r="G185" s="31">
        <f t="shared" ca="1" si="27"/>
        <v>0</v>
      </c>
      <c r="H185" s="31">
        <f t="shared" ca="1" si="27"/>
        <v>0</v>
      </c>
      <c r="I185" s="31">
        <f t="shared" ca="1" si="27"/>
        <v>0</v>
      </c>
      <c r="J185" s="31">
        <f t="shared" ca="1" si="27"/>
        <v>0</v>
      </c>
      <c r="K185" s="31">
        <f t="shared" ca="1" si="27"/>
        <v>0</v>
      </c>
      <c r="L185" s="31">
        <f t="shared" ca="1" si="27"/>
        <v>0</v>
      </c>
      <c r="M185" s="31">
        <f t="shared" ca="1" si="27"/>
        <v>0</v>
      </c>
      <c r="N185" s="31">
        <f t="shared" ca="1" si="27"/>
        <v>0</v>
      </c>
      <c r="O185" s="31">
        <f t="shared" ca="1" si="27"/>
        <v>0</v>
      </c>
      <c r="P185" s="31">
        <f t="shared" ca="1" si="27"/>
        <v>0</v>
      </c>
      <c r="Q185" s="31">
        <f t="shared" ca="1" si="27"/>
        <v>0</v>
      </c>
      <c r="R185" s="31">
        <f t="shared" ca="1" si="27"/>
        <v>0</v>
      </c>
      <c r="S185" s="31">
        <f t="shared" ca="1" si="27"/>
        <v>0</v>
      </c>
      <c r="T185" s="31">
        <f t="shared" ca="1" si="27"/>
        <v>0</v>
      </c>
      <c r="U185" s="31">
        <f t="shared" ca="1" si="27"/>
        <v>0</v>
      </c>
      <c r="V185" s="31">
        <f t="shared" ca="1" si="27"/>
        <v>0</v>
      </c>
      <c r="W185" s="31">
        <f t="shared" ca="1" si="27"/>
        <v>0</v>
      </c>
      <c r="X185" s="31">
        <f t="shared" ca="1" si="27"/>
        <v>0</v>
      </c>
      <c r="Y185" s="31">
        <f t="shared" ca="1" si="27"/>
        <v>0</v>
      </c>
      <c r="Z185" s="31">
        <f t="shared" ca="1" si="27"/>
        <v>0</v>
      </c>
      <c r="AA185" s="31">
        <f t="shared" ca="1" si="27"/>
        <v>0</v>
      </c>
      <c r="AB185" s="31">
        <f t="shared" ca="1" si="27"/>
        <v>0</v>
      </c>
      <c r="AC185" s="31">
        <f t="shared" ca="1" si="27"/>
        <v>0</v>
      </c>
    </row>
    <row r="188" spans="1:29" x14ac:dyDescent="0.2">
      <c r="A188" t="s">
        <v>607</v>
      </c>
      <c r="D188" s="31">
        <f ca="1">D181+D153-D185</f>
        <v>5117.7184669294056</v>
      </c>
      <c r="E188" s="31">
        <f t="shared" ref="E188:AC188" ca="1" si="28">E181+E153-E185</f>
        <v>7104.5996812954909</v>
      </c>
      <c r="F188" s="31">
        <f t="shared" ca="1" si="28"/>
        <v>5810.2694890602588</v>
      </c>
      <c r="G188" s="31">
        <f t="shared" ca="1" si="28"/>
        <v>4648.3483038259283</v>
      </c>
      <c r="H188" s="31">
        <f t="shared" ca="1" si="28"/>
        <v>3534.4435833632483</v>
      </c>
      <c r="I188" s="31">
        <f t="shared" ca="1" si="28"/>
        <v>3521.3272357803444</v>
      </c>
      <c r="J188" s="31">
        <f t="shared" ca="1" si="28"/>
        <v>3750.8489988740744</v>
      </c>
      <c r="K188" s="31">
        <f t="shared" ca="1" si="28"/>
        <v>3959.9588305613047</v>
      </c>
      <c r="L188" s="31">
        <f t="shared" ca="1" si="28"/>
        <v>4180.7265353650964</v>
      </c>
      <c r="M188" s="31">
        <f t="shared" ca="1" si="28"/>
        <v>4413.8020397117007</v>
      </c>
      <c r="N188" s="31">
        <f t="shared" ca="1" si="28"/>
        <v>4659.8715034256275</v>
      </c>
      <c r="O188" s="31">
        <f t="shared" ca="1" si="28"/>
        <v>4919.6593397416063</v>
      </c>
      <c r="P188" s="31">
        <f t="shared" ca="1" si="28"/>
        <v>5193.9303479321989</v>
      </c>
      <c r="Q188" s="31">
        <f t="shared" ca="1" si="28"/>
        <v>5483.4919648294181</v>
      </c>
      <c r="R188" s="31">
        <f t="shared" ca="1" si="28"/>
        <v>5789.1966418686588</v>
      </c>
      <c r="S188" s="31">
        <f t="shared" ca="1" si="28"/>
        <v>6111.9443546528382</v>
      </c>
      <c r="T188" s="31">
        <f t="shared" ca="1" si="28"/>
        <v>6452.6852524247333</v>
      </c>
      <c r="U188" s="31">
        <f t="shared" ca="1" si="28"/>
        <v>6812.4224552474116</v>
      </c>
      <c r="V188" s="31">
        <f t="shared" ca="1" si="28"/>
        <v>7192.2150071274546</v>
      </c>
      <c r="W188" s="31">
        <f t="shared" ca="1" si="28"/>
        <v>7593.1809937748103</v>
      </c>
      <c r="X188" s="31">
        <f t="shared" ca="1" si="28"/>
        <v>8016.5008341777548</v>
      </c>
      <c r="Y188" s="31">
        <f t="shared" ca="1" si="28"/>
        <v>8463.4207556831607</v>
      </c>
      <c r="Z188" s="31">
        <f t="shared" ca="1" si="28"/>
        <v>8935.2564628124983</v>
      </c>
      <c r="AA188" s="31">
        <f t="shared" ca="1" si="28"/>
        <v>9433.397010614297</v>
      </c>
      <c r="AB188" s="31">
        <f t="shared" ca="1" si="28"/>
        <v>9959.3088939560421</v>
      </c>
      <c r="AC188" s="31">
        <f t="shared" ca="1" si="28"/>
        <v>10514.540364794089</v>
      </c>
    </row>
    <row r="200" spans="1:29" x14ac:dyDescent="0.2">
      <c r="A200" s="13" t="s">
        <v>603</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x14ac:dyDescent="0.2">
      <c r="A201" t="s">
        <v>604</v>
      </c>
      <c r="C201" t="s">
        <v>614</v>
      </c>
      <c r="D201" s="31">
        <f ca="1">D178</f>
        <v>9572.6803303316192</v>
      </c>
      <c r="E201" s="31">
        <f t="shared" ref="E201:AC201" ca="1" si="29">E178</f>
        <v>7639.3544960166564</v>
      </c>
      <c r="F201" s="31">
        <f t="shared" ca="1" si="29"/>
        <v>6247.6016011400634</v>
      </c>
      <c r="G201" s="31">
        <f t="shared" ca="1" si="29"/>
        <v>4998.2239826085251</v>
      </c>
      <c r="H201" s="31">
        <f t="shared" ca="1" si="29"/>
        <v>3800.4769713583314</v>
      </c>
      <c r="I201" s="31">
        <f t="shared" ca="1" si="29"/>
        <v>4039.9779800941096</v>
      </c>
      <c r="J201" s="31">
        <f t="shared" ca="1" si="29"/>
        <v>4161.4324721750536</v>
      </c>
      <c r="K201" s="31">
        <f t="shared" ca="1" si="29"/>
        <v>4393.4323324988145</v>
      </c>
      <c r="L201" s="31">
        <f t="shared" ca="1" si="29"/>
        <v>4638.3661850356211</v>
      </c>
      <c r="M201" s="31">
        <f t="shared" ca="1" si="29"/>
        <v>4896.9550998513569</v>
      </c>
      <c r="N201" s="31">
        <f t="shared" ca="1" si="29"/>
        <v>5169.960346668071</v>
      </c>
      <c r="O201" s="31">
        <f t="shared" ca="1" si="29"/>
        <v>5458.1856359948151</v>
      </c>
      <c r="P201" s="31">
        <f t="shared" ca="1" si="29"/>
        <v>5762.4794852015239</v>
      </c>
      <c r="Q201" s="31">
        <f t="shared" ca="1" si="29"/>
        <v>6083.7377165015077</v>
      </c>
      <c r="R201" s="31">
        <f t="shared" ca="1" si="29"/>
        <v>6422.9060941964681</v>
      </c>
      <c r="S201" s="31">
        <f t="shared" ca="1" si="29"/>
        <v>6780.9831089479248</v>
      </c>
      <c r="T201" s="31">
        <f t="shared" ca="1" si="29"/>
        <v>7159.0229172717682</v>
      </c>
      <c r="U201" s="31">
        <f t="shared" ca="1" si="29"/>
        <v>7558.1384449096686</v>
      </c>
      <c r="V201" s="31">
        <f t="shared" ca="1" si="29"/>
        <v>7979.5046632133826</v>
      </c>
      <c r="W201" s="31">
        <f t="shared" ca="1" si="29"/>
        <v>8424.3620481875296</v>
      </c>
      <c r="X201" s="31">
        <f t="shared" ca="1" si="29"/>
        <v>8894.0202323739832</v>
      </c>
      <c r="Y201" s="31">
        <f t="shared" ca="1" si="29"/>
        <v>9389.8618603288269</v>
      </c>
      <c r="Z201" s="31">
        <f t="shared" ca="1" si="29"/>
        <v>9913.3466590421631</v>
      </c>
      <c r="AA201" s="31">
        <f t="shared" ca="1" si="29"/>
        <v>10466.015735283763</v>
      </c>
      <c r="AB201" s="31">
        <f t="shared" ca="1" si="29"/>
        <v>11049.496112525832</v>
      </c>
      <c r="AC201" s="31">
        <f t="shared" ca="1" si="29"/>
        <v>11665.505520799143</v>
      </c>
    </row>
    <row r="202" spans="1:29" x14ac:dyDescent="0.2">
      <c r="A202" t="s">
        <v>605</v>
      </c>
      <c r="C202" t="s">
        <v>615</v>
      </c>
      <c r="D202" s="31">
        <f ca="1">D181</f>
        <v>5595.4744569294062</v>
      </c>
      <c r="E202" s="31">
        <f t="shared" ref="E202:AC202" ca="1" si="30">E181</f>
        <v>6521.2667353754905</v>
      </c>
      <c r="F202" s="31">
        <f t="shared" ca="1" si="30"/>
        <v>5348.4885267146592</v>
      </c>
      <c r="G202" s="31">
        <f t="shared" ca="1" si="30"/>
        <v>4306.3728686778322</v>
      </c>
      <c r="H202" s="31">
        <f t="shared" ca="1" si="30"/>
        <v>3310.5532429649406</v>
      </c>
      <c r="I202" s="31">
        <f t="shared" ca="1" si="30"/>
        <v>3381.3272357803444</v>
      </c>
      <c r="J202" s="31">
        <f t="shared" ca="1" si="30"/>
        <v>3610.8489988740744</v>
      </c>
      <c r="K202" s="31">
        <f t="shared" ca="1" si="30"/>
        <v>3819.9588305613047</v>
      </c>
      <c r="L202" s="31">
        <f t="shared" ca="1" si="30"/>
        <v>4040.7265353650964</v>
      </c>
      <c r="M202" s="31">
        <f t="shared" ca="1" si="30"/>
        <v>4273.8020397117007</v>
      </c>
      <c r="N202" s="31">
        <f t="shared" ca="1" si="30"/>
        <v>4519.8715034256275</v>
      </c>
      <c r="O202" s="31">
        <f t="shared" ca="1" si="30"/>
        <v>4779.6593397416063</v>
      </c>
      <c r="P202" s="31">
        <f t="shared" ca="1" si="30"/>
        <v>5053.9303479321989</v>
      </c>
      <c r="Q202" s="31">
        <f t="shared" ca="1" si="30"/>
        <v>5343.4919648294181</v>
      </c>
      <c r="R202" s="31">
        <f t="shared" ca="1" si="30"/>
        <v>5649.1966418686588</v>
      </c>
      <c r="S202" s="31">
        <f t="shared" ca="1" si="30"/>
        <v>5971.9443546528382</v>
      </c>
      <c r="T202" s="31">
        <f t="shared" ca="1" si="30"/>
        <v>6312.6852524247333</v>
      </c>
      <c r="U202" s="31">
        <f t="shared" ca="1" si="30"/>
        <v>6672.4224552474116</v>
      </c>
      <c r="V202" s="31">
        <f t="shared" ca="1" si="30"/>
        <v>7052.2150071274546</v>
      </c>
      <c r="W202" s="31">
        <f t="shared" ca="1" si="30"/>
        <v>7453.1809937748103</v>
      </c>
      <c r="X202" s="31">
        <f t="shared" ca="1" si="30"/>
        <v>7876.5008341777548</v>
      </c>
      <c r="Y202" s="31">
        <f t="shared" ca="1" si="30"/>
        <v>8323.4207556831607</v>
      </c>
      <c r="Z202" s="31">
        <f t="shared" ca="1" si="30"/>
        <v>8795.2564628124983</v>
      </c>
      <c r="AA202" s="31">
        <f t="shared" ca="1" si="30"/>
        <v>9293.397010614297</v>
      </c>
      <c r="AB202" s="31">
        <f t="shared" ca="1" si="30"/>
        <v>9819.3088939560421</v>
      </c>
      <c r="AC202" s="31">
        <f t="shared" ca="1" si="30"/>
        <v>10374.540364794089</v>
      </c>
    </row>
    <row r="203" spans="1:29" x14ac:dyDescent="0.2">
      <c r="A203" t="s">
        <v>606</v>
      </c>
      <c r="C203" s="16" t="s">
        <v>616</v>
      </c>
      <c r="D203" s="17">
        <f ca="1">D182</f>
        <v>0.58452536424932167</v>
      </c>
      <c r="E203" s="17">
        <f t="shared" ref="E203:AC203" ca="1" si="31">E182</f>
        <v>0.8536410685975937</v>
      </c>
      <c r="F203" s="17">
        <f t="shared" ca="1" si="31"/>
        <v>0.85608668224597839</v>
      </c>
      <c r="G203" s="17">
        <f t="shared" ca="1" si="31"/>
        <v>0.86158061016512866</v>
      </c>
      <c r="H203" s="17">
        <f t="shared" ca="1" si="31"/>
        <v>0.87108888382020988</v>
      </c>
      <c r="I203" s="17">
        <f t="shared" ca="1" si="31"/>
        <v>0.83696674893796763</v>
      </c>
      <c r="J203" s="17">
        <f t="shared" ca="1" si="31"/>
        <v>0.86769376242858842</v>
      </c>
      <c r="K203" s="17">
        <f t="shared" ca="1" si="31"/>
        <v>0.86947027778362518</v>
      </c>
      <c r="L203" s="17">
        <f t="shared" ca="1" si="31"/>
        <v>0.87115298235860716</v>
      </c>
      <c r="M203" s="17">
        <f t="shared" ca="1" si="31"/>
        <v>0.8727468299314054</v>
      </c>
      <c r="N203" s="17">
        <f t="shared" ca="1" si="31"/>
        <v>0.87425651269038995</v>
      </c>
      <c r="O203" s="17">
        <f t="shared" ca="1" si="31"/>
        <v>0.8756864750479415</v>
      </c>
      <c r="P203" s="17">
        <f t="shared" ca="1" si="31"/>
        <v>0.87704092672452338</v>
      </c>
      <c r="Q203" s="17">
        <f t="shared" ca="1" si="31"/>
        <v>0.87832385514183986</v>
      </c>
      <c r="R203" s="17">
        <f t="shared" ca="1" si="31"/>
        <v>0.87953903716155712</v>
      </c>
      <c r="S203" s="17">
        <f t="shared" ca="1" si="31"/>
        <v>0.88069005020414959</v>
      </c>
      <c r="T203" s="17">
        <f t="shared" ca="1" si="31"/>
        <v>0.88178028278060527</v>
      </c>
      <c r="U203" s="17">
        <f t="shared" ca="1" si="31"/>
        <v>0.88281294446798897</v>
      </c>
      <c r="V203" s="17">
        <f t="shared" ca="1" si="31"/>
        <v>0.88379107535824108</v>
      </c>
      <c r="W203" s="17">
        <f t="shared" ca="1" si="31"/>
        <v>0.88471755500801808</v>
      </c>
      <c r="X203" s="17">
        <f t="shared" ca="1" si="31"/>
        <v>0.88559511091592902</v>
      </c>
      <c r="Y203" s="17">
        <f t="shared" ca="1" si="31"/>
        <v>0.8864263265521225</v>
      </c>
      <c r="Z203" s="17">
        <f t="shared" ca="1" si="31"/>
        <v>0.88721364896386101</v>
      </c>
      <c r="AA203" s="17">
        <f t="shared" ca="1" si="31"/>
        <v>0.88795939597947937</v>
      </c>
      <c r="AB203" s="17">
        <f t="shared" ca="1" si="31"/>
        <v>0.88866576303192357</v>
      </c>
      <c r="AC203" s="17">
        <f t="shared" ca="1" si="31"/>
        <v>0.88933482962197286</v>
      </c>
    </row>
    <row r="204" spans="1:29" x14ac:dyDescent="0.2">
      <c r="A204" t="s">
        <v>607</v>
      </c>
      <c r="C204" s="16" t="s">
        <v>617</v>
      </c>
      <c r="D204" s="31">
        <f ca="1">D188</f>
        <v>5117.7184669294056</v>
      </c>
      <c r="E204" s="31">
        <f t="shared" ref="E204:AC204" ca="1" si="32">E188</f>
        <v>7104.5996812954909</v>
      </c>
      <c r="F204" s="31">
        <f t="shared" ca="1" si="32"/>
        <v>5810.2694890602588</v>
      </c>
      <c r="G204" s="31">
        <f t="shared" ca="1" si="32"/>
        <v>4648.3483038259283</v>
      </c>
      <c r="H204" s="31">
        <f t="shared" ca="1" si="32"/>
        <v>3534.4435833632483</v>
      </c>
      <c r="I204" s="31">
        <f t="shared" ca="1" si="32"/>
        <v>3521.3272357803444</v>
      </c>
      <c r="J204" s="31">
        <f t="shared" ca="1" si="32"/>
        <v>3750.8489988740744</v>
      </c>
      <c r="K204" s="31">
        <f t="shared" ca="1" si="32"/>
        <v>3959.9588305613047</v>
      </c>
      <c r="L204" s="31">
        <f t="shared" ca="1" si="32"/>
        <v>4180.7265353650964</v>
      </c>
      <c r="M204" s="31">
        <f t="shared" ca="1" si="32"/>
        <v>4413.8020397117007</v>
      </c>
      <c r="N204" s="31">
        <f t="shared" ca="1" si="32"/>
        <v>4659.8715034256275</v>
      </c>
      <c r="O204" s="31">
        <f t="shared" ca="1" si="32"/>
        <v>4919.6593397416063</v>
      </c>
      <c r="P204" s="31">
        <f t="shared" ca="1" si="32"/>
        <v>5193.9303479321989</v>
      </c>
      <c r="Q204" s="31">
        <f t="shared" ca="1" si="32"/>
        <v>5483.4919648294181</v>
      </c>
      <c r="R204" s="31">
        <f t="shared" ca="1" si="32"/>
        <v>5789.1966418686588</v>
      </c>
      <c r="S204" s="31">
        <f t="shared" ca="1" si="32"/>
        <v>6111.9443546528382</v>
      </c>
      <c r="T204" s="31">
        <f t="shared" ca="1" si="32"/>
        <v>6452.6852524247333</v>
      </c>
      <c r="U204" s="31">
        <f t="shared" ca="1" si="32"/>
        <v>6812.4224552474116</v>
      </c>
      <c r="V204" s="31">
        <f t="shared" ca="1" si="32"/>
        <v>7192.2150071274546</v>
      </c>
      <c r="W204" s="31">
        <f t="shared" ca="1" si="32"/>
        <v>7593.1809937748103</v>
      </c>
      <c r="X204" s="31">
        <f t="shared" ca="1" si="32"/>
        <v>8016.5008341777548</v>
      </c>
      <c r="Y204" s="31">
        <f t="shared" ca="1" si="32"/>
        <v>8463.4207556831607</v>
      </c>
      <c r="Z204" s="31">
        <f t="shared" ca="1" si="32"/>
        <v>8935.2564628124983</v>
      </c>
      <c r="AA204" s="31">
        <f t="shared" ca="1" si="32"/>
        <v>9433.397010614297</v>
      </c>
      <c r="AB204" s="31">
        <f t="shared" ca="1" si="32"/>
        <v>9959.3088939560421</v>
      </c>
      <c r="AC204" s="31">
        <f t="shared" ca="1" si="32"/>
        <v>10514.540364794089</v>
      </c>
    </row>
    <row r="205" spans="1:29" x14ac:dyDescent="0.2">
      <c r="A205" t="s">
        <v>608</v>
      </c>
      <c r="C205" t="s">
        <v>614</v>
      </c>
      <c r="D205" s="31">
        <f ca="1">D98</f>
        <v>1184.4137500000002</v>
      </c>
      <c r="E205" s="31">
        <f t="shared" ref="E205:AC205" ca="1" si="33">E98</f>
        <v>0</v>
      </c>
      <c r="F205" s="31">
        <f t="shared" ca="1" si="33"/>
        <v>0</v>
      </c>
      <c r="G205" s="31">
        <f t="shared" ca="1" si="33"/>
        <v>0</v>
      </c>
      <c r="H205" s="31">
        <f t="shared" ca="1" si="33"/>
        <v>0</v>
      </c>
      <c r="I205" s="31">
        <f t="shared" ca="1" si="33"/>
        <v>0</v>
      </c>
      <c r="J205" s="31">
        <f t="shared" ca="1" si="33"/>
        <v>0</v>
      </c>
      <c r="K205" s="31">
        <f t="shared" ca="1" si="33"/>
        <v>0</v>
      </c>
      <c r="L205" s="31">
        <f t="shared" ca="1" si="33"/>
        <v>0</v>
      </c>
      <c r="M205" s="31">
        <f t="shared" ca="1" si="33"/>
        <v>0</v>
      </c>
      <c r="N205" s="31">
        <f t="shared" ca="1" si="33"/>
        <v>0</v>
      </c>
      <c r="O205" s="31">
        <f t="shared" ca="1" si="33"/>
        <v>0</v>
      </c>
      <c r="P205" s="31">
        <f t="shared" ca="1" si="33"/>
        <v>0</v>
      </c>
      <c r="Q205" s="31">
        <f t="shared" ca="1" si="33"/>
        <v>0</v>
      </c>
      <c r="R205" s="31">
        <f t="shared" ca="1" si="33"/>
        <v>0</v>
      </c>
      <c r="S205" s="31">
        <f t="shared" ca="1" si="33"/>
        <v>0</v>
      </c>
      <c r="T205" s="31">
        <f t="shared" ca="1" si="33"/>
        <v>0</v>
      </c>
      <c r="U205" s="31">
        <f t="shared" ca="1" si="33"/>
        <v>0</v>
      </c>
      <c r="V205" s="31">
        <f t="shared" ca="1" si="33"/>
        <v>0</v>
      </c>
      <c r="W205" s="31">
        <f t="shared" ca="1" si="33"/>
        <v>0</v>
      </c>
      <c r="X205" s="31">
        <f t="shared" ca="1" si="33"/>
        <v>0</v>
      </c>
      <c r="Y205" s="31">
        <f t="shared" ca="1" si="33"/>
        <v>0</v>
      </c>
      <c r="Z205" s="31">
        <f t="shared" ca="1" si="33"/>
        <v>0</v>
      </c>
      <c r="AA205" s="31">
        <f t="shared" ca="1" si="33"/>
        <v>0</v>
      </c>
      <c r="AB205" s="31">
        <f t="shared" ca="1" si="33"/>
        <v>0</v>
      </c>
      <c r="AC205" s="31">
        <f t="shared" ca="1" si="33"/>
        <v>0</v>
      </c>
    </row>
    <row r="206" spans="1:29" x14ac:dyDescent="0.2">
      <c r="A206" t="s">
        <v>609</v>
      </c>
      <c r="C206" s="16" t="s">
        <v>618</v>
      </c>
      <c r="D206" s="31">
        <f ca="1">D99</f>
        <v>1471.6836000000001</v>
      </c>
      <c r="E206" s="31">
        <f t="shared" ref="E206:AC206" ca="1" si="34">E99</f>
        <v>0</v>
      </c>
      <c r="F206" s="31">
        <f t="shared" ca="1" si="34"/>
        <v>0</v>
      </c>
      <c r="G206" s="31">
        <f t="shared" ca="1" si="34"/>
        <v>0</v>
      </c>
      <c r="H206" s="31">
        <f t="shared" ca="1" si="34"/>
        <v>0</v>
      </c>
      <c r="I206" s="31">
        <f t="shared" ca="1" si="34"/>
        <v>0</v>
      </c>
      <c r="J206" s="31">
        <f t="shared" ca="1" si="34"/>
        <v>0</v>
      </c>
      <c r="K206" s="31">
        <f t="shared" ca="1" si="34"/>
        <v>0</v>
      </c>
      <c r="L206" s="31">
        <f t="shared" ca="1" si="34"/>
        <v>0</v>
      </c>
      <c r="M206" s="31">
        <f t="shared" ca="1" si="34"/>
        <v>0</v>
      </c>
      <c r="N206" s="31">
        <f t="shared" ca="1" si="34"/>
        <v>0</v>
      </c>
      <c r="O206" s="31">
        <f t="shared" ca="1" si="34"/>
        <v>0</v>
      </c>
      <c r="P206" s="31">
        <f t="shared" ca="1" si="34"/>
        <v>0</v>
      </c>
      <c r="Q206" s="31">
        <f t="shared" ca="1" si="34"/>
        <v>0</v>
      </c>
      <c r="R206" s="31">
        <f t="shared" ca="1" si="34"/>
        <v>0</v>
      </c>
      <c r="S206" s="31">
        <f t="shared" ca="1" si="34"/>
        <v>0</v>
      </c>
      <c r="T206" s="31">
        <f t="shared" ca="1" si="34"/>
        <v>0</v>
      </c>
      <c r="U206" s="31">
        <f t="shared" ca="1" si="34"/>
        <v>0</v>
      </c>
      <c r="V206" s="31">
        <f t="shared" ca="1" si="34"/>
        <v>0</v>
      </c>
      <c r="W206" s="31">
        <f t="shared" ca="1" si="34"/>
        <v>0</v>
      </c>
      <c r="X206" s="31">
        <f t="shared" ca="1" si="34"/>
        <v>0</v>
      </c>
      <c r="Y206" s="31">
        <f t="shared" ca="1" si="34"/>
        <v>0</v>
      </c>
      <c r="Z206" s="31">
        <f t="shared" ca="1" si="34"/>
        <v>0</v>
      </c>
      <c r="AA206" s="31">
        <f t="shared" ca="1" si="34"/>
        <v>0</v>
      </c>
      <c r="AB206" s="31">
        <f t="shared" ca="1" si="34"/>
        <v>0</v>
      </c>
      <c r="AC206" s="31">
        <f t="shared" ca="1" si="34"/>
        <v>0</v>
      </c>
    </row>
    <row r="207" spans="1:29" x14ac:dyDescent="0.2">
      <c r="A207" t="s">
        <v>610</v>
      </c>
      <c r="C207" t="s">
        <v>619</v>
      </c>
      <c r="D207" s="17" cm="1">
        <f t="array" aca="1" ref="D207" ca="1">IFERROR(INDEX('Starlink Capacity'!$D:$AC,MATCH("Total active BB Gbps",'Starlink Capacity'!$A:$A,0),D$5+1)/(INDEX('Starlink Capacity'!$D:$AC,MATCH("Total active BB Gbps",'Starlink Capacity'!$A:$A,0),D$5+1)+INDEX('Starlink Capacity'!$D:$AC,MATCH("Total active DTC Gbps",'Starlink Capacity'!$A:$A,0),D$5+1)),0.5)*IFERROR((D60*D213+D62*D223)/(D60+D62),0)+IFERROR(INDEX('Starlink Capacity'!$D:$AC,MATCH("Total active DTC Gbps",'Starlink Capacity'!$A:$A,0),D$5+1)/(INDEX('Starlink Capacity'!$D:$AC,MATCH("Total active BB Gbps",'Starlink Capacity'!$A:$A,0),D$5+1)+INDEX('Starlink Capacity'!$D:$AC,MATCH("Total active DTC Gbps",'Starlink Capacity'!$A:$A,0),D$5+1)),0.5)*IFERROR((D61*D218+D63*D228)/(D61+D63),0)</f>
        <v>0.5272889363326887</v>
      </c>
      <c r="E207" s="17" cm="1">
        <f t="array" aca="1" ref="E207" ca="1">IFERROR(INDEX('Starlink Capacity'!$D:$AC,MATCH("Total active BB Gbps",'Starlink Capacity'!$A:$A,0),E$5+1)/(INDEX('Starlink Capacity'!$D:$AC,MATCH("Total active BB Gbps",'Starlink Capacity'!$A:$A,0),E$5+1)+INDEX('Starlink Capacity'!$D:$AC,MATCH("Total active DTC Gbps",'Starlink Capacity'!$A:$A,0),E$5+1)),0.5)*IFERROR((E60*E213+E62*E223)/(E60+E62),0)+IFERROR(INDEX('Starlink Capacity'!$D:$AC,MATCH("Total active DTC Gbps",'Starlink Capacity'!$A:$A,0),E$5+1)/(INDEX('Starlink Capacity'!$D:$AC,MATCH("Total active BB Gbps",'Starlink Capacity'!$A:$A,0),E$5+1)+INDEX('Starlink Capacity'!$D:$AC,MATCH("Total active DTC Gbps",'Starlink Capacity'!$A:$A,0),E$5+1)),0.5)*IFERROR((E61*E218+E63*E228)/(E61+E63),0)</f>
        <v>0.82797823803489157</v>
      </c>
      <c r="F207" s="17" cm="1">
        <f t="array" aca="1" ref="F207" ca="1">IFERROR(INDEX('Starlink Capacity'!$D:$AC,MATCH("Total active BB Gbps",'Starlink Capacity'!$A:$A,0),F$5+1)/(INDEX('Starlink Capacity'!$D:$AC,MATCH("Total active BB Gbps",'Starlink Capacity'!$A:$A,0),F$5+1)+INDEX('Starlink Capacity'!$D:$AC,MATCH("Total active DTC Gbps",'Starlink Capacity'!$A:$A,0),F$5+1)),0.5)*IFERROR((F60*F213+F62*F223)/(F60+F62),0)+IFERROR(INDEX('Starlink Capacity'!$D:$AC,MATCH("Total active DTC Gbps",'Starlink Capacity'!$A:$A,0),F$5+1)/(INDEX('Starlink Capacity'!$D:$AC,MATCH("Total active BB Gbps",'Starlink Capacity'!$A:$A,0),F$5+1)+INDEX('Starlink Capacity'!$D:$AC,MATCH("Total active DTC Gbps",'Starlink Capacity'!$A:$A,0),F$5+1)),0.5)*IFERROR((F61*F218+F63*F228)/(F61+F63),0)</f>
        <v>1.2045595098288129</v>
      </c>
      <c r="G207" s="17" cm="1">
        <f t="array" aca="1" ref="G207" ca="1">IFERROR(INDEX('Starlink Capacity'!$D:$AC,MATCH("Total active BB Gbps",'Starlink Capacity'!$A:$A,0),G$5+1)/(INDEX('Starlink Capacity'!$D:$AC,MATCH("Total active BB Gbps",'Starlink Capacity'!$A:$A,0),G$5+1)+INDEX('Starlink Capacity'!$D:$AC,MATCH("Total active DTC Gbps",'Starlink Capacity'!$A:$A,0),G$5+1)),0.5)*IFERROR((G60*G213+G62*G223)/(G60+G62),0)+IFERROR(INDEX('Starlink Capacity'!$D:$AC,MATCH("Total active DTC Gbps",'Starlink Capacity'!$A:$A,0),G$5+1)/(INDEX('Starlink Capacity'!$D:$AC,MATCH("Total active BB Gbps",'Starlink Capacity'!$A:$A,0),G$5+1)+INDEX('Starlink Capacity'!$D:$AC,MATCH("Total active DTC Gbps",'Starlink Capacity'!$A:$A,0),G$5+1)),0.5)*IFERROR((G61*G218+G63*G228)/(G61+G63),0)</f>
        <v>1.6124672684815116</v>
      </c>
      <c r="H207" s="17" cm="1">
        <f t="array" aca="1" ref="H207" ca="1">IFERROR(INDEX('Starlink Capacity'!$D:$AC,MATCH("Total active BB Gbps",'Starlink Capacity'!$A:$A,0),H$5+1)/(INDEX('Starlink Capacity'!$D:$AC,MATCH("Total active BB Gbps",'Starlink Capacity'!$A:$A,0),H$5+1)+INDEX('Starlink Capacity'!$D:$AC,MATCH("Total active DTC Gbps",'Starlink Capacity'!$A:$A,0),H$5+1)),0.5)*IFERROR((H60*H213+H62*H223)/(H60+H62),0)+IFERROR(INDEX('Starlink Capacity'!$D:$AC,MATCH("Total active DTC Gbps",'Starlink Capacity'!$A:$A,0),H$5+1)/(INDEX('Starlink Capacity'!$D:$AC,MATCH("Total active BB Gbps",'Starlink Capacity'!$A:$A,0),H$5+1)+INDEX('Starlink Capacity'!$D:$AC,MATCH("Total active DTC Gbps",'Starlink Capacity'!$A:$A,0),H$5+1)),0.5)*IFERROR((H61*H218+H63*H228)/(H61+H63),0)</f>
        <v>2.0938926818565955</v>
      </c>
      <c r="I207" s="17" cm="1">
        <f t="array" aca="1" ref="I207" ca="1">IFERROR(INDEX('Starlink Capacity'!$D:$AC,MATCH("Total active BB Gbps",'Starlink Capacity'!$A:$A,0),I$5+1)/(INDEX('Starlink Capacity'!$D:$AC,MATCH("Total active BB Gbps",'Starlink Capacity'!$A:$A,0),I$5+1)+INDEX('Starlink Capacity'!$D:$AC,MATCH("Total active DTC Gbps",'Starlink Capacity'!$A:$A,0),I$5+1)),0.5)*IFERROR((I60*I213+I62*I223)/(I60+I62),0)+IFERROR(INDEX('Starlink Capacity'!$D:$AC,MATCH("Total active DTC Gbps",'Starlink Capacity'!$A:$A,0),I$5+1)/(INDEX('Starlink Capacity'!$D:$AC,MATCH("Total active BB Gbps",'Starlink Capacity'!$A:$A,0),I$5+1)+INDEX('Starlink Capacity'!$D:$AC,MATCH("Total active DTC Gbps",'Starlink Capacity'!$A:$A,0),I$5+1)),0.5)*IFERROR((I61*I218+I63*I228)/(I61+I63),0)</f>
        <v>0</v>
      </c>
      <c r="J207" s="17" cm="1">
        <f t="array" aca="1" ref="J207" ca="1">IFERROR(INDEX('Starlink Capacity'!$D:$AC,MATCH("Total active BB Gbps",'Starlink Capacity'!$A:$A,0),J$5+1)/(INDEX('Starlink Capacity'!$D:$AC,MATCH("Total active BB Gbps",'Starlink Capacity'!$A:$A,0),J$5+1)+INDEX('Starlink Capacity'!$D:$AC,MATCH("Total active DTC Gbps",'Starlink Capacity'!$A:$A,0),J$5+1)),0.5)*IFERROR((J60*J213+J62*J223)/(J60+J62),0)+IFERROR(INDEX('Starlink Capacity'!$D:$AC,MATCH("Total active DTC Gbps",'Starlink Capacity'!$A:$A,0),J$5+1)/(INDEX('Starlink Capacity'!$D:$AC,MATCH("Total active BB Gbps",'Starlink Capacity'!$A:$A,0),J$5+1)+INDEX('Starlink Capacity'!$D:$AC,MATCH("Total active DTC Gbps",'Starlink Capacity'!$A:$A,0),J$5+1)),0.5)*IFERROR((J61*J218+J63*J228)/(J61+J63),0)</f>
        <v>0</v>
      </c>
      <c r="K207" s="17" cm="1">
        <f t="array" aca="1" ref="K207" ca="1">IFERROR(INDEX('Starlink Capacity'!$D:$AC,MATCH("Total active BB Gbps",'Starlink Capacity'!$A:$A,0),K$5+1)/(INDEX('Starlink Capacity'!$D:$AC,MATCH("Total active BB Gbps",'Starlink Capacity'!$A:$A,0),K$5+1)+INDEX('Starlink Capacity'!$D:$AC,MATCH("Total active DTC Gbps",'Starlink Capacity'!$A:$A,0),K$5+1)),0.5)*IFERROR((K60*K213+K62*K223)/(K60+K62),0)+IFERROR(INDEX('Starlink Capacity'!$D:$AC,MATCH("Total active DTC Gbps",'Starlink Capacity'!$A:$A,0),K$5+1)/(INDEX('Starlink Capacity'!$D:$AC,MATCH("Total active BB Gbps",'Starlink Capacity'!$A:$A,0),K$5+1)+INDEX('Starlink Capacity'!$D:$AC,MATCH("Total active DTC Gbps",'Starlink Capacity'!$A:$A,0),K$5+1)),0.5)*IFERROR((K61*K218+K63*K228)/(K61+K63),0)</f>
        <v>0</v>
      </c>
      <c r="L207" s="17" cm="1">
        <f t="array" aca="1" ref="L207" ca="1">IFERROR(INDEX('Starlink Capacity'!$D:$AC,MATCH("Total active BB Gbps",'Starlink Capacity'!$A:$A,0),L$5+1)/(INDEX('Starlink Capacity'!$D:$AC,MATCH("Total active BB Gbps",'Starlink Capacity'!$A:$A,0),L$5+1)+INDEX('Starlink Capacity'!$D:$AC,MATCH("Total active DTC Gbps",'Starlink Capacity'!$A:$A,0),L$5+1)),0.5)*IFERROR((L60*L213+L62*L223)/(L60+L62),0)+IFERROR(INDEX('Starlink Capacity'!$D:$AC,MATCH("Total active DTC Gbps",'Starlink Capacity'!$A:$A,0),L$5+1)/(INDEX('Starlink Capacity'!$D:$AC,MATCH("Total active BB Gbps",'Starlink Capacity'!$A:$A,0),L$5+1)+INDEX('Starlink Capacity'!$D:$AC,MATCH("Total active DTC Gbps",'Starlink Capacity'!$A:$A,0),L$5+1)),0.5)*IFERROR((L61*L218+L63*L228)/(L61+L63),0)</f>
        <v>0</v>
      </c>
      <c r="M207" s="17" cm="1">
        <f t="array" aca="1" ref="M207" ca="1">IFERROR(INDEX('Starlink Capacity'!$D:$AC,MATCH("Total active BB Gbps",'Starlink Capacity'!$A:$A,0),M$5+1)/(INDEX('Starlink Capacity'!$D:$AC,MATCH("Total active BB Gbps",'Starlink Capacity'!$A:$A,0),M$5+1)+INDEX('Starlink Capacity'!$D:$AC,MATCH("Total active DTC Gbps",'Starlink Capacity'!$A:$A,0),M$5+1)),0.5)*IFERROR((M60*M213+M62*M223)/(M60+M62),0)+IFERROR(INDEX('Starlink Capacity'!$D:$AC,MATCH("Total active DTC Gbps",'Starlink Capacity'!$A:$A,0),M$5+1)/(INDEX('Starlink Capacity'!$D:$AC,MATCH("Total active BB Gbps",'Starlink Capacity'!$A:$A,0),M$5+1)+INDEX('Starlink Capacity'!$D:$AC,MATCH("Total active DTC Gbps",'Starlink Capacity'!$A:$A,0),M$5+1)),0.5)*IFERROR((M61*M218+M63*M228)/(M61+M63),0)</f>
        <v>0</v>
      </c>
      <c r="N207" s="17" cm="1">
        <f t="array" aca="1" ref="N207" ca="1">IFERROR(INDEX('Starlink Capacity'!$D:$AC,MATCH("Total active BB Gbps",'Starlink Capacity'!$A:$A,0),N$5+1)/(INDEX('Starlink Capacity'!$D:$AC,MATCH("Total active BB Gbps",'Starlink Capacity'!$A:$A,0),N$5+1)+INDEX('Starlink Capacity'!$D:$AC,MATCH("Total active DTC Gbps",'Starlink Capacity'!$A:$A,0),N$5+1)),0.5)*IFERROR((N60*N213+N62*N223)/(N60+N62),0)+IFERROR(INDEX('Starlink Capacity'!$D:$AC,MATCH("Total active DTC Gbps",'Starlink Capacity'!$A:$A,0),N$5+1)/(INDEX('Starlink Capacity'!$D:$AC,MATCH("Total active BB Gbps",'Starlink Capacity'!$A:$A,0),N$5+1)+INDEX('Starlink Capacity'!$D:$AC,MATCH("Total active DTC Gbps",'Starlink Capacity'!$A:$A,0),N$5+1)),0.5)*IFERROR((N61*N218+N63*N228)/(N61+N63),0)</f>
        <v>0</v>
      </c>
      <c r="O207" s="17" cm="1">
        <f t="array" aca="1" ref="O207" ca="1">IFERROR(INDEX('Starlink Capacity'!$D:$AC,MATCH("Total active BB Gbps",'Starlink Capacity'!$A:$A,0),O$5+1)/(INDEX('Starlink Capacity'!$D:$AC,MATCH("Total active BB Gbps",'Starlink Capacity'!$A:$A,0),O$5+1)+INDEX('Starlink Capacity'!$D:$AC,MATCH("Total active DTC Gbps",'Starlink Capacity'!$A:$A,0),O$5+1)),0.5)*IFERROR((O60*O213+O62*O223)/(O60+O62),0)+IFERROR(INDEX('Starlink Capacity'!$D:$AC,MATCH("Total active DTC Gbps",'Starlink Capacity'!$A:$A,0),O$5+1)/(INDEX('Starlink Capacity'!$D:$AC,MATCH("Total active BB Gbps",'Starlink Capacity'!$A:$A,0),O$5+1)+INDEX('Starlink Capacity'!$D:$AC,MATCH("Total active DTC Gbps",'Starlink Capacity'!$A:$A,0),O$5+1)),0.5)*IFERROR((O61*O218+O63*O228)/(O61+O63),0)</f>
        <v>0</v>
      </c>
      <c r="P207" s="17" cm="1">
        <f t="array" aca="1" ref="P207" ca="1">IFERROR(INDEX('Starlink Capacity'!$D:$AC,MATCH("Total active BB Gbps",'Starlink Capacity'!$A:$A,0),P$5+1)/(INDEX('Starlink Capacity'!$D:$AC,MATCH("Total active BB Gbps",'Starlink Capacity'!$A:$A,0),P$5+1)+INDEX('Starlink Capacity'!$D:$AC,MATCH("Total active DTC Gbps",'Starlink Capacity'!$A:$A,0),P$5+1)),0.5)*IFERROR((P60*P213+P62*P223)/(P60+P62),0)+IFERROR(INDEX('Starlink Capacity'!$D:$AC,MATCH("Total active DTC Gbps",'Starlink Capacity'!$A:$A,0),P$5+1)/(INDEX('Starlink Capacity'!$D:$AC,MATCH("Total active BB Gbps",'Starlink Capacity'!$A:$A,0),P$5+1)+INDEX('Starlink Capacity'!$D:$AC,MATCH("Total active DTC Gbps",'Starlink Capacity'!$A:$A,0),P$5+1)),0.5)*IFERROR((P61*P218+P63*P228)/(P61+P63),0)</f>
        <v>0</v>
      </c>
      <c r="Q207" s="17" cm="1">
        <f t="array" aca="1" ref="Q207" ca="1">IFERROR(INDEX('Starlink Capacity'!$D:$AC,MATCH("Total active BB Gbps",'Starlink Capacity'!$A:$A,0),Q$5+1)/(INDEX('Starlink Capacity'!$D:$AC,MATCH("Total active BB Gbps",'Starlink Capacity'!$A:$A,0),Q$5+1)+INDEX('Starlink Capacity'!$D:$AC,MATCH("Total active DTC Gbps",'Starlink Capacity'!$A:$A,0),Q$5+1)),0.5)*IFERROR((Q60*Q213+Q62*Q223)/(Q60+Q62),0)+IFERROR(INDEX('Starlink Capacity'!$D:$AC,MATCH("Total active DTC Gbps",'Starlink Capacity'!$A:$A,0),Q$5+1)/(INDEX('Starlink Capacity'!$D:$AC,MATCH("Total active BB Gbps",'Starlink Capacity'!$A:$A,0),Q$5+1)+INDEX('Starlink Capacity'!$D:$AC,MATCH("Total active DTC Gbps",'Starlink Capacity'!$A:$A,0),Q$5+1)),0.5)*IFERROR((Q61*Q218+Q63*Q228)/(Q61+Q63),0)</f>
        <v>0</v>
      </c>
      <c r="R207" s="17" cm="1">
        <f t="array" aca="1" ref="R207" ca="1">IFERROR(INDEX('Starlink Capacity'!$D:$AC,MATCH("Total active BB Gbps",'Starlink Capacity'!$A:$A,0),R$5+1)/(INDEX('Starlink Capacity'!$D:$AC,MATCH("Total active BB Gbps",'Starlink Capacity'!$A:$A,0),R$5+1)+INDEX('Starlink Capacity'!$D:$AC,MATCH("Total active DTC Gbps",'Starlink Capacity'!$A:$A,0),R$5+1)),0.5)*IFERROR((R60*R213+R62*R223)/(R60+R62),0)+IFERROR(INDEX('Starlink Capacity'!$D:$AC,MATCH("Total active DTC Gbps",'Starlink Capacity'!$A:$A,0),R$5+1)/(INDEX('Starlink Capacity'!$D:$AC,MATCH("Total active BB Gbps",'Starlink Capacity'!$A:$A,0),R$5+1)+INDEX('Starlink Capacity'!$D:$AC,MATCH("Total active DTC Gbps",'Starlink Capacity'!$A:$A,0),R$5+1)),0.5)*IFERROR((R61*R218+R63*R228)/(R61+R63),0)</f>
        <v>0</v>
      </c>
      <c r="S207" s="17" cm="1">
        <f t="array" aca="1" ref="S207" ca="1">IFERROR(INDEX('Starlink Capacity'!$D:$AC,MATCH("Total active BB Gbps",'Starlink Capacity'!$A:$A,0),S$5+1)/(INDEX('Starlink Capacity'!$D:$AC,MATCH("Total active BB Gbps",'Starlink Capacity'!$A:$A,0),S$5+1)+INDEX('Starlink Capacity'!$D:$AC,MATCH("Total active DTC Gbps",'Starlink Capacity'!$A:$A,0),S$5+1)),0.5)*IFERROR((S60*S213+S62*S223)/(S60+S62),0)+IFERROR(INDEX('Starlink Capacity'!$D:$AC,MATCH("Total active DTC Gbps",'Starlink Capacity'!$A:$A,0),S$5+1)/(INDEX('Starlink Capacity'!$D:$AC,MATCH("Total active BB Gbps",'Starlink Capacity'!$A:$A,0),S$5+1)+INDEX('Starlink Capacity'!$D:$AC,MATCH("Total active DTC Gbps",'Starlink Capacity'!$A:$A,0),S$5+1)),0.5)*IFERROR((S61*S218+S63*S228)/(S61+S63),0)</f>
        <v>0</v>
      </c>
      <c r="T207" s="17" cm="1">
        <f t="array" aca="1" ref="T207" ca="1">IFERROR(INDEX('Starlink Capacity'!$D:$AC,MATCH("Total active BB Gbps",'Starlink Capacity'!$A:$A,0),T$5+1)/(INDEX('Starlink Capacity'!$D:$AC,MATCH("Total active BB Gbps",'Starlink Capacity'!$A:$A,0),T$5+1)+INDEX('Starlink Capacity'!$D:$AC,MATCH("Total active DTC Gbps",'Starlink Capacity'!$A:$A,0),T$5+1)),0.5)*IFERROR((T60*T213+T62*T223)/(T60+T62),0)+IFERROR(INDEX('Starlink Capacity'!$D:$AC,MATCH("Total active DTC Gbps",'Starlink Capacity'!$A:$A,0),T$5+1)/(INDEX('Starlink Capacity'!$D:$AC,MATCH("Total active BB Gbps",'Starlink Capacity'!$A:$A,0),T$5+1)+INDEX('Starlink Capacity'!$D:$AC,MATCH("Total active DTC Gbps",'Starlink Capacity'!$A:$A,0),T$5+1)),0.5)*IFERROR((T61*T218+T63*T228)/(T61+T63),0)</f>
        <v>0</v>
      </c>
      <c r="U207" s="17" cm="1">
        <f t="array" aca="1" ref="U207" ca="1">IFERROR(INDEX('Starlink Capacity'!$D:$AC,MATCH("Total active BB Gbps",'Starlink Capacity'!$A:$A,0),U$5+1)/(INDEX('Starlink Capacity'!$D:$AC,MATCH("Total active BB Gbps",'Starlink Capacity'!$A:$A,0),U$5+1)+INDEX('Starlink Capacity'!$D:$AC,MATCH("Total active DTC Gbps",'Starlink Capacity'!$A:$A,0),U$5+1)),0.5)*IFERROR((U60*U213+U62*U223)/(U60+U62),0)+IFERROR(INDEX('Starlink Capacity'!$D:$AC,MATCH("Total active DTC Gbps",'Starlink Capacity'!$A:$A,0),U$5+1)/(INDEX('Starlink Capacity'!$D:$AC,MATCH("Total active BB Gbps",'Starlink Capacity'!$A:$A,0),U$5+1)+INDEX('Starlink Capacity'!$D:$AC,MATCH("Total active DTC Gbps",'Starlink Capacity'!$A:$A,0),U$5+1)),0.5)*IFERROR((U61*U218+U63*U228)/(U61+U63),0)</f>
        <v>0</v>
      </c>
      <c r="V207" s="17" cm="1">
        <f t="array" aca="1" ref="V207" ca="1">IFERROR(INDEX('Starlink Capacity'!$D:$AC,MATCH("Total active BB Gbps",'Starlink Capacity'!$A:$A,0),V$5+1)/(INDEX('Starlink Capacity'!$D:$AC,MATCH("Total active BB Gbps",'Starlink Capacity'!$A:$A,0),V$5+1)+INDEX('Starlink Capacity'!$D:$AC,MATCH("Total active DTC Gbps",'Starlink Capacity'!$A:$A,0),V$5+1)),0.5)*IFERROR((V60*V213+V62*V223)/(V60+V62),0)+IFERROR(INDEX('Starlink Capacity'!$D:$AC,MATCH("Total active DTC Gbps",'Starlink Capacity'!$A:$A,0),V$5+1)/(INDEX('Starlink Capacity'!$D:$AC,MATCH("Total active BB Gbps",'Starlink Capacity'!$A:$A,0),V$5+1)+INDEX('Starlink Capacity'!$D:$AC,MATCH("Total active DTC Gbps",'Starlink Capacity'!$A:$A,0),V$5+1)),0.5)*IFERROR((V61*V218+V63*V228)/(V61+V63),0)</f>
        <v>0</v>
      </c>
      <c r="W207" s="17" cm="1">
        <f t="array" aca="1" ref="W207" ca="1">IFERROR(INDEX('Starlink Capacity'!$D:$AC,MATCH("Total active BB Gbps",'Starlink Capacity'!$A:$A,0),W$5+1)/(INDEX('Starlink Capacity'!$D:$AC,MATCH("Total active BB Gbps",'Starlink Capacity'!$A:$A,0),W$5+1)+INDEX('Starlink Capacity'!$D:$AC,MATCH("Total active DTC Gbps",'Starlink Capacity'!$A:$A,0),W$5+1)),0.5)*IFERROR((W60*W213+W62*W223)/(W60+W62),0)+IFERROR(INDEX('Starlink Capacity'!$D:$AC,MATCH("Total active DTC Gbps",'Starlink Capacity'!$A:$A,0),W$5+1)/(INDEX('Starlink Capacity'!$D:$AC,MATCH("Total active BB Gbps",'Starlink Capacity'!$A:$A,0),W$5+1)+INDEX('Starlink Capacity'!$D:$AC,MATCH("Total active DTC Gbps",'Starlink Capacity'!$A:$A,0),W$5+1)),0.5)*IFERROR((W61*W218+W63*W228)/(W61+W63),0)</f>
        <v>0</v>
      </c>
      <c r="X207" s="17" cm="1">
        <f t="array" aca="1" ref="X207" ca="1">IFERROR(INDEX('Starlink Capacity'!$D:$AC,MATCH("Total active BB Gbps",'Starlink Capacity'!$A:$A,0),X$5+1)/(INDEX('Starlink Capacity'!$D:$AC,MATCH("Total active BB Gbps",'Starlink Capacity'!$A:$A,0),X$5+1)+INDEX('Starlink Capacity'!$D:$AC,MATCH("Total active DTC Gbps",'Starlink Capacity'!$A:$A,0),X$5+1)),0.5)*IFERROR((X60*X213+X62*X223)/(X60+X62),0)+IFERROR(INDEX('Starlink Capacity'!$D:$AC,MATCH("Total active DTC Gbps",'Starlink Capacity'!$A:$A,0),X$5+1)/(INDEX('Starlink Capacity'!$D:$AC,MATCH("Total active BB Gbps",'Starlink Capacity'!$A:$A,0),X$5+1)+INDEX('Starlink Capacity'!$D:$AC,MATCH("Total active DTC Gbps",'Starlink Capacity'!$A:$A,0),X$5+1)),0.5)*IFERROR((X61*X218+X63*X228)/(X61+X63),0)</f>
        <v>0</v>
      </c>
      <c r="Y207" s="17" cm="1">
        <f t="array" aca="1" ref="Y207" ca="1">IFERROR(INDEX('Starlink Capacity'!$D:$AC,MATCH("Total active BB Gbps",'Starlink Capacity'!$A:$A,0),Y$5+1)/(INDEX('Starlink Capacity'!$D:$AC,MATCH("Total active BB Gbps",'Starlink Capacity'!$A:$A,0),Y$5+1)+INDEX('Starlink Capacity'!$D:$AC,MATCH("Total active DTC Gbps",'Starlink Capacity'!$A:$A,0),Y$5+1)),0.5)*IFERROR((Y60*Y213+Y62*Y223)/(Y60+Y62),0)+IFERROR(INDEX('Starlink Capacity'!$D:$AC,MATCH("Total active DTC Gbps",'Starlink Capacity'!$A:$A,0),Y$5+1)/(INDEX('Starlink Capacity'!$D:$AC,MATCH("Total active BB Gbps",'Starlink Capacity'!$A:$A,0),Y$5+1)+INDEX('Starlink Capacity'!$D:$AC,MATCH("Total active DTC Gbps",'Starlink Capacity'!$A:$A,0),Y$5+1)),0.5)*IFERROR((Y61*Y218+Y63*Y228)/(Y61+Y63),0)</f>
        <v>0</v>
      </c>
      <c r="Z207" s="17" cm="1">
        <f t="array" aca="1" ref="Z207" ca="1">IFERROR(INDEX('Starlink Capacity'!$D:$AC,MATCH("Total active BB Gbps",'Starlink Capacity'!$A:$A,0),Z$5+1)/(INDEX('Starlink Capacity'!$D:$AC,MATCH("Total active BB Gbps",'Starlink Capacity'!$A:$A,0),Z$5+1)+INDEX('Starlink Capacity'!$D:$AC,MATCH("Total active DTC Gbps",'Starlink Capacity'!$A:$A,0),Z$5+1)),0.5)*IFERROR((Z60*Z213+Z62*Z223)/(Z60+Z62),0)+IFERROR(INDEX('Starlink Capacity'!$D:$AC,MATCH("Total active DTC Gbps",'Starlink Capacity'!$A:$A,0),Z$5+1)/(INDEX('Starlink Capacity'!$D:$AC,MATCH("Total active BB Gbps",'Starlink Capacity'!$A:$A,0),Z$5+1)+INDEX('Starlink Capacity'!$D:$AC,MATCH("Total active DTC Gbps",'Starlink Capacity'!$A:$A,0),Z$5+1)),0.5)*IFERROR((Z61*Z218+Z63*Z228)/(Z61+Z63),0)</f>
        <v>0</v>
      </c>
      <c r="AA207" s="17" cm="1">
        <f t="array" aca="1" ref="AA207" ca="1">IFERROR(INDEX('Starlink Capacity'!$D:$AC,MATCH("Total active BB Gbps",'Starlink Capacity'!$A:$A,0),AA$5+1)/(INDEX('Starlink Capacity'!$D:$AC,MATCH("Total active BB Gbps",'Starlink Capacity'!$A:$A,0),AA$5+1)+INDEX('Starlink Capacity'!$D:$AC,MATCH("Total active DTC Gbps",'Starlink Capacity'!$A:$A,0),AA$5+1)),0.5)*IFERROR((AA60*AA213+AA62*AA223)/(AA60+AA62),0)+IFERROR(INDEX('Starlink Capacity'!$D:$AC,MATCH("Total active DTC Gbps",'Starlink Capacity'!$A:$A,0),AA$5+1)/(INDEX('Starlink Capacity'!$D:$AC,MATCH("Total active BB Gbps",'Starlink Capacity'!$A:$A,0),AA$5+1)+INDEX('Starlink Capacity'!$D:$AC,MATCH("Total active DTC Gbps",'Starlink Capacity'!$A:$A,0),AA$5+1)),0.5)*IFERROR((AA61*AA218+AA63*AA228)/(AA61+AA63),0)</f>
        <v>0</v>
      </c>
      <c r="AB207" s="17" cm="1">
        <f t="array" aca="1" ref="AB207" ca="1">IFERROR(INDEX('Starlink Capacity'!$D:$AC,MATCH("Total active BB Gbps",'Starlink Capacity'!$A:$A,0),AB$5+1)/(INDEX('Starlink Capacity'!$D:$AC,MATCH("Total active BB Gbps",'Starlink Capacity'!$A:$A,0),AB$5+1)+INDEX('Starlink Capacity'!$D:$AC,MATCH("Total active DTC Gbps",'Starlink Capacity'!$A:$A,0),AB$5+1)),0.5)*IFERROR((AB60*AB213+AB62*AB223)/(AB60+AB62),0)+IFERROR(INDEX('Starlink Capacity'!$D:$AC,MATCH("Total active DTC Gbps",'Starlink Capacity'!$A:$A,0),AB$5+1)/(INDEX('Starlink Capacity'!$D:$AC,MATCH("Total active BB Gbps",'Starlink Capacity'!$A:$A,0),AB$5+1)+INDEX('Starlink Capacity'!$D:$AC,MATCH("Total active DTC Gbps",'Starlink Capacity'!$A:$A,0),AB$5+1)),0.5)*IFERROR((AB61*AB218+AB63*AB228)/(AB61+AB63),0)</f>
        <v>0</v>
      </c>
      <c r="AC207" s="17" cm="1">
        <f t="array" aca="1" ref="AC207" ca="1">IFERROR(INDEX('Starlink Capacity'!$D:$AC,MATCH("Total active BB Gbps",'Starlink Capacity'!$A:$A,0),AC$5+1)/(INDEX('Starlink Capacity'!$D:$AC,MATCH("Total active BB Gbps",'Starlink Capacity'!$A:$A,0),AC$5+1)+INDEX('Starlink Capacity'!$D:$AC,MATCH("Total active DTC Gbps",'Starlink Capacity'!$A:$A,0),AC$5+1)),0.5)*IFERROR((AC60*AC213+AC62*AC223)/(AC60+AC62),0)+IFERROR(INDEX('Starlink Capacity'!$D:$AC,MATCH("Total active DTC Gbps",'Starlink Capacity'!$A:$A,0),AC$5+1)/(INDEX('Starlink Capacity'!$D:$AC,MATCH("Total active BB Gbps",'Starlink Capacity'!$A:$A,0),AC$5+1)+INDEX('Starlink Capacity'!$D:$AC,MATCH("Total active DTC Gbps",'Starlink Capacity'!$A:$A,0),AC$5+1)),0.5)*IFERROR((AC61*AC218+AC63*AC228)/(AC61+AC63),0)</f>
        <v>0</v>
      </c>
    </row>
    <row r="208" spans="1:29" x14ac:dyDescent="0.2">
      <c r="A208" t="s">
        <v>611</v>
      </c>
      <c r="C208" t="s">
        <v>620</v>
      </c>
      <c r="D208" s="17" cm="1">
        <f t="array" aca="1" ref="D208" ca="1">IFERROR(INDEX('Starlink Capacity'!$D:$AC,MATCH("Total active BB Gbps",'Starlink Capacity'!$A:$A,0),D$5+1)/(INDEX('Starlink Capacity'!$D:$AC,MATCH("Total active BB Gbps",'Starlink Capacity'!$A:$A,0),D$5+1)+INDEX('Starlink Capacity'!$D:$AC,MATCH("Total active DTC Gbps",'Starlink Capacity'!$A:$A,0),D$5+1)),0.5)*IFERROR((D60*D214+D62*D224)/(D60+D62),0)+IFERROR(INDEX('Starlink Capacity'!$D:$AC,MATCH("Total active DTC Gbps",'Starlink Capacity'!$A:$A,0),D$5+1)/(INDEX('Starlink Capacity'!$D:$AC,MATCH("Total active BB Gbps",'Starlink Capacity'!$A:$A,0),D$5+1)+INDEX('Starlink Capacity'!$D:$AC,MATCH("Total active DTC Gbps",'Starlink Capacity'!$A:$A,0),D$5+1)),0.5)*IFERROR((D61*D219+D63*D229)/(D61+D63),0)</f>
        <v>1.2045642603155582</v>
      </c>
      <c r="E208" s="17" cm="1">
        <f t="array" aca="1" ref="E208" ca="1">IFERROR(INDEX('Starlink Capacity'!$D:$AC,MATCH("Total active BB Gbps",'Starlink Capacity'!$A:$A,0),E$5+1)/(INDEX('Starlink Capacity'!$D:$AC,MATCH("Total active BB Gbps",'Starlink Capacity'!$A:$A,0),E$5+1)+INDEX('Starlink Capacity'!$D:$AC,MATCH("Total active DTC Gbps",'Starlink Capacity'!$A:$A,0),E$5+1)),0.5)*IFERROR((E60*E214+E62*E224)/(E60+E62),0)+IFERROR(INDEX('Starlink Capacity'!$D:$AC,MATCH("Total active DTC Gbps",'Starlink Capacity'!$A:$A,0),E$5+1)/(INDEX('Starlink Capacity'!$D:$AC,MATCH("Total active BB Gbps",'Starlink Capacity'!$A:$A,0),E$5+1)+INDEX('Starlink Capacity'!$D:$AC,MATCH("Total active DTC Gbps",'Starlink Capacity'!$A:$A,0),E$5+1)),0.5)*IFERROR((E61*E219+E63*E229)/(E61+E63),0)</f>
        <v>1.6124789550453842</v>
      </c>
      <c r="F208" s="17" cm="1">
        <f t="array" aca="1" ref="F208" ca="1">IFERROR(INDEX('Starlink Capacity'!$D:$AC,MATCH("Total active BB Gbps",'Starlink Capacity'!$A:$A,0),F$5+1)/(INDEX('Starlink Capacity'!$D:$AC,MATCH("Total active BB Gbps",'Starlink Capacity'!$A:$A,0),F$5+1)+INDEX('Starlink Capacity'!$D:$AC,MATCH("Total active DTC Gbps",'Starlink Capacity'!$A:$A,0),F$5+1)),0.5)*IFERROR((F60*F214+F62*F224)/(F60+F62),0)+IFERROR(INDEX('Starlink Capacity'!$D:$AC,MATCH("Total active DTC Gbps",'Starlink Capacity'!$A:$A,0),F$5+1)/(INDEX('Starlink Capacity'!$D:$AC,MATCH("Total active BB Gbps",'Starlink Capacity'!$A:$A,0),F$5+1)+INDEX('Starlink Capacity'!$D:$AC,MATCH("Total active DTC Gbps",'Starlink Capacity'!$A:$A,0),F$5+1)),0.5)*IFERROR((F61*F219+F63*F229)/(F61+F63),0)</f>
        <v>2.093935916239634</v>
      </c>
      <c r="G208" s="17" cm="1">
        <f t="array" aca="1" ref="G208" ca="1">IFERROR(INDEX('Starlink Capacity'!$D:$AC,MATCH("Total active BB Gbps",'Starlink Capacity'!$A:$A,0),G$5+1)/(INDEX('Starlink Capacity'!$D:$AC,MATCH("Total active BB Gbps",'Starlink Capacity'!$A:$A,0),G$5+1)+INDEX('Starlink Capacity'!$D:$AC,MATCH("Total active DTC Gbps",'Starlink Capacity'!$A:$A,0),G$5+1)),0.5)*IFERROR((G60*G214+G62*G224)/(G60+G62),0)+IFERROR(INDEX('Starlink Capacity'!$D:$AC,MATCH("Total active DTC Gbps",'Starlink Capacity'!$A:$A,0),G$5+1)/(INDEX('Starlink Capacity'!$D:$AC,MATCH("Total active BB Gbps",'Starlink Capacity'!$A:$A,0),G$5+1)+INDEX('Starlink Capacity'!$D:$AC,MATCH("Total active DTC Gbps",'Starlink Capacity'!$A:$A,0),G$5+1)),0.5)*IFERROR((G61*G219+G63*G229)/(G61+G63),0)</f>
        <v>-0.9996209960459842</v>
      </c>
      <c r="H208" s="17" cm="1">
        <f t="array" aca="1" ref="H208" ca="1">IFERROR(INDEX('Starlink Capacity'!$D:$AC,MATCH("Total active BB Gbps",'Starlink Capacity'!$A:$A,0),H$5+1)/(INDEX('Starlink Capacity'!$D:$AC,MATCH("Total active BB Gbps",'Starlink Capacity'!$A:$A,0),H$5+1)+INDEX('Starlink Capacity'!$D:$AC,MATCH("Total active DTC Gbps",'Starlink Capacity'!$A:$A,0),H$5+1)),0.5)*IFERROR((H60*H214+H62*H224)/(H60+H62),0)+IFERROR(INDEX('Starlink Capacity'!$D:$AC,MATCH("Total active DTC Gbps",'Starlink Capacity'!$A:$A,0),H$5+1)/(INDEX('Starlink Capacity'!$D:$AC,MATCH("Total active BB Gbps",'Starlink Capacity'!$A:$A,0),H$5+1)+INDEX('Starlink Capacity'!$D:$AC,MATCH("Total active DTC Gbps",'Starlink Capacity'!$A:$A,0),H$5+1)),0.5)*IFERROR((H61*H219+H63*H229)/(H61+H63),0)</f>
        <v>-0.99956419593806156</v>
      </c>
      <c r="I208" s="17" cm="1">
        <f t="array" aca="1" ref="I208" ca="1">IFERROR(INDEX('Starlink Capacity'!$D:$AC,MATCH("Total active BB Gbps",'Starlink Capacity'!$A:$A,0),I$5+1)/(INDEX('Starlink Capacity'!$D:$AC,MATCH("Total active BB Gbps",'Starlink Capacity'!$A:$A,0),I$5+1)+INDEX('Starlink Capacity'!$D:$AC,MATCH("Total active DTC Gbps",'Starlink Capacity'!$A:$A,0),I$5+1)),0.5)*IFERROR((I60*I214+I62*I224)/(I60+I62),0)+IFERROR(INDEX('Starlink Capacity'!$D:$AC,MATCH("Total active DTC Gbps",'Starlink Capacity'!$A:$A,0),I$5+1)/(INDEX('Starlink Capacity'!$D:$AC,MATCH("Total active BB Gbps",'Starlink Capacity'!$A:$A,0),I$5+1)+INDEX('Starlink Capacity'!$D:$AC,MATCH("Total active DTC Gbps",'Starlink Capacity'!$A:$A,0),I$5+1)),0.5)*IFERROR((I61*I219+I63*I229)/(I61+I63),0)</f>
        <v>0</v>
      </c>
      <c r="J208" s="17" cm="1">
        <f t="array" aca="1" ref="J208" ca="1">IFERROR(INDEX('Starlink Capacity'!$D:$AC,MATCH("Total active BB Gbps",'Starlink Capacity'!$A:$A,0),J$5+1)/(INDEX('Starlink Capacity'!$D:$AC,MATCH("Total active BB Gbps",'Starlink Capacity'!$A:$A,0),J$5+1)+INDEX('Starlink Capacity'!$D:$AC,MATCH("Total active DTC Gbps",'Starlink Capacity'!$A:$A,0),J$5+1)),0.5)*IFERROR((J60*J214+J62*J224)/(J60+J62),0)+IFERROR(INDEX('Starlink Capacity'!$D:$AC,MATCH("Total active DTC Gbps",'Starlink Capacity'!$A:$A,0),J$5+1)/(INDEX('Starlink Capacity'!$D:$AC,MATCH("Total active BB Gbps",'Starlink Capacity'!$A:$A,0),J$5+1)+INDEX('Starlink Capacity'!$D:$AC,MATCH("Total active DTC Gbps",'Starlink Capacity'!$A:$A,0),J$5+1)),0.5)*IFERROR((J61*J219+J63*J229)/(J61+J63),0)</f>
        <v>0</v>
      </c>
      <c r="K208" s="17" cm="1">
        <f t="array" aca="1" ref="K208" ca="1">IFERROR(INDEX('Starlink Capacity'!$D:$AC,MATCH("Total active BB Gbps",'Starlink Capacity'!$A:$A,0),K$5+1)/(INDEX('Starlink Capacity'!$D:$AC,MATCH("Total active BB Gbps",'Starlink Capacity'!$A:$A,0),K$5+1)+INDEX('Starlink Capacity'!$D:$AC,MATCH("Total active DTC Gbps",'Starlink Capacity'!$A:$A,0),K$5+1)),0.5)*IFERROR((K60*K214+K62*K224)/(K60+K62),0)+IFERROR(INDEX('Starlink Capacity'!$D:$AC,MATCH("Total active DTC Gbps",'Starlink Capacity'!$A:$A,0),K$5+1)/(INDEX('Starlink Capacity'!$D:$AC,MATCH("Total active BB Gbps",'Starlink Capacity'!$A:$A,0),K$5+1)+INDEX('Starlink Capacity'!$D:$AC,MATCH("Total active DTC Gbps",'Starlink Capacity'!$A:$A,0),K$5+1)),0.5)*IFERROR((K61*K219+K63*K229)/(K61+K63),0)</f>
        <v>0</v>
      </c>
      <c r="L208" s="17" cm="1">
        <f t="array" aca="1" ref="L208" ca="1">IFERROR(INDEX('Starlink Capacity'!$D:$AC,MATCH("Total active BB Gbps",'Starlink Capacity'!$A:$A,0),L$5+1)/(INDEX('Starlink Capacity'!$D:$AC,MATCH("Total active BB Gbps",'Starlink Capacity'!$A:$A,0),L$5+1)+INDEX('Starlink Capacity'!$D:$AC,MATCH("Total active DTC Gbps",'Starlink Capacity'!$A:$A,0),L$5+1)),0.5)*IFERROR((L60*L214+L62*L224)/(L60+L62),0)+IFERROR(INDEX('Starlink Capacity'!$D:$AC,MATCH("Total active DTC Gbps",'Starlink Capacity'!$A:$A,0),L$5+1)/(INDEX('Starlink Capacity'!$D:$AC,MATCH("Total active BB Gbps",'Starlink Capacity'!$A:$A,0),L$5+1)+INDEX('Starlink Capacity'!$D:$AC,MATCH("Total active DTC Gbps",'Starlink Capacity'!$A:$A,0),L$5+1)),0.5)*IFERROR((L61*L219+L63*L229)/(L61+L63),0)</f>
        <v>0</v>
      </c>
      <c r="M208" s="17" cm="1">
        <f t="array" aca="1" ref="M208" ca="1">IFERROR(INDEX('Starlink Capacity'!$D:$AC,MATCH("Total active BB Gbps",'Starlink Capacity'!$A:$A,0),M$5+1)/(INDEX('Starlink Capacity'!$D:$AC,MATCH("Total active BB Gbps",'Starlink Capacity'!$A:$A,0),M$5+1)+INDEX('Starlink Capacity'!$D:$AC,MATCH("Total active DTC Gbps",'Starlink Capacity'!$A:$A,0),M$5+1)),0.5)*IFERROR((M60*M214+M62*M224)/(M60+M62),0)+IFERROR(INDEX('Starlink Capacity'!$D:$AC,MATCH("Total active DTC Gbps",'Starlink Capacity'!$A:$A,0),M$5+1)/(INDEX('Starlink Capacity'!$D:$AC,MATCH("Total active BB Gbps",'Starlink Capacity'!$A:$A,0),M$5+1)+INDEX('Starlink Capacity'!$D:$AC,MATCH("Total active DTC Gbps",'Starlink Capacity'!$A:$A,0),M$5+1)),0.5)*IFERROR((M61*M219+M63*M229)/(M61+M63),0)</f>
        <v>0</v>
      </c>
      <c r="N208" s="17" cm="1">
        <f t="array" aca="1" ref="N208" ca="1">IFERROR(INDEX('Starlink Capacity'!$D:$AC,MATCH("Total active BB Gbps",'Starlink Capacity'!$A:$A,0),N$5+1)/(INDEX('Starlink Capacity'!$D:$AC,MATCH("Total active BB Gbps",'Starlink Capacity'!$A:$A,0),N$5+1)+INDEX('Starlink Capacity'!$D:$AC,MATCH("Total active DTC Gbps",'Starlink Capacity'!$A:$A,0),N$5+1)),0.5)*IFERROR((N60*N214+N62*N224)/(N60+N62),0)+IFERROR(INDEX('Starlink Capacity'!$D:$AC,MATCH("Total active DTC Gbps",'Starlink Capacity'!$A:$A,0),N$5+1)/(INDEX('Starlink Capacity'!$D:$AC,MATCH("Total active BB Gbps",'Starlink Capacity'!$A:$A,0),N$5+1)+INDEX('Starlink Capacity'!$D:$AC,MATCH("Total active DTC Gbps",'Starlink Capacity'!$A:$A,0),N$5+1)),0.5)*IFERROR((N61*N219+N63*N229)/(N61+N63),0)</f>
        <v>0</v>
      </c>
      <c r="O208" s="17" cm="1">
        <f t="array" aca="1" ref="O208" ca="1">IFERROR(INDEX('Starlink Capacity'!$D:$AC,MATCH("Total active BB Gbps",'Starlink Capacity'!$A:$A,0),O$5+1)/(INDEX('Starlink Capacity'!$D:$AC,MATCH("Total active BB Gbps",'Starlink Capacity'!$A:$A,0),O$5+1)+INDEX('Starlink Capacity'!$D:$AC,MATCH("Total active DTC Gbps",'Starlink Capacity'!$A:$A,0),O$5+1)),0.5)*IFERROR((O60*O214+O62*O224)/(O60+O62),0)+IFERROR(INDEX('Starlink Capacity'!$D:$AC,MATCH("Total active DTC Gbps",'Starlink Capacity'!$A:$A,0),O$5+1)/(INDEX('Starlink Capacity'!$D:$AC,MATCH("Total active BB Gbps",'Starlink Capacity'!$A:$A,0),O$5+1)+INDEX('Starlink Capacity'!$D:$AC,MATCH("Total active DTC Gbps",'Starlink Capacity'!$A:$A,0),O$5+1)),0.5)*IFERROR((O61*O219+O63*O229)/(O61+O63),0)</f>
        <v>0</v>
      </c>
      <c r="P208" s="17" cm="1">
        <f t="array" aca="1" ref="P208" ca="1">IFERROR(INDEX('Starlink Capacity'!$D:$AC,MATCH("Total active BB Gbps",'Starlink Capacity'!$A:$A,0),P$5+1)/(INDEX('Starlink Capacity'!$D:$AC,MATCH("Total active BB Gbps",'Starlink Capacity'!$A:$A,0),P$5+1)+INDEX('Starlink Capacity'!$D:$AC,MATCH("Total active DTC Gbps",'Starlink Capacity'!$A:$A,0),P$5+1)),0.5)*IFERROR((P60*P214+P62*P224)/(P60+P62),0)+IFERROR(INDEX('Starlink Capacity'!$D:$AC,MATCH("Total active DTC Gbps",'Starlink Capacity'!$A:$A,0),P$5+1)/(INDEX('Starlink Capacity'!$D:$AC,MATCH("Total active BB Gbps",'Starlink Capacity'!$A:$A,0),P$5+1)+INDEX('Starlink Capacity'!$D:$AC,MATCH("Total active DTC Gbps",'Starlink Capacity'!$A:$A,0),P$5+1)),0.5)*IFERROR((P61*P219+P63*P229)/(P61+P63),0)</f>
        <v>0</v>
      </c>
      <c r="Q208" s="17" cm="1">
        <f t="array" aca="1" ref="Q208" ca="1">IFERROR(INDEX('Starlink Capacity'!$D:$AC,MATCH("Total active BB Gbps",'Starlink Capacity'!$A:$A,0),Q$5+1)/(INDEX('Starlink Capacity'!$D:$AC,MATCH("Total active BB Gbps",'Starlink Capacity'!$A:$A,0),Q$5+1)+INDEX('Starlink Capacity'!$D:$AC,MATCH("Total active DTC Gbps",'Starlink Capacity'!$A:$A,0),Q$5+1)),0.5)*IFERROR((Q60*Q214+Q62*Q224)/(Q60+Q62),0)+IFERROR(INDEX('Starlink Capacity'!$D:$AC,MATCH("Total active DTC Gbps",'Starlink Capacity'!$A:$A,0),Q$5+1)/(INDEX('Starlink Capacity'!$D:$AC,MATCH("Total active BB Gbps",'Starlink Capacity'!$A:$A,0),Q$5+1)+INDEX('Starlink Capacity'!$D:$AC,MATCH("Total active DTC Gbps",'Starlink Capacity'!$A:$A,0),Q$5+1)),0.5)*IFERROR((Q61*Q219+Q63*Q229)/(Q61+Q63),0)</f>
        <v>0</v>
      </c>
      <c r="R208" s="17" cm="1">
        <f t="array" aca="1" ref="R208" ca="1">IFERROR(INDEX('Starlink Capacity'!$D:$AC,MATCH("Total active BB Gbps",'Starlink Capacity'!$A:$A,0),R$5+1)/(INDEX('Starlink Capacity'!$D:$AC,MATCH("Total active BB Gbps",'Starlink Capacity'!$A:$A,0),R$5+1)+INDEX('Starlink Capacity'!$D:$AC,MATCH("Total active DTC Gbps",'Starlink Capacity'!$A:$A,0),R$5+1)),0.5)*IFERROR((R60*R214+R62*R224)/(R60+R62),0)+IFERROR(INDEX('Starlink Capacity'!$D:$AC,MATCH("Total active DTC Gbps",'Starlink Capacity'!$A:$A,0),R$5+1)/(INDEX('Starlink Capacity'!$D:$AC,MATCH("Total active BB Gbps",'Starlink Capacity'!$A:$A,0),R$5+1)+INDEX('Starlink Capacity'!$D:$AC,MATCH("Total active DTC Gbps",'Starlink Capacity'!$A:$A,0),R$5+1)),0.5)*IFERROR((R61*R219+R63*R229)/(R61+R63),0)</f>
        <v>0</v>
      </c>
      <c r="S208" s="17" cm="1">
        <f t="array" aca="1" ref="S208" ca="1">IFERROR(INDEX('Starlink Capacity'!$D:$AC,MATCH("Total active BB Gbps",'Starlink Capacity'!$A:$A,0),S$5+1)/(INDEX('Starlink Capacity'!$D:$AC,MATCH("Total active BB Gbps",'Starlink Capacity'!$A:$A,0),S$5+1)+INDEX('Starlink Capacity'!$D:$AC,MATCH("Total active DTC Gbps",'Starlink Capacity'!$A:$A,0),S$5+1)),0.5)*IFERROR((S60*S214+S62*S224)/(S60+S62),0)+IFERROR(INDEX('Starlink Capacity'!$D:$AC,MATCH("Total active DTC Gbps",'Starlink Capacity'!$A:$A,0),S$5+1)/(INDEX('Starlink Capacity'!$D:$AC,MATCH("Total active BB Gbps",'Starlink Capacity'!$A:$A,0),S$5+1)+INDEX('Starlink Capacity'!$D:$AC,MATCH("Total active DTC Gbps",'Starlink Capacity'!$A:$A,0),S$5+1)),0.5)*IFERROR((S61*S219+S63*S229)/(S61+S63),0)</f>
        <v>0</v>
      </c>
      <c r="T208" s="17" cm="1">
        <f t="array" aca="1" ref="T208" ca="1">IFERROR(INDEX('Starlink Capacity'!$D:$AC,MATCH("Total active BB Gbps",'Starlink Capacity'!$A:$A,0),T$5+1)/(INDEX('Starlink Capacity'!$D:$AC,MATCH("Total active BB Gbps",'Starlink Capacity'!$A:$A,0),T$5+1)+INDEX('Starlink Capacity'!$D:$AC,MATCH("Total active DTC Gbps",'Starlink Capacity'!$A:$A,0),T$5+1)),0.5)*IFERROR((T60*T214+T62*T224)/(T60+T62),0)+IFERROR(INDEX('Starlink Capacity'!$D:$AC,MATCH("Total active DTC Gbps",'Starlink Capacity'!$A:$A,0),T$5+1)/(INDEX('Starlink Capacity'!$D:$AC,MATCH("Total active BB Gbps",'Starlink Capacity'!$A:$A,0),T$5+1)+INDEX('Starlink Capacity'!$D:$AC,MATCH("Total active DTC Gbps",'Starlink Capacity'!$A:$A,0),T$5+1)),0.5)*IFERROR((T61*T219+T63*T229)/(T61+T63),0)</f>
        <v>0</v>
      </c>
      <c r="U208" s="17" cm="1">
        <f t="array" aca="1" ref="U208" ca="1">IFERROR(INDEX('Starlink Capacity'!$D:$AC,MATCH("Total active BB Gbps",'Starlink Capacity'!$A:$A,0),U$5+1)/(INDEX('Starlink Capacity'!$D:$AC,MATCH("Total active BB Gbps",'Starlink Capacity'!$A:$A,0),U$5+1)+INDEX('Starlink Capacity'!$D:$AC,MATCH("Total active DTC Gbps",'Starlink Capacity'!$A:$A,0),U$5+1)),0.5)*IFERROR((U60*U214+U62*U224)/(U60+U62),0)+IFERROR(INDEX('Starlink Capacity'!$D:$AC,MATCH("Total active DTC Gbps",'Starlink Capacity'!$A:$A,0),U$5+1)/(INDEX('Starlink Capacity'!$D:$AC,MATCH("Total active BB Gbps",'Starlink Capacity'!$A:$A,0),U$5+1)+INDEX('Starlink Capacity'!$D:$AC,MATCH("Total active DTC Gbps",'Starlink Capacity'!$A:$A,0),U$5+1)),0.5)*IFERROR((U61*U219+U63*U229)/(U61+U63),0)</f>
        <v>0</v>
      </c>
      <c r="V208" s="17" cm="1">
        <f t="array" aca="1" ref="V208" ca="1">IFERROR(INDEX('Starlink Capacity'!$D:$AC,MATCH("Total active BB Gbps",'Starlink Capacity'!$A:$A,0),V$5+1)/(INDEX('Starlink Capacity'!$D:$AC,MATCH("Total active BB Gbps",'Starlink Capacity'!$A:$A,0),V$5+1)+INDEX('Starlink Capacity'!$D:$AC,MATCH("Total active DTC Gbps",'Starlink Capacity'!$A:$A,0),V$5+1)),0.5)*IFERROR((V60*V214+V62*V224)/(V60+V62),0)+IFERROR(INDEX('Starlink Capacity'!$D:$AC,MATCH("Total active DTC Gbps",'Starlink Capacity'!$A:$A,0),V$5+1)/(INDEX('Starlink Capacity'!$D:$AC,MATCH("Total active BB Gbps",'Starlink Capacity'!$A:$A,0),V$5+1)+INDEX('Starlink Capacity'!$D:$AC,MATCH("Total active DTC Gbps",'Starlink Capacity'!$A:$A,0),V$5+1)),0.5)*IFERROR((V61*V219+V63*V229)/(V61+V63),0)</f>
        <v>0</v>
      </c>
      <c r="W208" s="17" cm="1">
        <f t="array" aca="1" ref="W208" ca="1">IFERROR(INDEX('Starlink Capacity'!$D:$AC,MATCH("Total active BB Gbps",'Starlink Capacity'!$A:$A,0),W$5+1)/(INDEX('Starlink Capacity'!$D:$AC,MATCH("Total active BB Gbps",'Starlink Capacity'!$A:$A,0),W$5+1)+INDEX('Starlink Capacity'!$D:$AC,MATCH("Total active DTC Gbps",'Starlink Capacity'!$A:$A,0),W$5+1)),0.5)*IFERROR((W60*W214+W62*W224)/(W60+W62),0)+IFERROR(INDEX('Starlink Capacity'!$D:$AC,MATCH("Total active DTC Gbps",'Starlink Capacity'!$A:$A,0),W$5+1)/(INDEX('Starlink Capacity'!$D:$AC,MATCH("Total active BB Gbps",'Starlink Capacity'!$A:$A,0),W$5+1)+INDEX('Starlink Capacity'!$D:$AC,MATCH("Total active DTC Gbps",'Starlink Capacity'!$A:$A,0),W$5+1)),0.5)*IFERROR((W61*W219+W63*W229)/(W61+W63),0)</f>
        <v>0</v>
      </c>
      <c r="X208" s="17" cm="1">
        <f t="array" aca="1" ref="X208" ca="1">IFERROR(INDEX('Starlink Capacity'!$D:$AC,MATCH("Total active BB Gbps",'Starlink Capacity'!$A:$A,0),X$5+1)/(INDEX('Starlink Capacity'!$D:$AC,MATCH("Total active BB Gbps",'Starlink Capacity'!$A:$A,0),X$5+1)+INDEX('Starlink Capacity'!$D:$AC,MATCH("Total active DTC Gbps",'Starlink Capacity'!$A:$A,0),X$5+1)),0.5)*IFERROR((X60*X214+X62*X224)/(X60+X62),0)+IFERROR(INDEX('Starlink Capacity'!$D:$AC,MATCH("Total active DTC Gbps",'Starlink Capacity'!$A:$A,0),X$5+1)/(INDEX('Starlink Capacity'!$D:$AC,MATCH("Total active BB Gbps",'Starlink Capacity'!$A:$A,0),X$5+1)+INDEX('Starlink Capacity'!$D:$AC,MATCH("Total active DTC Gbps",'Starlink Capacity'!$A:$A,0),X$5+1)),0.5)*IFERROR((X61*X219+X63*X229)/(X61+X63),0)</f>
        <v>0</v>
      </c>
      <c r="Y208" s="17" cm="1">
        <f t="array" aca="1" ref="Y208" ca="1">IFERROR(INDEX('Starlink Capacity'!$D:$AC,MATCH("Total active BB Gbps",'Starlink Capacity'!$A:$A,0),Y$5+1)/(INDEX('Starlink Capacity'!$D:$AC,MATCH("Total active BB Gbps",'Starlink Capacity'!$A:$A,0),Y$5+1)+INDEX('Starlink Capacity'!$D:$AC,MATCH("Total active DTC Gbps",'Starlink Capacity'!$A:$A,0),Y$5+1)),0.5)*IFERROR((Y60*Y214+Y62*Y224)/(Y60+Y62),0)+IFERROR(INDEX('Starlink Capacity'!$D:$AC,MATCH("Total active DTC Gbps",'Starlink Capacity'!$A:$A,0),Y$5+1)/(INDEX('Starlink Capacity'!$D:$AC,MATCH("Total active BB Gbps",'Starlink Capacity'!$A:$A,0),Y$5+1)+INDEX('Starlink Capacity'!$D:$AC,MATCH("Total active DTC Gbps",'Starlink Capacity'!$A:$A,0),Y$5+1)),0.5)*IFERROR((Y61*Y219+Y63*Y229)/(Y61+Y63),0)</f>
        <v>0</v>
      </c>
      <c r="Z208" s="17" cm="1">
        <f t="array" aca="1" ref="Z208" ca="1">IFERROR(INDEX('Starlink Capacity'!$D:$AC,MATCH("Total active BB Gbps",'Starlink Capacity'!$A:$A,0),Z$5+1)/(INDEX('Starlink Capacity'!$D:$AC,MATCH("Total active BB Gbps",'Starlink Capacity'!$A:$A,0),Z$5+1)+INDEX('Starlink Capacity'!$D:$AC,MATCH("Total active DTC Gbps",'Starlink Capacity'!$A:$A,0),Z$5+1)),0.5)*IFERROR((Z60*Z214+Z62*Z224)/(Z60+Z62),0)+IFERROR(INDEX('Starlink Capacity'!$D:$AC,MATCH("Total active DTC Gbps",'Starlink Capacity'!$A:$A,0),Z$5+1)/(INDEX('Starlink Capacity'!$D:$AC,MATCH("Total active BB Gbps",'Starlink Capacity'!$A:$A,0),Z$5+1)+INDEX('Starlink Capacity'!$D:$AC,MATCH("Total active DTC Gbps",'Starlink Capacity'!$A:$A,0),Z$5+1)),0.5)*IFERROR((Z61*Z219+Z63*Z229)/(Z61+Z63),0)</f>
        <v>0</v>
      </c>
      <c r="AA208" s="17" cm="1">
        <f t="array" aca="1" ref="AA208" ca="1">IFERROR(INDEX('Starlink Capacity'!$D:$AC,MATCH("Total active BB Gbps",'Starlink Capacity'!$A:$A,0),AA$5+1)/(INDEX('Starlink Capacity'!$D:$AC,MATCH("Total active BB Gbps",'Starlink Capacity'!$A:$A,0),AA$5+1)+INDEX('Starlink Capacity'!$D:$AC,MATCH("Total active DTC Gbps",'Starlink Capacity'!$A:$A,0),AA$5+1)),0.5)*IFERROR((AA60*AA214+AA62*AA224)/(AA60+AA62),0)+IFERROR(INDEX('Starlink Capacity'!$D:$AC,MATCH("Total active DTC Gbps",'Starlink Capacity'!$A:$A,0),AA$5+1)/(INDEX('Starlink Capacity'!$D:$AC,MATCH("Total active BB Gbps",'Starlink Capacity'!$A:$A,0),AA$5+1)+INDEX('Starlink Capacity'!$D:$AC,MATCH("Total active DTC Gbps",'Starlink Capacity'!$A:$A,0),AA$5+1)),0.5)*IFERROR((AA61*AA219+AA63*AA229)/(AA61+AA63),0)</f>
        <v>0</v>
      </c>
      <c r="AB208" s="17" cm="1">
        <f t="array" aca="1" ref="AB208" ca="1">IFERROR(INDEX('Starlink Capacity'!$D:$AC,MATCH("Total active BB Gbps",'Starlink Capacity'!$A:$A,0),AB$5+1)/(INDEX('Starlink Capacity'!$D:$AC,MATCH("Total active BB Gbps",'Starlink Capacity'!$A:$A,0),AB$5+1)+INDEX('Starlink Capacity'!$D:$AC,MATCH("Total active DTC Gbps",'Starlink Capacity'!$A:$A,0),AB$5+1)),0.5)*IFERROR((AB60*AB214+AB62*AB224)/(AB60+AB62),0)+IFERROR(INDEX('Starlink Capacity'!$D:$AC,MATCH("Total active DTC Gbps",'Starlink Capacity'!$A:$A,0),AB$5+1)/(INDEX('Starlink Capacity'!$D:$AC,MATCH("Total active BB Gbps",'Starlink Capacity'!$A:$A,0),AB$5+1)+INDEX('Starlink Capacity'!$D:$AC,MATCH("Total active DTC Gbps",'Starlink Capacity'!$A:$A,0),AB$5+1)),0.5)*IFERROR((AB61*AB219+AB63*AB229)/(AB61+AB63),0)</f>
        <v>0</v>
      </c>
      <c r="AC208" s="17" cm="1">
        <f t="array" aca="1" ref="AC208" ca="1">IFERROR(INDEX('Starlink Capacity'!$D:$AC,MATCH("Total active BB Gbps",'Starlink Capacity'!$A:$A,0),AC$5+1)/(INDEX('Starlink Capacity'!$D:$AC,MATCH("Total active BB Gbps",'Starlink Capacity'!$A:$A,0),AC$5+1)+INDEX('Starlink Capacity'!$D:$AC,MATCH("Total active DTC Gbps",'Starlink Capacity'!$A:$A,0),AC$5+1)),0.5)*IFERROR((AC60*AC214+AC62*AC224)/(AC60+AC62),0)+IFERROR(INDEX('Starlink Capacity'!$D:$AC,MATCH("Total active DTC Gbps",'Starlink Capacity'!$A:$A,0),AC$5+1)/(INDEX('Starlink Capacity'!$D:$AC,MATCH("Total active BB Gbps",'Starlink Capacity'!$A:$A,0),AC$5+1)+INDEX('Starlink Capacity'!$D:$AC,MATCH("Total active DTC Gbps",'Starlink Capacity'!$A:$A,0),AC$5+1)),0.5)*IFERROR((AC61*AC219+AC63*AC229)/(AC61+AC63),0)</f>
        <v>0</v>
      </c>
    </row>
    <row r="209" spans="1:29" x14ac:dyDescent="0.2">
      <c r="A209" t="s">
        <v>612</v>
      </c>
      <c r="C209" s="16" t="s">
        <v>621</v>
      </c>
      <c r="D209" s="17">
        <f ca="1">(1-INDEX(Assumptions!$B:$B,MATCH("Forward IRR weight w (Blended = (1-w)·Spot + w·Forward)",Assumptions!$A:$A,0)))*D207+INDEX(Assumptions!$B:$B,MATCH("Forward IRR weight w (Blended = (1-w)·Spot + w·Forward)",Assumptions!$A:$A,0))*D208</f>
        <v>1.0013816631206973</v>
      </c>
      <c r="E209" s="17">
        <f ca="1">(1-INDEX(Assumptions!$B:$B,MATCH("Forward IRR weight w (Blended = (1-w)·Spot + w·Forward)",Assumptions!$A:$A,0)))*E207+INDEX(Assumptions!$B:$B,MATCH("Forward IRR weight w (Blended = (1-w)·Spot + w·Forward)",Assumptions!$A:$A,0))*E208</f>
        <v>1.3771287399422363</v>
      </c>
      <c r="F209" s="17">
        <f ca="1">(1-INDEX(Assumptions!$B:$B,MATCH("Forward IRR weight w (Blended = (1-w)·Spot + w·Forward)",Assumptions!$A:$A,0)))*F207+INDEX(Assumptions!$B:$B,MATCH("Forward IRR weight w (Blended = (1-w)·Spot + w·Forward)",Assumptions!$A:$A,0))*F208</f>
        <v>1.8271229943163876</v>
      </c>
      <c r="G209" s="17">
        <f ca="1">(1-INDEX(Assumptions!$B:$B,MATCH("Forward IRR weight w (Blended = (1-w)·Spot + w·Forward)",Assumptions!$A:$A,0)))*G207+INDEX(Assumptions!$B:$B,MATCH("Forward IRR weight w (Blended = (1-w)·Spot + w·Forward)",Assumptions!$A:$A,0))*G208</f>
        <v>-0.21599451668773539</v>
      </c>
      <c r="H209" s="17">
        <f ca="1">(1-INDEX(Assumptions!$B:$B,MATCH("Forward IRR weight w (Blended = (1-w)·Spot + w·Forward)",Assumptions!$A:$A,0)))*H207+INDEX(Assumptions!$B:$B,MATCH("Forward IRR weight w (Blended = (1-w)·Spot + w·Forward)",Assumptions!$A:$A,0))*H208</f>
        <v>-7.1527132599664367E-2</v>
      </c>
      <c r="I209" s="17">
        <f ca="1">(1-INDEX(Assumptions!$B:$B,MATCH("Forward IRR weight w (Blended = (1-w)·Spot + w·Forward)",Assumptions!$A:$A,0)))*I207+INDEX(Assumptions!$B:$B,MATCH("Forward IRR weight w (Blended = (1-w)·Spot + w·Forward)",Assumptions!$A:$A,0))*I208</f>
        <v>0</v>
      </c>
      <c r="J209" s="17">
        <f ca="1">(1-INDEX(Assumptions!$B:$B,MATCH("Forward IRR weight w (Blended = (1-w)·Spot + w·Forward)",Assumptions!$A:$A,0)))*J207+INDEX(Assumptions!$B:$B,MATCH("Forward IRR weight w (Blended = (1-w)·Spot + w·Forward)",Assumptions!$A:$A,0))*J208</f>
        <v>0</v>
      </c>
      <c r="K209" s="17">
        <f ca="1">(1-INDEX(Assumptions!$B:$B,MATCH("Forward IRR weight w (Blended = (1-w)·Spot + w·Forward)",Assumptions!$A:$A,0)))*K207+INDEX(Assumptions!$B:$B,MATCH("Forward IRR weight w (Blended = (1-w)·Spot + w·Forward)",Assumptions!$A:$A,0))*K208</f>
        <v>0</v>
      </c>
      <c r="L209" s="17">
        <f ca="1">(1-INDEX(Assumptions!$B:$B,MATCH("Forward IRR weight w (Blended = (1-w)·Spot + w·Forward)",Assumptions!$A:$A,0)))*L207+INDEX(Assumptions!$B:$B,MATCH("Forward IRR weight w (Blended = (1-w)·Spot + w·Forward)",Assumptions!$A:$A,0))*L208</f>
        <v>0</v>
      </c>
      <c r="M209" s="17">
        <f ca="1">(1-INDEX(Assumptions!$B:$B,MATCH("Forward IRR weight w (Blended = (1-w)·Spot + w·Forward)",Assumptions!$A:$A,0)))*M207+INDEX(Assumptions!$B:$B,MATCH("Forward IRR weight w (Blended = (1-w)·Spot + w·Forward)",Assumptions!$A:$A,0))*M208</f>
        <v>0</v>
      </c>
      <c r="N209" s="17">
        <f ca="1">(1-INDEX(Assumptions!$B:$B,MATCH("Forward IRR weight w (Blended = (1-w)·Spot + w·Forward)",Assumptions!$A:$A,0)))*N207+INDEX(Assumptions!$B:$B,MATCH("Forward IRR weight w (Blended = (1-w)·Spot + w·Forward)",Assumptions!$A:$A,0))*N208</f>
        <v>0</v>
      </c>
      <c r="O209" s="17">
        <f ca="1">(1-INDEX(Assumptions!$B:$B,MATCH("Forward IRR weight w (Blended = (1-w)·Spot + w·Forward)",Assumptions!$A:$A,0)))*O207+INDEX(Assumptions!$B:$B,MATCH("Forward IRR weight w (Blended = (1-w)·Spot + w·Forward)",Assumptions!$A:$A,0))*O208</f>
        <v>0</v>
      </c>
      <c r="P209" s="17">
        <f ca="1">(1-INDEX(Assumptions!$B:$B,MATCH("Forward IRR weight w (Blended = (1-w)·Spot + w·Forward)",Assumptions!$A:$A,0)))*P207+INDEX(Assumptions!$B:$B,MATCH("Forward IRR weight w (Blended = (1-w)·Spot + w·Forward)",Assumptions!$A:$A,0))*P208</f>
        <v>0</v>
      </c>
      <c r="Q209" s="17">
        <f ca="1">(1-INDEX(Assumptions!$B:$B,MATCH("Forward IRR weight w (Blended = (1-w)·Spot + w·Forward)",Assumptions!$A:$A,0)))*Q207+INDEX(Assumptions!$B:$B,MATCH("Forward IRR weight w (Blended = (1-w)·Spot + w·Forward)",Assumptions!$A:$A,0))*Q208</f>
        <v>0</v>
      </c>
      <c r="R209" s="17">
        <f ca="1">(1-INDEX(Assumptions!$B:$B,MATCH("Forward IRR weight w (Blended = (1-w)·Spot + w·Forward)",Assumptions!$A:$A,0)))*R207+INDEX(Assumptions!$B:$B,MATCH("Forward IRR weight w (Blended = (1-w)·Spot + w·Forward)",Assumptions!$A:$A,0))*R208</f>
        <v>0</v>
      </c>
      <c r="S209" s="17">
        <f ca="1">(1-INDEX(Assumptions!$B:$B,MATCH("Forward IRR weight w (Blended = (1-w)·Spot + w·Forward)",Assumptions!$A:$A,0)))*S207+INDEX(Assumptions!$B:$B,MATCH("Forward IRR weight w (Blended = (1-w)·Spot + w·Forward)",Assumptions!$A:$A,0))*S208</f>
        <v>0</v>
      </c>
      <c r="T209" s="17">
        <f ca="1">(1-INDEX(Assumptions!$B:$B,MATCH("Forward IRR weight w (Blended = (1-w)·Spot + w·Forward)",Assumptions!$A:$A,0)))*T207+INDEX(Assumptions!$B:$B,MATCH("Forward IRR weight w (Blended = (1-w)·Spot + w·Forward)",Assumptions!$A:$A,0))*T208</f>
        <v>0</v>
      </c>
      <c r="U209" s="17">
        <f ca="1">(1-INDEX(Assumptions!$B:$B,MATCH("Forward IRR weight w (Blended = (1-w)·Spot + w·Forward)",Assumptions!$A:$A,0)))*U207+INDEX(Assumptions!$B:$B,MATCH("Forward IRR weight w (Blended = (1-w)·Spot + w·Forward)",Assumptions!$A:$A,0))*U208</f>
        <v>0</v>
      </c>
      <c r="V209" s="17">
        <f ca="1">(1-INDEX(Assumptions!$B:$B,MATCH("Forward IRR weight w (Blended = (1-w)·Spot + w·Forward)",Assumptions!$A:$A,0)))*V207+INDEX(Assumptions!$B:$B,MATCH("Forward IRR weight w (Blended = (1-w)·Spot + w·Forward)",Assumptions!$A:$A,0))*V208</f>
        <v>0</v>
      </c>
      <c r="W209" s="17">
        <f ca="1">(1-INDEX(Assumptions!$B:$B,MATCH("Forward IRR weight w (Blended = (1-w)·Spot + w·Forward)",Assumptions!$A:$A,0)))*W207+INDEX(Assumptions!$B:$B,MATCH("Forward IRR weight w (Blended = (1-w)·Spot + w·Forward)",Assumptions!$A:$A,0))*W208</f>
        <v>0</v>
      </c>
      <c r="X209" s="17">
        <f ca="1">(1-INDEX(Assumptions!$B:$B,MATCH("Forward IRR weight w (Blended = (1-w)·Spot + w·Forward)",Assumptions!$A:$A,0)))*X207+INDEX(Assumptions!$B:$B,MATCH("Forward IRR weight w (Blended = (1-w)·Spot + w·Forward)",Assumptions!$A:$A,0))*X208</f>
        <v>0</v>
      </c>
      <c r="Y209" s="17">
        <f ca="1">(1-INDEX(Assumptions!$B:$B,MATCH("Forward IRR weight w (Blended = (1-w)·Spot + w·Forward)",Assumptions!$A:$A,0)))*Y207+INDEX(Assumptions!$B:$B,MATCH("Forward IRR weight w (Blended = (1-w)·Spot + w·Forward)",Assumptions!$A:$A,0))*Y208</f>
        <v>0</v>
      </c>
      <c r="Z209" s="17">
        <f ca="1">(1-INDEX(Assumptions!$B:$B,MATCH("Forward IRR weight w (Blended = (1-w)·Spot + w·Forward)",Assumptions!$A:$A,0)))*Z207+INDEX(Assumptions!$B:$B,MATCH("Forward IRR weight w (Blended = (1-w)·Spot + w·Forward)",Assumptions!$A:$A,0))*Z208</f>
        <v>0</v>
      </c>
      <c r="AA209" s="17">
        <f ca="1">(1-INDEX(Assumptions!$B:$B,MATCH("Forward IRR weight w (Blended = (1-w)·Spot + w·Forward)",Assumptions!$A:$A,0)))*AA207+INDEX(Assumptions!$B:$B,MATCH("Forward IRR weight w (Blended = (1-w)·Spot + w·Forward)",Assumptions!$A:$A,0))*AA208</f>
        <v>0</v>
      </c>
      <c r="AB209" s="17">
        <f ca="1">(1-INDEX(Assumptions!$B:$B,MATCH("Forward IRR weight w (Blended = (1-w)·Spot + w·Forward)",Assumptions!$A:$A,0)))*AB207+INDEX(Assumptions!$B:$B,MATCH("Forward IRR weight w (Blended = (1-w)·Spot + w·Forward)",Assumptions!$A:$A,0))*AB208</f>
        <v>0</v>
      </c>
      <c r="AC209" s="17">
        <f ca="1">(1-INDEX(Assumptions!$B:$B,MATCH("Forward IRR weight w (Blended = (1-w)·Spot + w·Forward)",Assumptions!$A:$A,0)))*AC207+INDEX(Assumptions!$B:$B,MATCH("Forward IRR weight w (Blended = (1-w)·Spot + w·Forward)",Assumptions!$A:$A,0))*AC208</f>
        <v>0</v>
      </c>
    </row>
    <row r="210" spans="1:29" x14ac:dyDescent="0.2">
      <c r="A210" t="s">
        <v>613</v>
      </c>
      <c r="C210" t="s">
        <v>622</v>
      </c>
      <c r="D210" s="15">
        <f ca="1">D49+D50</f>
        <v>0</v>
      </c>
      <c r="E210" s="15">
        <f t="shared" ref="E210:AC210" ca="1" si="35">E49+E50</f>
        <v>0</v>
      </c>
      <c r="F210" s="15">
        <f t="shared" ca="1" si="35"/>
        <v>0</v>
      </c>
      <c r="G210" s="15">
        <f t="shared" ca="1" si="35"/>
        <v>0</v>
      </c>
      <c r="H210" s="15">
        <f t="shared" ca="1" si="35"/>
        <v>0</v>
      </c>
      <c r="I210" s="15">
        <f t="shared" ca="1" si="35"/>
        <v>0</v>
      </c>
      <c r="J210" s="15">
        <f t="shared" ca="1" si="35"/>
        <v>0</v>
      </c>
      <c r="K210" s="15">
        <f t="shared" ca="1" si="35"/>
        <v>0</v>
      </c>
      <c r="L210" s="15">
        <f t="shared" ca="1" si="35"/>
        <v>0</v>
      </c>
      <c r="M210" s="15">
        <f t="shared" ca="1" si="35"/>
        <v>0</v>
      </c>
      <c r="N210" s="15">
        <f t="shared" ca="1" si="35"/>
        <v>0</v>
      </c>
      <c r="O210" s="15">
        <f t="shared" ca="1" si="35"/>
        <v>0</v>
      </c>
      <c r="P210" s="15">
        <f t="shared" ca="1" si="35"/>
        <v>0</v>
      </c>
      <c r="Q210" s="15">
        <f t="shared" ca="1" si="35"/>
        <v>0</v>
      </c>
      <c r="R210" s="15">
        <f t="shared" ca="1" si="35"/>
        <v>0</v>
      </c>
      <c r="S210" s="15">
        <f t="shared" ca="1" si="35"/>
        <v>0</v>
      </c>
      <c r="T210" s="15">
        <f t="shared" ca="1" si="35"/>
        <v>0</v>
      </c>
      <c r="U210" s="15">
        <f t="shared" ca="1" si="35"/>
        <v>0</v>
      </c>
      <c r="V210" s="15">
        <f t="shared" ca="1" si="35"/>
        <v>0</v>
      </c>
      <c r="W210" s="15">
        <f t="shared" ca="1" si="35"/>
        <v>0</v>
      </c>
      <c r="X210" s="15">
        <f t="shared" ca="1" si="35"/>
        <v>0</v>
      </c>
      <c r="Y210" s="15">
        <f t="shared" ca="1" si="35"/>
        <v>0</v>
      </c>
      <c r="Z210" s="15">
        <f t="shared" ca="1" si="35"/>
        <v>0</v>
      </c>
      <c r="AA210" s="15">
        <f t="shared" ca="1" si="35"/>
        <v>0</v>
      </c>
      <c r="AB210" s="15">
        <f t="shared" ca="1" si="35"/>
        <v>0</v>
      </c>
      <c r="AC210" s="15">
        <f t="shared" ca="1" si="35"/>
        <v>0</v>
      </c>
    </row>
    <row r="211" spans="1:29" x14ac:dyDescent="0.2">
      <c r="A211" s="18" t="s">
        <v>919</v>
      </c>
      <c r="D211" s="45">
        <f>D78+D83</f>
        <v>0.46440000000000003</v>
      </c>
      <c r="E211" s="45">
        <f t="shared" ref="E211:AC211" si="36">E78+E83</f>
        <v>0.43664749999999997</v>
      </c>
      <c r="F211" s="45">
        <f t="shared" si="36"/>
        <v>0.41073587500000003</v>
      </c>
      <c r="G211" s="45">
        <f t="shared" si="36"/>
        <v>0.38652775624999997</v>
      </c>
      <c r="H211" s="45">
        <f t="shared" si="36"/>
        <v>0.36389717593750004</v>
      </c>
      <c r="I211" s="45">
        <f t="shared" si="36"/>
        <v>0.34272854389062501</v>
      </c>
      <c r="J211" s="45">
        <f t="shared" si="36"/>
        <v>0.32291572077109376</v>
      </c>
      <c r="K211" s="45">
        <f t="shared" si="36"/>
        <v>0.30436117840003907</v>
      </c>
      <c r="L211" s="45">
        <f t="shared" si="36"/>
        <v>0.28697523878078712</v>
      </c>
      <c r="M211" s="45">
        <f t="shared" si="36"/>
        <v>0.27067538421242276</v>
      </c>
      <c r="N211" s="45">
        <f t="shared" si="36"/>
        <v>0.261607700595065</v>
      </c>
      <c r="O211" s="45">
        <f t="shared" si="36"/>
        <v>0.25844693053555851</v>
      </c>
      <c r="P211" s="45">
        <f t="shared" si="36"/>
        <v>0.25560223748200267</v>
      </c>
      <c r="Q211" s="45">
        <f t="shared" si="36"/>
        <v>0.25304201373380242</v>
      </c>
      <c r="R211" s="45">
        <f t="shared" si="36"/>
        <v>0.25073781236042214</v>
      </c>
      <c r="S211" s="45">
        <f t="shared" si="36"/>
        <v>0.24866403112437996</v>
      </c>
      <c r="T211" s="45">
        <f t="shared" si="36"/>
        <v>0.24679762801194197</v>
      </c>
      <c r="U211" s="45">
        <f t="shared" si="36"/>
        <v>0.24511786521074777</v>
      </c>
      <c r="V211" s="45">
        <f t="shared" si="36"/>
        <v>0.24360607868967299</v>
      </c>
      <c r="W211" s="45">
        <f t="shared" si="36"/>
        <v>0.24224547082070569</v>
      </c>
      <c r="X211" s="45">
        <f t="shared" si="36"/>
        <v>0.24102092373863512</v>
      </c>
      <c r="Y211" s="45">
        <f t="shared" si="36"/>
        <v>0.2399188313647716</v>
      </c>
      <c r="Z211" s="45">
        <f t="shared" si="36"/>
        <v>0.23892694822829447</v>
      </c>
      <c r="AA211" s="45">
        <f t="shared" si="36"/>
        <v>0.23803425340546502</v>
      </c>
      <c r="AB211" s="45">
        <f t="shared" si="36"/>
        <v>0.23723082806491852</v>
      </c>
      <c r="AC211" s="45">
        <f t="shared" si="36"/>
        <v>0.23650774525842666</v>
      </c>
    </row>
    <row r="212" spans="1:29" x14ac:dyDescent="0.2">
      <c r="A212" s="18" t="s">
        <v>920</v>
      </c>
      <c r="D212" s="45" cm="1">
        <f t="array" aca="1" ref="D212" ca="1">((IF(D118+D15&gt;=MAX('Demand Curves'!$B$82:$B$137),MAX('Demand Curves'!$C$82:$C$137),IF(D118+D15&lt;=MIN('Demand Curves'!$B$82:$B$137),MIN('Demand Curves'!$C$82:$C$137),INDEX('Demand Curves'!$C$82:$C$137,MATCH(D118+D15,'Demand Curves'!$B$82:$B$137,1))+(D118+D15-INDEX('Demand Curves'!$B$82:$B$137,MATCH(D118+D15,'Demand Curves'!$B$82:$B$137,1)))/(INDEX('Demand Curves'!$B$82:$B$137,MATCH(D118+D15,'Demand Curves'!$B$82:$B$137,1)+1)-INDEX('Demand Curves'!$B$82:$B$137,MATCH(D118+D15,'Demand Curves'!$B$82:$B$137,1)))*(INDEX('Demand Curves'!$C$82:$C$137,MATCH(D118+D15,'Demand Curves'!$B$82:$B$137,1)+1)-INDEX('Demand Curves'!$C$82:$C$137,MATCH(D118+D15,'Demand Curves'!$B$82:$B$137,1)))))/1000000-D120/IFERROR(INDEX('Demand Curves'!$D:$AC,MATCH("Annual TAM shift multiplier",'Demand Curves'!$A:$A,0),D$5+1),1))*IFERROR(INDEX('Demand Curves'!$D:$AC,MATCH("Annual TAM shift multiplier",'Demand Curves'!$A:$A,0),D$5+1),1)*IFERROR(INDEX(Assumptions!$D:$AC,MATCH("Utilization % (fleet ramp) — year-row",Assumptions!$A:$A,0),D$5+1),1))*(1-INDEX(Assumptions!$B:$B,MATCH("Starlink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($mm/sat/yr)",CapEx!$A:$A,0),D$5+1),0)</f>
        <v>0.27842275658926152</v>
      </c>
      <c r="E212" s="45" cm="1">
        <f t="array" aca="1" ref="E212" ca="1">((IF(E118+E15&gt;=MAX('Demand Curves'!$B$82:$B$137),MAX('Demand Curves'!$C$82:$C$137),IF(E118+E15&lt;=MIN('Demand Curves'!$B$82:$B$137),MIN('Demand Curves'!$C$82:$C$137),INDEX('Demand Curves'!$C$82:$C$137,MATCH(E118+E15,'Demand Curves'!$B$82:$B$137,1))+(E118+E15-INDEX('Demand Curves'!$B$82:$B$137,MATCH(E118+E15,'Demand Curves'!$B$82:$B$137,1)))/(INDEX('Demand Curves'!$B$82:$B$137,MATCH(E118+E15,'Demand Curves'!$B$82:$B$137,1)+1)-INDEX('Demand Curves'!$B$82:$B$137,MATCH(E118+E15,'Demand Curves'!$B$82:$B$137,1)))*(INDEX('Demand Curves'!$C$82:$C$137,MATCH(E118+E15,'Demand Curves'!$B$82:$B$137,1)+1)-INDEX('Demand Curves'!$C$82:$C$137,MATCH(E118+E15,'Demand Curves'!$B$82:$B$137,1)))))/1000000-E120/IFERROR(INDEX('Demand Curves'!$D:$AC,MATCH("Annual TAM shift multiplier",'Demand Curves'!$A:$A,0),E$5+1),1))*IFERROR(INDEX('Demand Curves'!$D:$AC,MATCH("Annual TAM shift multiplier",'Demand Curves'!$A:$A,0),E$5+1),1)*IFERROR(INDEX(Assumptions!$D:$AC,MATCH("Utilization % (fleet ramp) — year-row",Assumptions!$A:$A,0),E$5+1),1))*(1-INDEX(Assumptions!$B:$B,MATCH("Starlink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($mm/sat/yr)",CapEx!$A:$A,0),E$5+1),0)</f>
        <v>0.3802290628397384</v>
      </c>
      <c r="F212" s="45" cm="1">
        <f t="array" aca="1" ref="F212" ca="1">((IF(F118+F15&gt;=MAX('Demand Curves'!$B$82:$B$137),MAX('Demand Curves'!$C$82:$C$137),IF(F118+F15&lt;=MIN('Demand Curves'!$B$82:$B$137),MIN('Demand Curves'!$C$82:$C$137),INDEX('Demand Curves'!$C$82:$C$137,MATCH(F118+F15,'Demand Curves'!$B$82:$B$137,1))+(F118+F15-INDEX('Demand Curves'!$B$82:$B$137,MATCH(F118+F15,'Demand Curves'!$B$82:$B$137,1)))/(INDEX('Demand Curves'!$B$82:$B$137,MATCH(F118+F15,'Demand Curves'!$B$82:$B$137,1)+1)-INDEX('Demand Curves'!$B$82:$B$137,MATCH(F118+F15,'Demand Curves'!$B$82:$B$137,1)))*(INDEX('Demand Curves'!$C$82:$C$137,MATCH(F118+F15,'Demand Curves'!$B$82:$B$137,1)+1)-INDEX('Demand Curves'!$C$82:$C$137,MATCH(F118+F15,'Demand Curves'!$B$82:$B$137,1)))))/1000000-F120/IFERROR(INDEX('Demand Curves'!$D:$AC,MATCH("Annual TAM shift multiplier",'Demand Curves'!$A:$A,0),F$5+1),1))*IFERROR(INDEX('Demand Curves'!$D:$AC,MATCH("Annual TAM shift multiplier",'Demand Curves'!$A:$A,0),F$5+1),1)*IFERROR(INDEX(Assumptions!$D:$AC,MATCH("Utilization % (fleet ramp) — year-row",Assumptions!$A:$A,0),F$5+1),1))*(1-INDEX(Assumptions!$B:$B,MATCH("Starlink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($mm/sat/yr)",CapEx!$A:$A,0),F$5+1),0)</f>
        <v>0.50453357837951718</v>
      </c>
      <c r="G212" s="45" cm="1">
        <f t="array" aca="1" ref="G212" ca="1">((IF(G118+G15&gt;=MAX('Demand Curves'!$B$82:$B$137),MAX('Demand Curves'!$C$82:$C$137),IF(G118+G15&lt;=MIN('Demand Curves'!$B$82:$B$137),MIN('Demand Curves'!$C$82:$C$137),INDEX('Demand Curves'!$C$82:$C$137,MATCH(G118+G15,'Demand Curves'!$B$82:$B$137,1))+(G118+G15-INDEX('Demand Curves'!$B$82:$B$137,MATCH(G118+G15,'Demand Curves'!$B$82:$B$137,1)))/(INDEX('Demand Curves'!$B$82:$B$137,MATCH(G118+G15,'Demand Curves'!$B$82:$B$137,1)+1)-INDEX('Demand Curves'!$B$82:$B$137,MATCH(G118+G15,'Demand Curves'!$B$82:$B$137,1)))*(INDEX('Demand Curves'!$C$82:$C$137,MATCH(G118+G15,'Demand Curves'!$B$82:$B$137,1)+1)-INDEX('Demand Curves'!$C$82:$C$137,MATCH(G118+G15,'Demand Curves'!$B$82:$B$137,1)))))/1000000-G120/IFERROR(INDEX('Demand Curves'!$D:$AC,MATCH("Annual TAM shift multiplier",'Demand Curves'!$A:$A,0),G$5+1),1))*IFERROR(INDEX('Demand Curves'!$D:$AC,MATCH("Annual TAM shift multiplier",'Demand Curves'!$A:$A,0),G$5+1),1)*IFERROR(INDEX(Assumptions!$D:$AC,MATCH("Utilization % (fleet ramp) — year-row",Assumptions!$A:$A,0),G$5+1),1))*(1-INDEX(Assumptions!$B:$B,MATCH("Starlink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($mm/sat/yr)",CapEx!$A:$A,0),G$5+1),0)</f>
        <v>0.62854036394226098</v>
      </c>
      <c r="H212" s="45" cm="1">
        <f t="array" aca="1" ref="H212" ca="1">((IF(H118+H15&gt;=MAX('Demand Curves'!$B$82:$B$137),MAX('Demand Curves'!$C$82:$C$137),IF(H118+H15&lt;=MIN('Demand Curves'!$B$82:$B$137),MIN('Demand Curves'!$C$82:$C$137),INDEX('Demand Curves'!$C$82:$C$137,MATCH(H118+H15,'Demand Curves'!$B$82:$B$137,1))+(H118+H15-INDEX('Demand Curves'!$B$82:$B$137,MATCH(H118+H15,'Demand Curves'!$B$82:$B$137,1)))/(INDEX('Demand Curves'!$B$82:$B$137,MATCH(H118+H15,'Demand Curves'!$B$82:$B$137,1)+1)-INDEX('Demand Curves'!$B$82:$B$137,MATCH(H118+H15,'Demand Curves'!$B$82:$B$137,1)))*(INDEX('Demand Curves'!$C$82:$C$137,MATCH(H118+H15,'Demand Curves'!$B$82:$B$137,1)+1)-INDEX('Demand Curves'!$C$82:$C$137,MATCH(H118+H15,'Demand Curves'!$B$82:$B$137,1)))))/1000000-H120/IFERROR(INDEX('Demand Curves'!$D:$AC,MATCH("Annual TAM shift multiplier",'Demand Curves'!$A:$A,0),H$5+1),1))*IFERROR(INDEX('Demand Curves'!$D:$AC,MATCH("Annual TAM shift multiplier",'Demand Curves'!$A:$A,0),H$5+1),1)*IFERROR(INDEX(Assumptions!$D:$AC,MATCH("Utilization % (fleet ramp) — year-row",Assumptions!$A:$A,0),H$5+1),1))*(1-INDEX(Assumptions!$B:$B,MATCH("Starlink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($mm/sat/yr)",CapEx!$A:$A,0),H$5+1),0)</f>
        <v>0.76480578325642734</v>
      </c>
      <c r="I212" s="45" cm="1">
        <f t="array" aca="1" ref="I212" ca="1">((IF(I118+I15&gt;=MAX('Demand Curves'!$B$82:$B$137),MAX('Demand Curves'!$C$82:$C$137),IF(I118+I15&lt;=MIN('Demand Curves'!$B$82:$B$137),MIN('Demand Curves'!$C$82:$C$137),INDEX('Demand Curves'!$C$82:$C$137,MATCH(I118+I15,'Demand Curves'!$B$82:$B$137,1))+(I118+I15-INDEX('Demand Curves'!$B$82:$B$137,MATCH(I118+I15,'Demand Curves'!$B$82:$B$137,1)))/(INDEX('Demand Curves'!$B$82:$B$137,MATCH(I118+I15,'Demand Curves'!$B$82:$B$137,1)+1)-INDEX('Demand Curves'!$B$82:$B$137,MATCH(I118+I15,'Demand Curves'!$B$82:$B$137,1)))*(INDEX('Demand Curves'!$C$82:$C$137,MATCH(I118+I15,'Demand Curves'!$B$82:$B$137,1)+1)-INDEX('Demand Curves'!$C$82:$C$137,MATCH(I118+I15,'Demand Curves'!$B$82:$B$137,1)))))/1000000-I120/IFERROR(INDEX('Demand Curves'!$D:$AC,MATCH("Annual TAM shift multiplier",'Demand Curves'!$A:$A,0),I$5+1),1))*IFERROR(INDEX('Demand Curves'!$D:$AC,MATCH("Annual TAM shift multiplier",'Demand Curves'!$A:$A,0),I$5+1),1)*IFERROR(INDEX(Assumptions!$D:$AC,MATCH("Utilization % (fleet ramp) — year-row",Assumptions!$A:$A,0),I$5+1),1))*(1-INDEX(Assumptions!$B:$B,MATCH("Starlink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($mm/sat/yr)",CapEx!$A:$A,0),I$5+1),0)</f>
        <v>0</v>
      </c>
      <c r="J212" s="45" cm="1">
        <f t="array" aca="1" ref="J212" ca="1">((IF(J118+J15&gt;=MAX('Demand Curves'!$B$82:$B$137),MAX('Demand Curves'!$C$82:$C$137),IF(J118+J15&lt;=MIN('Demand Curves'!$B$82:$B$137),MIN('Demand Curves'!$C$82:$C$137),INDEX('Demand Curves'!$C$82:$C$137,MATCH(J118+J15,'Demand Curves'!$B$82:$B$137,1))+(J118+J15-INDEX('Demand Curves'!$B$82:$B$137,MATCH(J118+J15,'Demand Curves'!$B$82:$B$137,1)))/(INDEX('Demand Curves'!$B$82:$B$137,MATCH(J118+J15,'Demand Curves'!$B$82:$B$137,1)+1)-INDEX('Demand Curves'!$B$82:$B$137,MATCH(J118+J15,'Demand Curves'!$B$82:$B$137,1)))*(INDEX('Demand Curves'!$C$82:$C$137,MATCH(J118+J15,'Demand Curves'!$B$82:$B$137,1)+1)-INDEX('Demand Curves'!$C$82:$C$137,MATCH(J118+J15,'Demand Curves'!$B$82:$B$137,1)))))/1000000-J120/IFERROR(INDEX('Demand Curves'!$D:$AC,MATCH("Annual TAM shift multiplier",'Demand Curves'!$A:$A,0),J$5+1),1))*IFERROR(INDEX('Demand Curves'!$D:$AC,MATCH("Annual TAM shift multiplier",'Demand Curves'!$A:$A,0),J$5+1),1)*IFERROR(INDEX(Assumptions!$D:$AC,MATCH("Utilization % (fleet ramp) — year-row",Assumptions!$A:$A,0),J$5+1),1))*(1-INDEX(Assumptions!$B:$B,MATCH("Starlink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($mm/sat/yr)",CapEx!$A:$A,0),J$5+1),0)</f>
        <v>0</v>
      </c>
      <c r="K212" s="45" cm="1">
        <f t="array" aca="1" ref="K212" ca="1">((IF(K118+K15&gt;=MAX('Demand Curves'!$B$82:$B$137),MAX('Demand Curves'!$C$82:$C$137),IF(K118+K15&lt;=MIN('Demand Curves'!$B$82:$B$137),MIN('Demand Curves'!$C$82:$C$137),INDEX('Demand Curves'!$C$82:$C$137,MATCH(K118+K15,'Demand Curves'!$B$82:$B$137,1))+(K118+K15-INDEX('Demand Curves'!$B$82:$B$137,MATCH(K118+K15,'Demand Curves'!$B$82:$B$137,1)))/(INDEX('Demand Curves'!$B$82:$B$137,MATCH(K118+K15,'Demand Curves'!$B$82:$B$137,1)+1)-INDEX('Demand Curves'!$B$82:$B$137,MATCH(K118+K15,'Demand Curves'!$B$82:$B$137,1)))*(INDEX('Demand Curves'!$C$82:$C$137,MATCH(K118+K15,'Demand Curves'!$B$82:$B$137,1)+1)-INDEX('Demand Curves'!$C$82:$C$137,MATCH(K118+K15,'Demand Curves'!$B$82:$B$137,1)))))/1000000-K120/IFERROR(INDEX('Demand Curves'!$D:$AC,MATCH("Annual TAM shift multiplier",'Demand Curves'!$A:$A,0),K$5+1),1))*IFERROR(INDEX('Demand Curves'!$D:$AC,MATCH("Annual TAM shift multiplier",'Demand Curves'!$A:$A,0),K$5+1),1)*IFERROR(INDEX(Assumptions!$D:$AC,MATCH("Utilization % (fleet ramp) — year-row",Assumptions!$A:$A,0),K$5+1),1))*(1-INDEX(Assumptions!$B:$B,MATCH("Starlink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($mm/sat/yr)",CapEx!$A:$A,0),K$5+1),0)</f>
        <v>5.2553262569583478E-13</v>
      </c>
      <c r="L212" s="45" cm="1">
        <f t="array" aca="1" ref="L212" ca="1">((IF(L118+L15&gt;=MAX('Demand Curves'!$B$82:$B$137),MAX('Demand Curves'!$C$82:$C$137),IF(L118+L15&lt;=MIN('Demand Curves'!$B$82:$B$137),MIN('Demand Curves'!$C$82:$C$137),INDEX('Demand Curves'!$C$82:$C$137,MATCH(L118+L15,'Demand Curves'!$B$82:$B$137,1))+(L118+L15-INDEX('Demand Curves'!$B$82:$B$137,MATCH(L118+L15,'Demand Curves'!$B$82:$B$137,1)))/(INDEX('Demand Curves'!$B$82:$B$137,MATCH(L118+L15,'Demand Curves'!$B$82:$B$137,1)+1)-INDEX('Demand Curves'!$B$82:$B$137,MATCH(L118+L15,'Demand Curves'!$B$82:$B$137,1)))*(INDEX('Demand Curves'!$C$82:$C$137,MATCH(L118+L15,'Demand Curves'!$B$82:$B$137,1)+1)-INDEX('Demand Curves'!$C$82:$C$137,MATCH(L118+L15,'Demand Curves'!$B$82:$B$137,1)))))/1000000-L120/IFERROR(INDEX('Demand Curves'!$D:$AC,MATCH("Annual TAM shift multiplier",'Demand Curves'!$A:$A,0),L$5+1),1))*IFERROR(INDEX('Demand Curves'!$D:$AC,MATCH("Annual TAM shift multiplier",'Demand Curves'!$A:$A,0),L$5+1),1)*IFERROR(INDEX(Assumptions!$D:$AC,MATCH("Utilization % (fleet ramp) — year-row",Assumptions!$A:$A,0),L$5+1),1))*(1-INDEX(Assumptions!$B:$B,MATCH("Starlink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($mm/sat/yr)",CapEx!$A:$A,0),L$5+1),0)</f>
        <v>0</v>
      </c>
      <c r="M212" s="45" cm="1">
        <f t="array" aca="1" ref="M212" ca="1">((IF(M118+M15&gt;=MAX('Demand Curves'!$B$82:$B$137),MAX('Demand Curves'!$C$82:$C$137),IF(M118+M15&lt;=MIN('Demand Curves'!$B$82:$B$137),MIN('Demand Curves'!$C$82:$C$137),INDEX('Demand Curves'!$C$82:$C$137,MATCH(M118+M15,'Demand Curves'!$B$82:$B$137,1))+(M118+M15-INDEX('Demand Curves'!$B$82:$B$137,MATCH(M118+M15,'Demand Curves'!$B$82:$B$137,1)))/(INDEX('Demand Curves'!$B$82:$B$137,MATCH(M118+M15,'Demand Curves'!$B$82:$B$137,1)+1)-INDEX('Demand Curves'!$B$82:$B$137,MATCH(M118+M15,'Demand Curves'!$B$82:$B$137,1)))*(INDEX('Demand Curves'!$C$82:$C$137,MATCH(M118+M15,'Demand Curves'!$B$82:$B$137,1)+1)-INDEX('Demand Curves'!$C$82:$C$137,MATCH(M118+M15,'Demand Curves'!$B$82:$B$137,1)))))/1000000-M120/IFERROR(INDEX('Demand Curves'!$D:$AC,MATCH("Annual TAM shift multiplier",'Demand Curves'!$A:$A,0),M$5+1),1))*IFERROR(INDEX('Demand Curves'!$D:$AC,MATCH("Annual TAM shift multiplier",'Demand Curves'!$A:$A,0),M$5+1),1)*IFERROR(INDEX(Assumptions!$D:$AC,MATCH("Utilization % (fleet ramp) — year-row",Assumptions!$A:$A,0),M$5+1),1))*(1-INDEX(Assumptions!$B:$B,MATCH("Starlink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($mm/sat/yr)",CapEx!$A:$A,0),M$5+1),0)</f>
        <v>5.8576290170737185E-13</v>
      </c>
      <c r="N212" s="45" cm="1">
        <f t="array" aca="1" ref="N212" ca="1">((IF(N118+N15&gt;=MAX('Demand Curves'!$B$82:$B$137),MAX('Demand Curves'!$C$82:$C$137),IF(N118+N15&lt;=MIN('Demand Curves'!$B$82:$B$137),MIN('Demand Curves'!$C$82:$C$137),INDEX('Demand Curves'!$C$82:$C$137,MATCH(N118+N15,'Demand Curves'!$B$82:$B$137,1))+(N118+N15-INDEX('Demand Curves'!$B$82:$B$137,MATCH(N118+N15,'Demand Curves'!$B$82:$B$137,1)))/(INDEX('Demand Curves'!$B$82:$B$137,MATCH(N118+N15,'Demand Curves'!$B$82:$B$137,1)+1)-INDEX('Demand Curves'!$B$82:$B$137,MATCH(N118+N15,'Demand Curves'!$B$82:$B$137,1)))*(INDEX('Demand Curves'!$C$82:$C$137,MATCH(N118+N15,'Demand Curves'!$B$82:$B$137,1)+1)-INDEX('Demand Curves'!$C$82:$C$137,MATCH(N118+N15,'Demand Curves'!$B$82:$B$137,1)))))/1000000-N120/IFERROR(INDEX('Demand Curves'!$D:$AC,MATCH("Annual TAM shift multiplier",'Demand Curves'!$A:$A,0),N$5+1),1))*IFERROR(INDEX('Demand Curves'!$D:$AC,MATCH("Annual TAM shift multiplier",'Demand Curves'!$A:$A,0),N$5+1),1)*IFERROR(INDEX(Assumptions!$D:$AC,MATCH("Utilization % (fleet ramp) — year-row",Assumptions!$A:$A,0),N$5+1),1))*(1-INDEX(Assumptions!$B:$B,MATCH("Starlink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($mm/sat/yr)",CapEx!$A:$A,0),N$5+1),0)</f>
        <v>0</v>
      </c>
      <c r="O212" s="45" cm="1">
        <f t="array" aca="1" ref="O212" ca="1">((IF(O118+O15&gt;=MAX('Demand Curves'!$B$82:$B$137),MAX('Demand Curves'!$C$82:$C$137),IF(O118+O15&lt;=MIN('Demand Curves'!$B$82:$B$137),MIN('Demand Curves'!$C$82:$C$137),INDEX('Demand Curves'!$C$82:$C$137,MATCH(O118+O15,'Demand Curves'!$B$82:$B$137,1))+(O118+O15-INDEX('Demand Curves'!$B$82:$B$137,MATCH(O118+O15,'Demand Curves'!$B$82:$B$137,1)))/(INDEX('Demand Curves'!$B$82:$B$137,MATCH(O118+O15,'Demand Curves'!$B$82:$B$137,1)+1)-INDEX('Demand Curves'!$B$82:$B$137,MATCH(O118+O15,'Demand Curves'!$B$82:$B$137,1)))*(INDEX('Demand Curves'!$C$82:$C$137,MATCH(O118+O15,'Demand Curves'!$B$82:$B$137,1)+1)-INDEX('Demand Curves'!$C$82:$C$137,MATCH(O118+O15,'Demand Curves'!$B$82:$B$137,1)))))/1000000-O120/IFERROR(INDEX('Demand Curves'!$D:$AC,MATCH("Annual TAM shift multiplier",'Demand Curves'!$A:$A,0),O$5+1),1))*IFERROR(INDEX('Demand Curves'!$D:$AC,MATCH("Annual TAM shift multiplier",'Demand Curves'!$A:$A,0),O$5+1),1)*IFERROR(INDEX(Assumptions!$D:$AC,MATCH("Utilization % (fleet ramp) — year-row",Assumptions!$A:$A,0),O$5+1),1))*(1-INDEX(Assumptions!$B:$B,MATCH("Starlink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($mm/sat/yr)",CapEx!$A:$A,0),O$5+1),0)</f>
        <v>0</v>
      </c>
      <c r="P212" s="45" cm="1">
        <f t="array" aca="1" ref="P212" ca="1">((IF(P118+P15&gt;=MAX('Demand Curves'!$B$82:$B$137),MAX('Demand Curves'!$C$82:$C$137),IF(P118+P15&lt;=MIN('Demand Curves'!$B$82:$B$137),MIN('Demand Curves'!$C$82:$C$137),INDEX('Demand Curves'!$C$82:$C$137,MATCH(P118+P15,'Demand Curves'!$B$82:$B$137,1))+(P118+P15-INDEX('Demand Curves'!$B$82:$B$137,MATCH(P118+P15,'Demand Curves'!$B$82:$B$137,1)))/(INDEX('Demand Curves'!$B$82:$B$137,MATCH(P118+P15,'Demand Curves'!$B$82:$B$137,1)+1)-INDEX('Demand Curves'!$B$82:$B$137,MATCH(P118+P15,'Demand Curves'!$B$82:$B$137,1)))*(INDEX('Demand Curves'!$C$82:$C$137,MATCH(P118+P15,'Demand Curves'!$B$82:$B$137,1)+1)-INDEX('Demand Curves'!$C$82:$C$137,MATCH(P118+P15,'Demand Curves'!$B$82:$B$137,1)))))/1000000-P120/IFERROR(INDEX('Demand Curves'!$D:$AC,MATCH("Annual TAM shift multiplier",'Demand Curves'!$A:$A,0),P$5+1),1))*IFERROR(INDEX('Demand Curves'!$D:$AC,MATCH("Annual TAM shift multiplier",'Demand Curves'!$A:$A,0),P$5+1),1)*IFERROR(INDEX(Assumptions!$D:$AC,MATCH("Utilization % (fleet ramp) — year-row",Assumptions!$A:$A,0),P$5+1),1))*(1-INDEX(Assumptions!$B:$B,MATCH("Starlink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($mm/sat/yr)",CapEx!$A:$A,0),P$5+1),0)</f>
        <v>0</v>
      </c>
      <c r="Q212" s="45" cm="1">
        <f t="array" aca="1" ref="Q212" ca="1">((IF(Q118+Q15&gt;=MAX('Demand Curves'!$B$82:$B$137),MAX('Demand Curves'!$C$82:$C$137),IF(Q118+Q15&lt;=MIN('Demand Curves'!$B$82:$B$137),MIN('Demand Curves'!$C$82:$C$137),INDEX('Demand Curves'!$C$82:$C$137,MATCH(Q118+Q15,'Demand Curves'!$B$82:$B$137,1))+(Q118+Q15-INDEX('Demand Curves'!$B$82:$B$137,MATCH(Q118+Q15,'Demand Curves'!$B$82:$B$137,1)))/(INDEX('Demand Curves'!$B$82:$B$137,MATCH(Q118+Q15,'Demand Curves'!$B$82:$B$137,1)+1)-INDEX('Demand Curves'!$B$82:$B$137,MATCH(Q118+Q15,'Demand Curves'!$B$82:$B$137,1)))*(INDEX('Demand Curves'!$C$82:$C$137,MATCH(Q118+Q15,'Demand Curves'!$B$82:$B$137,1)+1)-INDEX('Demand Curves'!$C$82:$C$137,MATCH(Q118+Q15,'Demand Curves'!$B$82:$B$137,1)))))/1000000-Q120/IFERROR(INDEX('Demand Curves'!$D:$AC,MATCH("Annual TAM shift multiplier",'Demand Curves'!$A:$A,0),Q$5+1),1))*IFERROR(INDEX('Demand Curves'!$D:$AC,MATCH("Annual TAM shift multiplier",'Demand Curves'!$A:$A,0),Q$5+1),1)*IFERROR(INDEX(Assumptions!$D:$AC,MATCH("Utilization % (fleet ramp) — year-row",Assumptions!$A:$A,0),Q$5+1),1))*(1-INDEX(Assumptions!$B:$B,MATCH("Starlink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($mm/sat/yr)",CapEx!$A:$A,0),Q$5+1),0)</f>
        <v>0</v>
      </c>
      <c r="R212" s="45" cm="1">
        <f t="array" aca="1" ref="R212" ca="1">((IF(R118+R15&gt;=MAX('Demand Curves'!$B$82:$B$137),MAX('Demand Curves'!$C$82:$C$137),IF(R118+R15&lt;=MIN('Demand Curves'!$B$82:$B$137),MIN('Demand Curves'!$C$82:$C$137),INDEX('Demand Curves'!$C$82:$C$137,MATCH(R118+R15,'Demand Curves'!$B$82:$B$137,1))+(R118+R15-INDEX('Demand Curves'!$B$82:$B$137,MATCH(R118+R15,'Demand Curves'!$B$82:$B$137,1)))/(INDEX('Demand Curves'!$B$82:$B$137,MATCH(R118+R15,'Demand Curves'!$B$82:$B$137,1)+1)-INDEX('Demand Curves'!$B$82:$B$137,MATCH(R118+R15,'Demand Curves'!$B$82:$B$137,1)))*(INDEX('Demand Curves'!$C$82:$C$137,MATCH(R118+R15,'Demand Curves'!$B$82:$B$137,1)+1)-INDEX('Demand Curves'!$C$82:$C$137,MATCH(R118+R15,'Demand Curves'!$B$82:$B$137,1)))))/1000000-R120/IFERROR(INDEX('Demand Curves'!$D:$AC,MATCH("Annual TAM shift multiplier",'Demand Curves'!$A:$A,0),R$5+1),1))*IFERROR(INDEX('Demand Curves'!$D:$AC,MATCH("Annual TAM shift multiplier",'Demand Curves'!$A:$A,0),R$5+1),1)*IFERROR(INDEX(Assumptions!$D:$AC,MATCH("Utilization % (fleet ramp) — year-row",Assumptions!$A:$A,0),R$5+1),1))*(1-INDEX(Assumptions!$B:$B,MATCH("Starlink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($mm/sat/yr)",CapEx!$A:$A,0),R$5+1),0)</f>
        <v>0</v>
      </c>
      <c r="S212" s="45" cm="1">
        <f t="array" aca="1" ref="S212" ca="1">((IF(S118+S15&gt;=MAX('Demand Curves'!$B$82:$B$137),MAX('Demand Curves'!$C$82:$C$137),IF(S118+S15&lt;=MIN('Demand Curves'!$B$82:$B$137),MIN('Demand Curves'!$C$82:$C$137),INDEX('Demand Curves'!$C$82:$C$137,MATCH(S118+S15,'Demand Curves'!$B$82:$B$137,1))+(S118+S15-INDEX('Demand Curves'!$B$82:$B$137,MATCH(S118+S15,'Demand Curves'!$B$82:$B$137,1)))/(INDEX('Demand Curves'!$B$82:$B$137,MATCH(S118+S15,'Demand Curves'!$B$82:$B$137,1)+1)-INDEX('Demand Curves'!$B$82:$B$137,MATCH(S118+S15,'Demand Curves'!$B$82:$B$137,1)))*(INDEX('Demand Curves'!$C$82:$C$137,MATCH(S118+S15,'Demand Curves'!$B$82:$B$137,1)+1)-INDEX('Demand Curves'!$C$82:$C$137,MATCH(S118+S15,'Demand Curves'!$B$82:$B$137,1)))))/1000000-S120/IFERROR(INDEX('Demand Curves'!$D:$AC,MATCH("Annual TAM shift multiplier",'Demand Curves'!$A:$A,0),S$5+1),1))*IFERROR(INDEX('Demand Curves'!$D:$AC,MATCH("Annual TAM shift multiplier",'Demand Curves'!$A:$A,0),S$5+1),1)*IFERROR(INDEX(Assumptions!$D:$AC,MATCH("Utilization % (fleet ramp) — year-row",Assumptions!$A:$A,0),S$5+1),1))*(1-INDEX(Assumptions!$B:$B,MATCH("Starlink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($mm/sat/yr)",CapEx!$A:$A,0),S$5+1),0)</f>
        <v>0</v>
      </c>
      <c r="T212" s="45" cm="1">
        <f t="array" aca="1" ref="T212" ca="1">((IF(T118+T15&gt;=MAX('Demand Curves'!$B$82:$B$137),MAX('Demand Curves'!$C$82:$C$137),IF(T118+T15&lt;=MIN('Demand Curves'!$B$82:$B$137),MIN('Demand Curves'!$C$82:$C$137),INDEX('Demand Curves'!$C$82:$C$137,MATCH(T118+T15,'Demand Curves'!$B$82:$B$137,1))+(T118+T15-INDEX('Demand Curves'!$B$82:$B$137,MATCH(T118+T15,'Demand Curves'!$B$82:$B$137,1)))/(INDEX('Demand Curves'!$B$82:$B$137,MATCH(T118+T15,'Demand Curves'!$B$82:$B$137,1)+1)-INDEX('Demand Curves'!$B$82:$B$137,MATCH(T118+T15,'Demand Curves'!$B$82:$B$137,1)))*(INDEX('Demand Curves'!$C$82:$C$137,MATCH(T118+T15,'Demand Curves'!$B$82:$B$137,1)+1)-INDEX('Demand Curves'!$C$82:$C$137,MATCH(T118+T15,'Demand Curves'!$B$82:$B$137,1)))))/1000000-T120/IFERROR(INDEX('Demand Curves'!$D:$AC,MATCH("Annual TAM shift multiplier",'Demand Curves'!$A:$A,0),T$5+1),1))*IFERROR(INDEX('Demand Curves'!$D:$AC,MATCH("Annual TAM shift multiplier",'Demand Curves'!$A:$A,0),T$5+1),1)*IFERROR(INDEX(Assumptions!$D:$AC,MATCH("Utilization % (fleet ramp) — year-row",Assumptions!$A:$A,0),T$5+1),1))*(1-INDEX(Assumptions!$B:$B,MATCH("Starlink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($mm/sat/yr)",CapEx!$A:$A,0),T$5+1),0)</f>
        <v>0</v>
      </c>
      <c r="U212" s="45" cm="1">
        <f t="array" aca="1" ref="U212" ca="1">((IF(U118+U15&gt;=MAX('Demand Curves'!$B$82:$B$137),MAX('Demand Curves'!$C$82:$C$137),IF(U118+U15&lt;=MIN('Demand Curves'!$B$82:$B$137),MIN('Demand Curves'!$C$82:$C$137),INDEX('Demand Curves'!$C$82:$C$137,MATCH(U118+U15,'Demand Curves'!$B$82:$B$137,1))+(U118+U15-INDEX('Demand Curves'!$B$82:$B$137,MATCH(U118+U15,'Demand Curves'!$B$82:$B$137,1)))/(INDEX('Demand Curves'!$B$82:$B$137,MATCH(U118+U15,'Demand Curves'!$B$82:$B$137,1)+1)-INDEX('Demand Curves'!$B$82:$B$137,MATCH(U118+U15,'Demand Curves'!$B$82:$B$137,1)))*(INDEX('Demand Curves'!$C$82:$C$137,MATCH(U118+U15,'Demand Curves'!$B$82:$B$137,1)+1)-INDEX('Demand Curves'!$C$82:$C$137,MATCH(U118+U15,'Demand Curves'!$B$82:$B$137,1)))))/1000000-U120/IFERROR(INDEX('Demand Curves'!$D:$AC,MATCH("Annual TAM shift multiplier",'Demand Curves'!$A:$A,0),U$5+1),1))*IFERROR(INDEX('Demand Curves'!$D:$AC,MATCH("Annual TAM shift multiplier",'Demand Curves'!$A:$A,0),U$5+1),1)*IFERROR(INDEX(Assumptions!$D:$AC,MATCH("Utilization % (fleet ramp) — year-row",Assumptions!$A:$A,0),U$5+1),1))*(1-INDEX(Assumptions!$B:$B,MATCH("Starlink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($mm/sat/yr)",CapEx!$A:$A,0),U$5+1),0)</f>
        <v>0</v>
      </c>
      <c r="V212" s="45" cm="1">
        <f t="array" aca="1" ref="V212" ca="1">((IF(V118+V15&gt;=MAX('Demand Curves'!$B$82:$B$137),MAX('Demand Curves'!$C$82:$C$137),IF(V118+V15&lt;=MIN('Demand Curves'!$B$82:$B$137),MIN('Demand Curves'!$C$82:$C$137),INDEX('Demand Curves'!$C$82:$C$137,MATCH(V118+V15,'Demand Curves'!$B$82:$B$137,1))+(V118+V15-INDEX('Demand Curves'!$B$82:$B$137,MATCH(V118+V15,'Demand Curves'!$B$82:$B$137,1)))/(INDEX('Demand Curves'!$B$82:$B$137,MATCH(V118+V15,'Demand Curves'!$B$82:$B$137,1)+1)-INDEX('Demand Curves'!$B$82:$B$137,MATCH(V118+V15,'Demand Curves'!$B$82:$B$137,1)))*(INDEX('Demand Curves'!$C$82:$C$137,MATCH(V118+V15,'Demand Curves'!$B$82:$B$137,1)+1)-INDEX('Demand Curves'!$C$82:$C$137,MATCH(V118+V15,'Demand Curves'!$B$82:$B$137,1)))))/1000000-V120/IFERROR(INDEX('Demand Curves'!$D:$AC,MATCH("Annual TAM shift multiplier",'Demand Curves'!$A:$A,0),V$5+1),1))*IFERROR(INDEX('Demand Curves'!$D:$AC,MATCH("Annual TAM shift multiplier",'Demand Curves'!$A:$A,0),V$5+1),1)*IFERROR(INDEX(Assumptions!$D:$AC,MATCH("Utilization % (fleet ramp) — year-row",Assumptions!$A:$A,0),V$5+1),1))*(1-INDEX(Assumptions!$B:$B,MATCH("Starlink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($mm/sat/yr)",CapEx!$A:$A,0),V$5+1),0)</f>
        <v>0</v>
      </c>
      <c r="W212" s="45" cm="1">
        <f t="array" aca="1" ref="W212" ca="1">((IF(W118+W15&gt;=MAX('Demand Curves'!$B$82:$B$137),MAX('Demand Curves'!$C$82:$C$137),IF(W118+W15&lt;=MIN('Demand Curves'!$B$82:$B$137),MIN('Demand Curves'!$C$82:$C$137),INDEX('Demand Curves'!$C$82:$C$137,MATCH(W118+W15,'Demand Curves'!$B$82:$B$137,1))+(W118+W15-INDEX('Demand Curves'!$B$82:$B$137,MATCH(W118+W15,'Demand Curves'!$B$82:$B$137,1)))/(INDEX('Demand Curves'!$B$82:$B$137,MATCH(W118+W15,'Demand Curves'!$B$82:$B$137,1)+1)-INDEX('Demand Curves'!$B$82:$B$137,MATCH(W118+W15,'Demand Curves'!$B$82:$B$137,1)))*(INDEX('Demand Curves'!$C$82:$C$137,MATCH(W118+W15,'Demand Curves'!$B$82:$B$137,1)+1)-INDEX('Demand Curves'!$C$82:$C$137,MATCH(W118+W15,'Demand Curves'!$B$82:$B$137,1)))))/1000000-W120/IFERROR(INDEX('Demand Curves'!$D:$AC,MATCH("Annual TAM shift multiplier",'Demand Curves'!$A:$A,0),W$5+1),1))*IFERROR(INDEX('Demand Curves'!$D:$AC,MATCH("Annual TAM shift multiplier",'Demand Curves'!$A:$A,0),W$5+1),1)*IFERROR(INDEX(Assumptions!$D:$AC,MATCH("Utilization % (fleet ramp) — year-row",Assumptions!$A:$A,0),W$5+1),1))*(1-INDEX(Assumptions!$B:$B,MATCH("Starlink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($mm/sat/yr)",CapEx!$A:$A,0),W$5+1),0)</f>
        <v>0</v>
      </c>
      <c r="X212" s="45" cm="1">
        <f t="array" aca="1" ref="X212" ca="1">((IF(X118+X15&gt;=MAX('Demand Curves'!$B$82:$B$137),MAX('Demand Curves'!$C$82:$C$137),IF(X118+X15&lt;=MIN('Demand Curves'!$B$82:$B$137),MIN('Demand Curves'!$C$82:$C$137),INDEX('Demand Curves'!$C$82:$C$137,MATCH(X118+X15,'Demand Curves'!$B$82:$B$137,1))+(X118+X15-INDEX('Demand Curves'!$B$82:$B$137,MATCH(X118+X15,'Demand Curves'!$B$82:$B$137,1)))/(INDEX('Demand Curves'!$B$82:$B$137,MATCH(X118+X15,'Demand Curves'!$B$82:$B$137,1)+1)-INDEX('Demand Curves'!$B$82:$B$137,MATCH(X118+X15,'Demand Curves'!$B$82:$B$137,1)))*(INDEX('Demand Curves'!$C$82:$C$137,MATCH(X118+X15,'Demand Curves'!$B$82:$B$137,1)+1)-INDEX('Demand Curves'!$C$82:$C$137,MATCH(X118+X15,'Demand Curves'!$B$82:$B$137,1)))))/1000000-X120/IFERROR(INDEX('Demand Curves'!$D:$AC,MATCH("Annual TAM shift multiplier",'Demand Curves'!$A:$A,0),X$5+1),1))*IFERROR(INDEX('Demand Curves'!$D:$AC,MATCH("Annual TAM shift multiplier",'Demand Curves'!$A:$A,0),X$5+1),1)*IFERROR(INDEX(Assumptions!$D:$AC,MATCH("Utilization % (fleet ramp) — year-row",Assumptions!$A:$A,0),X$5+1),1))*(1-INDEX(Assumptions!$B:$B,MATCH("Starlink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($mm/sat/yr)",CapEx!$A:$A,0),X$5+1),0)</f>
        <v>0</v>
      </c>
      <c r="Y212" s="45" cm="1">
        <f t="array" aca="1" ref="Y212" ca="1">((IF(Y118+Y15&gt;=MAX('Demand Curves'!$B$82:$B$137),MAX('Demand Curves'!$C$82:$C$137),IF(Y118+Y15&lt;=MIN('Demand Curves'!$B$82:$B$137),MIN('Demand Curves'!$C$82:$C$137),INDEX('Demand Curves'!$C$82:$C$137,MATCH(Y118+Y15,'Demand Curves'!$B$82:$B$137,1))+(Y118+Y15-INDEX('Demand Curves'!$B$82:$B$137,MATCH(Y118+Y15,'Demand Curves'!$B$82:$B$137,1)))/(INDEX('Demand Curves'!$B$82:$B$137,MATCH(Y118+Y15,'Demand Curves'!$B$82:$B$137,1)+1)-INDEX('Demand Curves'!$B$82:$B$137,MATCH(Y118+Y15,'Demand Curves'!$B$82:$B$137,1)))*(INDEX('Demand Curves'!$C$82:$C$137,MATCH(Y118+Y15,'Demand Curves'!$B$82:$B$137,1)+1)-INDEX('Demand Curves'!$C$82:$C$137,MATCH(Y118+Y15,'Demand Curves'!$B$82:$B$137,1)))))/1000000-Y120/IFERROR(INDEX('Demand Curves'!$D:$AC,MATCH("Annual TAM shift multiplier",'Demand Curves'!$A:$A,0),Y$5+1),1))*IFERROR(INDEX('Demand Curves'!$D:$AC,MATCH("Annual TAM shift multiplier",'Demand Curves'!$A:$A,0),Y$5+1),1)*IFERROR(INDEX(Assumptions!$D:$AC,MATCH("Utilization % (fleet ramp) — year-row",Assumptions!$A:$A,0),Y$5+1),1))*(1-INDEX(Assumptions!$B:$B,MATCH("Starlink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($mm/sat/yr)",CapEx!$A:$A,0),Y$5+1),0)</f>
        <v>0</v>
      </c>
      <c r="Z212" s="45" cm="1">
        <f t="array" aca="1" ref="Z212" ca="1">((IF(Z118+Z15&gt;=MAX('Demand Curves'!$B$82:$B$137),MAX('Demand Curves'!$C$82:$C$137),IF(Z118+Z15&lt;=MIN('Demand Curves'!$B$82:$B$137),MIN('Demand Curves'!$C$82:$C$137),INDEX('Demand Curves'!$C$82:$C$137,MATCH(Z118+Z15,'Demand Curves'!$B$82:$B$137,1))+(Z118+Z15-INDEX('Demand Curves'!$B$82:$B$137,MATCH(Z118+Z15,'Demand Curves'!$B$82:$B$137,1)))/(INDEX('Demand Curves'!$B$82:$B$137,MATCH(Z118+Z15,'Demand Curves'!$B$82:$B$137,1)+1)-INDEX('Demand Curves'!$B$82:$B$137,MATCH(Z118+Z15,'Demand Curves'!$B$82:$B$137,1)))*(INDEX('Demand Curves'!$C$82:$C$137,MATCH(Z118+Z15,'Demand Curves'!$B$82:$B$137,1)+1)-INDEX('Demand Curves'!$C$82:$C$137,MATCH(Z118+Z15,'Demand Curves'!$B$82:$B$137,1)))))/1000000-Z120/IFERROR(INDEX('Demand Curves'!$D:$AC,MATCH("Annual TAM shift multiplier",'Demand Curves'!$A:$A,0),Z$5+1),1))*IFERROR(INDEX('Demand Curves'!$D:$AC,MATCH("Annual TAM shift multiplier",'Demand Curves'!$A:$A,0),Z$5+1),1)*IFERROR(INDEX(Assumptions!$D:$AC,MATCH("Utilization % (fleet ramp) — year-row",Assumptions!$A:$A,0),Z$5+1),1))*(1-INDEX(Assumptions!$B:$B,MATCH("Starlink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($mm/sat/yr)",CapEx!$A:$A,0),Z$5+1),0)</f>
        <v>0</v>
      </c>
      <c r="AA212" s="45" cm="1">
        <f t="array" aca="1" ref="AA212" ca="1">((IF(AA118+AA15&gt;=MAX('Demand Curves'!$B$82:$B$137),MAX('Demand Curves'!$C$82:$C$137),IF(AA118+AA15&lt;=MIN('Demand Curves'!$B$82:$B$137),MIN('Demand Curves'!$C$82:$C$137),INDEX('Demand Curves'!$C$82:$C$137,MATCH(AA118+AA15,'Demand Curves'!$B$82:$B$137,1))+(AA118+AA15-INDEX('Demand Curves'!$B$82:$B$137,MATCH(AA118+AA15,'Demand Curves'!$B$82:$B$137,1)))/(INDEX('Demand Curves'!$B$82:$B$137,MATCH(AA118+AA15,'Demand Curves'!$B$82:$B$137,1)+1)-INDEX('Demand Curves'!$B$82:$B$137,MATCH(AA118+AA15,'Demand Curves'!$B$82:$B$137,1)))*(INDEX('Demand Curves'!$C$82:$C$137,MATCH(AA118+AA15,'Demand Curves'!$B$82:$B$137,1)+1)-INDEX('Demand Curves'!$C$82:$C$137,MATCH(AA118+AA15,'Demand Curves'!$B$82:$B$137,1)))))/1000000-AA120/IFERROR(INDEX('Demand Curves'!$D:$AC,MATCH("Annual TAM shift multiplier",'Demand Curves'!$A:$A,0),AA$5+1),1))*IFERROR(INDEX('Demand Curves'!$D:$AC,MATCH("Annual TAM shift multiplier",'Demand Curves'!$A:$A,0),AA$5+1),1)*IFERROR(INDEX(Assumptions!$D:$AC,MATCH("Utilization % (fleet ramp) — year-row",Assumptions!$A:$A,0),AA$5+1),1))*(1-INDEX(Assumptions!$B:$B,MATCH("Starlink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($mm/sat/yr)",CapEx!$A:$A,0),AA$5+1),0)</f>
        <v>0</v>
      </c>
      <c r="AB212" s="45" cm="1">
        <f t="array" aca="1" ref="AB212" ca="1">((IF(AB118+AB15&gt;=MAX('Demand Curves'!$B$82:$B$137),MAX('Demand Curves'!$C$82:$C$137),IF(AB118+AB15&lt;=MIN('Demand Curves'!$B$82:$B$137),MIN('Demand Curves'!$C$82:$C$137),INDEX('Demand Curves'!$C$82:$C$137,MATCH(AB118+AB15,'Demand Curves'!$B$82:$B$137,1))+(AB118+AB15-INDEX('Demand Curves'!$B$82:$B$137,MATCH(AB118+AB15,'Demand Curves'!$B$82:$B$137,1)))/(INDEX('Demand Curves'!$B$82:$B$137,MATCH(AB118+AB15,'Demand Curves'!$B$82:$B$137,1)+1)-INDEX('Demand Curves'!$B$82:$B$137,MATCH(AB118+AB15,'Demand Curves'!$B$82:$B$137,1)))*(INDEX('Demand Curves'!$C$82:$C$137,MATCH(AB118+AB15,'Demand Curves'!$B$82:$B$137,1)+1)-INDEX('Demand Curves'!$C$82:$C$137,MATCH(AB118+AB15,'Demand Curves'!$B$82:$B$137,1)))))/1000000-AB120/IFERROR(INDEX('Demand Curves'!$D:$AC,MATCH("Annual TAM shift multiplier",'Demand Curves'!$A:$A,0),AB$5+1),1))*IFERROR(INDEX('Demand Curves'!$D:$AC,MATCH("Annual TAM shift multiplier",'Demand Curves'!$A:$A,0),AB$5+1),1)*IFERROR(INDEX(Assumptions!$D:$AC,MATCH("Utilization % (fleet ramp) — year-row",Assumptions!$A:$A,0),AB$5+1),1))*(1-INDEX(Assumptions!$B:$B,MATCH("Starlink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($mm/sat/yr)",CapEx!$A:$A,0),AB$5+1),0)</f>
        <v>0</v>
      </c>
      <c r="AC212" s="45" cm="1">
        <f t="array" aca="1" ref="AC212" ca="1">((IF(AC118+AC15&gt;=MAX('Demand Curves'!$B$82:$B$137),MAX('Demand Curves'!$C$82:$C$137),IF(AC118+AC15&lt;=MIN('Demand Curves'!$B$82:$B$137),MIN('Demand Curves'!$C$82:$C$137),INDEX('Demand Curves'!$C$82:$C$137,MATCH(AC118+AC15,'Demand Curves'!$B$82:$B$137,1))+(AC118+AC15-INDEX('Demand Curves'!$B$82:$B$137,MATCH(AC118+AC15,'Demand Curves'!$B$82:$B$137,1)))/(INDEX('Demand Curves'!$B$82:$B$137,MATCH(AC118+AC15,'Demand Curves'!$B$82:$B$137,1)+1)-INDEX('Demand Curves'!$B$82:$B$137,MATCH(AC118+AC15,'Demand Curves'!$B$82:$B$137,1)))*(INDEX('Demand Curves'!$C$82:$C$137,MATCH(AC118+AC15,'Demand Curves'!$B$82:$B$137,1)+1)-INDEX('Demand Curves'!$C$82:$C$137,MATCH(AC118+AC15,'Demand Curves'!$B$82:$B$137,1)))))/1000000-AC120/IFERROR(INDEX('Demand Curves'!$D:$AC,MATCH("Annual TAM shift multiplier",'Demand Curves'!$A:$A,0),AC$5+1),1))*IFERROR(INDEX('Demand Curves'!$D:$AC,MATCH("Annual TAM shift multiplier",'Demand Curves'!$A:$A,0),AC$5+1),1)*IFERROR(INDEX(Assumptions!$D:$AC,MATCH("Utilization % (fleet ramp) — year-row",Assumptions!$A:$A,0),AC$5+1),1))*(1-INDEX(Assumptions!$B:$B,MATCH("Starlink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($mm/sat/yr)",CapEx!$A:$A,0),AC$5+1),0)</f>
        <v>0</v>
      </c>
    </row>
    <row r="213" spans="1:29" x14ac:dyDescent="0.2">
      <c r="A213" s="18" t="s">
        <v>921</v>
      </c>
      <c r="D213" s="46" cm="1">
        <f t="array" aca="1" ref="D213" ca="1">IFERROR(IRR(IF(_xlfn.SEQUENCE(1,INDEX(Assumptions!$B:$B,MATCH("MFW-IRR — Starlink economic life N (years)",Assumptions!$A:$A,0))+1)=1,-D211,D212)),-1)</f>
        <v>0.52741752859343927</v>
      </c>
      <c r="E213" s="46" cm="1">
        <f t="array" aca="1" ref="E213" ca="1">IFERROR(IRR(IF(_xlfn.SEQUENCE(1,INDEX(Assumptions!$B:$B,MATCH("MFW-IRR — Starlink economic life N (years)",Assumptions!$A:$A,0))+1)=1,-E211,E212)),-1)</f>
        <v>0.82814781472315269</v>
      </c>
      <c r="F213" s="46" cm="1">
        <f t="array" aca="1" ref="F213" ca="1">IFERROR(IRR(IF(_xlfn.SEQUENCE(1,INDEX(Assumptions!$B:$B,MATCH("MFW-IRR — Starlink economic life N (years)",Assumptions!$A:$A,0))+1)=1,-F211,F212)),-1)</f>
        <v>1.2047877433326284</v>
      </c>
      <c r="G213" s="46" cm="1">
        <f t="array" aca="1" ref="G213" ca="1">IFERROR(IRR(IF(_xlfn.SEQUENCE(1,INDEX(Assumptions!$B:$B,MATCH("MFW-IRR — Starlink economic life N (years)",Assumptions!$A:$A,0))+1)=1,-G211,G212)),-1)</f>
        <v>1.6127643829162714</v>
      </c>
      <c r="H213" s="46" cm="1">
        <f t="array" aca="1" ref="H213" ca="1">IFERROR(IRR(IF(_xlfn.SEQUENCE(1,INDEX(Assumptions!$B:$B,MATCH("MFW-IRR — Starlink economic life N (years)",Assumptions!$A:$A,0))+1)=1,-H211,H212)),-1)</f>
        <v>2.0942994675558757</v>
      </c>
      <c r="I213" s="46" cm="1">
        <f t="array" aca="1" ref="I213" ca="1">IFERROR(IRR(IF(_xlfn.SEQUENCE(1,INDEX(Assumptions!$B:$B,MATCH("MFW-IRR — Starlink economic life N (years)",Assumptions!$A:$A,0))+1)=1,-I211,I212)),-1)</f>
        <v>-1</v>
      </c>
      <c r="J213" s="46" cm="1">
        <f t="array" aca="1" ref="J213" ca="1">IFERROR(IRR(IF(_xlfn.SEQUENCE(1,INDEX(Assumptions!$B:$B,MATCH("MFW-IRR — Starlink economic life N (years)",Assumptions!$A:$A,0))+1)=1,-J211,J212)),-1)</f>
        <v>-1</v>
      </c>
      <c r="K213" s="46" cm="1">
        <f t="array" aca="1" ref="K213" ca="1">IFERROR(IRR(IF(_xlfn.SEQUENCE(1,INDEX(Assumptions!$B:$B,MATCH("MFW-IRR — Starlink economic life N (years)",Assumptions!$A:$A,0))+1)=1,-K211,K212)),-1)</f>
        <v>-1</v>
      </c>
      <c r="L213" s="46" cm="1">
        <f t="array" aca="1" ref="L213" ca="1">IFERROR(IRR(IF(_xlfn.SEQUENCE(1,INDEX(Assumptions!$B:$B,MATCH("MFW-IRR — Starlink economic life N (years)",Assumptions!$A:$A,0))+1)=1,-L211,L212)),-1)</f>
        <v>-1</v>
      </c>
      <c r="M213" s="46" cm="1">
        <f t="array" aca="1" ref="M213" ca="1">IFERROR(IRR(IF(_xlfn.SEQUENCE(1,INDEX(Assumptions!$B:$B,MATCH("MFW-IRR — Starlink economic life N (years)",Assumptions!$A:$A,0))+1)=1,-M211,M212)),-1)</f>
        <v>-1</v>
      </c>
      <c r="N213" s="46" cm="1">
        <f t="array" aca="1" ref="N213" ca="1">IFERROR(IRR(IF(_xlfn.SEQUENCE(1,INDEX(Assumptions!$B:$B,MATCH("MFW-IRR — Starlink economic life N (years)",Assumptions!$A:$A,0))+1)=1,-N211,N212)),-1)</f>
        <v>-1</v>
      </c>
      <c r="O213" s="46" cm="1">
        <f t="array" aca="1" ref="O213" ca="1">IFERROR(IRR(IF(_xlfn.SEQUENCE(1,INDEX(Assumptions!$B:$B,MATCH("MFW-IRR — Starlink economic life N (years)",Assumptions!$A:$A,0))+1)=1,-O211,O212)),-1)</f>
        <v>-1</v>
      </c>
      <c r="P213" s="46" cm="1">
        <f t="array" aca="1" ref="P213" ca="1">IFERROR(IRR(IF(_xlfn.SEQUENCE(1,INDEX(Assumptions!$B:$B,MATCH("MFW-IRR — Starlink economic life N (years)",Assumptions!$A:$A,0))+1)=1,-P211,P212)),-1)</f>
        <v>-1</v>
      </c>
      <c r="Q213" s="46" cm="1">
        <f t="array" aca="1" ref="Q213" ca="1">IFERROR(IRR(IF(_xlfn.SEQUENCE(1,INDEX(Assumptions!$B:$B,MATCH("MFW-IRR — Starlink economic life N (years)",Assumptions!$A:$A,0))+1)=1,-Q211,Q212)),-1)</f>
        <v>-1</v>
      </c>
      <c r="R213" s="46" cm="1">
        <f t="array" aca="1" ref="R213" ca="1">IFERROR(IRR(IF(_xlfn.SEQUENCE(1,INDEX(Assumptions!$B:$B,MATCH("MFW-IRR — Starlink economic life N (years)",Assumptions!$A:$A,0))+1)=1,-R211,R212)),-1)</f>
        <v>-1</v>
      </c>
      <c r="S213" s="46" cm="1">
        <f t="array" aca="1" ref="S213" ca="1">IFERROR(IRR(IF(_xlfn.SEQUENCE(1,INDEX(Assumptions!$B:$B,MATCH("MFW-IRR — Starlink economic life N (years)",Assumptions!$A:$A,0))+1)=1,-S211,S212)),-1)</f>
        <v>-1</v>
      </c>
      <c r="T213" s="46" cm="1">
        <f t="array" aca="1" ref="T213" ca="1">IFERROR(IRR(IF(_xlfn.SEQUENCE(1,INDEX(Assumptions!$B:$B,MATCH("MFW-IRR — Starlink economic life N (years)",Assumptions!$A:$A,0))+1)=1,-T211,T212)),-1)</f>
        <v>-1</v>
      </c>
      <c r="U213" s="46" cm="1">
        <f t="array" aca="1" ref="U213" ca="1">IFERROR(IRR(IF(_xlfn.SEQUENCE(1,INDEX(Assumptions!$B:$B,MATCH("MFW-IRR — Starlink economic life N (years)",Assumptions!$A:$A,0))+1)=1,-U211,U212)),-1)</f>
        <v>-1</v>
      </c>
      <c r="V213" s="46" cm="1">
        <f t="array" aca="1" ref="V213" ca="1">IFERROR(IRR(IF(_xlfn.SEQUENCE(1,INDEX(Assumptions!$B:$B,MATCH("MFW-IRR — Starlink economic life N (years)",Assumptions!$A:$A,0))+1)=1,-V211,V212)),-1)</f>
        <v>-1</v>
      </c>
      <c r="W213" s="46" cm="1">
        <f t="array" aca="1" ref="W213" ca="1">IFERROR(IRR(IF(_xlfn.SEQUENCE(1,INDEX(Assumptions!$B:$B,MATCH("MFW-IRR — Starlink economic life N (years)",Assumptions!$A:$A,0))+1)=1,-W211,W212)),-1)</f>
        <v>-1</v>
      </c>
      <c r="X213" s="46" cm="1">
        <f t="array" aca="1" ref="X213" ca="1">IFERROR(IRR(IF(_xlfn.SEQUENCE(1,INDEX(Assumptions!$B:$B,MATCH("MFW-IRR — Starlink economic life N (years)",Assumptions!$A:$A,0))+1)=1,-X211,X212)),-1)</f>
        <v>-1</v>
      </c>
      <c r="Y213" s="46" cm="1">
        <f t="array" aca="1" ref="Y213" ca="1">IFERROR(IRR(IF(_xlfn.SEQUENCE(1,INDEX(Assumptions!$B:$B,MATCH("MFW-IRR — Starlink economic life N (years)",Assumptions!$A:$A,0))+1)=1,-Y211,Y212)),-1)</f>
        <v>-1</v>
      </c>
      <c r="Z213" s="46" cm="1">
        <f t="array" aca="1" ref="Z213" ca="1">IFERROR(IRR(IF(_xlfn.SEQUENCE(1,INDEX(Assumptions!$B:$B,MATCH("MFW-IRR — Starlink economic life N (years)",Assumptions!$A:$A,0))+1)=1,-Z211,Z212)),-1)</f>
        <v>-1</v>
      </c>
      <c r="AA213" s="46" cm="1">
        <f t="array" aca="1" ref="AA213" ca="1">IFERROR(IRR(IF(_xlfn.SEQUENCE(1,INDEX(Assumptions!$B:$B,MATCH("MFW-IRR — Starlink economic life N (years)",Assumptions!$A:$A,0))+1)=1,-AA211,AA212)),-1)</f>
        <v>-1</v>
      </c>
      <c r="AB213" s="46" cm="1">
        <f t="array" aca="1" ref="AB213" ca="1">IFERROR(IRR(IF(_xlfn.SEQUENCE(1,INDEX(Assumptions!$B:$B,MATCH("MFW-IRR — Starlink economic life N (years)",Assumptions!$A:$A,0))+1)=1,-AB211,AB212)),-1)</f>
        <v>-1</v>
      </c>
      <c r="AC213" s="46" cm="1">
        <f t="array" aca="1" ref="AC213" ca="1">IFERROR(IRR(IF(_xlfn.SEQUENCE(1,INDEX(Assumptions!$B:$B,MATCH("MFW-IRR — Starlink economic life N (years)",Assumptions!$A:$A,0))+1)=1,-AC211,AC212)),-1)</f>
        <v>-1</v>
      </c>
    </row>
    <row r="214" spans="1:29" x14ac:dyDescent="0.2">
      <c r="A214" s="18" t="s">
        <v>922</v>
      </c>
      <c r="D214" s="46" cm="1">
        <f t="array" aca="1" ref="D214" ca="1">IFERROR(INDEX($D213:$AC213,1,D$5+1+IFERROR(INDEX(Assumptions!$B:$B,MATCH("Forward IRR look-ahead horizon (years)",Assumptions!$A:$A,0)),2)),-1)</f>
        <v>1.2047877433326284</v>
      </c>
      <c r="E214" s="46" cm="1">
        <f t="array" aca="1" ref="E214" ca="1">IFERROR(INDEX($D213:$AC213,1,E$5+1+IFERROR(INDEX(Assumptions!$B:$B,MATCH("Forward IRR look-ahead horizon (years)",Assumptions!$A:$A,0)),2)),-1)</f>
        <v>1.6127643829162714</v>
      </c>
      <c r="F214" s="46" cm="1">
        <f t="array" aca="1" ref="F214" ca="1">IFERROR(INDEX($D213:$AC213,1,F$5+1+IFERROR(INDEX(Assumptions!$B:$B,MATCH("Forward IRR look-ahead horizon (years)",Assumptions!$A:$A,0)),2)),-1)</f>
        <v>2.0942994675558757</v>
      </c>
      <c r="G214" s="46" cm="1">
        <f t="array" aca="1" ref="G214" ca="1">IFERROR(INDEX($D213:$AC213,1,G$5+1+IFERROR(INDEX(Assumptions!$B:$B,MATCH("Forward IRR look-ahead horizon (years)",Assumptions!$A:$A,0)),2)),-1)</f>
        <v>-1</v>
      </c>
      <c r="H214" s="46" cm="1">
        <f t="array" aca="1" ref="H214" ca="1">IFERROR(INDEX($D213:$AC213,1,H$5+1+IFERROR(INDEX(Assumptions!$B:$B,MATCH("Forward IRR look-ahead horizon (years)",Assumptions!$A:$A,0)),2)),-1)</f>
        <v>-1</v>
      </c>
      <c r="I214" s="46" cm="1">
        <f t="array" aca="1" ref="I214" ca="1">IFERROR(INDEX($D213:$AC213,1,I$5+1+IFERROR(INDEX(Assumptions!$B:$B,MATCH("Forward IRR look-ahead horizon (years)",Assumptions!$A:$A,0)),2)),-1)</f>
        <v>-1</v>
      </c>
      <c r="J214" s="46" cm="1">
        <f t="array" aca="1" ref="J214" ca="1">IFERROR(INDEX($D213:$AC213,1,J$5+1+IFERROR(INDEX(Assumptions!$B:$B,MATCH("Forward IRR look-ahead horizon (years)",Assumptions!$A:$A,0)),2)),-1)</f>
        <v>-1</v>
      </c>
      <c r="K214" s="46" cm="1">
        <f t="array" aca="1" ref="K214" ca="1">IFERROR(INDEX($D213:$AC213,1,K$5+1+IFERROR(INDEX(Assumptions!$B:$B,MATCH("Forward IRR look-ahead horizon (years)",Assumptions!$A:$A,0)),2)),-1)</f>
        <v>-1</v>
      </c>
      <c r="L214" s="46" cm="1">
        <f t="array" aca="1" ref="L214" ca="1">IFERROR(INDEX($D213:$AC213,1,L$5+1+IFERROR(INDEX(Assumptions!$B:$B,MATCH("Forward IRR look-ahead horizon (years)",Assumptions!$A:$A,0)),2)),-1)</f>
        <v>-1</v>
      </c>
      <c r="M214" s="46" cm="1">
        <f t="array" aca="1" ref="M214" ca="1">IFERROR(INDEX($D213:$AC213,1,M$5+1+IFERROR(INDEX(Assumptions!$B:$B,MATCH("Forward IRR look-ahead horizon (years)",Assumptions!$A:$A,0)),2)),-1)</f>
        <v>-1</v>
      </c>
      <c r="N214" s="46" cm="1">
        <f t="array" aca="1" ref="N214" ca="1">IFERROR(INDEX($D213:$AC213,1,N$5+1+IFERROR(INDEX(Assumptions!$B:$B,MATCH("Forward IRR look-ahead horizon (years)",Assumptions!$A:$A,0)),2)),-1)</f>
        <v>-1</v>
      </c>
      <c r="O214" s="46" cm="1">
        <f t="array" aca="1" ref="O214" ca="1">IFERROR(INDEX($D213:$AC213,1,O$5+1+IFERROR(INDEX(Assumptions!$B:$B,MATCH("Forward IRR look-ahead horizon (years)",Assumptions!$A:$A,0)),2)),-1)</f>
        <v>-1</v>
      </c>
      <c r="P214" s="46" cm="1">
        <f t="array" aca="1" ref="P214" ca="1">IFERROR(INDEX($D213:$AC213,1,P$5+1+IFERROR(INDEX(Assumptions!$B:$B,MATCH("Forward IRR look-ahead horizon (years)",Assumptions!$A:$A,0)),2)),-1)</f>
        <v>-1</v>
      </c>
      <c r="Q214" s="46" cm="1">
        <f t="array" aca="1" ref="Q214" ca="1">IFERROR(INDEX($D213:$AC213,1,Q$5+1+IFERROR(INDEX(Assumptions!$B:$B,MATCH("Forward IRR look-ahead horizon (years)",Assumptions!$A:$A,0)),2)),-1)</f>
        <v>-1</v>
      </c>
      <c r="R214" s="46" cm="1">
        <f t="array" aca="1" ref="R214" ca="1">IFERROR(INDEX($D213:$AC213,1,R$5+1+IFERROR(INDEX(Assumptions!$B:$B,MATCH("Forward IRR look-ahead horizon (years)",Assumptions!$A:$A,0)),2)),-1)</f>
        <v>-1</v>
      </c>
      <c r="S214" s="46" cm="1">
        <f t="array" aca="1" ref="S214" ca="1">IFERROR(INDEX($D213:$AC213,1,S$5+1+IFERROR(INDEX(Assumptions!$B:$B,MATCH("Forward IRR look-ahead horizon (years)",Assumptions!$A:$A,0)),2)),-1)</f>
        <v>-1</v>
      </c>
      <c r="T214" s="46" cm="1">
        <f t="array" aca="1" ref="T214" ca="1">IFERROR(INDEX($D213:$AC213,1,T$5+1+IFERROR(INDEX(Assumptions!$B:$B,MATCH("Forward IRR look-ahead horizon (years)",Assumptions!$A:$A,0)),2)),-1)</f>
        <v>-1</v>
      </c>
      <c r="U214" s="46" cm="1">
        <f t="array" aca="1" ref="U214" ca="1">IFERROR(INDEX($D213:$AC213,1,U$5+1+IFERROR(INDEX(Assumptions!$B:$B,MATCH("Forward IRR look-ahead horizon (years)",Assumptions!$A:$A,0)),2)),-1)</f>
        <v>-1</v>
      </c>
      <c r="V214" s="46" cm="1">
        <f t="array" aca="1" ref="V214" ca="1">IFERROR(INDEX($D213:$AC213,1,V$5+1+IFERROR(INDEX(Assumptions!$B:$B,MATCH("Forward IRR look-ahead horizon (years)",Assumptions!$A:$A,0)),2)),-1)</f>
        <v>-1</v>
      </c>
      <c r="W214" s="46" cm="1">
        <f t="array" aca="1" ref="W214" ca="1">IFERROR(INDEX($D213:$AC213,1,W$5+1+IFERROR(INDEX(Assumptions!$B:$B,MATCH("Forward IRR look-ahead horizon (years)",Assumptions!$A:$A,0)),2)),-1)</f>
        <v>-1</v>
      </c>
      <c r="X214" s="46" cm="1">
        <f t="array" aca="1" ref="X214" ca="1">IFERROR(INDEX($D213:$AC213,1,X$5+1+IFERROR(INDEX(Assumptions!$B:$B,MATCH("Forward IRR look-ahead horizon (years)",Assumptions!$A:$A,0)),2)),-1)</f>
        <v>-1</v>
      </c>
      <c r="Y214" s="46" cm="1">
        <f t="array" aca="1" ref="Y214" ca="1">IFERROR(INDEX($D213:$AC213,1,Y$5+1+IFERROR(INDEX(Assumptions!$B:$B,MATCH("Forward IRR look-ahead horizon (years)",Assumptions!$A:$A,0)),2)),-1)</f>
        <v>-1</v>
      </c>
      <c r="Z214" s="46" cm="1">
        <f t="array" aca="1" ref="Z214" ca="1">IFERROR(INDEX($D213:$AC213,1,Z$5+1+IFERROR(INDEX(Assumptions!$B:$B,MATCH("Forward IRR look-ahead horizon (years)",Assumptions!$A:$A,0)),2)),-1)</f>
        <v>-1</v>
      </c>
      <c r="AA214" s="46" cm="1">
        <f t="array" aca="1" ref="AA214" ca="1">IFERROR(INDEX($D213:$AC213,1,AA$5+1+IFERROR(INDEX(Assumptions!$B:$B,MATCH("Forward IRR look-ahead horizon (years)",Assumptions!$A:$A,0)),2)),-1)</f>
        <v>-1</v>
      </c>
      <c r="AB214" s="46" cm="1">
        <f t="array" ref="AB214">IFERROR(INDEX($D213:$AC213,1,AB$5+1+IFERROR(INDEX(Assumptions!$B:$B,MATCH("Forward IRR look-ahead horizon (years)",Assumptions!$A:$A,0)),2)),-1)</f>
        <v>-1</v>
      </c>
      <c r="AC214" s="46" cm="1">
        <f t="array" ref="AC214">IFERROR(INDEX($D213:$AC213,1,AC$5+1+IFERROR(INDEX(Assumptions!$B:$B,MATCH("Forward IRR look-ahead horizon (years)",Assumptions!$A:$A,0)),2)),-1)</f>
        <v>-1</v>
      </c>
    </row>
    <row r="215" spans="1:29" x14ac:dyDescent="0.2">
      <c r="A215" s="18" t="s">
        <v>923</v>
      </c>
      <c r="D215" s="46">
        <f ca="1">(1-INDEX(Assumptions!$B:$B,MATCH("Forward IRR weight w (Blended = (1-w)·Spot + w·Forward)",Assumptions!$A:$A,0)))*D213+INDEX(Assumptions!$B:$B,MATCH("Forward IRR weight w (Blended = (1-w)·Spot + w·Forward)",Assumptions!$A:$A,0))*D214</f>
        <v>1.0015766789108715</v>
      </c>
      <c r="E215" s="46">
        <f ca="1">(1-INDEX(Assumptions!$B:$B,MATCH("Forward IRR weight w (Blended = (1-w)·Spot + w·Forward)",Assumptions!$A:$A,0)))*E213+INDEX(Assumptions!$B:$B,MATCH("Forward IRR weight w (Blended = (1-w)·Spot + w·Forward)",Assumptions!$A:$A,0))*E214</f>
        <v>1.3773794124583358</v>
      </c>
      <c r="F215" s="46">
        <f ca="1">(1-INDEX(Assumptions!$B:$B,MATCH("Forward IRR weight w (Blended = (1-w)·Spot + w·Forward)",Assumptions!$A:$A,0)))*F213+INDEX(Assumptions!$B:$B,MATCH("Forward IRR weight w (Blended = (1-w)·Spot + w·Forward)",Assumptions!$A:$A,0))*F214</f>
        <v>1.8274459502889016</v>
      </c>
      <c r="G215" s="46">
        <f ca="1">(1-INDEX(Assumptions!$B:$B,MATCH("Forward IRR weight w (Blended = (1-w)·Spot + w·Forward)",Assumptions!$A:$A,0)))*G213+INDEX(Assumptions!$B:$B,MATCH("Forward IRR weight w (Blended = (1-w)·Spot + w·Forward)",Assumptions!$A:$A,0))*G214</f>
        <v>-0.21617068512511844</v>
      </c>
      <c r="H215" s="46">
        <f ca="1">(1-INDEX(Assumptions!$B:$B,MATCH("Forward IRR weight w (Blended = (1-w)·Spot + w·Forward)",Assumptions!$A:$A,0)))*H213+INDEX(Assumptions!$B:$B,MATCH("Forward IRR weight w (Blended = (1-w)·Spot + w·Forward)",Assumptions!$A:$A,0))*H214</f>
        <v>-7.1710159733237133E-2</v>
      </c>
      <c r="I215" s="46">
        <f ca="1">(1-INDEX(Assumptions!$B:$B,MATCH("Forward IRR weight w (Blended = (1-w)·Spot + w·Forward)",Assumptions!$A:$A,0)))*I213+INDEX(Assumptions!$B:$B,MATCH("Forward IRR weight w (Blended = (1-w)·Spot + w·Forward)",Assumptions!$A:$A,0))*I214</f>
        <v>-1</v>
      </c>
      <c r="J215" s="46">
        <f ca="1">(1-INDEX(Assumptions!$B:$B,MATCH("Forward IRR weight w (Blended = (1-w)·Spot + w·Forward)",Assumptions!$A:$A,0)))*J213+INDEX(Assumptions!$B:$B,MATCH("Forward IRR weight w (Blended = (1-w)·Spot + w·Forward)",Assumptions!$A:$A,0))*J214</f>
        <v>-1</v>
      </c>
      <c r="K215" s="46">
        <f ca="1">(1-INDEX(Assumptions!$B:$B,MATCH("Forward IRR weight w (Blended = (1-w)·Spot + w·Forward)",Assumptions!$A:$A,0)))*K213+INDEX(Assumptions!$B:$B,MATCH("Forward IRR weight w (Blended = (1-w)·Spot + w·Forward)",Assumptions!$A:$A,0))*K214</f>
        <v>-1</v>
      </c>
      <c r="L215" s="46">
        <f ca="1">(1-INDEX(Assumptions!$B:$B,MATCH("Forward IRR weight w (Blended = (1-w)·Spot + w·Forward)",Assumptions!$A:$A,0)))*L213+INDEX(Assumptions!$B:$B,MATCH("Forward IRR weight w (Blended = (1-w)·Spot + w·Forward)",Assumptions!$A:$A,0))*L214</f>
        <v>-1</v>
      </c>
      <c r="M215" s="46">
        <f ca="1">(1-INDEX(Assumptions!$B:$B,MATCH("Forward IRR weight w (Blended = (1-w)·Spot + w·Forward)",Assumptions!$A:$A,0)))*M213+INDEX(Assumptions!$B:$B,MATCH("Forward IRR weight w (Blended = (1-w)·Spot + w·Forward)",Assumptions!$A:$A,0))*M214</f>
        <v>-1</v>
      </c>
      <c r="N215" s="46">
        <f ca="1">(1-INDEX(Assumptions!$B:$B,MATCH("Forward IRR weight w (Blended = (1-w)·Spot + w·Forward)",Assumptions!$A:$A,0)))*N213+INDEX(Assumptions!$B:$B,MATCH("Forward IRR weight w (Blended = (1-w)·Spot + w·Forward)",Assumptions!$A:$A,0))*N214</f>
        <v>-1</v>
      </c>
      <c r="O215" s="46">
        <f ca="1">(1-INDEX(Assumptions!$B:$B,MATCH("Forward IRR weight w (Blended = (1-w)·Spot + w·Forward)",Assumptions!$A:$A,0)))*O213+INDEX(Assumptions!$B:$B,MATCH("Forward IRR weight w (Blended = (1-w)·Spot + w·Forward)",Assumptions!$A:$A,0))*O214</f>
        <v>-1</v>
      </c>
      <c r="P215" s="46">
        <f ca="1">(1-INDEX(Assumptions!$B:$B,MATCH("Forward IRR weight w (Blended = (1-w)·Spot + w·Forward)",Assumptions!$A:$A,0)))*P213+INDEX(Assumptions!$B:$B,MATCH("Forward IRR weight w (Blended = (1-w)·Spot + w·Forward)",Assumptions!$A:$A,0))*P214</f>
        <v>-1</v>
      </c>
      <c r="Q215" s="46">
        <f ca="1">(1-INDEX(Assumptions!$B:$B,MATCH("Forward IRR weight w (Blended = (1-w)·Spot + w·Forward)",Assumptions!$A:$A,0)))*Q213+INDEX(Assumptions!$B:$B,MATCH("Forward IRR weight w (Blended = (1-w)·Spot + w·Forward)",Assumptions!$A:$A,0))*Q214</f>
        <v>-1</v>
      </c>
      <c r="R215" s="46">
        <f ca="1">(1-INDEX(Assumptions!$B:$B,MATCH("Forward IRR weight w (Blended = (1-w)·Spot + w·Forward)",Assumptions!$A:$A,0)))*R213+INDEX(Assumptions!$B:$B,MATCH("Forward IRR weight w (Blended = (1-w)·Spot + w·Forward)",Assumptions!$A:$A,0))*R214</f>
        <v>-1</v>
      </c>
      <c r="S215" s="46">
        <f ca="1">(1-INDEX(Assumptions!$B:$B,MATCH("Forward IRR weight w (Blended = (1-w)·Spot + w·Forward)",Assumptions!$A:$A,0)))*S213+INDEX(Assumptions!$B:$B,MATCH("Forward IRR weight w (Blended = (1-w)·Spot + w·Forward)",Assumptions!$A:$A,0))*S214</f>
        <v>-1</v>
      </c>
      <c r="T215" s="46">
        <f ca="1">(1-INDEX(Assumptions!$B:$B,MATCH("Forward IRR weight w (Blended = (1-w)·Spot + w·Forward)",Assumptions!$A:$A,0)))*T213+INDEX(Assumptions!$B:$B,MATCH("Forward IRR weight w (Blended = (1-w)·Spot + w·Forward)",Assumptions!$A:$A,0))*T214</f>
        <v>-1</v>
      </c>
      <c r="U215" s="46">
        <f ca="1">(1-INDEX(Assumptions!$B:$B,MATCH("Forward IRR weight w (Blended = (1-w)·Spot + w·Forward)",Assumptions!$A:$A,0)))*U213+INDEX(Assumptions!$B:$B,MATCH("Forward IRR weight w (Blended = (1-w)·Spot + w·Forward)",Assumptions!$A:$A,0))*U214</f>
        <v>-1</v>
      </c>
      <c r="V215" s="46">
        <f ca="1">(1-INDEX(Assumptions!$B:$B,MATCH("Forward IRR weight w (Blended = (1-w)·Spot + w·Forward)",Assumptions!$A:$A,0)))*V213+INDEX(Assumptions!$B:$B,MATCH("Forward IRR weight w (Blended = (1-w)·Spot + w·Forward)",Assumptions!$A:$A,0))*V214</f>
        <v>-1</v>
      </c>
      <c r="W215" s="46">
        <f ca="1">(1-INDEX(Assumptions!$B:$B,MATCH("Forward IRR weight w (Blended = (1-w)·Spot + w·Forward)",Assumptions!$A:$A,0)))*W213+INDEX(Assumptions!$B:$B,MATCH("Forward IRR weight w (Blended = (1-w)·Spot + w·Forward)",Assumptions!$A:$A,0))*W214</f>
        <v>-1</v>
      </c>
      <c r="X215" s="46">
        <f ca="1">(1-INDEX(Assumptions!$B:$B,MATCH("Forward IRR weight w (Blended = (1-w)·Spot + w·Forward)",Assumptions!$A:$A,0)))*X213+INDEX(Assumptions!$B:$B,MATCH("Forward IRR weight w (Blended = (1-w)·Spot + w·Forward)",Assumptions!$A:$A,0))*X214</f>
        <v>-1</v>
      </c>
      <c r="Y215" s="46">
        <f ca="1">(1-INDEX(Assumptions!$B:$B,MATCH("Forward IRR weight w (Blended = (1-w)·Spot + w·Forward)",Assumptions!$A:$A,0)))*Y213+INDEX(Assumptions!$B:$B,MATCH("Forward IRR weight w (Blended = (1-w)·Spot + w·Forward)",Assumptions!$A:$A,0))*Y214</f>
        <v>-1</v>
      </c>
      <c r="Z215" s="46">
        <f ca="1">(1-INDEX(Assumptions!$B:$B,MATCH("Forward IRR weight w (Blended = (1-w)·Spot + w·Forward)",Assumptions!$A:$A,0)))*Z213+INDEX(Assumptions!$B:$B,MATCH("Forward IRR weight w (Blended = (1-w)·Spot + w·Forward)",Assumptions!$A:$A,0))*Z214</f>
        <v>-1</v>
      </c>
      <c r="AA215" s="46">
        <f ca="1">(1-INDEX(Assumptions!$B:$B,MATCH("Forward IRR weight w (Blended = (1-w)·Spot + w·Forward)",Assumptions!$A:$A,0)))*AA213+INDEX(Assumptions!$B:$B,MATCH("Forward IRR weight w (Blended = (1-w)·Spot + w·Forward)",Assumptions!$A:$A,0))*AA214</f>
        <v>-1</v>
      </c>
      <c r="AB215" s="46">
        <f ca="1">(1-INDEX(Assumptions!$B:$B,MATCH("Forward IRR weight w (Blended = (1-w)·Spot + w·Forward)",Assumptions!$A:$A,0)))*AB213+INDEX(Assumptions!$B:$B,MATCH("Forward IRR weight w (Blended = (1-w)·Spot + w·Forward)",Assumptions!$A:$A,0))*AB214</f>
        <v>-1</v>
      </c>
      <c r="AC215" s="46">
        <f ca="1">(1-INDEX(Assumptions!$B:$B,MATCH("Forward IRR weight w (Blended = (1-w)·Spot + w·Forward)",Assumptions!$A:$A,0)))*AC213+INDEX(Assumptions!$B:$B,MATCH("Forward IRR weight w (Blended = (1-w)·Spot + w·Forward)",Assumptions!$A:$A,0))*AC214</f>
        <v>-1</v>
      </c>
    </row>
    <row r="216" spans="1:29" x14ac:dyDescent="0.2">
      <c r="A216" s="18" t="s">
        <v>924</v>
      </c>
      <c r="D216" s="45">
        <f>D79+D84</f>
        <v>0.46440000000000003</v>
      </c>
      <c r="E216" s="45">
        <f t="shared" ref="E216:AC216" si="37">E79+E84</f>
        <v>0.43664749999999997</v>
      </c>
      <c r="F216" s="45">
        <f t="shared" si="37"/>
        <v>0.41073587500000003</v>
      </c>
      <c r="G216" s="45">
        <f t="shared" si="37"/>
        <v>0.38652775624999997</v>
      </c>
      <c r="H216" s="45">
        <f t="shared" si="37"/>
        <v>0.36389717593750004</v>
      </c>
      <c r="I216" s="45">
        <f t="shared" si="37"/>
        <v>0.34272854389062501</v>
      </c>
      <c r="J216" s="45">
        <f t="shared" si="37"/>
        <v>0.32291572077109376</v>
      </c>
      <c r="K216" s="45">
        <f t="shared" si="37"/>
        <v>0.30436117840003907</v>
      </c>
      <c r="L216" s="45">
        <f t="shared" si="37"/>
        <v>0.28697523878078712</v>
      </c>
      <c r="M216" s="45">
        <f t="shared" si="37"/>
        <v>0.27067538421242276</v>
      </c>
      <c r="N216" s="45">
        <f t="shared" si="37"/>
        <v>0.261607700595065</v>
      </c>
      <c r="O216" s="45">
        <f t="shared" si="37"/>
        <v>0.25844693053555851</v>
      </c>
      <c r="P216" s="45">
        <f t="shared" si="37"/>
        <v>0.25560223748200267</v>
      </c>
      <c r="Q216" s="45">
        <f t="shared" si="37"/>
        <v>0.25304201373380242</v>
      </c>
      <c r="R216" s="45">
        <f t="shared" si="37"/>
        <v>0.25073781236042214</v>
      </c>
      <c r="S216" s="45">
        <f t="shared" si="37"/>
        <v>0.24866403112437996</v>
      </c>
      <c r="T216" s="45">
        <f t="shared" si="37"/>
        <v>0.24679762801194197</v>
      </c>
      <c r="U216" s="45">
        <f t="shared" si="37"/>
        <v>0.24511786521074777</v>
      </c>
      <c r="V216" s="45">
        <f t="shared" si="37"/>
        <v>0.24360607868967299</v>
      </c>
      <c r="W216" s="45">
        <f t="shared" si="37"/>
        <v>0.24224547082070569</v>
      </c>
      <c r="X216" s="45">
        <f t="shared" si="37"/>
        <v>0.24102092373863512</v>
      </c>
      <c r="Y216" s="45">
        <f t="shared" si="37"/>
        <v>0.2399188313647716</v>
      </c>
      <c r="Z216" s="45">
        <f t="shared" si="37"/>
        <v>0.23892694822829447</v>
      </c>
      <c r="AA216" s="45">
        <f t="shared" si="37"/>
        <v>0.23803425340546502</v>
      </c>
      <c r="AB216" s="45">
        <f t="shared" si="37"/>
        <v>0.23723082806491852</v>
      </c>
      <c r="AC216" s="45">
        <f t="shared" si="37"/>
        <v>0.23650774525842666</v>
      </c>
    </row>
    <row r="217" spans="1:29" x14ac:dyDescent="0.2">
      <c r="A217" s="18" t="s">
        <v>925</v>
      </c>
      <c r="D217" s="45" cm="1">
        <f t="array" aca="1" ref="D217" ca="1">((IF(D128+D16&gt;=MAX('Demand Curves'!$B$17:$B$77),MAX('Demand Curves'!$C$17:$C$77),IF(D128+D16&lt;=0,0,IF(D128+D16&lt;MIN('Demand Curves'!$B$17:$B$77),(D128+D16)*INDEX('Demand Curves'!$C$17:$C$77,1)/INDEX('Demand Curves'!$B$17:$B$77,1),INDEX('Demand Curves'!$C$17:$C$77,MATCH(D128+D16,'Demand Curves'!$B$17:$B$77,1))+(D128+D16-INDEX('Demand Curves'!$B$17:$B$77,MATCH(D128+D16,'Demand Curves'!$B$17:$B$77,1)))/(INDEX('Demand Curves'!$B$17:$B$77,MATCH(D128+D16,'Demand Curves'!$B$17:$B$77,1)+1)-INDEX('Demand Curves'!$B$17:$B$77,MATCH(D128+D16,'Demand Curves'!$B$17:$B$77,1)))*(INDEX('Demand Curves'!$C$17:$C$77,MATCH(D128+D16,'Demand Curves'!$B$17:$B$77,1)+1)-INDEX('Demand Curves'!$C$17:$C$77,MATCH(D128+D16,'Demand Curves'!$B$17:$B$77,1))))))-D131/IFERROR(INDEX('Demand Curves'!$D:$AC,MATCH("Annual TAM shift multiplier",'Demand Curves'!$A:$A,0),D$5+1),1))*IFERROR(INDEX('Demand Curves'!$D:$AC,MATCH("Annual TAM shift multiplier",'Demand Curves'!$A:$A,0),D$5+1),1)*IFERROR(INDEX(Assumptions!$D:$AC,MATCH("Utilization % (fleet ramp) — year-row",Assumptions!$A:$A,0),D$5+1),1))*(1-INDEX(Assumptions!$B:$B,MATCH("Starlink ground ops % of revenue",Assumptions!$A:$A,0))-INDEX(Assumptions!$B:$B,MATCH("Starlink insurance % of revenue",Assumptions!$A:$A,0))-INDEX(Assumptions!$B:$B,MATCH("Starlink other COGS % of revenue",Assumptions!$A:$A,0)))</f>
        <v>8.1516059957167847E-2</v>
      </c>
      <c r="E217" s="45" cm="1">
        <f t="array" aca="1" ref="E217" ca="1">((IF(E128+E16&gt;=MAX('Demand Curves'!$B$17:$B$77),MAX('Demand Curves'!$C$17:$C$77),IF(E128+E16&lt;=0,0,IF(E128+E16&lt;MIN('Demand Curves'!$B$17:$B$77),(E128+E16)*INDEX('Demand Curves'!$C$17:$C$77,1)/INDEX('Demand Curves'!$B$17:$B$77,1),INDEX('Demand Curves'!$C$17:$C$77,MATCH(E128+E16,'Demand Curves'!$B$17:$B$77,1))+(E128+E16-INDEX('Demand Curves'!$B$17:$B$77,MATCH(E128+E16,'Demand Curves'!$B$17:$B$77,1)))/(INDEX('Demand Curves'!$B$17:$B$77,MATCH(E128+E16,'Demand Curves'!$B$17:$B$77,1)+1)-INDEX('Demand Curves'!$B$17:$B$77,MATCH(E128+E16,'Demand Curves'!$B$17:$B$77,1)))*(INDEX('Demand Curves'!$C$17:$C$77,MATCH(E128+E16,'Demand Curves'!$B$17:$B$77,1)+1)-INDEX('Demand Curves'!$C$17:$C$77,MATCH(E128+E16,'Demand Curves'!$B$17:$B$77,1))))))-E131/IFERROR(INDEX('Demand Curves'!$D:$AC,MATCH("Annual TAM shift multiplier",'Demand Curves'!$A:$A,0),E$5+1),1))*IFERROR(INDEX('Demand Curves'!$D:$AC,MATCH("Annual TAM shift multiplier",'Demand Curves'!$A:$A,0),E$5+1),1)*IFERROR(INDEX(Assumptions!$D:$AC,MATCH("Utilization % (fleet ramp) — year-row",Assumptions!$A:$A,0),E$5+1),1))*(1-INDEX(Assumptions!$B:$B,MATCH("Starlink ground ops % of revenue",Assumptions!$A:$A,0))-INDEX(Assumptions!$B:$B,MATCH("Starlink insurance % of revenue",Assumptions!$A:$A,0))-INDEX(Assumptions!$B:$B,MATCH("Starlink other COGS % of revenue",Assumptions!$A:$A,0)))</f>
        <v>0.11026511850910019</v>
      </c>
      <c r="F217" s="45" cm="1">
        <f t="array" aca="1" ref="F217" ca="1">((IF(F128+F16&gt;=MAX('Demand Curves'!$B$17:$B$77),MAX('Demand Curves'!$C$17:$C$77),IF(F128+F16&lt;=0,0,IF(F128+F16&lt;MIN('Demand Curves'!$B$17:$B$77),(F128+F16)*INDEX('Demand Curves'!$C$17:$C$77,1)/INDEX('Demand Curves'!$B$17:$B$77,1),INDEX('Demand Curves'!$C$17:$C$77,MATCH(F128+F16,'Demand Curves'!$B$17:$B$77,1))+(F128+F16-INDEX('Demand Curves'!$B$17:$B$77,MATCH(F128+F16,'Demand Curves'!$B$17:$B$77,1)))/(INDEX('Demand Curves'!$B$17:$B$77,MATCH(F128+F16,'Demand Curves'!$B$17:$B$77,1)+1)-INDEX('Demand Curves'!$B$17:$B$77,MATCH(F128+F16,'Demand Curves'!$B$17:$B$77,1)))*(INDEX('Demand Curves'!$C$17:$C$77,MATCH(F128+F16,'Demand Curves'!$B$17:$B$77,1)+1)-INDEX('Demand Curves'!$C$17:$C$77,MATCH(F128+F16,'Demand Curves'!$B$17:$B$77,1))))))-F131/IFERROR(INDEX('Demand Curves'!$D:$AC,MATCH("Annual TAM shift multiplier",'Demand Curves'!$A:$A,0),F$5+1),1))*IFERROR(INDEX('Demand Curves'!$D:$AC,MATCH("Annual TAM shift multiplier",'Demand Curves'!$A:$A,0),F$5+1),1)*IFERROR(INDEX(Assumptions!$D:$AC,MATCH("Utilization % (fleet ramp) — year-row",Assumptions!$A:$A,0),F$5+1),1))*(1-INDEX(Assumptions!$B:$B,MATCH("Starlink ground ops % of revenue",Assumptions!$A:$A,0))-INDEX(Assumptions!$B:$B,MATCH("Starlink insurance % of revenue",Assumptions!$A:$A,0))-INDEX(Assumptions!$B:$B,MATCH("Starlink other COGS % of revenue",Assumptions!$A:$A,0)))</f>
        <v>0.14196634008046649</v>
      </c>
      <c r="G217" s="45" cm="1">
        <f t="array" aca="1" ref="G217" ca="1">((IF(G128+G16&gt;=MAX('Demand Curves'!$B$17:$B$77),MAX('Demand Curves'!$C$17:$C$77),IF(G128+G16&lt;=0,0,IF(G128+G16&lt;MIN('Demand Curves'!$B$17:$B$77),(G128+G16)*INDEX('Demand Curves'!$C$17:$C$77,1)/INDEX('Demand Curves'!$B$17:$B$77,1),INDEX('Demand Curves'!$C$17:$C$77,MATCH(G128+G16,'Demand Curves'!$B$17:$B$77,1))+(G128+G16-INDEX('Demand Curves'!$B$17:$B$77,MATCH(G128+G16,'Demand Curves'!$B$17:$B$77,1)))/(INDEX('Demand Curves'!$B$17:$B$77,MATCH(G128+G16,'Demand Curves'!$B$17:$B$77,1)+1)-INDEX('Demand Curves'!$B$17:$B$77,MATCH(G128+G16,'Demand Curves'!$B$17:$B$77,1)))*(INDEX('Demand Curves'!$C$17:$C$77,MATCH(G128+G16,'Demand Curves'!$B$17:$B$77,1)+1)-INDEX('Demand Curves'!$C$17:$C$77,MATCH(G128+G16,'Demand Curves'!$B$17:$B$77,1))))))-G131/IFERROR(INDEX('Demand Curves'!$D:$AC,MATCH("Annual TAM shift multiplier",'Demand Curves'!$A:$A,0),G$5+1),1))*IFERROR(INDEX('Demand Curves'!$D:$AC,MATCH("Annual TAM shift multiplier",'Demand Curves'!$A:$A,0),G$5+1),1)*IFERROR(INDEX(Assumptions!$D:$AC,MATCH("Utilization % (fleet ramp) — year-row",Assumptions!$A:$A,0),G$5+1),1))*(1-INDEX(Assumptions!$B:$B,MATCH("Starlink ground ops % of revenue",Assumptions!$A:$A,0))-INDEX(Assumptions!$B:$B,MATCH("Starlink insurance % of revenue",Assumptions!$A:$A,0))-INDEX(Assumptions!$B:$B,MATCH("Starlink other COGS % of revenue",Assumptions!$A:$A,0)))</f>
        <v>0.17685953697714968</v>
      </c>
      <c r="H217" s="45" cm="1">
        <f t="array" aca="1" ref="H217" ca="1">((IF(H128+H16&gt;=MAX('Demand Curves'!$B$17:$B$77),MAX('Demand Curves'!$C$17:$C$77),IF(H128+H16&lt;=0,0,IF(H128+H16&lt;MIN('Demand Curves'!$B$17:$B$77),(H128+H16)*INDEX('Demand Curves'!$C$17:$C$77,1)/INDEX('Demand Curves'!$B$17:$B$77,1),INDEX('Demand Curves'!$C$17:$C$77,MATCH(H128+H16,'Demand Curves'!$B$17:$B$77,1))+(H128+H16-INDEX('Demand Curves'!$B$17:$B$77,MATCH(H128+H16,'Demand Curves'!$B$17:$B$77,1)))/(INDEX('Demand Curves'!$B$17:$B$77,MATCH(H128+H16,'Demand Curves'!$B$17:$B$77,1)+1)-INDEX('Demand Curves'!$B$17:$B$77,MATCH(H128+H16,'Demand Curves'!$B$17:$B$77,1)))*(INDEX('Demand Curves'!$C$17:$C$77,MATCH(H128+H16,'Demand Curves'!$B$17:$B$77,1)+1)-INDEX('Demand Curves'!$C$17:$C$77,MATCH(H128+H16,'Demand Curves'!$B$17:$B$77,1))))))-H131/IFERROR(INDEX('Demand Curves'!$D:$AC,MATCH("Annual TAM shift multiplier",'Demand Curves'!$A:$A,0),H$5+1),1))*IFERROR(INDEX('Demand Curves'!$D:$AC,MATCH("Annual TAM shift multiplier",'Demand Curves'!$A:$A,0),H$5+1),1)*IFERROR(INDEX(Assumptions!$D:$AC,MATCH("Utilization % (fleet ramp) — year-row",Assumptions!$A:$A,0),H$5+1),1))*(1-INDEX(Assumptions!$B:$B,MATCH("Starlink ground ops % of revenue",Assumptions!$A:$A,0))-INDEX(Assumptions!$B:$B,MATCH("Starlink insurance % of revenue",Assumptions!$A:$A,0))-INDEX(Assumptions!$B:$B,MATCH("Starlink other COGS % of revenue",Assumptions!$A:$A,0)))</f>
        <v>0.21520208506993804</v>
      </c>
      <c r="I217" s="45" cm="1">
        <f t="array" aca="1" ref="I217" ca="1">((IF(I128+I16&gt;=MAX('Demand Curves'!$B$17:$B$77),MAX('Demand Curves'!$C$17:$C$77),IF(I128+I16&lt;=0,0,IF(I128+I16&lt;MIN('Demand Curves'!$B$17:$B$77),(I128+I16)*INDEX('Demand Curves'!$C$17:$C$77,1)/INDEX('Demand Curves'!$B$17:$B$77,1),INDEX('Demand Curves'!$C$17:$C$77,MATCH(I128+I16,'Demand Curves'!$B$17:$B$77,1))+(I128+I16-INDEX('Demand Curves'!$B$17:$B$77,MATCH(I128+I16,'Demand Curves'!$B$17:$B$77,1)))/(INDEX('Demand Curves'!$B$17:$B$77,MATCH(I128+I16,'Demand Curves'!$B$17:$B$77,1)+1)-INDEX('Demand Curves'!$B$17:$B$77,MATCH(I128+I16,'Demand Curves'!$B$17:$B$77,1)))*(INDEX('Demand Curves'!$C$17:$C$77,MATCH(I128+I16,'Demand Curves'!$B$17:$B$77,1)+1)-INDEX('Demand Curves'!$C$17:$C$77,MATCH(I128+I16,'Demand Curves'!$B$17:$B$77,1))))))-I131/IFERROR(INDEX('Demand Curves'!$D:$AC,MATCH("Annual TAM shift multiplier",'Demand Curves'!$A:$A,0),I$5+1),1))*IFERROR(INDEX('Demand Curves'!$D:$AC,MATCH("Annual TAM shift multiplier",'Demand Curves'!$A:$A,0),I$5+1),1)*IFERROR(INDEX(Assumptions!$D:$AC,MATCH("Utilization % (fleet ramp) — year-row",Assumptions!$A:$A,0),I$5+1),1))*(1-INDEX(Assumptions!$B:$B,MATCH("Starlink ground ops % of revenue",Assumptions!$A:$A,0))-INDEX(Assumptions!$B:$B,MATCH("Starlink insurance % of revenue",Assumptions!$A:$A,0))-INDEX(Assumptions!$B:$B,MATCH("Starlink other COGS % of revenue",Assumptions!$A:$A,0)))</f>
        <v>0.22719960131258429</v>
      </c>
      <c r="J217" s="45" cm="1">
        <f t="array" aca="1" ref="J217" ca="1">((IF(J128+J16&gt;=MAX('Demand Curves'!$B$17:$B$77),MAX('Demand Curves'!$C$17:$C$77),IF(J128+J16&lt;=0,0,IF(J128+J16&lt;MIN('Demand Curves'!$B$17:$B$77),(J128+J16)*INDEX('Demand Curves'!$C$17:$C$77,1)/INDEX('Demand Curves'!$B$17:$B$77,1),INDEX('Demand Curves'!$C$17:$C$77,MATCH(J128+J16,'Demand Curves'!$B$17:$B$77,1))+(J128+J16-INDEX('Demand Curves'!$B$17:$B$77,MATCH(J128+J16,'Demand Curves'!$B$17:$B$77,1)))/(INDEX('Demand Curves'!$B$17:$B$77,MATCH(J128+J16,'Demand Curves'!$B$17:$B$77,1)+1)-INDEX('Demand Curves'!$B$17:$B$77,MATCH(J128+J16,'Demand Curves'!$B$17:$B$77,1)))*(INDEX('Demand Curves'!$C$17:$C$77,MATCH(J128+J16,'Demand Curves'!$B$17:$B$77,1)+1)-INDEX('Demand Curves'!$C$17:$C$77,MATCH(J128+J16,'Demand Curves'!$B$17:$B$77,1))))))-J131/IFERROR(INDEX('Demand Curves'!$D:$AC,MATCH("Annual TAM shift multiplier",'Demand Curves'!$A:$A,0),J$5+1),1))*IFERROR(INDEX('Demand Curves'!$D:$AC,MATCH("Annual TAM shift multiplier",'Demand Curves'!$A:$A,0),J$5+1),1)*IFERROR(INDEX(Assumptions!$D:$AC,MATCH("Utilization % (fleet ramp) — year-row",Assumptions!$A:$A,0),J$5+1),1))*(1-INDEX(Assumptions!$B:$B,MATCH("Starlink ground ops % of revenue",Assumptions!$A:$A,0))-INDEX(Assumptions!$B:$B,MATCH("Starlink insurance % of revenue",Assumptions!$A:$A,0))-INDEX(Assumptions!$B:$B,MATCH("Starlink other COGS % of revenue",Assumptions!$A:$A,0)))</f>
        <v>0.23986597908576088</v>
      </c>
      <c r="K217" s="45" cm="1">
        <f t="array" aca="1" ref="K217" ca="1">((IF(K128+K16&gt;=MAX('Demand Curves'!$B$17:$B$77),MAX('Demand Curves'!$C$17:$C$77),IF(K128+K16&lt;=0,0,IF(K128+K16&lt;MIN('Demand Curves'!$B$17:$B$77),(K128+K16)*INDEX('Demand Curves'!$C$17:$C$77,1)/INDEX('Demand Curves'!$B$17:$B$77,1),INDEX('Demand Curves'!$C$17:$C$77,MATCH(K128+K16,'Demand Curves'!$B$17:$B$77,1))+(K128+K16-INDEX('Demand Curves'!$B$17:$B$77,MATCH(K128+K16,'Demand Curves'!$B$17:$B$77,1)))/(INDEX('Demand Curves'!$B$17:$B$77,MATCH(K128+K16,'Demand Curves'!$B$17:$B$77,1)+1)-INDEX('Demand Curves'!$B$17:$B$77,MATCH(K128+K16,'Demand Curves'!$B$17:$B$77,1)))*(INDEX('Demand Curves'!$C$17:$C$77,MATCH(K128+K16,'Demand Curves'!$B$17:$B$77,1)+1)-INDEX('Demand Curves'!$C$17:$C$77,MATCH(K128+K16,'Demand Curves'!$B$17:$B$77,1))))))-K131/IFERROR(INDEX('Demand Curves'!$D:$AC,MATCH("Annual TAM shift multiplier",'Demand Curves'!$A:$A,0),K$5+1),1))*IFERROR(INDEX('Demand Curves'!$D:$AC,MATCH("Annual TAM shift multiplier",'Demand Curves'!$A:$A,0),K$5+1),1)*IFERROR(INDEX(Assumptions!$D:$AC,MATCH("Utilization % (fleet ramp) — year-row",Assumptions!$A:$A,0),K$5+1),1))*(1-INDEX(Assumptions!$B:$B,MATCH("Starlink ground ops % of revenue",Assumptions!$A:$A,0))-INDEX(Assumptions!$B:$B,MATCH("Starlink insurance % of revenue",Assumptions!$A:$A,0))-INDEX(Assumptions!$B:$B,MATCH("Starlink other COGS % of revenue",Assumptions!$A:$A,0)))</f>
        <v>0.25323850741979209</v>
      </c>
      <c r="L217" s="45" cm="1">
        <f t="array" aca="1" ref="L217" ca="1">((IF(L128+L16&gt;=MAX('Demand Curves'!$B$17:$B$77),MAX('Demand Curves'!$C$17:$C$77),IF(L128+L16&lt;=0,0,IF(L128+L16&lt;MIN('Demand Curves'!$B$17:$B$77),(L128+L16)*INDEX('Demand Curves'!$C$17:$C$77,1)/INDEX('Demand Curves'!$B$17:$B$77,1),INDEX('Demand Curves'!$C$17:$C$77,MATCH(L128+L16,'Demand Curves'!$B$17:$B$77,1))+(L128+L16-INDEX('Demand Curves'!$B$17:$B$77,MATCH(L128+L16,'Demand Curves'!$B$17:$B$77,1)))/(INDEX('Demand Curves'!$B$17:$B$77,MATCH(L128+L16,'Demand Curves'!$B$17:$B$77,1)+1)-INDEX('Demand Curves'!$B$17:$B$77,MATCH(L128+L16,'Demand Curves'!$B$17:$B$77,1)))*(INDEX('Demand Curves'!$C$17:$C$77,MATCH(L128+L16,'Demand Curves'!$B$17:$B$77,1)+1)-INDEX('Demand Curves'!$C$17:$C$77,MATCH(L128+L16,'Demand Curves'!$B$17:$B$77,1))))))-L131/IFERROR(INDEX('Demand Curves'!$D:$AC,MATCH("Annual TAM shift multiplier",'Demand Curves'!$A:$A,0),L$5+1),1))*IFERROR(INDEX('Demand Curves'!$D:$AC,MATCH("Annual TAM shift multiplier",'Demand Curves'!$A:$A,0),L$5+1),1)*IFERROR(INDEX(Assumptions!$D:$AC,MATCH("Utilization % (fleet ramp) — year-row",Assumptions!$A:$A,0),L$5+1),1))*(1-INDEX(Assumptions!$B:$B,MATCH("Starlink ground ops % of revenue",Assumptions!$A:$A,0))-INDEX(Assumptions!$B:$B,MATCH("Starlink insurance % of revenue",Assumptions!$A:$A,0))-INDEX(Assumptions!$B:$B,MATCH("Starlink other COGS % of revenue",Assumptions!$A:$A,0)))</f>
        <v>0.2673565542084454</v>
      </c>
      <c r="M217" s="45" cm="1">
        <f t="array" aca="1" ref="M217" ca="1">((IF(M128+M16&gt;=MAX('Demand Curves'!$B$17:$B$77),MAX('Demand Curves'!$C$17:$C$77),IF(M128+M16&lt;=0,0,IF(M128+M16&lt;MIN('Demand Curves'!$B$17:$B$77),(M128+M16)*INDEX('Demand Curves'!$C$17:$C$77,1)/INDEX('Demand Curves'!$B$17:$B$77,1),INDEX('Demand Curves'!$C$17:$C$77,MATCH(M128+M16,'Demand Curves'!$B$17:$B$77,1))+(M128+M16-INDEX('Demand Curves'!$B$17:$B$77,MATCH(M128+M16,'Demand Curves'!$B$17:$B$77,1)))/(INDEX('Demand Curves'!$B$17:$B$77,MATCH(M128+M16,'Demand Curves'!$B$17:$B$77,1)+1)-INDEX('Demand Curves'!$B$17:$B$77,MATCH(M128+M16,'Demand Curves'!$B$17:$B$77,1)))*(INDEX('Demand Curves'!$C$17:$C$77,MATCH(M128+M16,'Demand Curves'!$B$17:$B$77,1)+1)-INDEX('Demand Curves'!$C$17:$C$77,MATCH(M128+M16,'Demand Curves'!$B$17:$B$77,1))))))-M131/IFERROR(INDEX('Demand Curves'!$D:$AC,MATCH("Annual TAM shift multiplier",'Demand Curves'!$A:$A,0),M$5+1),1))*IFERROR(INDEX('Demand Curves'!$D:$AC,MATCH("Annual TAM shift multiplier",'Demand Curves'!$A:$A,0),M$5+1),1)*IFERROR(INDEX(Assumptions!$D:$AC,MATCH("Utilization % (fleet ramp) — year-row",Assumptions!$A:$A,0),M$5+1),1))*(1-INDEX(Assumptions!$B:$B,MATCH("Starlink ground ops % of revenue",Assumptions!$A:$A,0))-INDEX(Assumptions!$B:$B,MATCH("Starlink insurance % of revenue",Assumptions!$A:$A,0))-INDEX(Assumptions!$B:$B,MATCH("Starlink other COGS % of revenue",Assumptions!$A:$A,0)))</f>
        <v>0.28226168210556624</v>
      </c>
      <c r="N217" s="45" cm="1">
        <f t="array" aca="1" ref="N217" ca="1">((IF(N128+N16&gt;=MAX('Demand Curves'!$B$17:$B$77),MAX('Demand Curves'!$C$17:$C$77),IF(N128+N16&lt;=0,0,IF(N128+N16&lt;MIN('Demand Curves'!$B$17:$B$77),(N128+N16)*INDEX('Demand Curves'!$C$17:$C$77,1)/INDEX('Demand Curves'!$B$17:$B$77,1),INDEX('Demand Curves'!$C$17:$C$77,MATCH(N128+N16,'Demand Curves'!$B$17:$B$77,1))+(N128+N16-INDEX('Demand Curves'!$B$17:$B$77,MATCH(N128+N16,'Demand Curves'!$B$17:$B$77,1)))/(INDEX('Demand Curves'!$B$17:$B$77,MATCH(N128+N16,'Demand Curves'!$B$17:$B$77,1)+1)-INDEX('Demand Curves'!$B$17:$B$77,MATCH(N128+N16,'Demand Curves'!$B$17:$B$77,1)))*(INDEX('Demand Curves'!$C$17:$C$77,MATCH(N128+N16,'Demand Curves'!$B$17:$B$77,1)+1)-INDEX('Demand Curves'!$C$17:$C$77,MATCH(N128+N16,'Demand Curves'!$B$17:$B$77,1))))))-N131/IFERROR(INDEX('Demand Curves'!$D:$AC,MATCH("Annual TAM shift multiplier",'Demand Curves'!$A:$A,0),N$5+1),1))*IFERROR(INDEX('Demand Curves'!$D:$AC,MATCH("Annual TAM shift multiplier",'Demand Curves'!$A:$A,0),N$5+1),1)*IFERROR(INDEX(Assumptions!$D:$AC,MATCH("Utilization % (fleet ramp) — year-row",Assumptions!$A:$A,0),N$5+1),1))*(1-INDEX(Assumptions!$B:$B,MATCH("Starlink ground ops % of revenue",Assumptions!$A:$A,0))-INDEX(Assumptions!$B:$B,MATCH("Starlink insurance % of revenue",Assumptions!$A:$A,0))-INDEX(Assumptions!$B:$B,MATCH("Starlink other COGS % of revenue",Assumptions!$A:$A,0)))</f>
        <v>0.29799777088295148</v>
      </c>
      <c r="O217" s="45" cm="1">
        <f t="array" aca="1" ref="O217" ca="1">((IF(O128+O16&gt;=MAX('Demand Curves'!$B$17:$B$77),MAX('Demand Curves'!$C$17:$C$77),IF(O128+O16&lt;=0,0,IF(O128+O16&lt;MIN('Demand Curves'!$B$17:$B$77),(O128+O16)*INDEX('Demand Curves'!$C$17:$C$77,1)/INDEX('Demand Curves'!$B$17:$B$77,1),INDEX('Demand Curves'!$C$17:$C$77,MATCH(O128+O16,'Demand Curves'!$B$17:$B$77,1))+(O128+O16-INDEX('Demand Curves'!$B$17:$B$77,MATCH(O128+O16,'Demand Curves'!$B$17:$B$77,1)))/(INDEX('Demand Curves'!$B$17:$B$77,MATCH(O128+O16,'Demand Curves'!$B$17:$B$77,1)+1)-INDEX('Demand Curves'!$B$17:$B$77,MATCH(O128+O16,'Demand Curves'!$B$17:$B$77,1)))*(INDEX('Demand Curves'!$C$17:$C$77,MATCH(O128+O16,'Demand Curves'!$B$17:$B$77,1)+1)-INDEX('Demand Curves'!$C$17:$C$77,MATCH(O128+O16,'Demand Curves'!$B$17:$B$77,1))))))-O131/IFERROR(INDEX('Demand Curves'!$D:$AC,MATCH("Annual TAM shift multiplier",'Demand Curves'!$A:$A,0),O$5+1),1))*IFERROR(INDEX('Demand Curves'!$D:$AC,MATCH("Annual TAM shift multiplier",'Demand Curves'!$A:$A,0),O$5+1),1)*IFERROR(INDEX(Assumptions!$D:$AC,MATCH("Utilization % (fleet ramp) — year-row",Assumptions!$A:$A,0),O$5+1),1))*(1-INDEX(Assumptions!$B:$B,MATCH("Starlink ground ops % of revenue",Assumptions!$A:$A,0))-INDEX(Assumptions!$B:$B,MATCH("Starlink insurance % of revenue",Assumptions!$A:$A,0))-INDEX(Assumptions!$B:$B,MATCH("Starlink other COGS % of revenue",Assumptions!$A:$A,0)))</f>
        <v>0.3146111466096761</v>
      </c>
      <c r="P217" s="45" cm="1">
        <f t="array" aca="1" ref="P217" ca="1">((IF(P128+P16&gt;=MAX('Demand Curves'!$B$17:$B$77),MAX('Demand Curves'!$C$17:$C$77),IF(P128+P16&lt;=0,0,IF(P128+P16&lt;MIN('Demand Curves'!$B$17:$B$77),(P128+P16)*INDEX('Demand Curves'!$C$17:$C$77,1)/INDEX('Demand Curves'!$B$17:$B$77,1),INDEX('Demand Curves'!$C$17:$C$77,MATCH(P128+P16,'Demand Curves'!$B$17:$B$77,1))+(P128+P16-INDEX('Demand Curves'!$B$17:$B$77,MATCH(P128+P16,'Demand Curves'!$B$17:$B$77,1)))/(INDEX('Demand Curves'!$B$17:$B$77,MATCH(P128+P16,'Demand Curves'!$B$17:$B$77,1)+1)-INDEX('Demand Curves'!$B$17:$B$77,MATCH(P128+P16,'Demand Curves'!$B$17:$B$77,1)))*(INDEX('Demand Curves'!$C$17:$C$77,MATCH(P128+P16,'Demand Curves'!$B$17:$B$77,1)+1)-INDEX('Demand Curves'!$C$17:$C$77,MATCH(P128+P16,'Demand Curves'!$B$17:$B$77,1))))))-P131/IFERROR(INDEX('Demand Curves'!$D:$AC,MATCH("Annual TAM shift multiplier",'Demand Curves'!$A:$A,0),P$5+1),1))*IFERROR(INDEX('Demand Curves'!$D:$AC,MATCH("Annual TAM shift multiplier",'Demand Curves'!$A:$A,0),P$5+1),1)*IFERROR(INDEX(Assumptions!$D:$AC,MATCH("Utilization % (fleet ramp) — year-row",Assumptions!$A:$A,0),P$5+1),1))*(1-INDEX(Assumptions!$B:$B,MATCH("Starlink ground ops % of revenue",Assumptions!$A:$A,0))-INDEX(Assumptions!$B:$B,MATCH("Starlink insurance % of revenue",Assumptions!$A:$A,0))-INDEX(Assumptions!$B:$B,MATCH("Starlink other COGS % of revenue",Assumptions!$A:$A,0)))</f>
        <v>0.33215071803316543</v>
      </c>
      <c r="Q217" s="45" cm="1">
        <f t="array" aca="1" ref="Q217" ca="1">((IF(Q128+Q16&gt;=MAX('Demand Curves'!$B$17:$B$77),MAX('Demand Curves'!$C$17:$C$77),IF(Q128+Q16&lt;=0,0,IF(Q128+Q16&lt;MIN('Demand Curves'!$B$17:$B$77),(Q128+Q16)*INDEX('Demand Curves'!$C$17:$C$77,1)/INDEX('Demand Curves'!$B$17:$B$77,1),INDEX('Demand Curves'!$C$17:$C$77,MATCH(Q128+Q16,'Demand Curves'!$B$17:$B$77,1))+(Q128+Q16-INDEX('Demand Curves'!$B$17:$B$77,MATCH(Q128+Q16,'Demand Curves'!$B$17:$B$77,1)))/(INDEX('Demand Curves'!$B$17:$B$77,MATCH(Q128+Q16,'Demand Curves'!$B$17:$B$77,1)+1)-INDEX('Demand Curves'!$B$17:$B$77,MATCH(Q128+Q16,'Demand Curves'!$B$17:$B$77,1)))*(INDEX('Demand Curves'!$C$17:$C$77,MATCH(Q128+Q16,'Demand Curves'!$B$17:$B$77,1)+1)-INDEX('Demand Curves'!$C$17:$C$77,MATCH(Q128+Q16,'Demand Curves'!$B$17:$B$77,1))))))-Q131/IFERROR(INDEX('Demand Curves'!$D:$AC,MATCH("Annual TAM shift multiplier",'Demand Curves'!$A:$A,0),Q$5+1),1))*IFERROR(INDEX('Demand Curves'!$D:$AC,MATCH("Annual TAM shift multiplier",'Demand Curves'!$A:$A,0),Q$5+1),1)*IFERROR(INDEX(Assumptions!$D:$AC,MATCH("Utilization % (fleet ramp) — year-row",Assumptions!$A:$A,0),Q$5+1),1))*(1-INDEX(Assumptions!$B:$B,MATCH("Starlink ground ops % of revenue",Assumptions!$A:$A,0))-INDEX(Assumptions!$B:$B,MATCH("Starlink insurance % of revenue",Assumptions!$A:$A,0))-INDEX(Assumptions!$B:$B,MATCH("Starlink other COGS % of revenue",Assumptions!$A:$A,0)))</f>
        <v>0.35066812056351437</v>
      </c>
      <c r="R217" s="45" cm="1">
        <f t="array" aca="1" ref="R217" ca="1">((IF(R128+R16&gt;=MAX('Demand Curves'!$B$17:$B$77),MAX('Demand Curves'!$C$17:$C$77),IF(R128+R16&lt;=0,0,IF(R128+R16&lt;MIN('Demand Curves'!$B$17:$B$77),(R128+R16)*INDEX('Demand Curves'!$C$17:$C$77,1)/INDEX('Demand Curves'!$B$17:$B$77,1),INDEX('Demand Curves'!$C$17:$C$77,MATCH(R128+R16,'Demand Curves'!$B$17:$B$77,1))+(R128+R16-INDEX('Demand Curves'!$B$17:$B$77,MATCH(R128+R16,'Demand Curves'!$B$17:$B$77,1)))/(INDEX('Demand Curves'!$B$17:$B$77,MATCH(R128+R16,'Demand Curves'!$B$17:$B$77,1)+1)-INDEX('Demand Curves'!$B$17:$B$77,MATCH(R128+R16,'Demand Curves'!$B$17:$B$77,1)))*(INDEX('Demand Curves'!$C$17:$C$77,MATCH(R128+R16,'Demand Curves'!$B$17:$B$77,1)+1)-INDEX('Demand Curves'!$C$17:$C$77,MATCH(R128+R16,'Demand Curves'!$B$17:$B$77,1))))))-R131/IFERROR(INDEX('Demand Curves'!$D:$AC,MATCH("Annual TAM shift multiplier",'Demand Curves'!$A:$A,0),R$5+1),1))*IFERROR(INDEX('Demand Curves'!$D:$AC,MATCH("Annual TAM shift multiplier",'Demand Curves'!$A:$A,0),R$5+1),1)*IFERROR(INDEX(Assumptions!$D:$AC,MATCH("Utilization % (fleet ramp) — year-row",Assumptions!$A:$A,0),R$5+1),1))*(1-INDEX(Assumptions!$B:$B,MATCH("Starlink ground ops % of revenue",Assumptions!$A:$A,0))-INDEX(Assumptions!$B:$B,MATCH("Starlink insurance % of revenue",Assumptions!$A:$A,0))-INDEX(Assumptions!$B:$B,MATCH("Starlink other COGS % of revenue",Assumptions!$A:$A,0)))</f>
        <v>0.37021786828493025</v>
      </c>
      <c r="S217" s="45" cm="1">
        <f t="array" aca="1" ref="S217" ca="1">((IF(S128+S16&gt;=MAX('Demand Curves'!$B$17:$B$77),MAX('Demand Curves'!$C$17:$C$77),IF(S128+S16&lt;=0,0,IF(S128+S16&lt;MIN('Demand Curves'!$B$17:$B$77),(S128+S16)*INDEX('Demand Curves'!$C$17:$C$77,1)/INDEX('Demand Curves'!$B$17:$B$77,1),INDEX('Demand Curves'!$C$17:$C$77,MATCH(S128+S16,'Demand Curves'!$B$17:$B$77,1))+(S128+S16-INDEX('Demand Curves'!$B$17:$B$77,MATCH(S128+S16,'Demand Curves'!$B$17:$B$77,1)))/(INDEX('Demand Curves'!$B$17:$B$77,MATCH(S128+S16,'Demand Curves'!$B$17:$B$77,1)+1)-INDEX('Demand Curves'!$B$17:$B$77,MATCH(S128+S16,'Demand Curves'!$B$17:$B$77,1)))*(INDEX('Demand Curves'!$C$17:$C$77,MATCH(S128+S16,'Demand Curves'!$B$17:$B$77,1)+1)-INDEX('Demand Curves'!$C$17:$C$77,MATCH(S128+S16,'Demand Curves'!$B$17:$B$77,1))))))-S131/IFERROR(INDEX('Demand Curves'!$D:$AC,MATCH("Annual TAM shift multiplier",'Demand Curves'!$A:$A,0),S$5+1),1))*IFERROR(INDEX('Demand Curves'!$D:$AC,MATCH("Annual TAM shift multiplier",'Demand Curves'!$A:$A,0),S$5+1),1)*IFERROR(INDEX(Assumptions!$D:$AC,MATCH("Utilization % (fleet ramp) — year-row",Assumptions!$A:$A,0),S$5+1),1))*(1-INDEX(Assumptions!$B:$B,MATCH("Starlink ground ops % of revenue",Assumptions!$A:$A,0))-INDEX(Assumptions!$B:$B,MATCH("Starlink insurance % of revenue",Assumptions!$A:$A,0))-INDEX(Assumptions!$B:$B,MATCH("Starlink other COGS % of revenue",Assumptions!$A:$A,0)))</f>
        <v>0.39085751444181527</v>
      </c>
      <c r="T217" s="45" cm="1">
        <f t="array" aca="1" ref="T217" ca="1">((IF(T128+T16&gt;=MAX('Demand Curves'!$B$17:$B$77),MAX('Demand Curves'!$C$17:$C$77),IF(T128+T16&lt;=0,0,IF(T128+T16&lt;MIN('Demand Curves'!$B$17:$B$77),(T128+T16)*INDEX('Demand Curves'!$C$17:$C$77,1)/INDEX('Demand Curves'!$B$17:$B$77,1),INDEX('Demand Curves'!$C$17:$C$77,MATCH(T128+T16,'Demand Curves'!$B$17:$B$77,1))+(T128+T16-INDEX('Demand Curves'!$B$17:$B$77,MATCH(T128+T16,'Demand Curves'!$B$17:$B$77,1)))/(INDEX('Demand Curves'!$B$17:$B$77,MATCH(T128+T16,'Demand Curves'!$B$17:$B$77,1)+1)-INDEX('Demand Curves'!$B$17:$B$77,MATCH(T128+T16,'Demand Curves'!$B$17:$B$77,1)))*(INDEX('Demand Curves'!$C$17:$C$77,MATCH(T128+T16,'Demand Curves'!$B$17:$B$77,1)+1)-INDEX('Demand Curves'!$C$17:$C$77,MATCH(T128+T16,'Demand Curves'!$B$17:$B$77,1))))))-T131/IFERROR(INDEX('Demand Curves'!$D:$AC,MATCH("Annual TAM shift multiplier",'Demand Curves'!$A:$A,0),T$5+1),1))*IFERROR(INDEX('Demand Curves'!$D:$AC,MATCH("Annual TAM shift multiplier",'Demand Curves'!$A:$A,0),T$5+1),1)*IFERROR(INDEX(Assumptions!$D:$AC,MATCH("Utilization % (fleet ramp) — year-row",Assumptions!$A:$A,0),T$5+1),1))*(1-INDEX(Assumptions!$B:$B,MATCH("Starlink ground ops % of revenue",Assumptions!$A:$A,0))-INDEX(Assumptions!$B:$B,MATCH("Starlink insurance % of revenue",Assumptions!$A:$A,0))-INDEX(Assumptions!$B:$B,MATCH("Starlink other COGS % of revenue",Assumptions!$A:$A,0)))</f>
        <v>0.41264782087194635</v>
      </c>
      <c r="U217" s="45" cm="1">
        <f t="array" aca="1" ref="U217" ca="1">((IF(U128+U16&gt;=MAX('Demand Curves'!$B$17:$B$77),MAX('Demand Curves'!$C$17:$C$77),IF(U128+U16&lt;=0,0,IF(U128+U16&lt;MIN('Demand Curves'!$B$17:$B$77),(U128+U16)*INDEX('Demand Curves'!$C$17:$C$77,1)/INDEX('Demand Curves'!$B$17:$B$77,1),INDEX('Demand Curves'!$C$17:$C$77,MATCH(U128+U16,'Demand Curves'!$B$17:$B$77,1))+(U128+U16-INDEX('Demand Curves'!$B$17:$B$77,MATCH(U128+U16,'Demand Curves'!$B$17:$B$77,1)))/(INDEX('Demand Curves'!$B$17:$B$77,MATCH(U128+U16,'Demand Curves'!$B$17:$B$77,1)+1)-INDEX('Demand Curves'!$B$17:$B$77,MATCH(U128+U16,'Demand Curves'!$B$17:$B$77,1)))*(INDEX('Demand Curves'!$C$17:$C$77,MATCH(U128+U16,'Demand Curves'!$B$17:$B$77,1)+1)-INDEX('Demand Curves'!$C$17:$C$77,MATCH(U128+U16,'Demand Curves'!$B$17:$B$77,1))))))-U131/IFERROR(INDEX('Demand Curves'!$D:$AC,MATCH("Annual TAM shift multiplier",'Demand Curves'!$A:$A,0),U$5+1),1))*IFERROR(INDEX('Demand Curves'!$D:$AC,MATCH("Annual TAM shift multiplier",'Demand Curves'!$A:$A,0),U$5+1),1)*IFERROR(INDEX(Assumptions!$D:$AC,MATCH("Utilization % (fleet ramp) — year-row",Assumptions!$A:$A,0),U$5+1),1))*(1-INDEX(Assumptions!$B:$B,MATCH("Starlink ground ops % of revenue",Assumptions!$A:$A,0))-INDEX(Assumptions!$B:$B,MATCH("Starlink insurance % of revenue",Assumptions!$A:$A,0))-INDEX(Assumptions!$B:$B,MATCH("Starlink other COGS % of revenue",Assumptions!$A:$A,0)))</f>
        <v>0.43565293688555728</v>
      </c>
      <c r="V217" s="45" cm="1">
        <f t="array" aca="1" ref="V217" ca="1">((IF(V128+V16&gt;=MAX('Demand Curves'!$B$17:$B$77),MAX('Demand Curves'!$C$17:$C$77),IF(V128+V16&lt;=0,0,IF(V128+V16&lt;MIN('Demand Curves'!$B$17:$B$77),(V128+V16)*INDEX('Demand Curves'!$C$17:$C$77,1)/INDEX('Demand Curves'!$B$17:$B$77,1),INDEX('Demand Curves'!$C$17:$C$77,MATCH(V128+V16,'Demand Curves'!$B$17:$B$77,1))+(V128+V16-INDEX('Demand Curves'!$B$17:$B$77,MATCH(V128+V16,'Demand Curves'!$B$17:$B$77,1)))/(INDEX('Demand Curves'!$B$17:$B$77,MATCH(V128+V16,'Demand Curves'!$B$17:$B$77,1)+1)-INDEX('Demand Curves'!$B$17:$B$77,MATCH(V128+V16,'Demand Curves'!$B$17:$B$77,1)))*(INDEX('Demand Curves'!$C$17:$C$77,MATCH(V128+V16,'Demand Curves'!$B$17:$B$77,1)+1)-INDEX('Demand Curves'!$C$17:$C$77,MATCH(V128+V16,'Demand Curves'!$B$17:$B$77,1))))))-V131/IFERROR(INDEX('Demand Curves'!$D:$AC,MATCH("Annual TAM shift multiplier",'Demand Curves'!$A:$A,0),V$5+1),1))*IFERROR(INDEX('Demand Curves'!$D:$AC,MATCH("Annual TAM shift multiplier",'Demand Curves'!$A:$A,0),V$5+1),1)*IFERROR(INDEX(Assumptions!$D:$AC,MATCH("Utilization % (fleet ramp) — year-row",Assumptions!$A:$A,0),V$5+1),1))*(1-INDEX(Assumptions!$B:$B,MATCH("Starlink ground ops % of revenue",Assumptions!$A:$A,0))-INDEX(Assumptions!$B:$B,MATCH("Starlink insurance % of revenue",Assumptions!$A:$A,0))-INDEX(Assumptions!$B:$B,MATCH("Starlink other COGS % of revenue",Assumptions!$A:$A,0)))</f>
        <v>0.45994058811692717</v>
      </c>
      <c r="W217" s="45" cm="1">
        <f t="array" aca="1" ref="W217" ca="1">((IF(W128+W16&gt;=MAX('Demand Curves'!$B$17:$B$77),MAX('Demand Curves'!$C$17:$C$77),IF(W128+W16&lt;=0,0,IF(W128+W16&lt;MIN('Demand Curves'!$B$17:$B$77),(W128+W16)*INDEX('Demand Curves'!$C$17:$C$77,1)/INDEX('Demand Curves'!$B$17:$B$77,1),INDEX('Demand Curves'!$C$17:$C$77,MATCH(W128+W16,'Demand Curves'!$B$17:$B$77,1))+(W128+W16-INDEX('Demand Curves'!$B$17:$B$77,MATCH(W128+W16,'Demand Curves'!$B$17:$B$77,1)))/(INDEX('Demand Curves'!$B$17:$B$77,MATCH(W128+W16,'Demand Curves'!$B$17:$B$77,1)+1)-INDEX('Demand Curves'!$B$17:$B$77,MATCH(W128+W16,'Demand Curves'!$B$17:$B$77,1)))*(INDEX('Demand Curves'!$C$17:$C$77,MATCH(W128+W16,'Demand Curves'!$B$17:$B$77,1)+1)-INDEX('Demand Curves'!$C$17:$C$77,MATCH(W128+W16,'Demand Curves'!$B$17:$B$77,1))))))-W131/IFERROR(INDEX('Demand Curves'!$D:$AC,MATCH("Annual TAM shift multiplier",'Demand Curves'!$A:$A,0),W$5+1),1))*IFERROR(INDEX('Demand Curves'!$D:$AC,MATCH("Annual TAM shift multiplier",'Demand Curves'!$A:$A,0),W$5+1),1)*IFERROR(INDEX(Assumptions!$D:$AC,MATCH("Utilization % (fleet ramp) — year-row",Assumptions!$A:$A,0),W$5+1),1))*(1-INDEX(Assumptions!$B:$B,MATCH("Starlink ground ops % of revenue",Assumptions!$A:$A,0))-INDEX(Assumptions!$B:$B,MATCH("Starlink insurance % of revenue",Assumptions!$A:$A,0))-INDEX(Assumptions!$B:$B,MATCH("Starlink other COGS % of revenue",Assumptions!$A:$A,0)))</f>
        <v>0.48558227590444575</v>
      </c>
      <c r="X217" s="45" cm="1">
        <f t="array" aca="1" ref="X217" ca="1">((IF(X128+X16&gt;=MAX('Demand Curves'!$B$17:$B$77),MAX('Demand Curves'!$C$17:$C$77),IF(X128+X16&lt;=0,0,IF(X128+X16&lt;MIN('Demand Curves'!$B$17:$B$77),(X128+X16)*INDEX('Demand Curves'!$C$17:$C$77,1)/INDEX('Demand Curves'!$B$17:$B$77,1),INDEX('Demand Curves'!$C$17:$C$77,MATCH(X128+X16,'Demand Curves'!$B$17:$B$77,1))+(X128+X16-INDEX('Demand Curves'!$B$17:$B$77,MATCH(X128+X16,'Demand Curves'!$B$17:$B$77,1)))/(INDEX('Demand Curves'!$B$17:$B$77,MATCH(X128+X16,'Demand Curves'!$B$17:$B$77,1)+1)-INDEX('Demand Curves'!$B$17:$B$77,MATCH(X128+X16,'Demand Curves'!$B$17:$B$77,1)))*(INDEX('Demand Curves'!$C$17:$C$77,MATCH(X128+X16,'Demand Curves'!$B$17:$B$77,1)+1)-INDEX('Demand Curves'!$C$17:$C$77,MATCH(X128+X16,'Demand Curves'!$B$17:$B$77,1))))))-X131/IFERROR(INDEX('Demand Curves'!$D:$AC,MATCH("Annual TAM shift multiplier",'Demand Curves'!$A:$A,0),X$5+1),1))*IFERROR(INDEX('Demand Curves'!$D:$AC,MATCH("Annual TAM shift multiplier",'Demand Curves'!$A:$A,0),X$5+1),1)*IFERROR(INDEX(Assumptions!$D:$AC,MATCH("Utilization % (fleet ramp) — year-row",Assumptions!$A:$A,0),X$5+1),1))*(1-INDEX(Assumptions!$B:$B,MATCH("Starlink ground ops % of revenue",Assumptions!$A:$A,0))-INDEX(Assumptions!$B:$B,MATCH("Starlink insurance % of revenue",Assumptions!$A:$A,0))-INDEX(Assumptions!$B:$B,MATCH("Starlink other COGS % of revenue",Assumptions!$A:$A,0)))</f>
        <v>0.51265348778611863</v>
      </c>
      <c r="Y217" s="45" cm="1">
        <f t="array" aca="1" ref="Y217" ca="1">((IF(Y128+Y16&gt;=MAX('Demand Curves'!$B$17:$B$77),MAX('Demand Curves'!$C$17:$C$77),IF(Y128+Y16&lt;=0,0,IF(Y128+Y16&lt;MIN('Demand Curves'!$B$17:$B$77),(Y128+Y16)*INDEX('Demand Curves'!$C$17:$C$77,1)/INDEX('Demand Curves'!$B$17:$B$77,1),INDEX('Demand Curves'!$C$17:$C$77,MATCH(Y128+Y16,'Demand Curves'!$B$17:$B$77,1))+(Y128+Y16-INDEX('Demand Curves'!$B$17:$B$77,MATCH(Y128+Y16,'Demand Curves'!$B$17:$B$77,1)))/(INDEX('Demand Curves'!$B$17:$B$77,MATCH(Y128+Y16,'Demand Curves'!$B$17:$B$77,1)+1)-INDEX('Demand Curves'!$B$17:$B$77,MATCH(Y128+Y16,'Demand Curves'!$B$17:$B$77,1)))*(INDEX('Demand Curves'!$C$17:$C$77,MATCH(Y128+Y16,'Demand Curves'!$B$17:$B$77,1)+1)-INDEX('Demand Curves'!$C$17:$C$77,MATCH(Y128+Y16,'Demand Curves'!$B$17:$B$77,1))))))-Y131/IFERROR(INDEX('Demand Curves'!$D:$AC,MATCH("Annual TAM shift multiplier",'Demand Curves'!$A:$A,0),Y$5+1),1))*IFERROR(INDEX('Demand Curves'!$D:$AC,MATCH("Annual TAM shift multiplier",'Demand Curves'!$A:$A,0),Y$5+1),1)*IFERROR(INDEX(Assumptions!$D:$AC,MATCH("Utilization % (fleet ramp) — year-row",Assumptions!$A:$A,0),Y$5+1),1))*(1-INDEX(Assumptions!$B:$B,MATCH("Starlink ground ops % of revenue",Assumptions!$A:$A,0))-INDEX(Assumptions!$B:$B,MATCH("Starlink insurance % of revenue",Assumptions!$A:$A,0))-INDEX(Assumptions!$B:$B,MATCH("Starlink other COGS % of revenue",Assumptions!$A:$A,0)))</f>
        <v>0.54123391973019463</v>
      </c>
      <c r="Z217" s="45" cm="1">
        <f t="array" aca="1" ref="Z217" ca="1">((IF(Z128+Z16&gt;=MAX('Demand Curves'!$B$17:$B$77),MAX('Demand Curves'!$C$17:$C$77),IF(Z128+Z16&lt;=0,0,IF(Z128+Z16&lt;MIN('Demand Curves'!$B$17:$B$77),(Z128+Z16)*INDEX('Demand Curves'!$C$17:$C$77,1)/INDEX('Demand Curves'!$B$17:$B$77,1),INDEX('Demand Curves'!$C$17:$C$77,MATCH(Z128+Z16,'Demand Curves'!$B$17:$B$77,1))+(Z128+Z16-INDEX('Demand Curves'!$B$17:$B$77,MATCH(Z128+Z16,'Demand Curves'!$B$17:$B$77,1)))/(INDEX('Demand Curves'!$B$17:$B$77,MATCH(Z128+Z16,'Demand Curves'!$B$17:$B$77,1)+1)-INDEX('Demand Curves'!$B$17:$B$77,MATCH(Z128+Z16,'Demand Curves'!$B$17:$B$77,1)))*(INDEX('Demand Curves'!$C$17:$C$77,MATCH(Z128+Z16,'Demand Curves'!$B$17:$B$77,1)+1)-INDEX('Demand Curves'!$C$17:$C$77,MATCH(Z128+Z16,'Demand Curves'!$B$17:$B$77,1))))))-Z131/IFERROR(INDEX('Demand Curves'!$D:$AC,MATCH("Annual TAM shift multiplier",'Demand Curves'!$A:$A,0),Z$5+1),1))*IFERROR(INDEX('Demand Curves'!$D:$AC,MATCH("Annual TAM shift multiplier",'Demand Curves'!$A:$A,0),Z$5+1),1)*IFERROR(INDEX(Assumptions!$D:$AC,MATCH("Utilization % (fleet ramp) — year-row",Assumptions!$A:$A,0),Z$5+1),1))*(1-INDEX(Assumptions!$B:$B,MATCH("Starlink ground ops % of revenue",Assumptions!$A:$A,0))-INDEX(Assumptions!$B:$B,MATCH("Starlink insurance % of revenue",Assumptions!$A:$A,0))-INDEX(Assumptions!$B:$B,MATCH("Starlink other COGS % of revenue",Assumptions!$A:$A,0)))</f>
        <v>0.57140771075515306</v>
      </c>
      <c r="AA217" s="45" cm="1">
        <f t="array" aca="1" ref="AA217" ca="1">((IF(AA128+AA16&gt;=MAX('Demand Curves'!$B$17:$B$77),MAX('Demand Curves'!$C$17:$C$77),IF(AA128+AA16&lt;=0,0,IF(AA128+AA16&lt;MIN('Demand Curves'!$B$17:$B$77),(AA128+AA16)*INDEX('Demand Curves'!$C$17:$C$77,1)/INDEX('Demand Curves'!$B$17:$B$77,1),INDEX('Demand Curves'!$C$17:$C$77,MATCH(AA128+AA16,'Demand Curves'!$B$17:$B$77,1))+(AA128+AA16-INDEX('Demand Curves'!$B$17:$B$77,MATCH(AA128+AA16,'Demand Curves'!$B$17:$B$77,1)))/(INDEX('Demand Curves'!$B$17:$B$77,MATCH(AA128+AA16,'Demand Curves'!$B$17:$B$77,1)+1)-INDEX('Demand Curves'!$B$17:$B$77,MATCH(AA128+AA16,'Demand Curves'!$B$17:$B$77,1)))*(INDEX('Demand Curves'!$C$17:$C$77,MATCH(AA128+AA16,'Demand Curves'!$B$17:$B$77,1)+1)-INDEX('Demand Curves'!$C$17:$C$77,MATCH(AA128+AA16,'Demand Curves'!$B$17:$B$77,1))))))-AA131/IFERROR(INDEX('Demand Curves'!$D:$AC,MATCH("Annual TAM shift multiplier",'Demand Curves'!$A:$A,0),AA$5+1),1))*IFERROR(INDEX('Demand Curves'!$D:$AC,MATCH("Annual TAM shift multiplier",'Demand Curves'!$A:$A,0),AA$5+1),1)*IFERROR(INDEX(Assumptions!$D:$AC,MATCH("Utilization % (fleet ramp) — year-row",Assumptions!$A:$A,0),AA$5+1),1))*(1-INDEX(Assumptions!$B:$B,MATCH("Starlink ground ops % of revenue",Assumptions!$A:$A,0))-INDEX(Assumptions!$B:$B,MATCH("Starlink insurance % of revenue",Assumptions!$A:$A,0))-INDEX(Assumptions!$B:$B,MATCH("Starlink other COGS % of revenue",Assumptions!$A:$A,0)))</f>
        <v>0.60326369062975282</v>
      </c>
      <c r="AB217" s="45" cm="1">
        <f t="array" aca="1" ref="AB217" ca="1">((IF(AB128+AB16&gt;=MAX('Demand Curves'!$B$17:$B$77),MAX('Demand Curves'!$C$17:$C$77),IF(AB128+AB16&lt;=0,0,IF(AB128+AB16&lt;MIN('Demand Curves'!$B$17:$B$77),(AB128+AB16)*INDEX('Demand Curves'!$C$17:$C$77,1)/INDEX('Demand Curves'!$B$17:$B$77,1),INDEX('Demand Curves'!$C$17:$C$77,MATCH(AB128+AB16,'Demand Curves'!$B$17:$B$77,1))+(AB128+AB16-INDEX('Demand Curves'!$B$17:$B$77,MATCH(AB128+AB16,'Demand Curves'!$B$17:$B$77,1)))/(INDEX('Demand Curves'!$B$17:$B$77,MATCH(AB128+AB16,'Demand Curves'!$B$17:$B$77,1)+1)-INDEX('Demand Curves'!$B$17:$B$77,MATCH(AB128+AB16,'Demand Curves'!$B$17:$B$77,1)))*(INDEX('Demand Curves'!$C$17:$C$77,MATCH(AB128+AB16,'Demand Curves'!$B$17:$B$77,1)+1)-INDEX('Demand Curves'!$C$17:$C$77,MATCH(AB128+AB16,'Demand Curves'!$B$17:$B$77,1))))))-AB131/IFERROR(INDEX('Demand Curves'!$D:$AC,MATCH("Annual TAM shift multiplier",'Demand Curves'!$A:$A,0),AB$5+1),1))*IFERROR(INDEX('Demand Curves'!$D:$AC,MATCH("Annual TAM shift multiplier",'Demand Curves'!$A:$A,0),AB$5+1),1)*IFERROR(INDEX(Assumptions!$D:$AC,MATCH("Utilization % (fleet ramp) — year-row",Assumptions!$A:$A,0),AB$5+1),1))*(1-INDEX(Assumptions!$B:$B,MATCH("Starlink ground ops % of revenue",Assumptions!$A:$A,0))-INDEX(Assumptions!$B:$B,MATCH("Starlink insurance % of revenue",Assumptions!$A:$A,0))-INDEX(Assumptions!$B:$B,MATCH("Starlink other COGS % of revenue",Assumptions!$A:$A,0)))</f>
        <v>0.63689564138236143</v>
      </c>
      <c r="AC217" s="45" cm="1">
        <f t="array" aca="1" ref="AC217" ca="1">((IF(AC128+AC16&gt;=MAX('Demand Curves'!$B$17:$B$77),MAX('Demand Curves'!$C$17:$C$77),IF(AC128+AC16&lt;=0,0,IF(AC128+AC16&lt;MIN('Demand Curves'!$B$17:$B$77),(AC128+AC16)*INDEX('Demand Curves'!$C$17:$C$77,1)/INDEX('Demand Curves'!$B$17:$B$77,1),INDEX('Demand Curves'!$C$17:$C$77,MATCH(AC128+AC16,'Demand Curves'!$B$17:$B$77,1))+(AC128+AC16-INDEX('Demand Curves'!$B$17:$B$77,MATCH(AC128+AC16,'Demand Curves'!$B$17:$B$77,1)))/(INDEX('Demand Curves'!$B$17:$B$77,MATCH(AC128+AC16,'Demand Curves'!$B$17:$B$77,1)+1)-INDEX('Demand Curves'!$B$17:$B$77,MATCH(AC128+AC16,'Demand Curves'!$B$17:$B$77,1)))*(INDEX('Demand Curves'!$C$17:$C$77,MATCH(AC128+AC16,'Demand Curves'!$B$17:$B$77,1)+1)-INDEX('Demand Curves'!$C$17:$C$77,MATCH(AC128+AC16,'Demand Curves'!$B$17:$B$77,1))))))-AC131/IFERROR(INDEX('Demand Curves'!$D:$AC,MATCH("Annual TAM shift multiplier",'Demand Curves'!$A:$A,0),AC$5+1),1))*IFERROR(INDEX('Demand Curves'!$D:$AC,MATCH("Annual TAM shift multiplier",'Demand Curves'!$A:$A,0),AC$5+1),1)*IFERROR(INDEX(Assumptions!$D:$AC,MATCH("Utilization % (fleet ramp) — year-row",Assumptions!$A:$A,0),AC$5+1),1))*(1-INDEX(Assumptions!$B:$B,MATCH("Starlink ground ops % of revenue",Assumptions!$A:$A,0))-INDEX(Assumptions!$B:$B,MATCH("Starlink insurance % of revenue",Assumptions!$A:$A,0))-INDEX(Assumptions!$B:$B,MATCH("Starlink other COGS % of revenue",Assumptions!$A:$A,0)))</f>
        <v>0.67240257338942788</v>
      </c>
    </row>
    <row r="218" spans="1:29" x14ac:dyDescent="0.2">
      <c r="A218" s="18" t="s">
        <v>926</v>
      </c>
      <c r="D218" s="46" cm="1">
        <f t="array" aca="1" ref="D218" ca="1">IFERROR(IRR(IF(_xlfn.SEQUENCE(1,INDEX(Assumptions!$B:$B,MATCH("MFW-IRR — Starlink economic life N (years)",Assumptions!$A:$A,0))+1)=1,-D216,D217)),-1)</f>
        <v>-4.1983066982837491E-2</v>
      </c>
      <c r="E218" s="46" cm="1">
        <f t="array" aca="1" ref="E218" ca="1">IFERROR(IRR(IF(_xlfn.SEQUENCE(1,INDEX(Assumptions!$B:$B,MATCH("MFW-IRR — Starlink economic life N (years)",Assumptions!$A:$A,0))+1)=1,-E216,E217)),-1)</f>
        <v>8.3130896952949174E-2</v>
      </c>
      <c r="F218" s="46" cm="1">
        <f t="array" aca="1" ref="F218" ca="1">IFERROR(IRR(IF(_xlfn.SEQUENCE(1,INDEX(Assumptions!$B:$B,MATCH("MFW-IRR — Starlink economic life N (years)",Assumptions!$A:$A,0))+1)=1,-F216,F217)),-1)</f>
        <v>0.21521525834593702</v>
      </c>
      <c r="G218" s="46" cm="1">
        <f t="array" aca="1" ref="G218" ca="1">IFERROR(IRR(IF(_xlfn.SEQUENCE(1,INDEX(Assumptions!$B:$B,MATCH("MFW-IRR — Starlink economic life N (years)",Assumptions!$A:$A,0))+1)=1,-G216,G217)),-1)</f>
        <v>0.35876777056022191</v>
      </c>
      <c r="H218" s="46" cm="1">
        <f t="array" aca="1" ref="H218" ca="1">IFERROR(IRR(IF(_xlfn.SEQUENCE(1,INDEX(Assumptions!$B:$B,MATCH("MFW-IRR — Starlink economic life N (years)",Assumptions!$A:$A,0))+1)=1,-H216,H217)),-1)</f>
        <v>0.51801739932759072</v>
      </c>
      <c r="I218" s="46" cm="1">
        <f t="array" aca="1" ref="I218" ca="1">IFERROR(IRR(IF(_xlfn.SEQUENCE(1,INDEX(Assumptions!$B:$B,MATCH("MFW-IRR — Starlink economic life N (years)",Assumptions!$A:$A,0))+1)=1,-I216,I217)),-1)</f>
        <v>0.59961825748912867</v>
      </c>
      <c r="J218" s="46" cm="1">
        <f t="array" aca="1" ref="J218" ca="1">IFERROR(IRR(IF(_xlfn.SEQUENCE(1,INDEX(Assumptions!$B:$B,MATCH("MFW-IRR — Starlink economic life N (years)",Assumptions!$A:$A,0))+1)=1,-J216,J217)),-1)</f>
        <v>0.68872733065577063</v>
      </c>
      <c r="K218" s="46" cm="1">
        <f t="array" aca="1" ref="K218" ca="1">IFERROR(IRR(IF(_xlfn.SEQUENCE(1,INDEX(Assumptions!$B:$B,MATCH("MFW-IRR — Starlink economic life N (years)",Assumptions!$A:$A,0))+1)=1,-K216,K217)),-1)</f>
        <v>0.78628309469461821</v>
      </c>
      <c r="L218" s="46" cm="1">
        <f t="array" aca="1" ref="L218" ca="1">IFERROR(IRR(IF(_xlfn.SEQUENCE(1,INDEX(Assumptions!$B:$B,MATCH("MFW-IRR — Starlink economic life N (years)",Assumptions!$A:$A,0))+1)=1,-L216,L217)),-1)</f>
        <v>0.89334526162803951</v>
      </c>
      <c r="M218" s="46" cm="1">
        <f t="array" aca="1" ref="M218" ca="1">IFERROR(IRR(IF(_xlfn.SEQUENCE(1,INDEX(Assumptions!$B:$B,MATCH("MFW-IRR — Starlink economic life N (years)",Assumptions!$A:$A,0))+1)=1,-M216,M217)),-1)</f>
        <v>1.0111075160310401</v>
      </c>
      <c r="N218" s="46" cm="1">
        <f t="array" aca="1" ref="N218" ca="1">IFERROR(IRR(IF(_xlfn.SEQUENCE(1,INDEX(Assumptions!$B:$B,MATCH("MFW-IRR — Starlink economic life N (years)",Assumptions!$A:$A,0))+1)=1,-N216,N217)),-1)</f>
        <v>1.1119935488730173</v>
      </c>
      <c r="O218" s="46" cm="1">
        <f t="array" aca="1" ref="O218" ca="1">IFERROR(IRR(IF(_xlfn.SEQUENCE(1,INDEX(Assumptions!$B:$B,MATCH("MFW-IRR — Starlink economic life N (years)",Assumptions!$A:$A,0))+1)=1,-O216,O217)),-1)</f>
        <v>1.19333259222942</v>
      </c>
      <c r="P218" s="46" cm="1">
        <f t="array" aca="1" ref="P218" ca="1">IFERROR(IRR(IF(_xlfn.SEQUENCE(1,INDEX(Assumptions!$B:$B,MATCH("MFW-IRR — Starlink economic life N (years)",Assumptions!$A:$A,0))+1)=1,-P216,P217)),-1)</f>
        <v>1.2783137001493903</v>
      </c>
      <c r="Q218" s="46" cm="1">
        <f t="array" aca="1" ref="Q218" ca="1">IFERROR(IRR(IF(_xlfn.SEQUENCE(1,INDEX(Assumptions!$B:$B,MATCH("MFW-IRR — Starlink economic life N (years)",Assumptions!$A:$A,0))+1)=1,-Q216,Q217)),-1)</f>
        <v>1.3671649285310847</v>
      </c>
      <c r="R218" s="46" cm="1">
        <f t="array" aca="1" ref="R218" ca="1">IFERROR(IRR(IF(_xlfn.SEQUENCE(1,INDEX(Assumptions!$B:$B,MATCH("MFW-IRR — Starlink economic life N (years)",Assumptions!$A:$A,0))+1)=1,-R216,R217)),-1)</f>
        <v>1.4601288430965016</v>
      </c>
      <c r="S218" s="46" cm="1">
        <f t="array" aca="1" ref="S218" ca="1">IFERROR(IRR(IF(_xlfn.SEQUENCE(1,INDEX(Assumptions!$B:$B,MATCH("MFW-IRR — Starlink economic life N (years)",Assumptions!$A:$A,0))+1)=1,-S216,S217)),-1)</f>
        <v>1.5574629636174984</v>
      </c>
      <c r="T218" s="46" cm="1">
        <f t="array" aca="1" ref="T218" ca="1">IFERROR(IRR(IF(_xlfn.SEQUENCE(1,INDEX(Assumptions!$B:$B,MATCH("MFW-IRR — Starlink economic life N (years)",Assumptions!$A:$A,0))+1)=1,-T216,T217)),-1)</f>
        <v>1.6594402468012008</v>
      </c>
      <c r="U218" s="46" cm="1">
        <f t="array" aca="1" ref="U218" ca="1">IFERROR(IRR(IF(_xlfn.SEQUENCE(1,INDEX(Assumptions!$B:$B,MATCH("MFW-IRR — Starlink economic life N (years)",Assumptions!$A:$A,0))+1)=1,-U216,U217)),-1)</f>
        <v>1.7663496157210599</v>
      </c>
      <c r="V218" s="46" cm="1">
        <f t="array" aca="1" ref="V218" ca="1">IFERROR(IRR(IF(_xlfn.SEQUENCE(1,INDEX(Assumptions!$B:$B,MATCH("MFW-IRR — Starlink economic life N (years)",Assumptions!$A:$A,0))+1)=1,-V216,V217)),-1)</f>
        <v>1.8784965427835774</v>
      </c>
      <c r="W218" s="46" cm="1">
        <f t="array" aca="1" ref="W218" ca="1">IFERROR(IRR(IF(_xlfn.SEQUENCE(1,INDEX(Assumptions!$B:$B,MATCH("MFW-IRR — Starlink economic life N (years)",Assumptions!$A:$A,0))+1)=1,-W216,W217)),-1)</f>
        <v>1.9962036923594311</v>
      </c>
      <c r="X218" s="46" cm="1">
        <f t="array" aca="1" ref="X218" ca="1">IFERROR(IRR(IF(_xlfn.SEQUENCE(1,INDEX(Assumptions!$B:$B,MATCH("MFW-IRR — Starlink economic life N (years)",Assumptions!$A:$A,0))+1)=1,-X216,X217)),-1)</f>
        <v>2.1198116284114641</v>
      </c>
      <c r="Y218" s="46" cm="1">
        <f t="array" aca="1" ref="Y218" ca="1">IFERROR(IRR(IF(_xlfn.SEQUENCE(1,INDEX(Assumptions!$B:$B,MATCH("MFW-IRR — Starlink economic life N (years)",Assumptions!$A:$A,0))+1)=1,-Y216,Y217)),-1)</f>
        <v>2.2496795917406573</v>
      </c>
      <c r="Z218" s="46" cm="1">
        <f t="array" aca="1" ref="Z218" ca="1">IFERROR(IRR(IF(_xlfn.SEQUENCE(1,INDEX(Assumptions!$B:$B,MATCH("MFW-IRR — Starlink economic life N (years)",Assumptions!$A:$A,0))+1)=1,-Z216,Z217)),-1)</f>
        <v>2.3861863508570851</v>
      </c>
      <c r="AA218" s="46" cm="1">
        <f t="array" aca="1" ref="AA218" ca="1">IFERROR(IRR(IF(_xlfn.SEQUENCE(1,INDEX(Assumptions!$B:$B,MATCH("MFW-IRR — Starlink economic life N (years)",Assumptions!$A:$A,0))+1)=1,-AA216,AA217)),-1)</f>
        <v>2.5297311300666379</v>
      </c>
      <c r="AB218" s="46" cm="1">
        <f t="array" aca="1" ref="AB218" ca="1">IFERROR(IRR(IF(_xlfn.SEQUENCE(1,INDEX(Assumptions!$B:$B,MATCH("MFW-IRR — Starlink economic life N (years)",Assumptions!$A:$A,0))+1)=1,-AB216,AB217)),-1)</f>
        <v>2.6807346173820932</v>
      </c>
      <c r="AC218" s="46" cm="1">
        <f t="array" aca="1" ref="AC218" ca="1">IFERROR(IRR(IF(_xlfn.SEQUENCE(1,INDEX(Assumptions!$B:$B,MATCH("MFW-IRR — Starlink economic life N (years)",Assumptions!$A:$A,0))+1)=1,-AC216,AC217)),-1)</f>
        <v>2.8396400561150523</v>
      </c>
    </row>
    <row r="219" spans="1:29" x14ac:dyDescent="0.2">
      <c r="A219" s="18" t="s">
        <v>927</v>
      </c>
      <c r="D219" s="46" cm="1">
        <f t="array" aca="1" ref="D219" ca="1">IFERROR(INDEX($D218:$AC218,1,D$5+1+IFERROR(INDEX(Assumptions!$B:$B,MATCH("Forward IRR look-ahead horizon (years)",Assumptions!$A:$A,0)),2)),-1)</f>
        <v>0.21521525834593702</v>
      </c>
      <c r="E219" s="46" cm="1">
        <f t="array" aca="1" ref="E219" ca="1">IFERROR(INDEX($D218:$AC218,1,E$5+1+IFERROR(INDEX(Assumptions!$B:$B,MATCH("Forward IRR look-ahead horizon (years)",Assumptions!$A:$A,0)),2)),-1)</f>
        <v>0.35876777056022191</v>
      </c>
      <c r="F219" s="46" cm="1">
        <f t="array" aca="1" ref="F219" ca="1">IFERROR(INDEX($D218:$AC218,1,F$5+1+IFERROR(INDEX(Assumptions!$B:$B,MATCH("Forward IRR look-ahead horizon (years)",Assumptions!$A:$A,0)),2)),-1)</f>
        <v>0.51801739932759072</v>
      </c>
      <c r="G219" s="46" cm="1">
        <f t="array" aca="1" ref="G219" ca="1">IFERROR(INDEX($D218:$AC218,1,G$5+1+IFERROR(INDEX(Assumptions!$B:$B,MATCH("Forward IRR look-ahead horizon (years)",Assumptions!$A:$A,0)),2)),-1)</f>
        <v>0.59961825748912867</v>
      </c>
      <c r="H219" s="46" cm="1">
        <f t="array" aca="1" ref="H219" ca="1">IFERROR(INDEX($D218:$AC218,1,H$5+1+IFERROR(INDEX(Assumptions!$B:$B,MATCH("Forward IRR look-ahead horizon (years)",Assumptions!$A:$A,0)),2)),-1)</f>
        <v>0.68872733065577063</v>
      </c>
      <c r="I219" s="46" cm="1">
        <f t="array" aca="1" ref="I219" ca="1">IFERROR(INDEX($D218:$AC218,1,I$5+1+IFERROR(INDEX(Assumptions!$B:$B,MATCH("Forward IRR look-ahead horizon (years)",Assumptions!$A:$A,0)),2)),-1)</f>
        <v>0.78628309469461821</v>
      </c>
      <c r="J219" s="46" cm="1">
        <f t="array" aca="1" ref="J219" ca="1">IFERROR(INDEX($D218:$AC218,1,J$5+1+IFERROR(INDEX(Assumptions!$B:$B,MATCH("Forward IRR look-ahead horizon (years)",Assumptions!$A:$A,0)),2)),-1)</f>
        <v>0.89334526162803951</v>
      </c>
      <c r="K219" s="46" cm="1">
        <f t="array" aca="1" ref="K219" ca="1">IFERROR(INDEX($D218:$AC218,1,K$5+1+IFERROR(INDEX(Assumptions!$B:$B,MATCH("Forward IRR look-ahead horizon (years)",Assumptions!$A:$A,0)),2)),-1)</f>
        <v>1.0111075160310401</v>
      </c>
      <c r="L219" s="46" cm="1">
        <f t="array" aca="1" ref="L219" ca="1">IFERROR(INDEX($D218:$AC218,1,L$5+1+IFERROR(INDEX(Assumptions!$B:$B,MATCH("Forward IRR look-ahead horizon (years)",Assumptions!$A:$A,0)),2)),-1)</f>
        <v>1.1119935488730173</v>
      </c>
      <c r="M219" s="46" cm="1">
        <f t="array" aca="1" ref="M219" ca="1">IFERROR(INDEX($D218:$AC218,1,M$5+1+IFERROR(INDEX(Assumptions!$B:$B,MATCH("Forward IRR look-ahead horizon (years)",Assumptions!$A:$A,0)),2)),-1)</f>
        <v>1.19333259222942</v>
      </c>
      <c r="N219" s="46" cm="1">
        <f t="array" aca="1" ref="N219" ca="1">IFERROR(INDEX($D218:$AC218,1,N$5+1+IFERROR(INDEX(Assumptions!$B:$B,MATCH("Forward IRR look-ahead horizon (years)",Assumptions!$A:$A,0)),2)),-1)</f>
        <v>1.2783137001493903</v>
      </c>
      <c r="O219" s="46" cm="1">
        <f t="array" aca="1" ref="O219" ca="1">IFERROR(INDEX($D218:$AC218,1,O$5+1+IFERROR(INDEX(Assumptions!$B:$B,MATCH("Forward IRR look-ahead horizon (years)",Assumptions!$A:$A,0)),2)),-1)</f>
        <v>1.3671649285310847</v>
      </c>
      <c r="P219" s="46" cm="1">
        <f t="array" aca="1" ref="P219" ca="1">IFERROR(INDEX($D218:$AC218,1,P$5+1+IFERROR(INDEX(Assumptions!$B:$B,MATCH("Forward IRR look-ahead horizon (years)",Assumptions!$A:$A,0)),2)),-1)</f>
        <v>1.4601288430965016</v>
      </c>
      <c r="Q219" s="46" cm="1">
        <f t="array" aca="1" ref="Q219" ca="1">IFERROR(INDEX($D218:$AC218,1,Q$5+1+IFERROR(INDEX(Assumptions!$B:$B,MATCH("Forward IRR look-ahead horizon (years)",Assumptions!$A:$A,0)),2)),-1)</f>
        <v>1.5574629636174984</v>
      </c>
      <c r="R219" s="46" cm="1">
        <f t="array" aca="1" ref="R219" ca="1">IFERROR(INDEX($D218:$AC218,1,R$5+1+IFERROR(INDEX(Assumptions!$B:$B,MATCH("Forward IRR look-ahead horizon (years)",Assumptions!$A:$A,0)),2)),-1)</f>
        <v>1.6594402468012008</v>
      </c>
      <c r="S219" s="46" cm="1">
        <f t="array" aca="1" ref="S219" ca="1">IFERROR(INDEX($D218:$AC218,1,S$5+1+IFERROR(INDEX(Assumptions!$B:$B,MATCH("Forward IRR look-ahead horizon (years)",Assumptions!$A:$A,0)),2)),-1)</f>
        <v>1.7663496157210599</v>
      </c>
      <c r="T219" s="46" cm="1">
        <f t="array" aca="1" ref="T219" ca="1">IFERROR(INDEX($D218:$AC218,1,T$5+1+IFERROR(INDEX(Assumptions!$B:$B,MATCH("Forward IRR look-ahead horizon (years)",Assumptions!$A:$A,0)),2)),-1)</f>
        <v>1.8784965427835774</v>
      </c>
      <c r="U219" s="46" cm="1">
        <f t="array" aca="1" ref="U219" ca="1">IFERROR(INDEX($D218:$AC218,1,U$5+1+IFERROR(INDEX(Assumptions!$B:$B,MATCH("Forward IRR look-ahead horizon (years)",Assumptions!$A:$A,0)),2)),-1)</f>
        <v>1.9962036923594311</v>
      </c>
      <c r="V219" s="46" cm="1">
        <f t="array" aca="1" ref="V219" ca="1">IFERROR(INDEX($D218:$AC218,1,V$5+1+IFERROR(INDEX(Assumptions!$B:$B,MATCH("Forward IRR look-ahead horizon (years)",Assumptions!$A:$A,0)),2)),-1)</f>
        <v>2.1198116284114641</v>
      </c>
      <c r="W219" s="46" cm="1">
        <f t="array" aca="1" ref="W219" ca="1">IFERROR(INDEX($D218:$AC218,1,W$5+1+IFERROR(INDEX(Assumptions!$B:$B,MATCH("Forward IRR look-ahead horizon (years)",Assumptions!$A:$A,0)),2)),-1)</f>
        <v>2.2496795917406573</v>
      </c>
      <c r="X219" s="46" cm="1">
        <f t="array" aca="1" ref="X219" ca="1">IFERROR(INDEX($D218:$AC218,1,X$5+1+IFERROR(INDEX(Assumptions!$B:$B,MATCH("Forward IRR look-ahead horizon (years)",Assumptions!$A:$A,0)),2)),-1)</f>
        <v>2.3861863508570851</v>
      </c>
      <c r="Y219" s="46" cm="1">
        <f t="array" aca="1" ref="Y219" ca="1">IFERROR(INDEX($D218:$AC218,1,Y$5+1+IFERROR(INDEX(Assumptions!$B:$B,MATCH("Forward IRR look-ahead horizon (years)",Assumptions!$A:$A,0)),2)),-1)</f>
        <v>2.5297311300666379</v>
      </c>
      <c r="Z219" s="46" cm="1">
        <f t="array" aca="1" ref="Z219" ca="1">IFERROR(INDEX($D218:$AC218,1,Z$5+1+IFERROR(INDEX(Assumptions!$B:$B,MATCH("Forward IRR look-ahead horizon (years)",Assumptions!$A:$A,0)),2)),-1)</f>
        <v>2.6807346173820932</v>
      </c>
      <c r="AA219" s="46" cm="1">
        <f t="array" aca="1" ref="AA219" ca="1">IFERROR(INDEX($D218:$AC218,1,AA$5+1+IFERROR(INDEX(Assumptions!$B:$B,MATCH("Forward IRR look-ahead horizon (years)",Assumptions!$A:$A,0)),2)),-1)</f>
        <v>2.8396400561150523</v>
      </c>
      <c r="AB219" s="46" cm="1">
        <f t="array" ref="AB219">IFERROR(INDEX($D218:$AC218,1,AB$5+1+IFERROR(INDEX(Assumptions!$B:$B,MATCH("Forward IRR look-ahead horizon (years)",Assumptions!$A:$A,0)),2)),-1)</f>
        <v>-1</v>
      </c>
      <c r="AC219" s="46" cm="1">
        <f t="array" ref="AC219">IFERROR(INDEX($D218:$AC218,1,AC$5+1+IFERROR(INDEX(Assumptions!$B:$B,MATCH("Forward IRR look-ahead horizon (years)",Assumptions!$A:$A,0)),2)),-1)</f>
        <v>-1</v>
      </c>
    </row>
    <row r="220" spans="1:29" x14ac:dyDescent="0.2">
      <c r="A220" s="18" t="s">
        <v>928</v>
      </c>
      <c r="D220" s="46">
        <f ca="1">(1-INDEX(Assumptions!$B:$B,MATCH("Forward IRR weight w (Blended = (1-w)·Spot + w·Forward)",Assumptions!$A:$A,0)))*D218+INDEX(Assumptions!$B:$B,MATCH("Forward IRR weight w (Blended = (1-w)·Spot + w·Forward)",Assumptions!$A:$A,0))*D219</f>
        <v>0.13805576074730466</v>
      </c>
      <c r="E220" s="46">
        <f ca="1">(1-INDEX(Assumptions!$B:$B,MATCH("Forward IRR weight w (Blended = (1-w)·Spot + w·Forward)",Assumptions!$A:$A,0)))*E218+INDEX(Assumptions!$B:$B,MATCH("Forward IRR weight w (Blended = (1-w)·Spot + w·Forward)",Assumptions!$A:$A,0))*E219</f>
        <v>0.27607670847804006</v>
      </c>
      <c r="F220" s="46">
        <f ca="1">(1-INDEX(Assumptions!$B:$B,MATCH("Forward IRR weight w (Blended = (1-w)·Spot + w·Forward)",Assumptions!$A:$A,0)))*F218+INDEX(Assumptions!$B:$B,MATCH("Forward IRR weight w (Blended = (1-w)·Spot + w·Forward)",Assumptions!$A:$A,0))*F219</f>
        <v>0.42717675703309455</v>
      </c>
      <c r="G220" s="46">
        <f ca="1">(1-INDEX(Assumptions!$B:$B,MATCH("Forward IRR weight w (Blended = (1-w)·Spot + w·Forward)",Assumptions!$A:$A,0)))*G218+INDEX(Assumptions!$B:$B,MATCH("Forward IRR weight w (Blended = (1-w)·Spot + w·Forward)",Assumptions!$A:$A,0))*G219</f>
        <v>0.52736311141045666</v>
      </c>
      <c r="H220" s="46">
        <f ca="1">(1-INDEX(Assumptions!$B:$B,MATCH("Forward IRR weight w (Blended = (1-w)·Spot + w·Forward)",Assumptions!$A:$A,0)))*H218+INDEX(Assumptions!$B:$B,MATCH("Forward IRR weight w (Blended = (1-w)·Spot + w·Forward)",Assumptions!$A:$A,0))*H219</f>
        <v>0.63751435125731659</v>
      </c>
      <c r="I220" s="46">
        <f ca="1">(1-INDEX(Assumptions!$B:$B,MATCH("Forward IRR weight w (Blended = (1-w)·Spot + w·Forward)",Assumptions!$A:$A,0)))*I218+INDEX(Assumptions!$B:$B,MATCH("Forward IRR weight w (Blended = (1-w)·Spot + w·Forward)",Assumptions!$A:$A,0))*I219</f>
        <v>0.73028364353297137</v>
      </c>
      <c r="J220" s="46">
        <f ca="1">(1-INDEX(Assumptions!$B:$B,MATCH("Forward IRR weight w (Blended = (1-w)·Spot + w·Forward)",Assumptions!$A:$A,0)))*J218+INDEX(Assumptions!$B:$B,MATCH("Forward IRR weight w (Blended = (1-w)·Spot + w·Forward)",Assumptions!$A:$A,0))*J219</f>
        <v>0.83195988233635876</v>
      </c>
      <c r="K220" s="46">
        <f ca="1">(1-INDEX(Assumptions!$B:$B,MATCH("Forward IRR weight w (Blended = (1-w)·Spot + w·Forward)",Assumptions!$A:$A,0)))*K218+INDEX(Assumptions!$B:$B,MATCH("Forward IRR weight w (Blended = (1-w)·Spot + w·Forward)",Assumptions!$A:$A,0))*K219</f>
        <v>0.94366018963011356</v>
      </c>
      <c r="L220" s="46">
        <f ca="1">(1-INDEX(Assumptions!$B:$B,MATCH("Forward IRR weight w (Blended = (1-w)·Spot + w·Forward)",Assumptions!$A:$A,0)))*L218+INDEX(Assumptions!$B:$B,MATCH("Forward IRR weight w (Blended = (1-w)·Spot + w·Forward)",Assumptions!$A:$A,0))*L219</f>
        <v>1.0463990626995239</v>
      </c>
      <c r="M220" s="46">
        <f ca="1">(1-INDEX(Assumptions!$B:$B,MATCH("Forward IRR weight w (Blended = (1-w)·Spot + w·Forward)",Assumptions!$A:$A,0)))*M218+INDEX(Assumptions!$B:$B,MATCH("Forward IRR weight w (Blended = (1-w)·Spot + w·Forward)",Assumptions!$A:$A,0))*M219</f>
        <v>1.1386650693699061</v>
      </c>
      <c r="N220" s="46">
        <f ca="1">(1-INDEX(Assumptions!$B:$B,MATCH("Forward IRR weight w (Blended = (1-w)·Spot + w·Forward)",Assumptions!$A:$A,0)))*N218+INDEX(Assumptions!$B:$B,MATCH("Forward IRR weight w (Blended = (1-w)·Spot + w·Forward)",Assumptions!$A:$A,0))*N219</f>
        <v>1.2284176547664782</v>
      </c>
      <c r="O220" s="46">
        <f ca="1">(1-INDEX(Assumptions!$B:$B,MATCH("Forward IRR weight w (Blended = (1-w)·Spot + w·Forward)",Assumptions!$A:$A,0)))*O218+INDEX(Assumptions!$B:$B,MATCH("Forward IRR weight w (Blended = (1-w)·Spot + w·Forward)",Assumptions!$A:$A,0))*O219</f>
        <v>1.3150152276405853</v>
      </c>
      <c r="P220" s="46">
        <f ca="1">(1-INDEX(Assumptions!$B:$B,MATCH("Forward IRR weight w (Blended = (1-w)·Spot + w·Forward)",Assumptions!$A:$A,0)))*P218+INDEX(Assumptions!$B:$B,MATCH("Forward IRR weight w (Blended = (1-w)·Spot + w·Forward)",Assumptions!$A:$A,0))*P219</f>
        <v>1.405584300212368</v>
      </c>
      <c r="Q220" s="46">
        <f ca="1">(1-INDEX(Assumptions!$B:$B,MATCH("Forward IRR weight w (Blended = (1-w)·Spot + w·Forward)",Assumptions!$A:$A,0)))*Q218+INDEX(Assumptions!$B:$B,MATCH("Forward IRR weight w (Blended = (1-w)·Spot + w·Forward)",Assumptions!$A:$A,0))*Q219</f>
        <v>1.5003735530915741</v>
      </c>
      <c r="R220" s="46">
        <f ca="1">(1-INDEX(Assumptions!$B:$B,MATCH("Forward IRR weight w (Blended = (1-w)·Spot + w·Forward)",Assumptions!$A:$A,0)))*R218+INDEX(Assumptions!$B:$B,MATCH("Forward IRR weight w (Blended = (1-w)·Spot + w·Forward)",Assumptions!$A:$A,0))*R219</f>
        <v>1.5996468256897911</v>
      </c>
      <c r="S220" s="46">
        <f ca="1">(1-INDEX(Assumptions!$B:$B,MATCH("Forward IRR weight w (Blended = (1-w)·Spot + w·Forward)",Assumptions!$A:$A,0)))*S218+INDEX(Assumptions!$B:$B,MATCH("Forward IRR weight w (Blended = (1-w)·Spot + w·Forward)",Assumptions!$A:$A,0))*S219</f>
        <v>1.7036836200899912</v>
      </c>
      <c r="T220" s="46">
        <f ca="1">(1-INDEX(Assumptions!$B:$B,MATCH("Forward IRR weight w (Blended = (1-w)·Spot + w·Forward)",Assumptions!$A:$A,0)))*T218+INDEX(Assumptions!$B:$B,MATCH("Forward IRR weight w (Blended = (1-w)·Spot + w·Forward)",Assumptions!$A:$A,0))*T219</f>
        <v>1.8127796539888643</v>
      </c>
      <c r="U220" s="46">
        <f ca="1">(1-INDEX(Assumptions!$B:$B,MATCH("Forward IRR weight w (Blended = (1-w)·Spot + w·Forward)",Assumptions!$A:$A,0)))*U218+INDEX(Assumptions!$B:$B,MATCH("Forward IRR weight w (Blended = (1-w)·Spot + w·Forward)",Assumptions!$A:$A,0))*U219</f>
        <v>1.9272474693679196</v>
      </c>
      <c r="V220" s="46">
        <f ca="1">(1-INDEX(Assumptions!$B:$B,MATCH("Forward IRR weight w (Blended = (1-w)·Spot + w·Forward)",Assumptions!$A:$A,0)))*V218+INDEX(Assumptions!$B:$B,MATCH("Forward IRR weight w (Blended = (1-w)·Spot + w·Forward)",Assumptions!$A:$A,0))*V219</f>
        <v>2.0474171027230978</v>
      </c>
      <c r="W220" s="46">
        <f ca="1">(1-INDEX(Assumptions!$B:$B,MATCH("Forward IRR weight w (Blended = (1-w)·Spot + w·Forward)",Assumptions!$A:$A,0)))*W218+INDEX(Assumptions!$B:$B,MATCH("Forward IRR weight w (Blended = (1-w)·Spot + w·Forward)",Assumptions!$A:$A,0))*W219</f>
        <v>2.1736368219262894</v>
      </c>
      <c r="X220" s="46">
        <f ca="1">(1-INDEX(Assumptions!$B:$B,MATCH("Forward IRR weight w (Blended = (1-w)·Spot + w·Forward)",Assumptions!$A:$A,0)))*X218+INDEX(Assumptions!$B:$B,MATCH("Forward IRR weight w (Blended = (1-w)·Spot + w·Forward)",Assumptions!$A:$A,0))*X219</f>
        <v>2.3062739341233987</v>
      </c>
      <c r="Y220" s="46">
        <f ca="1">(1-INDEX(Assumptions!$B:$B,MATCH("Forward IRR weight w (Blended = (1-w)·Spot + w·Forward)",Assumptions!$A:$A,0)))*Y218+INDEX(Assumptions!$B:$B,MATCH("Forward IRR weight w (Blended = (1-w)·Spot + w·Forward)",Assumptions!$A:$A,0))*Y219</f>
        <v>2.4457156685688437</v>
      </c>
      <c r="Z220" s="46">
        <f ca="1">(1-INDEX(Assumptions!$B:$B,MATCH("Forward IRR weight w (Blended = (1-w)·Spot + w·Forward)",Assumptions!$A:$A,0)))*Z218+INDEX(Assumptions!$B:$B,MATCH("Forward IRR weight w (Blended = (1-w)·Spot + w·Forward)",Assumptions!$A:$A,0))*Z219</f>
        <v>2.5923701374245907</v>
      </c>
      <c r="AA220" s="46">
        <f ca="1">(1-INDEX(Assumptions!$B:$B,MATCH("Forward IRR weight w (Blended = (1-w)·Spot + w·Forward)",Assumptions!$A:$A,0)))*AA218+INDEX(Assumptions!$B:$B,MATCH("Forward IRR weight w (Blended = (1-w)·Spot + w·Forward)",Assumptions!$A:$A,0))*AA219</f>
        <v>2.7466673783005278</v>
      </c>
      <c r="AB220" s="46">
        <f ca="1">(1-INDEX(Assumptions!$B:$B,MATCH("Forward IRR weight w (Blended = (1-w)·Spot + w·Forward)",Assumptions!$A:$A,0)))*AB218+INDEX(Assumptions!$B:$B,MATCH("Forward IRR weight w (Blended = (1-w)·Spot + w·Forward)",Assumptions!$A:$A,0))*AB219</f>
        <v>0.10422038521462806</v>
      </c>
      <c r="AC220" s="46">
        <f ca="1">(1-INDEX(Assumptions!$B:$B,MATCH("Forward IRR weight w (Blended = (1-w)·Spot + w·Forward)",Assumptions!$A:$A,0)))*AC218+INDEX(Assumptions!$B:$B,MATCH("Forward IRR weight w (Blended = (1-w)·Spot + w·Forward)",Assumptions!$A:$A,0))*AC219</f>
        <v>0.15189201683451592</v>
      </c>
    </row>
    <row r="221" spans="1:29" x14ac:dyDescent="0.2">
      <c r="A221" s="18" t="s">
        <v>929</v>
      </c>
      <c r="D221" s="45">
        <f>D80+D85</f>
        <v>1.3906499999999999</v>
      </c>
      <c r="E221" s="45">
        <f t="shared" ref="E221:AC221" si="38">E80+E85</f>
        <v>1.3165849999999999</v>
      </c>
      <c r="F221" s="45">
        <f t="shared" si="38"/>
        <v>1.2466765</v>
      </c>
      <c r="G221" s="45">
        <f t="shared" si="38"/>
        <v>1.1806713499999999</v>
      </c>
      <c r="H221" s="45">
        <f t="shared" si="38"/>
        <v>1.11833359</v>
      </c>
      <c r="I221" s="45">
        <f t="shared" si="38"/>
        <v>1.0594431372499999</v>
      </c>
      <c r="J221" s="45">
        <f t="shared" si="38"/>
        <v>1.0037945844624998</v>
      </c>
      <c r="K221" s="45">
        <f t="shared" si="38"/>
        <v>0.95119609890687495</v>
      </c>
      <c r="L221" s="45">
        <f t="shared" si="38"/>
        <v>0.90146841326228133</v>
      </c>
      <c r="M221" s="45">
        <f t="shared" si="38"/>
        <v>0.85444389996984216</v>
      </c>
      <c r="N221" s="45">
        <f t="shared" si="38"/>
        <v>0.83160770059506506</v>
      </c>
      <c r="O221" s="45">
        <f t="shared" si="38"/>
        <v>0.82844693053555851</v>
      </c>
      <c r="P221" s="45">
        <f t="shared" si="38"/>
        <v>0.82560223748200268</v>
      </c>
      <c r="Q221" s="45">
        <f t="shared" si="38"/>
        <v>0.82304201373380248</v>
      </c>
      <c r="R221" s="45">
        <f t="shared" si="38"/>
        <v>0.8207378123604222</v>
      </c>
      <c r="S221" s="45">
        <f t="shared" si="38"/>
        <v>0.81866403112438002</v>
      </c>
      <c r="T221" s="45">
        <f t="shared" si="38"/>
        <v>0.816797628011942</v>
      </c>
      <c r="U221" s="45">
        <f t="shared" si="38"/>
        <v>0.81511786521074781</v>
      </c>
      <c r="V221" s="45">
        <f t="shared" si="38"/>
        <v>0.81360607868967305</v>
      </c>
      <c r="W221" s="45">
        <f t="shared" si="38"/>
        <v>0.81224547082070575</v>
      </c>
      <c r="X221" s="45">
        <f t="shared" si="38"/>
        <v>0.81102092373863521</v>
      </c>
      <c r="Y221" s="45">
        <f t="shared" si="38"/>
        <v>0.80991883136477161</v>
      </c>
      <c r="Z221" s="45">
        <f t="shared" si="38"/>
        <v>0.80892694822829447</v>
      </c>
      <c r="AA221" s="45">
        <f t="shared" si="38"/>
        <v>0.80803425340546509</v>
      </c>
      <c r="AB221" s="45">
        <f t="shared" si="38"/>
        <v>0.80723082806491853</v>
      </c>
      <c r="AC221" s="45">
        <f t="shared" si="38"/>
        <v>0.80650774525842672</v>
      </c>
    </row>
    <row r="222" spans="1:29" x14ac:dyDescent="0.2">
      <c r="A222" s="18" t="s">
        <v>930</v>
      </c>
      <c r="D222" s="45" cm="1">
        <f t="array" aca="1" ref="D222" ca="1">((IF(D118+D17&gt;=MAX('Demand Curves'!$B$82:$B$137),MAX('Demand Curves'!$C$82:$C$137),IF(D118+D17&lt;=MIN('Demand Curves'!$B$82:$B$137),MIN('Demand Curves'!$C$82:$C$137),INDEX('Demand Curves'!$C$82:$C$137,MATCH(D118+D17,'Demand Curves'!$B$82:$B$137,1))+(D118+D17-INDEX('Demand Curves'!$B$82:$B$137,MATCH(D118+D17,'Demand Curves'!$B$82:$B$137,1)))/(INDEX('Demand Curves'!$B$82:$B$137,MATCH(D118+D17,'Demand Curves'!$B$82:$B$137,1)+1)-INDEX('Demand Curves'!$B$82:$B$137,MATCH(D118+D17,'Demand Curves'!$B$82:$B$137,1)))*(INDEX('Demand Curves'!$C$82:$C$137,MATCH(D118+D17,'Demand Curves'!$B$82:$B$137,1)+1)-INDEX('Demand Curves'!$C$82:$C$137,MATCH(D118+D17,'Demand Curves'!$B$82:$B$137,1)))))/1000000-D120/IFERROR(INDEX('Demand Curves'!$D:$AC,MATCH("Annual TAM shift multiplier",'Demand Curves'!$A:$A,0),D$5+1),1))*IFERROR(INDEX('Demand Curves'!$D:$AC,MATCH("Annual TAM shift multiplier",'Demand Curves'!$A:$A,0),D$5+1),1)*IFERROR(INDEX(Assumptions!$D:$AC,MATCH("Utilization % (fleet ramp) — year-row",Assumptions!$A:$A,0),D$5+1),1))*(1-INDEX(Assumptions!$B:$B,MATCH("Starlink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($mm/sat/yr)",CapEx!$A:$A,0),D$5+1),0)</f>
        <v>2.9002370478002124</v>
      </c>
      <c r="E222" s="45" cm="1">
        <f t="array" aca="1" ref="E222" ca="1">((IF(E118+E17&gt;=MAX('Demand Curves'!$B$82:$B$137),MAX('Demand Curves'!$C$82:$C$137),IF(E118+E17&lt;=MIN('Demand Curves'!$B$82:$B$137),MIN('Demand Curves'!$C$82:$C$137),INDEX('Demand Curves'!$C$82:$C$137,MATCH(E118+E17,'Demand Curves'!$B$82:$B$137,1))+(E118+E17-INDEX('Demand Curves'!$B$82:$B$137,MATCH(E118+E17,'Demand Curves'!$B$82:$B$137,1)))/(INDEX('Demand Curves'!$B$82:$B$137,MATCH(E118+E17,'Demand Curves'!$B$82:$B$137,1)+1)-INDEX('Demand Curves'!$B$82:$B$137,MATCH(E118+E17,'Demand Curves'!$B$82:$B$137,1)))*(INDEX('Demand Curves'!$C$82:$C$137,MATCH(E118+E17,'Demand Curves'!$B$82:$B$137,1)+1)-INDEX('Demand Curves'!$C$82:$C$137,MATCH(E118+E17,'Demand Curves'!$B$82:$B$137,1)))))/1000000-E120/IFERROR(INDEX('Demand Curves'!$D:$AC,MATCH("Annual TAM shift multiplier",'Demand Curves'!$A:$A,0),E$5+1),1))*IFERROR(INDEX('Demand Curves'!$D:$AC,MATCH("Annual TAM shift multiplier",'Demand Curves'!$A:$A,0),E$5+1),1)*IFERROR(INDEX(Assumptions!$D:$AC,MATCH("Utilization % (fleet ramp) — year-row",Assumptions!$A:$A,0),E$5+1),1))*(1-INDEX(Assumptions!$B:$B,MATCH("Starlink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($mm/sat/yr)",CapEx!$A:$A,0),E$5+1),0)</f>
        <v>3.9607194045823628</v>
      </c>
      <c r="F222" s="45" cm="1">
        <f t="array" aca="1" ref="F222" ca="1">((IF(F118+F17&gt;=MAX('Demand Curves'!$B$82:$B$137),MAX('Demand Curves'!$C$82:$C$137),IF(F118+F17&lt;=MIN('Demand Curves'!$B$82:$B$137),MIN('Demand Curves'!$C$82:$C$137),INDEX('Demand Curves'!$C$82:$C$137,MATCH(F118+F17,'Demand Curves'!$B$82:$B$137,1))+(F118+F17-INDEX('Demand Curves'!$B$82:$B$137,MATCH(F118+F17,'Demand Curves'!$B$82:$B$137,1)))/(INDEX('Demand Curves'!$B$82:$B$137,MATCH(F118+F17,'Demand Curves'!$B$82:$B$137,1)+1)-INDEX('Demand Curves'!$B$82:$B$137,MATCH(F118+F17,'Demand Curves'!$B$82:$B$137,1)))*(INDEX('Demand Curves'!$C$82:$C$137,MATCH(F118+F17,'Demand Curves'!$B$82:$B$137,1)+1)-INDEX('Demand Curves'!$C$82:$C$137,MATCH(F118+F17,'Demand Curves'!$B$82:$B$137,1)))))/1000000-F120/IFERROR(INDEX('Demand Curves'!$D:$AC,MATCH("Annual TAM shift multiplier",'Demand Curves'!$A:$A,0),F$5+1),1))*IFERROR(INDEX('Demand Curves'!$D:$AC,MATCH("Annual TAM shift multiplier",'Demand Curves'!$A:$A,0),F$5+1),1)*IFERROR(INDEX(Assumptions!$D:$AC,MATCH("Utilization % (fleet ramp) — year-row",Assumptions!$A:$A,0),F$5+1),1))*(1-INDEX(Assumptions!$B:$B,MATCH("Starlink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($mm/sat/yr)",CapEx!$A:$A,0),F$5+1),0)</f>
        <v>5.2555581081241929</v>
      </c>
      <c r="G222" s="45" cm="1">
        <f t="array" aca="1" ref="G222" ca="1">((IF(G118+G17&gt;=MAX('Demand Curves'!$B$82:$B$137),MAX('Demand Curves'!$C$82:$C$137),IF(G118+G17&lt;=MIN('Demand Curves'!$B$82:$B$137),MIN('Demand Curves'!$C$82:$C$137),INDEX('Demand Curves'!$C$82:$C$137,MATCH(G118+G17,'Demand Curves'!$B$82:$B$137,1))+(G118+G17-INDEX('Demand Curves'!$B$82:$B$137,MATCH(G118+G17,'Demand Curves'!$B$82:$B$137,1)))/(INDEX('Demand Curves'!$B$82:$B$137,MATCH(G118+G17,'Demand Curves'!$B$82:$B$137,1)+1)-INDEX('Demand Curves'!$B$82:$B$137,MATCH(G118+G17,'Demand Curves'!$B$82:$B$137,1)))*(INDEX('Demand Curves'!$C$82:$C$137,MATCH(G118+G17,'Demand Curves'!$B$82:$B$137,1)+1)-INDEX('Demand Curves'!$C$82:$C$137,MATCH(G118+G17,'Demand Curves'!$B$82:$B$137,1)))))/1000000-G120/IFERROR(INDEX('Demand Curves'!$D:$AC,MATCH("Annual TAM shift multiplier",'Demand Curves'!$A:$A,0),G$5+1),1))*IFERROR(INDEX('Demand Curves'!$D:$AC,MATCH("Annual TAM shift multiplier",'Demand Curves'!$A:$A,0),G$5+1),1)*IFERROR(INDEX(Assumptions!$D:$AC,MATCH("Utilization % (fleet ramp) — year-row",Assumptions!$A:$A,0),G$5+1),1))*(1-INDEX(Assumptions!$B:$B,MATCH("Starlink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($mm/sat/yr)",CapEx!$A:$A,0),G$5+1),0)</f>
        <v>6.5472954577302334</v>
      </c>
      <c r="H222" s="45" cm="1">
        <f t="array" aca="1" ref="H222" ca="1">((IF(H118+H17&gt;=MAX('Demand Curves'!$B$82:$B$137),MAX('Demand Curves'!$C$82:$C$137),IF(H118+H17&lt;=MIN('Demand Curves'!$B$82:$B$137),MIN('Demand Curves'!$C$82:$C$137),INDEX('Demand Curves'!$C$82:$C$137,MATCH(H118+H17,'Demand Curves'!$B$82:$B$137,1))+(H118+H17-INDEX('Demand Curves'!$B$82:$B$137,MATCH(H118+H17,'Demand Curves'!$B$82:$B$137,1)))/(INDEX('Demand Curves'!$B$82:$B$137,MATCH(H118+H17,'Demand Curves'!$B$82:$B$137,1)+1)-INDEX('Demand Curves'!$B$82:$B$137,MATCH(H118+H17,'Demand Curves'!$B$82:$B$137,1)))*(INDEX('Demand Curves'!$C$82:$C$137,MATCH(H118+H17,'Demand Curves'!$B$82:$B$137,1)+1)-INDEX('Demand Curves'!$C$82:$C$137,MATCH(H118+H17,'Demand Curves'!$B$82:$B$137,1)))))/1000000-H120/IFERROR(INDEX('Demand Curves'!$D:$AC,MATCH("Annual TAM shift multiplier",'Demand Curves'!$A:$A,0),H$5+1),1))*IFERROR(INDEX('Demand Curves'!$D:$AC,MATCH("Annual TAM shift multiplier",'Demand Curves'!$A:$A,0),H$5+1),1)*IFERROR(INDEX(Assumptions!$D:$AC,MATCH("Utilization % (fleet ramp) — year-row",Assumptions!$A:$A,0),H$5+1),1))*(1-INDEX(Assumptions!$B:$B,MATCH("Starlink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($mm/sat/yr)",CapEx!$A:$A,0),H$5+1),0)</f>
        <v>7.9667269089226806</v>
      </c>
      <c r="I222" s="45" cm="1">
        <f t="array" aca="1" ref="I222" ca="1">((IF(I118+I17&gt;=MAX('Demand Curves'!$B$82:$B$137),MAX('Demand Curves'!$C$82:$C$137),IF(I118+I17&lt;=MIN('Demand Curves'!$B$82:$B$137),MIN('Demand Curves'!$C$82:$C$137),INDEX('Demand Curves'!$C$82:$C$137,MATCH(I118+I17,'Demand Curves'!$B$82:$B$137,1))+(I118+I17-INDEX('Demand Curves'!$B$82:$B$137,MATCH(I118+I17,'Demand Curves'!$B$82:$B$137,1)))/(INDEX('Demand Curves'!$B$82:$B$137,MATCH(I118+I17,'Demand Curves'!$B$82:$B$137,1)+1)-INDEX('Demand Curves'!$B$82:$B$137,MATCH(I118+I17,'Demand Curves'!$B$82:$B$137,1)))*(INDEX('Demand Curves'!$C$82:$C$137,MATCH(I118+I17,'Demand Curves'!$B$82:$B$137,1)+1)-INDEX('Demand Curves'!$C$82:$C$137,MATCH(I118+I17,'Demand Curves'!$B$82:$B$137,1)))))/1000000-I120/IFERROR(INDEX('Demand Curves'!$D:$AC,MATCH("Annual TAM shift multiplier",'Demand Curves'!$A:$A,0),I$5+1),1))*IFERROR(INDEX('Demand Curves'!$D:$AC,MATCH("Annual TAM shift multiplier",'Demand Curves'!$A:$A,0),I$5+1),1)*IFERROR(INDEX(Assumptions!$D:$AC,MATCH("Utilization % (fleet ramp) — year-row",Assumptions!$A:$A,0),I$5+1),1))*(1-INDEX(Assumptions!$B:$B,MATCH("Starlink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($mm/sat/yr)",CapEx!$A:$A,0),I$5+1),0)</f>
        <v>0</v>
      </c>
      <c r="J222" s="45" cm="1">
        <f t="array" aca="1" ref="J222" ca="1">((IF(J118+J17&gt;=MAX('Demand Curves'!$B$82:$B$137),MAX('Demand Curves'!$C$82:$C$137),IF(J118+J17&lt;=MIN('Demand Curves'!$B$82:$B$137),MIN('Demand Curves'!$C$82:$C$137),INDEX('Demand Curves'!$C$82:$C$137,MATCH(J118+J17,'Demand Curves'!$B$82:$B$137,1))+(J118+J17-INDEX('Demand Curves'!$B$82:$B$137,MATCH(J118+J17,'Demand Curves'!$B$82:$B$137,1)))/(INDEX('Demand Curves'!$B$82:$B$137,MATCH(J118+J17,'Demand Curves'!$B$82:$B$137,1)+1)-INDEX('Demand Curves'!$B$82:$B$137,MATCH(J118+J17,'Demand Curves'!$B$82:$B$137,1)))*(INDEX('Demand Curves'!$C$82:$C$137,MATCH(J118+J17,'Demand Curves'!$B$82:$B$137,1)+1)-INDEX('Demand Curves'!$C$82:$C$137,MATCH(J118+J17,'Demand Curves'!$B$82:$B$137,1)))))/1000000-J120/IFERROR(INDEX('Demand Curves'!$D:$AC,MATCH("Annual TAM shift multiplier",'Demand Curves'!$A:$A,0),J$5+1),1))*IFERROR(INDEX('Demand Curves'!$D:$AC,MATCH("Annual TAM shift multiplier",'Demand Curves'!$A:$A,0),J$5+1),1)*IFERROR(INDEX(Assumptions!$D:$AC,MATCH("Utilization % (fleet ramp) — year-row",Assumptions!$A:$A,0),J$5+1),1))*(1-INDEX(Assumptions!$B:$B,MATCH("Starlink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($mm/sat/yr)",CapEx!$A:$A,0),J$5+1),0)</f>
        <v>0</v>
      </c>
      <c r="K222" s="45" cm="1">
        <f t="array" aca="1" ref="K222" ca="1">((IF(K118+K17&gt;=MAX('Demand Curves'!$B$82:$B$137),MAX('Demand Curves'!$C$82:$C$137),IF(K118+K17&lt;=MIN('Demand Curves'!$B$82:$B$137),MIN('Demand Curves'!$C$82:$C$137),INDEX('Demand Curves'!$C$82:$C$137,MATCH(K118+K17,'Demand Curves'!$B$82:$B$137,1))+(K118+K17-INDEX('Demand Curves'!$B$82:$B$137,MATCH(K118+K17,'Demand Curves'!$B$82:$B$137,1)))/(INDEX('Demand Curves'!$B$82:$B$137,MATCH(K118+K17,'Demand Curves'!$B$82:$B$137,1)+1)-INDEX('Demand Curves'!$B$82:$B$137,MATCH(K118+K17,'Demand Curves'!$B$82:$B$137,1)))*(INDEX('Demand Curves'!$C$82:$C$137,MATCH(K118+K17,'Demand Curves'!$B$82:$B$137,1)+1)-INDEX('Demand Curves'!$C$82:$C$137,MATCH(K118+K17,'Demand Curves'!$B$82:$B$137,1)))))/1000000-K120/IFERROR(INDEX('Demand Curves'!$D:$AC,MATCH("Annual TAM shift multiplier",'Demand Curves'!$A:$A,0),K$5+1),1))*IFERROR(INDEX('Demand Curves'!$D:$AC,MATCH("Annual TAM shift multiplier",'Demand Curves'!$A:$A,0),K$5+1),1)*IFERROR(INDEX(Assumptions!$D:$AC,MATCH("Utilization % (fleet ramp) — year-row",Assumptions!$A:$A,0),K$5+1),1))*(1-INDEX(Assumptions!$B:$B,MATCH("Starlink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($mm/sat/yr)",CapEx!$A:$A,0),K$5+1),0)</f>
        <v>5.2553262569583478E-13</v>
      </c>
      <c r="L222" s="45" cm="1">
        <f t="array" aca="1" ref="L222" ca="1">((IF(L118+L17&gt;=MAX('Demand Curves'!$B$82:$B$137),MAX('Demand Curves'!$C$82:$C$137),IF(L118+L17&lt;=MIN('Demand Curves'!$B$82:$B$137),MIN('Demand Curves'!$C$82:$C$137),INDEX('Demand Curves'!$C$82:$C$137,MATCH(L118+L17,'Demand Curves'!$B$82:$B$137,1))+(L118+L17-INDEX('Demand Curves'!$B$82:$B$137,MATCH(L118+L17,'Demand Curves'!$B$82:$B$137,1)))/(INDEX('Demand Curves'!$B$82:$B$137,MATCH(L118+L17,'Demand Curves'!$B$82:$B$137,1)+1)-INDEX('Demand Curves'!$B$82:$B$137,MATCH(L118+L17,'Demand Curves'!$B$82:$B$137,1)))*(INDEX('Demand Curves'!$C$82:$C$137,MATCH(L118+L17,'Demand Curves'!$B$82:$B$137,1)+1)-INDEX('Demand Curves'!$C$82:$C$137,MATCH(L118+L17,'Demand Curves'!$B$82:$B$137,1)))))/1000000-L120/IFERROR(INDEX('Demand Curves'!$D:$AC,MATCH("Annual TAM shift multiplier",'Demand Curves'!$A:$A,0),L$5+1),1))*IFERROR(INDEX('Demand Curves'!$D:$AC,MATCH("Annual TAM shift multiplier",'Demand Curves'!$A:$A,0),L$5+1),1)*IFERROR(INDEX(Assumptions!$D:$AC,MATCH("Utilization % (fleet ramp) — year-row",Assumptions!$A:$A,0),L$5+1),1))*(1-INDEX(Assumptions!$B:$B,MATCH("Starlink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($mm/sat/yr)",CapEx!$A:$A,0),L$5+1),0)</f>
        <v>0</v>
      </c>
      <c r="M222" s="45" cm="1">
        <f t="array" aca="1" ref="M222" ca="1">((IF(M118+M17&gt;=MAX('Demand Curves'!$B$82:$B$137),MAX('Demand Curves'!$C$82:$C$137),IF(M118+M17&lt;=MIN('Demand Curves'!$B$82:$B$137),MIN('Demand Curves'!$C$82:$C$137),INDEX('Demand Curves'!$C$82:$C$137,MATCH(M118+M17,'Demand Curves'!$B$82:$B$137,1))+(M118+M17-INDEX('Demand Curves'!$B$82:$B$137,MATCH(M118+M17,'Demand Curves'!$B$82:$B$137,1)))/(INDEX('Demand Curves'!$B$82:$B$137,MATCH(M118+M17,'Demand Curves'!$B$82:$B$137,1)+1)-INDEX('Demand Curves'!$B$82:$B$137,MATCH(M118+M17,'Demand Curves'!$B$82:$B$137,1)))*(INDEX('Demand Curves'!$C$82:$C$137,MATCH(M118+M17,'Demand Curves'!$B$82:$B$137,1)+1)-INDEX('Demand Curves'!$C$82:$C$137,MATCH(M118+M17,'Demand Curves'!$B$82:$B$137,1)))))/1000000-M120/IFERROR(INDEX('Demand Curves'!$D:$AC,MATCH("Annual TAM shift multiplier",'Demand Curves'!$A:$A,0),M$5+1),1))*IFERROR(INDEX('Demand Curves'!$D:$AC,MATCH("Annual TAM shift multiplier",'Demand Curves'!$A:$A,0),M$5+1),1)*IFERROR(INDEX(Assumptions!$D:$AC,MATCH("Utilization % (fleet ramp) — year-row",Assumptions!$A:$A,0),M$5+1),1))*(1-INDEX(Assumptions!$B:$B,MATCH("Starlink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($mm/sat/yr)",CapEx!$A:$A,0),M$5+1),0)</f>
        <v>5.8576290170737185E-13</v>
      </c>
      <c r="N222" s="45" cm="1">
        <f t="array" aca="1" ref="N222" ca="1">((IF(N118+N17&gt;=MAX('Demand Curves'!$B$82:$B$137),MAX('Demand Curves'!$C$82:$C$137),IF(N118+N17&lt;=MIN('Demand Curves'!$B$82:$B$137),MIN('Demand Curves'!$C$82:$C$137),INDEX('Demand Curves'!$C$82:$C$137,MATCH(N118+N17,'Demand Curves'!$B$82:$B$137,1))+(N118+N17-INDEX('Demand Curves'!$B$82:$B$137,MATCH(N118+N17,'Demand Curves'!$B$82:$B$137,1)))/(INDEX('Demand Curves'!$B$82:$B$137,MATCH(N118+N17,'Demand Curves'!$B$82:$B$137,1)+1)-INDEX('Demand Curves'!$B$82:$B$137,MATCH(N118+N17,'Demand Curves'!$B$82:$B$137,1)))*(INDEX('Demand Curves'!$C$82:$C$137,MATCH(N118+N17,'Demand Curves'!$B$82:$B$137,1)+1)-INDEX('Demand Curves'!$C$82:$C$137,MATCH(N118+N17,'Demand Curves'!$B$82:$B$137,1)))))/1000000-N120/IFERROR(INDEX('Demand Curves'!$D:$AC,MATCH("Annual TAM shift multiplier",'Demand Curves'!$A:$A,0),N$5+1),1))*IFERROR(INDEX('Demand Curves'!$D:$AC,MATCH("Annual TAM shift multiplier",'Demand Curves'!$A:$A,0),N$5+1),1)*IFERROR(INDEX(Assumptions!$D:$AC,MATCH("Utilization % (fleet ramp) — year-row",Assumptions!$A:$A,0),N$5+1),1))*(1-INDEX(Assumptions!$B:$B,MATCH("Starlink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($mm/sat/yr)",CapEx!$A:$A,0),N$5+1),0)</f>
        <v>0</v>
      </c>
      <c r="O222" s="45" cm="1">
        <f t="array" aca="1" ref="O222" ca="1">((IF(O118+O17&gt;=MAX('Demand Curves'!$B$82:$B$137),MAX('Demand Curves'!$C$82:$C$137),IF(O118+O17&lt;=MIN('Demand Curves'!$B$82:$B$137),MIN('Demand Curves'!$C$82:$C$137),INDEX('Demand Curves'!$C$82:$C$137,MATCH(O118+O17,'Demand Curves'!$B$82:$B$137,1))+(O118+O17-INDEX('Demand Curves'!$B$82:$B$137,MATCH(O118+O17,'Demand Curves'!$B$82:$B$137,1)))/(INDEX('Demand Curves'!$B$82:$B$137,MATCH(O118+O17,'Demand Curves'!$B$82:$B$137,1)+1)-INDEX('Demand Curves'!$B$82:$B$137,MATCH(O118+O17,'Demand Curves'!$B$82:$B$137,1)))*(INDEX('Demand Curves'!$C$82:$C$137,MATCH(O118+O17,'Demand Curves'!$B$82:$B$137,1)+1)-INDEX('Demand Curves'!$C$82:$C$137,MATCH(O118+O17,'Demand Curves'!$B$82:$B$137,1)))))/1000000-O120/IFERROR(INDEX('Demand Curves'!$D:$AC,MATCH("Annual TAM shift multiplier",'Demand Curves'!$A:$A,0),O$5+1),1))*IFERROR(INDEX('Demand Curves'!$D:$AC,MATCH("Annual TAM shift multiplier",'Demand Curves'!$A:$A,0),O$5+1),1)*IFERROR(INDEX(Assumptions!$D:$AC,MATCH("Utilization % (fleet ramp) — year-row",Assumptions!$A:$A,0),O$5+1),1))*(1-INDEX(Assumptions!$B:$B,MATCH("Starlink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($mm/sat/yr)",CapEx!$A:$A,0),O$5+1),0)</f>
        <v>0</v>
      </c>
      <c r="P222" s="45" cm="1">
        <f t="array" aca="1" ref="P222" ca="1">((IF(P118+P17&gt;=MAX('Demand Curves'!$B$82:$B$137),MAX('Demand Curves'!$C$82:$C$137),IF(P118+P17&lt;=MIN('Demand Curves'!$B$82:$B$137),MIN('Demand Curves'!$C$82:$C$137),INDEX('Demand Curves'!$C$82:$C$137,MATCH(P118+P17,'Demand Curves'!$B$82:$B$137,1))+(P118+P17-INDEX('Demand Curves'!$B$82:$B$137,MATCH(P118+P17,'Demand Curves'!$B$82:$B$137,1)))/(INDEX('Demand Curves'!$B$82:$B$137,MATCH(P118+P17,'Demand Curves'!$B$82:$B$137,1)+1)-INDEX('Demand Curves'!$B$82:$B$137,MATCH(P118+P17,'Demand Curves'!$B$82:$B$137,1)))*(INDEX('Demand Curves'!$C$82:$C$137,MATCH(P118+P17,'Demand Curves'!$B$82:$B$137,1)+1)-INDEX('Demand Curves'!$C$82:$C$137,MATCH(P118+P17,'Demand Curves'!$B$82:$B$137,1)))))/1000000-P120/IFERROR(INDEX('Demand Curves'!$D:$AC,MATCH("Annual TAM shift multiplier",'Demand Curves'!$A:$A,0),P$5+1),1))*IFERROR(INDEX('Demand Curves'!$D:$AC,MATCH("Annual TAM shift multiplier",'Demand Curves'!$A:$A,0),P$5+1),1)*IFERROR(INDEX(Assumptions!$D:$AC,MATCH("Utilization % (fleet ramp) — year-row",Assumptions!$A:$A,0),P$5+1),1))*(1-INDEX(Assumptions!$B:$B,MATCH("Starlink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($mm/sat/yr)",CapEx!$A:$A,0),P$5+1),0)</f>
        <v>0</v>
      </c>
      <c r="Q222" s="45" cm="1">
        <f t="array" aca="1" ref="Q222" ca="1">((IF(Q118+Q17&gt;=MAX('Demand Curves'!$B$82:$B$137),MAX('Demand Curves'!$C$82:$C$137),IF(Q118+Q17&lt;=MIN('Demand Curves'!$B$82:$B$137),MIN('Demand Curves'!$C$82:$C$137),INDEX('Demand Curves'!$C$82:$C$137,MATCH(Q118+Q17,'Demand Curves'!$B$82:$B$137,1))+(Q118+Q17-INDEX('Demand Curves'!$B$82:$B$137,MATCH(Q118+Q17,'Demand Curves'!$B$82:$B$137,1)))/(INDEX('Demand Curves'!$B$82:$B$137,MATCH(Q118+Q17,'Demand Curves'!$B$82:$B$137,1)+1)-INDEX('Demand Curves'!$B$82:$B$137,MATCH(Q118+Q17,'Demand Curves'!$B$82:$B$137,1)))*(INDEX('Demand Curves'!$C$82:$C$137,MATCH(Q118+Q17,'Demand Curves'!$B$82:$B$137,1)+1)-INDEX('Demand Curves'!$C$82:$C$137,MATCH(Q118+Q17,'Demand Curves'!$B$82:$B$137,1)))))/1000000-Q120/IFERROR(INDEX('Demand Curves'!$D:$AC,MATCH("Annual TAM shift multiplier",'Demand Curves'!$A:$A,0),Q$5+1),1))*IFERROR(INDEX('Demand Curves'!$D:$AC,MATCH("Annual TAM shift multiplier",'Demand Curves'!$A:$A,0),Q$5+1),1)*IFERROR(INDEX(Assumptions!$D:$AC,MATCH("Utilization % (fleet ramp) — year-row",Assumptions!$A:$A,0),Q$5+1),1))*(1-INDEX(Assumptions!$B:$B,MATCH("Starlink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($mm/sat/yr)",CapEx!$A:$A,0),Q$5+1),0)</f>
        <v>0</v>
      </c>
      <c r="R222" s="45" cm="1">
        <f t="array" aca="1" ref="R222" ca="1">((IF(R118+R17&gt;=MAX('Demand Curves'!$B$82:$B$137),MAX('Demand Curves'!$C$82:$C$137),IF(R118+R17&lt;=MIN('Demand Curves'!$B$82:$B$137),MIN('Demand Curves'!$C$82:$C$137),INDEX('Demand Curves'!$C$82:$C$137,MATCH(R118+R17,'Demand Curves'!$B$82:$B$137,1))+(R118+R17-INDEX('Demand Curves'!$B$82:$B$137,MATCH(R118+R17,'Demand Curves'!$B$82:$B$137,1)))/(INDEX('Demand Curves'!$B$82:$B$137,MATCH(R118+R17,'Demand Curves'!$B$82:$B$137,1)+1)-INDEX('Demand Curves'!$B$82:$B$137,MATCH(R118+R17,'Demand Curves'!$B$82:$B$137,1)))*(INDEX('Demand Curves'!$C$82:$C$137,MATCH(R118+R17,'Demand Curves'!$B$82:$B$137,1)+1)-INDEX('Demand Curves'!$C$82:$C$137,MATCH(R118+R17,'Demand Curves'!$B$82:$B$137,1)))))/1000000-R120/IFERROR(INDEX('Demand Curves'!$D:$AC,MATCH("Annual TAM shift multiplier",'Demand Curves'!$A:$A,0),R$5+1),1))*IFERROR(INDEX('Demand Curves'!$D:$AC,MATCH("Annual TAM shift multiplier",'Demand Curves'!$A:$A,0),R$5+1),1)*IFERROR(INDEX(Assumptions!$D:$AC,MATCH("Utilization % (fleet ramp) — year-row",Assumptions!$A:$A,0),R$5+1),1))*(1-INDEX(Assumptions!$B:$B,MATCH("Starlink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($mm/sat/yr)",CapEx!$A:$A,0),R$5+1),0)</f>
        <v>0</v>
      </c>
      <c r="S222" s="45" cm="1">
        <f t="array" aca="1" ref="S222" ca="1">((IF(S118+S17&gt;=MAX('Demand Curves'!$B$82:$B$137),MAX('Demand Curves'!$C$82:$C$137),IF(S118+S17&lt;=MIN('Demand Curves'!$B$82:$B$137),MIN('Demand Curves'!$C$82:$C$137),INDEX('Demand Curves'!$C$82:$C$137,MATCH(S118+S17,'Demand Curves'!$B$82:$B$137,1))+(S118+S17-INDEX('Demand Curves'!$B$82:$B$137,MATCH(S118+S17,'Demand Curves'!$B$82:$B$137,1)))/(INDEX('Demand Curves'!$B$82:$B$137,MATCH(S118+S17,'Demand Curves'!$B$82:$B$137,1)+1)-INDEX('Demand Curves'!$B$82:$B$137,MATCH(S118+S17,'Demand Curves'!$B$82:$B$137,1)))*(INDEX('Demand Curves'!$C$82:$C$137,MATCH(S118+S17,'Demand Curves'!$B$82:$B$137,1)+1)-INDEX('Demand Curves'!$C$82:$C$137,MATCH(S118+S17,'Demand Curves'!$B$82:$B$137,1)))))/1000000-S120/IFERROR(INDEX('Demand Curves'!$D:$AC,MATCH("Annual TAM shift multiplier",'Demand Curves'!$A:$A,0),S$5+1),1))*IFERROR(INDEX('Demand Curves'!$D:$AC,MATCH("Annual TAM shift multiplier",'Demand Curves'!$A:$A,0),S$5+1),1)*IFERROR(INDEX(Assumptions!$D:$AC,MATCH("Utilization % (fleet ramp) — year-row",Assumptions!$A:$A,0),S$5+1),1))*(1-INDEX(Assumptions!$B:$B,MATCH("Starlink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($mm/sat/yr)",CapEx!$A:$A,0),S$5+1),0)</f>
        <v>0</v>
      </c>
      <c r="T222" s="45" cm="1">
        <f t="array" aca="1" ref="T222" ca="1">((IF(T118+T17&gt;=MAX('Demand Curves'!$B$82:$B$137),MAX('Demand Curves'!$C$82:$C$137),IF(T118+T17&lt;=MIN('Demand Curves'!$B$82:$B$137),MIN('Demand Curves'!$C$82:$C$137),INDEX('Demand Curves'!$C$82:$C$137,MATCH(T118+T17,'Demand Curves'!$B$82:$B$137,1))+(T118+T17-INDEX('Demand Curves'!$B$82:$B$137,MATCH(T118+T17,'Demand Curves'!$B$82:$B$137,1)))/(INDEX('Demand Curves'!$B$82:$B$137,MATCH(T118+T17,'Demand Curves'!$B$82:$B$137,1)+1)-INDEX('Demand Curves'!$B$82:$B$137,MATCH(T118+T17,'Demand Curves'!$B$82:$B$137,1)))*(INDEX('Demand Curves'!$C$82:$C$137,MATCH(T118+T17,'Demand Curves'!$B$82:$B$137,1)+1)-INDEX('Demand Curves'!$C$82:$C$137,MATCH(T118+T17,'Demand Curves'!$B$82:$B$137,1)))))/1000000-T120/IFERROR(INDEX('Demand Curves'!$D:$AC,MATCH("Annual TAM shift multiplier",'Demand Curves'!$A:$A,0),T$5+1),1))*IFERROR(INDEX('Demand Curves'!$D:$AC,MATCH("Annual TAM shift multiplier",'Demand Curves'!$A:$A,0),T$5+1),1)*IFERROR(INDEX(Assumptions!$D:$AC,MATCH("Utilization % (fleet ramp) — year-row",Assumptions!$A:$A,0),T$5+1),1))*(1-INDEX(Assumptions!$B:$B,MATCH("Starlink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($mm/sat/yr)",CapEx!$A:$A,0),T$5+1),0)</f>
        <v>0</v>
      </c>
      <c r="U222" s="45" cm="1">
        <f t="array" aca="1" ref="U222" ca="1">((IF(U118+U17&gt;=MAX('Demand Curves'!$B$82:$B$137),MAX('Demand Curves'!$C$82:$C$137),IF(U118+U17&lt;=MIN('Demand Curves'!$B$82:$B$137),MIN('Demand Curves'!$C$82:$C$137),INDEX('Demand Curves'!$C$82:$C$137,MATCH(U118+U17,'Demand Curves'!$B$82:$B$137,1))+(U118+U17-INDEX('Demand Curves'!$B$82:$B$137,MATCH(U118+U17,'Demand Curves'!$B$82:$B$137,1)))/(INDEX('Demand Curves'!$B$82:$B$137,MATCH(U118+U17,'Demand Curves'!$B$82:$B$137,1)+1)-INDEX('Demand Curves'!$B$82:$B$137,MATCH(U118+U17,'Demand Curves'!$B$82:$B$137,1)))*(INDEX('Demand Curves'!$C$82:$C$137,MATCH(U118+U17,'Demand Curves'!$B$82:$B$137,1)+1)-INDEX('Demand Curves'!$C$82:$C$137,MATCH(U118+U17,'Demand Curves'!$B$82:$B$137,1)))))/1000000-U120/IFERROR(INDEX('Demand Curves'!$D:$AC,MATCH("Annual TAM shift multiplier",'Demand Curves'!$A:$A,0),U$5+1),1))*IFERROR(INDEX('Demand Curves'!$D:$AC,MATCH("Annual TAM shift multiplier",'Demand Curves'!$A:$A,0),U$5+1),1)*IFERROR(INDEX(Assumptions!$D:$AC,MATCH("Utilization % (fleet ramp) — year-row",Assumptions!$A:$A,0),U$5+1),1))*(1-INDEX(Assumptions!$B:$B,MATCH("Starlink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($mm/sat/yr)",CapEx!$A:$A,0),U$5+1),0)</f>
        <v>0</v>
      </c>
      <c r="V222" s="45" cm="1">
        <f t="array" aca="1" ref="V222" ca="1">((IF(V118+V17&gt;=MAX('Demand Curves'!$B$82:$B$137),MAX('Demand Curves'!$C$82:$C$137),IF(V118+V17&lt;=MIN('Demand Curves'!$B$82:$B$137),MIN('Demand Curves'!$C$82:$C$137),INDEX('Demand Curves'!$C$82:$C$137,MATCH(V118+V17,'Demand Curves'!$B$82:$B$137,1))+(V118+V17-INDEX('Demand Curves'!$B$82:$B$137,MATCH(V118+V17,'Demand Curves'!$B$82:$B$137,1)))/(INDEX('Demand Curves'!$B$82:$B$137,MATCH(V118+V17,'Demand Curves'!$B$82:$B$137,1)+1)-INDEX('Demand Curves'!$B$82:$B$137,MATCH(V118+V17,'Demand Curves'!$B$82:$B$137,1)))*(INDEX('Demand Curves'!$C$82:$C$137,MATCH(V118+V17,'Demand Curves'!$B$82:$B$137,1)+1)-INDEX('Demand Curves'!$C$82:$C$137,MATCH(V118+V17,'Demand Curves'!$B$82:$B$137,1)))))/1000000-V120/IFERROR(INDEX('Demand Curves'!$D:$AC,MATCH("Annual TAM shift multiplier",'Demand Curves'!$A:$A,0),V$5+1),1))*IFERROR(INDEX('Demand Curves'!$D:$AC,MATCH("Annual TAM shift multiplier",'Demand Curves'!$A:$A,0),V$5+1),1)*IFERROR(INDEX(Assumptions!$D:$AC,MATCH("Utilization % (fleet ramp) — year-row",Assumptions!$A:$A,0),V$5+1),1))*(1-INDEX(Assumptions!$B:$B,MATCH("Starlink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($mm/sat/yr)",CapEx!$A:$A,0),V$5+1),0)</f>
        <v>0</v>
      </c>
      <c r="W222" s="45" cm="1">
        <f t="array" aca="1" ref="W222" ca="1">((IF(W118+W17&gt;=MAX('Demand Curves'!$B$82:$B$137),MAX('Demand Curves'!$C$82:$C$137),IF(W118+W17&lt;=MIN('Demand Curves'!$B$82:$B$137),MIN('Demand Curves'!$C$82:$C$137),INDEX('Demand Curves'!$C$82:$C$137,MATCH(W118+W17,'Demand Curves'!$B$82:$B$137,1))+(W118+W17-INDEX('Demand Curves'!$B$82:$B$137,MATCH(W118+W17,'Demand Curves'!$B$82:$B$137,1)))/(INDEX('Demand Curves'!$B$82:$B$137,MATCH(W118+W17,'Demand Curves'!$B$82:$B$137,1)+1)-INDEX('Demand Curves'!$B$82:$B$137,MATCH(W118+W17,'Demand Curves'!$B$82:$B$137,1)))*(INDEX('Demand Curves'!$C$82:$C$137,MATCH(W118+W17,'Demand Curves'!$B$82:$B$137,1)+1)-INDEX('Demand Curves'!$C$82:$C$137,MATCH(W118+W17,'Demand Curves'!$B$82:$B$137,1)))))/1000000-W120/IFERROR(INDEX('Demand Curves'!$D:$AC,MATCH("Annual TAM shift multiplier",'Demand Curves'!$A:$A,0),W$5+1),1))*IFERROR(INDEX('Demand Curves'!$D:$AC,MATCH("Annual TAM shift multiplier",'Demand Curves'!$A:$A,0),W$5+1),1)*IFERROR(INDEX(Assumptions!$D:$AC,MATCH("Utilization % (fleet ramp) — year-row",Assumptions!$A:$A,0),W$5+1),1))*(1-INDEX(Assumptions!$B:$B,MATCH("Starlink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($mm/sat/yr)",CapEx!$A:$A,0),W$5+1),0)</f>
        <v>0</v>
      </c>
      <c r="X222" s="45" cm="1">
        <f t="array" aca="1" ref="X222" ca="1">((IF(X118+X17&gt;=MAX('Demand Curves'!$B$82:$B$137),MAX('Demand Curves'!$C$82:$C$137),IF(X118+X17&lt;=MIN('Demand Curves'!$B$82:$B$137),MIN('Demand Curves'!$C$82:$C$137),INDEX('Demand Curves'!$C$82:$C$137,MATCH(X118+X17,'Demand Curves'!$B$82:$B$137,1))+(X118+X17-INDEX('Demand Curves'!$B$82:$B$137,MATCH(X118+X17,'Demand Curves'!$B$82:$B$137,1)))/(INDEX('Demand Curves'!$B$82:$B$137,MATCH(X118+X17,'Demand Curves'!$B$82:$B$137,1)+1)-INDEX('Demand Curves'!$B$82:$B$137,MATCH(X118+X17,'Demand Curves'!$B$82:$B$137,1)))*(INDEX('Demand Curves'!$C$82:$C$137,MATCH(X118+X17,'Demand Curves'!$B$82:$B$137,1)+1)-INDEX('Demand Curves'!$C$82:$C$137,MATCH(X118+X17,'Demand Curves'!$B$82:$B$137,1)))))/1000000-X120/IFERROR(INDEX('Demand Curves'!$D:$AC,MATCH("Annual TAM shift multiplier",'Demand Curves'!$A:$A,0),X$5+1),1))*IFERROR(INDEX('Demand Curves'!$D:$AC,MATCH("Annual TAM shift multiplier",'Demand Curves'!$A:$A,0),X$5+1),1)*IFERROR(INDEX(Assumptions!$D:$AC,MATCH("Utilization % (fleet ramp) — year-row",Assumptions!$A:$A,0),X$5+1),1))*(1-INDEX(Assumptions!$B:$B,MATCH("Starlink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($mm/sat/yr)",CapEx!$A:$A,0),X$5+1),0)</f>
        <v>0</v>
      </c>
      <c r="Y222" s="45" cm="1">
        <f t="array" aca="1" ref="Y222" ca="1">((IF(Y118+Y17&gt;=MAX('Demand Curves'!$B$82:$B$137),MAX('Demand Curves'!$C$82:$C$137),IF(Y118+Y17&lt;=MIN('Demand Curves'!$B$82:$B$137),MIN('Demand Curves'!$C$82:$C$137),INDEX('Demand Curves'!$C$82:$C$137,MATCH(Y118+Y17,'Demand Curves'!$B$82:$B$137,1))+(Y118+Y17-INDEX('Demand Curves'!$B$82:$B$137,MATCH(Y118+Y17,'Demand Curves'!$B$82:$B$137,1)))/(INDEX('Demand Curves'!$B$82:$B$137,MATCH(Y118+Y17,'Demand Curves'!$B$82:$B$137,1)+1)-INDEX('Demand Curves'!$B$82:$B$137,MATCH(Y118+Y17,'Demand Curves'!$B$82:$B$137,1)))*(INDEX('Demand Curves'!$C$82:$C$137,MATCH(Y118+Y17,'Demand Curves'!$B$82:$B$137,1)+1)-INDEX('Demand Curves'!$C$82:$C$137,MATCH(Y118+Y17,'Demand Curves'!$B$82:$B$137,1)))))/1000000-Y120/IFERROR(INDEX('Demand Curves'!$D:$AC,MATCH("Annual TAM shift multiplier",'Demand Curves'!$A:$A,0),Y$5+1),1))*IFERROR(INDEX('Demand Curves'!$D:$AC,MATCH("Annual TAM shift multiplier",'Demand Curves'!$A:$A,0),Y$5+1),1)*IFERROR(INDEX(Assumptions!$D:$AC,MATCH("Utilization % (fleet ramp) — year-row",Assumptions!$A:$A,0),Y$5+1),1))*(1-INDEX(Assumptions!$B:$B,MATCH("Starlink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($mm/sat/yr)",CapEx!$A:$A,0),Y$5+1),0)</f>
        <v>0</v>
      </c>
      <c r="Z222" s="45" cm="1">
        <f t="array" aca="1" ref="Z222" ca="1">((IF(Z118+Z17&gt;=MAX('Demand Curves'!$B$82:$B$137),MAX('Demand Curves'!$C$82:$C$137),IF(Z118+Z17&lt;=MIN('Demand Curves'!$B$82:$B$137),MIN('Demand Curves'!$C$82:$C$137),INDEX('Demand Curves'!$C$82:$C$137,MATCH(Z118+Z17,'Demand Curves'!$B$82:$B$137,1))+(Z118+Z17-INDEX('Demand Curves'!$B$82:$B$137,MATCH(Z118+Z17,'Demand Curves'!$B$82:$B$137,1)))/(INDEX('Demand Curves'!$B$82:$B$137,MATCH(Z118+Z17,'Demand Curves'!$B$82:$B$137,1)+1)-INDEX('Demand Curves'!$B$82:$B$137,MATCH(Z118+Z17,'Demand Curves'!$B$82:$B$137,1)))*(INDEX('Demand Curves'!$C$82:$C$137,MATCH(Z118+Z17,'Demand Curves'!$B$82:$B$137,1)+1)-INDEX('Demand Curves'!$C$82:$C$137,MATCH(Z118+Z17,'Demand Curves'!$B$82:$B$137,1)))))/1000000-Z120/IFERROR(INDEX('Demand Curves'!$D:$AC,MATCH("Annual TAM shift multiplier",'Demand Curves'!$A:$A,0),Z$5+1),1))*IFERROR(INDEX('Demand Curves'!$D:$AC,MATCH("Annual TAM shift multiplier",'Demand Curves'!$A:$A,0),Z$5+1),1)*IFERROR(INDEX(Assumptions!$D:$AC,MATCH("Utilization % (fleet ramp) — year-row",Assumptions!$A:$A,0),Z$5+1),1))*(1-INDEX(Assumptions!$B:$B,MATCH("Starlink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($mm/sat/yr)",CapEx!$A:$A,0),Z$5+1),0)</f>
        <v>0</v>
      </c>
      <c r="AA222" s="45" cm="1">
        <f t="array" aca="1" ref="AA222" ca="1">((IF(AA118+AA17&gt;=MAX('Demand Curves'!$B$82:$B$137),MAX('Demand Curves'!$C$82:$C$137),IF(AA118+AA17&lt;=MIN('Demand Curves'!$B$82:$B$137),MIN('Demand Curves'!$C$82:$C$137),INDEX('Demand Curves'!$C$82:$C$137,MATCH(AA118+AA17,'Demand Curves'!$B$82:$B$137,1))+(AA118+AA17-INDEX('Demand Curves'!$B$82:$B$137,MATCH(AA118+AA17,'Demand Curves'!$B$82:$B$137,1)))/(INDEX('Demand Curves'!$B$82:$B$137,MATCH(AA118+AA17,'Demand Curves'!$B$82:$B$137,1)+1)-INDEX('Demand Curves'!$B$82:$B$137,MATCH(AA118+AA17,'Demand Curves'!$B$82:$B$137,1)))*(INDEX('Demand Curves'!$C$82:$C$137,MATCH(AA118+AA17,'Demand Curves'!$B$82:$B$137,1)+1)-INDEX('Demand Curves'!$C$82:$C$137,MATCH(AA118+AA17,'Demand Curves'!$B$82:$B$137,1)))))/1000000-AA120/IFERROR(INDEX('Demand Curves'!$D:$AC,MATCH("Annual TAM shift multiplier",'Demand Curves'!$A:$A,0),AA$5+1),1))*IFERROR(INDEX('Demand Curves'!$D:$AC,MATCH("Annual TAM shift multiplier",'Demand Curves'!$A:$A,0),AA$5+1),1)*IFERROR(INDEX(Assumptions!$D:$AC,MATCH("Utilization % (fleet ramp) — year-row",Assumptions!$A:$A,0),AA$5+1),1))*(1-INDEX(Assumptions!$B:$B,MATCH("Starlink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($mm/sat/yr)",CapEx!$A:$A,0),AA$5+1),0)</f>
        <v>0</v>
      </c>
      <c r="AB222" s="45" cm="1">
        <f t="array" aca="1" ref="AB222" ca="1">((IF(AB118+AB17&gt;=MAX('Demand Curves'!$B$82:$B$137),MAX('Demand Curves'!$C$82:$C$137),IF(AB118+AB17&lt;=MIN('Demand Curves'!$B$82:$B$137),MIN('Demand Curves'!$C$82:$C$137),INDEX('Demand Curves'!$C$82:$C$137,MATCH(AB118+AB17,'Demand Curves'!$B$82:$B$137,1))+(AB118+AB17-INDEX('Demand Curves'!$B$82:$B$137,MATCH(AB118+AB17,'Demand Curves'!$B$82:$B$137,1)))/(INDEX('Demand Curves'!$B$82:$B$137,MATCH(AB118+AB17,'Demand Curves'!$B$82:$B$137,1)+1)-INDEX('Demand Curves'!$B$82:$B$137,MATCH(AB118+AB17,'Demand Curves'!$B$82:$B$137,1)))*(INDEX('Demand Curves'!$C$82:$C$137,MATCH(AB118+AB17,'Demand Curves'!$B$82:$B$137,1)+1)-INDEX('Demand Curves'!$C$82:$C$137,MATCH(AB118+AB17,'Demand Curves'!$B$82:$B$137,1)))))/1000000-AB120/IFERROR(INDEX('Demand Curves'!$D:$AC,MATCH("Annual TAM shift multiplier",'Demand Curves'!$A:$A,0),AB$5+1),1))*IFERROR(INDEX('Demand Curves'!$D:$AC,MATCH("Annual TAM shift multiplier",'Demand Curves'!$A:$A,0),AB$5+1),1)*IFERROR(INDEX(Assumptions!$D:$AC,MATCH("Utilization % (fleet ramp) — year-row",Assumptions!$A:$A,0),AB$5+1),1))*(1-INDEX(Assumptions!$B:$B,MATCH("Starlink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($mm/sat/yr)",CapEx!$A:$A,0),AB$5+1),0)</f>
        <v>0</v>
      </c>
      <c r="AC222" s="45" cm="1">
        <f t="array" aca="1" ref="AC222" ca="1">((IF(AC118+AC17&gt;=MAX('Demand Curves'!$B$82:$B$137),MAX('Demand Curves'!$C$82:$C$137),IF(AC118+AC17&lt;=MIN('Demand Curves'!$B$82:$B$137),MIN('Demand Curves'!$C$82:$C$137),INDEX('Demand Curves'!$C$82:$C$137,MATCH(AC118+AC17,'Demand Curves'!$B$82:$B$137,1))+(AC118+AC17-INDEX('Demand Curves'!$B$82:$B$137,MATCH(AC118+AC17,'Demand Curves'!$B$82:$B$137,1)))/(INDEX('Demand Curves'!$B$82:$B$137,MATCH(AC118+AC17,'Demand Curves'!$B$82:$B$137,1)+1)-INDEX('Demand Curves'!$B$82:$B$137,MATCH(AC118+AC17,'Demand Curves'!$B$82:$B$137,1)))*(INDEX('Demand Curves'!$C$82:$C$137,MATCH(AC118+AC17,'Demand Curves'!$B$82:$B$137,1)+1)-INDEX('Demand Curves'!$C$82:$C$137,MATCH(AC118+AC17,'Demand Curves'!$B$82:$B$137,1)))))/1000000-AC120/IFERROR(INDEX('Demand Curves'!$D:$AC,MATCH("Annual TAM shift multiplier",'Demand Curves'!$A:$A,0),AC$5+1),1))*IFERROR(INDEX('Demand Curves'!$D:$AC,MATCH("Annual TAM shift multiplier",'Demand Curves'!$A:$A,0),AC$5+1),1)*IFERROR(INDEX(Assumptions!$D:$AC,MATCH("Utilization % (fleet ramp) — year-row",Assumptions!$A:$A,0),AC$5+1),1))*(1-INDEX(Assumptions!$B:$B,MATCH("Starlink ground ops % of revenue",Assumptions!$A:$A,0))-INDEX(Assumptions!$B:$B,MATCH("Starlink insurance % of revenue",Assumptions!$A:$A,0))-INDEX(Assumptions!$B:$B,MATCH("Starlink other COGS % of revenue",Assumptions!$A:$A,0)))-IFERROR(INDEX(CapEx!$D:$AC,MATCH("Annual Spectrum amortization per sat ($mm/sat/yr)",CapEx!$A:$A,0),AC$5+1),0)</f>
        <v>0</v>
      </c>
    </row>
    <row r="223" spans="1:29" x14ac:dyDescent="0.2">
      <c r="A223" s="18" t="s">
        <v>931</v>
      </c>
      <c r="D223" s="46" cm="1">
        <f t="array" aca="1" ref="D223" ca="1">IFERROR(IRR(IF(_xlfn.SEQUENCE(1,INDEX(Assumptions!$B:$B,MATCH("MFW-IRR — Starlink economic life N (years)",Assumptions!$A:$A,0))+1)=1,-D221,D222)),-1)</f>
        <v>2.0779772408983264</v>
      </c>
      <c r="E223" s="46" cm="1">
        <f t="array" aca="1" ref="E223" ca="1">IFERROR(IRR(IF(_xlfn.SEQUENCE(1,INDEX(Assumptions!$B:$B,MATCH("MFW-IRR — Starlink economic life N (years)",Assumptions!$A:$A,0))+1)=1,-E221,E222)),-1)</f>
        <v>3.0054098784094574</v>
      </c>
      <c r="F223" s="46" cm="1">
        <f t="array" aca="1" ref="F223" ca="1">IFERROR(IRR(IF(_xlfn.SEQUENCE(1,INDEX(Assumptions!$B:$B,MATCH("MFW-IRR — Starlink economic life N (years)",Assumptions!$A:$A,0))+1)=1,-F221,F222)),-1)</f>
        <v>4.2145616778628856</v>
      </c>
      <c r="G223" s="46" cm="1">
        <f t="array" aca="1" ref="G223" ca="1">IFERROR(IRR(IF(_xlfn.SEQUENCE(1,INDEX(Assumptions!$B:$B,MATCH("MFW-IRR — Starlink economic life N (years)",Assumptions!$A:$A,0))+1)=1,-G221,G222)),-1)</f>
        <v>5.5449387207838949</v>
      </c>
      <c r="H223" s="46" cm="1">
        <f t="array" aca="1" ref="H223" ca="1">IFERROR(IRR(IF(_xlfn.SEQUENCE(1,INDEX(Assumptions!$B:$B,MATCH("MFW-IRR — Starlink economic life N (years)",Assumptions!$A:$A,0))+1)=1,-H221,H222)),-1)</f>
        <v>7.1235468458796358</v>
      </c>
      <c r="I223" s="46" cm="1">
        <f t="array" aca="1" ref="I223" ca="1">IFERROR(IRR(IF(_xlfn.SEQUENCE(1,INDEX(Assumptions!$B:$B,MATCH("MFW-IRR — Starlink economic life N (years)",Assumptions!$A:$A,0))+1)=1,-I221,I222)),-1)</f>
        <v>-1</v>
      </c>
      <c r="J223" s="46" cm="1">
        <f t="array" aca="1" ref="J223" ca="1">IFERROR(IRR(IF(_xlfn.SEQUENCE(1,INDEX(Assumptions!$B:$B,MATCH("MFW-IRR — Starlink economic life N (years)",Assumptions!$A:$A,0))+1)=1,-J221,J222)),-1)</f>
        <v>-1</v>
      </c>
      <c r="K223" s="46" cm="1">
        <f t="array" aca="1" ref="K223" ca="1">IFERROR(IRR(IF(_xlfn.SEQUENCE(1,INDEX(Assumptions!$B:$B,MATCH("MFW-IRR — Starlink economic life N (years)",Assumptions!$A:$A,0))+1)=1,-K221,K222)),-1)</f>
        <v>-1</v>
      </c>
      <c r="L223" s="46" cm="1">
        <f t="array" aca="1" ref="L223" ca="1">IFERROR(IRR(IF(_xlfn.SEQUENCE(1,INDEX(Assumptions!$B:$B,MATCH("MFW-IRR — Starlink economic life N (years)",Assumptions!$A:$A,0))+1)=1,-L221,L222)),-1)</f>
        <v>-1</v>
      </c>
      <c r="M223" s="46" cm="1">
        <f t="array" aca="1" ref="M223" ca="1">IFERROR(IRR(IF(_xlfn.SEQUENCE(1,INDEX(Assumptions!$B:$B,MATCH("MFW-IRR — Starlink economic life N (years)",Assumptions!$A:$A,0))+1)=1,-M221,M222)),-1)</f>
        <v>-1</v>
      </c>
      <c r="N223" s="46" cm="1">
        <f t="array" aca="1" ref="N223" ca="1">IFERROR(IRR(IF(_xlfn.SEQUENCE(1,INDEX(Assumptions!$B:$B,MATCH("MFW-IRR — Starlink economic life N (years)",Assumptions!$A:$A,0))+1)=1,-N221,N222)),-1)</f>
        <v>-1</v>
      </c>
      <c r="O223" s="46" cm="1">
        <f t="array" aca="1" ref="O223" ca="1">IFERROR(IRR(IF(_xlfn.SEQUENCE(1,INDEX(Assumptions!$B:$B,MATCH("MFW-IRR — Starlink economic life N (years)",Assumptions!$A:$A,0))+1)=1,-O221,O222)),-1)</f>
        <v>-1</v>
      </c>
      <c r="P223" s="46" cm="1">
        <f t="array" aca="1" ref="P223" ca="1">IFERROR(IRR(IF(_xlfn.SEQUENCE(1,INDEX(Assumptions!$B:$B,MATCH("MFW-IRR — Starlink economic life N (years)",Assumptions!$A:$A,0))+1)=1,-P221,P222)),-1)</f>
        <v>-1</v>
      </c>
      <c r="Q223" s="46" cm="1">
        <f t="array" aca="1" ref="Q223" ca="1">IFERROR(IRR(IF(_xlfn.SEQUENCE(1,INDEX(Assumptions!$B:$B,MATCH("MFW-IRR — Starlink economic life N (years)",Assumptions!$A:$A,0))+1)=1,-Q221,Q222)),-1)</f>
        <v>-1</v>
      </c>
      <c r="R223" s="46" cm="1">
        <f t="array" aca="1" ref="R223" ca="1">IFERROR(IRR(IF(_xlfn.SEQUENCE(1,INDEX(Assumptions!$B:$B,MATCH("MFW-IRR — Starlink economic life N (years)",Assumptions!$A:$A,0))+1)=1,-R221,R222)),-1)</f>
        <v>-1</v>
      </c>
      <c r="S223" s="46" cm="1">
        <f t="array" aca="1" ref="S223" ca="1">IFERROR(IRR(IF(_xlfn.SEQUENCE(1,INDEX(Assumptions!$B:$B,MATCH("MFW-IRR — Starlink economic life N (years)",Assumptions!$A:$A,0))+1)=1,-S221,S222)),-1)</f>
        <v>-1</v>
      </c>
      <c r="T223" s="46" cm="1">
        <f t="array" aca="1" ref="T223" ca="1">IFERROR(IRR(IF(_xlfn.SEQUENCE(1,INDEX(Assumptions!$B:$B,MATCH("MFW-IRR — Starlink economic life N (years)",Assumptions!$A:$A,0))+1)=1,-T221,T222)),-1)</f>
        <v>-1</v>
      </c>
      <c r="U223" s="46" cm="1">
        <f t="array" aca="1" ref="U223" ca="1">IFERROR(IRR(IF(_xlfn.SEQUENCE(1,INDEX(Assumptions!$B:$B,MATCH("MFW-IRR — Starlink economic life N (years)",Assumptions!$A:$A,0))+1)=1,-U221,U222)),-1)</f>
        <v>-1</v>
      </c>
      <c r="V223" s="46" cm="1">
        <f t="array" aca="1" ref="V223" ca="1">IFERROR(IRR(IF(_xlfn.SEQUENCE(1,INDEX(Assumptions!$B:$B,MATCH("MFW-IRR — Starlink economic life N (years)",Assumptions!$A:$A,0))+1)=1,-V221,V222)),-1)</f>
        <v>-1</v>
      </c>
      <c r="W223" s="46" cm="1">
        <f t="array" aca="1" ref="W223" ca="1">IFERROR(IRR(IF(_xlfn.SEQUENCE(1,INDEX(Assumptions!$B:$B,MATCH("MFW-IRR — Starlink economic life N (years)",Assumptions!$A:$A,0))+1)=1,-W221,W222)),-1)</f>
        <v>-1</v>
      </c>
      <c r="X223" s="46" cm="1">
        <f t="array" aca="1" ref="X223" ca="1">IFERROR(IRR(IF(_xlfn.SEQUENCE(1,INDEX(Assumptions!$B:$B,MATCH("MFW-IRR — Starlink economic life N (years)",Assumptions!$A:$A,0))+1)=1,-X221,X222)),-1)</f>
        <v>-1</v>
      </c>
      <c r="Y223" s="46" cm="1">
        <f t="array" aca="1" ref="Y223" ca="1">IFERROR(IRR(IF(_xlfn.SEQUENCE(1,INDEX(Assumptions!$B:$B,MATCH("MFW-IRR — Starlink economic life N (years)",Assumptions!$A:$A,0))+1)=1,-Y221,Y222)),-1)</f>
        <v>-1</v>
      </c>
      <c r="Z223" s="46" cm="1">
        <f t="array" aca="1" ref="Z223" ca="1">IFERROR(IRR(IF(_xlfn.SEQUENCE(1,INDEX(Assumptions!$B:$B,MATCH("MFW-IRR — Starlink economic life N (years)",Assumptions!$A:$A,0))+1)=1,-Z221,Z222)),-1)</f>
        <v>-1</v>
      </c>
      <c r="AA223" s="46" cm="1">
        <f t="array" aca="1" ref="AA223" ca="1">IFERROR(IRR(IF(_xlfn.SEQUENCE(1,INDEX(Assumptions!$B:$B,MATCH("MFW-IRR — Starlink economic life N (years)",Assumptions!$A:$A,0))+1)=1,-AA221,AA222)),-1)</f>
        <v>-1</v>
      </c>
      <c r="AB223" s="46" cm="1">
        <f t="array" aca="1" ref="AB223" ca="1">IFERROR(IRR(IF(_xlfn.SEQUENCE(1,INDEX(Assumptions!$B:$B,MATCH("MFW-IRR — Starlink economic life N (years)",Assumptions!$A:$A,0))+1)=1,-AB221,AB222)),-1)</f>
        <v>-1</v>
      </c>
      <c r="AC223" s="46" cm="1">
        <f t="array" aca="1" ref="AC223" ca="1">IFERROR(IRR(IF(_xlfn.SEQUENCE(1,INDEX(Assumptions!$B:$B,MATCH("MFW-IRR — Starlink economic life N (years)",Assumptions!$A:$A,0))+1)=1,-AC221,AC222)),-1)</f>
        <v>-1</v>
      </c>
    </row>
    <row r="224" spans="1:29" x14ac:dyDescent="0.2">
      <c r="A224" s="18" t="s">
        <v>932</v>
      </c>
      <c r="D224" s="46" cm="1">
        <f t="array" aca="1" ref="D224" ca="1">IFERROR(INDEX($D223:$AC223,1,D$5+1+IFERROR(INDEX(Assumptions!$B:$B,MATCH("Forward IRR look-ahead horizon (years)",Assumptions!$A:$A,0)),2)),-1)</f>
        <v>4.2145616778628856</v>
      </c>
      <c r="E224" s="46" cm="1">
        <f t="array" aca="1" ref="E224" ca="1">IFERROR(INDEX($D223:$AC223,1,E$5+1+IFERROR(INDEX(Assumptions!$B:$B,MATCH("Forward IRR look-ahead horizon (years)",Assumptions!$A:$A,0)),2)),-1)</f>
        <v>5.5449387207838949</v>
      </c>
      <c r="F224" s="46" cm="1">
        <f t="array" aca="1" ref="F224" ca="1">IFERROR(INDEX($D223:$AC223,1,F$5+1+IFERROR(INDEX(Assumptions!$B:$B,MATCH("Forward IRR look-ahead horizon (years)",Assumptions!$A:$A,0)),2)),-1)</f>
        <v>7.1235468458796358</v>
      </c>
      <c r="G224" s="46" cm="1">
        <f t="array" aca="1" ref="G224" ca="1">IFERROR(INDEX($D223:$AC223,1,G$5+1+IFERROR(INDEX(Assumptions!$B:$B,MATCH("Forward IRR look-ahead horizon (years)",Assumptions!$A:$A,0)),2)),-1)</f>
        <v>-1</v>
      </c>
      <c r="H224" s="46" cm="1">
        <f t="array" aca="1" ref="H224" ca="1">IFERROR(INDEX($D223:$AC223,1,H$5+1+IFERROR(INDEX(Assumptions!$B:$B,MATCH("Forward IRR look-ahead horizon (years)",Assumptions!$A:$A,0)),2)),-1)</f>
        <v>-1</v>
      </c>
      <c r="I224" s="46" cm="1">
        <f t="array" aca="1" ref="I224" ca="1">IFERROR(INDEX($D223:$AC223,1,I$5+1+IFERROR(INDEX(Assumptions!$B:$B,MATCH("Forward IRR look-ahead horizon (years)",Assumptions!$A:$A,0)),2)),-1)</f>
        <v>-1</v>
      </c>
      <c r="J224" s="46" cm="1">
        <f t="array" aca="1" ref="J224" ca="1">IFERROR(INDEX($D223:$AC223,1,J$5+1+IFERROR(INDEX(Assumptions!$B:$B,MATCH("Forward IRR look-ahead horizon (years)",Assumptions!$A:$A,0)),2)),-1)</f>
        <v>-1</v>
      </c>
      <c r="K224" s="46" cm="1">
        <f t="array" aca="1" ref="K224" ca="1">IFERROR(INDEX($D223:$AC223,1,K$5+1+IFERROR(INDEX(Assumptions!$B:$B,MATCH("Forward IRR look-ahead horizon (years)",Assumptions!$A:$A,0)),2)),-1)</f>
        <v>-1</v>
      </c>
      <c r="L224" s="46" cm="1">
        <f t="array" aca="1" ref="L224" ca="1">IFERROR(INDEX($D223:$AC223,1,L$5+1+IFERROR(INDEX(Assumptions!$B:$B,MATCH("Forward IRR look-ahead horizon (years)",Assumptions!$A:$A,0)),2)),-1)</f>
        <v>-1</v>
      </c>
      <c r="M224" s="46" cm="1">
        <f t="array" aca="1" ref="M224" ca="1">IFERROR(INDEX($D223:$AC223,1,M$5+1+IFERROR(INDEX(Assumptions!$B:$B,MATCH("Forward IRR look-ahead horizon (years)",Assumptions!$A:$A,0)),2)),-1)</f>
        <v>-1</v>
      </c>
      <c r="N224" s="46" cm="1">
        <f t="array" aca="1" ref="N224" ca="1">IFERROR(INDEX($D223:$AC223,1,N$5+1+IFERROR(INDEX(Assumptions!$B:$B,MATCH("Forward IRR look-ahead horizon (years)",Assumptions!$A:$A,0)),2)),-1)</f>
        <v>-1</v>
      </c>
      <c r="O224" s="46" cm="1">
        <f t="array" aca="1" ref="O224" ca="1">IFERROR(INDEX($D223:$AC223,1,O$5+1+IFERROR(INDEX(Assumptions!$B:$B,MATCH("Forward IRR look-ahead horizon (years)",Assumptions!$A:$A,0)),2)),-1)</f>
        <v>-1</v>
      </c>
      <c r="P224" s="46" cm="1">
        <f t="array" aca="1" ref="P224" ca="1">IFERROR(INDEX($D223:$AC223,1,P$5+1+IFERROR(INDEX(Assumptions!$B:$B,MATCH("Forward IRR look-ahead horizon (years)",Assumptions!$A:$A,0)),2)),-1)</f>
        <v>-1</v>
      </c>
      <c r="Q224" s="46" cm="1">
        <f t="array" aca="1" ref="Q224" ca="1">IFERROR(INDEX($D223:$AC223,1,Q$5+1+IFERROR(INDEX(Assumptions!$B:$B,MATCH("Forward IRR look-ahead horizon (years)",Assumptions!$A:$A,0)),2)),-1)</f>
        <v>-1</v>
      </c>
      <c r="R224" s="46" cm="1">
        <f t="array" aca="1" ref="R224" ca="1">IFERROR(INDEX($D223:$AC223,1,R$5+1+IFERROR(INDEX(Assumptions!$B:$B,MATCH("Forward IRR look-ahead horizon (years)",Assumptions!$A:$A,0)),2)),-1)</f>
        <v>-1</v>
      </c>
      <c r="S224" s="46" cm="1">
        <f t="array" aca="1" ref="S224" ca="1">IFERROR(INDEX($D223:$AC223,1,S$5+1+IFERROR(INDEX(Assumptions!$B:$B,MATCH("Forward IRR look-ahead horizon (years)",Assumptions!$A:$A,0)),2)),-1)</f>
        <v>-1</v>
      </c>
      <c r="T224" s="46" cm="1">
        <f t="array" aca="1" ref="T224" ca="1">IFERROR(INDEX($D223:$AC223,1,T$5+1+IFERROR(INDEX(Assumptions!$B:$B,MATCH("Forward IRR look-ahead horizon (years)",Assumptions!$A:$A,0)),2)),-1)</f>
        <v>-1</v>
      </c>
      <c r="U224" s="46" cm="1">
        <f t="array" aca="1" ref="U224" ca="1">IFERROR(INDEX($D223:$AC223,1,U$5+1+IFERROR(INDEX(Assumptions!$B:$B,MATCH("Forward IRR look-ahead horizon (years)",Assumptions!$A:$A,0)),2)),-1)</f>
        <v>-1</v>
      </c>
      <c r="V224" s="46" cm="1">
        <f t="array" aca="1" ref="V224" ca="1">IFERROR(INDEX($D223:$AC223,1,V$5+1+IFERROR(INDEX(Assumptions!$B:$B,MATCH("Forward IRR look-ahead horizon (years)",Assumptions!$A:$A,0)),2)),-1)</f>
        <v>-1</v>
      </c>
      <c r="W224" s="46" cm="1">
        <f t="array" aca="1" ref="W224" ca="1">IFERROR(INDEX($D223:$AC223,1,W$5+1+IFERROR(INDEX(Assumptions!$B:$B,MATCH("Forward IRR look-ahead horizon (years)",Assumptions!$A:$A,0)),2)),-1)</f>
        <v>-1</v>
      </c>
      <c r="X224" s="46" cm="1">
        <f t="array" aca="1" ref="X224" ca="1">IFERROR(INDEX($D223:$AC223,1,X$5+1+IFERROR(INDEX(Assumptions!$B:$B,MATCH("Forward IRR look-ahead horizon (years)",Assumptions!$A:$A,0)),2)),-1)</f>
        <v>-1</v>
      </c>
      <c r="Y224" s="46" cm="1">
        <f t="array" aca="1" ref="Y224" ca="1">IFERROR(INDEX($D223:$AC223,1,Y$5+1+IFERROR(INDEX(Assumptions!$B:$B,MATCH("Forward IRR look-ahead horizon (years)",Assumptions!$A:$A,0)),2)),-1)</f>
        <v>-1</v>
      </c>
      <c r="Z224" s="46" cm="1">
        <f t="array" aca="1" ref="Z224" ca="1">IFERROR(INDEX($D223:$AC223,1,Z$5+1+IFERROR(INDEX(Assumptions!$B:$B,MATCH("Forward IRR look-ahead horizon (years)",Assumptions!$A:$A,0)),2)),-1)</f>
        <v>-1</v>
      </c>
      <c r="AA224" s="46" cm="1">
        <f t="array" aca="1" ref="AA224" ca="1">IFERROR(INDEX($D223:$AC223,1,AA$5+1+IFERROR(INDEX(Assumptions!$B:$B,MATCH("Forward IRR look-ahead horizon (years)",Assumptions!$A:$A,0)),2)),-1)</f>
        <v>-1</v>
      </c>
      <c r="AB224" s="46" cm="1">
        <f t="array" ref="AB224">IFERROR(INDEX($D223:$AC223,1,AB$5+1+IFERROR(INDEX(Assumptions!$B:$B,MATCH("Forward IRR look-ahead horizon (years)",Assumptions!$A:$A,0)),2)),-1)</f>
        <v>-1</v>
      </c>
      <c r="AC224" s="46" cm="1">
        <f t="array" ref="AC224">IFERROR(INDEX($D223:$AC223,1,AC$5+1+IFERROR(INDEX(Assumptions!$B:$B,MATCH("Forward IRR look-ahead horizon (years)",Assumptions!$A:$A,0)),2)),-1)</f>
        <v>-1</v>
      </c>
    </row>
    <row r="225" spans="1:29" x14ac:dyDescent="0.2">
      <c r="A225" s="18" t="s">
        <v>933</v>
      </c>
      <c r="D225" s="46">
        <f ca="1">(1-INDEX(Assumptions!$B:$B,MATCH("Forward IRR weight w (Blended = (1-w)·Spot + w·Forward)",Assumptions!$A:$A,0)))*D223+INDEX(Assumptions!$B:$B,MATCH("Forward IRR weight w (Blended = (1-w)·Spot + w·Forward)",Assumptions!$A:$A,0))*D224</f>
        <v>3.5735863467735176</v>
      </c>
      <c r="E225" s="46">
        <f ca="1">(1-INDEX(Assumptions!$B:$B,MATCH("Forward IRR weight w (Blended = (1-w)·Spot + w·Forward)",Assumptions!$A:$A,0)))*E223+INDEX(Assumptions!$B:$B,MATCH("Forward IRR weight w (Blended = (1-w)·Spot + w·Forward)",Assumptions!$A:$A,0))*E224</f>
        <v>4.7830800680715635</v>
      </c>
      <c r="F225" s="46">
        <f ca="1">(1-INDEX(Assumptions!$B:$B,MATCH("Forward IRR weight w (Blended = (1-w)·Spot + w·Forward)",Assumptions!$A:$A,0)))*F223+INDEX(Assumptions!$B:$B,MATCH("Forward IRR weight w (Blended = (1-w)·Spot + w·Forward)",Assumptions!$A:$A,0))*F224</f>
        <v>6.2508512954746109</v>
      </c>
      <c r="G225" s="46">
        <f ca="1">(1-INDEX(Assumptions!$B:$B,MATCH("Forward IRR weight w (Blended = (1-w)·Spot + w·Forward)",Assumptions!$A:$A,0)))*G223+INDEX(Assumptions!$B:$B,MATCH("Forward IRR weight w (Blended = (1-w)·Spot + w·Forward)",Assumptions!$A:$A,0))*G224</f>
        <v>0.9634816162351687</v>
      </c>
      <c r="H225" s="46">
        <f ca="1">(1-INDEX(Assumptions!$B:$B,MATCH("Forward IRR weight w (Blended = (1-w)·Spot + w·Forward)",Assumptions!$A:$A,0)))*H223+INDEX(Assumptions!$B:$B,MATCH("Forward IRR weight w (Blended = (1-w)·Spot + w·Forward)",Assumptions!$A:$A,0))*H224</f>
        <v>1.4370640537638912</v>
      </c>
      <c r="I225" s="46">
        <f ca="1">(1-INDEX(Assumptions!$B:$B,MATCH("Forward IRR weight w (Blended = (1-w)·Spot + w·Forward)",Assumptions!$A:$A,0)))*I223+INDEX(Assumptions!$B:$B,MATCH("Forward IRR weight w (Blended = (1-w)·Spot + w·Forward)",Assumptions!$A:$A,0))*I224</f>
        <v>-1</v>
      </c>
      <c r="J225" s="46">
        <f ca="1">(1-INDEX(Assumptions!$B:$B,MATCH("Forward IRR weight w (Blended = (1-w)·Spot + w·Forward)",Assumptions!$A:$A,0)))*J223+INDEX(Assumptions!$B:$B,MATCH("Forward IRR weight w (Blended = (1-w)·Spot + w·Forward)",Assumptions!$A:$A,0))*J224</f>
        <v>-1</v>
      </c>
      <c r="K225" s="46">
        <f ca="1">(1-INDEX(Assumptions!$B:$B,MATCH("Forward IRR weight w (Blended = (1-w)·Spot + w·Forward)",Assumptions!$A:$A,0)))*K223+INDEX(Assumptions!$B:$B,MATCH("Forward IRR weight w (Blended = (1-w)·Spot + w·Forward)",Assumptions!$A:$A,0))*K224</f>
        <v>-1</v>
      </c>
      <c r="L225" s="46">
        <f ca="1">(1-INDEX(Assumptions!$B:$B,MATCH("Forward IRR weight w (Blended = (1-w)·Spot + w·Forward)",Assumptions!$A:$A,0)))*L223+INDEX(Assumptions!$B:$B,MATCH("Forward IRR weight w (Blended = (1-w)·Spot + w·Forward)",Assumptions!$A:$A,0))*L224</f>
        <v>-1</v>
      </c>
      <c r="M225" s="46">
        <f ca="1">(1-INDEX(Assumptions!$B:$B,MATCH("Forward IRR weight w (Blended = (1-w)·Spot + w·Forward)",Assumptions!$A:$A,0)))*M223+INDEX(Assumptions!$B:$B,MATCH("Forward IRR weight w (Blended = (1-w)·Spot + w·Forward)",Assumptions!$A:$A,0))*M224</f>
        <v>-1</v>
      </c>
      <c r="N225" s="46">
        <f ca="1">(1-INDEX(Assumptions!$B:$B,MATCH("Forward IRR weight w (Blended = (1-w)·Spot + w·Forward)",Assumptions!$A:$A,0)))*N223+INDEX(Assumptions!$B:$B,MATCH("Forward IRR weight w (Blended = (1-w)·Spot + w·Forward)",Assumptions!$A:$A,0))*N224</f>
        <v>-1</v>
      </c>
      <c r="O225" s="46">
        <f ca="1">(1-INDEX(Assumptions!$B:$B,MATCH("Forward IRR weight w (Blended = (1-w)·Spot + w·Forward)",Assumptions!$A:$A,0)))*O223+INDEX(Assumptions!$B:$B,MATCH("Forward IRR weight w (Blended = (1-w)·Spot + w·Forward)",Assumptions!$A:$A,0))*O224</f>
        <v>-1</v>
      </c>
      <c r="P225" s="46">
        <f ca="1">(1-INDEX(Assumptions!$B:$B,MATCH("Forward IRR weight w (Blended = (1-w)·Spot + w·Forward)",Assumptions!$A:$A,0)))*P223+INDEX(Assumptions!$B:$B,MATCH("Forward IRR weight w (Blended = (1-w)·Spot + w·Forward)",Assumptions!$A:$A,0))*P224</f>
        <v>-1</v>
      </c>
      <c r="Q225" s="46">
        <f ca="1">(1-INDEX(Assumptions!$B:$B,MATCH("Forward IRR weight w (Blended = (1-w)·Spot + w·Forward)",Assumptions!$A:$A,0)))*Q223+INDEX(Assumptions!$B:$B,MATCH("Forward IRR weight w (Blended = (1-w)·Spot + w·Forward)",Assumptions!$A:$A,0))*Q224</f>
        <v>-1</v>
      </c>
      <c r="R225" s="46">
        <f ca="1">(1-INDEX(Assumptions!$B:$B,MATCH("Forward IRR weight w (Blended = (1-w)·Spot + w·Forward)",Assumptions!$A:$A,0)))*R223+INDEX(Assumptions!$B:$B,MATCH("Forward IRR weight w (Blended = (1-w)·Spot + w·Forward)",Assumptions!$A:$A,0))*R224</f>
        <v>-1</v>
      </c>
      <c r="S225" s="46">
        <f ca="1">(1-INDEX(Assumptions!$B:$B,MATCH("Forward IRR weight w (Blended = (1-w)·Spot + w·Forward)",Assumptions!$A:$A,0)))*S223+INDEX(Assumptions!$B:$B,MATCH("Forward IRR weight w (Blended = (1-w)·Spot + w·Forward)",Assumptions!$A:$A,0))*S224</f>
        <v>-1</v>
      </c>
      <c r="T225" s="46">
        <f ca="1">(1-INDEX(Assumptions!$B:$B,MATCH("Forward IRR weight w (Blended = (1-w)·Spot + w·Forward)",Assumptions!$A:$A,0)))*T223+INDEX(Assumptions!$B:$B,MATCH("Forward IRR weight w (Blended = (1-w)·Spot + w·Forward)",Assumptions!$A:$A,0))*T224</f>
        <v>-1</v>
      </c>
      <c r="U225" s="46">
        <f ca="1">(1-INDEX(Assumptions!$B:$B,MATCH("Forward IRR weight w (Blended = (1-w)·Spot + w·Forward)",Assumptions!$A:$A,0)))*U223+INDEX(Assumptions!$B:$B,MATCH("Forward IRR weight w (Blended = (1-w)·Spot + w·Forward)",Assumptions!$A:$A,0))*U224</f>
        <v>-1</v>
      </c>
      <c r="V225" s="46">
        <f ca="1">(1-INDEX(Assumptions!$B:$B,MATCH("Forward IRR weight w (Blended = (1-w)·Spot + w·Forward)",Assumptions!$A:$A,0)))*V223+INDEX(Assumptions!$B:$B,MATCH("Forward IRR weight w (Blended = (1-w)·Spot + w·Forward)",Assumptions!$A:$A,0))*V224</f>
        <v>-1</v>
      </c>
      <c r="W225" s="46">
        <f ca="1">(1-INDEX(Assumptions!$B:$B,MATCH("Forward IRR weight w (Blended = (1-w)·Spot + w·Forward)",Assumptions!$A:$A,0)))*W223+INDEX(Assumptions!$B:$B,MATCH("Forward IRR weight w (Blended = (1-w)·Spot + w·Forward)",Assumptions!$A:$A,0))*W224</f>
        <v>-1</v>
      </c>
      <c r="X225" s="46">
        <f ca="1">(1-INDEX(Assumptions!$B:$B,MATCH("Forward IRR weight w (Blended = (1-w)·Spot + w·Forward)",Assumptions!$A:$A,0)))*X223+INDEX(Assumptions!$B:$B,MATCH("Forward IRR weight w (Blended = (1-w)·Spot + w·Forward)",Assumptions!$A:$A,0))*X224</f>
        <v>-1</v>
      </c>
      <c r="Y225" s="46">
        <f ca="1">(1-INDEX(Assumptions!$B:$B,MATCH("Forward IRR weight w (Blended = (1-w)·Spot + w·Forward)",Assumptions!$A:$A,0)))*Y223+INDEX(Assumptions!$B:$B,MATCH("Forward IRR weight w (Blended = (1-w)·Spot + w·Forward)",Assumptions!$A:$A,0))*Y224</f>
        <v>-1</v>
      </c>
      <c r="Z225" s="46">
        <f ca="1">(1-INDEX(Assumptions!$B:$B,MATCH("Forward IRR weight w (Blended = (1-w)·Spot + w·Forward)",Assumptions!$A:$A,0)))*Z223+INDEX(Assumptions!$B:$B,MATCH("Forward IRR weight w (Blended = (1-w)·Spot + w·Forward)",Assumptions!$A:$A,0))*Z224</f>
        <v>-1</v>
      </c>
      <c r="AA225" s="46">
        <f ca="1">(1-INDEX(Assumptions!$B:$B,MATCH("Forward IRR weight w (Blended = (1-w)·Spot + w·Forward)",Assumptions!$A:$A,0)))*AA223+INDEX(Assumptions!$B:$B,MATCH("Forward IRR weight w (Blended = (1-w)·Spot + w·Forward)",Assumptions!$A:$A,0))*AA224</f>
        <v>-1</v>
      </c>
      <c r="AB225" s="46">
        <f ca="1">(1-INDEX(Assumptions!$B:$B,MATCH("Forward IRR weight w (Blended = (1-w)·Spot + w·Forward)",Assumptions!$A:$A,0)))*AB223+INDEX(Assumptions!$B:$B,MATCH("Forward IRR weight w (Blended = (1-w)·Spot + w·Forward)",Assumptions!$A:$A,0))*AB224</f>
        <v>-1</v>
      </c>
      <c r="AC225" s="46">
        <f ca="1">(1-INDEX(Assumptions!$B:$B,MATCH("Forward IRR weight w (Blended = (1-w)·Spot + w·Forward)",Assumptions!$A:$A,0)))*AC223+INDEX(Assumptions!$B:$B,MATCH("Forward IRR weight w (Blended = (1-w)·Spot + w·Forward)",Assumptions!$A:$A,0))*AC224</f>
        <v>-1</v>
      </c>
    </row>
    <row r="226" spans="1:29" x14ac:dyDescent="0.2">
      <c r="A226" s="18" t="s">
        <v>934</v>
      </c>
      <c r="D226" s="45">
        <f>D81+D86</f>
        <v>1.3906499999999999</v>
      </c>
      <c r="E226" s="45">
        <f t="shared" ref="E226:AC226" si="39">E81+E86</f>
        <v>1.3165849999999999</v>
      </c>
      <c r="F226" s="45">
        <f t="shared" si="39"/>
        <v>1.2466765</v>
      </c>
      <c r="G226" s="45">
        <f t="shared" si="39"/>
        <v>1.1806713499999999</v>
      </c>
      <c r="H226" s="45">
        <f t="shared" si="39"/>
        <v>1.11833359</v>
      </c>
      <c r="I226" s="45">
        <f t="shared" si="39"/>
        <v>1.0594431372499999</v>
      </c>
      <c r="J226" s="45">
        <f t="shared" si="39"/>
        <v>1.0037945844624998</v>
      </c>
      <c r="K226" s="45">
        <f t="shared" si="39"/>
        <v>0.95119609890687495</v>
      </c>
      <c r="L226" s="45">
        <f t="shared" si="39"/>
        <v>0.90146841326228133</v>
      </c>
      <c r="M226" s="45">
        <f t="shared" si="39"/>
        <v>0.85444389996984216</v>
      </c>
      <c r="N226" s="45">
        <f t="shared" si="39"/>
        <v>0.83160770059506506</v>
      </c>
      <c r="O226" s="45">
        <f t="shared" si="39"/>
        <v>0.82844693053555851</v>
      </c>
      <c r="P226" s="45">
        <f t="shared" si="39"/>
        <v>0.82560223748200268</v>
      </c>
      <c r="Q226" s="45">
        <f t="shared" si="39"/>
        <v>0.82304201373380248</v>
      </c>
      <c r="R226" s="45">
        <f t="shared" si="39"/>
        <v>0.8207378123604222</v>
      </c>
      <c r="S226" s="45">
        <f t="shared" si="39"/>
        <v>0.81866403112438002</v>
      </c>
      <c r="T226" s="45">
        <f t="shared" si="39"/>
        <v>0.816797628011942</v>
      </c>
      <c r="U226" s="45">
        <f t="shared" si="39"/>
        <v>0.81511786521074781</v>
      </c>
      <c r="V226" s="45">
        <f t="shared" si="39"/>
        <v>0.81360607868967305</v>
      </c>
      <c r="W226" s="45">
        <f t="shared" si="39"/>
        <v>0.81224547082070575</v>
      </c>
      <c r="X226" s="45">
        <f t="shared" si="39"/>
        <v>0.81102092373863521</v>
      </c>
      <c r="Y226" s="45">
        <f t="shared" si="39"/>
        <v>0.80991883136477161</v>
      </c>
      <c r="Z226" s="45">
        <f t="shared" si="39"/>
        <v>0.80892694822829447</v>
      </c>
      <c r="AA226" s="45">
        <f t="shared" si="39"/>
        <v>0.80803425340546509</v>
      </c>
      <c r="AB226" s="45">
        <f t="shared" si="39"/>
        <v>0.80723082806491853</v>
      </c>
      <c r="AC226" s="45">
        <f t="shared" si="39"/>
        <v>0.80650774525842672</v>
      </c>
    </row>
    <row r="227" spans="1:29" x14ac:dyDescent="0.2">
      <c r="A227" s="18" t="s">
        <v>935</v>
      </c>
      <c r="D227" s="45" cm="1">
        <f t="array" aca="1" ref="D227" ca="1">((IF(D128+D18&gt;=MAX('Demand Curves'!$B$17:$B$77),MAX('Demand Curves'!$C$17:$C$77),IF(D128+D18&lt;=0,0,IF(D128+D18&lt;MIN('Demand Curves'!$B$17:$B$77),(D128+D18)*INDEX('Demand Curves'!$C$17:$C$77,1)/INDEX('Demand Curves'!$B$17:$B$77,1),INDEX('Demand Curves'!$C$17:$C$77,MATCH(D128+D18,'Demand Curves'!$B$17:$B$77,1))+(D128+D18-INDEX('Demand Curves'!$B$17:$B$77,MATCH(D128+D18,'Demand Curves'!$B$17:$B$77,1)))/(INDEX('Demand Curves'!$B$17:$B$77,MATCH(D128+D18,'Demand Curves'!$B$17:$B$77,1)+1)-INDEX('Demand Curves'!$B$17:$B$77,MATCH(D128+D18,'Demand Curves'!$B$17:$B$77,1)))*(INDEX('Demand Curves'!$C$17:$C$77,MATCH(D128+D18,'Demand Curves'!$B$17:$B$77,1)+1)-INDEX('Demand Curves'!$C$17:$C$77,MATCH(D128+D18,'Demand Curves'!$B$17:$B$77,1))))))-D131/IFERROR(INDEX('Demand Curves'!$D:$AC,MATCH("Annual TAM shift multiplier",'Demand Curves'!$A:$A,0),D$5+1),1))*IFERROR(INDEX('Demand Curves'!$D:$AC,MATCH("Annual TAM shift multiplier",'Demand Curves'!$A:$A,0),D$5+1),1)*IFERROR(INDEX(Assumptions!$D:$AC,MATCH("Utilization % (fleet ramp) — year-row",Assumptions!$A:$A,0),D$5+1),1))*(1-INDEX(Assumptions!$B:$B,MATCH("Starlink ground ops % of revenue",Assumptions!$A:$A,0))-INDEX(Assumptions!$B:$B,MATCH("Starlink insurance % of revenue",Assumptions!$A:$A,0))-INDEX(Assumptions!$B:$B,MATCH("Starlink other COGS % of revenue",Assumptions!$A:$A,0)))</f>
        <v>1.1208458244111346</v>
      </c>
      <c r="E227" s="45" cm="1">
        <f t="array" aca="1" ref="E227" ca="1">((IF(E128+E18&gt;=MAX('Demand Curves'!$B$17:$B$77),MAX('Demand Curves'!$C$17:$C$77),IF(E128+E18&lt;=0,0,IF(E128+E18&lt;MIN('Demand Curves'!$B$17:$B$77),(E128+E18)*INDEX('Demand Curves'!$C$17:$C$77,1)/INDEX('Demand Curves'!$B$17:$B$77,1),INDEX('Demand Curves'!$C$17:$C$77,MATCH(E128+E18,'Demand Curves'!$B$17:$B$77,1))+(E128+E18-INDEX('Demand Curves'!$B$17:$B$77,MATCH(E128+E18,'Demand Curves'!$B$17:$B$77,1)))/(INDEX('Demand Curves'!$B$17:$B$77,MATCH(E128+E18,'Demand Curves'!$B$17:$B$77,1)+1)-INDEX('Demand Curves'!$B$17:$B$77,MATCH(E128+E18,'Demand Curves'!$B$17:$B$77,1)))*(INDEX('Demand Curves'!$C$17:$C$77,MATCH(E128+E18,'Demand Curves'!$B$17:$B$77,1)+1)-INDEX('Demand Curves'!$C$17:$C$77,MATCH(E128+E18,'Demand Curves'!$B$17:$B$77,1))))))-E131/IFERROR(INDEX('Demand Curves'!$D:$AC,MATCH("Annual TAM shift multiplier",'Demand Curves'!$A:$A,0),E$5+1),1))*IFERROR(INDEX('Demand Curves'!$D:$AC,MATCH("Annual TAM shift multiplier",'Demand Curves'!$A:$A,0),E$5+1),1)*IFERROR(INDEX(Assumptions!$D:$AC,MATCH("Utilization % (fleet ramp) — year-row",Assumptions!$A:$A,0),E$5+1),1))*(1-INDEX(Assumptions!$B:$B,MATCH("Starlink ground ops % of revenue",Assumptions!$A:$A,0))-INDEX(Assumptions!$B:$B,MATCH("Starlink insurance % of revenue",Assumptions!$A:$A,0))-INDEX(Assumptions!$B:$B,MATCH("Starlink other COGS % of revenue",Assumptions!$A:$A,0)))</f>
        <v>1.516145379500133</v>
      </c>
      <c r="F227" s="45" cm="1">
        <f t="array" aca="1" ref="F227" ca="1">((IF(F128+F18&gt;=MAX('Demand Curves'!$B$17:$B$77),MAX('Demand Curves'!$C$17:$C$77),IF(F128+F18&lt;=0,0,IF(F128+F18&lt;MIN('Demand Curves'!$B$17:$B$77),(F128+F18)*INDEX('Demand Curves'!$C$17:$C$77,1)/INDEX('Demand Curves'!$B$17:$B$77,1),INDEX('Demand Curves'!$C$17:$C$77,MATCH(F128+F18,'Demand Curves'!$B$17:$B$77,1))+(F128+F18-INDEX('Demand Curves'!$B$17:$B$77,MATCH(F128+F18,'Demand Curves'!$B$17:$B$77,1)))/(INDEX('Demand Curves'!$B$17:$B$77,MATCH(F128+F18,'Demand Curves'!$B$17:$B$77,1)+1)-INDEX('Demand Curves'!$B$17:$B$77,MATCH(F128+F18,'Demand Curves'!$B$17:$B$77,1)))*(INDEX('Demand Curves'!$C$17:$C$77,MATCH(F128+F18,'Demand Curves'!$B$17:$B$77,1)+1)-INDEX('Demand Curves'!$C$17:$C$77,MATCH(F128+F18,'Demand Curves'!$B$17:$B$77,1))))))-F131/IFERROR(INDEX('Demand Curves'!$D:$AC,MATCH("Annual TAM shift multiplier",'Demand Curves'!$A:$A,0),F$5+1),1))*IFERROR(INDEX('Demand Curves'!$D:$AC,MATCH("Annual TAM shift multiplier",'Demand Curves'!$A:$A,0),F$5+1),1)*IFERROR(INDEX(Assumptions!$D:$AC,MATCH("Utilization % (fleet ramp) — year-row",Assumptions!$A:$A,0),F$5+1),1))*(1-INDEX(Assumptions!$B:$B,MATCH("Starlink ground ops % of revenue",Assumptions!$A:$A,0))-INDEX(Assumptions!$B:$B,MATCH("Starlink insurance % of revenue",Assumptions!$A:$A,0))-INDEX(Assumptions!$B:$B,MATCH("Starlink other COGS % of revenue",Assumptions!$A:$A,0)))</f>
        <v>1.9520371761064212</v>
      </c>
      <c r="G227" s="45" cm="1">
        <f t="array" aca="1" ref="G227" ca="1">((IF(G128+G18&gt;=MAX('Demand Curves'!$B$17:$B$77),MAX('Demand Curves'!$C$17:$C$77),IF(G128+G18&lt;=0,0,IF(G128+G18&lt;MIN('Demand Curves'!$B$17:$B$77),(G128+G18)*INDEX('Demand Curves'!$C$17:$C$77,1)/INDEX('Demand Curves'!$B$17:$B$77,1),INDEX('Demand Curves'!$C$17:$C$77,MATCH(G128+G18,'Demand Curves'!$B$17:$B$77,1))+(G128+G18-INDEX('Demand Curves'!$B$17:$B$77,MATCH(G128+G18,'Demand Curves'!$B$17:$B$77,1)))/(INDEX('Demand Curves'!$B$17:$B$77,MATCH(G128+G18,'Demand Curves'!$B$17:$B$77,1)+1)-INDEX('Demand Curves'!$B$17:$B$77,MATCH(G128+G18,'Demand Curves'!$B$17:$B$77,1)))*(INDEX('Demand Curves'!$C$17:$C$77,MATCH(G128+G18,'Demand Curves'!$B$17:$B$77,1)+1)-INDEX('Demand Curves'!$C$17:$C$77,MATCH(G128+G18,'Demand Curves'!$B$17:$B$77,1))))))-G131/IFERROR(INDEX('Demand Curves'!$D:$AC,MATCH("Annual TAM shift multiplier",'Demand Curves'!$A:$A,0),G$5+1),1))*IFERROR(INDEX('Demand Curves'!$D:$AC,MATCH("Annual TAM shift multiplier",'Demand Curves'!$A:$A,0),G$5+1),1)*IFERROR(INDEX(Assumptions!$D:$AC,MATCH("Utilization % (fleet ramp) — year-row",Assumptions!$A:$A,0),G$5+1),1))*(1-INDEX(Assumptions!$B:$B,MATCH("Starlink ground ops % of revenue",Assumptions!$A:$A,0))-INDEX(Assumptions!$B:$B,MATCH("Starlink insurance % of revenue",Assumptions!$A:$A,0))-INDEX(Assumptions!$B:$B,MATCH("Starlink other COGS % of revenue",Assumptions!$A:$A,0)))</f>
        <v>2.4318186334357383</v>
      </c>
      <c r="H227" s="45" cm="1">
        <f t="array" aca="1" ref="H227" ca="1">((IF(H128+H18&gt;=MAX('Demand Curves'!$B$17:$B$77),MAX('Demand Curves'!$C$17:$C$77),IF(H128+H18&lt;=0,0,IF(H128+H18&lt;MIN('Demand Curves'!$B$17:$B$77),(H128+H18)*INDEX('Demand Curves'!$C$17:$C$77,1)/INDEX('Demand Curves'!$B$17:$B$77,1),INDEX('Demand Curves'!$C$17:$C$77,MATCH(H128+H18,'Demand Curves'!$B$17:$B$77,1))+(H128+H18-INDEX('Demand Curves'!$B$17:$B$77,MATCH(H128+H18,'Demand Curves'!$B$17:$B$77,1)))/(INDEX('Demand Curves'!$B$17:$B$77,MATCH(H128+H18,'Demand Curves'!$B$17:$B$77,1)+1)-INDEX('Demand Curves'!$B$17:$B$77,MATCH(H128+H18,'Demand Curves'!$B$17:$B$77,1)))*(INDEX('Demand Curves'!$C$17:$C$77,MATCH(H128+H18,'Demand Curves'!$B$17:$B$77,1)+1)-INDEX('Demand Curves'!$C$17:$C$77,MATCH(H128+H18,'Demand Curves'!$B$17:$B$77,1))))))-H131/IFERROR(INDEX('Demand Curves'!$D:$AC,MATCH("Annual TAM shift multiplier",'Demand Curves'!$A:$A,0),H$5+1),1))*IFERROR(INDEX('Demand Curves'!$D:$AC,MATCH("Annual TAM shift multiplier",'Demand Curves'!$A:$A,0),H$5+1),1)*IFERROR(INDEX(Assumptions!$D:$AC,MATCH("Utilization % (fleet ramp) — year-row",Assumptions!$A:$A,0),H$5+1),1))*(1-INDEX(Assumptions!$B:$B,MATCH("Starlink ground ops % of revenue",Assumptions!$A:$A,0))-INDEX(Assumptions!$B:$B,MATCH("Starlink insurance % of revenue",Assumptions!$A:$A,0))-INDEX(Assumptions!$B:$B,MATCH("Starlink other COGS % of revenue",Assumptions!$A:$A,0)))</f>
        <v>2.9590286697116142</v>
      </c>
      <c r="I227" s="45" cm="1">
        <f t="array" aca="1" ref="I227" ca="1">((IF(I128+I18&gt;=MAX('Demand Curves'!$B$17:$B$77),MAX('Demand Curves'!$C$17:$C$77),IF(I128+I18&lt;=0,0,IF(I128+I18&lt;MIN('Demand Curves'!$B$17:$B$77),(I128+I18)*INDEX('Demand Curves'!$C$17:$C$77,1)/INDEX('Demand Curves'!$B$17:$B$77,1),INDEX('Demand Curves'!$C$17:$C$77,MATCH(I128+I18,'Demand Curves'!$B$17:$B$77,1))+(I128+I18-INDEX('Demand Curves'!$B$17:$B$77,MATCH(I128+I18,'Demand Curves'!$B$17:$B$77,1)))/(INDEX('Demand Curves'!$B$17:$B$77,MATCH(I128+I18,'Demand Curves'!$B$17:$B$77,1)+1)-INDEX('Demand Curves'!$B$17:$B$77,MATCH(I128+I18,'Demand Curves'!$B$17:$B$77,1)))*(INDEX('Demand Curves'!$C$17:$C$77,MATCH(I128+I18,'Demand Curves'!$B$17:$B$77,1)+1)-INDEX('Demand Curves'!$C$17:$C$77,MATCH(I128+I18,'Demand Curves'!$B$17:$B$77,1))))))-I131/IFERROR(INDEX('Demand Curves'!$D:$AC,MATCH("Annual TAM shift multiplier",'Demand Curves'!$A:$A,0),I$5+1),1))*IFERROR(INDEX('Demand Curves'!$D:$AC,MATCH("Annual TAM shift multiplier",'Demand Curves'!$A:$A,0),I$5+1),1)*IFERROR(INDEX(Assumptions!$D:$AC,MATCH("Utilization % (fleet ramp) — year-row",Assumptions!$A:$A,0),I$5+1),1))*(1-INDEX(Assumptions!$B:$B,MATCH("Starlink ground ops % of revenue",Assumptions!$A:$A,0))-INDEX(Assumptions!$B:$B,MATCH("Starlink insurance % of revenue",Assumptions!$A:$A,0))-INDEX(Assumptions!$B:$B,MATCH("Starlink other COGS % of revenue",Assumptions!$A:$A,0)))</f>
        <v>3.123994518048034</v>
      </c>
      <c r="J227" s="45" cm="1">
        <f t="array" aca="1" ref="J227" ca="1">((IF(J128+J18&gt;=MAX('Demand Curves'!$B$17:$B$77),MAX('Demand Curves'!$C$17:$C$77),IF(J128+J18&lt;=0,0,IF(J128+J18&lt;MIN('Demand Curves'!$B$17:$B$77),(J128+J18)*INDEX('Demand Curves'!$C$17:$C$77,1)/INDEX('Demand Curves'!$B$17:$B$77,1),INDEX('Demand Curves'!$C$17:$C$77,MATCH(J128+J18,'Demand Curves'!$B$17:$B$77,1))+(J128+J18-INDEX('Demand Curves'!$B$17:$B$77,MATCH(J128+J18,'Demand Curves'!$B$17:$B$77,1)))/(INDEX('Demand Curves'!$B$17:$B$77,MATCH(J128+J18,'Demand Curves'!$B$17:$B$77,1)+1)-INDEX('Demand Curves'!$B$17:$B$77,MATCH(J128+J18,'Demand Curves'!$B$17:$B$77,1)))*(INDEX('Demand Curves'!$C$17:$C$77,MATCH(J128+J18,'Demand Curves'!$B$17:$B$77,1)+1)-INDEX('Demand Curves'!$C$17:$C$77,MATCH(J128+J18,'Demand Curves'!$B$17:$B$77,1))))))-J131/IFERROR(INDEX('Demand Curves'!$D:$AC,MATCH("Annual TAM shift multiplier",'Demand Curves'!$A:$A,0),J$5+1),1))*IFERROR(INDEX('Demand Curves'!$D:$AC,MATCH("Annual TAM shift multiplier",'Demand Curves'!$A:$A,0),J$5+1),1)*IFERROR(INDEX(Assumptions!$D:$AC,MATCH("Utilization % (fleet ramp) — year-row",Assumptions!$A:$A,0),J$5+1),1))*(1-INDEX(Assumptions!$B:$B,MATCH("Starlink ground ops % of revenue",Assumptions!$A:$A,0))-INDEX(Assumptions!$B:$B,MATCH("Starlink insurance % of revenue",Assumptions!$A:$A,0))-INDEX(Assumptions!$B:$B,MATCH("Starlink other COGS % of revenue",Assumptions!$A:$A,0)))</f>
        <v>3.2981572124292113</v>
      </c>
      <c r="K227" s="45" cm="1">
        <f t="array" aca="1" ref="K227" ca="1">((IF(K128+K18&gt;=MAX('Demand Curves'!$B$17:$B$77),MAX('Demand Curves'!$C$17:$C$77),IF(K128+K18&lt;=0,0,IF(K128+K18&lt;MIN('Demand Curves'!$B$17:$B$77),(K128+K18)*INDEX('Demand Curves'!$C$17:$C$77,1)/INDEX('Demand Curves'!$B$17:$B$77,1),INDEX('Demand Curves'!$C$17:$C$77,MATCH(K128+K18,'Demand Curves'!$B$17:$B$77,1))+(K128+K18-INDEX('Demand Curves'!$B$17:$B$77,MATCH(K128+K18,'Demand Curves'!$B$17:$B$77,1)))/(INDEX('Demand Curves'!$B$17:$B$77,MATCH(K128+K18,'Demand Curves'!$B$17:$B$77,1)+1)-INDEX('Demand Curves'!$B$17:$B$77,MATCH(K128+K18,'Demand Curves'!$B$17:$B$77,1)))*(INDEX('Demand Curves'!$C$17:$C$77,MATCH(K128+K18,'Demand Curves'!$B$17:$B$77,1)+1)-INDEX('Demand Curves'!$C$17:$C$77,MATCH(K128+K18,'Demand Curves'!$B$17:$B$77,1))))))-K131/IFERROR(INDEX('Demand Curves'!$D:$AC,MATCH("Annual TAM shift multiplier",'Demand Curves'!$A:$A,0),K$5+1),1))*IFERROR(INDEX('Demand Curves'!$D:$AC,MATCH("Annual TAM shift multiplier",'Demand Curves'!$A:$A,0),K$5+1),1)*IFERROR(INDEX(Assumptions!$D:$AC,MATCH("Utilization % (fleet ramp) — year-row",Assumptions!$A:$A,0),K$5+1),1))*(1-INDEX(Assumptions!$B:$B,MATCH("Starlink ground ops % of revenue",Assumptions!$A:$A,0))-INDEX(Assumptions!$B:$B,MATCH("Starlink insurance % of revenue",Assumptions!$A:$A,0))-INDEX(Assumptions!$B:$B,MATCH("Starlink other COGS % of revenue",Assumptions!$A:$A,0)))</f>
        <v>3.4820294770221407</v>
      </c>
      <c r="L227" s="45" cm="1">
        <f t="array" aca="1" ref="L227" ca="1">((IF(L128+L18&gt;=MAX('Demand Curves'!$B$17:$B$77),MAX('Demand Curves'!$C$17:$C$77),IF(L128+L18&lt;=0,0,IF(L128+L18&lt;MIN('Demand Curves'!$B$17:$B$77),(L128+L18)*INDEX('Demand Curves'!$C$17:$C$77,1)/INDEX('Demand Curves'!$B$17:$B$77,1),INDEX('Demand Curves'!$C$17:$C$77,MATCH(L128+L18,'Demand Curves'!$B$17:$B$77,1))+(L128+L18-INDEX('Demand Curves'!$B$17:$B$77,MATCH(L128+L18,'Demand Curves'!$B$17:$B$77,1)))/(INDEX('Demand Curves'!$B$17:$B$77,MATCH(L128+L18,'Demand Curves'!$B$17:$B$77,1)+1)-INDEX('Demand Curves'!$B$17:$B$77,MATCH(L128+L18,'Demand Curves'!$B$17:$B$77,1)))*(INDEX('Demand Curves'!$C$17:$C$77,MATCH(L128+L18,'Demand Curves'!$B$17:$B$77,1)+1)-INDEX('Demand Curves'!$C$17:$C$77,MATCH(L128+L18,'Demand Curves'!$B$17:$B$77,1))))))-L131/IFERROR(INDEX('Demand Curves'!$D:$AC,MATCH("Annual TAM shift multiplier",'Demand Curves'!$A:$A,0),L$5+1),1))*IFERROR(INDEX('Demand Curves'!$D:$AC,MATCH("Annual TAM shift multiplier",'Demand Curves'!$A:$A,0),L$5+1),1)*IFERROR(INDEX(Assumptions!$D:$AC,MATCH("Utilization % (fleet ramp) — year-row",Assumptions!$A:$A,0),L$5+1),1))*(1-INDEX(Assumptions!$B:$B,MATCH("Starlink ground ops % of revenue",Assumptions!$A:$A,0))-INDEX(Assumptions!$B:$B,MATCH("Starlink insurance % of revenue",Assumptions!$A:$A,0))-INDEX(Assumptions!$B:$B,MATCH("Starlink other COGS % of revenue",Assumptions!$A:$A,0)))</f>
        <v>3.6761526203661239</v>
      </c>
      <c r="M227" s="45" cm="1">
        <f t="array" aca="1" ref="M227" ca="1">((IF(M128+M18&gt;=MAX('Demand Curves'!$B$17:$B$77),MAX('Demand Curves'!$C$17:$C$77),IF(M128+M18&lt;=0,0,IF(M128+M18&lt;MIN('Demand Curves'!$B$17:$B$77),(M128+M18)*INDEX('Demand Curves'!$C$17:$C$77,1)/INDEX('Demand Curves'!$B$17:$B$77,1),INDEX('Demand Curves'!$C$17:$C$77,MATCH(M128+M18,'Demand Curves'!$B$17:$B$77,1))+(M128+M18-INDEX('Demand Curves'!$B$17:$B$77,MATCH(M128+M18,'Demand Curves'!$B$17:$B$77,1)))/(INDEX('Demand Curves'!$B$17:$B$77,MATCH(M128+M18,'Demand Curves'!$B$17:$B$77,1)+1)-INDEX('Demand Curves'!$B$17:$B$77,MATCH(M128+M18,'Demand Curves'!$B$17:$B$77,1)))*(INDEX('Demand Curves'!$C$17:$C$77,MATCH(M128+M18,'Demand Curves'!$B$17:$B$77,1)+1)-INDEX('Demand Curves'!$C$17:$C$77,MATCH(M128+M18,'Demand Curves'!$B$17:$B$77,1))))))-M131/IFERROR(INDEX('Demand Curves'!$D:$AC,MATCH("Annual TAM shift multiplier",'Demand Curves'!$A:$A,0),M$5+1),1))*IFERROR(INDEX('Demand Curves'!$D:$AC,MATCH("Annual TAM shift multiplier",'Demand Curves'!$A:$A,0),M$5+1),1)*IFERROR(INDEX(Assumptions!$D:$AC,MATCH("Utilization % (fleet ramp) — year-row",Assumptions!$A:$A,0),M$5+1),1))*(1-INDEX(Assumptions!$B:$B,MATCH("Starlink ground ops % of revenue",Assumptions!$A:$A,0))-INDEX(Assumptions!$B:$B,MATCH("Starlink insurance % of revenue",Assumptions!$A:$A,0))-INDEX(Assumptions!$B:$B,MATCH("Starlink other COGS % of revenue",Assumptions!$A:$A,0)))</f>
        <v>3.8810981289515345</v>
      </c>
      <c r="N227" s="45" cm="1">
        <f t="array" aca="1" ref="N227" ca="1">((IF(N128+N18&gt;=MAX('Demand Curves'!$B$17:$B$77),MAX('Demand Curves'!$C$17:$C$77),IF(N128+N18&lt;=0,0,IF(N128+N18&lt;MIN('Demand Curves'!$B$17:$B$77),(N128+N18)*INDEX('Demand Curves'!$C$17:$C$77,1)/INDEX('Demand Curves'!$B$17:$B$77,1),INDEX('Demand Curves'!$C$17:$C$77,MATCH(N128+N18,'Demand Curves'!$B$17:$B$77,1))+(N128+N18-INDEX('Demand Curves'!$B$17:$B$77,MATCH(N128+N18,'Demand Curves'!$B$17:$B$77,1)))/(INDEX('Demand Curves'!$B$17:$B$77,MATCH(N128+N18,'Demand Curves'!$B$17:$B$77,1)+1)-INDEX('Demand Curves'!$B$17:$B$77,MATCH(N128+N18,'Demand Curves'!$B$17:$B$77,1)))*(INDEX('Demand Curves'!$C$17:$C$77,MATCH(N128+N18,'Demand Curves'!$B$17:$B$77,1)+1)-INDEX('Demand Curves'!$C$17:$C$77,MATCH(N128+N18,'Demand Curves'!$B$17:$B$77,1))))))-N131/IFERROR(INDEX('Demand Curves'!$D:$AC,MATCH("Annual TAM shift multiplier",'Demand Curves'!$A:$A,0),N$5+1),1))*IFERROR(INDEX('Demand Curves'!$D:$AC,MATCH("Annual TAM shift multiplier",'Demand Curves'!$A:$A,0),N$5+1),1)*IFERROR(INDEX(Assumptions!$D:$AC,MATCH("Utilization % (fleet ramp) — year-row",Assumptions!$A:$A,0),N$5+1),1))*(1-INDEX(Assumptions!$B:$B,MATCH("Starlink ground ops % of revenue",Assumptions!$A:$A,0))-INDEX(Assumptions!$B:$B,MATCH("Starlink insurance % of revenue",Assumptions!$A:$A,0))-INDEX(Assumptions!$B:$B,MATCH("Starlink other COGS % of revenue",Assumptions!$A:$A,0)))</f>
        <v>4.0974693496405825</v>
      </c>
      <c r="O227" s="45" cm="1">
        <f t="array" aca="1" ref="O227" ca="1">((IF(O128+O18&gt;=MAX('Demand Curves'!$B$17:$B$77),MAX('Demand Curves'!$C$17:$C$77),IF(O128+O18&lt;=0,0,IF(O128+O18&lt;MIN('Demand Curves'!$B$17:$B$77),(O128+O18)*INDEX('Demand Curves'!$C$17:$C$77,1)/INDEX('Demand Curves'!$B$17:$B$77,1),INDEX('Demand Curves'!$C$17:$C$77,MATCH(O128+O18,'Demand Curves'!$B$17:$B$77,1))+(O128+O18-INDEX('Demand Curves'!$B$17:$B$77,MATCH(O128+O18,'Demand Curves'!$B$17:$B$77,1)))/(INDEX('Demand Curves'!$B$17:$B$77,MATCH(O128+O18,'Demand Curves'!$B$17:$B$77,1)+1)-INDEX('Demand Curves'!$B$17:$B$77,MATCH(O128+O18,'Demand Curves'!$B$17:$B$77,1)))*(INDEX('Demand Curves'!$C$17:$C$77,MATCH(O128+O18,'Demand Curves'!$B$17:$B$77,1)+1)-INDEX('Demand Curves'!$C$17:$C$77,MATCH(O128+O18,'Demand Curves'!$B$17:$B$77,1))))))-O131/IFERROR(INDEX('Demand Curves'!$D:$AC,MATCH("Annual TAM shift multiplier",'Demand Curves'!$A:$A,0),O$5+1),1))*IFERROR(INDEX('Demand Curves'!$D:$AC,MATCH("Annual TAM shift multiplier",'Demand Curves'!$A:$A,0),O$5+1),1)*IFERROR(INDEX(Assumptions!$D:$AC,MATCH("Utilization % (fleet ramp) — year-row",Assumptions!$A:$A,0),O$5+1),1))*(1-INDEX(Assumptions!$B:$B,MATCH("Starlink ground ops % of revenue",Assumptions!$A:$A,0))-INDEX(Assumptions!$B:$B,MATCH("Starlink insurance % of revenue",Assumptions!$A:$A,0))-INDEX(Assumptions!$B:$B,MATCH("Starlink other COGS % of revenue",Assumptions!$A:$A,0)))</f>
        <v>4.3259032658830456</v>
      </c>
      <c r="P227" s="45" cm="1">
        <f t="array" aca="1" ref="P227" ca="1">((IF(P128+P18&gt;=MAX('Demand Curves'!$B$17:$B$77),MAX('Demand Curves'!$C$17:$C$77),IF(P128+P18&lt;=0,0,IF(P128+P18&lt;MIN('Demand Curves'!$B$17:$B$77),(P128+P18)*INDEX('Demand Curves'!$C$17:$C$77,1)/INDEX('Demand Curves'!$B$17:$B$77,1),INDEX('Demand Curves'!$C$17:$C$77,MATCH(P128+P18,'Demand Curves'!$B$17:$B$77,1))+(P128+P18-INDEX('Demand Curves'!$B$17:$B$77,MATCH(P128+P18,'Demand Curves'!$B$17:$B$77,1)))/(INDEX('Demand Curves'!$B$17:$B$77,MATCH(P128+P18,'Demand Curves'!$B$17:$B$77,1)+1)-INDEX('Demand Curves'!$B$17:$B$77,MATCH(P128+P18,'Demand Curves'!$B$17:$B$77,1)))*(INDEX('Demand Curves'!$C$17:$C$77,MATCH(P128+P18,'Demand Curves'!$B$17:$B$77,1)+1)-INDEX('Demand Curves'!$C$17:$C$77,MATCH(P128+P18,'Demand Curves'!$B$17:$B$77,1))))))-P131/IFERROR(INDEX('Demand Curves'!$D:$AC,MATCH("Annual TAM shift multiplier",'Demand Curves'!$A:$A,0),P$5+1),1))*IFERROR(INDEX('Demand Curves'!$D:$AC,MATCH("Annual TAM shift multiplier",'Demand Curves'!$A:$A,0),P$5+1),1)*IFERROR(INDEX(Assumptions!$D:$AC,MATCH("Utilization % (fleet ramp) — year-row",Assumptions!$A:$A,0),P$5+1),1))*(1-INDEX(Assumptions!$B:$B,MATCH("Starlink ground ops % of revenue",Assumptions!$A:$A,0))-INDEX(Assumptions!$B:$B,MATCH("Starlink insurance % of revenue",Assumptions!$A:$A,0))-INDEX(Assumptions!$B:$B,MATCH("Starlink other COGS % of revenue",Assumptions!$A:$A,0)))</f>
        <v>4.5670723729560248</v>
      </c>
      <c r="Q227" s="45" cm="1">
        <f t="array" aca="1" ref="Q227" ca="1">((IF(Q128+Q18&gt;=MAX('Demand Curves'!$B$17:$B$77),MAX('Demand Curves'!$C$17:$C$77),IF(Q128+Q18&lt;=0,0,IF(Q128+Q18&lt;MIN('Demand Curves'!$B$17:$B$77),(Q128+Q18)*INDEX('Demand Curves'!$C$17:$C$77,1)/INDEX('Demand Curves'!$B$17:$B$77,1),INDEX('Demand Curves'!$C$17:$C$77,MATCH(Q128+Q18,'Demand Curves'!$B$17:$B$77,1))+(Q128+Q18-INDEX('Demand Curves'!$B$17:$B$77,MATCH(Q128+Q18,'Demand Curves'!$B$17:$B$77,1)))/(INDEX('Demand Curves'!$B$17:$B$77,MATCH(Q128+Q18,'Demand Curves'!$B$17:$B$77,1)+1)-INDEX('Demand Curves'!$B$17:$B$77,MATCH(Q128+Q18,'Demand Curves'!$B$17:$B$77,1)))*(INDEX('Demand Curves'!$C$17:$C$77,MATCH(Q128+Q18,'Demand Curves'!$B$17:$B$77,1)+1)-INDEX('Demand Curves'!$C$17:$C$77,MATCH(Q128+Q18,'Demand Curves'!$B$17:$B$77,1))))))-Q131/IFERROR(INDEX('Demand Curves'!$D:$AC,MATCH("Annual TAM shift multiplier",'Demand Curves'!$A:$A,0),Q$5+1),1))*IFERROR(INDEX('Demand Curves'!$D:$AC,MATCH("Annual TAM shift multiplier",'Demand Curves'!$A:$A,0),Q$5+1),1)*IFERROR(INDEX(Assumptions!$D:$AC,MATCH("Utilization % (fleet ramp) — year-row",Assumptions!$A:$A,0),Q$5+1),1))*(1-INDEX(Assumptions!$B:$B,MATCH("Starlink ground ops % of revenue",Assumptions!$A:$A,0))-INDEX(Assumptions!$B:$B,MATCH("Starlink insurance % of revenue",Assumptions!$A:$A,0))-INDEX(Assumptions!$B:$B,MATCH("Starlink other COGS % of revenue",Assumptions!$A:$A,0)))</f>
        <v>4.8216866577483222</v>
      </c>
      <c r="R227" s="45" cm="1">
        <f t="array" aca="1" ref="R227" ca="1">((IF(R128+R18&gt;=MAX('Demand Curves'!$B$17:$B$77),MAX('Demand Curves'!$C$17:$C$77),IF(R128+R18&lt;=0,0,IF(R128+R18&lt;MIN('Demand Curves'!$B$17:$B$77),(R128+R18)*INDEX('Demand Curves'!$C$17:$C$77,1)/INDEX('Demand Curves'!$B$17:$B$77,1),INDEX('Demand Curves'!$C$17:$C$77,MATCH(R128+R18,'Demand Curves'!$B$17:$B$77,1))+(R128+R18-INDEX('Demand Curves'!$B$17:$B$77,MATCH(R128+R18,'Demand Curves'!$B$17:$B$77,1)))/(INDEX('Demand Curves'!$B$17:$B$77,MATCH(R128+R18,'Demand Curves'!$B$17:$B$77,1)+1)-INDEX('Demand Curves'!$B$17:$B$77,MATCH(R128+R18,'Demand Curves'!$B$17:$B$77,1)))*(INDEX('Demand Curves'!$C$17:$C$77,MATCH(R128+R18,'Demand Curves'!$B$17:$B$77,1)+1)-INDEX('Demand Curves'!$C$17:$C$77,MATCH(R128+R18,'Demand Curves'!$B$17:$B$77,1))))))-R131/IFERROR(INDEX('Demand Curves'!$D:$AC,MATCH("Annual TAM shift multiplier",'Demand Curves'!$A:$A,0),R$5+1),1))*IFERROR(INDEX('Demand Curves'!$D:$AC,MATCH("Annual TAM shift multiplier",'Demand Curves'!$A:$A,0),R$5+1),1)*IFERROR(INDEX(Assumptions!$D:$AC,MATCH("Utilization % (fleet ramp) — year-row",Assumptions!$A:$A,0),R$5+1),1))*(1-INDEX(Assumptions!$B:$B,MATCH("Starlink ground ops % of revenue",Assumptions!$A:$A,0))-INDEX(Assumptions!$B:$B,MATCH("Starlink insurance % of revenue",Assumptions!$A:$A,0))-INDEX(Assumptions!$B:$B,MATCH("Starlink other COGS % of revenue",Assumptions!$A:$A,0)))</f>
        <v>5.090495688917791</v>
      </c>
      <c r="S227" s="45" cm="1">
        <f t="array" aca="1" ref="S227" ca="1">((IF(S128+S18&gt;=MAX('Demand Curves'!$B$17:$B$77),MAX('Demand Curves'!$C$17:$C$77),IF(S128+S18&lt;=0,0,IF(S128+S18&lt;MIN('Demand Curves'!$B$17:$B$77),(S128+S18)*INDEX('Demand Curves'!$C$17:$C$77,1)/INDEX('Demand Curves'!$B$17:$B$77,1),INDEX('Demand Curves'!$C$17:$C$77,MATCH(S128+S18,'Demand Curves'!$B$17:$B$77,1))+(S128+S18-INDEX('Demand Curves'!$B$17:$B$77,MATCH(S128+S18,'Demand Curves'!$B$17:$B$77,1)))/(INDEX('Demand Curves'!$B$17:$B$77,MATCH(S128+S18,'Demand Curves'!$B$17:$B$77,1)+1)-INDEX('Demand Curves'!$B$17:$B$77,MATCH(S128+S18,'Demand Curves'!$B$17:$B$77,1)))*(INDEX('Demand Curves'!$C$17:$C$77,MATCH(S128+S18,'Demand Curves'!$B$17:$B$77,1)+1)-INDEX('Demand Curves'!$C$17:$C$77,MATCH(S128+S18,'Demand Curves'!$B$17:$B$77,1))))))-S131/IFERROR(INDEX('Demand Curves'!$D:$AC,MATCH("Annual TAM shift multiplier",'Demand Curves'!$A:$A,0),S$5+1),1))*IFERROR(INDEX('Demand Curves'!$D:$AC,MATCH("Annual TAM shift multiplier",'Demand Curves'!$A:$A,0),S$5+1),1)*IFERROR(INDEX(Assumptions!$D:$AC,MATCH("Utilization % (fleet ramp) — year-row",Assumptions!$A:$A,0),S$5+1),1))*(1-INDEX(Assumptions!$B:$B,MATCH("Starlink ground ops % of revenue",Assumptions!$A:$A,0))-INDEX(Assumptions!$B:$B,MATCH("Starlink insurance % of revenue",Assumptions!$A:$A,0))-INDEX(Assumptions!$B:$B,MATCH("Starlink other COGS % of revenue",Assumptions!$A:$A,0)))</f>
        <v>5.3742908235749596</v>
      </c>
      <c r="T227" s="45" cm="1">
        <f t="array" aca="1" ref="T227" ca="1">((IF(T128+T18&gt;=MAX('Demand Curves'!$B$17:$B$77),MAX('Demand Curves'!$C$17:$C$77),IF(T128+T18&lt;=0,0,IF(T128+T18&lt;MIN('Demand Curves'!$B$17:$B$77),(T128+T18)*INDEX('Demand Curves'!$C$17:$C$77,1)/INDEX('Demand Curves'!$B$17:$B$77,1),INDEX('Demand Curves'!$C$17:$C$77,MATCH(T128+T18,'Demand Curves'!$B$17:$B$77,1))+(T128+T18-INDEX('Demand Curves'!$B$17:$B$77,MATCH(T128+T18,'Demand Curves'!$B$17:$B$77,1)))/(INDEX('Demand Curves'!$B$17:$B$77,MATCH(T128+T18,'Demand Curves'!$B$17:$B$77,1)+1)-INDEX('Demand Curves'!$B$17:$B$77,MATCH(T128+T18,'Demand Curves'!$B$17:$B$77,1)))*(INDEX('Demand Curves'!$C$17:$C$77,MATCH(T128+T18,'Demand Curves'!$B$17:$B$77,1)+1)-INDEX('Demand Curves'!$C$17:$C$77,MATCH(T128+T18,'Demand Curves'!$B$17:$B$77,1))))))-T131/IFERROR(INDEX('Demand Curves'!$D:$AC,MATCH("Annual TAM shift multiplier",'Demand Curves'!$A:$A,0),T$5+1),1))*IFERROR(INDEX('Demand Curves'!$D:$AC,MATCH("Annual TAM shift multiplier",'Demand Curves'!$A:$A,0),T$5+1),1)*IFERROR(INDEX(Assumptions!$D:$AC,MATCH("Utilization % (fleet ramp) — year-row",Assumptions!$A:$A,0),T$5+1),1))*(1-INDEX(Assumptions!$B:$B,MATCH("Starlink ground ops % of revenue",Assumptions!$A:$A,0))-INDEX(Assumptions!$B:$B,MATCH("Starlink insurance % of revenue",Assumptions!$A:$A,0))-INDEX(Assumptions!$B:$B,MATCH("Starlink other COGS % of revenue",Assumptions!$A:$A,0)))</f>
        <v>5.6739075369892626</v>
      </c>
      <c r="U227" s="45" cm="1">
        <f t="array" aca="1" ref="U227" ca="1">((IF(U128+U18&gt;=MAX('Demand Curves'!$B$17:$B$77),MAX('Demand Curves'!$C$17:$C$77),IF(U128+U18&lt;=0,0,IF(U128+U18&lt;MIN('Demand Curves'!$B$17:$B$77),(U128+U18)*INDEX('Demand Curves'!$C$17:$C$77,1)/INDEX('Demand Curves'!$B$17:$B$77,1),INDEX('Demand Curves'!$C$17:$C$77,MATCH(U128+U18,'Demand Curves'!$B$17:$B$77,1))+(U128+U18-INDEX('Demand Curves'!$B$17:$B$77,MATCH(U128+U18,'Demand Curves'!$B$17:$B$77,1)))/(INDEX('Demand Curves'!$B$17:$B$77,MATCH(U128+U18,'Demand Curves'!$B$17:$B$77,1)+1)-INDEX('Demand Curves'!$B$17:$B$77,MATCH(U128+U18,'Demand Curves'!$B$17:$B$77,1)))*(INDEX('Demand Curves'!$C$17:$C$77,MATCH(U128+U18,'Demand Curves'!$B$17:$B$77,1)+1)-INDEX('Demand Curves'!$C$17:$C$77,MATCH(U128+U18,'Demand Curves'!$B$17:$B$77,1))))))-U131/IFERROR(INDEX('Demand Curves'!$D:$AC,MATCH("Annual TAM shift multiplier",'Demand Curves'!$A:$A,0),U$5+1),1))*IFERROR(INDEX('Demand Curves'!$D:$AC,MATCH("Annual TAM shift multiplier",'Demand Curves'!$A:$A,0),U$5+1),1)*IFERROR(INDEX(Assumptions!$D:$AC,MATCH("Utilization % (fleet ramp) — year-row",Assumptions!$A:$A,0),U$5+1),1))*(1-INDEX(Assumptions!$B:$B,MATCH("Starlink ground ops % of revenue",Assumptions!$A:$A,0))-INDEX(Assumptions!$B:$B,MATCH("Starlink insurance % of revenue",Assumptions!$A:$A,0))-INDEX(Assumptions!$B:$B,MATCH("Starlink other COGS % of revenue",Assumptions!$A:$A,0)))</f>
        <v>5.9902278821764119</v>
      </c>
      <c r="V227" s="45" cm="1">
        <f t="array" aca="1" ref="V227" ca="1">((IF(V128+V18&gt;=MAX('Demand Curves'!$B$17:$B$77),MAX('Demand Curves'!$C$17:$C$77),IF(V128+V18&lt;=0,0,IF(V128+V18&lt;MIN('Demand Curves'!$B$17:$B$77),(V128+V18)*INDEX('Demand Curves'!$C$17:$C$77,1)/INDEX('Demand Curves'!$B$17:$B$77,1),INDEX('Demand Curves'!$C$17:$C$77,MATCH(V128+V18,'Demand Curves'!$B$17:$B$77,1))+(V128+V18-INDEX('Demand Curves'!$B$17:$B$77,MATCH(V128+V18,'Demand Curves'!$B$17:$B$77,1)))/(INDEX('Demand Curves'!$B$17:$B$77,MATCH(V128+V18,'Demand Curves'!$B$17:$B$77,1)+1)-INDEX('Demand Curves'!$B$17:$B$77,MATCH(V128+V18,'Demand Curves'!$B$17:$B$77,1)))*(INDEX('Demand Curves'!$C$17:$C$77,MATCH(V128+V18,'Demand Curves'!$B$17:$B$77,1)+1)-INDEX('Demand Curves'!$C$17:$C$77,MATCH(V128+V18,'Demand Curves'!$B$17:$B$77,1))))))-V131/IFERROR(INDEX('Demand Curves'!$D:$AC,MATCH("Annual TAM shift multiplier",'Demand Curves'!$A:$A,0),V$5+1),1))*IFERROR(INDEX('Demand Curves'!$D:$AC,MATCH("Annual TAM shift multiplier",'Demand Curves'!$A:$A,0),V$5+1),1)*IFERROR(INDEX(Assumptions!$D:$AC,MATCH("Utilization % (fleet ramp) — year-row",Assumptions!$A:$A,0),V$5+1),1))*(1-INDEX(Assumptions!$B:$B,MATCH("Starlink ground ops % of revenue",Assumptions!$A:$A,0))-INDEX(Assumptions!$B:$B,MATCH("Starlink insurance % of revenue",Assumptions!$A:$A,0))-INDEX(Assumptions!$B:$B,MATCH("Starlink other COGS % of revenue",Assumptions!$A:$A,0)))</f>
        <v>6.3241830866077482</v>
      </c>
      <c r="W227" s="45" cm="1">
        <f t="array" aca="1" ref="W227" ca="1">((IF(W128+W18&gt;=MAX('Demand Curves'!$B$17:$B$77),MAX('Demand Curves'!$C$17:$C$77),IF(W128+W18&lt;=0,0,IF(W128+W18&lt;MIN('Demand Curves'!$B$17:$B$77),(W128+W18)*INDEX('Demand Curves'!$C$17:$C$77,1)/INDEX('Demand Curves'!$B$17:$B$77,1),INDEX('Demand Curves'!$C$17:$C$77,MATCH(W128+W18,'Demand Curves'!$B$17:$B$77,1))+(W128+W18-INDEX('Demand Curves'!$B$17:$B$77,MATCH(W128+W18,'Demand Curves'!$B$17:$B$77,1)))/(INDEX('Demand Curves'!$B$17:$B$77,MATCH(W128+W18,'Demand Curves'!$B$17:$B$77,1)+1)-INDEX('Demand Curves'!$B$17:$B$77,MATCH(W128+W18,'Demand Curves'!$B$17:$B$77,1)))*(INDEX('Demand Curves'!$C$17:$C$77,MATCH(W128+W18,'Demand Curves'!$B$17:$B$77,1)+1)-INDEX('Demand Curves'!$C$17:$C$77,MATCH(W128+W18,'Demand Curves'!$B$17:$B$77,1))))))-W131/IFERROR(INDEX('Demand Curves'!$D:$AC,MATCH("Annual TAM shift multiplier",'Demand Curves'!$A:$A,0),W$5+1),1))*IFERROR(INDEX('Demand Curves'!$D:$AC,MATCH("Annual TAM shift multiplier",'Demand Curves'!$A:$A,0),W$5+1),1)*IFERROR(INDEX(Assumptions!$D:$AC,MATCH("Utilization % (fleet ramp) — year-row",Assumptions!$A:$A,0),W$5+1),1))*(1-INDEX(Assumptions!$B:$B,MATCH("Starlink ground ops % of revenue",Assumptions!$A:$A,0))-INDEX(Assumptions!$B:$B,MATCH("Starlink insurance % of revenue",Assumptions!$A:$A,0))-INDEX(Assumptions!$B:$B,MATCH("Starlink other COGS % of revenue",Assumptions!$A:$A,0)))</f>
        <v>6.6767562936861307</v>
      </c>
      <c r="X227" s="45" cm="1">
        <f t="array" aca="1" ref="X227" ca="1">((IF(X128+X18&gt;=MAX('Demand Curves'!$B$17:$B$77),MAX('Demand Curves'!$C$17:$C$77),IF(X128+X18&lt;=0,0,IF(X128+X18&lt;MIN('Demand Curves'!$B$17:$B$77),(X128+X18)*INDEX('Demand Curves'!$C$17:$C$77,1)/INDEX('Demand Curves'!$B$17:$B$77,1),INDEX('Demand Curves'!$C$17:$C$77,MATCH(X128+X18,'Demand Curves'!$B$17:$B$77,1))+(X128+X18-INDEX('Demand Curves'!$B$17:$B$77,MATCH(X128+X18,'Demand Curves'!$B$17:$B$77,1)))/(INDEX('Demand Curves'!$B$17:$B$77,MATCH(X128+X18,'Demand Curves'!$B$17:$B$77,1)+1)-INDEX('Demand Curves'!$B$17:$B$77,MATCH(X128+X18,'Demand Curves'!$B$17:$B$77,1)))*(INDEX('Demand Curves'!$C$17:$C$77,MATCH(X128+X18,'Demand Curves'!$B$17:$B$77,1)+1)-INDEX('Demand Curves'!$C$17:$C$77,MATCH(X128+X18,'Demand Curves'!$B$17:$B$77,1))))))-X131/IFERROR(INDEX('Demand Curves'!$D:$AC,MATCH("Annual TAM shift multiplier",'Demand Curves'!$A:$A,0),X$5+1),1))*IFERROR(INDEX('Demand Curves'!$D:$AC,MATCH("Annual TAM shift multiplier",'Demand Curves'!$A:$A,0),X$5+1),1)*IFERROR(INDEX(Assumptions!$D:$AC,MATCH("Utilization % (fleet ramp) — year-row",Assumptions!$A:$A,0),X$5+1),1))*(1-INDEX(Assumptions!$B:$B,MATCH("Starlink ground ops % of revenue",Assumptions!$A:$A,0))-INDEX(Assumptions!$B:$B,MATCH("Starlink insurance % of revenue",Assumptions!$A:$A,0))-INDEX(Assumptions!$B:$B,MATCH("Starlink other COGS % of revenue",Assumptions!$A:$A,0)))</f>
        <v>7.048985457059131</v>
      </c>
      <c r="Y227" s="45" cm="1">
        <f t="array" aca="1" ref="Y227" ca="1">((IF(Y128+Y18&gt;=MAX('Demand Curves'!$B$17:$B$77),MAX('Demand Curves'!$C$17:$C$77),IF(Y128+Y18&lt;=0,0,IF(Y128+Y18&lt;MIN('Demand Curves'!$B$17:$B$77),(Y128+Y18)*INDEX('Demand Curves'!$C$17:$C$77,1)/INDEX('Demand Curves'!$B$17:$B$77,1),INDEX('Demand Curves'!$C$17:$C$77,MATCH(Y128+Y18,'Demand Curves'!$B$17:$B$77,1))+(Y128+Y18-INDEX('Demand Curves'!$B$17:$B$77,MATCH(Y128+Y18,'Demand Curves'!$B$17:$B$77,1)))/(INDEX('Demand Curves'!$B$17:$B$77,MATCH(Y128+Y18,'Demand Curves'!$B$17:$B$77,1)+1)-INDEX('Demand Curves'!$B$17:$B$77,MATCH(Y128+Y18,'Demand Curves'!$B$17:$B$77,1)))*(INDEX('Demand Curves'!$C$17:$C$77,MATCH(Y128+Y18,'Demand Curves'!$B$17:$B$77,1)+1)-INDEX('Demand Curves'!$C$17:$C$77,MATCH(Y128+Y18,'Demand Curves'!$B$17:$B$77,1))))))-Y131/IFERROR(INDEX('Demand Curves'!$D:$AC,MATCH("Annual TAM shift multiplier",'Demand Curves'!$A:$A,0),Y$5+1),1))*IFERROR(INDEX('Demand Curves'!$D:$AC,MATCH("Annual TAM shift multiplier",'Demand Curves'!$A:$A,0),Y$5+1),1)*IFERROR(INDEX(Assumptions!$D:$AC,MATCH("Utilization % (fleet ramp) — year-row",Assumptions!$A:$A,0),Y$5+1),1))*(1-INDEX(Assumptions!$B:$B,MATCH("Starlink ground ops % of revenue",Assumptions!$A:$A,0))-INDEX(Assumptions!$B:$B,MATCH("Starlink insurance % of revenue",Assumptions!$A:$A,0))-INDEX(Assumptions!$B:$B,MATCH("Starlink other COGS % of revenue",Assumptions!$A:$A,0)))</f>
        <v>7.4419663962901748</v>
      </c>
      <c r="Z227" s="45" cm="1">
        <f t="array" aca="1" ref="Z227" ca="1">((IF(Z128+Z18&gt;=MAX('Demand Curves'!$B$17:$B$77),MAX('Demand Curves'!$C$17:$C$77),IF(Z128+Z18&lt;=0,0,IF(Z128+Z18&lt;MIN('Demand Curves'!$B$17:$B$77),(Z128+Z18)*INDEX('Demand Curves'!$C$17:$C$77,1)/INDEX('Demand Curves'!$B$17:$B$77,1),INDEX('Demand Curves'!$C$17:$C$77,MATCH(Z128+Z18,'Demand Curves'!$B$17:$B$77,1))+(Z128+Z18-INDEX('Demand Curves'!$B$17:$B$77,MATCH(Z128+Z18,'Demand Curves'!$B$17:$B$77,1)))/(INDEX('Demand Curves'!$B$17:$B$77,MATCH(Z128+Z18,'Demand Curves'!$B$17:$B$77,1)+1)-INDEX('Demand Curves'!$B$17:$B$77,MATCH(Z128+Z18,'Demand Curves'!$B$17:$B$77,1)))*(INDEX('Demand Curves'!$C$17:$C$77,MATCH(Z128+Z18,'Demand Curves'!$B$17:$B$77,1)+1)-INDEX('Demand Curves'!$C$17:$C$77,MATCH(Z128+Z18,'Demand Curves'!$B$17:$B$77,1))))))-Z131/IFERROR(INDEX('Demand Curves'!$D:$AC,MATCH("Annual TAM shift multiplier",'Demand Curves'!$A:$A,0),Z$5+1),1))*IFERROR(INDEX('Demand Curves'!$D:$AC,MATCH("Annual TAM shift multiplier",'Demand Curves'!$A:$A,0),Z$5+1),1)*IFERROR(INDEX(Assumptions!$D:$AC,MATCH("Utilization % (fleet ramp) — year-row",Assumptions!$A:$A,0),Z$5+1),1))*(1-INDEX(Assumptions!$B:$B,MATCH("Starlink ground ops % of revenue",Assumptions!$A:$A,0))-INDEX(Assumptions!$B:$B,MATCH("Starlink insurance % of revenue",Assumptions!$A:$A,0))-INDEX(Assumptions!$B:$B,MATCH("Starlink other COGS % of revenue",Assumptions!$A:$A,0)))</f>
        <v>7.8568560228833526</v>
      </c>
      <c r="AA227" s="45" cm="1">
        <f t="array" aca="1" ref="AA227" ca="1">((IF(AA128+AA18&gt;=MAX('Demand Curves'!$B$17:$B$77),MAX('Demand Curves'!$C$17:$C$77),IF(AA128+AA18&lt;=0,0,IF(AA128+AA18&lt;MIN('Demand Curves'!$B$17:$B$77),(AA128+AA18)*INDEX('Demand Curves'!$C$17:$C$77,1)/INDEX('Demand Curves'!$B$17:$B$77,1),INDEX('Demand Curves'!$C$17:$C$77,MATCH(AA128+AA18,'Demand Curves'!$B$17:$B$77,1))+(AA128+AA18-INDEX('Demand Curves'!$B$17:$B$77,MATCH(AA128+AA18,'Demand Curves'!$B$17:$B$77,1)))/(INDEX('Demand Curves'!$B$17:$B$77,MATCH(AA128+AA18,'Demand Curves'!$B$17:$B$77,1)+1)-INDEX('Demand Curves'!$B$17:$B$77,MATCH(AA128+AA18,'Demand Curves'!$B$17:$B$77,1)))*(INDEX('Demand Curves'!$C$17:$C$77,MATCH(AA128+AA18,'Demand Curves'!$B$17:$B$77,1)+1)-INDEX('Demand Curves'!$C$17:$C$77,MATCH(AA128+AA18,'Demand Curves'!$B$17:$B$77,1))))))-AA131/IFERROR(INDEX('Demand Curves'!$D:$AC,MATCH("Annual TAM shift multiplier",'Demand Curves'!$A:$A,0),AA$5+1),1))*IFERROR(INDEX('Demand Curves'!$D:$AC,MATCH("Annual TAM shift multiplier",'Demand Curves'!$A:$A,0),AA$5+1),1)*IFERROR(INDEX(Assumptions!$D:$AC,MATCH("Utilization % (fleet ramp) — year-row",Assumptions!$A:$A,0),AA$5+1),1))*(1-INDEX(Assumptions!$B:$B,MATCH("Starlink ground ops % of revenue",Assumptions!$A:$A,0))-INDEX(Assumptions!$B:$B,MATCH("Starlink insurance % of revenue",Assumptions!$A:$A,0))-INDEX(Assumptions!$B:$B,MATCH("Starlink other COGS % of revenue",Assumptions!$A:$A,0)))</f>
        <v>8.2948757461591001</v>
      </c>
      <c r="AB227" s="45" cm="1">
        <f t="array" aca="1" ref="AB227" ca="1">((IF(AB128+AB18&gt;=MAX('Demand Curves'!$B$17:$B$77),MAX('Demand Curves'!$C$17:$C$77),IF(AB128+AB18&lt;=0,0,IF(AB128+AB18&lt;MIN('Demand Curves'!$B$17:$B$77),(AB128+AB18)*INDEX('Demand Curves'!$C$17:$C$77,1)/INDEX('Demand Curves'!$B$17:$B$77,1),INDEX('Demand Curves'!$C$17:$C$77,MATCH(AB128+AB18,'Demand Curves'!$B$17:$B$77,1))+(AB128+AB18-INDEX('Demand Curves'!$B$17:$B$77,MATCH(AB128+AB18,'Demand Curves'!$B$17:$B$77,1)))/(INDEX('Demand Curves'!$B$17:$B$77,MATCH(AB128+AB18,'Demand Curves'!$B$17:$B$77,1)+1)-INDEX('Demand Curves'!$B$17:$B$77,MATCH(AB128+AB18,'Demand Curves'!$B$17:$B$77,1)))*(INDEX('Demand Curves'!$C$17:$C$77,MATCH(AB128+AB18,'Demand Curves'!$B$17:$B$77,1)+1)-INDEX('Demand Curves'!$C$17:$C$77,MATCH(AB128+AB18,'Demand Curves'!$B$17:$B$77,1))))))-AB131/IFERROR(INDEX('Demand Curves'!$D:$AC,MATCH("Annual TAM shift multiplier",'Demand Curves'!$A:$A,0),AB$5+1),1))*IFERROR(INDEX('Demand Curves'!$D:$AC,MATCH("Annual TAM shift multiplier",'Demand Curves'!$A:$A,0),AB$5+1),1)*IFERROR(INDEX(Assumptions!$D:$AC,MATCH("Utilization % (fleet ramp) — year-row",Assumptions!$A:$A,0),AB$5+1),1))*(1-INDEX(Assumptions!$B:$B,MATCH("Starlink ground ops % of revenue",Assumptions!$A:$A,0))-INDEX(Assumptions!$B:$B,MATCH("Starlink insurance % of revenue",Assumptions!$A:$A,0))-INDEX(Assumptions!$B:$B,MATCH("Starlink other COGS % of revenue",Assumptions!$A:$A,0)))</f>
        <v>8.7573150690074701</v>
      </c>
      <c r="AC227" s="45" cm="1">
        <f t="array" aca="1" ref="AC227" ca="1">((IF(AC128+AC18&gt;=MAX('Demand Curves'!$B$17:$B$77),MAX('Demand Curves'!$C$17:$C$77),IF(AC128+AC18&lt;=0,0,IF(AC128+AC18&lt;MIN('Demand Curves'!$B$17:$B$77),(AC128+AC18)*INDEX('Demand Curves'!$C$17:$C$77,1)/INDEX('Demand Curves'!$B$17:$B$77,1),INDEX('Demand Curves'!$C$17:$C$77,MATCH(AC128+AC18,'Demand Curves'!$B$17:$B$77,1))+(AC128+AC18-INDEX('Demand Curves'!$B$17:$B$77,MATCH(AC128+AC18,'Demand Curves'!$B$17:$B$77,1)))/(INDEX('Demand Curves'!$B$17:$B$77,MATCH(AC128+AC18,'Demand Curves'!$B$17:$B$77,1)+1)-INDEX('Demand Curves'!$B$17:$B$77,MATCH(AC128+AC18,'Demand Curves'!$B$17:$B$77,1)))*(INDEX('Demand Curves'!$C$17:$C$77,MATCH(AC128+AC18,'Demand Curves'!$B$17:$B$77,1)+1)-INDEX('Demand Curves'!$C$17:$C$77,MATCH(AC128+AC18,'Demand Curves'!$B$17:$B$77,1))))))-AC131/IFERROR(INDEX('Demand Curves'!$D:$AC,MATCH("Annual TAM shift multiplier",'Demand Curves'!$A:$A,0),AC$5+1),1))*IFERROR(INDEX('Demand Curves'!$D:$AC,MATCH("Annual TAM shift multiplier",'Demand Curves'!$A:$A,0),AC$5+1),1)*IFERROR(INDEX(Assumptions!$D:$AC,MATCH("Utilization % (fleet ramp) — year-row",Assumptions!$A:$A,0),AC$5+1),1))*(1-INDEX(Assumptions!$B:$B,MATCH("Starlink ground ops % of revenue",Assumptions!$A:$A,0))-INDEX(Assumptions!$B:$B,MATCH("Starlink insurance % of revenue",Assumptions!$A:$A,0))-INDEX(Assumptions!$B:$B,MATCH("Starlink other COGS % of revenue",Assumptions!$A:$A,0)))</f>
        <v>9.2455353841046328</v>
      </c>
    </row>
    <row r="228" spans="1:29" x14ac:dyDescent="0.2">
      <c r="A228" s="18" t="s">
        <v>936</v>
      </c>
      <c r="D228" s="46" cm="1">
        <f t="array" aca="1" ref="D228" ca="1">IFERROR(IRR(IF(_xlfn.SEQUENCE(1,INDEX(Assumptions!$B:$B,MATCH("MFW-IRR — Starlink economic life N (years)",Assumptions!$A:$A,0))+1)=1,-D226,D227)),-1)</f>
        <v>0.75798591378855962</v>
      </c>
      <c r="E228" s="46" cm="1">
        <f t="array" aca="1" ref="E228" ca="1">IFERROR(IRR(IF(_xlfn.SEQUENCE(1,INDEX(Assumptions!$B:$B,MATCH("MFW-IRR — Starlink economic life N (years)",Assumptions!$A:$A,0))+1)=1,-E226,E227)),-1)</f>
        <v>1.1249976298633002</v>
      </c>
      <c r="F228" s="46" cm="1">
        <f t="array" aca="1" ref="F228" ca="1">IFERROR(IRR(IF(_xlfn.SEQUENCE(1,INDEX(Assumptions!$B:$B,MATCH("MFW-IRR — Starlink economic life N (years)",Assumptions!$A:$A,0))+1)=1,-F226,F227)),-1)</f>
        <v>1.5513078205960431</v>
      </c>
      <c r="G228" s="46" cm="1">
        <f t="array" aca="1" ref="G228" ca="1">IFERROR(IRR(IF(_xlfn.SEQUENCE(1,INDEX(Assumptions!$B:$B,MATCH("MFW-IRR — Starlink economic life N (years)",Assumptions!$A:$A,0))+1)=1,-G226,G227)),-1)</f>
        <v>2.0519120787340794</v>
      </c>
      <c r="H228" s="46" cm="1">
        <f t="array" aca="1" ref="H228" ca="1">IFERROR(IRR(IF(_xlfn.SEQUENCE(1,INDEX(Assumptions!$B:$B,MATCH("MFW-IRR — Starlink economic life N (years)",Assumptions!$A:$A,0))+1)=1,-H226,H227)),-1)</f>
        <v>2.64179619684543</v>
      </c>
      <c r="I228" s="46" cm="1">
        <f t="array" aca="1" ref="I228" ca="1">IFERROR(IRR(IF(_xlfn.SEQUENCE(1,INDEX(Assumptions!$B:$B,MATCH("MFW-IRR — Starlink economic life N (years)",Assumptions!$A:$A,0))+1)=1,-I226,I227)),-1)</f>
        <v>2.9456301753579592</v>
      </c>
      <c r="J228" s="46" cm="1">
        <f t="array" aca="1" ref="J228" ca="1">IFERROR(IRR(IF(_xlfn.SEQUENCE(1,INDEX(Assumptions!$B:$B,MATCH("MFW-IRR — Starlink economic life N (years)",Assumptions!$A:$A,0))+1)=1,-J226,J227)),-1)</f>
        <v>3.2834107350745363</v>
      </c>
      <c r="K228" s="46" cm="1">
        <f t="array" aca="1" ref="K228" ca="1">IFERROR(IRR(IF(_xlfn.SEQUENCE(1,INDEX(Assumptions!$B:$B,MATCH("MFW-IRR — Starlink economic life N (years)",Assumptions!$A:$A,0))+1)=1,-K226,K227)),-1)</f>
        <v>3.6590176000567496</v>
      </c>
      <c r="L228" s="46" cm="1">
        <f t="array" aca="1" ref="L228" ca="1">IFERROR(IRR(IF(_xlfn.SEQUENCE(1,INDEX(Assumptions!$B:$B,MATCH("MFW-IRR — Starlink economic life N (years)",Assumptions!$A:$A,0))+1)=1,-L226,L227)),-1)</f>
        <v>4.0767513003743892</v>
      </c>
      <c r="M228" s="46" cm="1">
        <f t="array" aca="1" ref="M228" ca="1">IFERROR(IRR(IF(_xlfn.SEQUENCE(1,INDEX(Assumptions!$B:$B,MATCH("MFW-IRR — Starlink economic life N (years)",Assumptions!$A:$A,0))+1)=1,-M226,M227)),-1)</f>
        <v>4.54138105691906</v>
      </c>
      <c r="N228" s="46" cm="1">
        <f t="array" aca="1" ref="N228" ca="1">IFERROR(IRR(IF(_xlfn.SEQUENCE(1,INDEX(Assumptions!$B:$B,MATCH("MFW-IRR — Starlink economic life N (years)",Assumptions!$A:$A,0))+1)=1,-N226,N227)),-1)</f>
        <v>4.9264922743266695</v>
      </c>
      <c r="O228" s="46" cm="1">
        <f t="array" aca="1" ref="O228" ca="1">IFERROR(IRR(IF(_xlfn.SEQUENCE(1,INDEX(Assumptions!$B:$B,MATCH("MFW-IRR — Starlink economic life N (years)",Assumptions!$A:$A,0))+1)=1,-O226,O227)),-1)</f>
        <v>5.2211419752967601</v>
      </c>
      <c r="P228" s="46" cm="1">
        <f t="array" aca="1" ref="P228" ca="1">IFERROR(IRR(IF(_xlfn.SEQUENCE(1,INDEX(Assumptions!$B:$B,MATCH("MFW-IRR — Starlink economic life N (years)",Assumptions!$A:$A,0))+1)=1,-P226,P227)),-1)</f>
        <v>5.5313417345919147</v>
      </c>
      <c r="Q228" s="46" cm="1">
        <f t="array" aca="1" ref="Q228" ca="1">IFERROR(IRR(IF(_xlfn.SEQUENCE(1,INDEX(Assumptions!$B:$B,MATCH("MFW-IRR — Starlink economic life N (years)",Assumptions!$A:$A,0))+1)=1,-Q226,Q227)),-1)</f>
        <v>5.8579862654602284</v>
      </c>
      <c r="R228" s="46" cm="1">
        <f t="array" aca="1" ref="R228" ca="1">IFERROR(IRR(IF(_xlfn.SEQUENCE(1,INDEX(Assumptions!$B:$B,MATCH("MFW-IRR — Starlink economic life N (years)",Assumptions!$A:$A,0))+1)=1,-R226,R227)),-1)</f>
        <v>6.202020785725133</v>
      </c>
      <c r="S228" s="46" cm="1">
        <f t="array" aca="1" ref="S228" ca="1">IFERROR(IRR(IF(_xlfn.SEQUENCE(1,INDEX(Assumptions!$B:$B,MATCH("MFW-IRR — Starlink economic life N (years)",Assumptions!$A:$A,0))+1)=1,-S226,S227)),-1)</f>
        <v>6.5644435702625534</v>
      </c>
      <c r="T228" s="46" cm="1">
        <f t="array" aca="1" ref="T228" ca="1">IFERROR(IRR(IF(_xlfn.SEQUENCE(1,INDEX(Assumptions!$B:$B,MATCH("MFW-IRR — Starlink economic life N (years)",Assumptions!$A:$A,0))+1)=1,-T226,T227)),-1)</f>
        <v>6.9463086805172782</v>
      </c>
      <c r="U228" s="46" cm="1">
        <f t="array" aca="1" ref="U228" ca="1">IFERROR(IRR(IF(_xlfn.SEQUENCE(1,INDEX(Assumptions!$B:$B,MATCH("MFW-IRR — Starlink economic life N (years)",Assumptions!$A:$A,0))+1)=1,-U226,U227)),-1)</f>
        <v>7.3487288784537643</v>
      </c>
      <c r="V228" s="46" cm="1">
        <f t="array" aca="1" ref="V228" ca="1">IFERROR(IRR(IF(_xlfn.SEQUENCE(1,INDEX(Assumptions!$B:$B,MATCH("MFW-IRR — Starlink economic life N (years)",Assumptions!$A:$A,0))+1)=1,-V226,V227)),-1)</f>
        <v>7.7728787325278184</v>
      </c>
      <c r="W228" s="46" cm="1">
        <f t="array" aca="1" ref="W228" ca="1">IFERROR(IRR(IF(_xlfn.SEQUENCE(1,INDEX(Assumptions!$B:$B,MATCH("MFW-IRR — Starlink economic life N (years)",Assumptions!$A:$A,0))+1)=1,-W226,W227)),-1)</f>
        <v>8.2199979236053196</v>
      </c>
      <c r="X228" s="46" cm="1">
        <f t="array" aca="1" ref="X228" ca="1">IFERROR(IRR(IF(_xlfn.SEQUENCE(1,INDEX(Assumptions!$B:$B,MATCH("MFW-IRR — Starlink economic life N (years)",Assumptions!$A:$A,0))+1)=1,-X226,X227)),-1)</f>
        <v>8.691394759214365</v>
      </c>
      <c r="Y228" s="46" cm="1">
        <f t="array" aca="1" ref="Y228" ca="1">IFERROR(IRR(IF(_xlfn.SEQUENCE(1,INDEX(Assumptions!$B:$B,MATCH("MFW-IRR — Starlink economic life N (years)",Assumptions!$A:$A,0))+1)=1,-Y226,Y227)),-1)</f>
        <v>9.1884499050770962</v>
      </c>
      <c r="Z228" s="46" cm="1">
        <f t="array" aca="1" ref="Z228" ca="1">IFERROR(IRR(IF(_xlfn.SEQUENCE(1,INDEX(Assumptions!$B:$B,MATCH("MFW-IRR — Starlink economic life N (years)",Assumptions!$A:$A,0))+1)=1,-Z226,Z227)),-1)</f>
        <v>9.7126203435082186</v>
      </c>
      <c r="AA228" s="46" cm="1">
        <f t="array" aca="1" ref="AA228" ca="1">IFERROR(IRR(IF(_xlfn.SEQUENCE(1,INDEX(Assumptions!$B:$B,MATCH("MFW-IRR — Starlink economic life N (years)",Assumptions!$A:$A,0))+1)=1,-AA226,AA227)),-1)</f>
        <v>10.265443568974941</v>
      </c>
      <c r="AB228" s="46" cm="1">
        <f t="array" aca="1" ref="AB228" ca="1">IFERROR(IRR(IF(_xlfn.SEQUENCE(1,INDEX(Assumptions!$B:$B,MATCH("MFW-IRR — Starlink economic life N (years)",Assumptions!$A:$A,0))+1)=1,-AB226,AB227)),-1)</f>
        <v>10.848542031878072</v>
      </c>
      <c r="AC228" s="46" cm="1">
        <f t="array" aca="1" ref="AC228" ca="1">IFERROR(IRR(IF(_xlfn.SEQUENCE(1,INDEX(Assumptions!$B:$B,MATCH("MFW-IRR — Starlink economic life N (years)",Assumptions!$A:$A,0))+1)=1,-AC226,AC227)),-1)</f>
        <v>11.463627842427657</v>
      </c>
    </row>
    <row r="229" spans="1:29" x14ac:dyDescent="0.2">
      <c r="A229" s="18" t="s">
        <v>937</v>
      </c>
      <c r="D229" s="46" cm="1">
        <f t="array" aca="1" ref="D229" ca="1">IFERROR(INDEX($D228:$AC228,1,D$5+1+IFERROR(INDEX(Assumptions!$B:$B,MATCH("Forward IRR look-ahead horizon (years)",Assumptions!$A:$A,0)),2)),-1)</f>
        <v>1.5513078205960431</v>
      </c>
      <c r="E229" s="46" cm="1">
        <f t="array" aca="1" ref="E229" ca="1">IFERROR(INDEX($D228:$AC228,1,E$5+1+IFERROR(INDEX(Assumptions!$B:$B,MATCH("Forward IRR look-ahead horizon (years)",Assumptions!$A:$A,0)),2)),-1)</f>
        <v>2.0519120787340794</v>
      </c>
      <c r="F229" s="46" cm="1">
        <f t="array" aca="1" ref="F229" ca="1">IFERROR(INDEX($D228:$AC228,1,F$5+1+IFERROR(INDEX(Assumptions!$B:$B,MATCH("Forward IRR look-ahead horizon (years)",Assumptions!$A:$A,0)),2)),-1)</f>
        <v>2.64179619684543</v>
      </c>
      <c r="G229" s="46" cm="1">
        <f t="array" aca="1" ref="G229" ca="1">IFERROR(INDEX($D228:$AC228,1,G$5+1+IFERROR(INDEX(Assumptions!$B:$B,MATCH("Forward IRR look-ahead horizon (years)",Assumptions!$A:$A,0)),2)),-1)</f>
        <v>2.9456301753579592</v>
      </c>
      <c r="H229" s="46" cm="1">
        <f t="array" aca="1" ref="H229" ca="1">IFERROR(INDEX($D228:$AC228,1,H$5+1+IFERROR(INDEX(Assumptions!$B:$B,MATCH("Forward IRR look-ahead horizon (years)",Assumptions!$A:$A,0)),2)),-1)</f>
        <v>3.2834107350745363</v>
      </c>
      <c r="I229" s="46" cm="1">
        <f t="array" aca="1" ref="I229" ca="1">IFERROR(INDEX($D228:$AC228,1,I$5+1+IFERROR(INDEX(Assumptions!$B:$B,MATCH("Forward IRR look-ahead horizon (years)",Assumptions!$A:$A,0)),2)),-1)</f>
        <v>3.6590176000567496</v>
      </c>
      <c r="J229" s="46" cm="1">
        <f t="array" aca="1" ref="J229" ca="1">IFERROR(INDEX($D228:$AC228,1,J$5+1+IFERROR(INDEX(Assumptions!$B:$B,MATCH("Forward IRR look-ahead horizon (years)",Assumptions!$A:$A,0)),2)),-1)</f>
        <v>4.0767513003743892</v>
      </c>
      <c r="K229" s="46" cm="1">
        <f t="array" aca="1" ref="K229" ca="1">IFERROR(INDEX($D228:$AC228,1,K$5+1+IFERROR(INDEX(Assumptions!$B:$B,MATCH("Forward IRR look-ahead horizon (years)",Assumptions!$A:$A,0)),2)),-1)</f>
        <v>4.54138105691906</v>
      </c>
      <c r="L229" s="46" cm="1">
        <f t="array" aca="1" ref="L229" ca="1">IFERROR(INDEX($D228:$AC228,1,L$5+1+IFERROR(INDEX(Assumptions!$B:$B,MATCH("Forward IRR look-ahead horizon (years)",Assumptions!$A:$A,0)),2)),-1)</f>
        <v>4.9264922743266695</v>
      </c>
      <c r="M229" s="46" cm="1">
        <f t="array" aca="1" ref="M229" ca="1">IFERROR(INDEX($D228:$AC228,1,M$5+1+IFERROR(INDEX(Assumptions!$B:$B,MATCH("Forward IRR look-ahead horizon (years)",Assumptions!$A:$A,0)),2)),-1)</f>
        <v>5.2211419752967601</v>
      </c>
      <c r="N229" s="46" cm="1">
        <f t="array" aca="1" ref="N229" ca="1">IFERROR(INDEX($D228:$AC228,1,N$5+1+IFERROR(INDEX(Assumptions!$B:$B,MATCH("Forward IRR look-ahead horizon (years)",Assumptions!$A:$A,0)),2)),-1)</f>
        <v>5.5313417345919147</v>
      </c>
      <c r="O229" s="46" cm="1">
        <f t="array" aca="1" ref="O229" ca="1">IFERROR(INDEX($D228:$AC228,1,O$5+1+IFERROR(INDEX(Assumptions!$B:$B,MATCH("Forward IRR look-ahead horizon (years)",Assumptions!$A:$A,0)),2)),-1)</f>
        <v>5.8579862654602284</v>
      </c>
      <c r="P229" s="46" cm="1">
        <f t="array" aca="1" ref="P229" ca="1">IFERROR(INDEX($D228:$AC228,1,P$5+1+IFERROR(INDEX(Assumptions!$B:$B,MATCH("Forward IRR look-ahead horizon (years)",Assumptions!$A:$A,0)),2)),-1)</f>
        <v>6.202020785725133</v>
      </c>
      <c r="Q229" s="46" cm="1">
        <f t="array" aca="1" ref="Q229" ca="1">IFERROR(INDEX($D228:$AC228,1,Q$5+1+IFERROR(INDEX(Assumptions!$B:$B,MATCH("Forward IRR look-ahead horizon (years)",Assumptions!$A:$A,0)),2)),-1)</f>
        <v>6.5644435702625534</v>
      </c>
      <c r="R229" s="46" cm="1">
        <f t="array" aca="1" ref="R229" ca="1">IFERROR(INDEX($D228:$AC228,1,R$5+1+IFERROR(INDEX(Assumptions!$B:$B,MATCH("Forward IRR look-ahead horizon (years)",Assumptions!$A:$A,0)),2)),-1)</f>
        <v>6.9463086805172782</v>
      </c>
      <c r="S229" s="46" cm="1">
        <f t="array" aca="1" ref="S229" ca="1">IFERROR(INDEX($D228:$AC228,1,S$5+1+IFERROR(INDEX(Assumptions!$B:$B,MATCH("Forward IRR look-ahead horizon (years)",Assumptions!$A:$A,0)),2)),-1)</f>
        <v>7.3487288784537643</v>
      </c>
      <c r="T229" s="46" cm="1">
        <f t="array" aca="1" ref="T229" ca="1">IFERROR(INDEX($D228:$AC228,1,T$5+1+IFERROR(INDEX(Assumptions!$B:$B,MATCH("Forward IRR look-ahead horizon (years)",Assumptions!$A:$A,0)),2)),-1)</f>
        <v>7.7728787325278184</v>
      </c>
      <c r="U229" s="46" cm="1">
        <f t="array" aca="1" ref="U229" ca="1">IFERROR(INDEX($D228:$AC228,1,U$5+1+IFERROR(INDEX(Assumptions!$B:$B,MATCH("Forward IRR look-ahead horizon (years)",Assumptions!$A:$A,0)),2)),-1)</f>
        <v>8.2199979236053196</v>
      </c>
      <c r="V229" s="46" cm="1">
        <f t="array" aca="1" ref="V229" ca="1">IFERROR(INDEX($D228:$AC228,1,V$5+1+IFERROR(INDEX(Assumptions!$B:$B,MATCH("Forward IRR look-ahead horizon (years)",Assumptions!$A:$A,0)),2)),-1)</f>
        <v>8.691394759214365</v>
      </c>
      <c r="W229" s="46" cm="1">
        <f t="array" aca="1" ref="W229" ca="1">IFERROR(INDEX($D228:$AC228,1,W$5+1+IFERROR(INDEX(Assumptions!$B:$B,MATCH("Forward IRR look-ahead horizon (years)",Assumptions!$A:$A,0)),2)),-1)</f>
        <v>9.1884499050770962</v>
      </c>
      <c r="X229" s="46" cm="1">
        <f t="array" aca="1" ref="X229" ca="1">IFERROR(INDEX($D228:$AC228,1,X$5+1+IFERROR(INDEX(Assumptions!$B:$B,MATCH("Forward IRR look-ahead horizon (years)",Assumptions!$A:$A,0)),2)),-1)</f>
        <v>9.7126203435082186</v>
      </c>
      <c r="Y229" s="46" cm="1">
        <f t="array" aca="1" ref="Y229" ca="1">IFERROR(INDEX($D228:$AC228,1,Y$5+1+IFERROR(INDEX(Assumptions!$B:$B,MATCH("Forward IRR look-ahead horizon (years)",Assumptions!$A:$A,0)),2)),-1)</f>
        <v>10.265443568974941</v>
      </c>
      <c r="Z229" s="46" cm="1">
        <f t="array" aca="1" ref="Z229" ca="1">IFERROR(INDEX($D228:$AC228,1,Z$5+1+IFERROR(INDEX(Assumptions!$B:$B,MATCH("Forward IRR look-ahead horizon (years)",Assumptions!$A:$A,0)),2)),-1)</f>
        <v>10.848542031878072</v>
      </c>
      <c r="AA229" s="46" cm="1">
        <f t="array" aca="1" ref="AA229" ca="1">IFERROR(INDEX($D228:$AC228,1,AA$5+1+IFERROR(INDEX(Assumptions!$B:$B,MATCH("Forward IRR look-ahead horizon (years)",Assumptions!$A:$A,0)),2)),-1)</f>
        <v>11.463627842427657</v>
      </c>
      <c r="AB229" s="46" cm="1">
        <f t="array" ref="AB229">IFERROR(INDEX($D228:$AC228,1,AB$5+1+IFERROR(INDEX(Assumptions!$B:$B,MATCH("Forward IRR look-ahead horizon (years)",Assumptions!$A:$A,0)),2)),-1)</f>
        <v>-1</v>
      </c>
      <c r="AC229" s="46" cm="1">
        <f t="array" ref="AC229">IFERROR(INDEX($D228:$AC228,1,AC$5+1+IFERROR(INDEX(Assumptions!$B:$B,MATCH("Forward IRR look-ahead horizon (years)",Assumptions!$A:$A,0)),2)),-1)</f>
        <v>-1</v>
      </c>
    </row>
    <row r="230" spans="1:29" x14ac:dyDescent="0.2">
      <c r="A230" s="18" t="s">
        <v>938</v>
      </c>
      <c r="D230" s="46">
        <f ca="1">(1-INDEX(Assumptions!$B:$B,MATCH("Forward IRR weight w (Blended = (1-w)·Spot + w·Forward)",Assumptions!$A:$A,0)))*D228+INDEX(Assumptions!$B:$B,MATCH("Forward IRR weight w (Blended = (1-w)·Spot + w·Forward)",Assumptions!$A:$A,0))*D229</f>
        <v>1.3133112485537981</v>
      </c>
      <c r="E230" s="46">
        <f ca="1">(1-INDEX(Assumptions!$B:$B,MATCH("Forward IRR weight w (Blended = (1-w)·Spot + w·Forward)",Assumptions!$A:$A,0)))*E228+INDEX(Assumptions!$B:$B,MATCH("Forward IRR weight w (Blended = (1-w)·Spot + w·Forward)",Assumptions!$A:$A,0))*E229</f>
        <v>1.7738377440728457</v>
      </c>
      <c r="F230" s="46">
        <f ca="1">(1-INDEX(Assumptions!$B:$B,MATCH("Forward IRR weight w (Blended = (1-w)·Spot + w·Forward)",Assumptions!$A:$A,0)))*F228+INDEX(Assumptions!$B:$B,MATCH("Forward IRR weight w (Blended = (1-w)·Spot + w·Forward)",Assumptions!$A:$A,0))*F229</f>
        <v>2.3146496839706137</v>
      </c>
      <c r="G230" s="46">
        <f ca="1">(1-INDEX(Assumptions!$B:$B,MATCH("Forward IRR weight w (Blended = (1-w)·Spot + w·Forward)",Assumptions!$A:$A,0)))*G228+INDEX(Assumptions!$B:$B,MATCH("Forward IRR weight w (Blended = (1-w)·Spot + w·Forward)",Assumptions!$A:$A,0))*G229</f>
        <v>2.6775147463707953</v>
      </c>
      <c r="H230" s="46">
        <f ca="1">(1-INDEX(Assumptions!$B:$B,MATCH("Forward IRR weight w (Blended = (1-w)·Spot + w·Forward)",Assumptions!$A:$A,0)))*H228+INDEX(Assumptions!$B:$B,MATCH("Forward IRR weight w (Blended = (1-w)·Spot + w·Forward)",Assumptions!$A:$A,0))*H229</f>
        <v>3.0909263736058041</v>
      </c>
      <c r="I230" s="46">
        <f ca="1">(1-INDEX(Assumptions!$B:$B,MATCH("Forward IRR weight w (Blended = (1-w)·Spot + w·Forward)",Assumptions!$A:$A,0)))*I228+INDEX(Assumptions!$B:$B,MATCH("Forward IRR weight w (Blended = (1-w)·Spot + w·Forward)",Assumptions!$A:$A,0))*I229</f>
        <v>3.4450013726471127</v>
      </c>
      <c r="J230" s="46">
        <f ca="1">(1-INDEX(Assumptions!$B:$B,MATCH("Forward IRR weight w (Blended = (1-w)·Spot + w·Forward)",Assumptions!$A:$A,0)))*J228+INDEX(Assumptions!$B:$B,MATCH("Forward IRR weight w (Blended = (1-w)·Spot + w·Forward)",Assumptions!$A:$A,0))*J229</f>
        <v>3.838749130784433</v>
      </c>
      <c r="K230" s="46">
        <f ca="1">(1-INDEX(Assumptions!$B:$B,MATCH("Forward IRR weight w (Blended = (1-w)·Spot + w·Forward)",Assumptions!$A:$A,0)))*K228+INDEX(Assumptions!$B:$B,MATCH("Forward IRR weight w (Blended = (1-w)·Spot + w·Forward)",Assumptions!$A:$A,0))*K229</f>
        <v>4.2766720198603672</v>
      </c>
      <c r="L230" s="46">
        <f ca="1">(1-INDEX(Assumptions!$B:$B,MATCH("Forward IRR weight w (Blended = (1-w)·Spot + w·Forward)",Assumptions!$A:$A,0)))*L228+INDEX(Assumptions!$B:$B,MATCH("Forward IRR weight w (Blended = (1-w)·Spot + w·Forward)",Assumptions!$A:$A,0))*L229</f>
        <v>4.6715699821409853</v>
      </c>
      <c r="M230" s="46">
        <f ca="1">(1-INDEX(Assumptions!$B:$B,MATCH("Forward IRR weight w (Blended = (1-w)·Spot + w·Forward)",Assumptions!$A:$A,0)))*M228+INDEX(Assumptions!$B:$B,MATCH("Forward IRR weight w (Blended = (1-w)·Spot + w·Forward)",Assumptions!$A:$A,0))*M229</f>
        <v>5.0172136997834498</v>
      </c>
      <c r="N230" s="46">
        <f ca="1">(1-INDEX(Assumptions!$B:$B,MATCH("Forward IRR weight w (Blended = (1-w)·Spot + w·Forward)",Assumptions!$A:$A,0)))*N228+INDEX(Assumptions!$B:$B,MATCH("Forward IRR weight w (Blended = (1-w)·Spot + w·Forward)",Assumptions!$A:$A,0))*N229</f>
        <v>5.3498868965123414</v>
      </c>
      <c r="O230" s="46">
        <f ca="1">(1-INDEX(Assumptions!$B:$B,MATCH("Forward IRR weight w (Blended = (1-w)·Spot + w·Forward)",Assumptions!$A:$A,0)))*O228+INDEX(Assumptions!$B:$B,MATCH("Forward IRR weight w (Blended = (1-w)·Spot + w·Forward)",Assumptions!$A:$A,0))*O229</f>
        <v>5.6669329784111877</v>
      </c>
      <c r="P230" s="46">
        <f ca="1">(1-INDEX(Assumptions!$B:$B,MATCH("Forward IRR weight w (Blended = (1-w)·Spot + w·Forward)",Assumptions!$A:$A,0)))*P228+INDEX(Assumptions!$B:$B,MATCH("Forward IRR weight w (Blended = (1-w)·Spot + w·Forward)",Assumptions!$A:$A,0))*P229</f>
        <v>6.0008170703851675</v>
      </c>
      <c r="Q230" s="46">
        <f ca="1">(1-INDEX(Assumptions!$B:$B,MATCH("Forward IRR weight w (Blended = (1-w)·Spot + w·Forward)",Assumptions!$A:$A,0)))*Q228+INDEX(Assumptions!$B:$B,MATCH("Forward IRR weight w (Blended = (1-w)·Spot + w·Forward)",Assumptions!$A:$A,0))*Q229</f>
        <v>6.3525063788218556</v>
      </c>
      <c r="R230" s="46">
        <f ca="1">(1-INDEX(Assumptions!$B:$B,MATCH("Forward IRR weight w (Blended = (1-w)·Spot + w·Forward)",Assumptions!$A:$A,0)))*R228+INDEX(Assumptions!$B:$B,MATCH("Forward IRR weight w (Blended = (1-w)·Spot + w·Forward)",Assumptions!$A:$A,0))*R229</f>
        <v>6.7230223120796344</v>
      </c>
      <c r="S230" s="46">
        <f ca="1">(1-INDEX(Assumptions!$B:$B,MATCH("Forward IRR weight w (Blended = (1-w)·Spot + w·Forward)",Assumptions!$A:$A,0)))*S228+INDEX(Assumptions!$B:$B,MATCH("Forward IRR weight w (Blended = (1-w)·Spot + w·Forward)",Assumptions!$A:$A,0))*S229</f>
        <v>7.113443285996401</v>
      </c>
      <c r="T230" s="46">
        <f ca="1">(1-INDEX(Assumptions!$B:$B,MATCH("Forward IRR weight w (Blended = (1-w)·Spot + w·Forward)",Assumptions!$A:$A,0)))*T228+INDEX(Assumptions!$B:$B,MATCH("Forward IRR weight w (Blended = (1-w)·Spot + w·Forward)",Assumptions!$A:$A,0))*T229</f>
        <v>7.5249077169246554</v>
      </c>
      <c r="U230" s="46">
        <f ca="1">(1-INDEX(Assumptions!$B:$B,MATCH("Forward IRR weight w (Blended = (1-w)·Spot + w·Forward)",Assumptions!$A:$A,0)))*U228+INDEX(Assumptions!$B:$B,MATCH("Forward IRR weight w (Blended = (1-w)·Spot + w·Forward)",Assumptions!$A:$A,0))*U229</f>
        <v>7.9586172100598525</v>
      </c>
      <c r="V230" s="46">
        <f ca="1">(1-INDEX(Assumptions!$B:$B,MATCH("Forward IRR weight w (Blended = (1-w)·Spot + w·Forward)",Assumptions!$A:$A,0)))*V228+INDEX(Assumptions!$B:$B,MATCH("Forward IRR weight w (Blended = (1-w)·Spot + w·Forward)",Assumptions!$A:$A,0))*V229</f>
        <v>8.415839951208401</v>
      </c>
      <c r="W230" s="46">
        <f ca="1">(1-INDEX(Assumptions!$B:$B,MATCH("Forward IRR weight w (Blended = (1-w)·Spot + w·Forward)",Assumptions!$A:$A,0)))*W228+INDEX(Assumptions!$B:$B,MATCH("Forward IRR weight w (Blended = (1-w)·Spot + w·Forward)",Assumptions!$A:$A,0))*W229</f>
        <v>8.8979143106355636</v>
      </c>
      <c r="X230" s="46">
        <f ca="1">(1-INDEX(Assumptions!$B:$B,MATCH("Forward IRR weight w (Blended = (1-w)·Spot + w·Forward)",Assumptions!$A:$A,0)))*X228+INDEX(Assumptions!$B:$B,MATCH("Forward IRR weight w (Blended = (1-w)·Spot + w·Forward)",Assumptions!$A:$A,0))*X229</f>
        <v>9.4062526682200627</v>
      </c>
      <c r="Y230" s="46">
        <f ca="1">(1-INDEX(Assumptions!$B:$B,MATCH("Forward IRR weight w (Blended = (1-w)·Spot + w·Forward)",Assumptions!$A:$A,0)))*Y228+INDEX(Assumptions!$B:$B,MATCH("Forward IRR weight w (Blended = (1-w)·Spot + w·Forward)",Assumptions!$A:$A,0))*Y229</f>
        <v>9.9423454698055878</v>
      </c>
      <c r="Z230" s="46">
        <f ca="1">(1-INDEX(Assumptions!$B:$B,MATCH("Forward IRR weight w (Blended = (1-w)·Spot + w·Forward)",Assumptions!$A:$A,0)))*Z228+INDEX(Assumptions!$B:$B,MATCH("Forward IRR weight w (Blended = (1-w)·Spot + w·Forward)",Assumptions!$A:$A,0))*Z229</f>
        <v>10.507765525367116</v>
      </c>
      <c r="AA230" s="46">
        <f ca="1">(1-INDEX(Assumptions!$B:$B,MATCH("Forward IRR weight w (Blended = (1-w)·Spot + w·Forward)",Assumptions!$A:$A,0)))*AA228+INDEX(Assumptions!$B:$B,MATCH("Forward IRR weight w (Blended = (1-w)·Spot + w·Forward)",Assumptions!$A:$A,0))*AA229</f>
        <v>11.104172560391842</v>
      </c>
      <c r="AB230" s="46">
        <f ca="1">(1-INDEX(Assumptions!$B:$B,MATCH("Forward IRR weight w (Blended = (1-w)·Spot + w·Forward)",Assumptions!$A:$A,0)))*AB228+INDEX(Assumptions!$B:$B,MATCH("Forward IRR weight w (Blended = (1-w)·Spot + w·Forward)",Assumptions!$A:$A,0))*AB229</f>
        <v>2.5545626095634217</v>
      </c>
      <c r="AC230" s="46">
        <f ca="1">(1-INDEX(Assumptions!$B:$B,MATCH("Forward IRR weight w (Blended = (1-w)·Spot + w·Forward)",Assumptions!$A:$A,0)))*AC228+INDEX(Assumptions!$B:$B,MATCH("Forward IRR weight w (Blended = (1-w)·Spot + w·Forward)",Assumptions!$A:$A,0))*AC229</f>
        <v>2.7390883527282979</v>
      </c>
    </row>
    <row r="231" spans="1:29" x14ac:dyDescent="0.2">
      <c r="A231" s="18" t="s">
        <v>1643</v>
      </c>
      <c r="D231" s="31">
        <f ca="1">IFERROR(D120*1000000/D118,0)</f>
        <v>11721.387126187828</v>
      </c>
      <c r="E231" s="31">
        <f t="shared" ref="E231:AC231" ca="1" si="40">IFERROR(E120*1000000/E118,0)</f>
        <v>13444.115840063869</v>
      </c>
      <c r="F231" s="31">
        <f t="shared" ca="1" si="40"/>
        <v>16047.304506477538</v>
      </c>
      <c r="G231" s="31">
        <f t="shared" ca="1" si="40"/>
        <v>20942.85700930253</v>
      </c>
      <c r="H231" s="31">
        <f t="shared" ca="1" si="40"/>
        <v>36289.681421352216</v>
      </c>
      <c r="I231" s="31">
        <f t="shared" ca="1" si="40"/>
        <v>0</v>
      </c>
      <c r="J231" s="31">
        <f t="shared" ca="1" si="40"/>
        <v>0</v>
      </c>
      <c r="K231" s="31">
        <f t="shared" ca="1" si="40"/>
        <v>0</v>
      </c>
      <c r="L231" s="31">
        <f t="shared" ca="1" si="40"/>
        <v>0</v>
      </c>
      <c r="M231" s="31">
        <f t="shared" ca="1" si="40"/>
        <v>0</v>
      </c>
      <c r="N231" s="31">
        <f t="shared" ca="1" si="40"/>
        <v>0</v>
      </c>
      <c r="O231" s="31">
        <f t="shared" ca="1" si="40"/>
        <v>0</v>
      </c>
      <c r="P231" s="31">
        <f t="shared" ca="1" si="40"/>
        <v>0</v>
      </c>
      <c r="Q231" s="31">
        <f t="shared" ca="1" si="40"/>
        <v>0</v>
      </c>
      <c r="R231" s="31">
        <f t="shared" ca="1" si="40"/>
        <v>0</v>
      </c>
      <c r="S231" s="31">
        <f t="shared" ca="1" si="40"/>
        <v>0</v>
      </c>
      <c r="T231" s="31">
        <f t="shared" ca="1" si="40"/>
        <v>0</v>
      </c>
      <c r="U231" s="31">
        <f t="shared" ca="1" si="40"/>
        <v>0</v>
      </c>
      <c r="V231" s="31">
        <f t="shared" ca="1" si="40"/>
        <v>0</v>
      </c>
      <c r="W231" s="31">
        <f t="shared" ca="1" si="40"/>
        <v>0</v>
      </c>
      <c r="X231" s="31">
        <f t="shared" ca="1" si="40"/>
        <v>0</v>
      </c>
      <c r="Y231" s="31">
        <f t="shared" ca="1" si="40"/>
        <v>0</v>
      </c>
      <c r="Z231" s="31">
        <f t="shared" ca="1" si="40"/>
        <v>0</v>
      </c>
      <c r="AA231" s="31">
        <f t="shared" ca="1" si="40"/>
        <v>0</v>
      </c>
      <c r="AB231" s="31">
        <f t="shared" ca="1" si="40"/>
        <v>0</v>
      </c>
      <c r="AC231" s="31">
        <f t="shared" ca="1" si="40"/>
        <v>0</v>
      </c>
    </row>
    <row r="232" spans="1:29" x14ac:dyDescent="0.2">
      <c r="A232" s="18" t="s">
        <v>1644</v>
      </c>
      <c r="D232" s="31">
        <f ca="1">IFERROR(D131*1000000/D128,0)</f>
        <v>1095645.9671663099</v>
      </c>
      <c r="E232" s="31">
        <f t="shared" ref="E232:AC232" ca="1" si="41">IFERROR(E131*1000000/E128,0)</f>
        <v>1156728.2298358316</v>
      </c>
      <c r="F232" s="31">
        <f t="shared" ca="1" si="41"/>
        <v>1221215.8286491791</v>
      </c>
      <c r="G232" s="31">
        <f t="shared" ca="1" si="41"/>
        <v>1289298.611096371</v>
      </c>
      <c r="H232" s="31">
        <f t="shared" ca="1" si="41"/>
        <v>1361177.0086649933</v>
      </c>
      <c r="I232" s="31">
        <f t="shared" ca="1" si="41"/>
        <v>0</v>
      </c>
      <c r="J232" s="31">
        <f t="shared" ca="1" si="41"/>
        <v>0</v>
      </c>
      <c r="K232" s="31">
        <f t="shared" ca="1" si="41"/>
        <v>0</v>
      </c>
      <c r="L232" s="31">
        <f t="shared" ca="1" si="41"/>
        <v>0</v>
      </c>
      <c r="M232" s="31">
        <f t="shared" ca="1" si="41"/>
        <v>0</v>
      </c>
      <c r="N232" s="31">
        <f t="shared" ca="1" si="41"/>
        <v>0</v>
      </c>
      <c r="O232" s="31">
        <f t="shared" ca="1" si="41"/>
        <v>0</v>
      </c>
      <c r="P232" s="31">
        <f t="shared" ca="1" si="41"/>
        <v>0</v>
      </c>
      <c r="Q232" s="31">
        <f t="shared" ca="1" si="41"/>
        <v>0</v>
      </c>
      <c r="R232" s="31">
        <f t="shared" ca="1" si="41"/>
        <v>0</v>
      </c>
      <c r="S232" s="31">
        <f t="shared" ca="1" si="41"/>
        <v>0</v>
      </c>
      <c r="T232" s="31">
        <f t="shared" ca="1" si="41"/>
        <v>0</v>
      </c>
      <c r="U232" s="31">
        <f t="shared" ca="1" si="41"/>
        <v>0</v>
      </c>
      <c r="V232" s="31">
        <f t="shared" ca="1" si="41"/>
        <v>0</v>
      </c>
      <c r="W232" s="31">
        <f t="shared" ca="1" si="41"/>
        <v>0</v>
      </c>
      <c r="X232" s="31">
        <f t="shared" ca="1" si="41"/>
        <v>0</v>
      </c>
      <c r="Y232" s="31">
        <f t="shared" ca="1" si="41"/>
        <v>0</v>
      </c>
      <c r="Z232" s="31">
        <f t="shared" ca="1" si="41"/>
        <v>0</v>
      </c>
      <c r="AA232" s="31">
        <f t="shared" ca="1" si="41"/>
        <v>0</v>
      </c>
      <c r="AB232" s="31">
        <f t="shared" ca="1" si="41"/>
        <v>0</v>
      </c>
      <c r="AC232" s="31">
        <f t="shared" ca="1" si="41"/>
        <v>0</v>
      </c>
    </row>
    <row r="233" spans="1:29" x14ac:dyDescent="0.2">
      <c r="A233" s="18" t="s">
        <v>975</v>
      </c>
      <c r="D233" s="23">
        <f>MAX(0,INDEX(Assumptions!$B:$B,MATCH("Legacy V1/V1.5 D&amp;A baseline ($mm, 2025 anchor)",Assumptions!$A:$A,0))-INDEX(Assumptions!$B:$B,MATCH("Legacy V1/V1.5 D&amp;A baseline ($mm, 2025 anchor)",Assumptions!$A:$A,0))*D$5/INDEX(Assumptions!$B:$B,MATCH("Legacy V1/V1.5 D&amp;A useful life (yrs)",Assumptions!$A:$A,0)))</f>
        <v>130</v>
      </c>
      <c r="E233" s="23">
        <f>MAX(0,INDEX(Assumptions!$B:$B,MATCH("Legacy V1/V1.5 D&amp;A baseline ($mm, 2025 anchor)",Assumptions!$A:$A,0))-INDEX(Assumptions!$B:$B,MATCH("Legacy V1/V1.5 D&amp;A baseline ($mm, 2025 anchor)",Assumptions!$A:$A,0))*E$5/INDEX(Assumptions!$B:$B,MATCH("Legacy V1/V1.5 D&amp;A useful life (yrs)",Assumptions!$A:$A,0)))</f>
        <v>97.5</v>
      </c>
      <c r="F233" s="23">
        <f>MAX(0,INDEX(Assumptions!$B:$B,MATCH("Legacy V1/V1.5 D&amp;A baseline ($mm, 2025 anchor)",Assumptions!$A:$A,0))-INDEX(Assumptions!$B:$B,MATCH("Legacy V1/V1.5 D&amp;A baseline ($mm, 2025 anchor)",Assumptions!$A:$A,0))*F$5/INDEX(Assumptions!$B:$B,MATCH("Legacy V1/V1.5 D&amp;A useful life (yrs)",Assumptions!$A:$A,0)))</f>
        <v>65</v>
      </c>
      <c r="G233" s="23">
        <f>MAX(0,INDEX(Assumptions!$B:$B,MATCH("Legacy V1/V1.5 D&amp;A baseline ($mm, 2025 anchor)",Assumptions!$A:$A,0))-INDEX(Assumptions!$B:$B,MATCH("Legacy V1/V1.5 D&amp;A baseline ($mm, 2025 anchor)",Assumptions!$A:$A,0))*G$5/INDEX(Assumptions!$B:$B,MATCH("Legacy V1/V1.5 D&amp;A useful life (yrs)",Assumptions!$A:$A,0)))</f>
        <v>32.5</v>
      </c>
      <c r="H233" s="23">
        <f>MAX(0,INDEX(Assumptions!$B:$B,MATCH("Legacy V1/V1.5 D&amp;A baseline ($mm, 2025 anchor)",Assumptions!$A:$A,0))-INDEX(Assumptions!$B:$B,MATCH("Legacy V1/V1.5 D&amp;A baseline ($mm, 2025 anchor)",Assumptions!$A:$A,0))*H$5/INDEX(Assumptions!$B:$B,MATCH("Legacy V1/V1.5 D&amp;A useful life (yrs)",Assumptions!$A:$A,0)))</f>
        <v>0</v>
      </c>
      <c r="I233" s="23">
        <f>MAX(0,INDEX(Assumptions!$B:$B,MATCH("Legacy V1/V1.5 D&amp;A baseline ($mm, 2025 anchor)",Assumptions!$A:$A,0))-INDEX(Assumptions!$B:$B,MATCH("Legacy V1/V1.5 D&amp;A baseline ($mm, 2025 anchor)",Assumptions!$A:$A,0))*I$5/INDEX(Assumptions!$B:$B,MATCH("Legacy V1/V1.5 D&amp;A useful life (yrs)",Assumptions!$A:$A,0)))</f>
        <v>0</v>
      </c>
      <c r="J233" s="23">
        <f>MAX(0,INDEX(Assumptions!$B:$B,MATCH("Legacy V1/V1.5 D&amp;A baseline ($mm, 2025 anchor)",Assumptions!$A:$A,0))-INDEX(Assumptions!$B:$B,MATCH("Legacy V1/V1.5 D&amp;A baseline ($mm, 2025 anchor)",Assumptions!$A:$A,0))*J$5/INDEX(Assumptions!$B:$B,MATCH("Legacy V1/V1.5 D&amp;A useful life (yrs)",Assumptions!$A:$A,0)))</f>
        <v>0</v>
      </c>
      <c r="K233" s="23">
        <f>MAX(0,INDEX(Assumptions!$B:$B,MATCH("Legacy V1/V1.5 D&amp;A baseline ($mm, 2025 anchor)",Assumptions!$A:$A,0))-INDEX(Assumptions!$B:$B,MATCH("Legacy V1/V1.5 D&amp;A baseline ($mm, 2025 anchor)",Assumptions!$A:$A,0))*K$5/INDEX(Assumptions!$B:$B,MATCH("Legacy V1/V1.5 D&amp;A useful life (yrs)",Assumptions!$A:$A,0)))</f>
        <v>0</v>
      </c>
      <c r="L233" s="23">
        <f>MAX(0,INDEX(Assumptions!$B:$B,MATCH("Legacy V1/V1.5 D&amp;A baseline ($mm, 2025 anchor)",Assumptions!$A:$A,0))-INDEX(Assumptions!$B:$B,MATCH("Legacy V1/V1.5 D&amp;A baseline ($mm, 2025 anchor)",Assumptions!$A:$A,0))*L$5/INDEX(Assumptions!$B:$B,MATCH("Legacy V1/V1.5 D&amp;A useful life (yrs)",Assumptions!$A:$A,0)))</f>
        <v>0</v>
      </c>
      <c r="M233" s="23">
        <f>MAX(0,INDEX(Assumptions!$B:$B,MATCH("Legacy V1/V1.5 D&amp;A baseline ($mm, 2025 anchor)",Assumptions!$A:$A,0))-INDEX(Assumptions!$B:$B,MATCH("Legacy V1/V1.5 D&amp;A baseline ($mm, 2025 anchor)",Assumptions!$A:$A,0))*M$5/INDEX(Assumptions!$B:$B,MATCH("Legacy V1/V1.5 D&amp;A useful life (yrs)",Assumptions!$A:$A,0)))</f>
        <v>0</v>
      </c>
      <c r="N233" s="23">
        <f>MAX(0,INDEX(Assumptions!$B:$B,MATCH("Legacy V1/V1.5 D&amp;A baseline ($mm, 2025 anchor)",Assumptions!$A:$A,0))-INDEX(Assumptions!$B:$B,MATCH("Legacy V1/V1.5 D&amp;A baseline ($mm, 2025 anchor)",Assumptions!$A:$A,0))*N$5/INDEX(Assumptions!$B:$B,MATCH("Legacy V1/V1.5 D&amp;A useful life (yrs)",Assumptions!$A:$A,0)))</f>
        <v>0</v>
      </c>
      <c r="O233" s="23">
        <f>MAX(0,INDEX(Assumptions!$B:$B,MATCH("Legacy V1/V1.5 D&amp;A baseline ($mm, 2025 anchor)",Assumptions!$A:$A,0))-INDEX(Assumptions!$B:$B,MATCH("Legacy V1/V1.5 D&amp;A baseline ($mm, 2025 anchor)",Assumptions!$A:$A,0))*O$5/INDEX(Assumptions!$B:$B,MATCH("Legacy V1/V1.5 D&amp;A useful life (yrs)",Assumptions!$A:$A,0)))</f>
        <v>0</v>
      </c>
      <c r="P233" s="23">
        <f>MAX(0,INDEX(Assumptions!$B:$B,MATCH("Legacy V1/V1.5 D&amp;A baseline ($mm, 2025 anchor)",Assumptions!$A:$A,0))-INDEX(Assumptions!$B:$B,MATCH("Legacy V1/V1.5 D&amp;A baseline ($mm, 2025 anchor)",Assumptions!$A:$A,0))*P$5/INDEX(Assumptions!$B:$B,MATCH("Legacy V1/V1.5 D&amp;A useful life (yrs)",Assumptions!$A:$A,0)))</f>
        <v>0</v>
      </c>
      <c r="Q233" s="23">
        <f>MAX(0,INDEX(Assumptions!$B:$B,MATCH("Legacy V1/V1.5 D&amp;A baseline ($mm, 2025 anchor)",Assumptions!$A:$A,0))-INDEX(Assumptions!$B:$B,MATCH("Legacy V1/V1.5 D&amp;A baseline ($mm, 2025 anchor)",Assumptions!$A:$A,0))*Q$5/INDEX(Assumptions!$B:$B,MATCH("Legacy V1/V1.5 D&amp;A useful life (yrs)",Assumptions!$A:$A,0)))</f>
        <v>0</v>
      </c>
      <c r="R233" s="23">
        <f>MAX(0,INDEX(Assumptions!$B:$B,MATCH("Legacy V1/V1.5 D&amp;A baseline ($mm, 2025 anchor)",Assumptions!$A:$A,0))-INDEX(Assumptions!$B:$B,MATCH("Legacy V1/V1.5 D&amp;A baseline ($mm, 2025 anchor)",Assumptions!$A:$A,0))*R$5/INDEX(Assumptions!$B:$B,MATCH("Legacy V1/V1.5 D&amp;A useful life (yrs)",Assumptions!$A:$A,0)))</f>
        <v>0</v>
      </c>
      <c r="S233" s="23">
        <f>MAX(0,INDEX(Assumptions!$B:$B,MATCH("Legacy V1/V1.5 D&amp;A baseline ($mm, 2025 anchor)",Assumptions!$A:$A,0))-INDEX(Assumptions!$B:$B,MATCH("Legacy V1/V1.5 D&amp;A baseline ($mm, 2025 anchor)",Assumptions!$A:$A,0))*S$5/INDEX(Assumptions!$B:$B,MATCH("Legacy V1/V1.5 D&amp;A useful life (yrs)",Assumptions!$A:$A,0)))</f>
        <v>0</v>
      </c>
      <c r="T233" s="23">
        <f>MAX(0,INDEX(Assumptions!$B:$B,MATCH("Legacy V1/V1.5 D&amp;A baseline ($mm, 2025 anchor)",Assumptions!$A:$A,0))-INDEX(Assumptions!$B:$B,MATCH("Legacy V1/V1.5 D&amp;A baseline ($mm, 2025 anchor)",Assumptions!$A:$A,0))*T$5/INDEX(Assumptions!$B:$B,MATCH("Legacy V1/V1.5 D&amp;A useful life (yrs)",Assumptions!$A:$A,0)))</f>
        <v>0</v>
      </c>
      <c r="U233" s="23">
        <f>MAX(0,INDEX(Assumptions!$B:$B,MATCH("Legacy V1/V1.5 D&amp;A baseline ($mm, 2025 anchor)",Assumptions!$A:$A,0))-INDEX(Assumptions!$B:$B,MATCH("Legacy V1/V1.5 D&amp;A baseline ($mm, 2025 anchor)",Assumptions!$A:$A,0))*U$5/INDEX(Assumptions!$B:$B,MATCH("Legacy V1/V1.5 D&amp;A useful life (yrs)",Assumptions!$A:$A,0)))</f>
        <v>0</v>
      </c>
      <c r="V233" s="23">
        <f>MAX(0,INDEX(Assumptions!$B:$B,MATCH("Legacy V1/V1.5 D&amp;A baseline ($mm, 2025 anchor)",Assumptions!$A:$A,0))-INDEX(Assumptions!$B:$B,MATCH("Legacy V1/V1.5 D&amp;A baseline ($mm, 2025 anchor)",Assumptions!$A:$A,0))*V$5/INDEX(Assumptions!$B:$B,MATCH("Legacy V1/V1.5 D&amp;A useful life (yrs)",Assumptions!$A:$A,0)))</f>
        <v>0</v>
      </c>
      <c r="W233" s="23">
        <f>MAX(0,INDEX(Assumptions!$B:$B,MATCH("Legacy V1/V1.5 D&amp;A baseline ($mm, 2025 anchor)",Assumptions!$A:$A,0))-INDEX(Assumptions!$B:$B,MATCH("Legacy V1/V1.5 D&amp;A baseline ($mm, 2025 anchor)",Assumptions!$A:$A,0))*W$5/INDEX(Assumptions!$B:$B,MATCH("Legacy V1/V1.5 D&amp;A useful life (yrs)",Assumptions!$A:$A,0)))</f>
        <v>0</v>
      </c>
      <c r="X233" s="23">
        <f>MAX(0,INDEX(Assumptions!$B:$B,MATCH("Legacy V1/V1.5 D&amp;A baseline ($mm, 2025 anchor)",Assumptions!$A:$A,0))-INDEX(Assumptions!$B:$B,MATCH("Legacy V1/V1.5 D&amp;A baseline ($mm, 2025 anchor)",Assumptions!$A:$A,0))*X$5/INDEX(Assumptions!$B:$B,MATCH("Legacy V1/V1.5 D&amp;A useful life (yrs)",Assumptions!$A:$A,0)))</f>
        <v>0</v>
      </c>
      <c r="Y233" s="23">
        <f>MAX(0,INDEX(Assumptions!$B:$B,MATCH("Legacy V1/V1.5 D&amp;A baseline ($mm, 2025 anchor)",Assumptions!$A:$A,0))-INDEX(Assumptions!$B:$B,MATCH("Legacy V1/V1.5 D&amp;A baseline ($mm, 2025 anchor)",Assumptions!$A:$A,0))*Y$5/INDEX(Assumptions!$B:$B,MATCH("Legacy V1/V1.5 D&amp;A useful life (yrs)",Assumptions!$A:$A,0)))</f>
        <v>0</v>
      </c>
      <c r="Z233" s="23">
        <f>MAX(0,INDEX(Assumptions!$B:$B,MATCH("Legacy V1/V1.5 D&amp;A baseline ($mm, 2025 anchor)",Assumptions!$A:$A,0))-INDEX(Assumptions!$B:$B,MATCH("Legacy V1/V1.5 D&amp;A baseline ($mm, 2025 anchor)",Assumptions!$A:$A,0))*Z$5/INDEX(Assumptions!$B:$B,MATCH("Legacy V1/V1.5 D&amp;A useful life (yrs)",Assumptions!$A:$A,0)))</f>
        <v>0</v>
      </c>
      <c r="AA233" s="23">
        <f>MAX(0,INDEX(Assumptions!$B:$B,MATCH("Legacy V1/V1.5 D&amp;A baseline ($mm, 2025 anchor)",Assumptions!$A:$A,0))-INDEX(Assumptions!$B:$B,MATCH("Legacy V1/V1.5 D&amp;A baseline ($mm, 2025 anchor)",Assumptions!$A:$A,0))*AA$5/INDEX(Assumptions!$B:$B,MATCH("Legacy V1/V1.5 D&amp;A useful life (yrs)",Assumptions!$A:$A,0)))</f>
        <v>0</v>
      </c>
      <c r="AB233" s="23">
        <f>MAX(0,INDEX(Assumptions!$B:$B,MATCH("Legacy V1/V1.5 D&amp;A baseline ($mm, 2025 anchor)",Assumptions!$A:$A,0))-INDEX(Assumptions!$B:$B,MATCH("Legacy V1/V1.5 D&amp;A baseline ($mm, 2025 anchor)",Assumptions!$A:$A,0))*AB$5/INDEX(Assumptions!$B:$B,MATCH("Legacy V1/V1.5 D&amp;A useful life (yrs)",Assumptions!$A:$A,0)))</f>
        <v>0</v>
      </c>
      <c r="AC233" s="23">
        <f>MAX(0,INDEX(Assumptions!$B:$B,MATCH("Legacy V1/V1.5 D&amp;A baseline ($mm, 2025 anchor)",Assumptions!$A:$A,0))-INDEX(Assumptions!$B:$B,MATCH("Legacy V1/V1.5 D&amp;A baseline ($mm, 2025 anchor)",Assumptions!$A:$A,0))*AC$5/INDEX(Assumptions!$B:$B,MATCH("Legacy V1/V1.5 D&amp;A useful life (yrs)",Assumptions!$A:$A,0)))</f>
        <v>0</v>
      </c>
    </row>
    <row r="234" spans="1:29" x14ac:dyDescent="0.2">
      <c r="A234" s="18" t="s">
        <v>976</v>
      </c>
      <c r="D234" s="23">
        <f>INDEX(Assumptions!$B:$B,MATCH("Facility D&amp;A — sat manufacturing + ground stations ($mm/yr, flat)",Assumptions!$A:$A,0))</f>
        <v>140</v>
      </c>
      <c r="E234" s="23">
        <f>INDEX(Assumptions!$B:$B,MATCH("Facility D&amp;A — sat manufacturing + ground stations ($mm/yr, flat)",Assumptions!$A:$A,0))</f>
        <v>140</v>
      </c>
      <c r="F234" s="23">
        <f>INDEX(Assumptions!$B:$B,MATCH("Facility D&amp;A — sat manufacturing + ground stations ($mm/yr, flat)",Assumptions!$A:$A,0))</f>
        <v>140</v>
      </c>
      <c r="G234" s="23">
        <f>INDEX(Assumptions!$B:$B,MATCH("Facility D&amp;A — sat manufacturing + ground stations ($mm/yr, flat)",Assumptions!$A:$A,0))</f>
        <v>140</v>
      </c>
      <c r="H234" s="23">
        <f>INDEX(Assumptions!$B:$B,MATCH("Facility D&amp;A — sat manufacturing + ground stations ($mm/yr, flat)",Assumptions!$A:$A,0))</f>
        <v>140</v>
      </c>
      <c r="I234" s="23">
        <f>INDEX(Assumptions!$B:$B,MATCH("Facility D&amp;A — sat manufacturing + ground stations ($mm/yr, flat)",Assumptions!$A:$A,0))</f>
        <v>140</v>
      </c>
      <c r="J234" s="23">
        <f>INDEX(Assumptions!$B:$B,MATCH("Facility D&amp;A — sat manufacturing + ground stations ($mm/yr, flat)",Assumptions!$A:$A,0))</f>
        <v>140</v>
      </c>
      <c r="K234" s="23">
        <f>INDEX(Assumptions!$B:$B,MATCH("Facility D&amp;A — sat manufacturing + ground stations ($mm/yr, flat)",Assumptions!$A:$A,0))</f>
        <v>140</v>
      </c>
      <c r="L234" s="23">
        <f>INDEX(Assumptions!$B:$B,MATCH("Facility D&amp;A — sat manufacturing + ground stations ($mm/yr, flat)",Assumptions!$A:$A,0))</f>
        <v>140</v>
      </c>
      <c r="M234" s="23">
        <f>INDEX(Assumptions!$B:$B,MATCH("Facility D&amp;A — sat manufacturing + ground stations ($mm/yr, flat)",Assumptions!$A:$A,0))</f>
        <v>140</v>
      </c>
      <c r="N234" s="23">
        <f>INDEX(Assumptions!$B:$B,MATCH("Facility D&amp;A — sat manufacturing + ground stations ($mm/yr, flat)",Assumptions!$A:$A,0))</f>
        <v>140</v>
      </c>
      <c r="O234" s="23">
        <f>INDEX(Assumptions!$B:$B,MATCH("Facility D&amp;A — sat manufacturing + ground stations ($mm/yr, flat)",Assumptions!$A:$A,0))</f>
        <v>140</v>
      </c>
      <c r="P234" s="23">
        <f>INDEX(Assumptions!$B:$B,MATCH("Facility D&amp;A — sat manufacturing + ground stations ($mm/yr, flat)",Assumptions!$A:$A,0))</f>
        <v>140</v>
      </c>
      <c r="Q234" s="23">
        <f>INDEX(Assumptions!$B:$B,MATCH("Facility D&amp;A — sat manufacturing + ground stations ($mm/yr, flat)",Assumptions!$A:$A,0))</f>
        <v>140</v>
      </c>
      <c r="R234" s="23">
        <f>INDEX(Assumptions!$B:$B,MATCH("Facility D&amp;A — sat manufacturing + ground stations ($mm/yr, flat)",Assumptions!$A:$A,0))</f>
        <v>140</v>
      </c>
      <c r="S234" s="23">
        <f>INDEX(Assumptions!$B:$B,MATCH("Facility D&amp;A — sat manufacturing + ground stations ($mm/yr, flat)",Assumptions!$A:$A,0))</f>
        <v>140</v>
      </c>
      <c r="T234" s="23">
        <f>INDEX(Assumptions!$B:$B,MATCH("Facility D&amp;A — sat manufacturing + ground stations ($mm/yr, flat)",Assumptions!$A:$A,0))</f>
        <v>140</v>
      </c>
      <c r="U234" s="23">
        <f>INDEX(Assumptions!$B:$B,MATCH("Facility D&amp;A — sat manufacturing + ground stations ($mm/yr, flat)",Assumptions!$A:$A,0))</f>
        <v>140</v>
      </c>
      <c r="V234" s="23">
        <f>INDEX(Assumptions!$B:$B,MATCH("Facility D&amp;A — sat manufacturing + ground stations ($mm/yr, flat)",Assumptions!$A:$A,0))</f>
        <v>140</v>
      </c>
      <c r="W234" s="23">
        <f>INDEX(Assumptions!$B:$B,MATCH("Facility D&amp;A — sat manufacturing + ground stations ($mm/yr, flat)",Assumptions!$A:$A,0))</f>
        <v>140</v>
      </c>
      <c r="X234" s="23">
        <f>INDEX(Assumptions!$B:$B,MATCH("Facility D&amp;A — sat manufacturing + ground stations ($mm/yr, flat)",Assumptions!$A:$A,0))</f>
        <v>140</v>
      </c>
      <c r="Y234" s="23">
        <f>INDEX(Assumptions!$B:$B,MATCH("Facility D&amp;A — sat manufacturing + ground stations ($mm/yr, flat)",Assumptions!$A:$A,0))</f>
        <v>140</v>
      </c>
      <c r="Z234" s="23">
        <f>INDEX(Assumptions!$B:$B,MATCH("Facility D&amp;A — sat manufacturing + ground stations ($mm/yr, flat)",Assumptions!$A:$A,0))</f>
        <v>140</v>
      </c>
      <c r="AA234" s="23">
        <f>INDEX(Assumptions!$B:$B,MATCH("Facility D&amp;A — sat manufacturing + ground stations ($mm/yr, flat)",Assumptions!$A:$A,0))</f>
        <v>140</v>
      </c>
      <c r="AB234" s="23">
        <f>INDEX(Assumptions!$B:$B,MATCH("Facility D&amp;A — sat manufacturing + ground stations ($mm/yr, flat)",Assumptions!$A:$A,0))</f>
        <v>140</v>
      </c>
      <c r="AC234" s="23">
        <f>INDEX(Assumptions!$B:$B,MATCH("Facility D&amp;A — sat manufacturing + ground stations ($mm/yr, flat)",Assumptions!$A:$A,0))</f>
        <v>140</v>
      </c>
    </row>
    <row r="235" spans="1:29" x14ac:dyDescent="0.2">
      <c r="A235" s="18" t="s">
        <v>977</v>
      </c>
      <c r="D235" s="15">
        <f ca="1">D39</f>
        <v>0</v>
      </c>
      <c r="E235" s="15">
        <f ca="1">D235+E39</f>
        <v>0</v>
      </c>
      <c r="F235" s="15">
        <f t="shared" ref="F235:AC235" ca="1" si="42">E235+F39</f>
        <v>0</v>
      </c>
      <c r="G235" s="15">
        <f t="shared" ca="1" si="42"/>
        <v>0</v>
      </c>
      <c r="H235" s="15">
        <f t="shared" ca="1" si="42"/>
        <v>0</v>
      </c>
      <c r="I235" s="15">
        <f t="shared" ca="1" si="42"/>
        <v>0</v>
      </c>
      <c r="J235" s="15">
        <f t="shared" ca="1" si="42"/>
        <v>0</v>
      </c>
      <c r="K235" s="15">
        <f t="shared" ca="1" si="42"/>
        <v>0</v>
      </c>
      <c r="L235" s="15">
        <f t="shared" ca="1" si="42"/>
        <v>0</v>
      </c>
      <c r="M235" s="15">
        <f t="shared" ca="1" si="42"/>
        <v>0</v>
      </c>
      <c r="N235" s="15">
        <f t="shared" ca="1" si="42"/>
        <v>0</v>
      </c>
      <c r="O235" s="15">
        <f t="shared" ca="1" si="42"/>
        <v>0</v>
      </c>
      <c r="P235" s="15">
        <f t="shared" ca="1" si="42"/>
        <v>0</v>
      </c>
      <c r="Q235" s="15">
        <f t="shared" ca="1" si="42"/>
        <v>0</v>
      </c>
      <c r="R235" s="15">
        <f t="shared" ca="1" si="42"/>
        <v>0</v>
      </c>
      <c r="S235" s="15">
        <f t="shared" ca="1" si="42"/>
        <v>0</v>
      </c>
      <c r="T235" s="15">
        <f t="shared" ca="1" si="42"/>
        <v>0</v>
      </c>
      <c r="U235" s="15">
        <f t="shared" ca="1" si="42"/>
        <v>0</v>
      </c>
      <c r="V235" s="15">
        <f t="shared" ca="1" si="42"/>
        <v>0</v>
      </c>
      <c r="W235" s="15">
        <f t="shared" ca="1" si="42"/>
        <v>0</v>
      </c>
      <c r="X235" s="15">
        <f t="shared" ca="1" si="42"/>
        <v>0</v>
      </c>
      <c r="Y235" s="15">
        <f t="shared" ca="1" si="42"/>
        <v>0</v>
      </c>
      <c r="Z235" s="15">
        <f t="shared" ca="1" si="42"/>
        <v>0</v>
      </c>
      <c r="AA235" s="15">
        <f t="shared" ca="1" si="42"/>
        <v>0</v>
      </c>
      <c r="AB235" s="15">
        <f t="shared" ca="1" si="42"/>
        <v>0</v>
      </c>
      <c r="AC235" s="15">
        <f t="shared" ca="1" si="4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063F-8A85-694B-A8F9-B979A4ADE278}">
  <dimension ref="A4:AC50"/>
  <sheetViews>
    <sheetView workbookViewId="0"/>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29" x14ac:dyDescent="0.2">
      <c r="A6" s="19" t="s">
        <v>626</v>
      </c>
    </row>
    <row r="8" spans="1:29" x14ac:dyDescent="0.2">
      <c r="A8" s="38" t="s">
        <v>905</v>
      </c>
    </row>
    <row r="10" spans="1:29" x14ac:dyDescent="0.2">
      <c r="A10" s="39" t="s">
        <v>906</v>
      </c>
    </row>
    <row r="11" spans="1:29" x14ac:dyDescent="0.2">
      <c r="A11" t="s">
        <v>907</v>
      </c>
      <c r="D11" s="15" cm="1">
        <f t="array" aca="1" ref="D11" ca="1">INDEX(Starlink!$D:$AC,MATCH("Active V2 BB sats",Starlink!$A:$A,0),D$5+1)*INDEX(Starlink!$D:$AC,MATCH("V2 BB Gbps per sat",Starlink!$A:$A,0),D$5+1)+INDEX(Starlink!$D:$AC,MATCH("Active V3 BB sats",Starlink!$A:$A,0),D$5+1)*INDEX(Starlink!$D:$AC,MATCH("V3 BB Gbps per sat",Starlink!$A:$A,0),D$5+1)+IFERROR(INDEX(Assumptions!$D:$AC,MATCH("Legacy V1/V1.5 Active Bandwidth (Gbps, year-row runoff)",Assumptions!$A:$A,0),D$5+1),0)</f>
        <v>575504</v>
      </c>
      <c r="E11" s="15" cm="1">
        <f t="array" aca="1" ref="E11" ca="1">INDEX(Starlink!$D:$AC,MATCH("Active V2 BB sats",Starlink!$A:$A,0),E$5+1)*INDEX(Starlink!$D:$AC,MATCH("V2 BB Gbps per sat",Starlink!$A:$A,0),E$5+1)+INDEX(Starlink!$D:$AC,MATCH("Active V3 BB sats",Starlink!$A:$A,0),E$5+1)*INDEX(Starlink!$D:$AC,MATCH("V3 BB Gbps per sat",Starlink!$A:$A,0),E$5+1)+IFERROR(INDEX(Assumptions!$D:$AC,MATCH("Legacy V1/V1.5 Active Bandwidth (Gbps, year-row runoff)",Assumptions!$A:$A,0),E$5+1),0)</f>
        <v>456808.80000000005</v>
      </c>
      <c r="F11" s="15" cm="1">
        <f t="array" aca="1" ref="F11" ca="1">INDEX(Starlink!$D:$AC,MATCH("Active V2 BB sats",Starlink!$A:$A,0),F$5+1)*INDEX(Starlink!$D:$AC,MATCH("V2 BB Gbps per sat",Starlink!$A:$A,0),F$5+1)+INDEX(Starlink!$D:$AC,MATCH("Active V3 BB sats",Starlink!$A:$A,0),F$5+1)*INDEX(Starlink!$D:$AC,MATCH("V3 BB Gbps per sat",Starlink!$A:$A,0),F$5+1)+IFERROR(INDEX(Assumptions!$D:$AC,MATCH("Legacy V1/V1.5 Active Bandwidth (Gbps, year-row runoff)",Assumptions!$A:$A,0),F$5+1),0)</f>
        <v>338113.60000000003</v>
      </c>
      <c r="G11" s="15" cm="1">
        <f t="array" aca="1" ref="G11" ca="1">INDEX(Starlink!$D:$AC,MATCH("Active V2 BB sats",Starlink!$A:$A,0),G$5+1)*INDEX(Starlink!$D:$AC,MATCH("V2 BB Gbps per sat",Starlink!$A:$A,0),G$5+1)+INDEX(Starlink!$D:$AC,MATCH("Active V3 BB sats",Starlink!$A:$A,0),G$5+1)*INDEX(Starlink!$D:$AC,MATCH("V3 BB Gbps per sat",Starlink!$A:$A,0),G$5+1)+IFERROR(INDEX(Assumptions!$D:$AC,MATCH("Legacy V1/V1.5 Active Bandwidth (Gbps, year-row runoff)",Assumptions!$A:$A,0),G$5+1),0)</f>
        <v>219418.40000000005</v>
      </c>
      <c r="H11" s="15" cm="1">
        <f t="array" aca="1" ref="H11" ca="1">INDEX(Starlink!$D:$AC,MATCH("Active V2 BB sats",Starlink!$A:$A,0),H$5+1)*INDEX(Starlink!$D:$AC,MATCH("V2 BB Gbps per sat",Starlink!$A:$A,0),H$5+1)+INDEX(Starlink!$D:$AC,MATCH("Active V3 BB sats",Starlink!$A:$A,0),H$5+1)*INDEX(Starlink!$D:$AC,MATCH("V3 BB Gbps per sat",Starlink!$A:$A,0),H$5+1)+IFERROR(INDEX(Assumptions!$D:$AC,MATCH("Legacy V1/V1.5 Active Bandwidth (Gbps, year-row runoff)",Assumptions!$A:$A,0),H$5+1),0)</f>
        <v>100723.20000000004</v>
      </c>
      <c r="I11" s="15" cm="1">
        <f t="array" aca="1" ref="I11" ca="1">INDEX(Starlink!$D:$AC,MATCH("Active V2 BB sats",Starlink!$A:$A,0),I$5+1)*INDEX(Starlink!$D:$AC,MATCH("V2 BB Gbps per sat",Starlink!$A:$A,0),I$5+1)+INDEX(Starlink!$D:$AC,MATCH("Active V3 BB sats",Starlink!$A:$A,0),I$5+1)*INDEX(Starlink!$D:$AC,MATCH("V3 BB Gbps per sat",Starlink!$A:$A,0),I$5+1)+IFERROR(INDEX(Assumptions!$D:$AC,MATCH("Legacy V1/V1.5 Active Bandwidth (Gbps, year-row runoff)",Assumptions!$A:$A,0),I$5+1),0)</f>
        <v>0</v>
      </c>
      <c r="J11" s="15" cm="1">
        <f t="array" aca="1" ref="J11" ca="1">INDEX(Starlink!$D:$AC,MATCH("Active V2 BB sats",Starlink!$A:$A,0),J$5+1)*INDEX(Starlink!$D:$AC,MATCH("V2 BB Gbps per sat",Starlink!$A:$A,0),J$5+1)+INDEX(Starlink!$D:$AC,MATCH("Active V3 BB sats",Starlink!$A:$A,0),J$5+1)*INDEX(Starlink!$D:$AC,MATCH("V3 BB Gbps per sat",Starlink!$A:$A,0),J$5+1)+IFERROR(INDEX(Assumptions!$D:$AC,MATCH("Legacy V1/V1.5 Active Bandwidth (Gbps, year-row runoff)",Assumptions!$A:$A,0),J$5+1),0)</f>
        <v>0</v>
      </c>
      <c r="K11" s="15" cm="1">
        <f t="array" aca="1" ref="K11" ca="1">INDEX(Starlink!$D:$AC,MATCH("Active V2 BB sats",Starlink!$A:$A,0),K$5+1)*INDEX(Starlink!$D:$AC,MATCH("V2 BB Gbps per sat",Starlink!$A:$A,0),K$5+1)+INDEX(Starlink!$D:$AC,MATCH("Active V3 BB sats",Starlink!$A:$A,0),K$5+1)*INDEX(Starlink!$D:$AC,MATCH("V3 BB Gbps per sat",Starlink!$A:$A,0),K$5+1)+IFERROR(INDEX(Assumptions!$D:$AC,MATCH("Legacy V1/V1.5 Active Bandwidth (Gbps, year-row runoff)",Assumptions!$A:$A,0),K$5+1),0)</f>
        <v>0</v>
      </c>
      <c r="L11" s="15" cm="1">
        <f t="array" aca="1" ref="L11" ca="1">INDEX(Starlink!$D:$AC,MATCH("Active V2 BB sats",Starlink!$A:$A,0),L$5+1)*INDEX(Starlink!$D:$AC,MATCH("V2 BB Gbps per sat",Starlink!$A:$A,0),L$5+1)+INDEX(Starlink!$D:$AC,MATCH("Active V3 BB sats",Starlink!$A:$A,0),L$5+1)*INDEX(Starlink!$D:$AC,MATCH("V3 BB Gbps per sat",Starlink!$A:$A,0),L$5+1)+IFERROR(INDEX(Assumptions!$D:$AC,MATCH("Legacy V1/V1.5 Active Bandwidth (Gbps, year-row runoff)",Assumptions!$A:$A,0),L$5+1),0)</f>
        <v>0</v>
      </c>
      <c r="M11" s="15" cm="1">
        <f t="array" aca="1" ref="M11" ca="1">INDEX(Starlink!$D:$AC,MATCH("Active V2 BB sats",Starlink!$A:$A,0),M$5+1)*INDEX(Starlink!$D:$AC,MATCH("V2 BB Gbps per sat",Starlink!$A:$A,0),M$5+1)+INDEX(Starlink!$D:$AC,MATCH("Active V3 BB sats",Starlink!$A:$A,0),M$5+1)*INDEX(Starlink!$D:$AC,MATCH("V3 BB Gbps per sat",Starlink!$A:$A,0),M$5+1)+IFERROR(INDEX(Assumptions!$D:$AC,MATCH("Legacy V1/V1.5 Active Bandwidth (Gbps, year-row runoff)",Assumptions!$A:$A,0),M$5+1),0)</f>
        <v>0</v>
      </c>
      <c r="N11" s="15" cm="1">
        <f t="array" aca="1" ref="N11" ca="1">INDEX(Starlink!$D:$AC,MATCH("Active V2 BB sats",Starlink!$A:$A,0),N$5+1)*INDEX(Starlink!$D:$AC,MATCH("V2 BB Gbps per sat",Starlink!$A:$A,0),N$5+1)+INDEX(Starlink!$D:$AC,MATCH("Active V3 BB sats",Starlink!$A:$A,0),N$5+1)*INDEX(Starlink!$D:$AC,MATCH("V3 BB Gbps per sat",Starlink!$A:$A,0),N$5+1)+IFERROR(INDEX(Assumptions!$D:$AC,MATCH("Legacy V1/V1.5 Active Bandwidth (Gbps, year-row runoff)",Assumptions!$A:$A,0),N$5+1),0)</f>
        <v>0</v>
      </c>
      <c r="O11" s="15" cm="1">
        <f t="array" aca="1" ref="O11" ca="1">INDEX(Starlink!$D:$AC,MATCH("Active V2 BB sats",Starlink!$A:$A,0),O$5+1)*INDEX(Starlink!$D:$AC,MATCH("V2 BB Gbps per sat",Starlink!$A:$A,0),O$5+1)+INDEX(Starlink!$D:$AC,MATCH("Active V3 BB sats",Starlink!$A:$A,0),O$5+1)*INDEX(Starlink!$D:$AC,MATCH("V3 BB Gbps per sat",Starlink!$A:$A,0),O$5+1)+IFERROR(INDEX(Assumptions!$D:$AC,MATCH("Legacy V1/V1.5 Active Bandwidth (Gbps, year-row runoff)",Assumptions!$A:$A,0),O$5+1),0)</f>
        <v>0</v>
      </c>
      <c r="P11" s="15" cm="1">
        <f t="array" aca="1" ref="P11" ca="1">INDEX(Starlink!$D:$AC,MATCH("Active V2 BB sats",Starlink!$A:$A,0),P$5+1)*INDEX(Starlink!$D:$AC,MATCH("V2 BB Gbps per sat",Starlink!$A:$A,0),P$5+1)+INDEX(Starlink!$D:$AC,MATCH("Active V3 BB sats",Starlink!$A:$A,0),P$5+1)*INDEX(Starlink!$D:$AC,MATCH("V3 BB Gbps per sat",Starlink!$A:$A,0),P$5+1)+IFERROR(INDEX(Assumptions!$D:$AC,MATCH("Legacy V1/V1.5 Active Bandwidth (Gbps, year-row runoff)",Assumptions!$A:$A,0),P$5+1),0)</f>
        <v>0</v>
      </c>
      <c r="Q11" s="15" cm="1">
        <f t="array" aca="1" ref="Q11" ca="1">INDEX(Starlink!$D:$AC,MATCH("Active V2 BB sats",Starlink!$A:$A,0),Q$5+1)*INDEX(Starlink!$D:$AC,MATCH("V2 BB Gbps per sat",Starlink!$A:$A,0),Q$5+1)+INDEX(Starlink!$D:$AC,MATCH("Active V3 BB sats",Starlink!$A:$A,0),Q$5+1)*INDEX(Starlink!$D:$AC,MATCH("V3 BB Gbps per sat",Starlink!$A:$A,0),Q$5+1)+IFERROR(INDEX(Assumptions!$D:$AC,MATCH("Legacy V1/V1.5 Active Bandwidth (Gbps, year-row runoff)",Assumptions!$A:$A,0),Q$5+1),0)</f>
        <v>0</v>
      </c>
      <c r="R11" s="15" cm="1">
        <f t="array" aca="1" ref="R11" ca="1">INDEX(Starlink!$D:$AC,MATCH("Active V2 BB sats",Starlink!$A:$A,0),R$5+1)*INDEX(Starlink!$D:$AC,MATCH("V2 BB Gbps per sat",Starlink!$A:$A,0),R$5+1)+INDEX(Starlink!$D:$AC,MATCH("Active V3 BB sats",Starlink!$A:$A,0),R$5+1)*INDEX(Starlink!$D:$AC,MATCH("V3 BB Gbps per sat",Starlink!$A:$A,0),R$5+1)+IFERROR(INDEX(Assumptions!$D:$AC,MATCH("Legacy V1/V1.5 Active Bandwidth (Gbps, year-row runoff)",Assumptions!$A:$A,0),R$5+1),0)</f>
        <v>0</v>
      </c>
      <c r="S11" s="15" cm="1">
        <f t="array" aca="1" ref="S11" ca="1">INDEX(Starlink!$D:$AC,MATCH("Active V2 BB sats",Starlink!$A:$A,0),S$5+1)*INDEX(Starlink!$D:$AC,MATCH("V2 BB Gbps per sat",Starlink!$A:$A,0),S$5+1)+INDEX(Starlink!$D:$AC,MATCH("Active V3 BB sats",Starlink!$A:$A,0),S$5+1)*INDEX(Starlink!$D:$AC,MATCH("V3 BB Gbps per sat",Starlink!$A:$A,0),S$5+1)+IFERROR(INDEX(Assumptions!$D:$AC,MATCH("Legacy V1/V1.5 Active Bandwidth (Gbps, year-row runoff)",Assumptions!$A:$A,0),S$5+1),0)</f>
        <v>0</v>
      </c>
      <c r="T11" s="15" cm="1">
        <f t="array" aca="1" ref="T11" ca="1">INDEX(Starlink!$D:$AC,MATCH("Active V2 BB sats",Starlink!$A:$A,0),T$5+1)*INDEX(Starlink!$D:$AC,MATCH("V2 BB Gbps per sat",Starlink!$A:$A,0),T$5+1)+INDEX(Starlink!$D:$AC,MATCH("Active V3 BB sats",Starlink!$A:$A,0),T$5+1)*INDEX(Starlink!$D:$AC,MATCH("V3 BB Gbps per sat",Starlink!$A:$A,0),T$5+1)+IFERROR(INDEX(Assumptions!$D:$AC,MATCH("Legacy V1/V1.5 Active Bandwidth (Gbps, year-row runoff)",Assumptions!$A:$A,0),T$5+1),0)</f>
        <v>0</v>
      </c>
      <c r="U11" s="15" cm="1">
        <f t="array" aca="1" ref="U11" ca="1">INDEX(Starlink!$D:$AC,MATCH("Active V2 BB sats",Starlink!$A:$A,0),U$5+1)*INDEX(Starlink!$D:$AC,MATCH("V2 BB Gbps per sat",Starlink!$A:$A,0),U$5+1)+INDEX(Starlink!$D:$AC,MATCH("Active V3 BB sats",Starlink!$A:$A,0),U$5+1)*INDEX(Starlink!$D:$AC,MATCH("V3 BB Gbps per sat",Starlink!$A:$A,0),U$5+1)+IFERROR(INDEX(Assumptions!$D:$AC,MATCH("Legacy V1/V1.5 Active Bandwidth (Gbps, year-row runoff)",Assumptions!$A:$A,0),U$5+1),0)</f>
        <v>0</v>
      </c>
      <c r="V11" s="15" cm="1">
        <f t="array" aca="1" ref="V11" ca="1">INDEX(Starlink!$D:$AC,MATCH("Active V2 BB sats",Starlink!$A:$A,0),V$5+1)*INDEX(Starlink!$D:$AC,MATCH("V2 BB Gbps per sat",Starlink!$A:$A,0),V$5+1)+INDEX(Starlink!$D:$AC,MATCH("Active V3 BB sats",Starlink!$A:$A,0),V$5+1)*INDEX(Starlink!$D:$AC,MATCH("V3 BB Gbps per sat",Starlink!$A:$A,0),V$5+1)+IFERROR(INDEX(Assumptions!$D:$AC,MATCH("Legacy V1/V1.5 Active Bandwidth (Gbps, year-row runoff)",Assumptions!$A:$A,0),V$5+1),0)</f>
        <v>0</v>
      </c>
      <c r="W11" s="15" cm="1">
        <f t="array" aca="1" ref="W11" ca="1">INDEX(Starlink!$D:$AC,MATCH("Active V2 BB sats",Starlink!$A:$A,0),W$5+1)*INDEX(Starlink!$D:$AC,MATCH("V2 BB Gbps per sat",Starlink!$A:$A,0),W$5+1)+INDEX(Starlink!$D:$AC,MATCH("Active V3 BB sats",Starlink!$A:$A,0),W$5+1)*INDEX(Starlink!$D:$AC,MATCH("V3 BB Gbps per sat",Starlink!$A:$A,0),W$5+1)+IFERROR(INDEX(Assumptions!$D:$AC,MATCH("Legacy V1/V1.5 Active Bandwidth (Gbps, year-row runoff)",Assumptions!$A:$A,0),W$5+1),0)</f>
        <v>0</v>
      </c>
      <c r="X11" s="15" cm="1">
        <f t="array" aca="1" ref="X11" ca="1">INDEX(Starlink!$D:$AC,MATCH("Active V2 BB sats",Starlink!$A:$A,0),X$5+1)*INDEX(Starlink!$D:$AC,MATCH("V2 BB Gbps per sat",Starlink!$A:$A,0),X$5+1)+INDEX(Starlink!$D:$AC,MATCH("Active V3 BB sats",Starlink!$A:$A,0),X$5+1)*INDEX(Starlink!$D:$AC,MATCH("V3 BB Gbps per sat",Starlink!$A:$A,0),X$5+1)+IFERROR(INDEX(Assumptions!$D:$AC,MATCH("Legacy V1/V1.5 Active Bandwidth (Gbps, year-row runoff)",Assumptions!$A:$A,0),X$5+1),0)</f>
        <v>0</v>
      </c>
      <c r="Y11" s="15" cm="1">
        <f t="array" aca="1" ref="Y11" ca="1">INDEX(Starlink!$D:$AC,MATCH("Active V2 BB sats",Starlink!$A:$A,0),Y$5+1)*INDEX(Starlink!$D:$AC,MATCH("V2 BB Gbps per sat",Starlink!$A:$A,0),Y$5+1)+INDEX(Starlink!$D:$AC,MATCH("Active V3 BB sats",Starlink!$A:$A,0),Y$5+1)*INDEX(Starlink!$D:$AC,MATCH("V3 BB Gbps per sat",Starlink!$A:$A,0),Y$5+1)+IFERROR(INDEX(Assumptions!$D:$AC,MATCH("Legacy V1/V1.5 Active Bandwidth (Gbps, year-row runoff)",Assumptions!$A:$A,0),Y$5+1),0)</f>
        <v>0</v>
      </c>
      <c r="Z11" s="15" cm="1">
        <f t="array" aca="1" ref="Z11" ca="1">INDEX(Starlink!$D:$AC,MATCH("Active V2 BB sats",Starlink!$A:$A,0),Z$5+1)*INDEX(Starlink!$D:$AC,MATCH("V2 BB Gbps per sat",Starlink!$A:$A,0),Z$5+1)+INDEX(Starlink!$D:$AC,MATCH("Active V3 BB sats",Starlink!$A:$A,0),Z$5+1)*INDEX(Starlink!$D:$AC,MATCH("V3 BB Gbps per sat",Starlink!$A:$A,0),Z$5+1)+IFERROR(INDEX(Assumptions!$D:$AC,MATCH("Legacy V1/V1.5 Active Bandwidth (Gbps, year-row runoff)",Assumptions!$A:$A,0),Z$5+1),0)</f>
        <v>0</v>
      </c>
      <c r="AA11" s="15" cm="1">
        <f t="array" aca="1" ref="AA11" ca="1">INDEX(Starlink!$D:$AC,MATCH("Active V2 BB sats",Starlink!$A:$A,0),AA$5+1)*INDEX(Starlink!$D:$AC,MATCH("V2 BB Gbps per sat",Starlink!$A:$A,0),AA$5+1)+INDEX(Starlink!$D:$AC,MATCH("Active V3 BB sats",Starlink!$A:$A,0),AA$5+1)*INDEX(Starlink!$D:$AC,MATCH("V3 BB Gbps per sat",Starlink!$A:$A,0),AA$5+1)+IFERROR(INDEX(Assumptions!$D:$AC,MATCH("Legacy V1/V1.5 Active Bandwidth (Gbps, year-row runoff)",Assumptions!$A:$A,0),AA$5+1),0)</f>
        <v>0</v>
      </c>
      <c r="AB11" s="15" cm="1">
        <f t="array" aca="1" ref="AB11" ca="1">INDEX(Starlink!$D:$AC,MATCH("Active V2 BB sats",Starlink!$A:$A,0),AB$5+1)*INDEX(Starlink!$D:$AC,MATCH("V2 BB Gbps per sat",Starlink!$A:$A,0),AB$5+1)+INDEX(Starlink!$D:$AC,MATCH("Active V3 BB sats",Starlink!$A:$A,0),AB$5+1)*INDEX(Starlink!$D:$AC,MATCH("V3 BB Gbps per sat",Starlink!$A:$A,0),AB$5+1)+IFERROR(INDEX(Assumptions!$D:$AC,MATCH("Legacy V1/V1.5 Active Bandwidth (Gbps, year-row runoff)",Assumptions!$A:$A,0),AB$5+1),0)</f>
        <v>0</v>
      </c>
      <c r="AC11" s="15" cm="1">
        <f t="array" aca="1" ref="AC11" ca="1">INDEX(Starlink!$D:$AC,MATCH("Active V2 BB sats",Starlink!$A:$A,0),AC$5+1)*INDEX(Starlink!$D:$AC,MATCH("V2 BB Gbps per sat",Starlink!$A:$A,0),AC$5+1)+INDEX(Starlink!$D:$AC,MATCH("Active V3 BB sats",Starlink!$A:$A,0),AC$5+1)*INDEX(Starlink!$D:$AC,MATCH("V3 BB Gbps per sat",Starlink!$A:$A,0),AC$5+1)+IFERROR(INDEX(Assumptions!$D:$AC,MATCH("Legacy V1/V1.5 Active Bandwidth (Gbps, year-row runoff)",Assumptions!$A:$A,0),AC$5+1),0)</f>
        <v>0</v>
      </c>
    </row>
    <row r="13" spans="1:29" x14ac:dyDescent="0.2">
      <c r="A13" t="s">
        <v>908</v>
      </c>
      <c r="D13" s="15" cm="1">
        <f t="array" aca="1" ref="D13" ca="1">INDEX(Starlink!$D:$AC,MATCH("Active V2 DTC sats",Starlink!$A:$A,0),D$5+1)*INDEX(Starlink!$D:$AC,MATCH("V2 DTC Gbps per sat",Starlink!$A:$A,0),D$5+1)+INDEX(Starlink!$D:$AC,MATCH("Active V3 DTC sats",Starlink!$A:$A,0),D$5+1)*INDEX(Starlink!$D:$AC,MATCH("V3 DTC Gbps per sat",Starlink!$A:$A,0),D$5+1)</f>
        <v>130</v>
      </c>
      <c r="E13" s="15" cm="1">
        <f t="array" aca="1" ref="E13" ca="1">INDEX(Starlink!$D:$AC,MATCH("Active V2 DTC sats",Starlink!$A:$A,0),E$5+1)*INDEX(Starlink!$D:$AC,MATCH("V2 DTC Gbps per sat",Starlink!$A:$A,0),E$5+1)+INDEX(Starlink!$D:$AC,MATCH("Active V3 DTC sats",Starlink!$A:$A,0),E$5+1)*INDEX(Starlink!$D:$AC,MATCH("V3 DTC Gbps per sat",Starlink!$A:$A,0),E$5+1)</f>
        <v>104</v>
      </c>
      <c r="F13" s="15" cm="1">
        <f t="array" aca="1" ref="F13" ca="1">INDEX(Starlink!$D:$AC,MATCH("Active V2 DTC sats",Starlink!$A:$A,0),F$5+1)*INDEX(Starlink!$D:$AC,MATCH("V2 DTC Gbps per sat",Starlink!$A:$A,0),F$5+1)+INDEX(Starlink!$D:$AC,MATCH("Active V3 DTC sats",Starlink!$A:$A,0),F$5+1)*INDEX(Starlink!$D:$AC,MATCH("V3 DTC Gbps per sat",Starlink!$A:$A,0),F$5+1)</f>
        <v>78</v>
      </c>
      <c r="G13" s="15" cm="1">
        <f t="array" aca="1" ref="G13" ca="1">INDEX(Starlink!$D:$AC,MATCH("Active V2 DTC sats",Starlink!$A:$A,0),G$5+1)*INDEX(Starlink!$D:$AC,MATCH("V2 DTC Gbps per sat",Starlink!$A:$A,0),G$5+1)+INDEX(Starlink!$D:$AC,MATCH("Active V3 DTC sats",Starlink!$A:$A,0),G$5+1)*INDEX(Starlink!$D:$AC,MATCH("V3 DTC Gbps per sat",Starlink!$A:$A,0),G$5+1)</f>
        <v>52</v>
      </c>
      <c r="H13" s="15" cm="1">
        <f t="array" aca="1" ref="H13" ca="1">INDEX(Starlink!$D:$AC,MATCH("Active V2 DTC sats",Starlink!$A:$A,0),H$5+1)*INDEX(Starlink!$D:$AC,MATCH("V2 DTC Gbps per sat",Starlink!$A:$A,0),H$5+1)+INDEX(Starlink!$D:$AC,MATCH("Active V3 DTC sats",Starlink!$A:$A,0),H$5+1)*INDEX(Starlink!$D:$AC,MATCH("V3 DTC Gbps per sat",Starlink!$A:$A,0),H$5+1)</f>
        <v>26</v>
      </c>
      <c r="I13" s="15" cm="1">
        <f t="array" aca="1" ref="I13" ca="1">INDEX(Starlink!$D:$AC,MATCH("Active V2 DTC sats",Starlink!$A:$A,0),I$5+1)*INDEX(Starlink!$D:$AC,MATCH("V2 DTC Gbps per sat",Starlink!$A:$A,0),I$5+1)+INDEX(Starlink!$D:$AC,MATCH("Active V3 DTC sats",Starlink!$A:$A,0),I$5+1)*INDEX(Starlink!$D:$AC,MATCH("V3 DTC Gbps per sat",Starlink!$A:$A,0),I$5+1)</f>
        <v>0</v>
      </c>
      <c r="J13" s="15" cm="1">
        <f t="array" aca="1" ref="J13" ca="1">INDEX(Starlink!$D:$AC,MATCH("Active V2 DTC sats",Starlink!$A:$A,0),J$5+1)*INDEX(Starlink!$D:$AC,MATCH("V2 DTC Gbps per sat",Starlink!$A:$A,0),J$5+1)+INDEX(Starlink!$D:$AC,MATCH("Active V3 DTC sats",Starlink!$A:$A,0),J$5+1)*INDEX(Starlink!$D:$AC,MATCH("V3 DTC Gbps per sat",Starlink!$A:$A,0),J$5+1)</f>
        <v>0</v>
      </c>
      <c r="K13" s="15" cm="1">
        <f t="array" aca="1" ref="K13" ca="1">INDEX(Starlink!$D:$AC,MATCH("Active V2 DTC sats",Starlink!$A:$A,0),K$5+1)*INDEX(Starlink!$D:$AC,MATCH("V2 DTC Gbps per sat",Starlink!$A:$A,0),K$5+1)+INDEX(Starlink!$D:$AC,MATCH("Active V3 DTC sats",Starlink!$A:$A,0),K$5+1)*INDEX(Starlink!$D:$AC,MATCH("V3 DTC Gbps per sat",Starlink!$A:$A,0),K$5+1)</f>
        <v>0</v>
      </c>
      <c r="L13" s="15" cm="1">
        <f t="array" aca="1" ref="L13" ca="1">INDEX(Starlink!$D:$AC,MATCH("Active V2 DTC sats",Starlink!$A:$A,0),L$5+1)*INDEX(Starlink!$D:$AC,MATCH("V2 DTC Gbps per sat",Starlink!$A:$A,0),L$5+1)+INDEX(Starlink!$D:$AC,MATCH("Active V3 DTC sats",Starlink!$A:$A,0),L$5+1)*INDEX(Starlink!$D:$AC,MATCH("V3 DTC Gbps per sat",Starlink!$A:$A,0),L$5+1)</f>
        <v>0</v>
      </c>
      <c r="M13" s="15" cm="1">
        <f t="array" aca="1" ref="M13" ca="1">INDEX(Starlink!$D:$AC,MATCH("Active V2 DTC sats",Starlink!$A:$A,0),M$5+1)*INDEX(Starlink!$D:$AC,MATCH("V2 DTC Gbps per sat",Starlink!$A:$A,0),M$5+1)+INDEX(Starlink!$D:$AC,MATCH("Active V3 DTC sats",Starlink!$A:$A,0),M$5+1)*INDEX(Starlink!$D:$AC,MATCH("V3 DTC Gbps per sat",Starlink!$A:$A,0),M$5+1)</f>
        <v>0</v>
      </c>
      <c r="N13" s="15" cm="1">
        <f t="array" aca="1" ref="N13" ca="1">INDEX(Starlink!$D:$AC,MATCH("Active V2 DTC sats",Starlink!$A:$A,0),N$5+1)*INDEX(Starlink!$D:$AC,MATCH("V2 DTC Gbps per sat",Starlink!$A:$A,0),N$5+1)+INDEX(Starlink!$D:$AC,MATCH("Active V3 DTC sats",Starlink!$A:$A,0),N$5+1)*INDEX(Starlink!$D:$AC,MATCH("V3 DTC Gbps per sat",Starlink!$A:$A,0),N$5+1)</f>
        <v>0</v>
      </c>
      <c r="O13" s="15" cm="1">
        <f t="array" aca="1" ref="O13" ca="1">INDEX(Starlink!$D:$AC,MATCH("Active V2 DTC sats",Starlink!$A:$A,0),O$5+1)*INDEX(Starlink!$D:$AC,MATCH("V2 DTC Gbps per sat",Starlink!$A:$A,0),O$5+1)+INDEX(Starlink!$D:$AC,MATCH("Active V3 DTC sats",Starlink!$A:$A,0),O$5+1)*INDEX(Starlink!$D:$AC,MATCH("V3 DTC Gbps per sat",Starlink!$A:$A,0),O$5+1)</f>
        <v>0</v>
      </c>
      <c r="P13" s="15" cm="1">
        <f t="array" aca="1" ref="P13" ca="1">INDEX(Starlink!$D:$AC,MATCH("Active V2 DTC sats",Starlink!$A:$A,0),P$5+1)*INDEX(Starlink!$D:$AC,MATCH("V2 DTC Gbps per sat",Starlink!$A:$A,0),P$5+1)+INDEX(Starlink!$D:$AC,MATCH("Active V3 DTC sats",Starlink!$A:$A,0),P$5+1)*INDEX(Starlink!$D:$AC,MATCH("V3 DTC Gbps per sat",Starlink!$A:$A,0),P$5+1)</f>
        <v>0</v>
      </c>
      <c r="Q13" s="15" cm="1">
        <f t="array" aca="1" ref="Q13" ca="1">INDEX(Starlink!$D:$AC,MATCH("Active V2 DTC sats",Starlink!$A:$A,0),Q$5+1)*INDEX(Starlink!$D:$AC,MATCH("V2 DTC Gbps per sat",Starlink!$A:$A,0),Q$5+1)+INDEX(Starlink!$D:$AC,MATCH("Active V3 DTC sats",Starlink!$A:$A,0),Q$5+1)*INDEX(Starlink!$D:$AC,MATCH("V3 DTC Gbps per sat",Starlink!$A:$A,0),Q$5+1)</f>
        <v>0</v>
      </c>
      <c r="R13" s="15" cm="1">
        <f t="array" aca="1" ref="R13" ca="1">INDEX(Starlink!$D:$AC,MATCH("Active V2 DTC sats",Starlink!$A:$A,0),R$5+1)*INDEX(Starlink!$D:$AC,MATCH("V2 DTC Gbps per sat",Starlink!$A:$A,0),R$5+1)+INDEX(Starlink!$D:$AC,MATCH("Active V3 DTC sats",Starlink!$A:$A,0),R$5+1)*INDEX(Starlink!$D:$AC,MATCH("V3 DTC Gbps per sat",Starlink!$A:$A,0),R$5+1)</f>
        <v>0</v>
      </c>
      <c r="S13" s="15" cm="1">
        <f t="array" aca="1" ref="S13" ca="1">INDEX(Starlink!$D:$AC,MATCH("Active V2 DTC sats",Starlink!$A:$A,0),S$5+1)*INDEX(Starlink!$D:$AC,MATCH("V2 DTC Gbps per sat",Starlink!$A:$A,0),S$5+1)+INDEX(Starlink!$D:$AC,MATCH("Active V3 DTC sats",Starlink!$A:$A,0),S$5+1)*INDEX(Starlink!$D:$AC,MATCH("V3 DTC Gbps per sat",Starlink!$A:$A,0),S$5+1)</f>
        <v>0</v>
      </c>
      <c r="T13" s="15" cm="1">
        <f t="array" aca="1" ref="T13" ca="1">INDEX(Starlink!$D:$AC,MATCH("Active V2 DTC sats",Starlink!$A:$A,0),T$5+1)*INDEX(Starlink!$D:$AC,MATCH("V2 DTC Gbps per sat",Starlink!$A:$A,0),T$5+1)+INDEX(Starlink!$D:$AC,MATCH("Active V3 DTC sats",Starlink!$A:$A,0),T$5+1)*INDEX(Starlink!$D:$AC,MATCH("V3 DTC Gbps per sat",Starlink!$A:$A,0),T$5+1)</f>
        <v>0</v>
      </c>
      <c r="U13" s="15" cm="1">
        <f t="array" aca="1" ref="U13" ca="1">INDEX(Starlink!$D:$AC,MATCH("Active V2 DTC sats",Starlink!$A:$A,0),U$5+1)*INDEX(Starlink!$D:$AC,MATCH("V2 DTC Gbps per sat",Starlink!$A:$A,0),U$5+1)+INDEX(Starlink!$D:$AC,MATCH("Active V3 DTC sats",Starlink!$A:$A,0),U$5+1)*INDEX(Starlink!$D:$AC,MATCH("V3 DTC Gbps per sat",Starlink!$A:$A,0),U$5+1)</f>
        <v>0</v>
      </c>
      <c r="V13" s="15" cm="1">
        <f t="array" aca="1" ref="V13" ca="1">INDEX(Starlink!$D:$AC,MATCH("Active V2 DTC sats",Starlink!$A:$A,0),V$5+1)*INDEX(Starlink!$D:$AC,MATCH("V2 DTC Gbps per sat",Starlink!$A:$A,0),V$5+1)+INDEX(Starlink!$D:$AC,MATCH("Active V3 DTC sats",Starlink!$A:$A,0),V$5+1)*INDEX(Starlink!$D:$AC,MATCH("V3 DTC Gbps per sat",Starlink!$A:$A,0),V$5+1)</f>
        <v>0</v>
      </c>
      <c r="W13" s="15" cm="1">
        <f t="array" aca="1" ref="W13" ca="1">INDEX(Starlink!$D:$AC,MATCH("Active V2 DTC sats",Starlink!$A:$A,0),W$5+1)*INDEX(Starlink!$D:$AC,MATCH("V2 DTC Gbps per sat",Starlink!$A:$A,0),W$5+1)+INDEX(Starlink!$D:$AC,MATCH("Active V3 DTC sats",Starlink!$A:$A,0),W$5+1)*INDEX(Starlink!$D:$AC,MATCH("V3 DTC Gbps per sat",Starlink!$A:$A,0),W$5+1)</f>
        <v>0</v>
      </c>
      <c r="X13" s="15" cm="1">
        <f t="array" aca="1" ref="X13" ca="1">INDEX(Starlink!$D:$AC,MATCH("Active V2 DTC sats",Starlink!$A:$A,0),X$5+1)*INDEX(Starlink!$D:$AC,MATCH("V2 DTC Gbps per sat",Starlink!$A:$A,0),X$5+1)+INDEX(Starlink!$D:$AC,MATCH("Active V3 DTC sats",Starlink!$A:$A,0),X$5+1)*INDEX(Starlink!$D:$AC,MATCH("V3 DTC Gbps per sat",Starlink!$A:$A,0),X$5+1)</f>
        <v>0</v>
      </c>
      <c r="Y13" s="15" cm="1">
        <f t="array" aca="1" ref="Y13" ca="1">INDEX(Starlink!$D:$AC,MATCH("Active V2 DTC sats",Starlink!$A:$A,0),Y$5+1)*INDEX(Starlink!$D:$AC,MATCH("V2 DTC Gbps per sat",Starlink!$A:$A,0),Y$5+1)+INDEX(Starlink!$D:$AC,MATCH("Active V3 DTC sats",Starlink!$A:$A,0),Y$5+1)*INDEX(Starlink!$D:$AC,MATCH("V3 DTC Gbps per sat",Starlink!$A:$A,0),Y$5+1)</f>
        <v>0</v>
      </c>
      <c r="Z13" s="15" cm="1">
        <f t="array" aca="1" ref="Z13" ca="1">INDEX(Starlink!$D:$AC,MATCH("Active V2 DTC sats",Starlink!$A:$A,0),Z$5+1)*INDEX(Starlink!$D:$AC,MATCH("V2 DTC Gbps per sat",Starlink!$A:$A,0),Z$5+1)+INDEX(Starlink!$D:$AC,MATCH("Active V3 DTC sats",Starlink!$A:$A,0),Z$5+1)*INDEX(Starlink!$D:$AC,MATCH("V3 DTC Gbps per sat",Starlink!$A:$A,0),Z$5+1)</f>
        <v>0</v>
      </c>
      <c r="AA13" s="15" cm="1">
        <f t="array" aca="1" ref="AA13" ca="1">INDEX(Starlink!$D:$AC,MATCH("Active V2 DTC sats",Starlink!$A:$A,0),AA$5+1)*INDEX(Starlink!$D:$AC,MATCH("V2 DTC Gbps per sat",Starlink!$A:$A,0),AA$5+1)+INDEX(Starlink!$D:$AC,MATCH("Active V3 DTC sats",Starlink!$A:$A,0),AA$5+1)*INDEX(Starlink!$D:$AC,MATCH("V3 DTC Gbps per sat",Starlink!$A:$A,0),AA$5+1)</f>
        <v>0</v>
      </c>
      <c r="AB13" s="15" cm="1">
        <f t="array" aca="1" ref="AB13" ca="1">INDEX(Starlink!$D:$AC,MATCH("Active V2 DTC sats",Starlink!$A:$A,0),AB$5+1)*INDEX(Starlink!$D:$AC,MATCH("V2 DTC Gbps per sat",Starlink!$A:$A,0),AB$5+1)+INDEX(Starlink!$D:$AC,MATCH("Active V3 DTC sats",Starlink!$A:$A,0),AB$5+1)*INDEX(Starlink!$D:$AC,MATCH("V3 DTC Gbps per sat",Starlink!$A:$A,0),AB$5+1)</f>
        <v>0</v>
      </c>
      <c r="AC13" s="15" cm="1">
        <f t="array" aca="1" ref="AC13" ca="1">INDEX(Starlink!$D:$AC,MATCH("Active V2 DTC sats",Starlink!$A:$A,0),AC$5+1)*INDEX(Starlink!$D:$AC,MATCH("V2 DTC Gbps per sat",Starlink!$A:$A,0),AC$5+1)+INDEX(Starlink!$D:$AC,MATCH("Active V3 DTC sats",Starlink!$A:$A,0),AC$5+1)*INDEX(Starlink!$D:$AC,MATCH("V3 DTC Gbps per sat",Starlink!$A:$A,0),AC$5+1)</f>
        <v>0</v>
      </c>
    </row>
    <row r="17" spans="1:29" x14ac:dyDescent="0.2">
      <c r="A17" s="39" t="s">
        <v>909</v>
      </c>
    </row>
    <row r="18" spans="1:29" x14ac:dyDescent="0.2">
      <c r="A18" t="s">
        <v>910</v>
      </c>
      <c r="D18" s="15" cm="1">
        <f t="array" aca="1" ref="D18" ca="1">IFERROR(INDEX(ODC!$D:$AC,MATCH("ODC BB Gbps demand",ODC!$A:$A,0),D$5+1),0)</f>
        <v>0</v>
      </c>
      <c r="E18" s="15" cm="1">
        <f t="array" aca="1" ref="E18" ca="1">IFERROR(INDEX(ODC!$D:$AC,MATCH("ODC BB Gbps demand",ODC!$A:$A,0),E$5+1),0)</f>
        <v>0</v>
      </c>
      <c r="F18" s="15" cm="1">
        <f t="array" aca="1" ref="F18" ca="1">IFERROR(INDEX(ODC!$D:$AC,MATCH("ODC BB Gbps demand",ODC!$A:$A,0),F$5+1),0)</f>
        <v>0</v>
      </c>
      <c r="G18" s="15" cm="1">
        <f t="array" aca="1" ref="G18" ca="1">IFERROR(INDEX(ODC!$D:$AC,MATCH("ODC BB Gbps demand",ODC!$A:$A,0),G$5+1),0)</f>
        <v>0</v>
      </c>
      <c r="H18" s="15" cm="1">
        <f t="array" aca="1" ref="H18" ca="1">IFERROR(INDEX(ODC!$D:$AC,MATCH("ODC BB Gbps demand",ODC!$A:$A,0),H$5+1),0)</f>
        <v>0</v>
      </c>
      <c r="I18" s="15" cm="1">
        <f t="array" aca="1" ref="I18" ca="1">IFERROR(INDEX(ODC!$D:$AC,MATCH("ODC BB Gbps demand",ODC!$A:$A,0),I$5+1),0)</f>
        <v>0</v>
      </c>
      <c r="J18" s="15" cm="1">
        <f t="array" aca="1" ref="J18" ca="1">IFERROR(INDEX(ODC!$D:$AC,MATCH("ODC BB Gbps demand",ODC!$A:$A,0),J$5+1),0)</f>
        <v>0</v>
      </c>
      <c r="K18" s="15" cm="1">
        <f t="array" aca="1" ref="K18" ca="1">IFERROR(INDEX(ODC!$D:$AC,MATCH("ODC BB Gbps demand",ODC!$A:$A,0),K$5+1),0)</f>
        <v>0</v>
      </c>
      <c r="L18" s="15" cm="1">
        <f t="array" aca="1" ref="L18" ca="1">IFERROR(INDEX(ODC!$D:$AC,MATCH("ODC BB Gbps demand",ODC!$A:$A,0),L$5+1),0)</f>
        <v>0</v>
      </c>
      <c r="M18" s="15" cm="1">
        <f t="array" aca="1" ref="M18" ca="1">IFERROR(INDEX(ODC!$D:$AC,MATCH("ODC BB Gbps demand",ODC!$A:$A,0),M$5+1),0)</f>
        <v>0</v>
      </c>
      <c r="N18" s="15" cm="1">
        <f t="array" aca="1" ref="N18" ca="1">IFERROR(INDEX(ODC!$D:$AC,MATCH("ODC BB Gbps demand",ODC!$A:$A,0),N$5+1),0)</f>
        <v>0</v>
      </c>
      <c r="O18" s="15" cm="1">
        <f t="array" aca="1" ref="O18" ca="1">IFERROR(INDEX(ODC!$D:$AC,MATCH("ODC BB Gbps demand",ODC!$A:$A,0),O$5+1),0)</f>
        <v>0</v>
      </c>
      <c r="P18" s="15" cm="1">
        <f t="array" aca="1" ref="P18" ca="1">IFERROR(INDEX(ODC!$D:$AC,MATCH("ODC BB Gbps demand",ODC!$A:$A,0),P$5+1),0)</f>
        <v>0</v>
      </c>
      <c r="Q18" s="15" cm="1">
        <f t="array" aca="1" ref="Q18" ca="1">IFERROR(INDEX(ODC!$D:$AC,MATCH("ODC BB Gbps demand",ODC!$A:$A,0),Q$5+1),0)</f>
        <v>0</v>
      </c>
      <c r="R18" s="15" cm="1">
        <f t="array" aca="1" ref="R18" ca="1">IFERROR(INDEX(ODC!$D:$AC,MATCH("ODC BB Gbps demand",ODC!$A:$A,0),R$5+1),0)</f>
        <v>0</v>
      </c>
      <c r="S18" s="15" cm="1">
        <f t="array" aca="1" ref="S18" ca="1">IFERROR(INDEX(ODC!$D:$AC,MATCH("ODC BB Gbps demand",ODC!$A:$A,0),S$5+1),0)</f>
        <v>0</v>
      </c>
      <c r="T18" s="15" cm="1">
        <f t="array" aca="1" ref="T18" ca="1">IFERROR(INDEX(ODC!$D:$AC,MATCH("ODC BB Gbps demand",ODC!$A:$A,0),T$5+1),0)</f>
        <v>0</v>
      </c>
      <c r="U18" s="15" cm="1">
        <f t="array" aca="1" ref="U18" ca="1">IFERROR(INDEX(ODC!$D:$AC,MATCH("ODC BB Gbps demand",ODC!$A:$A,0),U$5+1),0)</f>
        <v>0</v>
      </c>
      <c r="V18" s="15" cm="1">
        <f t="array" aca="1" ref="V18" ca="1">IFERROR(INDEX(ODC!$D:$AC,MATCH("ODC BB Gbps demand",ODC!$A:$A,0),V$5+1),0)</f>
        <v>0</v>
      </c>
      <c r="W18" s="15" cm="1">
        <f t="array" aca="1" ref="W18" ca="1">IFERROR(INDEX(ODC!$D:$AC,MATCH("ODC BB Gbps demand",ODC!$A:$A,0),W$5+1),0)</f>
        <v>0</v>
      </c>
      <c r="X18" s="15" cm="1">
        <f t="array" aca="1" ref="X18" ca="1">IFERROR(INDEX(ODC!$D:$AC,MATCH("ODC BB Gbps demand",ODC!$A:$A,0),X$5+1),0)</f>
        <v>0</v>
      </c>
      <c r="Y18" s="15" cm="1">
        <f t="array" aca="1" ref="Y18" ca="1">IFERROR(INDEX(ODC!$D:$AC,MATCH("ODC BB Gbps demand",ODC!$A:$A,0),Y$5+1),0)</f>
        <v>0</v>
      </c>
      <c r="Z18" s="15" cm="1">
        <f t="array" aca="1" ref="Z18" ca="1">IFERROR(INDEX(ODC!$D:$AC,MATCH("ODC BB Gbps demand",ODC!$A:$A,0),Z$5+1),0)</f>
        <v>0</v>
      </c>
      <c r="AA18" s="15" cm="1">
        <f t="array" aca="1" ref="AA18" ca="1">IFERROR(INDEX(ODC!$D:$AC,MATCH("ODC BB Gbps demand",ODC!$A:$A,0),AA$5+1),0)</f>
        <v>0</v>
      </c>
      <c r="AB18" s="15" cm="1">
        <f t="array" aca="1" ref="AB18" ca="1">IFERROR(INDEX(ODC!$D:$AC,MATCH("ODC BB Gbps demand",ODC!$A:$A,0),AB$5+1),0)</f>
        <v>0</v>
      </c>
      <c r="AC18" s="15" cm="1">
        <f t="array" aca="1" ref="AC18" ca="1">IFERROR(INDEX(ODC!$D:$AC,MATCH("ODC BB Gbps demand",ODC!$A:$A,0),AC$5+1),0)</f>
        <v>0</v>
      </c>
    </row>
    <row r="20" spans="1:29" x14ac:dyDescent="0.2">
      <c r="A20" t="s">
        <v>911</v>
      </c>
      <c r="D20" s="15" cm="1">
        <f t="array" aca="1" ref="D20" ca="1">IFERROR(INDEX(ODC!$D:$AC,MATCH("ODC DTC Gbps demand",ODC!$A:$A,0),D$5+1),0)</f>
        <v>0</v>
      </c>
      <c r="E20" s="15" cm="1">
        <f t="array" aca="1" ref="E20" ca="1">IFERROR(INDEX(ODC!$D:$AC,MATCH("ODC DTC Gbps demand",ODC!$A:$A,0),E$5+1),0)</f>
        <v>0</v>
      </c>
      <c r="F20" s="15" cm="1">
        <f t="array" aca="1" ref="F20" ca="1">IFERROR(INDEX(ODC!$D:$AC,MATCH("ODC DTC Gbps demand",ODC!$A:$A,0),F$5+1),0)</f>
        <v>0</v>
      </c>
      <c r="G20" s="15" cm="1">
        <f t="array" aca="1" ref="G20" ca="1">IFERROR(INDEX(ODC!$D:$AC,MATCH("ODC DTC Gbps demand",ODC!$A:$A,0),G$5+1),0)</f>
        <v>0</v>
      </c>
      <c r="H20" s="15" cm="1">
        <f t="array" aca="1" ref="H20" ca="1">IFERROR(INDEX(ODC!$D:$AC,MATCH("ODC DTC Gbps demand",ODC!$A:$A,0),H$5+1),0)</f>
        <v>0</v>
      </c>
      <c r="I20" s="15" cm="1">
        <f t="array" aca="1" ref="I20" ca="1">IFERROR(INDEX(ODC!$D:$AC,MATCH("ODC DTC Gbps demand",ODC!$A:$A,0),I$5+1),0)</f>
        <v>0</v>
      </c>
      <c r="J20" s="15" cm="1">
        <f t="array" aca="1" ref="J20" ca="1">IFERROR(INDEX(ODC!$D:$AC,MATCH("ODC DTC Gbps demand",ODC!$A:$A,0),J$5+1),0)</f>
        <v>0</v>
      </c>
      <c r="K20" s="15" cm="1">
        <f t="array" aca="1" ref="K20" ca="1">IFERROR(INDEX(ODC!$D:$AC,MATCH("ODC DTC Gbps demand",ODC!$A:$A,0),K$5+1),0)</f>
        <v>0</v>
      </c>
      <c r="L20" s="15" cm="1">
        <f t="array" aca="1" ref="L20" ca="1">IFERROR(INDEX(ODC!$D:$AC,MATCH("ODC DTC Gbps demand",ODC!$A:$A,0),L$5+1),0)</f>
        <v>0</v>
      </c>
      <c r="M20" s="15" cm="1">
        <f t="array" aca="1" ref="M20" ca="1">IFERROR(INDEX(ODC!$D:$AC,MATCH("ODC DTC Gbps demand",ODC!$A:$A,0),M$5+1),0)</f>
        <v>0</v>
      </c>
      <c r="N20" s="15" cm="1">
        <f t="array" aca="1" ref="N20" ca="1">IFERROR(INDEX(ODC!$D:$AC,MATCH("ODC DTC Gbps demand",ODC!$A:$A,0),N$5+1),0)</f>
        <v>0</v>
      </c>
      <c r="O20" s="15" cm="1">
        <f t="array" aca="1" ref="O20" ca="1">IFERROR(INDEX(ODC!$D:$AC,MATCH("ODC DTC Gbps demand",ODC!$A:$A,0),O$5+1),0)</f>
        <v>0</v>
      </c>
      <c r="P20" s="15" cm="1">
        <f t="array" aca="1" ref="P20" ca="1">IFERROR(INDEX(ODC!$D:$AC,MATCH("ODC DTC Gbps demand",ODC!$A:$A,0),P$5+1),0)</f>
        <v>0</v>
      </c>
      <c r="Q20" s="15" cm="1">
        <f t="array" aca="1" ref="Q20" ca="1">IFERROR(INDEX(ODC!$D:$AC,MATCH("ODC DTC Gbps demand",ODC!$A:$A,0),Q$5+1),0)</f>
        <v>0</v>
      </c>
      <c r="R20" s="15" cm="1">
        <f t="array" aca="1" ref="R20" ca="1">IFERROR(INDEX(ODC!$D:$AC,MATCH("ODC DTC Gbps demand",ODC!$A:$A,0),R$5+1),0)</f>
        <v>0</v>
      </c>
      <c r="S20" s="15" cm="1">
        <f t="array" aca="1" ref="S20" ca="1">IFERROR(INDEX(ODC!$D:$AC,MATCH("ODC DTC Gbps demand",ODC!$A:$A,0),S$5+1),0)</f>
        <v>0</v>
      </c>
      <c r="T20" s="15" cm="1">
        <f t="array" aca="1" ref="T20" ca="1">IFERROR(INDEX(ODC!$D:$AC,MATCH("ODC DTC Gbps demand",ODC!$A:$A,0),T$5+1),0)</f>
        <v>0</v>
      </c>
      <c r="U20" s="15" cm="1">
        <f t="array" aca="1" ref="U20" ca="1">IFERROR(INDEX(ODC!$D:$AC,MATCH("ODC DTC Gbps demand",ODC!$A:$A,0),U$5+1),0)</f>
        <v>0</v>
      </c>
      <c r="V20" s="15" cm="1">
        <f t="array" aca="1" ref="V20" ca="1">IFERROR(INDEX(ODC!$D:$AC,MATCH("ODC DTC Gbps demand",ODC!$A:$A,0),V$5+1),0)</f>
        <v>0</v>
      </c>
      <c r="W20" s="15" cm="1">
        <f t="array" aca="1" ref="W20" ca="1">IFERROR(INDEX(ODC!$D:$AC,MATCH("ODC DTC Gbps demand",ODC!$A:$A,0),W$5+1),0)</f>
        <v>0</v>
      </c>
      <c r="X20" s="15" cm="1">
        <f t="array" aca="1" ref="X20" ca="1">IFERROR(INDEX(ODC!$D:$AC,MATCH("ODC DTC Gbps demand",ODC!$A:$A,0),X$5+1),0)</f>
        <v>0</v>
      </c>
      <c r="Y20" s="15" cm="1">
        <f t="array" aca="1" ref="Y20" ca="1">IFERROR(INDEX(ODC!$D:$AC,MATCH("ODC DTC Gbps demand",ODC!$A:$A,0),Y$5+1),0)</f>
        <v>0</v>
      </c>
      <c r="Z20" s="15" cm="1">
        <f t="array" aca="1" ref="Z20" ca="1">IFERROR(INDEX(ODC!$D:$AC,MATCH("ODC DTC Gbps demand",ODC!$A:$A,0),Z$5+1),0)</f>
        <v>0</v>
      </c>
      <c r="AA20" s="15" cm="1">
        <f t="array" aca="1" ref="AA20" ca="1">IFERROR(INDEX(ODC!$D:$AC,MATCH("ODC DTC Gbps demand",ODC!$A:$A,0),AA$5+1),0)</f>
        <v>0</v>
      </c>
      <c r="AB20" s="15" cm="1">
        <f t="array" aca="1" ref="AB20" ca="1">IFERROR(INDEX(ODC!$D:$AC,MATCH("ODC DTC Gbps demand",ODC!$A:$A,0),AB$5+1),0)</f>
        <v>0</v>
      </c>
      <c r="AC20" s="15" cm="1">
        <f t="array" aca="1" ref="AC20" ca="1">IFERROR(INDEX(ODC!$D:$AC,MATCH("ODC DTC Gbps demand",ODC!$A:$A,0),AC$5+1),0)</f>
        <v>0</v>
      </c>
    </row>
    <row r="27" spans="1:29" x14ac:dyDescent="0.2">
      <c r="A27" s="39" t="s">
        <v>912</v>
      </c>
    </row>
    <row r="28" spans="1:29" x14ac:dyDescent="0.2">
      <c r="A28" t="s">
        <v>882</v>
      </c>
      <c r="D28" s="15">
        <f ca="1">MAX(0,D11-D18)</f>
        <v>575504</v>
      </c>
      <c r="E28" s="15">
        <f t="shared" ref="E28:AC28" ca="1" si="0">MAX(0,E11-E18)</f>
        <v>456808.80000000005</v>
      </c>
      <c r="F28" s="15">
        <f t="shared" ca="1" si="0"/>
        <v>338113.60000000003</v>
      </c>
      <c r="G28" s="15">
        <f t="shared" ca="1" si="0"/>
        <v>219418.40000000005</v>
      </c>
      <c r="H28" s="15">
        <f t="shared" ca="1" si="0"/>
        <v>100723.20000000004</v>
      </c>
      <c r="I28" s="15">
        <f t="shared" ca="1" si="0"/>
        <v>0</v>
      </c>
      <c r="J28" s="15">
        <f t="shared" ca="1" si="0"/>
        <v>0</v>
      </c>
      <c r="K28" s="15">
        <f t="shared" ca="1" si="0"/>
        <v>0</v>
      </c>
      <c r="L28" s="15">
        <f t="shared" ca="1" si="0"/>
        <v>0</v>
      </c>
      <c r="M28" s="15">
        <f t="shared" ca="1" si="0"/>
        <v>0</v>
      </c>
      <c r="N28" s="15">
        <f t="shared" ca="1" si="0"/>
        <v>0</v>
      </c>
      <c r="O28" s="15">
        <f t="shared" ca="1" si="0"/>
        <v>0</v>
      </c>
      <c r="P28" s="15">
        <f t="shared" ca="1" si="0"/>
        <v>0</v>
      </c>
      <c r="Q28" s="15">
        <f t="shared" ca="1" si="0"/>
        <v>0</v>
      </c>
      <c r="R28" s="15">
        <f t="shared" ca="1" si="0"/>
        <v>0</v>
      </c>
      <c r="S28" s="15">
        <f t="shared" ca="1" si="0"/>
        <v>0</v>
      </c>
      <c r="T28" s="15">
        <f t="shared" ca="1" si="0"/>
        <v>0</v>
      </c>
      <c r="U28" s="15">
        <f t="shared" ca="1" si="0"/>
        <v>0</v>
      </c>
      <c r="V28" s="15">
        <f t="shared" ca="1" si="0"/>
        <v>0</v>
      </c>
      <c r="W28" s="15">
        <f t="shared" ca="1" si="0"/>
        <v>0</v>
      </c>
      <c r="X28" s="15">
        <f t="shared" ca="1" si="0"/>
        <v>0</v>
      </c>
      <c r="Y28" s="15">
        <f t="shared" ca="1" si="0"/>
        <v>0</v>
      </c>
      <c r="Z28" s="15">
        <f t="shared" ca="1" si="0"/>
        <v>0</v>
      </c>
      <c r="AA28" s="15">
        <f t="shared" ca="1" si="0"/>
        <v>0</v>
      </c>
      <c r="AB28" s="15">
        <f t="shared" ca="1" si="0"/>
        <v>0</v>
      </c>
      <c r="AC28" s="15">
        <f t="shared" ca="1" si="0"/>
        <v>0</v>
      </c>
    </row>
    <row r="30" spans="1:29" x14ac:dyDescent="0.2">
      <c r="A30" t="s">
        <v>887</v>
      </c>
      <c r="D30" s="15">
        <f ca="1">MAX(0,D13-D20)</f>
        <v>130</v>
      </c>
      <c r="E30" s="15">
        <f t="shared" ref="E30:AC30" ca="1" si="1">MAX(0,E13-E20)</f>
        <v>104</v>
      </c>
      <c r="F30" s="15">
        <f t="shared" ca="1" si="1"/>
        <v>78</v>
      </c>
      <c r="G30" s="15">
        <f t="shared" ca="1" si="1"/>
        <v>52</v>
      </c>
      <c r="H30" s="15">
        <f t="shared" ca="1" si="1"/>
        <v>26</v>
      </c>
      <c r="I30" s="15">
        <f t="shared" ca="1" si="1"/>
        <v>0</v>
      </c>
      <c r="J30" s="15">
        <f t="shared" ca="1" si="1"/>
        <v>0</v>
      </c>
      <c r="K30" s="15">
        <f t="shared" ca="1" si="1"/>
        <v>0</v>
      </c>
      <c r="L30" s="15">
        <f t="shared" ca="1" si="1"/>
        <v>0</v>
      </c>
      <c r="M30" s="15">
        <f t="shared" ca="1" si="1"/>
        <v>0</v>
      </c>
      <c r="N30" s="15">
        <f t="shared" ca="1" si="1"/>
        <v>0</v>
      </c>
      <c r="O30" s="15">
        <f t="shared" ca="1" si="1"/>
        <v>0</v>
      </c>
      <c r="P30" s="15">
        <f t="shared" ca="1" si="1"/>
        <v>0</v>
      </c>
      <c r="Q30" s="15">
        <f t="shared" ca="1" si="1"/>
        <v>0</v>
      </c>
      <c r="R30" s="15">
        <f t="shared" ca="1" si="1"/>
        <v>0</v>
      </c>
      <c r="S30" s="15">
        <f t="shared" ca="1" si="1"/>
        <v>0</v>
      </c>
      <c r="T30" s="15">
        <f t="shared" ca="1" si="1"/>
        <v>0</v>
      </c>
      <c r="U30" s="15">
        <f t="shared" ca="1" si="1"/>
        <v>0</v>
      </c>
      <c r="V30" s="15">
        <f t="shared" ca="1" si="1"/>
        <v>0</v>
      </c>
      <c r="W30" s="15">
        <f t="shared" ca="1" si="1"/>
        <v>0</v>
      </c>
      <c r="X30" s="15">
        <f t="shared" ca="1" si="1"/>
        <v>0</v>
      </c>
      <c r="Y30" s="15">
        <f t="shared" ca="1" si="1"/>
        <v>0</v>
      </c>
      <c r="Z30" s="15">
        <f t="shared" ca="1" si="1"/>
        <v>0</v>
      </c>
      <c r="AA30" s="15">
        <f t="shared" ca="1" si="1"/>
        <v>0</v>
      </c>
      <c r="AB30" s="15">
        <f t="shared" ca="1" si="1"/>
        <v>0</v>
      </c>
      <c r="AC30" s="15">
        <f t="shared" ca="1" si="1"/>
        <v>0</v>
      </c>
    </row>
    <row r="34" spans="1:29" x14ac:dyDescent="0.2">
      <c r="A34" s="39" t="s">
        <v>913</v>
      </c>
    </row>
    <row r="35" spans="1:29" x14ac:dyDescent="0.2">
      <c r="A35" t="s">
        <v>914</v>
      </c>
      <c r="D35" s="31" cm="1">
        <f t="array" aca="1" ref="D35" ca="1">INDEX(Starlink!$D:$AC,MATCH("Constellation D&amp;A ($mm)",Starlink!$A:$A,0),D$5+1)*IFERROR(D11/(D11+D13),0)+INDEX(Starlink!$D:$AC,MATCH("Ground ops cost ($mm)",Starlink!$A:$A,0),D$5+1)*IFERROR(D11/(D11+D13),0)+INDEX(Starlink!$D:$AC,MATCH("Spectrum amortization (BB-only) ($mm)",Starlink!$A:$A,0),D$5+1)</f>
        <v>1089.318908098074</v>
      </c>
      <c r="E35" s="31" cm="1">
        <f t="array" aca="1" ref="E35" ca="1">INDEX(Starlink!$D:$AC,MATCH("Constellation D&amp;A ($mm)",Starlink!$A:$A,0),E$5+1)*IFERROR(E11/(E11+E13),0)+INDEX(Starlink!$D:$AC,MATCH("Ground ops cost ($mm)",Starlink!$A:$A,0),E$5+1)*IFERROR(E11/(E11+E13),0)+INDEX(Starlink!$D:$AC,MATCH("Spectrum amortization (BB-only) ($mm)",Starlink!$A:$A,0),E$5+1)</f>
        <v>888.70479756789291</v>
      </c>
      <c r="F35" s="31" cm="1">
        <f t="array" aca="1" ref="F35" ca="1">INDEX(Starlink!$D:$AC,MATCH("Constellation D&amp;A ($mm)",Starlink!$A:$A,0),F$5+1)*IFERROR(F11/(F11+F13),0)+INDEX(Starlink!$D:$AC,MATCH("Ground ops cost ($mm)",Starlink!$A:$A,0),F$5+1)*IFERROR(F11/(F11+F13),0)+INDEX(Starlink!$D:$AC,MATCH("Spectrum amortization (BB-only) ($mm)",Starlink!$A:$A,0),F$5+1)</f>
        <v>711.52088443126468</v>
      </c>
      <c r="G35" s="31" cm="1">
        <f t="array" aca="1" ref="G35" ca="1">INDEX(Starlink!$D:$AC,MATCH("Constellation D&amp;A ($mm)",Starlink!$A:$A,0),G$5+1)*IFERROR(G11/(G11+G13),0)+INDEX(Starlink!$D:$AC,MATCH("Ground ops cost ($mm)",Starlink!$A:$A,0),G$5+1)*IFERROR(G11/(G11+G13),0)+INDEX(Starlink!$D:$AC,MATCH("Spectrum amortization (BB-only) ($mm)",Starlink!$A:$A,0),G$5+1)</f>
        <v>541.77599887603355</v>
      </c>
      <c r="H35" s="31" cm="1">
        <f t="array" aca="1" ref="H35" ca="1">INDEX(Starlink!$D:$AC,MATCH("Constellation D&amp;A ($mm)",Starlink!$A:$A,0),H$5+1)*IFERROR(H11/(H11+H13),0)+INDEX(Starlink!$D:$AC,MATCH("Ground ops cost ($mm)",Starlink!$A:$A,0),H$5+1)*IFERROR(H11/(H11+H13),0)+INDEX(Starlink!$D:$AC,MATCH("Spectrum amortization (BB-only) ($mm)",Starlink!$A:$A,0),H$5+1)</f>
        <v>375.81240959995307</v>
      </c>
      <c r="I35" s="31" cm="1">
        <f t="array" aca="1" ref="I35" ca="1">INDEX(Starlink!$D:$AC,MATCH("Constellation D&amp;A ($mm)",Starlink!$A:$A,0),I$5+1)*IFERROR(I11/(I11+I13),0)+INDEX(Starlink!$D:$AC,MATCH("Ground ops cost ($mm)",Starlink!$A:$A,0),I$5+1)*IFERROR(I11/(I11+I13),0)+INDEX(Starlink!$D:$AC,MATCH("Spectrum amortization (BB-only) ($mm)",Starlink!$A:$A,0),I$5+1)</f>
        <v>0</v>
      </c>
      <c r="J35" s="31" cm="1">
        <f t="array" aca="1" ref="J35" ca="1">INDEX(Starlink!$D:$AC,MATCH("Constellation D&amp;A ($mm)",Starlink!$A:$A,0),J$5+1)*IFERROR(J11/(J11+J13),0)+INDEX(Starlink!$D:$AC,MATCH("Ground ops cost ($mm)",Starlink!$A:$A,0),J$5+1)*IFERROR(J11/(J11+J13),0)+INDEX(Starlink!$D:$AC,MATCH("Spectrum amortization (BB-only) ($mm)",Starlink!$A:$A,0),J$5+1)</f>
        <v>0</v>
      </c>
      <c r="K35" s="31" cm="1">
        <f t="array" aca="1" ref="K35" ca="1">INDEX(Starlink!$D:$AC,MATCH("Constellation D&amp;A ($mm)",Starlink!$A:$A,0),K$5+1)*IFERROR(K11/(K11+K13),0)+INDEX(Starlink!$D:$AC,MATCH("Ground ops cost ($mm)",Starlink!$A:$A,0),K$5+1)*IFERROR(K11/(K11+K13),0)+INDEX(Starlink!$D:$AC,MATCH("Spectrum amortization (BB-only) ($mm)",Starlink!$A:$A,0),K$5+1)</f>
        <v>0</v>
      </c>
      <c r="L35" s="31" cm="1">
        <f t="array" aca="1" ref="L35" ca="1">INDEX(Starlink!$D:$AC,MATCH("Constellation D&amp;A ($mm)",Starlink!$A:$A,0),L$5+1)*IFERROR(L11/(L11+L13),0)+INDEX(Starlink!$D:$AC,MATCH("Ground ops cost ($mm)",Starlink!$A:$A,0),L$5+1)*IFERROR(L11/(L11+L13),0)+INDEX(Starlink!$D:$AC,MATCH("Spectrum amortization (BB-only) ($mm)",Starlink!$A:$A,0),L$5+1)</f>
        <v>0</v>
      </c>
      <c r="M35" s="31" cm="1">
        <f t="array" aca="1" ref="M35" ca="1">INDEX(Starlink!$D:$AC,MATCH("Constellation D&amp;A ($mm)",Starlink!$A:$A,0),M$5+1)*IFERROR(M11/(M11+M13),0)+INDEX(Starlink!$D:$AC,MATCH("Ground ops cost ($mm)",Starlink!$A:$A,0),M$5+1)*IFERROR(M11/(M11+M13),0)+INDEX(Starlink!$D:$AC,MATCH("Spectrum amortization (BB-only) ($mm)",Starlink!$A:$A,0),M$5+1)</f>
        <v>0</v>
      </c>
      <c r="N35" s="31" cm="1">
        <f t="array" aca="1" ref="N35" ca="1">INDEX(Starlink!$D:$AC,MATCH("Constellation D&amp;A ($mm)",Starlink!$A:$A,0),N$5+1)*IFERROR(N11/(N11+N13),0)+INDEX(Starlink!$D:$AC,MATCH("Ground ops cost ($mm)",Starlink!$A:$A,0),N$5+1)*IFERROR(N11/(N11+N13),0)+INDEX(Starlink!$D:$AC,MATCH("Spectrum amortization (BB-only) ($mm)",Starlink!$A:$A,0),N$5+1)</f>
        <v>0</v>
      </c>
      <c r="O35" s="31" cm="1">
        <f t="array" aca="1" ref="O35" ca="1">INDEX(Starlink!$D:$AC,MATCH("Constellation D&amp;A ($mm)",Starlink!$A:$A,0),O$5+1)*IFERROR(O11/(O11+O13),0)+INDEX(Starlink!$D:$AC,MATCH("Ground ops cost ($mm)",Starlink!$A:$A,0),O$5+1)*IFERROR(O11/(O11+O13),0)+INDEX(Starlink!$D:$AC,MATCH("Spectrum amortization (BB-only) ($mm)",Starlink!$A:$A,0),O$5+1)</f>
        <v>0</v>
      </c>
      <c r="P35" s="31" cm="1">
        <f t="array" aca="1" ref="P35" ca="1">INDEX(Starlink!$D:$AC,MATCH("Constellation D&amp;A ($mm)",Starlink!$A:$A,0),P$5+1)*IFERROR(P11/(P11+P13),0)+INDEX(Starlink!$D:$AC,MATCH("Ground ops cost ($mm)",Starlink!$A:$A,0),P$5+1)*IFERROR(P11/(P11+P13),0)+INDEX(Starlink!$D:$AC,MATCH("Spectrum amortization (BB-only) ($mm)",Starlink!$A:$A,0),P$5+1)</f>
        <v>0</v>
      </c>
      <c r="Q35" s="31" cm="1">
        <f t="array" aca="1" ref="Q35" ca="1">INDEX(Starlink!$D:$AC,MATCH("Constellation D&amp;A ($mm)",Starlink!$A:$A,0),Q$5+1)*IFERROR(Q11/(Q11+Q13),0)+INDEX(Starlink!$D:$AC,MATCH("Ground ops cost ($mm)",Starlink!$A:$A,0),Q$5+1)*IFERROR(Q11/(Q11+Q13),0)+INDEX(Starlink!$D:$AC,MATCH("Spectrum amortization (BB-only) ($mm)",Starlink!$A:$A,0),Q$5+1)</f>
        <v>0</v>
      </c>
      <c r="R35" s="31" cm="1">
        <f t="array" aca="1" ref="R35" ca="1">INDEX(Starlink!$D:$AC,MATCH("Constellation D&amp;A ($mm)",Starlink!$A:$A,0),R$5+1)*IFERROR(R11/(R11+R13),0)+INDEX(Starlink!$D:$AC,MATCH("Ground ops cost ($mm)",Starlink!$A:$A,0),R$5+1)*IFERROR(R11/(R11+R13),0)+INDEX(Starlink!$D:$AC,MATCH("Spectrum amortization (BB-only) ($mm)",Starlink!$A:$A,0),R$5+1)</f>
        <v>0</v>
      </c>
      <c r="S35" s="31" cm="1">
        <f t="array" aca="1" ref="S35" ca="1">INDEX(Starlink!$D:$AC,MATCH("Constellation D&amp;A ($mm)",Starlink!$A:$A,0),S$5+1)*IFERROR(S11/(S11+S13),0)+INDEX(Starlink!$D:$AC,MATCH("Ground ops cost ($mm)",Starlink!$A:$A,0),S$5+1)*IFERROR(S11/(S11+S13),0)+INDEX(Starlink!$D:$AC,MATCH("Spectrum amortization (BB-only) ($mm)",Starlink!$A:$A,0),S$5+1)</f>
        <v>0</v>
      </c>
      <c r="T35" s="31" cm="1">
        <f t="array" aca="1" ref="T35" ca="1">INDEX(Starlink!$D:$AC,MATCH("Constellation D&amp;A ($mm)",Starlink!$A:$A,0),T$5+1)*IFERROR(T11/(T11+T13),0)+INDEX(Starlink!$D:$AC,MATCH("Ground ops cost ($mm)",Starlink!$A:$A,0),T$5+1)*IFERROR(T11/(T11+T13),0)+INDEX(Starlink!$D:$AC,MATCH("Spectrum amortization (BB-only) ($mm)",Starlink!$A:$A,0),T$5+1)</f>
        <v>0</v>
      </c>
      <c r="U35" s="31" cm="1">
        <f t="array" aca="1" ref="U35" ca="1">INDEX(Starlink!$D:$AC,MATCH("Constellation D&amp;A ($mm)",Starlink!$A:$A,0),U$5+1)*IFERROR(U11/(U11+U13),0)+INDEX(Starlink!$D:$AC,MATCH("Ground ops cost ($mm)",Starlink!$A:$A,0),U$5+1)*IFERROR(U11/(U11+U13),0)+INDEX(Starlink!$D:$AC,MATCH("Spectrum amortization (BB-only) ($mm)",Starlink!$A:$A,0),U$5+1)</f>
        <v>0</v>
      </c>
      <c r="V35" s="31" cm="1">
        <f t="array" aca="1" ref="V35" ca="1">INDEX(Starlink!$D:$AC,MATCH("Constellation D&amp;A ($mm)",Starlink!$A:$A,0),V$5+1)*IFERROR(V11/(V11+V13),0)+INDEX(Starlink!$D:$AC,MATCH("Ground ops cost ($mm)",Starlink!$A:$A,0),V$5+1)*IFERROR(V11/(V11+V13),0)+INDEX(Starlink!$D:$AC,MATCH("Spectrum amortization (BB-only) ($mm)",Starlink!$A:$A,0),V$5+1)</f>
        <v>0</v>
      </c>
      <c r="W35" s="31" cm="1">
        <f t="array" aca="1" ref="W35" ca="1">INDEX(Starlink!$D:$AC,MATCH("Constellation D&amp;A ($mm)",Starlink!$A:$A,0),W$5+1)*IFERROR(W11/(W11+W13),0)+INDEX(Starlink!$D:$AC,MATCH("Ground ops cost ($mm)",Starlink!$A:$A,0),W$5+1)*IFERROR(W11/(W11+W13),0)+INDEX(Starlink!$D:$AC,MATCH("Spectrum amortization (BB-only) ($mm)",Starlink!$A:$A,0),W$5+1)</f>
        <v>0</v>
      </c>
      <c r="X35" s="31" cm="1">
        <f t="array" aca="1" ref="X35" ca="1">INDEX(Starlink!$D:$AC,MATCH("Constellation D&amp;A ($mm)",Starlink!$A:$A,0),X$5+1)*IFERROR(X11/(X11+X13),0)+INDEX(Starlink!$D:$AC,MATCH("Ground ops cost ($mm)",Starlink!$A:$A,0),X$5+1)*IFERROR(X11/(X11+X13),0)+INDEX(Starlink!$D:$AC,MATCH("Spectrum amortization (BB-only) ($mm)",Starlink!$A:$A,0),X$5+1)</f>
        <v>0</v>
      </c>
      <c r="Y35" s="31" cm="1">
        <f t="array" aca="1" ref="Y35" ca="1">INDEX(Starlink!$D:$AC,MATCH("Constellation D&amp;A ($mm)",Starlink!$A:$A,0),Y$5+1)*IFERROR(Y11/(Y11+Y13),0)+INDEX(Starlink!$D:$AC,MATCH("Ground ops cost ($mm)",Starlink!$A:$A,0),Y$5+1)*IFERROR(Y11/(Y11+Y13),0)+INDEX(Starlink!$D:$AC,MATCH("Spectrum amortization (BB-only) ($mm)",Starlink!$A:$A,0),Y$5+1)</f>
        <v>0</v>
      </c>
      <c r="Z35" s="31" cm="1">
        <f t="array" aca="1" ref="Z35" ca="1">INDEX(Starlink!$D:$AC,MATCH("Constellation D&amp;A ($mm)",Starlink!$A:$A,0),Z$5+1)*IFERROR(Z11/(Z11+Z13),0)+INDEX(Starlink!$D:$AC,MATCH("Ground ops cost ($mm)",Starlink!$A:$A,0),Z$5+1)*IFERROR(Z11/(Z11+Z13),0)+INDEX(Starlink!$D:$AC,MATCH("Spectrum amortization (BB-only) ($mm)",Starlink!$A:$A,0),Z$5+1)</f>
        <v>0</v>
      </c>
      <c r="AA35" s="31" cm="1">
        <f t="array" aca="1" ref="AA35" ca="1">INDEX(Starlink!$D:$AC,MATCH("Constellation D&amp;A ($mm)",Starlink!$A:$A,0),AA$5+1)*IFERROR(AA11/(AA11+AA13),0)+INDEX(Starlink!$D:$AC,MATCH("Ground ops cost ($mm)",Starlink!$A:$A,0),AA$5+1)*IFERROR(AA11/(AA11+AA13),0)+INDEX(Starlink!$D:$AC,MATCH("Spectrum amortization (BB-only) ($mm)",Starlink!$A:$A,0),AA$5+1)</f>
        <v>0</v>
      </c>
      <c r="AB35" s="31" cm="1">
        <f t="array" aca="1" ref="AB35" ca="1">INDEX(Starlink!$D:$AC,MATCH("Constellation D&amp;A ($mm)",Starlink!$A:$A,0),AB$5+1)*IFERROR(AB11/(AB11+AB13),0)+INDEX(Starlink!$D:$AC,MATCH("Ground ops cost ($mm)",Starlink!$A:$A,0),AB$5+1)*IFERROR(AB11/(AB11+AB13),0)+INDEX(Starlink!$D:$AC,MATCH("Spectrum amortization (BB-only) ($mm)",Starlink!$A:$A,0),AB$5+1)</f>
        <v>0</v>
      </c>
      <c r="AC35" s="31" cm="1">
        <f t="array" aca="1" ref="AC35" ca="1">INDEX(Starlink!$D:$AC,MATCH("Constellation D&amp;A ($mm)",Starlink!$A:$A,0),AC$5+1)*IFERROR(AC11/(AC11+AC13),0)+INDEX(Starlink!$D:$AC,MATCH("Ground ops cost ($mm)",Starlink!$A:$A,0),AC$5+1)*IFERROR(AC11/(AC11+AC13),0)+INDEX(Starlink!$D:$AC,MATCH("Spectrum amortization (BB-only) ($mm)",Starlink!$A:$A,0),AC$5+1)</f>
        <v>0</v>
      </c>
    </row>
    <row r="38" spans="1:29" x14ac:dyDescent="0.2">
      <c r="A38" t="s">
        <v>915</v>
      </c>
      <c r="D38" s="31" cm="1">
        <f t="array" aca="1" ref="D38" ca="1">INDEX(Starlink!$D:$AC,MATCH("Constellation D&amp;A ($mm)",Starlink!$A:$A,0),D$5+1)*IFERROR(D13/(D11+D13),0)+INDEX(Starlink!$D:$AC,MATCH("Ground ops cost ($mm)",Starlink!$A:$A,0),D$5+1)*IFERROR(D13/(D11+D13),0)</f>
        <v>0.24606511519077126</v>
      </c>
      <c r="E38" s="31" cm="1">
        <f t="array" aca="1" ref="E38" ca="1">INDEX(Starlink!$D:$AC,MATCH("Constellation D&amp;A ($mm)",Starlink!$A:$A,0),E$5+1)*IFERROR(E13/(E11+E13),0)+INDEX(Starlink!$D:$AC,MATCH("Ground ops cost ($mm)",Starlink!$A:$A,0),E$5+1)*IFERROR(E13/(E11+E13),0)</f>
        <v>0.2023281927735649</v>
      </c>
      <c r="F38" s="31" cm="1">
        <f t="array" aca="1" ref="F38" ca="1">INDEX(Starlink!$D:$AC,MATCH("Constellation D&amp;A ($mm)",Starlink!$A:$A,0),F$5+1)*IFERROR(F13/(F11+F13),0)+INDEX(Starlink!$D:$AC,MATCH("Ground ops cost ($mm)",Starlink!$A:$A,0),F$5+1)*IFERROR(F13/(F11+F13),0)</f>
        <v>0.16414195993783937</v>
      </c>
      <c r="G38" s="31" cm="1">
        <f t="array" aca="1" ref="G38" ca="1">INDEX(Starlink!$D:$AC,MATCH("Constellation D&amp;A ($mm)",Starlink!$A:$A,0),G$5+1)*IFERROR(G13/(G11+G13),0)+INDEX(Starlink!$D:$AC,MATCH("Ground ops cost ($mm)",Starlink!$A:$A,0),G$5+1)*IFERROR(G13/(G11+G13),0)</f>
        <v>0.1283955764035912</v>
      </c>
      <c r="H38" s="31" cm="1">
        <f t="array" aca="1" ref="H38" ca="1">INDEX(Starlink!$D:$AC,MATCH("Constellation D&amp;A ($mm)",Starlink!$A:$A,0),H$5+1)*IFERROR(H13/(H11+H13),0)+INDEX(Starlink!$D:$AC,MATCH("Ground ops cost ($mm)",Starlink!$A:$A,0),H$5+1)*IFERROR(H13/(H11+H13),0)</f>
        <v>9.7009652687749942E-2</v>
      </c>
      <c r="I38" s="31" cm="1">
        <f t="array" aca="1" ref="I38" ca="1">INDEX(Starlink!$D:$AC,MATCH("Constellation D&amp;A ($mm)",Starlink!$A:$A,0),I$5+1)*IFERROR(I13/(I11+I13),0)+INDEX(Starlink!$D:$AC,MATCH("Ground ops cost ($mm)",Starlink!$A:$A,0),I$5+1)*IFERROR(I13/(I11+I13),0)</f>
        <v>0</v>
      </c>
      <c r="J38" s="31" cm="1">
        <f t="array" aca="1" ref="J38" ca="1">INDEX(Starlink!$D:$AC,MATCH("Constellation D&amp;A ($mm)",Starlink!$A:$A,0),J$5+1)*IFERROR(J13/(J11+J13),0)+INDEX(Starlink!$D:$AC,MATCH("Ground ops cost ($mm)",Starlink!$A:$A,0),J$5+1)*IFERROR(J13/(J11+J13),0)</f>
        <v>0</v>
      </c>
      <c r="K38" s="31" cm="1">
        <f t="array" aca="1" ref="K38" ca="1">INDEX(Starlink!$D:$AC,MATCH("Constellation D&amp;A ($mm)",Starlink!$A:$A,0),K$5+1)*IFERROR(K13/(K11+K13),0)+INDEX(Starlink!$D:$AC,MATCH("Ground ops cost ($mm)",Starlink!$A:$A,0),K$5+1)*IFERROR(K13/(K11+K13),0)</f>
        <v>0</v>
      </c>
      <c r="L38" s="31" cm="1">
        <f t="array" aca="1" ref="L38" ca="1">INDEX(Starlink!$D:$AC,MATCH("Constellation D&amp;A ($mm)",Starlink!$A:$A,0),L$5+1)*IFERROR(L13/(L11+L13),0)+INDEX(Starlink!$D:$AC,MATCH("Ground ops cost ($mm)",Starlink!$A:$A,0),L$5+1)*IFERROR(L13/(L11+L13),0)</f>
        <v>0</v>
      </c>
      <c r="M38" s="31" cm="1">
        <f t="array" aca="1" ref="M38" ca="1">INDEX(Starlink!$D:$AC,MATCH("Constellation D&amp;A ($mm)",Starlink!$A:$A,0),M$5+1)*IFERROR(M13/(M11+M13),0)+INDEX(Starlink!$D:$AC,MATCH("Ground ops cost ($mm)",Starlink!$A:$A,0),M$5+1)*IFERROR(M13/(M11+M13),0)</f>
        <v>0</v>
      </c>
      <c r="N38" s="31" cm="1">
        <f t="array" aca="1" ref="N38" ca="1">INDEX(Starlink!$D:$AC,MATCH("Constellation D&amp;A ($mm)",Starlink!$A:$A,0),N$5+1)*IFERROR(N13/(N11+N13),0)+INDEX(Starlink!$D:$AC,MATCH("Ground ops cost ($mm)",Starlink!$A:$A,0),N$5+1)*IFERROR(N13/(N11+N13),0)</f>
        <v>0</v>
      </c>
      <c r="O38" s="31" cm="1">
        <f t="array" aca="1" ref="O38" ca="1">INDEX(Starlink!$D:$AC,MATCH("Constellation D&amp;A ($mm)",Starlink!$A:$A,0),O$5+1)*IFERROR(O13/(O11+O13),0)+INDEX(Starlink!$D:$AC,MATCH("Ground ops cost ($mm)",Starlink!$A:$A,0),O$5+1)*IFERROR(O13/(O11+O13),0)</f>
        <v>0</v>
      </c>
      <c r="P38" s="31" cm="1">
        <f t="array" aca="1" ref="P38" ca="1">INDEX(Starlink!$D:$AC,MATCH("Constellation D&amp;A ($mm)",Starlink!$A:$A,0),P$5+1)*IFERROR(P13/(P11+P13),0)+INDEX(Starlink!$D:$AC,MATCH("Ground ops cost ($mm)",Starlink!$A:$A,0),P$5+1)*IFERROR(P13/(P11+P13),0)</f>
        <v>0</v>
      </c>
      <c r="Q38" s="31" cm="1">
        <f t="array" aca="1" ref="Q38" ca="1">INDEX(Starlink!$D:$AC,MATCH("Constellation D&amp;A ($mm)",Starlink!$A:$A,0),Q$5+1)*IFERROR(Q13/(Q11+Q13),0)+INDEX(Starlink!$D:$AC,MATCH("Ground ops cost ($mm)",Starlink!$A:$A,0),Q$5+1)*IFERROR(Q13/(Q11+Q13),0)</f>
        <v>0</v>
      </c>
      <c r="R38" s="31" cm="1">
        <f t="array" aca="1" ref="R38" ca="1">INDEX(Starlink!$D:$AC,MATCH("Constellation D&amp;A ($mm)",Starlink!$A:$A,0),R$5+1)*IFERROR(R13/(R11+R13),0)+INDEX(Starlink!$D:$AC,MATCH("Ground ops cost ($mm)",Starlink!$A:$A,0),R$5+1)*IFERROR(R13/(R11+R13),0)</f>
        <v>0</v>
      </c>
      <c r="S38" s="31" cm="1">
        <f t="array" aca="1" ref="S38" ca="1">INDEX(Starlink!$D:$AC,MATCH("Constellation D&amp;A ($mm)",Starlink!$A:$A,0),S$5+1)*IFERROR(S13/(S11+S13),0)+INDEX(Starlink!$D:$AC,MATCH("Ground ops cost ($mm)",Starlink!$A:$A,0),S$5+1)*IFERROR(S13/(S11+S13),0)</f>
        <v>0</v>
      </c>
      <c r="T38" s="31" cm="1">
        <f t="array" aca="1" ref="T38" ca="1">INDEX(Starlink!$D:$AC,MATCH("Constellation D&amp;A ($mm)",Starlink!$A:$A,0),T$5+1)*IFERROR(T13/(T11+T13),0)+INDEX(Starlink!$D:$AC,MATCH("Ground ops cost ($mm)",Starlink!$A:$A,0),T$5+1)*IFERROR(T13/(T11+T13),0)</f>
        <v>0</v>
      </c>
      <c r="U38" s="31" cm="1">
        <f t="array" aca="1" ref="U38" ca="1">INDEX(Starlink!$D:$AC,MATCH("Constellation D&amp;A ($mm)",Starlink!$A:$A,0),U$5+1)*IFERROR(U13/(U11+U13),0)+INDEX(Starlink!$D:$AC,MATCH("Ground ops cost ($mm)",Starlink!$A:$A,0),U$5+1)*IFERROR(U13/(U11+U13),0)</f>
        <v>0</v>
      </c>
      <c r="V38" s="31" cm="1">
        <f t="array" aca="1" ref="V38" ca="1">INDEX(Starlink!$D:$AC,MATCH("Constellation D&amp;A ($mm)",Starlink!$A:$A,0),V$5+1)*IFERROR(V13/(V11+V13),0)+INDEX(Starlink!$D:$AC,MATCH("Ground ops cost ($mm)",Starlink!$A:$A,0),V$5+1)*IFERROR(V13/(V11+V13),0)</f>
        <v>0</v>
      </c>
      <c r="W38" s="31" cm="1">
        <f t="array" aca="1" ref="W38" ca="1">INDEX(Starlink!$D:$AC,MATCH("Constellation D&amp;A ($mm)",Starlink!$A:$A,0),W$5+1)*IFERROR(W13/(W11+W13),0)+INDEX(Starlink!$D:$AC,MATCH("Ground ops cost ($mm)",Starlink!$A:$A,0),W$5+1)*IFERROR(W13/(W11+W13),0)</f>
        <v>0</v>
      </c>
      <c r="X38" s="31" cm="1">
        <f t="array" aca="1" ref="X38" ca="1">INDEX(Starlink!$D:$AC,MATCH("Constellation D&amp;A ($mm)",Starlink!$A:$A,0),X$5+1)*IFERROR(X13/(X11+X13),0)+INDEX(Starlink!$D:$AC,MATCH("Ground ops cost ($mm)",Starlink!$A:$A,0),X$5+1)*IFERROR(X13/(X11+X13),0)</f>
        <v>0</v>
      </c>
      <c r="Y38" s="31" cm="1">
        <f t="array" aca="1" ref="Y38" ca="1">INDEX(Starlink!$D:$AC,MATCH("Constellation D&amp;A ($mm)",Starlink!$A:$A,0),Y$5+1)*IFERROR(Y13/(Y11+Y13),0)+INDEX(Starlink!$D:$AC,MATCH("Ground ops cost ($mm)",Starlink!$A:$A,0),Y$5+1)*IFERROR(Y13/(Y11+Y13),0)</f>
        <v>0</v>
      </c>
      <c r="Z38" s="31" cm="1">
        <f t="array" aca="1" ref="Z38" ca="1">INDEX(Starlink!$D:$AC,MATCH("Constellation D&amp;A ($mm)",Starlink!$A:$A,0),Z$5+1)*IFERROR(Z13/(Z11+Z13),0)+INDEX(Starlink!$D:$AC,MATCH("Ground ops cost ($mm)",Starlink!$A:$A,0),Z$5+1)*IFERROR(Z13/(Z11+Z13),0)</f>
        <v>0</v>
      </c>
      <c r="AA38" s="31" cm="1">
        <f t="array" aca="1" ref="AA38" ca="1">INDEX(Starlink!$D:$AC,MATCH("Constellation D&amp;A ($mm)",Starlink!$A:$A,0),AA$5+1)*IFERROR(AA13/(AA11+AA13),0)+INDEX(Starlink!$D:$AC,MATCH("Ground ops cost ($mm)",Starlink!$A:$A,0),AA$5+1)*IFERROR(AA13/(AA11+AA13),0)</f>
        <v>0</v>
      </c>
      <c r="AB38" s="31" cm="1">
        <f t="array" aca="1" ref="AB38" ca="1">INDEX(Starlink!$D:$AC,MATCH("Constellation D&amp;A ($mm)",Starlink!$A:$A,0),AB$5+1)*IFERROR(AB13/(AB11+AB13),0)+INDEX(Starlink!$D:$AC,MATCH("Ground ops cost ($mm)",Starlink!$A:$A,0),AB$5+1)*IFERROR(AB13/(AB11+AB13),0)</f>
        <v>0</v>
      </c>
      <c r="AC38" s="31" cm="1">
        <f t="array" aca="1" ref="AC38" ca="1">INDEX(Starlink!$D:$AC,MATCH("Constellation D&amp;A ($mm)",Starlink!$A:$A,0),AC$5+1)*IFERROR(AC13/(AC11+AC13),0)+INDEX(Starlink!$D:$AC,MATCH("Ground ops cost ($mm)",Starlink!$A:$A,0),AC$5+1)*IFERROR(AC13/(AC11+AC13),0)</f>
        <v>0</v>
      </c>
    </row>
    <row r="47" spans="1:29" x14ac:dyDescent="0.2">
      <c r="A47" s="39" t="s">
        <v>916</v>
      </c>
    </row>
    <row r="48" spans="1:29" x14ac:dyDescent="0.2">
      <c r="A48" t="s">
        <v>917</v>
      </c>
      <c r="D48" s="31">
        <f ca="1">IFERROR(D35*1000000/D11,0)</f>
        <v>1892.8085783905481</v>
      </c>
      <c r="E48" s="31">
        <f t="shared" ref="E48:AC48" ca="1" si="2">IFERROR(E35*1000000/E11,0)</f>
        <v>1945.4633920535086</v>
      </c>
      <c r="F48" s="31">
        <f t="shared" ca="1" si="2"/>
        <v>2104.3841017671712</v>
      </c>
      <c r="G48" s="31">
        <f t="shared" ca="1" si="2"/>
        <v>2469.1457000690616</v>
      </c>
      <c r="H48" s="31">
        <f t="shared" ca="1" si="2"/>
        <v>3731.1404879903826</v>
      </c>
      <c r="I48" s="31">
        <f t="shared" ca="1" si="2"/>
        <v>0</v>
      </c>
      <c r="J48" s="31">
        <f t="shared" ca="1" si="2"/>
        <v>0</v>
      </c>
      <c r="K48" s="31">
        <f t="shared" ca="1" si="2"/>
        <v>0</v>
      </c>
      <c r="L48" s="31">
        <f t="shared" ca="1" si="2"/>
        <v>0</v>
      </c>
      <c r="M48" s="31">
        <f t="shared" ca="1" si="2"/>
        <v>0</v>
      </c>
      <c r="N48" s="31">
        <f t="shared" ca="1" si="2"/>
        <v>0</v>
      </c>
      <c r="O48" s="31">
        <f t="shared" ca="1" si="2"/>
        <v>0</v>
      </c>
      <c r="P48" s="31">
        <f t="shared" ca="1" si="2"/>
        <v>0</v>
      </c>
      <c r="Q48" s="31">
        <f t="shared" ca="1" si="2"/>
        <v>0</v>
      </c>
      <c r="R48" s="31">
        <f t="shared" ca="1" si="2"/>
        <v>0</v>
      </c>
      <c r="S48" s="31">
        <f t="shared" ca="1" si="2"/>
        <v>0</v>
      </c>
      <c r="T48" s="31">
        <f t="shared" ca="1" si="2"/>
        <v>0</v>
      </c>
      <c r="U48" s="31">
        <f t="shared" ca="1" si="2"/>
        <v>0</v>
      </c>
      <c r="V48" s="31">
        <f t="shared" ca="1" si="2"/>
        <v>0</v>
      </c>
      <c r="W48" s="31">
        <f t="shared" ca="1" si="2"/>
        <v>0</v>
      </c>
      <c r="X48" s="31">
        <f t="shared" ca="1" si="2"/>
        <v>0</v>
      </c>
      <c r="Y48" s="31">
        <f t="shared" ca="1" si="2"/>
        <v>0</v>
      </c>
      <c r="Z48" s="31">
        <f t="shared" ca="1" si="2"/>
        <v>0</v>
      </c>
      <c r="AA48" s="31">
        <f t="shared" ca="1" si="2"/>
        <v>0</v>
      </c>
      <c r="AB48" s="31">
        <f t="shared" ca="1" si="2"/>
        <v>0</v>
      </c>
      <c r="AC48" s="31">
        <f t="shared" ca="1" si="2"/>
        <v>0</v>
      </c>
    </row>
    <row r="50" spans="1:29" x14ac:dyDescent="0.2">
      <c r="A50" t="s">
        <v>918</v>
      </c>
      <c r="D50" s="31">
        <f ca="1">IFERROR(D38*1000000/D13,0)</f>
        <v>1892.8085783905481</v>
      </c>
      <c r="E50" s="31">
        <f t="shared" ref="E50:AC50" ca="1" si="3">IFERROR(E38*1000000/E13,0)</f>
        <v>1945.4633920535086</v>
      </c>
      <c r="F50" s="31">
        <f t="shared" ca="1" si="3"/>
        <v>2104.3841017671712</v>
      </c>
      <c r="G50" s="31">
        <f t="shared" ca="1" si="3"/>
        <v>2469.1457000690616</v>
      </c>
      <c r="H50" s="31">
        <f t="shared" ca="1" si="3"/>
        <v>3731.1404879903826</v>
      </c>
      <c r="I50" s="31">
        <f t="shared" ca="1" si="3"/>
        <v>0</v>
      </c>
      <c r="J50" s="31">
        <f t="shared" ca="1" si="3"/>
        <v>0</v>
      </c>
      <c r="K50" s="31">
        <f t="shared" ca="1" si="3"/>
        <v>0</v>
      </c>
      <c r="L50" s="31">
        <f t="shared" ca="1" si="3"/>
        <v>0</v>
      </c>
      <c r="M50" s="31">
        <f t="shared" ca="1" si="3"/>
        <v>0</v>
      </c>
      <c r="N50" s="31">
        <f t="shared" ca="1" si="3"/>
        <v>0</v>
      </c>
      <c r="O50" s="31">
        <f t="shared" ca="1" si="3"/>
        <v>0</v>
      </c>
      <c r="P50" s="31">
        <f t="shared" ca="1" si="3"/>
        <v>0</v>
      </c>
      <c r="Q50" s="31">
        <f t="shared" ca="1" si="3"/>
        <v>0</v>
      </c>
      <c r="R50" s="31">
        <f t="shared" ca="1" si="3"/>
        <v>0</v>
      </c>
      <c r="S50" s="31">
        <f t="shared" ca="1" si="3"/>
        <v>0</v>
      </c>
      <c r="T50" s="31">
        <f t="shared" ca="1" si="3"/>
        <v>0</v>
      </c>
      <c r="U50" s="31">
        <f t="shared" ca="1" si="3"/>
        <v>0</v>
      </c>
      <c r="V50" s="31">
        <f t="shared" ca="1" si="3"/>
        <v>0</v>
      </c>
      <c r="W50" s="31">
        <f t="shared" ca="1" si="3"/>
        <v>0</v>
      </c>
      <c r="X50" s="31">
        <f t="shared" ca="1" si="3"/>
        <v>0</v>
      </c>
      <c r="Y50" s="31">
        <f t="shared" ca="1" si="3"/>
        <v>0</v>
      </c>
      <c r="Z50" s="31">
        <f t="shared" ca="1" si="3"/>
        <v>0</v>
      </c>
      <c r="AA50" s="31">
        <f t="shared" ca="1" si="3"/>
        <v>0</v>
      </c>
      <c r="AB50" s="31">
        <f t="shared" ca="1" si="3"/>
        <v>0</v>
      </c>
      <c r="AC50" s="31">
        <f t="shared" ca="1" si="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DD43-FBA5-AA4A-9F29-125391967EF8}">
  <dimension ref="A4:AC210"/>
  <sheetViews>
    <sheetView workbookViewId="0">
      <selection activeCell="Z60" sqref="Z60"/>
    </sheetView>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7" spans="1:29" x14ac:dyDescent="0.2">
      <c r="A7" s="13" t="s">
        <v>596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2">
      <c r="A8" t="s">
        <v>597</v>
      </c>
      <c r="C8" t="s">
        <v>601</v>
      </c>
      <c r="D8" s="15">
        <f ca="1">INDEX(Allocator!D:D, MATCH("ODC cash allocation", Allocator!$A:$A, 0))</f>
        <v>0</v>
      </c>
      <c r="E8" s="15">
        <f ca="1">INDEX(Allocator!E:E, MATCH("ODC cash allocation", Allocator!$A:$A, 0))</f>
        <v>1.3133112485537981</v>
      </c>
      <c r="F8" s="15">
        <f ca="1">INDEX(Allocator!F:F, MATCH("ODC cash allocation", Allocator!$A:$A, 0))</f>
        <v>1.7738377440728457</v>
      </c>
      <c r="G8" s="15">
        <f ca="1">INDEX(Allocator!G:G, MATCH("ODC cash allocation", Allocator!$A:$A, 0))</f>
        <v>2.3146496839706137</v>
      </c>
      <c r="H8" s="15">
        <f ca="1">INDEX(Allocator!H:H, MATCH("ODC cash allocation", Allocator!$A:$A, 0))</f>
        <v>2.6775147463707953</v>
      </c>
      <c r="I8" s="15">
        <f ca="1">INDEX(Allocator!I:I, MATCH("ODC cash allocation", Allocator!$A:$A, 0))</f>
        <v>3.0909263736058041</v>
      </c>
      <c r="J8" s="15">
        <f ca="1">INDEX(Allocator!J:J, MATCH("ODC cash allocation", Allocator!$A:$A, 0))</f>
        <v>3.4450013726471127</v>
      </c>
      <c r="K8" s="15">
        <f ca="1">INDEX(Allocator!K:K, MATCH("ODC cash allocation", Allocator!$A:$A, 0))</f>
        <v>3.838749130784433</v>
      </c>
      <c r="L8" s="15">
        <f ca="1">INDEX(Allocator!L:L, MATCH("ODC cash allocation", Allocator!$A:$A, 0))</f>
        <v>4.2766720198603672</v>
      </c>
      <c r="M8" s="15">
        <f ca="1">INDEX(Allocator!M:M, MATCH("ODC cash allocation", Allocator!$A:$A, 0))</f>
        <v>4.6715699821409853</v>
      </c>
      <c r="N8" s="15">
        <f ca="1">INDEX(Allocator!N:N, MATCH("ODC cash allocation", Allocator!$A:$A, 0))</f>
        <v>5.0172136997834498</v>
      </c>
      <c r="O8" s="15">
        <f ca="1">INDEX(Allocator!O:O, MATCH("ODC cash allocation", Allocator!$A:$A, 0))</f>
        <v>5.3498868965123414</v>
      </c>
      <c r="P8" s="15">
        <f ca="1">INDEX(Allocator!P:P, MATCH("ODC cash allocation", Allocator!$A:$A, 0))</f>
        <v>5.6669329784111877</v>
      </c>
      <c r="Q8" s="15">
        <f ca="1">INDEX(Allocator!Q:Q, MATCH("ODC cash allocation", Allocator!$A:$A, 0))</f>
        <v>6.0008170703851675</v>
      </c>
      <c r="R8" s="15">
        <f ca="1">INDEX(Allocator!R:R, MATCH("ODC cash allocation", Allocator!$A:$A, 0))</f>
        <v>6.3525063788218556</v>
      </c>
      <c r="S8" s="15">
        <f ca="1">INDEX(Allocator!S:S, MATCH("ODC cash allocation", Allocator!$A:$A, 0))</f>
        <v>6.7230223120796344</v>
      </c>
      <c r="T8" s="15">
        <f ca="1">INDEX(Allocator!T:T, MATCH("ODC cash allocation", Allocator!$A:$A, 0))</f>
        <v>7.113443285996401</v>
      </c>
      <c r="U8" s="15">
        <f ca="1">INDEX(Allocator!U:U, MATCH("ODC cash allocation", Allocator!$A:$A, 0))</f>
        <v>7.5249077169246554</v>
      </c>
      <c r="V8" s="15">
        <f ca="1">INDEX(Allocator!V:V, MATCH("ODC cash allocation", Allocator!$A:$A, 0))</f>
        <v>7.9586172100598525</v>
      </c>
      <c r="W8" s="15">
        <f ca="1">INDEX(Allocator!W:W, MATCH("ODC cash allocation", Allocator!$A:$A, 0))</f>
        <v>8.415839951208401</v>
      </c>
      <c r="X8" s="15">
        <f ca="1">INDEX(Allocator!X:X, MATCH("ODC cash allocation", Allocator!$A:$A, 0))</f>
        <v>8.8979143106355636</v>
      </c>
      <c r="Y8" s="15">
        <f ca="1">INDEX(Allocator!Y:Y, MATCH("ODC cash allocation", Allocator!$A:$A, 0))</f>
        <v>9.4062526682200627</v>
      </c>
      <c r="Z8" s="15">
        <f ca="1">INDEX(Allocator!Z:Z, MATCH("ODC cash allocation", Allocator!$A:$A, 0))</f>
        <v>9.9423454698055878</v>
      </c>
      <c r="AA8" s="15">
        <f ca="1">INDEX(Allocator!AA:AA, MATCH("ODC cash allocation", Allocator!$A:$A, 0))</f>
        <v>10.507765525367116</v>
      </c>
      <c r="AB8" s="15">
        <f ca="1">INDEX(Allocator!AB:AB, MATCH("ODC cash allocation", Allocator!$A:$A, 0))</f>
        <v>11.104172560391842</v>
      </c>
      <c r="AC8" s="15">
        <f ca="1">INDEX(Allocator!AC:AC, MATCH("ODC cash allocation", Allocator!$A:$A, 0))</f>
        <v>2.5545626095634217</v>
      </c>
    </row>
    <row r="9" spans="1:29" x14ac:dyDescent="0.2">
      <c r="A9" t="s">
        <v>598</v>
      </c>
      <c r="C9" t="s">
        <v>600</v>
      </c>
      <c r="D9" s="15">
        <f ca="1">INDEX(Allocator!D:D, MATCH("ODC kg allocation", Allocator!$A:$A, 0))</f>
        <v>0</v>
      </c>
      <c r="E9" s="15">
        <f ca="1">INDEX(Allocator!E:E, MATCH("ODC kg allocation", Allocator!$A:$A, 0))</f>
        <v>0</v>
      </c>
      <c r="F9" s="15">
        <f ca="1">INDEX(Allocator!F:F, MATCH("ODC kg allocation", Allocator!$A:$A, 0))</f>
        <v>0</v>
      </c>
      <c r="G9" s="15">
        <f ca="1">INDEX(Allocator!G:G, MATCH("ODC kg allocation", Allocator!$A:$A, 0))</f>
        <v>0</v>
      </c>
      <c r="H9" s="15">
        <f ca="1">INDEX(Allocator!H:H, MATCH("ODC kg allocation", Allocator!$A:$A, 0))</f>
        <v>0</v>
      </c>
      <c r="I9" s="15">
        <f ca="1">INDEX(Allocator!I:I, MATCH("ODC kg allocation", Allocator!$A:$A, 0))</f>
        <v>0</v>
      </c>
      <c r="J9" s="15">
        <f ca="1">INDEX(Allocator!J:J, MATCH("ODC kg allocation", Allocator!$A:$A, 0))</f>
        <v>0</v>
      </c>
      <c r="K9" s="15">
        <f ca="1">INDEX(Allocator!K:K, MATCH("ODC kg allocation", Allocator!$A:$A, 0))</f>
        <v>0</v>
      </c>
      <c r="L9" s="15">
        <f ca="1">INDEX(Allocator!L:L, MATCH("ODC kg allocation", Allocator!$A:$A, 0))</f>
        <v>0</v>
      </c>
      <c r="M9" s="15">
        <f ca="1">INDEX(Allocator!M:M, MATCH("ODC kg allocation", Allocator!$A:$A, 0))</f>
        <v>0</v>
      </c>
      <c r="N9" s="15">
        <f ca="1">INDEX(Allocator!N:N, MATCH("ODC kg allocation", Allocator!$A:$A, 0))</f>
        <v>0</v>
      </c>
      <c r="O9" s="15">
        <f ca="1">INDEX(Allocator!O:O, MATCH("ODC kg allocation", Allocator!$A:$A, 0))</f>
        <v>0</v>
      </c>
      <c r="P9" s="15">
        <f ca="1">INDEX(Allocator!P:P, MATCH("ODC kg allocation", Allocator!$A:$A, 0))</f>
        <v>0</v>
      </c>
      <c r="Q9" s="15">
        <f ca="1">INDEX(Allocator!Q:Q, MATCH("ODC kg allocation", Allocator!$A:$A, 0))</f>
        <v>0</v>
      </c>
      <c r="R9" s="15">
        <f ca="1">INDEX(Allocator!R:R, MATCH("ODC kg allocation", Allocator!$A:$A, 0))</f>
        <v>0</v>
      </c>
      <c r="S9" s="15">
        <f ca="1">INDEX(Allocator!S:S, MATCH("ODC kg allocation", Allocator!$A:$A, 0))</f>
        <v>0</v>
      </c>
      <c r="T9" s="15">
        <f ca="1">INDEX(Allocator!T:T, MATCH("ODC kg allocation", Allocator!$A:$A, 0))</f>
        <v>0</v>
      </c>
      <c r="U9" s="15">
        <f ca="1">INDEX(Allocator!U:U, MATCH("ODC kg allocation", Allocator!$A:$A, 0))</f>
        <v>0</v>
      </c>
      <c r="V9" s="15">
        <f ca="1">INDEX(Allocator!V:V, MATCH("ODC kg allocation", Allocator!$A:$A, 0))</f>
        <v>0</v>
      </c>
      <c r="W9" s="15">
        <f ca="1">INDEX(Allocator!W:W, MATCH("ODC kg allocation", Allocator!$A:$A, 0))</f>
        <v>0</v>
      </c>
      <c r="X9" s="15">
        <f ca="1">INDEX(Allocator!X:X, MATCH("ODC kg allocation", Allocator!$A:$A, 0))</f>
        <v>0</v>
      </c>
      <c r="Y9" s="15">
        <f ca="1">INDEX(Allocator!Y:Y, MATCH("ODC kg allocation", Allocator!$A:$A, 0))</f>
        <v>0</v>
      </c>
      <c r="Z9" s="15">
        <f ca="1">INDEX(Allocator!Z:Z, MATCH("ODC kg allocation", Allocator!$A:$A, 0))</f>
        <v>0</v>
      </c>
      <c r="AA9" s="15">
        <f ca="1">INDEX(Allocator!AA:AA, MATCH("ODC kg allocation", Allocator!$A:$A, 0))</f>
        <v>0</v>
      </c>
      <c r="AB9" s="15">
        <f ca="1">INDEX(Allocator!AB:AB, MATCH("ODC kg allocation", Allocator!$A:$A, 0))</f>
        <v>0</v>
      </c>
      <c r="AC9" s="15">
        <f ca="1">INDEX(Allocator!AC:AC, MATCH("ODC kg allocation", Allocator!$A:$A, 0))</f>
        <v>0</v>
      </c>
    </row>
    <row r="10" spans="1:29" x14ac:dyDescent="0.2">
      <c r="A10" t="s">
        <v>599</v>
      </c>
      <c r="C10" s="16" t="s">
        <v>623</v>
      </c>
      <c r="D10" s="15">
        <f ca="1">D8</f>
        <v>0</v>
      </c>
      <c r="E10" s="15">
        <f t="shared" ref="E10:AC10" ca="1" si="0">E8</f>
        <v>1.3133112485537981</v>
      </c>
      <c r="F10" s="15">
        <f t="shared" ca="1" si="0"/>
        <v>1.7738377440728457</v>
      </c>
      <c r="G10" s="15">
        <f t="shared" ca="1" si="0"/>
        <v>2.3146496839706137</v>
      </c>
      <c r="H10" s="15">
        <f t="shared" ca="1" si="0"/>
        <v>2.6775147463707953</v>
      </c>
      <c r="I10" s="15">
        <f t="shared" ca="1" si="0"/>
        <v>3.0909263736058041</v>
      </c>
      <c r="J10" s="15">
        <f t="shared" ca="1" si="0"/>
        <v>3.4450013726471127</v>
      </c>
      <c r="K10" s="15">
        <f t="shared" ca="1" si="0"/>
        <v>3.838749130784433</v>
      </c>
      <c r="L10" s="15">
        <f t="shared" ca="1" si="0"/>
        <v>4.2766720198603672</v>
      </c>
      <c r="M10" s="15">
        <f t="shared" ca="1" si="0"/>
        <v>4.6715699821409853</v>
      </c>
      <c r="N10" s="15">
        <f t="shared" ca="1" si="0"/>
        <v>5.0172136997834498</v>
      </c>
      <c r="O10" s="15">
        <f t="shared" ca="1" si="0"/>
        <v>5.3498868965123414</v>
      </c>
      <c r="P10" s="15">
        <f t="shared" ca="1" si="0"/>
        <v>5.6669329784111877</v>
      </c>
      <c r="Q10" s="15">
        <f t="shared" ca="1" si="0"/>
        <v>6.0008170703851675</v>
      </c>
      <c r="R10" s="15">
        <f t="shared" ca="1" si="0"/>
        <v>6.3525063788218556</v>
      </c>
      <c r="S10" s="15">
        <f t="shared" ca="1" si="0"/>
        <v>6.7230223120796344</v>
      </c>
      <c r="T10" s="15">
        <f t="shared" ca="1" si="0"/>
        <v>7.113443285996401</v>
      </c>
      <c r="U10" s="15">
        <f t="shared" ca="1" si="0"/>
        <v>7.5249077169246554</v>
      </c>
      <c r="V10" s="15">
        <f t="shared" ca="1" si="0"/>
        <v>7.9586172100598525</v>
      </c>
      <c r="W10" s="15">
        <f t="shared" ca="1" si="0"/>
        <v>8.415839951208401</v>
      </c>
      <c r="X10" s="15">
        <f t="shared" ca="1" si="0"/>
        <v>8.8979143106355636</v>
      </c>
      <c r="Y10" s="15">
        <f t="shared" ca="1" si="0"/>
        <v>9.4062526682200627</v>
      </c>
      <c r="Z10" s="15">
        <f t="shared" ca="1" si="0"/>
        <v>9.9423454698055878</v>
      </c>
      <c r="AA10" s="15">
        <f t="shared" ca="1" si="0"/>
        <v>10.507765525367116</v>
      </c>
      <c r="AB10" s="15">
        <f t="shared" ca="1" si="0"/>
        <v>11.104172560391842</v>
      </c>
      <c r="AC10" s="15">
        <f t="shared" ca="1" si="0"/>
        <v>2.5545626095634217</v>
      </c>
    </row>
    <row r="12" spans="1:29" x14ac:dyDescent="0.2">
      <c r="A12" s="14" t="s">
        <v>978</v>
      </c>
    </row>
    <row r="14" spans="1:29" x14ac:dyDescent="0.2">
      <c r="A14" t="s">
        <v>277</v>
      </c>
      <c r="D14" s="15">
        <f>INDEX(Assumptions!$B:$B, MATCH("Compute power per sat (kW)", Assumptions!$A:$A, 0))</f>
        <v>140</v>
      </c>
    </row>
    <row r="15" spans="1:29" x14ac:dyDescent="0.2">
      <c r="A15" t="s">
        <v>282</v>
      </c>
      <c r="D15" s="15">
        <f>INDEX(Assumptions!$B:$B, MATCH("Total sat dry mass (kg)", Assumptions!$A:$A, 0))</f>
        <v>1400</v>
      </c>
    </row>
    <row r="16" spans="1:29" x14ac:dyDescent="0.2">
      <c r="A16" t="s">
        <v>979</v>
      </c>
      <c r="D16" s="15">
        <f>INDEX(Assumptions!$B:$B, MATCH("Sat solar generation (W, for $/W subsystem cost)", Assumptions!$A:$A, 0))</f>
        <v>156000</v>
      </c>
    </row>
    <row r="17" spans="1:29" x14ac:dyDescent="0.2">
      <c r="A17" t="s">
        <v>294</v>
      </c>
      <c r="D17" s="15">
        <f>INDEX(Assumptions!$B:$B, MATCH("Sat thermal mass (kg)", Assumptions!$A:$A, 0))</f>
        <v>480</v>
      </c>
    </row>
    <row r="18" spans="1:29" x14ac:dyDescent="0.2">
      <c r="A18" t="s">
        <v>980</v>
      </c>
      <c r="D18" s="15">
        <f>INDEX(Assumptions!$B:$B, MATCH("F_ref — reference compute unit (TFLOPS, H100 FP8 dense)", Assumptions!$A:$A, 0))</f>
        <v>1979</v>
      </c>
    </row>
    <row r="19" spans="1:29" x14ac:dyDescent="0.2">
      <c r="A19" t="s">
        <v>287</v>
      </c>
      <c r="D19" s="26">
        <f>INDEX(Assumptions!$B:$B, MATCH("Effective Compute Ratio (ECR)", Assumptions!$A:$A, 0))</f>
        <v>0.6</v>
      </c>
    </row>
    <row r="20" spans="1:29" x14ac:dyDescent="0.2">
      <c r="A20" t="s">
        <v>291</v>
      </c>
      <c r="D20" s="15">
        <f>INDEX(Assumptions!$B:$B, MATCH("ODC fleet design life (years)", Assumptions!$A:$A, 0))</f>
        <v>5</v>
      </c>
    </row>
    <row r="22" spans="1:29" x14ac:dyDescent="0.2">
      <c r="A22" s="49" t="s">
        <v>981</v>
      </c>
    </row>
    <row r="23" spans="1:29" x14ac:dyDescent="0.2">
      <c r="A23" t="s">
        <v>326</v>
      </c>
      <c r="D23" s="15" cm="1">
        <f t="array" ref="D23">INDEX(Assumptions!$D:$AC, MATCH("Chip TDP per chip (W) — year-row", Assumptions!$A:$A, 0), D$5+1)</f>
        <v>700</v>
      </c>
      <c r="E23" s="15" cm="1">
        <f t="array" ref="E23">INDEX(Assumptions!$D:$AC, MATCH("Chip TDP per chip (W) — year-row", Assumptions!$A:$A, 0), E$5+1)</f>
        <v>700</v>
      </c>
      <c r="F23" s="15" cm="1">
        <f t="array" ref="F23">INDEX(Assumptions!$D:$AC, MATCH("Chip TDP per chip (W) — year-row", Assumptions!$A:$A, 0), F$5+1)</f>
        <v>600</v>
      </c>
      <c r="G23" s="15" cm="1">
        <f t="array" ref="G23">INDEX(Assumptions!$D:$AC, MATCH("Chip TDP per chip (W) — year-row", Assumptions!$A:$A, 0), G$5+1)</f>
        <v>500</v>
      </c>
      <c r="H23" s="15" cm="1">
        <f t="array" ref="H23">INDEX(Assumptions!$D:$AC, MATCH("Chip TDP per chip (W) — year-row", Assumptions!$A:$A, 0), H$5+1)</f>
        <v>533.33299999999997</v>
      </c>
      <c r="I23" s="15" cm="1">
        <f t="array" ref="I23">INDEX(Assumptions!$D:$AC, MATCH("Chip TDP per chip (W) — year-row", Assumptions!$A:$A, 0), I$5+1)</f>
        <v>566.66700000000003</v>
      </c>
      <c r="J23" s="15" cm="1">
        <f t="array" ref="J23">INDEX(Assumptions!$D:$AC, MATCH("Chip TDP per chip (W) — year-row", Assumptions!$A:$A, 0), J$5+1)</f>
        <v>600</v>
      </c>
      <c r="K23" s="15" cm="1">
        <f t="array" ref="K23">INDEX(Assumptions!$D:$AC, MATCH("Chip TDP per chip (W) — year-row", Assumptions!$A:$A, 0), K$5+1)</f>
        <v>600</v>
      </c>
      <c r="L23" s="15" cm="1">
        <f t="array" ref="L23">INDEX(Assumptions!$D:$AC, MATCH("Chip TDP per chip (W) — year-row", Assumptions!$A:$A, 0), L$5+1)</f>
        <v>600</v>
      </c>
      <c r="M23" s="15" cm="1">
        <f t="array" ref="M23">INDEX(Assumptions!$D:$AC, MATCH("Chip TDP per chip (W) — year-row", Assumptions!$A:$A, 0), M$5+1)</f>
        <v>600</v>
      </c>
      <c r="N23" s="15" cm="1">
        <f t="array" ref="N23">INDEX(Assumptions!$D:$AC, MATCH("Chip TDP per chip (W) — year-row", Assumptions!$A:$A, 0), N$5+1)</f>
        <v>600</v>
      </c>
      <c r="O23" s="15" cm="1">
        <f t="array" ref="O23">INDEX(Assumptions!$D:$AC, MATCH("Chip TDP per chip (W) — year-row", Assumptions!$A:$A, 0), O$5+1)</f>
        <v>600</v>
      </c>
      <c r="P23" s="15" cm="1">
        <f t="array" ref="P23">INDEX(Assumptions!$D:$AC, MATCH("Chip TDP per chip (W) — year-row", Assumptions!$A:$A, 0), P$5+1)</f>
        <v>600</v>
      </c>
      <c r="Q23" s="15" cm="1">
        <f t="array" ref="Q23">INDEX(Assumptions!$D:$AC, MATCH("Chip TDP per chip (W) — year-row", Assumptions!$A:$A, 0), Q$5+1)</f>
        <v>600</v>
      </c>
      <c r="R23" s="15" cm="1">
        <f t="array" ref="R23">INDEX(Assumptions!$D:$AC, MATCH("Chip TDP per chip (W) — year-row", Assumptions!$A:$A, 0), R$5+1)</f>
        <v>600</v>
      </c>
      <c r="S23" s="15" cm="1">
        <f t="array" ref="S23">INDEX(Assumptions!$D:$AC, MATCH("Chip TDP per chip (W) — year-row", Assumptions!$A:$A, 0), S$5+1)</f>
        <v>600</v>
      </c>
      <c r="T23" s="15" cm="1">
        <f t="array" ref="T23">INDEX(Assumptions!$D:$AC, MATCH("Chip TDP per chip (W) — year-row", Assumptions!$A:$A, 0), T$5+1)</f>
        <v>600</v>
      </c>
      <c r="U23" s="15" cm="1">
        <f t="array" ref="U23">INDEX(Assumptions!$D:$AC, MATCH("Chip TDP per chip (W) — year-row", Assumptions!$A:$A, 0), U$5+1)</f>
        <v>600</v>
      </c>
      <c r="V23" s="15" cm="1">
        <f t="array" ref="V23">INDEX(Assumptions!$D:$AC, MATCH("Chip TDP per chip (W) — year-row", Assumptions!$A:$A, 0), V$5+1)</f>
        <v>600</v>
      </c>
      <c r="W23" s="15" cm="1">
        <f t="array" ref="W23">INDEX(Assumptions!$D:$AC, MATCH("Chip TDP per chip (W) — year-row", Assumptions!$A:$A, 0), W$5+1)</f>
        <v>600</v>
      </c>
      <c r="X23" s="15" cm="1">
        <f t="array" ref="X23">INDEX(Assumptions!$D:$AC, MATCH("Chip TDP per chip (W) — year-row", Assumptions!$A:$A, 0), X$5+1)</f>
        <v>600</v>
      </c>
      <c r="Y23" s="15" cm="1">
        <f t="array" ref="Y23">INDEX(Assumptions!$D:$AC, MATCH("Chip TDP per chip (W) — year-row", Assumptions!$A:$A, 0), Y$5+1)</f>
        <v>600</v>
      </c>
      <c r="Z23" s="15" cm="1">
        <f t="array" ref="Z23">INDEX(Assumptions!$D:$AC, MATCH("Chip TDP per chip (W) — year-row", Assumptions!$A:$A, 0), Z$5+1)</f>
        <v>600</v>
      </c>
      <c r="AA23" s="15" cm="1">
        <f t="array" ref="AA23">INDEX(Assumptions!$D:$AC, MATCH("Chip TDP per chip (W) — year-row", Assumptions!$A:$A, 0), AA$5+1)</f>
        <v>600</v>
      </c>
      <c r="AB23" s="15" cm="1">
        <f t="array" ref="AB23">INDEX(Assumptions!$D:$AC, MATCH("Chip TDP per chip (W) — year-row", Assumptions!$A:$A, 0), AB$5+1)</f>
        <v>600</v>
      </c>
      <c r="AC23" s="15" cm="1">
        <f t="array" ref="AC23">INDEX(Assumptions!$D:$AC, MATCH("Chip TDP per chip (W) — year-row", Assumptions!$A:$A, 0), AC$5+1)</f>
        <v>600</v>
      </c>
    </row>
    <row r="24" spans="1:29" x14ac:dyDescent="0.2">
      <c r="A24" t="s">
        <v>982</v>
      </c>
      <c r="D24" s="15" cm="1">
        <f t="array" ref="D24">INDEX(Assumptions!$D:$AC, MATCH("Chip FP8 performance per chip (TFLOPS) — year-row", Assumptions!$A:$A, 0), D$5+1)</f>
        <v>1979</v>
      </c>
      <c r="E24" s="15" cm="1">
        <f t="array" ref="E24">INDEX(Assumptions!$D:$AC, MATCH("Chip FP8 performance per chip (TFLOPS) — year-row", Assumptions!$A:$A, 0), E$5+1)</f>
        <v>1979</v>
      </c>
      <c r="F24" s="15" cm="1">
        <f t="array" ref="F24">INDEX(Assumptions!$D:$AC, MATCH("Chip FP8 performance per chip (TFLOPS) — year-row", Assumptions!$A:$A, 0), F$5+1)</f>
        <v>1979</v>
      </c>
      <c r="G24" s="15" cm="1">
        <f t="array" ref="G24">INDEX(Assumptions!$D:$AC, MATCH("Chip FP8 performance per chip (TFLOPS) — year-row", Assumptions!$A:$A, 0), G$5+1)</f>
        <v>1979</v>
      </c>
      <c r="H24" s="15" cm="1">
        <f t="array" ref="H24">INDEX(Assumptions!$D:$AC, MATCH("Chip FP8 performance per chip (TFLOPS) — year-row", Assumptions!$A:$A, 0), H$5+1)</f>
        <v>2819.33</v>
      </c>
      <c r="I24" s="15" cm="1">
        <f t="array" ref="I24">INDEX(Assumptions!$D:$AC, MATCH("Chip FP8 performance per chip (TFLOPS) — year-row", Assumptions!$A:$A, 0), I$5+1)</f>
        <v>3659.67</v>
      </c>
      <c r="J24" s="15" cm="1">
        <f t="array" ref="J24">INDEX(Assumptions!$D:$AC, MATCH("Chip FP8 performance per chip (TFLOPS) — year-row", Assumptions!$A:$A, 0), J$5+1)</f>
        <v>4500</v>
      </c>
      <c r="K24" s="15" cm="1">
        <f t="array" ref="K24">INDEX(Assumptions!$D:$AC, MATCH("Chip FP8 performance per chip (TFLOPS) — year-row", Assumptions!$A:$A, 0), K$5+1)</f>
        <v>4500</v>
      </c>
      <c r="L24" s="15" cm="1">
        <f t="array" ref="L24">INDEX(Assumptions!$D:$AC, MATCH("Chip FP8 performance per chip (TFLOPS) — year-row", Assumptions!$A:$A, 0), L$5+1)</f>
        <v>4500</v>
      </c>
      <c r="M24" s="15" cm="1">
        <f t="array" ref="M24">INDEX(Assumptions!$D:$AC, MATCH("Chip FP8 performance per chip (TFLOPS) — year-row", Assumptions!$A:$A, 0), M$5+1)</f>
        <v>4500</v>
      </c>
      <c r="N24" s="15" cm="1">
        <f t="array" ref="N24">INDEX(Assumptions!$D:$AC, MATCH("Chip FP8 performance per chip (TFLOPS) — year-row", Assumptions!$A:$A, 0), N$5+1)</f>
        <v>4500</v>
      </c>
      <c r="O24" s="15" cm="1">
        <f t="array" ref="O24">INDEX(Assumptions!$D:$AC, MATCH("Chip FP8 performance per chip (TFLOPS) — year-row", Assumptions!$A:$A, 0), O$5+1)</f>
        <v>4500</v>
      </c>
      <c r="P24" s="15" cm="1">
        <f t="array" ref="P24">INDEX(Assumptions!$D:$AC, MATCH("Chip FP8 performance per chip (TFLOPS) — year-row", Assumptions!$A:$A, 0), P$5+1)</f>
        <v>4500</v>
      </c>
      <c r="Q24" s="15" cm="1">
        <f t="array" ref="Q24">INDEX(Assumptions!$D:$AC, MATCH("Chip FP8 performance per chip (TFLOPS) — year-row", Assumptions!$A:$A, 0), Q$5+1)</f>
        <v>4500</v>
      </c>
      <c r="R24" s="15" cm="1">
        <f t="array" ref="R24">INDEX(Assumptions!$D:$AC, MATCH("Chip FP8 performance per chip (TFLOPS) — year-row", Assumptions!$A:$A, 0), R$5+1)</f>
        <v>4500</v>
      </c>
      <c r="S24" s="15" cm="1">
        <f t="array" ref="S24">INDEX(Assumptions!$D:$AC, MATCH("Chip FP8 performance per chip (TFLOPS) — year-row", Assumptions!$A:$A, 0), S$5+1)</f>
        <v>4500</v>
      </c>
      <c r="T24" s="15" cm="1">
        <f t="array" ref="T24">INDEX(Assumptions!$D:$AC, MATCH("Chip FP8 performance per chip (TFLOPS) — year-row", Assumptions!$A:$A, 0), T$5+1)</f>
        <v>4500</v>
      </c>
      <c r="U24" s="15" cm="1">
        <f t="array" ref="U24">INDEX(Assumptions!$D:$AC, MATCH("Chip FP8 performance per chip (TFLOPS) — year-row", Assumptions!$A:$A, 0), U$5+1)</f>
        <v>4500</v>
      </c>
      <c r="V24" s="15" cm="1">
        <f t="array" ref="V24">INDEX(Assumptions!$D:$AC, MATCH("Chip FP8 performance per chip (TFLOPS) — year-row", Assumptions!$A:$A, 0), V$5+1)</f>
        <v>4500</v>
      </c>
      <c r="W24" s="15" cm="1">
        <f t="array" ref="W24">INDEX(Assumptions!$D:$AC, MATCH("Chip FP8 performance per chip (TFLOPS) — year-row", Assumptions!$A:$A, 0), W$5+1)</f>
        <v>4500</v>
      </c>
      <c r="X24" s="15" cm="1">
        <f t="array" ref="X24">INDEX(Assumptions!$D:$AC, MATCH("Chip FP8 performance per chip (TFLOPS) — year-row", Assumptions!$A:$A, 0), X$5+1)</f>
        <v>4500</v>
      </c>
      <c r="Y24" s="15" cm="1">
        <f t="array" ref="Y24">INDEX(Assumptions!$D:$AC, MATCH("Chip FP8 performance per chip (TFLOPS) — year-row", Assumptions!$A:$A, 0), Y$5+1)</f>
        <v>4500</v>
      </c>
      <c r="Z24" s="15" cm="1">
        <f t="array" ref="Z24">INDEX(Assumptions!$D:$AC, MATCH("Chip FP8 performance per chip (TFLOPS) — year-row", Assumptions!$A:$A, 0), Z$5+1)</f>
        <v>4500</v>
      </c>
      <c r="AA24" s="15" cm="1">
        <f t="array" ref="AA24">INDEX(Assumptions!$D:$AC, MATCH("Chip FP8 performance per chip (TFLOPS) — year-row", Assumptions!$A:$A, 0), AA$5+1)</f>
        <v>4500</v>
      </c>
      <c r="AB24" s="15" cm="1">
        <f t="array" ref="AB24">INDEX(Assumptions!$D:$AC, MATCH("Chip FP8 performance per chip (TFLOPS) — year-row", Assumptions!$A:$A, 0), AB$5+1)</f>
        <v>4500</v>
      </c>
      <c r="AC24" s="15" cm="1">
        <f t="array" ref="AC24">INDEX(Assumptions!$D:$AC, MATCH("Chip FP8 performance per chip (TFLOPS) — year-row", Assumptions!$A:$A, 0), AC$5+1)</f>
        <v>4500</v>
      </c>
    </row>
    <row r="25" spans="1:29" x14ac:dyDescent="0.2">
      <c r="A25" t="s">
        <v>331</v>
      </c>
      <c r="D25" s="29" cm="1">
        <f t="array" ref="D25">INDEX(Assumptions!$D:$AC, MATCH("Chip mass per chip (kg) — year-row", Assumptions!$A:$A, 0), D$5+1)</f>
        <v>1.2</v>
      </c>
      <c r="E25" s="29" cm="1">
        <f t="array" ref="E25">INDEX(Assumptions!$D:$AC, MATCH("Chip mass per chip (kg) — year-row", Assumptions!$A:$A, 0), E$5+1)</f>
        <v>1.0667</v>
      </c>
      <c r="F25" s="29" cm="1">
        <f t="array" ref="F25">INDEX(Assumptions!$D:$AC, MATCH("Chip mass per chip (kg) — year-row", Assumptions!$A:$A, 0), F$5+1)</f>
        <v>0.93330000000000002</v>
      </c>
      <c r="G25" s="29" cm="1">
        <f t="array" ref="G25">INDEX(Assumptions!$D:$AC, MATCH("Chip mass per chip (kg) — year-row", Assumptions!$A:$A, 0), G$5+1)</f>
        <v>0.8</v>
      </c>
      <c r="H25" s="29" cm="1">
        <f t="array" ref="H25">INDEX(Assumptions!$D:$AC, MATCH("Chip mass per chip (kg) — year-row", Assumptions!$A:$A, 0), H$5+1)</f>
        <v>0.8</v>
      </c>
      <c r="I25" s="29" cm="1">
        <f t="array" ref="I25">INDEX(Assumptions!$D:$AC, MATCH("Chip mass per chip (kg) — year-row", Assumptions!$A:$A, 0), I$5+1)</f>
        <v>0.8</v>
      </c>
      <c r="J25" s="29" cm="1">
        <f t="array" ref="J25">INDEX(Assumptions!$D:$AC, MATCH("Chip mass per chip (kg) — year-row", Assumptions!$A:$A, 0), J$5+1)</f>
        <v>0.8</v>
      </c>
      <c r="K25" s="29" cm="1">
        <f t="array" ref="K25">INDEX(Assumptions!$D:$AC, MATCH("Chip mass per chip (kg) — year-row", Assumptions!$A:$A, 0), K$5+1)</f>
        <v>0.8</v>
      </c>
      <c r="L25" s="29" cm="1">
        <f t="array" ref="L25">INDEX(Assumptions!$D:$AC, MATCH("Chip mass per chip (kg) — year-row", Assumptions!$A:$A, 0), L$5+1)</f>
        <v>0.8</v>
      </c>
      <c r="M25" s="29" cm="1">
        <f t="array" ref="M25">INDEX(Assumptions!$D:$AC, MATCH("Chip mass per chip (kg) — year-row", Assumptions!$A:$A, 0), M$5+1)</f>
        <v>0.8</v>
      </c>
      <c r="N25" s="29" cm="1">
        <f t="array" ref="N25">INDEX(Assumptions!$D:$AC, MATCH("Chip mass per chip (kg) — year-row", Assumptions!$A:$A, 0), N$5+1)</f>
        <v>0.8</v>
      </c>
      <c r="O25" s="29" cm="1">
        <f t="array" ref="O25">INDEX(Assumptions!$D:$AC, MATCH("Chip mass per chip (kg) — year-row", Assumptions!$A:$A, 0), O$5+1)</f>
        <v>0.8</v>
      </c>
      <c r="P25" s="29" cm="1">
        <f t="array" ref="P25">INDEX(Assumptions!$D:$AC, MATCH("Chip mass per chip (kg) — year-row", Assumptions!$A:$A, 0), P$5+1)</f>
        <v>0.8</v>
      </c>
      <c r="Q25" s="29" cm="1">
        <f t="array" ref="Q25">INDEX(Assumptions!$D:$AC, MATCH("Chip mass per chip (kg) — year-row", Assumptions!$A:$A, 0), Q$5+1)</f>
        <v>0.8</v>
      </c>
      <c r="R25" s="29" cm="1">
        <f t="array" ref="R25">INDEX(Assumptions!$D:$AC, MATCH("Chip mass per chip (kg) — year-row", Assumptions!$A:$A, 0), R$5+1)</f>
        <v>0.8</v>
      </c>
      <c r="S25" s="29" cm="1">
        <f t="array" ref="S25">INDEX(Assumptions!$D:$AC, MATCH("Chip mass per chip (kg) — year-row", Assumptions!$A:$A, 0), S$5+1)</f>
        <v>0.8</v>
      </c>
      <c r="T25" s="29" cm="1">
        <f t="array" ref="T25">INDEX(Assumptions!$D:$AC, MATCH("Chip mass per chip (kg) — year-row", Assumptions!$A:$A, 0), T$5+1)</f>
        <v>0.8</v>
      </c>
      <c r="U25" s="29" cm="1">
        <f t="array" ref="U25">INDEX(Assumptions!$D:$AC, MATCH("Chip mass per chip (kg) — year-row", Assumptions!$A:$A, 0), U$5+1)</f>
        <v>0.8</v>
      </c>
      <c r="V25" s="29" cm="1">
        <f t="array" ref="V25">INDEX(Assumptions!$D:$AC, MATCH("Chip mass per chip (kg) — year-row", Assumptions!$A:$A, 0), V$5+1)</f>
        <v>0.8</v>
      </c>
      <c r="W25" s="29" cm="1">
        <f t="array" ref="W25">INDEX(Assumptions!$D:$AC, MATCH("Chip mass per chip (kg) — year-row", Assumptions!$A:$A, 0), W$5+1)</f>
        <v>0.8</v>
      </c>
      <c r="X25" s="29" cm="1">
        <f t="array" ref="X25">INDEX(Assumptions!$D:$AC, MATCH("Chip mass per chip (kg) — year-row", Assumptions!$A:$A, 0), X$5+1)</f>
        <v>0.8</v>
      </c>
      <c r="Y25" s="29" cm="1">
        <f t="array" ref="Y25">INDEX(Assumptions!$D:$AC, MATCH("Chip mass per chip (kg) — year-row", Assumptions!$A:$A, 0), Y$5+1)</f>
        <v>0.8</v>
      </c>
      <c r="Z25" s="29" cm="1">
        <f t="array" ref="Z25">INDEX(Assumptions!$D:$AC, MATCH("Chip mass per chip (kg) — year-row", Assumptions!$A:$A, 0), Z$5+1)</f>
        <v>0.8</v>
      </c>
      <c r="AA25" s="29" cm="1">
        <f t="array" ref="AA25">INDEX(Assumptions!$D:$AC, MATCH("Chip mass per chip (kg) — year-row", Assumptions!$A:$A, 0), AA$5+1)</f>
        <v>0.8</v>
      </c>
      <c r="AB25" s="29" cm="1">
        <f t="array" ref="AB25">INDEX(Assumptions!$D:$AC, MATCH("Chip mass per chip (kg) — year-row", Assumptions!$A:$A, 0), AB$5+1)</f>
        <v>0.8</v>
      </c>
      <c r="AC25" s="29" cm="1">
        <f t="array" ref="AC25">INDEX(Assumptions!$D:$AC, MATCH("Chip mass per chip (kg) — year-row", Assumptions!$A:$A, 0), AC$5+1)</f>
        <v>0.8</v>
      </c>
    </row>
    <row r="26" spans="1:29" x14ac:dyDescent="0.2">
      <c r="A26" t="s">
        <v>333</v>
      </c>
      <c r="D26" s="31" cm="1">
        <f t="array" ref="D26">INDEX(Assumptions!$D:$AC, MATCH("Chip cost per chip ($) — year-row", Assumptions!$A:$A, 0), D$5+1)</f>
        <v>30000</v>
      </c>
      <c r="E26" s="31" cm="1">
        <f t="array" ref="E26">INDEX(Assumptions!$D:$AC, MATCH("Chip cost per chip ($) — year-row", Assumptions!$A:$A, 0), E$5+1)</f>
        <v>21666.7</v>
      </c>
      <c r="F26" s="31" cm="1">
        <f t="array" ref="F26">INDEX(Assumptions!$D:$AC, MATCH("Chip cost per chip ($) — year-row", Assumptions!$A:$A, 0), F$5+1)</f>
        <v>13333.3</v>
      </c>
      <c r="G26" s="31" cm="1">
        <f t="array" ref="G26">INDEX(Assumptions!$D:$AC, MATCH("Chip cost per chip ($) — year-row", Assumptions!$A:$A, 0), G$5+1)</f>
        <v>5000</v>
      </c>
      <c r="H26" s="31" cm="1">
        <f t="array" ref="H26">INDEX(Assumptions!$D:$AC, MATCH("Chip cost per chip ($) — year-row", Assumptions!$A:$A, 0), H$5+1)</f>
        <v>4166.67</v>
      </c>
      <c r="I26" s="31" cm="1">
        <f t="array" ref="I26">INDEX(Assumptions!$D:$AC, MATCH("Chip cost per chip ($) — year-row", Assumptions!$A:$A, 0), I$5+1)</f>
        <v>3333.33</v>
      </c>
      <c r="J26" s="31" cm="1">
        <f t="array" ref="J26">INDEX(Assumptions!$D:$AC, MATCH("Chip cost per chip ($) — year-row", Assumptions!$A:$A, 0), J$5+1)</f>
        <v>2500</v>
      </c>
      <c r="K26" s="31" cm="1">
        <f t="array" ref="K26">INDEX(Assumptions!$D:$AC, MATCH("Chip cost per chip ($) — year-row", Assumptions!$A:$A, 0), K$5+1)</f>
        <v>2500</v>
      </c>
      <c r="L26" s="31" cm="1">
        <f t="array" ref="L26">INDEX(Assumptions!$D:$AC, MATCH("Chip cost per chip ($) — year-row", Assumptions!$A:$A, 0), L$5+1)</f>
        <v>2500</v>
      </c>
      <c r="M26" s="31" cm="1">
        <f t="array" ref="M26">INDEX(Assumptions!$D:$AC, MATCH("Chip cost per chip ($) — year-row", Assumptions!$A:$A, 0), M$5+1)</f>
        <v>2500</v>
      </c>
      <c r="N26" s="31" cm="1">
        <f t="array" ref="N26">INDEX(Assumptions!$D:$AC, MATCH("Chip cost per chip ($) — year-row", Assumptions!$A:$A, 0), N$5+1)</f>
        <v>2500</v>
      </c>
      <c r="O26" s="31" cm="1">
        <f t="array" ref="O26">INDEX(Assumptions!$D:$AC, MATCH("Chip cost per chip ($) — year-row", Assumptions!$A:$A, 0), O$5+1)</f>
        <v>2500</v>
      </c>
      <c r="P26" s="31" cm="1">
        <f t="array" ref="P26">INDEX(Assumptions!$D:$AC, MATCH("Chip cost per chip ($) — year-row", Assumptions!$A:$A, 0), P$5+1)</f>
        <v>2500</v>
      </c>
      <c r="Q26" s="31" cm="1">
        <f t="array" ref="Q26">INDEX(Assumptions!$D:$AC, MATCH("Chip cost per chip ($) — year-row", Assumptions!$A:$A, 0), Q$5+1)</f>
        <v>2500</v>
      </c>
      <c r="R26" s="31" cm="1">
        <f t="array" ref="R26">INDEX(Assumptions!$D:$AC, MATCH("Chip cost per chip ($) — year-row", Assumptions!$A:$A, 0), R$5+1)</f>
        <v>2500</v>
      </c>
      <c r="S26" s="31" cm="1">
        <f t="array" ref="S26">INDEX(Assumptions!$D:$AC, MATCH("Chip cost per chip ($) — year-row", Assumptions!$A:$A, 0), S$5+1)</f>
        <v>2500</v>
      </c>
      <c r="T26" s="31" cm="1">
        <f t="array" ref="T26">INDEX(Assumptions!$D:$AC, MATCH("Chip cost per chip ($) — year-row", Assumptions!$A:$A, 0), T$5+1)</f>
        <v>2500</v>
      </c>
      <c r="U26" s="31" cm="1">
        <f t="array" ref="U26">INDEX(Assumptions!$D:$AC, MATCH("Chip cost per chip ($) — year-row", Assumptions!$A:$A, 0), U$5+1)</f>
        <v>2500</v>
      </c>
      <c r="V26" s="31" cm="1">
        <f t="array" ref="V26">INDEX(Assumptions!$D:$AC, MATCH("Chip cost per chip ($) — year-row", Assumptions!$A:$A, 0), V$5+1)</f>
        <v>2500</v>
      </c>
      <c r="W26" s="31" cm="1">
        <f t="array" ref="W26">INDEX(Assumptions!$D:$AC, MATCH("Chip cost per chip ($) — year-row", Assumptions!$A:$A, 0), W$5+1)</f>
        <v>2500</v>
      </c>
      <c r="X26" s="31" cm="1">
        <f t="array" ref="X26">INDEX(Assumptions!$D:$AC, MATCH("Chip cost per chip ($) — year-row", Assumptions!$A:$A, 0), X$5+1)</f>
        <v>2500</v>
      </c>
      <c r="Y26" s="31" cm="1">
        <f t="array" ref="Y26">INDEX(Assumptions!$D:$AC, MATCH("Chip cost per chip ($) — year-row", Assumptions!$A:$A, 0), Y$5+1)</f>
        <v>2500</v>
      </c>
      <c r="Z26" s="31" cm="1">
        <f t="array" ref="Z26">INDEX(Assumptions!$D:$AC, MATCH("Chip cost per chip ($) — year-row", Assumptions!$A:$A, 0), Z$5+1)</f>
        <v>2500</v>
      </c>
      <c r="AA26" s="31" cm="1">
        <f t="array" ref="AA26">INDEX(Assumptions!$D:$AC, MATCH("Chip cost per chip ($) — year-row", Assumptions!$A:$A, 0), AA$5+1)</f>
        <v>2500</v>
      </c>
      <c r="AB26" s="31" cm="1">
        <f t="array" ref="AB26">INDEX(Assumptions!$D:$AC, MATCH("Chip cost per chip ($) — year-row", Assumptions!$A:$A, 0), AB$5+1)</f>
        <v>2500</v>
      </c>
      <c r="AC26" s="31" cm="1">
        <f t="array" ref="AC26">INDEX(Assumptions!$D:$AC, MATCH("Chip cost per chip ($) — year-row", Assumptions!$A:$A, 0), AC$5+1)</f>
        <v>2500</v>
      </c>
    </row>
    <row r="27" spans="1:29" x14ac:dyDescent="0.2">
      <c r="A27" t="s">
        <v>335</v>
      </c>
      <c r="D27" s="50" cm="1">
        <f t="array" ref="D27">INDEX(Assumptions!$D:$AC, MATCH("Price per H100-equiv GPU-hr ($) — year-row", Assumptions!$A:$A, 0), D$5+1)</f>
        <v>2</v>
      </c>
      <c r="E27" s="50" cm="1">
        <f t="array" ref="E27">INDEX(Assumptions!$D:$AC, MATCH("Price per H100-equiv GPU-hr ($) — year-row", Assumptions!$A:$A, 0), E$5+1)</f>
        <v>1.9</v>
      </c>
      <c r="F27" s="50" cm="1">
        <f t="array" ref="F27">INDEX(Assumptions!$D:$AC, MATCH("Price per H100-equiv GPU-hr ($) — year-row", Assumptions!$A:$A, 0), F$5+1)</f>
        <v>1.8049999999999999</v>
      </c>
      <c r="G27" s="50" cm="1">
        <f t="array" ref="G27">INDEX(Assumptions!$D:$AC, MATCH("Price per H100-equiv GPU-hr ($) — year-row", Assumptions!$A:$A, 0), G$5+1)</f>
        <v>1.7146999999999999</v>
      </c>
      <c r="H27" s="50" cm="1">
        <f t="array" ref="H27">INDEX(Assumptions!$D:$AC, MATCH("Price per H100-equiv GPU-hr ($) — year-row", Assumptions!$A:$A, 0), H$5+1)</f>
        <v>1.629</v>
      </c>
      <c r="I27" s="50" cm="1">
        <f t="array" ref="I27">INDEX(Assumptions!$D:$AC, MATCH("Price per H100-equiv GPU-hr ($) — year-row", Assumptions!$A:$A, 0), I$5+1)</f>
        <v>1.5476000000000001</v>
      </c>
      <c r="J27" s="50" cm="1">
        <f t="array" ref="J27">INDEX(Assumptions!$D:$AC, MATCH("Price per H100-equiv GPU-hr ($) — year-row", Assumptions!$A:$A, 0), J$5+1)</f>
        <v>1.4702</v>
      </c>
      <c r="K27" s="50" cm="1">
        <f t="array" ref="K27">INDEX(Assumptions!$D:$AC, MATCH("Price per H100-equiv GPU-hr ($) — year-row", Assumptions!$A:$A, 0), K$5+1)</f>
        <v>1.3967000000000001</v>
      </c>
      <c r="L27" s="50" cm="1">
        <f t="array" ref="L27">INDEX(Assumptions!$D:$AC, MATCH("Price per H100-equiv GPU-hr ($) — year-row", Assumptions!$A:$A, 0), L$5+1)</f>
        <v>1.3268</v>
      </c>
      <c r="M27" s="50" cm="1">
        <f t="array" ref="M27">INDEX(Assumptions!$D:$AC, MATCH("Price per H100-equiv GPU-hr ($) — year-row", Assumptions!$A:$A, 0), M$5+1)</f>
        <v>1.2605</v>
      </c>
      <c r="N27" s="50" cm="1">
        <f t="array" ref="N27">INDEX(Assumptions!$D:$AC, MATCH("Price per H100-equiv GPU-hr ($) — year-row", Assumptions!$A:$A, 0), N$5+1)</f>
        <v>1.1975</v>
      </c>
      <c r="O27" s="50" cm="1">
        <f t="array" ref="O27">INDEX(Assumptions!$D:$AC, MATCH("Price per H100-equiv GPU-hr ($) — year-row", Assumptions!$A:$A, 0), O$5+1)</f>
        <v>1.1375999999999999</v>
      </c>
      <c r="P27" s="50" cm="1">
        <f t="array" ref="P27">INDEX(Assumptions!$D:$AC, MATCH("Price per H100-equiv GPU-hr ($) — year-row", Assumptions!$A:$A, 0), P$5+1)</f>
        <v>1.0807</v>
      </c>
      <c r="Q27" s="50" cm="1">
        <f t="array" ref="Q27">INDEX(Assumptions!$D:$AC, MATCH("Price per H100-equiv GPU-hr ($) — year-row", Assumptions!$A:$A, 0), Q$5+1)</f>
        <v>1.0266999999999999</v>
      </c>
      <c r="R27" s="50" cm="1">
        <f t="array" ref="R27">INDEX(Assumptions!$D:$AC, MATCH("Price per H100-equiv GPU-hr ($) — year-row", Assumptions!$A:$A, 0), R$5+1)</f>
        <v>0.97529999999999994</v>
      </c>
      <c r="S27" s="50" cm="1">
        <f t="array" ref="S27">INDEX(Assumptions!$D:$AC, MATCH("Price per H100-equiv GPU-hr ($) — year-row", Assumptions!$A:$A, 0), S$5+1)</f>
        <v>0.92659999999999998</v>
      </c>
      <c r="T27" s="50" cm="1">
        <f t="array" ref="T27">INDEX(Assumptions!$D:$AC, MATCH("Price per H100-equiv GPU-hr ($) — year-row", Assumptions!$A:$A, 0), T$5+1)</f>
        <v>0.88029999999999997</v>
      </c>
      <c r="U27" s="50" cm="1">
        <f t="array" ref="U27">INDEX(Assumptions!$D:$AC, MATCH("Price per H100-equiv GPU-hr ($) — year-row", Assumptions!$A:$A, 0), U$5+1)</f>
        <v>0.83620000000000005</v>
      </c>
      <c r="V27" s="50" cm="1">
        <f t="array" ref="V27">INDEX(Assumptions!$D:$AC, MATCH("Price per H100-equiv GPU-hr ($) — year-row", Assumptions!$A:$A, 0), V$5+1)</f>
        <v>0.7944</v>
      </c>
      <c r="W27" s="50" cm="1">
        <f t="array" ref="W27">INDEX(Assumptions!$D:$AC, MATCH("Price per H100-equiv GPU-hr ($) — year-row", Assumptions!$A:$A, 0), W$5+1)</f>
        <v>0.75470000000000004</v>
      </c>
      <c r="X27" s="50" cm="1">
        <f t="array" ref="X27">INDEX(Assumptions!$D:$AC, MATCH("Price per H100-equiv GPU-hr ($) — year-row", Assumptions!$A:$A, 0), X$5+1)</f>
        <v>0.71699999999999997</v>
      </c>
      <c r="Y27" s="50" cm="1">
        <f t="array" ref="Y27">INDEX(Assumptions!$D:$AC, MATCH("Price per H100-equiv GPU-hr ($) — year-row", Assumptions!$A:$A, 0), Y$5+1)</f>
        <v>0.68110000000000004</v>
      </c>
      <c r="Z27" s="50" cm="1">
        <f t="array" ref="Z27">INDEX(Assumptions!$D:$AC, MATCH("Price per H100-equiv GPU-hr ($) — year-row", Assumptions!$A:$A, 0), Z$5+1)</f>
        <v>0.64710000000000001</v>
      </c>
      <c r="AA27" s="50" cm="1">
        <f t="array" ref="AA27">INDEX(Assumptions!$D:$AC, MATCH("Price per H100-equiv GPU-hr ($) — year-row", Assumptions!$A:$A, 0), AA$5+1)</f>
        <v>0.61470000000000002</v>
      </c>
      <c r="AB27" s="50" cm="1">
        <f t="array" ref="AB27">INDEX(Assumptions!$D:$AC, MATCH("Price per H100-equiv GPU-hr ($) — year-row", Assumptions!$A:$A, 0), AB$5+1)</f>
        <v>0.58399999999999996</v>
      </c>
      <c r="AC27" s="50" cm="1">
        <f t="array" ref="AC27">INDEX(Assumptions!$D:$AC, MATCH("Price per H100-equiv GPU-hr ($) — year-row", Assumptions!$A:$A, 0), AC$5+1)</f>
        <v>0.55479999999999996</v>
      </c>
    </row>
    <row r="28" spans="1:29" x14ac:dyDescent="0.2">
      <c r="A28" t="s">
        <v>337</v>
      </c>
      <c r="D28" s="17" cm="1">
        <f t="array" ref="D28">INDEX(Assumptions!$D:$AC, MATCH("Utilization % (fleet ramp) — year-row", Assumptions!$A:$A, 0), D$5+1)</f>
        <v>0.4</v>
      </c>
      <c r="E28" s="17" cm="1">
        <f t="array" ref="E28">INDEX(Assumptions!$D:$AC, MATCH("Utilization % (fleet ramp) — year-row", Assumptions!$A:$A, 0), E$5+1)</f>
        <v>0.51249999999999996</v>
      </c>
      <c r="F28" s="17" cm="1">
        <f t="array" ref="F28">INDEX(Assumptions!$D:$AC, MATCH("Utilization % (fleet ramp) — year-row", Assumptions!$A:$A, 0), F$5+1)</f>
        <v>0.625</v>
      </c>
      <c r="G28" s="17" cm="1">
        <f t="array" ref="G28">INDEX(Assumptions!$D:$AC, MATCH("Utilization % (fleet ramp) — year-row", Assumptions!$A:$A, 0), G$5+1)</f>
        <v>0.73750000000000004</v>
      </c>
      <c r="H28" s="17" cm="1">
        <f t="array" ref="H28">INDEX(Assumptions!$D:$AC, MATCH("Utilization % (fleet ramp) — year-row", Assumptions!$A:$A, 0), H$5+1)</f>
        <v>0.85</v>
      </c>
      <c r="I28" s="17" cm="1">
        <f t="array" ref="I28">INDEX(Assumptions!$D:$AC, MATCH("Utilization % (fleet ramp) — year-row", Assumptions!$A:$A, 0), I$5+1)</f>
        <v>0.85</v>
      </c>
      <c r="J28" s="17" cm="1">
        <f t="array" ref="J28">INDEX(Assumptions!$D:$AC, MATCH("Utilization % (fleet ramp) — year-row", Assumptions!$A:$A, 0), J$5+1)</f>
        <v>0.85</v>
      </c>
      <c r="K28" s="17" cm="1">
        <f t="array" ref="K28">INDEX(Assumptions!$D:$AC, MATCH("Utilization % (fleet ramp) — year-row", Assumptions!$A:$A, 0), K$5+1)</f>
        <v>0.85</v>
      </c>
      <c r="L28" s="17" cm="1">
        <f t="array" ref="L28">INDEX(Assumptions!$D:$AC, MATCH("Utilization % (fleet ramp) — year-row", Assumptions!$A:$A, 0), L$5+1)</f>
        <v>0.85</v>
      </c>
      <c r="M28" s="17" cm="1">
        <f t="array" ref="M28">INDEX(Assumptions!$D:$AC, MATCH("Utilization % (fleet ramp) — year-row", Assumptions!$A:$A, 0), M$5+1)</f>
        <v>0.85</v>
      </c>
      <c r="N28" s="17" cm="1">
        <f t="array" ref="N28">INDEX(Assumptions!$D:$AC, MATCH("Utilization % (fleet ramp) — year-row", Assumptions!$A:$A, 0), N$5+1)</f>
        <v>0.85</v>
      </c>
      <c r="O28" s="17" cm="1">
        <f t="array" ref="O28">INDEX(Assumptions!$D:$AC, MATCH("Utilization % (fleet ramp) — year-row", Assumptions!$A:$A, 0), O$5+1)</f>
        <v>0.85</v>
      </c>
      <c r="P28" s="17" cm="1">
        <f t="array" ref="P28">INDEX(Assumptions!$D:$AC, MATCH("Utilization % (fleet ramp) — year-row", Assumptions!$A:$A, 0), P$5+1)</f>
        <v>0.85</v>
      </c>
      <c r="Q28" s="17" cm="1">
        <f t="array" ref="Q28">INDEX(Assumptions!$D:$AC, MATCH("Utilization % (fleet ramp) — year-row", Assumptions!$A:$A, 0), Q$5+1)</f>
        <v>0.85</v>
      </c>
      <c r="R28" s="17" cm="1">
        <f t="array" ref="R28">INDEX(Assumptions!$D:$AC, MATCH("Utilization % (fleet ramp) — year-row", Assumptions!$A:$A, 0), R$5+1)</f>
        <v>0.85</v>
      </c>
      <c r="S28" s="17" cm="1">
        <f t="array" ref="S28">INDEX(Assumptions!$D:$AC, MATCH("Utilization % (fleet ramp) — year-row", Assumptions!$A:$A, 0), S$5+1)</f>
        <v>0.85</v>
      </c>
      <c r="T28" s="17" cm="1">
        <f t="array" ref="T28">INDEX(Assumptions!$D:$AC, MATCH("Utilization % (fleet ramp) — year-row", Assumptions!$A:$A, 0), T$5+1)</f>
        <v>0.85</v>
      </c>
      <c r="U28" s="17" cm="1">
        <f t="array" ref="U28">INDEX(Assumptions!$D:$AC, MATCH("Utilization % (fleet ramp) — year-row", Assumptions!$A:$A, 0), U$5+1)</f>
        <v>0.85</v>
      </c>
      <c r="V28" s="17" cm="1">
        <f t="array" ref="V28">INDEX(Assumptions!$D:$AC, MATCH("Utilization % (fleet ramp) — year-row", Assumptions!$A:$A, 0), V$5+1)</f>
        <v>0.85</v>
      </c>
      <c r="W28" s="17" cm="1">
        <f t="array" ref="W28">INDEX(Assumptions!$D:$AC, MATCH("Utilization % (fleet ramp) — year-row", Assumptions!$A:$A, 0), W$5+1)</f>
        <v>0.85</v>
      </c>
      <c r="X28" s="17" cm="1">
        <f t="array" ref="X28">INDEX(Assumptions!$D:$AC, MATCH("Utilization % (fleet ramp) — year-row", Assumptions!$A:$A, 0), X$5+1)</f>
        <v>0.85</v>
      </c>
      <c r="Y28" s="17" cm="1">
        <f t="array" ref="Y28">INDEX(Assumptions!$D:$AC, MATCH("Utilization % (fleet ramp) — year-row", Assumptions!$A:$A, 0), Y$5+1)</f>
        <v>0.85</v>
      </c>
      <c r="Z28" s="17" cm="1">
        <f t="array" ref="Z28">INDEX(Assumptions!$D:$AC, MATCH("Utilization % (fleet ramp) — year-row", Assumptions!$A:$A, 0), Z$5+1)</f>
        <v>0.85</v>
      </c>
      <c r="AA28" s="17" cm="1">
        <f t="array" ref="AA28">INDEX(Assumptions!$D:$AC, MATCH("Utilization % (fleet ramp) — year-row", Assumptions!$A:$A, 0), AA$5+1)</f>
        <v>0.85</v>
      </c>
      <c r="AB28" s="17" cm="1">
        <f t="array" ref="AB28">INDEX(Assumptions!$D:$AC, MATCH("Utilization % (fleet ramp) — year-row", Assumptions!$A:$A, 0), AB$5+1)</f>
        <v>0.85</v>
      </c>
      <c r="AC28" s="17" cm="1">
        <f t="array" ref="AC28">INDEX(Assumptions!$D:$AC, MATCH("Utilization % (fleet ramp) — year-row", Assumptions!$A:$A, 0), AC$5+1)</f>
        <v>0.85</v>
      </c>
    </row>
    <row r="29" spans="1:29" x14ac:dyDescent="0.2">
      <c r="A29" t="s">
        <v>983</v>
      </c>
      <c r="D29" s="15">
        <f>IFERROR($D$14 * 1000 / D23, 0)</f>
        <v>200</v>
      </c>
      <c r="E29" s="15">
        <f t="shared" ref="E29:AC29" si="1">IFERROR($D$14 * 1000 / E23, 0)</f>
        <v>200</v>
      </c>
      <c r="F29" s="15">
        <f t="shared" si="1"/>
        <v>233.33333333333334</v>
      </c>
      <c r="G29" s="15">
        <f t="shared" si="1"/>
        <v>280</v>
      </c>
      <c r="H29" s="15">
        <f t="shared" si="1"/>
        <v>262.50016406260255</v>
      </c>
      <c r="I29" s="15">
        <f t="shared" si="1"/>
        <v>247.05867820077751</v>
      </c>
      <c r="J29" s="15">
        <f t="shared" si="1"/>
        <v>233.33333333333334</v>
      </c>
      <c r="K29" s="15">
        <f t="shared" si="1"/>
        <v>233.33333333333334</v>
      </c>
      <c r="L29" s="15">
        <f t="shared" si="1"/>
        <v>233.33333333333334</v>
      </c>
      <c r="M29" s="15">
        <f t="shared" si="1"/>
        <v>233.33333333333334</v>
      </c>
      <c r="N29" s="15">
        <f t="shared" si="1"/>
        <v>233.33333333333334</v>
      </c>
      <c r="O29" s="15">
        <f t="shared" si="1"/>
        <v>233.33333333333334</v>
      </c>
      <c r="P29" s="15">
        <f t="shared" si="1"/>
        <v>233.33333333333334</v>
      </c>
      <c r="Q29" s="15">
        <f t="shared" si="1"/>
        <v>233.33333333333334</v>
      </c>
      <c r="R29" s="15">
        <f t="shared" si="1"/>
        <v>233.33333333333334</v>
      </c>
      <c r="S29" s="15">
        <f t="shared" si="1"/>
        <v>233.33333333333334</v>
      </c>
      <c r="T29" s="15">
        <f t="shared" si="1"/>
        <v>233.33333333333334</v>
      </c>
      <c r="U29" s="15">
        <f t="shared" si="1"/>
        <v>233.33333333333334</v>
      </c>
      <c r="V29" s="15">
        <f t="shared" si="1"/>
        <v>233.33333333333334</v>
      </c>
      <c r="W29" s="15">
        <f t="shared" si="1"/>
        <v>233.33333333333334</v>
      </c>
      <c r="X29" s="15">
        <f t="shared" si="1"/>
        <v>233.33333333333334</v>
      </c>
      <c r="Y29" s="15">
        <f t="shared" si="1"/>
        <v>233.33333333333334</v>
      </c>
      <c r="Z29" s="15">
        <f t="shared" si="1"/>
        <v>233.33333333333334</v>
      </c>
      <c r="AA29" s="15">
        <f t="shared" si="1"/>
        <v>233.33333333333334</v>
      </c>
      <c r="AB29" s="15">
        <f t="shared" si="1"/>
        <v>233.33333333333334</v>
      </c>
      <c r="AC29" s="15">
        <f t="shared" si="1"/>
        <v>233.33333333333334</v>
      </c>
    </row>
    <row r="30" spans="1:29" x14ac:dyDescent="0.2">
      <c r="A30" t="s">
        <v>984</v>
      </c>
      <c r="D30" s="26">
        <f>IFERROR(D29 * D24 / 1000, 0)</f>
        <v>395.8</v>
      </c>
      <c r="E30" s="26">
        <f t="shared" ref="E30:AC30" si="2">IFERROR(E29 * E24 / 1000, 0)</f>
        <v>395.8</v>
      </c>
      <c r="F30" s="26">
        <f t="shared" si="2"/>
        <v>461.76666666666671</v>
      </c>
      <c r="G30" s="26">
        <f t="shared" si="2"/>
        <v>554.12</v>
      </c>
      <c r="H30" s="26">
        <f t="shared" si="2"/>
        <v>740.07458754661729</v>
      </c>
      <c r="I30" s="26">
        <f t="shared" si="2"/>
        <v>904.15323285103943</v>
      </c>
      <c r="J30" s="26">
        <f t="shared" si="2"/>
        <v>1050</v>
      </c>
      <c r="K30" s="26">
        <f t="shared" si="2"/>
        <v>1050</v>
      </c>
      <c r="L30" s="26">
        <f t="shared" si="2"/>
        <v>1050</v>
      </c>
      <c r="M30" s="26">
        <f t="shared" si="2"/>
        <v>1050</v>
      </c>
      <c r="N30" s="26">
        <f t="shared" si="2"/>
        <v>1050</v>
      </c>
      <c r="O30" s="26">
        <f t="shared" si="2"/>
        <v>1050</v>
      </c>
      <c r="P30" s="26">
        <f t="shared" si="2"/>
        <v>1050</v>
      </c>
      <c r="Q30" s="26">
        <f t="shared" si="2"/>
        <v>1050</v>
      </c>
      <c r="R30" s="26">
        <f t="shared" si="2"/>
        <v>1050</v>
      </c>
      <c r="S30" s="26">
        <f t="shared" si="2"/>
        <v>1050</v>
      </c>
      <c r="T30" s="26">
        <f t="shared" si="2"/>
        <v>1050</v>
      </c>
      <c r="U30" s="26">
        <f t="shared" si="2"/>
        <v>1050</v>
      </c>
      <c r="V30" s="26">
        <f t="shared" si="2"/>
        <v>1050</v>
      </c>
      <c r="W30" s="26">
        <f t="shared" si="2"/>
        <v>1050</v>
      </c>
      <c r="X30" s="26">
        <f t="shared" si="2"/>
        <v>1050</v>
      </c>
      <c r="Y30" s="26">
        <f t="shared" si="2"/>
        <v>1050</v>
      </c>
      <c r="Z30" s="26">
        <f t="shared" si="2"/>
        <v>1050</v>
      </c>
      <c r="AA30" s="26">
        <f t="shared" si="2"/>
        <v>1050</v>
      </c>
      <c r="AB30" s="26">
        <f t="shared" si="2"/>
        <v>1050</v>
      </c>
      <c r="AC30" s="26">
        <f t="shared" si="2"/>
        <v>1050</v>
      </c>
    </row>
    <row r="31" spans="1:29" x14ac:dyDescent="0.2">
      <c r="A31" t="s">
        <v>985</v>
      </c>
      <c r="D31" s="29">
        <f>D29 * D25</f>
        <v>240</v>
      </c>
      <c r="E31" s="29">
        <f t="shared" ref="E31:AC31" si="3">E29 * E25</f>
        <v>213.34</v>
      </c>
      <c r="F31" s="29">
        <f t="shared" si="3"/>
        <v>217.77</v>
      </c>
      <c r="G31" s="29">
        <f t="shared" si="3"/>
        <v>224</v>
      </c>
      <c r="H31" s="29">
        <f t="shared" si="3"/>
        <v>210.00013125008206</v>
      </c>
      <c r="I31" s="29">
        <f t="shared" si="3"/>
        <v>197.64694256062202</v>
      </c>
      <c r="J31" s="29">
        <f t="shared" si="3"/>
        <v>186.66666666666669</v>
      </c>
      <c r="K31" s="29">
        <f t="shared" si="3"/>
        <v>186.66666666666669</v>
      </c>
      <c r="L31" s="29">
        <f t="shared" si="3"/>
        <v>186.66666666666669</v>
      </c>
      <c r="M31" s="29">
        <f t="shared" si="3"/>
        <v>186.66666666666669</v>
      </c>
      <c r="N31" s="29">
        <f t="shared" si="3"/>
        <v>186.66666666666669</v>
      </c>
      <c r="O31" s="29">
        <f t="shared" si="3"/>
        <v>186.66666666666669</v>
      </c>
      <c r="P31" s="29">
        <f t="shared" si="3"/>
        <v>186.66666666666669</v>
      </c>
      <c r="Q31" s="29">
        <f t="shared" si="3"/>
        <v>186.66666666666669</v>
      </c>
      <c r="R31" s="29">
        <f t="shared" si="3"/>
        <v>186.66666666666669</v>
      </c>
      <c r="S31" s="29">
        <f t="shared" si="3"/>
        <v>186.66666666666669</v>
      </c>
      <c r="T31" s="29">
        <f t="shared" si="3"/>
        <v>186.66666666666669</v>
      </c>
      <c r="U31" s="29">
        <f t="shared" si="3"/>
        <v>186.66666666666669</v>
      </c>
      <c r="V31" s="29">
        <f t="shared" si="3"/>
        <v>186.66666666666669</v>
      </c>
      <c r="W31" s="29">
        <f t="shared" si="3"/>
        <v>186.66666666666669</v>
      </c>
      <c r="X31" s="29">
        <f t="shared" si="3"/>
        <v>186.66666666666669</v>
      </c>
      <c r="Y31" s="29">
        <f t="shared" si="3"/>
        <v>186.66666666666669</v>
      </c>
      <c r="Z31" s="29">
        <f t="shared" si="3"/>
        <v>186.66666666666669</v>
      </c>
      <c r="AA31" s="29">
        <f t="shared" si="3"/>
        <v>186.66666666666669</v>
      </c>
      <c r="AB31" s="29">
        <f t="shared" si="3"/>
        <v>186.66666666666669</v>
      </c>
      <c r="AC31" s="29">
        <f t="shared" si="3"/>
        <v>186.66666666666669</v>
      </c>
    </row>
    <row r="32" spans="1:29" x14ac:dyDescent="0.2">
      <c r="A32" s="49" t="s">
        <v>986</v>
      </c>
    </row>
    <row r="33" spans="1:29" x14ac:dyDescent="0.2">
      <c r="A33" t="s">
        <v>987</v>
      </c>
      <c r="D33" s="31">
        <f>D16 * INDEX(Assumptions!$B:$B, MATCH("Solar array unit cost ($/W)", Assumptions!$A:$A, 0))</f>
        <v>1248000</v>
      </c>
    </row>
    <row r="34" spans="1:29" x14ac:dyDescent="0.2">
      <c r="A34" t="s">
        <v>988</v>
      </c>
      <c r="D34" s="31">
        <f>D17 * INDEX(Assumptions!$B:$B, MATCH("Thermal system unit cost ($/kg)", Assumptions!$A:$A, 0))</f>
        <v>1440000</v>
      </c>
    </row>
    <row r="35" spans="1:29" x14ac:dyDescent="0.2">
      <c r="A35" t="s">
        <v>989</v>
      </c>
      <c r="D35" s="31">
        <f>INDEX(Assumptions!$B:$B, MATCH("Comms (ISL set) flat cost ($)", Assumptions!$A:$A, 0))</f>
        <v>75000</v>
      </c>
    </row>
    <row r="36" spans="1:29" x14ac:dyDescent="0.2">
      <c r="A36" t="s">
        <v>990</v>
      </c>
      <c r="D36" s="31">
        <f>INDEX(Assumptions!$B:$B, MATCH("ADCS + avionics flat cost ($)", Assumptions!$A:$A, 0))</f>
        <v>150000</v>
      </c>
    </row>
    <row r="37" spans="1:29" x14ac:dyDescent="0.2">
      <c r="A37" t="s">
        <v>991</v>
      </c>
      <c r="D37" s="31">
        <f>INDEX(Assumptions!$B:$B, MATCH("Structure flat cost ($)", Assumptions!$A:$A, 0))</f>
        <v>65000</v>
      </c>
    </row>
    <row r="38" spans="1:29" x14ac:dyDescent="0.2">
      <c r="A38" t="s">
        <v>992</v>
      </c>
      <c r="D38" s="31">
        <f>INDEX(Assumptions!$B:$B, MATCH("Battery flat cost ($)", Assumptions!$A:$A, 0))</f>
        <v>40000</v>
      </c>
    </row>
    <row r="39" spans="1:29" x14ac:dyDescent="0.2">
      <c r="A39" t="s">
        <v>993</v>
      </c>
      <c r="D39" s="31">
        <f>INDEX(Assumptions!$B:$B, MATCH("Shielding flat cost ($)", Assumptions!$A:$A, 0))</f>
        <v>25000</v>
      </c>
    </row>
    <row r="40" spans="1:29" x14ac:dyDescent="0.2">
      <c r="A40" t="s">
        <v>994</v>
      </c>
      <c r="D40" s="31">
        <f>INDEX(Assumptions!$B:$B, MATCH("Integration &amp; Test flat cost ($)", Assumptions!$A:$A, 0))</f>
        <v>150000</v>
      </c>
    </row>
    <row r="41" spans="1:29" x14ac:dyDescent="0.2">
      <c r="A41" t="s">
        <v>995</v>
      </c>
      <c r="D41" s="31">
        <f>SUM(D33:D40)</f>
        <v>3193000</v>
      </c>
    </row>
    <row r="42" spans="1:29" x14ac:dyDescent="0.2">
      <c r="A42" s="18" t="s">
        <v>996</v>
      </c>
      <c r="D42" s="15">
        <v>0</v>
      </c>
      <c r="E42" s="15">
        <f ca="1">D42 + E69</f>
        <v>0</v>
      </c>
      <c r="F42" s="15">
        <f t="shared" ref="F42:AC42" ca="1" si="4">E42 + F69</f>
        <v>0</v>
      </c>
      <c r="G42" s="15">
        <f t="shared" ca="1" si="4"/>
        <v>0</v>
      </c>
      <c r="H42" s="15">
        <f t="shared" ca="1" si="4"/>
        <v>0</v>
      </c>
      <c r="I42" s="15">
        <f t="shared" ca="1" si="4"/>
        <v>0</v>
      </c>
      <c r="J42" s="15">
        <f t="shared" ca="1" si="4"/>
        <v>0</v>
      </c>
      <c r="K42" s="15">
        <f t="shared" ca="1" si="4"/>
        <v>0</v>
      </c>
      <c r="L42" s="15">
        <f t="shared" ca="1" si="4"/>
        <v>0</v>
      </c>
      <c r="M42" s="15">
        <f t="shared" ca="1" si="4"/>
        <v>0</v>
      </c>
      <c r="N42" s="15">
        <f t="shared" ca="1" si="4"/>
        <v>0</v>
      </c>
      <c r="O42" s="15">
        <f t="shared" ca="1" si="4"/>
        <v>0</v>
      </c>
      <c r="P42" s="15">
        <f t="shared" ca="1" si="4"/>
        <v>0</v>
      </c>
      <c r="Q42" s="15">
        <f t="shared" ca="1" si="4"/>
        <v>0</v>
      </c>
      <c r="R42" s="15">
        <f t="shared" ca="1" si="4"/>
        <v>0</v>
      </c>
      <c r="S42" s="15">
        <f t="shared" ca="1" si="4"/>
        <v>0</v>
      </c>
      <c r="T42" s="15">
        <f t="shared" ca="1" si="4"/>
        <v>0</v>
      </c>
      <c r="U42" s="15">
        <f t="shared" ca="1" si="4"/>
        <v>0</v>
      </c>
      <c r="V42" s="15">
        <f t="shared" ca="1" si="4"/>
        <v>0</v>
      </c>
      <c r="W42" s="15">
        <f t="shared" ca="1" si="4"/>
        <v>0</v>
      </c>
      <c r="X42" s="15">
        <f t="shared" ca="1" si="4"/>
        <v>0</v>
      </c>
      <c r="Y42" s="15">
        <f t="shared" ca="1" si="4"/>
        <v>0</v>
      </c>
      <c r="Z42" s="15">
        <f t="shared" ca="1" si="4"/>
        <v>0</v>
      </c>
      <c r="AA42" s="15">
        <f t="shared" ca="1" si="4"/>
        <v>0</v>
      </c>
      <c r="AB42" s="15">
        <f t="shared" ca="1" si="4"/>
        <v>0</v>
      </c>
      <c r="AC42" s="15">
        <f t="shared" ca="1" si="4"/>
        <v>0</v>
      </c>
    </row>
    <row r="43" spans="1:29" x14ac:dyDescent="0.2">
      <c r="A43" t="s">
        <v>997</v>
      </c>
      <c r="D43" s="51">
        <f>IF(D$5 &lt; (INDEX(Assumptions!$B:$B, MATCH("Anchor year for ODC Wright’s Law", Assumptions!$A:$A, 0)) - 2025), 1, IFERROR((MAX(D42, 1) / MAX($D$44, 1))^(LOG(1 - INDEX(Assumptions!$B:$B, MATCH("LR — subsystems (per doubling)", Assumptions!$A:$A, 0))) / LOG(2)), 1))</f>
        <v>1</v>
      </c>
      <c r="E43" s="51">
        <f ca="1">IF(E$5 &lt; (INDEX(Assumptions!$B:$B, MATCH("Anchor year for ODC Wright’s Law", Assumptions!$A:$A, 0)) - 2025), 1, IFERROR((MAX(E42, 1) / MAX($D$44, 1))^(LOG(1 - INDEX(Assumptions!$B:$B, MATCH("LR — subsystems (per doubling)", Assumptions!$A:$A, 0))) / LOG(2)), 1))</f>
        <v>1</v>
      </c>
      <c r="F43" s="51">
        <f ca="1">IF(F$5 &lt; (INDEX(Assumptions!$B:$B, MATCH("Anchor year for ODC Wright’s Law", Assumptions!$A:$A, 0)) - 2025), 1, IFERROR((MAX(F42, 1) / MAX($D$44, 1))^(LOG(1 - INDEX(Assumptions!$B:$B, MATCH("LR — subsystems (per doubling)", Assumptions!$A:$A, 0))) / LOG(2)), 1))</f>
        <v>1</v>
      </c>
      <c r="G43" s="51">
        <f ca="1">IF(G$5 &lt; (INDEX(Assumptions!$B:$B, MATCH("Anchor year for ODC Wright’s Law", Assumptions!$A:$A, 0)) - 2025), 1, IFERROR((MAX(G42, 1) / MAX($D$44, 1))^(LOG(1 - INDEX(Assumptions!$B:$B, MATCH("LR — subsystems (per doubling)", Assumptions!$A:$A, 0))) / LOG(2)), 1))</f>
        <v>1</v>
      </c>
      <c r="H43" s="51">
        <f ca="1">IF(H$5 &lt; (INDEX(Assumptions!$B:$B, MATCH("Anchor year for ODC Wright’s Law", Assumptions!$A:$A, 0)) - 2025), 1, IFERROR((MAX(H42, 1) / MAX($D$44, 1))^(LOG(1 - INDEX(Assumptions!$B:$B, MATCH("LR — subsystems (per doubling)", Assumptions!$A:$A, 0))) / LOG(2)), 1))</f>
        <v>1</v>
      </c>
      <c r="I43" s="51">
        <f ca="1">IF(I$5 &lt; (INDEX(Assumptions!$B:$B, MATCH("Anchor year for ODC Wright’s Law", Assumptions!$A:$A, 0)) - 2025), 1, IFERROR((MAX(I42, 1) / MAX($D$44, 1))^(LOG(1 - INDEX(Assumptions!$B:$B, MATCH("LR — subsystems (per doubling)", Assumptions!$A:$A, 0))) / LOG(2)), 1))</f>
        <v>1</v>
      </c>
      <c r="J43" s="51">
        <f ca="1">IF(J$5 &lt; (INDEX(Assumptions!$B:$B, MATCH("Anchor year for ODC Wright’s Law", Assumptions!$A:$A, 0)) - 2025), 1, IFERROR((MAX(J42, 1) / MAX($D$44, 1))^(LOG(1 - INDEX(Assumptions!$B:$B, MATCH("LR — subsystems (per doubling)", Assumptions!$A:$A, 0))) / LOG(2)), 1))</f>
        <v>1</v>
      </c>
      <c r="K43" s="51">
        <f ca="1">IF(K$5 &lt; (INDEX(Assumptions!$B:$B, MATCH("Anchor year for ODC Wright’s Law", Assumptions!$A:$A, 0)) - 2025), 1, IFERROR((MAX(K42, 1) / MAX($D$44, 1))^(LOG(1 - INDEX(Assumptions!$B:$B, MATCH("LR — subsystems (per doubling)", Assumptions!$A:$A, 0))) / LOG(2)), 1))</f>
        <v>1</v>
      </c>
      <c r="L43" s="51">
        <f ca="1">IF(L$5 &lt; (INDEX(Assumptions!$B:$B, MATCH("Anchor year for ODC Wright’s Law", Assumptions!$A:$A, 0)) - 2025), 1, IFERROR((MAX(L42, 1) / MAX($D$44, 1))^(LOG(1 - INDEX(Assumptions!$B:$B, MATCH("LR — subsystems (per doubling)", Assumptions!$A:$A, 0))) / LOG(2)), 1))</f>
        <v>1</v>
      </c>
      <c r="M43" s="51">
        <f ca="1">IF(M$5 &lt; (INDEX(Assumptions!$B:$B, MATCH("Anchor year for ODC Wright’s Law", Assumptions!$A:$A, 0)) - 2025), 1, IFERROR((MAX(M42, 1) / MAX($D$44, 1))^(LOG(1 - INDEX(Assumptions!$B:$B, MATCH("LR — subsystems (per doubling)", Assumptions!$A:$A, 0))) / LOG(2)), 1))</f>
        <v>1</v>
      </c>
      <c r="N43" s="51">
        <f ca="1">IF(N$5 &lt; (INDEX(Assumptions!$B:$B, MATCH("Anchor year for ODC Wright’s Law", Assumptions!$A:$A, 0)) - 2025), 1, IFERROR((MAX(N42, 1) / MAX($D$44, 1))^(LOG(1 - INDEX(Assumptions!$B:$B, MATCH("LR — subsystems (per doubling)", Assumptions!$A:$A, 0))) / LOG(2)), 1))</f>
        <v>1</v>
      </c>
      <c r="O43" s="51">
        <f ca="1">IF(O$5 &lt; (INDEX(Assumptions!$B:$B, MATCH("Anchor year for ODC Wright’s Law", Assumptions!$A:$A, 0)) - 2025), 1, IFERROR((MAX(O42, 1) / MAX($D$44, 1))^(LOG(1 - INDEX(Assumptions!$B:$B, MATCH("LR — subsystems (per doubling)", Assumptions!$A:$A, 0))) / LOG(2)), 1))</f>
        <v>1</v>
      </c>
      <c r="P43" s="51">
        <f ca="1">IF(P$5 &lt; (INDEX(Assumptions!$B:$B, MATCH("Anchor year for ODC Wright’s Law", Assumptions!$A:$A, 0)) - 2025), 1, IFERROR((MAX(P42, 1) / MAX($D$44, 1))^(LOG(1 - INDEX(Assumptions!$B:$B, MATCH("LR — subsystems (per doubling)", Assumptions!$A:$A, 0))) / LOG(2)), 1))</f>
        <v>1</v>
      </c>
      <c r="Q43" s="51">
        <f ca="1">IF(Q$5 &lt; (INDEX(Assumptions!$B:$B, MATCH("Anchor year for ODC Wright’s Law", Assumptions!$A:$A, 0)) - 2025), 1, IFERROR((MAX(Q42, 1) / MAX($D$44, 1))^(LOG(1 - INDEX(Assumptions!$B:$B, MATCH("LR — subsystems (per doubling)", Assumptions!$A:$A, 0))) / LOG(2)), 1))</f>
        <v>1</v>
      </c>
      <c r="R43" s="51">
        <f ca="1">IF(R$5 &lt; (INDEX(Assumptions!$B:$B, MATCH("Anchor year for ODC Wright’s Law", Assumptions!$A:$A, 0)) - 2025), 1, IFERROR((MAX(R42, 1) / MAX($D$44, 1))^(LOG(1 - INDEX(Assumptions!$B:$B, MATCH("LR — subsystems (per doubling)", Assumptions!$A:$A, 0))) / LOG(2)), 1))</f>
        <v>1</v>
      </c>
      <c r="S43" s="51">
        <f ca="1">IF(S$5 &lt; (INDEX(Assumptions!$B:$B, MATCH("Anchor year for ODC Wright’s Law", Assumptions!$A:$A, 0)) - 2025), 1, IFERROR((MAX(S42, 1) / MAX($D$44, 1))^(LOG(1 - INDEX(Assumptions!$B:$B, MATCH("LR — subsystems (per doubling)", Assumptions!$A:$A, 0))) / LOG(2)), 1))</f>
        <v>1</v>
      </c>
      <c r="T43" s="51">
        <f ca="1">IF(T$5 &lt; (INDEX(Assumptions!$B:$B, MATCH("Anchor year for ODC Wright’s Law", Assumptions!$A:$A, 0)) - 2025), 1, IFERROR((MAX(T42, 1) / MAX($D$44, 1))^(LOG(1 - INDEX(Assumptions!$B:$B, MATCH("LR — subsystems (per doubling)", Assumptions!$A:$A, 0))) / LOG(2)), 1))</f>
        <v>1</v>
      </c>
      <c r="U43" s="51">
        <f ca="1">IF(U$5 &lt; (INDEX(Assumptions!$B:$B, MATCH("Anchor year for ODC Wright’s Law", Assumptions!$A:$A, 0)) - 2025), 1, IFERROR((MAX(U42, 1) / MAX($D$44, 1))^(LOG(1 - INDEX(Assumptions!$B:$B, MATCH("LR — subsystems (per doubling)", Assumptions!$A:$A, 0))) / LOG(2)), 1))</f>
        <v>1</v>
      </c>
      <c r="V43" s="51">
        <f ca="1">IF(V$5 &lt; (INDEX(Assumptions!$B:$B, MATCH("Anchor year for ODC Wright’s Law", Assumptions!$A:$A, 0)) - 2025), 1, IFERROR((MAX(V42, 1) / MAX($D$44, 1))^(LOG(1 - INDEX(Assumptions!$B:$B, MATCH("LR — subsystems (per doubling)", Assumptions!$A:$A, 0))) / LOG(2)), 1))</f>
        <v>1</v>
      </c>
      <c r="W43" s="51">
        <f ca="1">IF(W$5 &lt; (INDEX(Assumptions!$B:$B, MATCH("Anchor year for ODC Wright’s Law", Assumptions!$A:$A, 0)) - 2025), 1, IFERROR((MAX(W42, 1) / MAX($D$44, 1))^(LOG(1 - INDEX(Assumptions!$B:$B, MATCH("LR — subsystems (per doubling)", Assumptions!$A:$A, 0))) / LOG(2)), 1))</f>
        <v>1</v>
      </c>
      <c r="X43" s="51">
        <f ca="1">IF(X$5 &lt; (INDEX(Assumptions!$B:$B, MATCH("Anchor year for ODC Wright’s Law", Assumptions!$A:$A, 0)) - 2025), 1, IFERROR((MAX(X42, 1) / MAX($D$44, 1))^(LOG(1 - INDEX(Assumptions!$B:$B, MATCH("LR — subsystems (per doubling)", Assumptions!$A:$A, 0))) / LOG(2)), 1))</f>
        <v>1</v>
      </c>
      <c r="Y43" s="51">
        <f ca="1">IF(Y$5 &lt; (INDEX(Assumptions!$B:$B, MATCH("Anchor year for ODC Wright’s Law", Assumptions!$A:$A, 0)) - 2025), 1, IFERROR((MAX(Y42, 1) / MAX($D$44, 1))^(LOG(1 - INDEX(Assumptions!$B:$B, MATCH("LR — subsystems (per doubling)", Assumptions!$A:$A, 0))) / LOG(2)), 1))</f>
        <v>1</v>
      </c>
      <c r="Z43" s="51">
        <f ca="1">IF(Z$5 &lt; (INDEX(Assumptions!$B:$B, MATCH("Anchor year for ODC Wright’s Law", Assumptions!$A:$A, 0)) - 2025), 1, IFERROR((MAX(Z42, 1) / MAX($D$44, 1))^(LOG(1 - INDEX(Assumptions!$B:$B, MATCH("LR — subsystems (per doubling)", Assumptions!$A:$A, 0))) / LOG(2)), 1))</f>
        <v>1</v>
      </c>
      <c r="AA43" s="51">
        <f ca="1">IF(AA$5 &lt; (INDEX(Assumptions!$B:$B, MATCH("Anchor year for ODC Wright’s Law", Assumptions!$A:$A, 0)) - 2025), 1, IFERROR((MAX(AA42, 1) / MAX($D$44, 1))^(LOG(1 - INDEX(Assumptions!$B:$B, MATCH("LR — subsystems (per doubling)", Assumptions!$A:$A, 0))) / LOG(2)), 1))</f>
        <v>1</v>
      </c>
      <c r="AB43" s="51">
        <f ca="1">IF(AB$5 &lt; (INDEX(Assumptions!$B:$B, MATCH("Anchor year for ODC Wright’s Law", Assumptions!$A:$A, 0)) - 2025), 1, IFERROR((MAX(AB42, 1) / MAX($D$44, 1))^(LOG(1 - INDEX(Assumptions!$B:$B, MATCH("LR — subsystems (per doubling)", Assumptions!$A:$A, 0))) / LOG(2)), 1))</f>
        <v>1</v>
      </c>
      <c r="AC43" s="51">
        <f ca="1">IF(AC$5 &lt; (INDEX(Assumptions!$B:$B, MATCH("Anchor year for ODC Wright’s Law", Assumptions!$A:$A, 0)) - 2025), 1, IFERROR((MAX(AC42, 1) / MAX($D$44, 1))^(LOG(1 - INDEX(Assumptions!$B:$B, MATCH("LR — subsystems (per doubling)", Assumptions!$A:$A, 0))) / LOG(2)), 1))</f>
        <v>1</v>
      </c>
    </row>
    <row r="44" spans="1:29" x14ac:dyDescent="0.2">
      <c r="A44" t="s">
        <v>998</v>
      </c>
      <c r="D44" s="15" cm="1">
        <f t="array" aca="1" ref="D44" ca="1">INDEX($D$42:$AC$42, 1, INDEX(Assumptions!$B:$B, MATCH("Anchor year for ODC Wright’s Law", Assumptions!$A:$A, 0)) - 2025 + 1)</f>
        <v>0</v>
      </c>
    </row>
    <row r="45" spans="1:29" x14ac:dyDescent="0.2">
      <c r="A45" t="s">
        <v>999</v>
      </c>
      <c r="D45" s="31">
        <f>$D$41 * D43</f>
        <v>3193000</v>
      </c>
      <c r="E45" s="31">
        <f t="shared" ref="E45:AC45" ca="1" si="5">$D$41 * E43</f>
        <v>3193000</v>
      </c>
      <c r="F45" s="31">
        <f t="shared" ca="1" si="5"/>
        <v>3193000</v>
      </c>
      <c r="G45" s="31">
        <f t="shared" ca="1" si="5"/>
        <v>3193000</v>
      </c>
      <c r="H45" s="31">
        <f t="shared" ca="1" si="5"/>
        <v>3193000</v>
      </c>
      <c r="I45" s="31">
        <f t="shared" ca="1" si="5"/>
        <v>3193000</v>
      </c>
      <c r="J45" s="31">
        <f t="shared" ca="1" si="5"/>
        <v>3193000</v>
      </c>
      <c r="K45" s="31">
        <f t="shared" ca="1" si="5"/>
        <v>3193000</v>
      </c>
      <c r="L45" s="31">
        <f t="shared" ca="1" si="5"/>
        <v>3193000</v>
      </c>
      <c r="M45" s="31">
        <f t="shared" ca="1" si="5"/>
        <v>3193000</v>
      </c>
      <c r="N45" s="31">
        <f t="shared" ca="1" si="5"/>
        <v>3193000</v>
      </c>
      <c r="O45" s="31">
        <f t="shared" ca="1" si="5"/>
        <v>3193000</v>
      </c>
      <c r="P45" s="31">
        <f t="shared" ca="1" si="5"/>
        <v>3193000</v>
      </c>
      <c r="Q45" s="31">
        <f t="shared" ca="1" si="5"/>
        <v>3193000</v>
      </c>
      <c r="R45" s="31">
        <f t="shared" ca="1" si="5"/>
        <v>3193000</v>
      </c>
      <c r="S45" s="31">
        <f t="shared" ca="1" si="5"/>
        <v>3193000</v>
      </c>
      <c r="T45" s="31">
        <f t="shared" ca="1" si="5"/>
        <v>3193000</v>
      </c>
      <c r="U45" s="31">
        <f t="shared" ca="1" si="5"/>
        <v>3193000</v>
      </c>
      <c r="V45" s="31">
        <f t="shared" ca="1" si="5"/>
        <v>3193000</v>
      </c>
      <c r="W45" s="31">
        <f t="shared" ca="1" si="5"/>
        <v>3193000</v>
      </c>
      <c r="X45" s="31">
        <f t="shared" ca="1" si="5"/>
        <v>3193000</v>
      </c>
      <c r="Y45" s="31">
        <f t="shared" ca="1" si="5"/>
        <v>3193000</v>
      </c>
      <c r="Z45" s="31">
        <f t="shared" ca="1" si="5"/>
        <v>3193000</v>
      </c>
      <c r="AA45" s="31">
        <f t="shared" ca="1" si="5"/>
        <v>3193000</v>
      </c>
      <c r="AB45" s="31">
        <f t="shared" ca="1" si="5"/>
        <v>3193000</v>
      </c>
      <c r="AC45" s="31">
        <f t="shared" ca="1" si="5"/>
        <v>3193000</v>
      </c>
    </row>
    <row r="46" spans="1:29" x14ac:dyDescent="0.2">
      <c r="A46" t="s">
        <v>1000</v>
      </c>
      <c r="D46" s="31">
        <f>D29 * D26</f>
        <v>6000000</v>
      </c>
      <c r="E46" s="31">
        <f t="shared" ref="E46:AC46" si="6">E29 * E26</f>
        <v>4333340</v>
      </c>
      <c r="F46" s="31">
        <f t="shared" si="6"/>
        <v>3111103.3333333335</v>
      </c>
      <c r="G46" s="31">
        <f t="shared" si="6"/>
        <v>1400000</v>
      </c>
      <c r="H46" s="31">
        <f t="shared" si="6"/>
        <v>1093751.5585947242</v>
      </c>
      <c r="I46" s="31">
        <f t="shared" si="6"/>
        <v>823528.10380699765</v>
      </c>
      <c r="J46" s="31">
        <f t="shared" si="6"/>
        <v>583333.33333333337</v>
      </c>
      <c r="K46" s="31">
        <f t="shared" si="6"/>
        <v>583333.33333333337</v>
      </c>
      <c r="L46" s="31">
        <f t="shared" si="6"/>
        <v>583333.33333333337</v>
      </c>
      <c r="M46" s="31">
        <f t="shared" si="6"/>
        <v>583333.33333333337</v>
      </c>
      <c r="N46" s="31">
        <f t="shared" si="6"/>
        <v>583333.33333333337</v>
      </c>
      <c r="O46" s="31">
        <f t="shared" si="6"/>
        <v>583333.33333333337</v>
      </c>
      <c r="P46" s="31">
        <f t="shared" si="6"/>
        <v>583333.33333333337</v>
      </c>
      <c r="Q46" s="31">
        <f t="shared" si="6"/>
        <v>583333.33333333337</v>
      </c>
      <c r="R46" s="31">
        <f t="shared" si="6"/>
        <v>583333.33333333337</v>
      </c>
      <c r="S46" s="31">
        <f t="shared" si="6"/>
        <v>583333.33333333337</v>
      </c>
      <c r="T46" s="31">
        <f t="shared" si="6"/>
        <v>583333.33333333337</v>
      </c>
      <c r="U46" s="31">
        <f t="shared" si="6"/>
        <v>583333.33333333337</v>
      </c>
      <c r="V46" s="31">
        <f t="shared" si="6"/>
        <v>583333.33333333337</v>
      </c>
      <c r="W46" s="31">
        <f t="shared" si="6"/>
        <v>583333.33333333337</v>
      </c>
      <c r="X46" s="31">
        <f t="shared" si="6"/>
        <v>583333.33333333337</v>
      </c>
      <c r="Y46" s="31">
        <f t="shared" si="6"/>
        <v>583333.33333333337</v>
      </c>
      <c r="Z46" s="31">
        <f t="shared" si="6"/>
        <v>583333.33333333337</v>
      </c>
      <c r="AA46" s="31">
        <f t="shared" si="6"/>
        <v>583333.33333333337</v>
      </c>
      <c r="AB46" s="31">
        <f t="shared" si="6"/>
        <v>583333.33333333337</v>
      </c>
      <c r="AC46" s="31">
        <f t="shared" si="6"/>
        <v>583333.33333333337</v>
      </c>
    </row>
    <row r="47" spans="1:29" x14ac:dyDescent="0.2">
      <c r="A47" t="s">
        <v>1001</v>
      </c>
      <c r="D47" s="31">
        <f>D45 + D46</f>
        <v>9193000</v>
      </c>
      <c r="E47" s="31">
        <f t="shared" ref="E47:AC47" ca="1" si="7">E45 + E46</f>
        <v>7526340</v>
      </c>
      <c r="F47" s="31">
        <f t="shared" ca="1" si="7"/>
        <v>6304103.333333334</v>
      </c>
      <c r="G47" s="31">
        <f t="shared" ca="1" si="7"/>
        <v>4593000</v>
      </c>
      <c r="H47" s="31">
        <f t="shared" ca="1" si="7"/>
        <v>4286751.5585947242</v>
      </c>
      <c r="I47" s="31">
        <f t="shared" ca="1" si="7"/>
        <v>4016528.1038069976</v>
      </c>
      <c r="J47" s="31">
        <f t="shared" ca="1" si="7"/>
        <v>3776333.3333333335</v>
      </c>
      <c r="K47" s="31">
        <f t="shared" ca="1" si="7"/>
        <v>3776333.3333333335</v>
      </c>
      <c r="L47" s="31">
        <f t="shared" ca="1" si="7"/>
        <v>3776333.3333333335</v>
      </c>
      <c r="M47" s="31">
        <f t="shared" ca="1" si="7"/>
        <v>3776333.3333333335</v>
      </c>
      <c r="N47" s="31">
        <f t="shared" ca="1" si="7"/>
        <v>3776333.3333333335</v>
      </c>
      <c r="O47" s="31">
        <f t="shared" ca="1" si="7"/>
        <v>3776333.3333333335</v>
      </c>
      <c r="P47" s="31">
        <f t="shared" ca="1" si="7"/>
        <v>3776333.3333333335</v>
      </c>
      <c r="Q47" s="31">
        <f t="shared" ca="1" si="7"/>
        <v>3776333.3333333335</v>
      </c>
      <c r="R47" s="31">
        <f t="shared" ca="1" si="7"/>
        <v>3776333.3333333335</v>
      </c>
      <c r="S47" s="31">
        <f t="shared" ca="1" si="7"/>
        <v>3776333.3333333335</v>
      </c>
      <c r="T47" s="31">
        <f t="shared" ca="1" si="7"/>
        <v>3776333.3333333335</v>
      </c>
      <c r="U47" s="31">
        <f t="shared" ca="1" si="7"/>
        <v>3776333.3333333335</v>
      </c>
      <c r="V47" s="31">
        <f t="shared" ca="1" si="7"/>
        <v>3776333.3333333335</v>
      </c>
      <c r="W47" s="31">
        <f t="shared" ca="1" si="7"/>
        <v>3776333.3333333335</v>
      </c>
      <c r="X47" s="31">
        <f t="shared" ca="1" si="7"/>
        <v>3776333.3333333335</v>
      </c>
      <c r="Y47" s="31">
        <f t="shared" ca="1" si="7"/>
        <v>3776333.3333333335</v>
      </c>
      <c r="Z47" s="31">
        <f t="shared" ca="1" si="7"/>
        <v>3776333.3333333335</v>
      </c>
      <c r="AA47" s="31">
        <f t="shared" ca="1" si="7"/>
        <v>3776333.3333333335</v>
      </c>
      <c r="AB47" s="31">
        <f t="shared" ca="1" si="7"/>
        <v>3776333.3333333335</v>
      </c>
      <c r="AC47" s="31">
        <f t="shared" ca="1" si="7"/>
        <v>3776333.3333333335</v>
      </c>
    </row>
    <row r="48" spans="1:29" x14ac:dyDescent="0.2">
      <c r="A48" t="s">
        <v>1002</v>
      </c>
      <c r="D48" s="23">
        <f>D47 / 1000000</f>
        <v>9.1929999999999996</v>
      </c>
      <c r="E48" s="23">
        <f t="shared" ref="E48:AC48" ca="1" si="8">E47 / 1000000</f>
        <v>7.5263400000000003</v>
      </c>
      <c r="F48" s="23">
        <f t="shared" ca="1" si="8"/>
        <v>6.3041033333333338</v>
      </c>
      <c r="G48" s="23">
        <f t="shared" ca="1" si="8"/>
        <v>4.593</v>
      </c>
      <c r="H48" s="23">
        <f t="shared" ca="1" si="8"/>
        <v>4.286751558594724</v>
      </c>
      <c r="I48" s="23">
        <f t="shared" ca="1" si="8"/>
        <v>4.0165281038069978</v>
      </c>
      <c r="J48" s="23">
        <f t="shared" ca="1" si="8"/>
        <v>3.7763333333333335</v>
      </c>
      <c r="K48" s="23">
        <f t="shared" ca="1" si="8"/>
        <v>3.7763333333333335</v>
      </c>
      <c r="L48" s="23">
        <f t="shared" ca="1" si="8"/>
        <v>3.7763333333333335</v>
      </c>
      <c r="M48" s="23">
        <f t="shared" ca="1" si="8"/>
        <v>3.7763333333333335</v>
      </c>
      <c r="N48" s="23">
        <f t="shared" ca="1" si="8"/>
        <v>3.7763333333333335</v>
      </c>
      <c r="O48" s="23">
        <f t="shared" ca="1" si="8"/>
        <v>3.7763333333333335</v>
      </c>
      <c r="P48" s="23">
        <f t="shared" ca="1" si="8"/>
        <v>3.7763333333333335</v>
      </c>
      <c r="Q48" s="23">
        <f t="shared" ca="1" si="8"/>
        <v>3.7763333333333335</v>
      </c>
      <c r="R48" s="23">
        <f t="shared" ca="1" si="8"/>
        <v>3.7763333333333335</v>
      </c>
      <c r="S48" s="23">
        <f t="shared" ca="1" si="8"/>
        <v>3.7763333333333335</v>
      </c>
      <c r="T48" s="23">
        <f t="shared" ca="1" si="8"/>
        <v>3.7763333333333335</v>
      </c>
      <c r="U48" s="23">
        <f t="shared" ca="1" si="8"/>
        <v>3.7763333333333335</v>
      </c>
      <c r="V48" s="23">
        <f t="shared" ca="1" si="8"/>
        <v>3.7763333333333335</v>
      </c>
      <c r="W48" s="23">
        <f t="shared" ca="1" si="8"/>
        <v>3.7763333333333335</v>
      </c>
      <c r="X48" s="23">
        <f t="shared" ca="1" si="8"/>
        <v>3.7763333333333335</v>
      </c>
      <c r="Y48" s="23">
        <f t="shared" ca="1" si="8"/>
        <v>3.7763333333333335</v>
      </c>
      <c r="Z48" s="23">
        <f t="shared" ca="1" si="8"/>
        <v>3.7763333333333335</v>
      </c>
      <c r="AA48" s="23">
        <f t="shared" ca="1" si="8"/>
        <v>3.7763333333333335</v>
      </c>
      <c r="AB48" s="23">
        <f t="shared" ca="1" si="8"/>
        <v>3.7763333333333335</v>
      </c>
      <c r="AC48" s="23">
        <f t="shared" ca="1" si="8"/>
        <v>3.7763333333333335</v>
      </c>
    </row>
    <row r="50" spans="1:29" x14ac:dyDescent="0.2">
      <c r="A50" s="14" t="s">
        <v>1003</v>
      </c>
    </row>
    <row r="51" spans="1:29" x14ac:dyDescent="0.2">
      <c r="A51" t="s">
        <v>1004</v>
      </c>
      <c r="D51" s="15">
        <f>ROUNDDOWN(INDEX(Assumptions!$B:$B, MATCH("Starship LEO payload per launch — Compute config (kg)", Assumptions!$A:$A, 0)) / $D$15, 0)</f>
        <v>107</v>
      </c>
    </row>
    <row r="52" spans="1:29" x14ac:dyDescent="0.2">
      <c r="A52" t="s">
        <v>755</v>
      </c>
      <c r="D52" s="23" cm="1">
        <f t="array" aca="1" ref="D52" ca="1">INDEX('Launch Capacity'!$D:$AC, MATCH("Starship at-cost rate ($mm/launch)", 'Launch Capacity'!$A:$A, 0), D$5+1)</f>
        <v>24</v>
      </c>
      <c r="E52" s="23" cm="1">
        <f t="array" aca="1" ref="E52" ca="1">INDEX('Launch Capacity'!$D:$AC, MATCH("Starship at-cost rate ($mm/launch)", 'Launch Capacity'!$A:$A, 0), E$5+1)</f>
        <v>19.95</v>
      </c>
      <c r="F52" s="23" cm="1">
        <f t="array" aca="1" ref="F52" ca="1">INDEX('Launch Capacity'!$D:$AC, MATCH("Starship at-cost rate ($mm/launch)", 'Launch Capacity'!$A:$A, 0), F$5+1)</f>
        <v>17.051971964272365</v>
      </c>
      <c r="G52" s="23" cm="1">
        <f t="array" aca="1" ref="G52" ca="1">INDEX('Launch Capacity'!$D:$AC, MATCH("Starship at-cost rate ($mm/launch)", 'Launch Capacity'!$A:$A, 0), G$5+1)</f>
        <v>14.95824118173209</v>
      </c>
      <c r="H52" s="23" cm="1">
        <f t="array" aca="1" ref="H52" ca="1">INDEX('Launch Capacity'!$D:$AC, MATCH("Starship at-cost rate ($mm/launch)", 'Launch Capacity'!$A:$A, 0), H$5+1)</f>
        <v>13.730633113265723</v>
      </c>
      <c r="I52" s="23" cm="1">
        <f t="array" aca="1" ref="I52" ca="1">INDEX('Launch Capacity'!$D:$AC, MATCH("Starship at-cost rate ($mm/launch)", 'Launch Capacity'!$A:$A, 0), I$5+1)</f>
        <v>12.983947439452999</v>
      </c>
      <c r="J52" s="23" cm="1">
        <f t="array" aca="1" ref="J52" ca="1">INDEX('Launch Capacity'!$D:$AC, MATCH("Starship at-cost rate ($mm/launch)", 'Launch Capacity'!$A:$A, 0), J$5+1)</f>
        <v>12.543995291735065</v>
      </c>
      <c r="K52" s="23" cm="1">
        <f t="array" aca="1" ref="K52" ca="1">INDEX('Launch Capacity'!$D:$AC, MATCH("Starship at-cost rate ($mm/launch)", 'Launch Capacity'!$A:$A, 0), K$5+1)</f>
        <v>11.980947299481837</v>
      </c>
      <c r="L52" s="23" cm="1">
        <f t="array" aca="1" ref="L52" ca="1">INDEX('Launch Capacity'!$D:$AC, MATCH("Starship at-cost rate ($mm/launch)", 'Launch Capacity'!$A:$A, 0), L$5+1)</f>
        <v>11.581570561032656</v>
      </c>
      <c r="M52" s="23" cm="1">
        <f t="array" aca="1" ref="M52" ca="1">INDEX('Launch Capacity'!$D:$AC, MATCH("Starship at-cost rate ($mm/launch)", 'Launch Capacity'!$A:$A, 0), M$5+1)</f>
        <v>11.418985360134348</v>
      </c>
      <c r="N52" s="23" cm="1">
        <f t="array" aca="1" ref="N52" ca="1">INDEX('Launch Capacity'!$D:$AC, MATCH("Starship at-cost rate ($mm/launch)", 'Launch Capacity'!$A:$A, 0), N$5+1)</f>
        <v>10.961113069950329</v>
      </c>
      <c r="O52" s="23" cm="1">
        <f t="array" aca="1" ref="O52" ca="1">INDEX('Launch Capacity'!$D:$AC, MATCH("Starship at-cost rate ($mm/launch)", 'Launch Capacity'!$A:$A, 0), O$5+1)</f>
        <v>10.919482131683772</v>
      </c>
      <c r="P52" s="23" cm="1">
        <f t="array" aca="1" ref="P52" ca="1">INDEX('Launch Capacity'!$D:$AC, MATCH("Starship at-cost rate ($mm/launch)", 'Launch Capacity'!$A:$A, 0), P$5+1)</f>
        <v>10.607085714019782</v>
      </c>
      <c r="Q52" s="23" cm="1">
        <f t="array" aca="1" ref="Q52" ca="1">INDEX('Launch Capacity'!$D:$AC, MATCH("Starship at-cost rate ($mm/launch)", 'Launch Capacity'!$A:$A, 0), Q$5+1)</f>
        <v>10.443556112114846</v>
      </c>
      <c r="R52" s="23" cm="1">
        <f t="array" aca="1" ref="R52" ca="1">INDEX('Launch Capacity'!$D:$AC, MATCH("Starship at-cost rate ($mm/launch)", 'Launch Capacity'!$A:$A, 0), R$5+1)</f>
        <v>10.417204859891839</v>
      </c>
      <c r="S52" s="23" cm="1">
        <f t="array" aca="1" ref="S52" ca="1">INDEX('Launch Capacity'!$D:$AC, MATCH("Starship at-cost rate ($mm/launch)", 'Launch Capacity'!$A:$A, 0), S$5+1)</f>
        <v>10.130295403417211</v>
      </c>
      <c r="T52" s="23" cm="1">
        <f t="array" aca="1" ref="T52" ca="1">INDEX('Launch Capacity'!$D:$AC, MATCH("Starship at-cost rate ($mm/launch)", 'Launch Capacity'!$A:$A, 0), T$5+1)</f>
        <v>10.121955851544655</v>
      </c>
      <c r="U52" s="23" cm="1">
        <f t="array" aca="1" ref="U52" ca="1">INDEX('Launch Capacity'!$D:$AC, MATCH("Starship at-cost rate ($mm/launch)", 'Launch Capacity'!$A:$A, 0), U$5+1)</f>
        <v>9.996932915866708</v>
      </c>
      <c r="V52" s="23" cm="1">
        <f t="array" aca="1" ref="V52" ca="1">INDEX('Launch Capacity'!$D:$AC, MATCH("Starship at-cost rate ($mm/launch)", 'Launch Capacity'!$A:$A, 0), V$5+1)</f>
        <v>9.818597841536036</v>
      </c>
      <c r="W52" s="23" cm="1">
        <f t="array" aca="1" ref="W52" ca="1">INDEX('Launch Capacity'!$D:$AC, MATCH("Starship at-cost rate ($mm/launch)", 'Launch Capacity'!$A:$A, 0), W$5+1)</f>
        <v>9.8115602489137039</v>
      </c>
      <c r="X52" s="23" cm="1">
        <f t="array" aca="1" ref="X52" ca="1">INDEX('Launch Capacity'!$D:$AC, MATCH("Starship at-cost rate ($mm/launch)", 'Launch Capacity'!$A:$A, 0), X$5+1)</f>
        <v>9.5963399246446972</v>
      </c>
      <c r="Y52" s="23" cm="1">
        <f t="array" aca="1" ref="Y52" ca="1">INDEX('Launch Capacity'!$D:$AC, MATCH("Starship at-cost rate ($mm/launch)", 'Launch Capacity'!$A:$A, 0), Y$5+1)</f>
        <v>9.5963399246446972</v>
      </c>
      <c r="Z52" s="23" cm="1">
        <f t="array" aca="1" ref="Z52" ca="1">INDEX('Launch Capacity'!$D:$AC, MATCH("Starship at-cost rate ($mm/launch)", 'Launch Capacity'!$A:$A, 0), Z$5+1)</f>
        <v>9.590069760989854</v>
      </c>
      <c r="AA52" s="23" cm="1">
        <f t="array" aca="1" ref="AA52" ca="1">INDEX('Launch Capacity'!$D:$AC, MATCH("Starship at-cost rate ($mm/launch)", 'Launch Capacity'!$A:$A, 0), AA$5+1)</f>
        <v>9.3973827057019896</v>
      </c>
      <c r="AB52" s="23" cm="1">
        <f t="array" aca="1" ref="AB52" ca="1">INDEX('Launch Capacity'!$D:$AC, MATCH("Starship at-cost rate ($mm/launch)", 'Launch Capacity'!$A:$A, 0), AB$5+1)</f>
        <v>9.3973827057019896</v>
      </c>
      <c r="AC52" s="23" cm="1">
        <f t="array" aca="1" ref="AC52" ca="1">INDEX('Launch Capacity'!$D:$AC, MATCH("Starship at-cost rate ($mm/launch)", 'Launch Capacity'!$A:$A, 0), AC$5+1)</f>
        <v>9.3973827057019896</v>
      </c>
    </row>
    <row r="53" spans="1:29" x14ac:dyDescent="0.2">
      <c r="A53" t="s">
        <v>1005</v>
      </c>
      <c r="D53" s="23">
        <f ca="1">IFERROR(D52 / $D$51, 0)</f>
        <v>0.22429906542056074</v>
      </c>
      <c r="E53" s="23">
        <f t="shared" ref="E53:AC53" ca="1" si="9">IFERROR(E52 / $D$51, 0)</f>
        <v>0.18644859813084111</v>
      </c>
      <c r="F53" s="23">
        <f t="shared" ca="1" si="9"/>
        <v>0.15936422396516228</v>
      </c>
      <c r="G53" s="23">
        <f t="shared" ca="1" si="9"/>
        <v>0.13979664655824384</v>
      </c>
      <c r="H53" s="23">
        <f t="shared" ca="1" si="9"/>
        <v>0.12832367395575442</v>
      </c>
      <c r="I53" s="23">
        <f t="shared" ca="1" si="9"/>
        <v>0.12134530317245794</v>
      </c>
      <c r="J53" s="23">
        <f t="shared" ca="1" si="9"/>
        <v>0.11723360085733706</v>
      </c>
      <c r="K53" s="23">
        <f t="shared" ca="1" si="9"/>
        <v>0.1119714700886153</v>
      </c>
      <c r="L53" s="23">
        <f t="shared" ca="1" si="9"/>
        <v>0.10823897720591268</v>
      </c>
      <c r="M53" s="23">
        <f t="shared" ca="1" si="9"/>
        <v>0.10671948934704999</v>
      </c>
      <c r="N53" s="23">
        <f t="shared" ca="1" si="9"/>
        <v>0.10244030906495635</v>
      </c>
      <c r="O53" s="23">
        <f t="shared" ca="1" si="9"/>
        <v>0.10205123487554926</v>
      </c>
      <c r="P53" s="23">
        <f t="shared" ca="1" si="9"/>
        <v>9.9131642187100757E-2</v>
      </c>
      <c r="Q53" s="23">
        <f t="shared" ca="1" si="9"/>
        <v>9.7603328150606045E-2</v>
      </c>
      <c r="R53" s="23">
        <f t="shared" ca="1" si="9"/>
        <v>9.73570547653443E-2</v>
      </c>
      <c r="S53" s="23">
        <f t="shared" ca="1" si="9"/>
        <v>9.4675657975861791E-2</v>
      </c>
      <c r="T53" s="23">
        <f t="shared" ca="1" si="9"/>
        <v>9.4597718238735098E-2</v>
      </c>
      <c r="U53" s="23">
        <f t="shared" ca="1" si="9"/>
        <v>9.3429279587539327E-2</v>
      </c>
      <c r="V53" s="23">
        <f t="shared" ca="1" si="9"/>
        <v>9.1762596649869493E-2</v>
      </c>
      <c r="W53" s="23">
        <f t="shared" ca="1" si="9"/>
        <v>9.1696824756202847E-2</v>
      </c>
      <c r="X53" s="23">
        <f t="shared" ca="1" si="9"/>
        <v>8.968541985649249E-2</v>
      </c>
      <c r="Y53" s="23">
        <f t="shared" ca="1" si="9"/>
        <v>8.968541985649249E-2</v>
      </c>
      <c r="Z53" s="23">
        <f t="shared" ca="1" si="9"/>
        <v>8.9626820196166856E-2</v>
      </c>
      <c r="AA53" s="23">
        <f t="shared" ca="1" si="9"/>
        <v>8.7826006595345701E-2</v>
      </c>
      <c r="AB53" s="23">
        <f t="shared" ca="1" si="9"/>
        <v>8.7826006595345701E-2</v>
      </c>
      <c r="AC53" s="23">
        <f t="shared" ca="1" si="9"/>
        <v>8.7826006595345701E-2</v>
      </c>
    </row>
    <row r="54" spans="1:29" x14ac:dyDescent="0.2">
      <c r="A54" t="s">
        <v>1006</v>
      </c>
      <c r="D54" s="40">
        <f ca="1">IFERROR(D69 / $D$51, 0)</f>
        <v>0</v>
      </c>
      <c r="E54" s="40">
        <f t="shared" ref="E54:AC54" ca="1" si="10">IFERROR(E69 / $D$51, 0)</f>
        <v>0</v>
      </c>
      <c r="F54" s="40">
        <f t="shared" ca="1" si="10"/>
        <v>0</v>
      </c>
      <c r="G54" s="40">
        <f t="shared" ca="1" si="10"/>
        <v>0</v>
      </c>
      <c r="H54" s="40">
        <f t="shared" ca="1" si="10"/>
        <v>0</v>
      </c>
      <c r="I54" s="40">
        <f t="shared" ca="1" si="10"/>
        <v>0</v>
      </c>
      <c r="J54" s="40">
        <f t="shared" ca="1" si="10"/>
        <v>0</v>
      </c>
      <c r="K54" s="40">
        <f t="shared" ca="1" si="10"/>
        <v>0</v>
      </c>
      <c r="L54" s="40">
        <f t="shared" ca="1" si="10"/>
        <v>0</v>
      </c>
      <c r="M54" s="40">
        <f t="shared" ca="1" si="10"/>
        <v>0</v>
      </c>
      <c r="N54" s="40">
        <f t="shared" ca="1" si="10"/>
        <v>0</v>
      </c>
      <c r="O54" s="40">
        <f t="shared" ca="1" si="10"/>
        <v>0</v>
      </c>
      <c r="P54" s="40">
        <f t="shared" ca="1" si="10"/>
        <v>0</v>
      </c>
      <c r="Q54" s="40">
        <f t="shared" ca="1" si="10"/>
        <v>0</v>
      </c>
      <c r="R54" s="40">
        <f t="shared" ca="1" si="10"/>
        <v>0</v>
      </c>
      <c r="S54" s="40">
        <f t="shared" ca="1" si="10"/>
        <v>0</v>
      </c>
      <c r="T54" s="40">
        <f t="shared" ca="1" si="10"/>
        <v>0</v>
      </c>
      <c r="U54" s="40">
        <f t="shared" ca="1" si="10"/>
        <v>0</v>
      </c>
      <c r="V54" s="40">
        <f t="shared" ca="1" si="10"/>
        <v>0</v>
      </c>
      <c r="W54" s="40">
        <f t="shared" ca="1" si="10"/>
        <v>0</v>
      </c>
      <c r="X54" s="40">
        <f t="shared" ca="1" si="10"/>
        <v>0</v>
      </c>
      <c r="Y54" s="40">
        <f t="shared" ca="1" si="10"/>
        <v>0</v>
      </c>
      <c r="Z54" s="40">
        <f t="shared" ca="1" si="10"/>
        <v>0</v>
      </c>
      <c r="AA54" s="40">
        <f t="shared" ca="1" si="10"/>
        <v>0</v>
      </c>
      <c r="AB54" s="40">
        <f t="shared" ca="1" si="10"/>
        <v>0</v>
      </c>
      <c r="AC54" s="40">
        <f t="shared" ca="1" si="10"/>
        <v>0</v>
      </c>
    </row>
    <row r="55" spans="1:29" x14ac:dyDescent="0.2">
      <c r="A55" t="s">
        <v>1007</v>
      </c>
      <c r="D55" s="15">
        <f ca="1">IFERROR(D69 * $D$15, 0)</f>
        <v>0</v>
      </c>
      <c r="E55" s="15">
        <f t="shared" ref="E55:AC55" ca="1" si="11">IFERROR(E69 * $D$15, 0)</f>
        <v>0</v>
      </c>
      <c r="F55" s="15">
        <f t="shared" ca="1" si="11"/>
        <v>0</v>
      </c>
      <c r="G55" s="15">
        <f t="shared" ca="1" si="11"/>
        <v>0</v>
      </c>
      <c r="H55" s="15">
        <f t="shared" ca="1" si="11"/>
        <v>0</v>
      </c>
      <c r="I55" s="15">
        <f t="shared" ca="1" si="11"/>
        <v>0</v>
      </c>
      <c r="J55" s="15">
        <f t="shared" ca="1" si="11"/>
        <v>0</v>
      </c>
      <c r="K55" s="15">
        <f t="shared" ca="1" si="11"/>
        <v>0</v>
      </c>
      <c r="L55" s="15">
        <f t="shared" ca="1" si="11"/>
        <v>0</v>
      </c>
      <c r="M55" s="15">
        <f t="shared" ca="1" si="11"/>
        <v>0</v>
      </c>
      <c r="N55" s="15">
        <f t="shared" ca="1" si="11"/>
        <v>0</v>
      </c>
      <c r="O55" s="15">
        <f t="shared" ca="1" si="11"/>
        <v>0</v>
      </c>
      <c r="P55" s="15">
        <f t="shared" ca="1" si="11"/>
        <v>0</v>
      </c>
      <c r="Q55" s="15">
        <f t="shared" ca="1" si="11"/>
        <v>0</v>
      </c>
      <c r="R55" s="15">
        <f t="shared" ca="1" si="11"/>
        <v>0</v>
      </c>
      <c r="S55" s="15">
        <f t="shared" ca="1" si="11"/>
        <v>0</v>
      </c>
      <c r="T55" s="15">
        <f t="shared" ca="1" si="11"/>
        <v>0</v>
      </c>
      <c r="U55" s="15">
        <f t="shared" ca="1" si="11"/>
        <v>0</v>
      </c>
      <c r="V55" s="15">
        <f t="shared" ca="1" si="11"/>
        <v>0</v>
      </c>
      <c r="W55" s="15">
        <f t="shared" ca="1" si="11"/>
        <v>0</v>
      </c>
      <c r="X55" s="15">
        <f t="shared" ca="1" si="11"/>
        <v>0</v>
      </c>
      <c r="Y55" s="15">
        <f t="shared" ca="1" si="11"/>
        <v>0</v>
      </c>
      <c r="Z55" s="15">
        <f t="shared" ca="1" si="11"/>
        <v>0</v>
      </c>
      <c r="AA55" s="15">
        <f t="shared" ca="1" si="11"/>
        <v>0</v>
      </c>
      <c r="AB55" s="15">
        <f t="shared" ca="1" si="11"/>
        <v>0</v>
      </c>
      <c r="AC55" s="15">
        <f t="shared" ca="1" si="11"/>
        <v>0</v>
      </c>
    </row>
    <row r="61" spans="1:29" x14ac:dyDescent="0.2">
      <c r="A61" s="14" t="s">
        <v>1008</v>
      </c>
    </row>
    <row r="62" spans="1:29" x14ac:dyDescent="0.2">
      <c r="A62" t="s">
        <v>1009</v>
      </c>
      <c r="D62" s="31">
        <f>INDEX(Assumptions!$B:$B, MATCH("ODC cash demand large default ($mm)", Assumptions!$A:$A, 0))</f>
        <v>50000</v>
      </c>
    </row>
    <row r="63" spans="1:29" x14ac:dyDescent="0.2">
      <c r="A63" t="s">
        <v>1010</v>
      </c>
      <c r="D63" s="15">
        <f>INDEX(Assumptions!$B:$B, MATCH("ODC kg demand large default (kg)", Assumptions!$A:$A, 0))</f>
        <v>50000000</v>
      </c>
    </row>
    <row r="64" spans="1:29" x14ac:dyDescent="0.2">
      <c r="A64" t="s">
        <v>1011</v>
      </c>
      <c r="D64" s="31">
        <f ca="1">IF(IFERROR(D$209, 0) &gt; 0, $D$62, 0)</f>
        <v>0</v>
      </c>
      <c r="E64" s="31">
        <f t="shared" ref="E64:AC64" ca="1" si="12">IF(IFERROR(E$209, 0) &gt; 0, $D$62, 0)</f>
        <v>0</v>
      </c>
      <c r="F64" s="31">
        <f t="shared" ca="1" si="12"/>
        <v>0</v>
      </c>
      <c r="G64" s="31">
        <f t="shared" ca="1" si="12"/>
        <v>0</v>
      </c>
      <c r="H64" s="31">
        <f t="shared" ca="1" si="12"/>
        <v>0</v>
      </c>
      <c r="I64" s="31">
        <f t="shared" ca="1" si="12"/>
        <v>0</v>
      </c>
      <c r="J64" s="31">
        <f t="shared" ca="1" si="12"/>
        <v>0</v>
      </c>
      <c r="K64" s="31">
        <f t="shared" ca="1" si="12"/>
        <v>0</v>
      </c>
      <c r="L64" s="31">
        <f t="shared" ca="1" si="12"/>
        <v>0</v>
      </c>
      <c r="M64" s="31">
        <f t="shared" ca="1" si="12"/>
        <v>0</v>
      </c>
      <c r="N64" s="31">
        <f t="shared" ca="1" si="12"/>
        <v>0</v>
      </c>
      <c r="O64" s="31">
        <f t="shared" ca="1" si="12"/>
        <v>0</v>
      </c>
      <c r="P64" s="31">
        <f t="shared" ca="1" si="12"/>
        <v>0</v>
      </c>
      <c r="Q64" s="31">
        <f t="shared" ca="1" si="12"/>
        <v>0</v>
      </c>
      <c r="R64" s="31">
        <f t="shared" ca="1" si="12"/>
        <v>0</v>
      </c>
      <c r="S64" s="31">
        <f t="shared" ca="1" si="12"/>
        <v>0</v>
      </c>
      <c r="T64" s="31">
        <f t="shared" ca="1" si="12"/>
        <v>0</v>
      </c>
      <c r="U64" s="31">
        <f t="shared" ca="1" si="12"/>
        <v>0</v>
      </c>
      <c r="V64" s="31">
        <f t="shared" ca="1" si="12"/>
        <v>0</v>
      </c>
      <c r="W64" s="31">
        <f t="shared" ca="1" si="12"/>
        <v>0</v>
      </c>
      <c r="X64" s="31">
        <f t="shared" ca="1" si="12"/>
        <v>0</v>
      </c>
      <c r="Y64" s="31">
        <f t="shared" ca="1" si="12"/>
        <v>0</v>
      </c>
      <c r="Z64" s="31">
        <f t="shared" ca="1" si="12"/>
        <v>0</v>
      </c>
      <c r="AA64" s="31">
        <f t="shared" ca="1" si="12"/>
        <v>0</v>
      </c>
      <c r="AB64" s="31">
        <f t="shared" ca="1" si="12"/>
        <v>0</v>
      </c>
      <c r="AC64" s="31">
        <f t="shared" ca="1" si="12"/>
        <v>0</v>
      </c>
    </row>
    <row r="65" spans="1:29" x14ac:dyDescent="0.2">
      <c r="A65" t="s">
        <v>1012</v>
      </c>
      <c r="D65" s="15">
        <f ca="1">IF(IFERROR(D$209, 0) &gt; 0, $D$63, 0)</f>
        <v>0</v>
      </c>
      <c r="E65" s="15">
        <f t="shared" ref="E65:AC65" ca="1" si="13">IF(IFERROR(E$209, 0) &gt; 0, $D$63, 0)</f>
        <v>0</v>
      </c>
      <c r="F65" s="15">
        <f t="shared" ca="1" si="13"/>
        <v>0</v>
      </c>
      <c r="G65" s="15">
        <f t="shared" ca="1" si="13"/>
        <v>0</v>
      </c>
      <c r="H65" s="15">
        <f t="shared" ca="1" si="13"/>
        <v>0</v>
      </c>
      <c r="I65" s="15">
        <f t="shared" ca="1" si="13"/>
        <v>0</v>
      </c>
      <c r="J65" s="15">
        <f t="shared" ca="1" si="13"/>
        <v>0</v>
      </c>
      <c r="K65" s="15">
        <f t="shared" ca="1" si="13"/>
        <v>0</v>
      </c>
      <c r="L65" s="15">
        <f t="shared" ca="1" si="13"/>
        <v>0</v>
      </c>
      <c r="M65" s="15">
        <f t="shared" ca="1" si="13"/>
        <v>0</v>
      </c>
      <c r="N65" s="15">
        <f t="shared" ca="1" si="13"/>
        <v>0</v>
      </c>
      <c r="O65" s="15">
        <f t="shared" ca="1" si="13"/>
        <v>0</v>
      </c>
      <c r="P65" s="15">
        <f t="shared" ca="1" si="13"/>
        <v>0</v>
      </c>
      <c r="Q65" s="15">
        <f t="shared" ca="1" si="13"/>
        <v>0</v>
      </c>
      <c r="R65" s="15">
        <f t="shared" ca="1" si="13"/>
        <v>0</v>
      </c>
      <c r="S65" s="15">
        <f t="shared" ca="1" si="13"/>
        <v>0</v>
      </c>
      <c r="T65" s="15">
        <f t="shared" ca="1" si="13"/>
        <v>0</v>
      </c>
      <c r="U65" s="15">
        <f t="shared" ca="1" si="13"/>
        <v>0</v>
      </c>
      <c r="V65" s="15">
        <f t="shared" ca="1" si="13"/>
        <v>0</v>
      </c>
      <c r="W65" s="15">
        <f t="shared" ca="1" si="13"/>
        <v>0</v>
      </c>
      <c r="X65" s="15">
        <f t="shared" ca="1" si="13"/>
        <v>0</v>
      </c>
      <c r="Y65" s="15">
        <f t="shared" ca="1" si="13"/>
        <v>0</v>
      </c>
      <c r="Z65" s="15">
        <f t="shared" ca="1" si="13"/>
        <v>0</v>
      </c>
      <c r="AA65" s="15">
        <f t="shared" ca="1" si="13"/>
        <v>0</v>
      </c>
      <c r="AB65" s="15">
        <f t="shared" ca="1" si="13"/>
        <v>0</v>
      </c>
      <c r="AC65" s="15">
        <f t="shared" ca="1" si="13"/>
        <v>0</v>
      </c>
    </row>
    <row r="66" spans="1:29" x14ac:dyDescent="0.2">
      <c r="A66" t="s">
        <v>1013</v>
      </c>
      <c r="D66" s="15">
        <f>IFERROR($D$62 / D48, 0)</f>
        <v>5438.9209180898515</v>
      </c>
      <c r="E66" s="15">
        <f t="shared" ref="E66:AC66" ca="1" si="14">IFERROR($D$62 / E48, 0)</f>
        <v>6643.3352731872328</v>
      </c>
      <c r="F66" s="15">
        <f t="shared" ca="1" si="14"/>
        <v>7931.3420729672889</v>
      </c>
      <c r="G66" s="15">
        <f t="shared" ca="1" si="14"/>
        <v>10886.131069018071</v>
      </c>
      <c r="H66" s="15">
        <f t="shared" ca="1" si="14"/>
        <v>11663.843662633652</v>
      </c>
      <c r="I66" s="15">
        <f t="shared" ca="1" si="14"/>
        <v>12448.56221785386</v>
      </c>
      <c r="J66" s="15">
        <f t="shared" ca="1" si="14"/>
        <v>13240.356606937947</v>
      </c>
      <c r="K66" s="15">
        <f t="shared" ca="1" si="14"/>
        <v>13240.356606937947</v>
      </c>
      <c r="L66" s="15">
        <f t="shared" ca="1" si="14"/>
        <v>13240.356606937947</v>
      </c>
      <c r="M66" s="15">
        <f t="shared" ca="1" si="14"/>
        <v>13240.356606937947</v>
      </c>
      <c r="N66" s="15">
        <f t="shared" ca="1" si="14"/>
        <v>13240.356606937947</v>
      </c>
      <c r="O66" s="15">
        <f t="shared" ca="1" si="14"/>
        <v>13240.356606937947</v>
      </c>
      <c r="P66" s="15">
        <f t="shared" ca="1" si="14"/>
        <v>13240.356606937947</v>
      </c>
      <c r="Q66" s="15">
        <f t="shared" ca="1" si="14"/>
        <v>13240.356606937947</v>
      </c>
      <c r="R66" s="15">
        <f t="shared" ca="1" si="14"/>
        <v>13240.356606937947</v>
      </c>
      <c r="S66" s="15">
        <f t="shared" ca="1" si="14"/>
        <v>13240.356606937947</v>
      </c>
      <c r="T66" s="15">
        <f t="shared" ca="1" si="14"/>
        <v>13240.356606937947</v>
      </c>
      <c r="U66" s="15">
        <f t="shared" ca="1" si="14"/>
        <v>13240.356606937947</v>
      </c>
      <c r="V66" s="15">
        <f t="shared" ca="1" si="14"/>
        <v>13240.356606937947</v>
      </c>
      <c r="W66" s="15">
        <f t="shared" ca="1" si="14"/>
        <v>13240.356606937947</v>
      </c>
      <c r="X66" s="15">
        <f t="shared" ca="1" si="14"/>
        <v>13240.356606937947</v>
      </c>
      <c r="Y66" s="15">
        <f t="shared" ca="1" si="14"/>
        <v>13240.356606937947</v>
      </c>
      <c r="Z66" s="15">
        <f t="shared" ca="1" si="14"/>
        <v>13240.356606937947</v>
      </c>
      <c r="AA66" s="15">
        <f t="shared" ca="1" si="14"/>
        <v>13240.356606937947</v>
      </c>
      <c r="AB66" s="15">
        <f t="shared" ca="1" si="14"/>
        <v>13240.356606937947</v>
      </c>
      <c r="AC66" s="15">
        <f t="shared" ca="1" si="14"/>
        <v>13240.356606937947</v>
      </c>
    </row>
    <row r="67" spans="1:29" x14ac:dyDescent="0.2">
      <c r="A67" t="s">
        <v>1014</v>
      </c>
      <c r="D67" s="15">
        <f ca="1">IFERROR(D8 / D48, 0)</f>
        <v>0</v>
      </c>
      <c r="E67" s="15">
        <f t="shared" ref="E67:AC67" ca="1" si="15">IFERROR(E8 / E48, 0)</f>
        <v>0.17449533884382024</v>
      </c>
      <c r="F67" s="15">
        <f t="shared" ca="1" si="15"/>
        <v>0.28137827860364684</v>
      </c>
      <c r="G67" s="15">
        <f t="shared" ca="1" si="15"/>
        <v>0.50395159677130719</v>
      </c>
      <c r="H67" s="15">
        <f t="shared" ca="1" si="15"/>
        <v>0.62460226812130304</v>
      </c>
      <c r="I67" s="15">
        <f t="shared" ca="1" si="15"/>
        <v>0.76955178545274516</v>
      </c>
      <c r="J67" s="15">
        <f t="shared" ca="1" si="15"/>
        <v>0.91226093370476979</v>
      </c>
      <c r="K67" s="15">
        <f t="shared" ca="1" si="15"/>
        <v>1.0165281483231794</v>
      </c>
      <c r="L67" s="15">
        <f t="shared" ca="1" si="15"/>
        <v>1.1324932526772973</v>
      </c>
      <c r="M67" s="15">
        <f t="shared" ca="1" si="15"/>
        <v>1.2370650495562676</v>
      </c>
      <c r="N67" s="15">
        <f t="shared" ca="1" si="15"/>
        <v>1.3285939711669474</v>
      </c>
      <c r="O67" s="15">
        <f t="shared" ca="1" si="15"/>
        <v>1.4166882063321584</v>
      </c>
      <c r="P67" s="15">
        <f t="shared" ca="1" si="15"/>
        <v>1.500644270035622</v>
      </c>
      <c r="Q67" s="15">
        <f t="shared" ca="1" si="15"/>
        <v>1.5890591588980052</v>
      </c>
      <c r="R67" s="15">
        <f t="shared" ca="1" si="15"/>
        <v>1.682188996068988</v>
      </c>
      <c r="S67" s="15">
        <f t="shared" ca="1" si="15"/>
        <v>1.7803042577666963</v>
      </c>
      <c r="T67" s="15">
        <f t="shared" ca="1" si="15"/>
        <v>1.8836905161964164</v>
      </c>
      <c r="U67" s="15">
        <f t="shared" ca="1" si="15"/>
        <v>1.9926492321276339</v>
      </c>
      <c r="V67" s="15">
        <f t="shared" ca="1" si="15"/>
        <v>2.1074985991861204</v>
      </c>
      <c r="W67" s="15">
        <f t="shared" ca="1" si="15"/>
        <v>2.2285744420182896</v>
      </c>
      <c r="X67" s="15">
        <f t="shared" ca="1" si="15"/>
        <v>2.3562311706158257</v>
      </c>
      <c r="Y67" s="15">
        <f t="shared" ca="1" si="15"/>
        <v>2.4908427932439037</v>
      </c>
      <c r="Z67" s="15">
        <f t="shared" ca="1" si="15"/>
        <v>2.6328039905919995</v>
      </c>
      <c r="AA67" s="15">
        <f t="shared" ca="1" si="15"/>
        <v>2.7825312539589855</v>
      </c>
      <c r="AB67" s="15">
        <f t="shared" ca="1" si="15"/>
        <v>2.9404640904912633</v>
      </c>
      <c r="AC67" s="15">
        <f t="shared" ca="1" si="15"/>
        <v>0.67646639850739387</v>
      </c>
    </row>
    <row r="68" spans="1:29" x14ac:dyDescent="0.2">
      <c r="A68" t="s">
        <v>1015</v>
      </c>
      <c r="D68" s="15">
        <f ca="1">IFERROR(D9 / $D$15, 0)</f>
        <v>0</v>
      </c>
      <c r="E68" s="15">
        <f t="shared" ref="E68:AC68" ca="1" si="16">IFERROR(E9 / $D$15, 0)</f>
        <v>0</v>
      </c>
      <c r="F68" s="15">
        <f t="shared" ca="1" si="16"/>
        <v>0</v>
      </c>
      <c r="G68" s="15">
        <f t="shared" ca="1" si="16"/>
        <v>0</v>
      </c>
      <c r="H68" s="15">
        <f t="shared" ca="1" si="16"/>
        <v>0</v>
      </c>
      <c r="I68" s="15">
        <f t="shared" ca="1" si="16"/>
        <v>0</v>
      </c>
      <c r="J68" s="15">
        <f t="shared" ca="1" si="16"/>
        <v>0</v>
      </c>
      <c r="K68" s="15">
        <f t="shared" ca="1" si="16"/>
        <v>0</v>
      </c>
      <c r="L68" s="15">
        <f t="shared" ca="1" si="16"/>
        <v>0</v>
      </c>
      <c r="M68" s="15">
        <f t="shared" ca="1" si="16"/>
        <v>0</v>
      </c>
      <c r="N68" s="15">
        <f t="shared" ca="1" si="16"/>
        <v>0</v>
      </c>
      <c r="O68" s="15">
        <f t="shared" ca="1" si="16"/>
        <v>0</v>
      </c>
      <c r="P68" s="15">
        <f t="shared" ca="1" si="16"/>
        <v>0</v>
      </c>
      <c r="Q68" s="15">
        <f t="shared" ca="1" si="16"/>
        <v>0</v>
      </c>
      <c r="R68" s="15">
        <f t="shared" ca="1" si="16"/>
        <v>0</v>
      </c>
      <c r="S68" s="15">
        <f t="shared" ca="1" si="16"/>
        <v>0</v>
      </c>
      <c r="T68" s="15">
        <f t="shared" ca="1" si="16"/>
        <v>0</v>
      </c>
      <c r="U68" s="15">
        <f t="shared" ca="1" si="16"/>
        <v>0</v>
      </c>
      <c r="V68" s="15">
        <f t="shared" ca="1" si="16"/>
        <v>0</v>
      </c>
      <c r="W68" s="15">
        <f t="shared" ca="1" si="16"/>
        <v>0</v>
      </c>
      <c r="X68" s="15">
        <f t="shared" ca="1" si="16"/>
        <v>0</v>
      </c>
      <c r="Y68" s="15">
        <f t="shared" ca="1" si="16"/>
        <v>0</v>
      </c>
      <c r="Z68" s="15">
        <f t="shared" ca="1" si="16"/>
        <v>0</v>
      </c>
      <c r="AA68" s="15">
        <f t="shared" ca="1" si="16"/>
        <v>0</v>
      </c>
      <c r="AB68" s="15">
        <f t="shared" ca="1" si="16"/>
        <v>0</v>
      </c>
      <c r="AC68" s="15">
        <f t="shared" ca="1" si="16"/>
        <v>0</v>
      </c>
    </row>
    <row r="69" spans="1:29" x14ac:dyDescent="0.2">
      <c r="A69" t="s">
        <v>1016</v>
      </c>
      <c r="D69" s="15">
        <f ca="1">ROUNDDOWN(MIN(D66, D67, D68), 0)</f>
        <v>0</v>
      </c>
      <c r="E69" s="15">
        <f t="shared" ref="E69:AC69" ca="1" si="17">ROUNDDOWN(MIN(E66, E67, E68), 0)</f>
        <v>0</v>
      </c>
      <c r="F69" s="15">
        <f t="shared" ca="1" si="17"/>
        <v>0</v>
      </c>
      <c r="G69" s="15">
        <f t="shared" ca="1" si="17"/>
        <v>0</v>
      </c>
      <c r="H69" s="15">
        <f t="shared" ca="1" si="17"/>
        <v>0</v>
      </c>
      <c r="I69" s="15">
        <f t="shared" ca="1" si="17"/>
        <v>0</v>
      </c>
      <c r="J69" s="15">
        <f t="shared" ca="1" si="17"/>
        <v>0</v>
      </c>
      <c r="K69" s="15">
        <f t="shared" ca="1" si="17"/>
        <v>0</v>
      </c>
      <c r="L69" s="15">
        <f t="shared" ca="1" si="17"/>
        <v>0</v>
      </c>
      <c r="M69" s="15">
        <f t="shared" ca="1" si="17"/>
        <v>0</v>
      </c>
      <c r="N69" s="15">
        <f t="shared" ca="1" si="17"/>
        <v>0</v>
      </c>
      <c r="O69" s="15">
        <f t="shared" ca="1" si="17"/>
        <v>0</v>
      </c>
      <c r="P69" s="15">
        <f t="shared" ca="1" si="17"/>
        <v>0</v>
      </c>
      <c r="Q69" s="15">
        <f t="shared" ca="1" si="17"/>
        <v>0</v>
      </c>
      <c r="R69" s="15">
        <f t="shared" ca="1" si="17"/>
        <v>0</v>
      </c>
      <c r="S69" s="15">
        <f t="shared" ca="1" si="17"/>
        <v>0</v>
      </c>
      <c r="T69" s="15">
        <f t="shared" ca="1" si="17"/>
        <v>0</v>
      </c>
      <c r="U69" s="15">
        <f t="shared" ca="1" si="17"/>
        <v>0</v>
      </c>
      <c r="V69" s="15">
        <f t="shared" ca="1" si="17"/>
        <v>0</v>
      </c>
      <c r="W69" s="15">
        <f t="shared" ca="1" si="17"/>
        <v>0</v>
      </c>
      <c r="X69" s="15">
        <f t="shared" ca="1" si="17"/>
        <v>0</v>
      </c>
      <c r="Y69" s="15">
        <f t="shared" ca="1" si="17"/>
        <v>0</v>
      </c>
      <c r="Z69" s="15">
        <f t="shared" ca="1" si="17"/>
        <v>0</v>
      </c>
      <c r="AA69" s="15">
        <f t="shared" ca="1" si="17"/>
        <v>0</v>
      </c>
      <c r="AB69" s="15">
        <f t="shared" ca="1" si="17"/>
        <v>0</v>
      </c>
      <c r="AC69" s="15">
        <f t="shared" ca="1" si="17"/>
        <v>0</v>
      </c>
    </row>
    <row r="70" spans="1:29" x14ac:dyDescent="0.2">
      <c r="A70" t="s">
        <v>1017</v>
      </c>
      <c r="D70" s="15" cm="1">
        <f t="array" ref="D70">IF(D$5 &lt; $D$20, 0, INDEX($D$69:$AC$69, 1, MAX(1, COLUMN()-COLUMN($D$5)+1-$D$20)))</f>
        <v>0</v>
      </c>
      <c r="E70" s="15" cm="1">
        <f t="array" ref="E70">IF(E$5 &lt; $D$20, 0, INDEX($D$69:$AC$69, 1, MAX(1, COLUMN()-COLUMN($D$5)+1-$D$20)))</f>
        <v>0</v>
      </c>
      <c r="F70" s="15" cm="1">
        <f t="array" ref="F70">IF(F$5 &lt; $D$20, 0, INDEX($D$69:$AC$69, 1, MAX(1, COLUMN()-COLUMN($D$5)+1-$D$20)))</f>
        <v>0</v>
      </c>
      <c r="G70" s="15" cm="1">
        <f t="array" ref="G70">IF(G$5 &lt; $D$20, 0, INDEX($D$69:$AC$69, 1, MAX(1, COLUMN()-COLUMN($D$5)+1-$D$20)))</f>
        <v>0</v>
      </c>
      <c r="H70" s="15" cm="1">
        <f t="array" ref="H70">IF(H$5 &lt; $D$20, 0, INDEX($D$69:$AC$69, 1, MAX(1, COLUMN()-COLUMN($D$5)+1-$D$20)))</f>
        <v>0</v>
      </c>
      <c r="I70" s="15" cm="1">
        <f t="array" aca="1" ref="I70" ca="1">IF(I$5 &lt; $D$20, 0, INDEX($D$69:$AC$69, 1, MAX(1, COLUMN()-COLUMN($D$5)+1-$D$20)))</f>
        <v>0</v>
      </c>
      <c r="J70" s="15" cm="1">
        <f t="array" aca="1" ref="J70" ca="1">IF(J$5 &lt; $D$20, 0, INDEX($D$69:$AC$69, 1, MAX(1, COLUMN()-COLUMN($D$5)+1-$D$20)))</f>
        <v>0</v>
      </c>
      <c r="K70" s="15" cm="1">
        <f t="array" aca="1" ref="K70" ca="1">IF(K$5 &lt; $D$20, 0, INDEX($D$69:$AC$69, 1, MAX(1, COLUMN()-COLUMN($D$5)+1-$D$20)))</f>
        <v>0</v>
      </c>
      <c r="L70" s="15" cm="1">
        <f t="array" aca="1" ref="L70" ca="1">IF(L$5 &lt; $D$20, 0, INDEX($D$69:$AC$69, 1, MAX(1, COLUMN()-COLUMN($D$5)+1-$D$20)))</f>
        <v>0</v>
      </c>
      <c r="M70" s="15" cm="1">
        <f t="array" aca="1" ref="M70" ca="1">IF(M$5 &lt; $D$20, 0, INDEX($D$69:$AC$69, 1, MAX(1, COLUMN()-COLUMN($D$5)+1-$D$20)))</f>
        <v>0</v>
      </c>
      <c r="N70" s="15" cm="1">
        <f t="array" aca="1" ref="N70" ca="1">IF(N$5 &lt; $D$20, 0, INDEX($D$69:$AC$69, 1, MAX(1, COLUMN()-COLUMN($D$5)+1-$D$20)))</f>
        <v>0</v>
      </c>
      <c r="O70" s="15" cm="1">
        <f t="array" aca="1" ref="O70" ca="1">IF(O$5 &lt; $D$20, 0, INDEX($D$69:$AC$69, 1, MAX(1, COLUMN()-COLUMN($D$5)+1-$D$20)))</f>
        <v>0</v>
      </c>
      <c r="P70" s="15" cm="1">
        <f t="array" aca="1" ref="P70" ca="1">IF(P$5 &lt; $D$20, 0, INDEX($D$69:$AC$69, 1, MAX(1, COLUMN()-COLUMN($D$5)+1-$D$20)))</f>
        <v>0</v>
      </c>
      <c r="Q70" s="15" cm="1">
        <f t="array" aca="1" ref="Q70" ca="1">IF(Q$5 &lt; $D$20, 0, INDEX($D$69:$AC$69, 1, MAX(1, COLUMN()-COLUMN($D$5)+1-$D$20)))</f>
        <v>0</v>
      </c>
      <c r="R70" s="15" cm="1">
        <f t="array" aca="1" ref="R70" ca="1">IF(R$5 &lt; $D$20, 0, INDEX($D$69:$AC$69, 1, MAX(1, COLUMN()-COLUMN($D$5)+1-$D$20)))</f>
        <v>0</v>
      </c>
      <c r="S70" s="15" cm="1">
        <f t="array" aca="1" ref="S70" ca="1">IF(S$5 &lt; $D$20, 0, INDEX($D$69:$AC$69, 1, MAX(1, COLUMN()-COLUMN($D$5)+1-$D$20)))</f>
        <v>0</v>
      </c>
      <c r="T70" s="15" cm="1">
        <f t="array" aca="1" ref="T70" ca="1">IF(T$5 &lt; $D$20, 0, INDEX($D$69:$AC$69, 1, MAX(1, COLUMN()-COLUMN($D$5)+1-$D$20)))</f>
        <v>0</v>
      </c>
      <c r="U70" s="15" cm="1">
        <f t="array" aca="1" ref="U70" ca="1">IF(U$5 &lt; $D$20, 0, INDEX($D$69:$AC$69, 1, MAX(1, COLUMN()-COLUMN($D$5)+1-$D$20)))</f>
        <v>0</v>
      </c>
      <c r="V70" s="15" cm="1">
        <f t="array" aca="1" ref="V70" ca="1">IF(V$5 &lt; $D$20, 0, INDEX($D$69:$AC$69, 1, MAX(1, COLUMN()-COLUMN($D$5)+1-$D$20)))</f>
        <v>0</v>
      </c>
      <c r="W70" s="15" cm="1">
        <f t="array" aca="1" ref="W70" ca="1">IF(W$5 &lt; $D$20, 0, INDEX($D$69:$AC$69, 1, MAX(1, COLUMN()-COLUMN($D$5)+1-$D$20)))</f>
        <v>0</v>
      </c>
      <c r="X70" s="15" cm="1">
        <f t="array" aca="1" ref="X70" ca="1">IF(X$5 &lt; $D$20, 0, INDEX($D$69:$AC$69, 1, MAX(1, COLUMN()-COLUMN($D$5)+1-$D$20)))</f>
        <v>0</v>
      </c>
      <c r="Y70" s="15" cm="1">
        <f t="array" aca="1" ref="Y70" ca="1">IF(Y$5 &lt; $D$20, 0, INDEX($D$69:$AC$69, 1, MAX(1, COLUMN()-COLUMN($D$5)+1-$D$20)))</f>
        <v>0</v>
      </c>
      <c r="Z70" s="15" cm="1">
        <f t="array" aca="1" ref="Z70" ca="1">IF(Z$5 &lt; $D$20, 0, INDEX($D$69:$AC$69, 1, MAX(1, COLUMN()-COLUMN($D$5)+1-$D$20)))</f>
        <v>0</v>
      </c>
      <c r="AA70" s="15" cm="1">
        <f t="array" aca="1" ref="AA70" ca="1">IF(AA$5 &lt; $D$20, 0, INDEX($D$69:$AC$69, 1, MAX(1, COLUMN()-COLUMN($D$5)+1-$D$20)))</f>
        <v>0</v>
      </c>
      <c r="AB70" s="15" cm="1">
        <f t="array" aca="1" ref="AB70" ca="1">IF(AB$5 &lt; $D$20, 0, INDEX($D$69:$AC$69, 1, MAX(1, COLUMN()-COLUMN($D$5)+1-$D$20)))</f>
        <v>0</v>
      </c>
      <c r="AC70" s="15" cm="1">
        <f t="array" aca="1" ref="AC70" ca="1">IF(AC$5 &lt; $D$20, 0, INDEX($D$69:$AC$69, 1, MAX(1, COLUMN()-COLUMN($D$5)+1-$D$20)))</f>
        <v>0</v>
      </c>
    </row>
    <row r="71" spans="1:29" x14ac:dyDescent="0.2">
      <c r="A71" t="s">
        <v>1018</v>
      </c>
      <c r="D71" s="15">
        <f ca="1">MAX(0, D69 - D70)</f>
        <v>0</v>
      </c>
      <c r="E71" s="15">
        <f ca="1">MAX(0, D71 + E69 - E70)</f>
        <v>0</v>
      </c>
      <c r="F71" s="15">
        <f t="shared" ref="F71:AC71" ca="1" si="18">MAX(0, E71 + F69 - F70)</f>
        <v>0</v>
      </c>
      <c r="G71" s="15">
        <f t="shared" ca="1" si="18"/>
        <v>0</v>
      </c>
      <c r="H71" s="15">
        <f t="shared" ca="1" si="18"/>
        <v>0</v>
      </c>
      <c r="I71" s="15">
        <f t="shared" ca="1" si="18"/>
        <v>0</v>
      </c>
      <c r="J71" s="15">
        <f t="shared" ca="1" si="18"/>
        <v>0</v>
      </c>
      <c r="K71" s="15">
        <f t="shared" ca="1" si="18"/>
        <v>0</v>
      </c>
      <c r="L71" s="15">
        <f t="shared" ca="1" si="18"/>
        <v>0</v>
      </c>
      <c r="M71" s="15">
        <f t="shared" ca="1" si="18"/>
        <v>0</v>
      </c>
      <c r="N71" s="15">
        <f t="shared" ca="1" si="18"/>
        <v>0</v>
      </c>
      <c r="O71" s="15">
        <f t="shared" ca="1" si="18"/>
        <v>0</v>
      </c>
      <c r="P71" s="15">
        <f t="shared" ca="1" si="18"/>
        <v>0</v>
      </c>
      <c r="Q71" s="15">
        <f t="shared" ca="1" si="18"/>
        <v>0</v>
      </c>
      <c r="R71" s="15">
        <f t="shared" ca="1" si="18"/>
        <v>0</v>
      </c>
      <c r="S71" s="15">
        <f t="shared" ca="1" si="18"/>
        <v>0</v>
      </c>
      <c r="T71" s="15">
        <f t="shared" ca="1" si="18"/>
        <v>0</v>
      </c>
      <c r="U71" s="15">
        <f t="shared" ca="1" si="18"/>
        <v>0</v>
      </c>
      <c r="V71" s="15">
        <f t="shared" ca="1" si="18"/>
        <v>0</v>
      </c>
      <c r="W71" s="15">
        <f t="shared" ca="1" si="18"/>
        <v>0</v>
      </c>
      <c r="X71" s="15">
        <f t="shared" ca="1" si="18"/>
        <v>0</v>
      </c>
      <c r="Y71" s="15">
        <f t="shared" ca="1" si="18"/>
        <v>0</v>
      </c>
      <c r="Z71" s="15">
        <f t="shared" ca="1" si="18"/>
        <v>0</v>
      </c>
      <c r="AA71" s="15">
        <f t="shared" ca="1" si="18"/>
        <v>0</v>
      </c>
      <c r="AB71" s="15">
        <f t="shared" ca="1" si="18"/>
        <v>0</v>
      </c>
      <c r="AC71" s="15">
        <f t="shared" ca="1" si="18"/>
        <v>0</v>
      </c>
    </row>
    <row r="72" spans="1:29" x14ac:dyDescent="0.2">
      <c r="A72" t="s">
        <v>1019</v>
      </c>
      <c r="D72" s="15">
        <f ca="1">D71 * D30</f>
        <v>0</v>
      </c>
      <c r="E72" s="15">
        <f t="shared" ref="E72:AC72" ca="1" si="19">E71 * E30</f>
        <v>0</v>
      </c>
      <c r="F72" s="15">
        <f t="shared" ca="1" si="19"/>
        <v>0</v>
      </c>
      <c r="G72" s="15">
        <f t="shared" ca="1" si="19"/>
        <v>0</v>
      </c>
      <c r="H72" s="15">
        <f t="shared" ca="1" si="19"/>
        <v>0</v>
      </c>
      <c r="I72" s="15">
        <f t="shared" ca="1" si="19"/>
        <v>0</v>
      </c>
      <c r="J72" s="15">
        <f t="shared" ca="1" si="19"/>
        <v>0</v>
      </c>
      <c r="K72" s="15">
        <f t="shared" ca="1" si="19"/>
        <v>0</v>
      </c>
      <c r="L72" s="15">
        <f t="shared" ca="1" si="19"/>
        <v>0</v>
      </c>
      <c r="M72" s="15">
        <f t="shared" ca="1" si="19"/>
        <v>0</v>
      </c>
      <c r="N72" s="15">
        <f t="shared" ca="1" si="19"/>
        <v>0</v>
      </c>
      <c r="O72" s="15">
        <f t="shared" ca="1" si="19"/>
        <v>0</v>
      </c>
      <c r="P72" s="15">
        <f t="shared" ca="1" si="19"/>
        <v>0</v>
      </c>
      <c r="Q72" s="15">
        <f t="shared" ca="1" si="19"/>
        <v>0</v>
      </c>
      <c r="R72" s="15">
        <f t="shared" ca="1" si="19"/>
        <v>0</v>
      </c>
      <c r="S72" s="15">
        <f t="shared" ca="1" si="19"/>
        <v>0</v>
      </c>
      <c r="T72" s="15">
        <f t="shared" ca="1" si="19"/>
        <v>0</v>
      </c>
      <c r="U72" s="15">
        <f t="shared" ca="1" si="19"/>
        <v>0</v>
      </c>
      <c r="V72" s="15">
        <f t="shared" ca="1" si="19"/>
        <v>0</v>
      </c>
      <c r="W72" s="15">
        <f t="shared" ca="1" si="19"/>
        <v>0</v>
      </c>
      <c r="X72" s="15">
        <f t="shared" ca="1" si="19"/>
        <v>0</v>
      </c>
      <c r="Y72" s="15">
        <f t="shared" ca="1" si="19"/>
        <v>0</v>
      </c>
      <c r="Z72" s="15">
        <f t="shared" ca="1" si="19"/>
        <v>0</v>
      </c>
      <c r="AA72" s="15">
        <f t="shared" ca="1" si="19"/>
        <v>0</v>
      </c>
      <c r="AB72" s="15">
        <f t="shared" ca="1" si="19"/>
        <v>0</v>
      </c>
      <c r="AC72" s="15">
        <f t="shared" ca="1" si="19"/>
        <v>0</v>
      </c>
    </row>
    <row r="73" spans="1:29" x14ac:dyDescent="0.2">
      <c r="A73" t="s">
        <v>1020</v>
      </c>
      <c r="D73" s="52">
        <f ca="1">D71 * $D$14 / 1000000</f>
        <v>0</v>
      </c>
      <c r="E73" s="52">
        <f t="shared" ref="E73:AC73" ca="1" si="20">E71 * $D$14 / 1000000</f>
        <v>0</v>
      </c>
      <c r="F73" s="52">
        <f t="shared" ca="1" si="20"/>
        <v>0</v>
      </c>
      <c r="G73" s="52">
        <f t="shared" ca="1" si="20"/>
        <v>0</v>
      </c>
      <c r="H73" s="52">
        <f t="shared" ca="1" si="20"/>
        <v>0</v>
      </c>
      <c r="I73" s="52">
        <f t="shared" ca="1" si="20"/>
        <v>0</v>
      </c>
      <c r="J73" s="52">
        <f t="shared" ca="1" si="20"/>
        <v>0</v>
      </c>
      <c r="K73" s="52">
        <f t="shared" ca="1" si="20"/>
        <v>0</v>
      </c>
      <c r="L73" s="52">
        <f t="shared" ca="1" si="20"/>
        <v>0</v>
      </c>
      <c r="M73" s="52">
        <f t="shared" ca="1" si="20"/>
        <v>0</v>
      </c>
      <c r="N73" s="52">
        <f t="shared" ca="1" si="20"/>
        <v>0</v>
      </c>
      <c r="O73" s="52">
        <f t="shared" ca="1" si="20"/>
        <v>0</v>
      </c>
      <c r="P73" s="52">
        <f t="shared" ca="1" si="20"/>
        <v>0</v>
      </c>
      <c r="Q73" s="52">
        <f t="shared" ca="1" si="20"/>
        <v>0</v>
      </c>
      <c r="R73" s="52">
        <f t="shared" ca="1" si="20"/>
        <v>0</v>
      </c>
      <c r="S73" s="52">
        <f t="shared" ca="1" si="20"/>
        <v>0</v>
      </c>
      <c r="T73" s="52">
        <f t="shared" ca="1" si="20"/>
        <v>0</v>
      </c>
      <c r="U73" s="52">
        <f t="shared" ca="1" si="20"/>
        <v>0</v>
      </c>
      <c r="V73" s="52">
        <f t="shared" ca="1" si="20"/>
        <v>0</v>
      </c>
      <c r="W73" s="52">
        <f t="shared" ca="1" si="20"/>
        <v>0</v>
      </c>
      <c r="X73" s="52">
        <f t="shared" ca="1" si="20"/>
        <v>0</v>
      </c>
      <c r="Y73" s="52">
        <f t="shared" ca="1" si="20"/>
        <v>0</v>
      </c>
      <c r="Z73" s="52">
        <f t="shared" ca="1" si="20"/>
        <v>0</v>
      </c>
      <c r="AA73" s="52">
        <f t="shared" ca="1" si="20"/>
        <v>0</v>
      </c>
      <c r="AB73" s="52">
        <f t="shared" ca="1" si="20"/>
        <v>0</v>
      </c>
      <c r="AC73" s="52">
        <f t="shared" ca="1" si="20"/>
        <v>0</v>
      </c>
    </row>
    <row r="74" spans="1:29" x14ac:dyDescent="0.2">
      <c r="A74" t="s">
        <v>1021</v>
      </c>
      <c r="D74" s="15">
        <f ca="1">D72 * D28 * $D$19 * 8760</f>
        <v>0</v>
      </c>
      <c r="E74" s="15">
        <f t="shared" ref="E74:AC74" ca="1" si="21">E72 * E28 * $D$19 * 8760</f>
        <v>0</v>
      </c>
      <c r="F74" s="15">
        <f t="shared" ca="1" si="21"/>
        <v>0</v>
      </c>
      <c r="G74" s="15">
        <f t="shared" ca="1" si="21"/>
        <v>0</v>
      </c>
      <c r="H74" s="15">
        <f t="shared" ca="1" si="21"/>
        <v>0</v>
      </c>
      <c r="I74" s="15">
        <f t="shared" ca="1" si="21"/>
        <v>0</v>
      </c>
      <c r="J74" s="15">
        <f t="shared" ca="1" si="21"/>
        <v>0</v>
      </c>
      <c r="K74" s="15">
        <f t="shared" ca="1" si="21"/>
        <v>0</v>
      </c>
      <c r="L74" s="15">
        <f t="shared" ca="1" si="21"/>
        <v>0</v>
      </c>
      <c r="M74" s="15">
        <f t="shared" ca="1" si="21"/>
        <v>0</v>
      </c>
      <c r="N74" s="15">
        <f t="shared" ca="1" si="21"/>
        <v>0</v>
      </c>
      <c r="O74" s="15">
        <f t="shared" ca="1" si="21"/>
        <v>0</v>
      </c>
      <c r="P74" s="15">
        <f t="shared" ca="1" si="21"/>
        <v>0</v>
      </c>
      <c r="Q74" s="15">
        <f t="shared" ca="1" si="21"/>
        <v>0</v>
      </c>
      <c r="R74" s="15">
        <f t="shared" ca="1" si="21"/>
        <v>0</v>
      </c>
      <c r="S74" s="15">
        <f t="shared" ca="1" si="21"/>
        <v>0</v>
      </c>
      <c r="T74" s="15">
        <f t="shared" ca="1" si="21"/>
        <v>0</v>
      </c>
      <c r="U74" s="15">
        <f t="shared" ca="1" si="21"/>
        <v>0</v>
      </c>
      <c r="V74" s="15">
        <f t="shared" ca="1" si="21"/>
        <v>0</v>
      </c>
      <c r="W74" s="15">
        <f t="shared" ca="1" si="21"/>
        <v>0</v>
      </c>
      <c r="X74" s="15">
        <f t="shared" ca="1" si="21"/>
        <v>0</v>
      </c>
      <c r="Y74" s="15">
        <f t="shared" ca="1" si="21"/>
        <v>0</v>
      </c>
      <c r="Z74" s="15">
        <f t="shared" ca="1" si="21"/>
        <v>0</v>
      </c>
      <c r="AA74" s="15">
        <f t="shared" ca="1" si="21"/>
        <v>0</v>
      </c>
      <c r="AB74" s="15">
        <f t="shared" ca="1" si="21"/>
        <v>0</v>
      </c>
      <c r="AC74" s="15">
        <f t="shared" ca="1" si="21"/>
        <v>0</v>
      </c>
    </row>
    <row r="76" spans="1:29" x14ac:dyDescent="0.2">
      <c r="A76" s="14" t="s">
        <v>1022</v>
      </c>
    </row>
    <row r="77" spans="1:29" x14ac:dyDescent="0.2">
      <c r="A77" t="s">
        <v>1023</v>
      </c>
      <c r="D77" s="51">
        <f>INDEX(Assumptions!$B:$B, MATCH("Gbps per GWh/yr of ODC compute energy", Assumptions!$A:$A, 0))</f>
        <v>0.05</v>
      </c>
    </row>
    <row r="78" spans="1:29" x14ac:dyDescent="0.2">
      <c r="A78" t="s">
        <v>945</v>
      </c>
      <c r="D78" s="17">
        <f>INDEX(Assumptions!$B:$B, MATCH("BB-share of ODC bandwidth claim", Assumptions!$A:$A, 0))</f>
        <v>0.5</v>
      </c>
    </row>
    <row r="79" spans="1:29" x14ac:dyDescent="0.2">
      <c r="A79" t="s">
        <v>1024</v>
      </c>
      <c r="D79" s="15">
        <f ca="1">D73 * D28 * 8760</f>
        <v>0</v>
      </c>
      <c r="E79" s="15">
        <f t="shared" ref="E79:AC79" ca="1" si="22">E73 * E28 * 8760</f>
        <v>0</v>
      </c>
      <c r="F79" s="15">
        <f t="shared" ca="1" si="22"/>
        <v>0</v>
      </c>
      <c r="G79" s="15">
        <f t="shared" ca="1" si="22"/>
        <v>0</v>
      </c>
      <c r="H79" s="15">
        <f t="shared" ca="1" si="22"/>
        <v>0</v>
      </c>
      <c r="I79" s="15">
        <f t="shared" ca="1" si="22"/>
        <v>0</v>
      </c>
      <c r="J79" s="15">
        <f t="shared" ca="1" si="22"/>
        <v>0</v>
      </c>
      <c r="K79" s="15">
        <f t="shared" ca="1" si="22"/>
        <v>0</v>
      </c>
      <c r="L79" s="15">
        <f t="shared" ca="1" si="22"/>
        <v>0</v>
      </c>
      <c r="M79" s="15">
        <f t="shared" ca="1" si="22"/>
        <v>0</v>
      </c>
      <c r="N79" s="15">
        <f t="shared" ca="1" si="22"/>
        <v>0</v>
      </c>
      <c r="O79" s="15">
        <f t="shared" ca="1" si="22"/>
        <v>0</v>
      </c>
      <c r="P79" s="15">
        <f t="shared" ca="1" si="22"/>
        <v>0</v>
      </c>
      <c r="Q79" s="15">
        <f t="shared" ca="1" si="22"/>
        <v>0</v>
      </c>
      <c r="R79" s="15">
        <f t="shared" ca="1" si="22"/>
        <v>0</v>
      </c>
      <c r="S79" s="15">
        <f t="shared" ca="1" si="22"/>
        <v>0</v>
      </c>
      <c r="T79" s="15">
        <f t="shared" ca="1" si="22"/>
        <v>0</v>
      </c>
      <c r="U79" s="15">
        <f t="shared" ca="1" si="22"/>
        <v>0</v>
      </c>
      <c r="V79" s="15">
        <f t="shared" ca="1" si="22"/>
        <v>0</v>
      </c>
      <c r="W79" s="15">
        <f t="shared" ca="1" si="22"/>
        <v>0</v>
      </c>
      <c r="X79" s="15">
        <f t="shared" ca="1" si="22"/>
        <v>0</v>
      </c>
      <c r="Y79" s="15">
        <f t="shared" ca="1" si="22"/>
        <v>0</v>
      </c>
      <c r="Z79" s="15">
        <f t="shared" ca="1" si="22"/>
        <v>0</v>
      </c>
      <c r="AA79" s="15">
        <f t="shared" ca="1" si="22"/>
        <v>0</v>
      </c>
      <c r="AB79" s="15">
        <f t="shared" ca="1" si="22"/>
        <v>0</v>
      </c>
      <c r="AC79" s="15">
        <f t="shared" ca="1" si="22"/>
        <v>0</v>
      </c>
    </row>
    <row r="80" spans="1:29" x14ac:dyDescent="0.2">
      <c r="A80" t="s">
        <v>1025</v>
      </c>
      <c r="D80" s="15">
        <f ca="1">D79 * $D$77</f>
        <v>0</v>
      </c>
      <c r="E80" s="15">
        <f t="shared" ref="E80:AC80" ca="1" si="23">E79 * $D$77</f>
        <v>0</v>
      </c>
      <c r="F80" s="15">
        <f t="shared" ca="1" si="23"/>
        <v>0</v>
      </c>
      <c r="G80" s="15">
        <f t="shared" ca="1" si="23"/>
        <v>0</v>
      </c>
      <c r="H80" s="15">
        <f t="shared" ca="1" si="23"/>
        <v>0</v>
      </c>
      <c r="I80" s="15">
        <f t="shared" ca="1" si="23"/>
        <v>0</v>
      </c>
      <c r="J80" s="15">
        <f t="shared" ca="1" si="23"/>
        <v>0</v>
      </c>
      <c r="K80" s="15">
        <f t="shared" ca="1" si="23"/>
        <v>0</v>
      </c>
      <c r="L80" s="15">
        <f t="shared" ca="1" si="23"/>
        <v>0</v>
      </c>
      <c r="M80" s="15">
        <f t="shared" ca="1" si="23"/>
        <v>0</v>
      </c>
      <c r="N80" s="15">
        <f t="shared" ca="1" si="23"/>
        <v>0</v>
      </c>
      <c r="O80" s="15">
        <f t="shared" ca="1" si="23"/>
        <v>0</v>
      </c>
      <c r="P80" s="15">
        <f t="shared" ca="1" si="23"/>
        <v>0</v>
      </c>
      <c r="Q80" s="15">
        <f t="shared" ca="1" si="23"/>
        <v>0</v>
      </c>
      <c r="R80" s="15">
        <f t="shared" ca="1" si="23"/>
        <v>0</v>
      </c>
      <c r="S80" s="15">
        <f t="shared" ca="1" si="23"/>
        <v>0</v>
      </c>
      <c r="T80" s="15">
        <f t="shared" ca="1" si="23"/>
        <v>0</v>
      </c>
      <c r="U80" s="15">
        <f t="shared" ca="1" si="23"/>
        <v>0</v>
      </c>
      <c r="V80" s="15">
        <f t="shared" ca="1" si="23"/>
        <v>0</v>
      </c>
      <c r="W80" s="15">
        <f t="shared" ca="1" si="23"/>
        <v>0</v>
      </c>
      <c r="X80" s="15">
        <f t="shared" ca="1" si="23"/>
        <v>0</v>
      </c>
      <c r="Y80" s="15">
        <f t="shared" ca="1" si="23"/>
        <v>0</v>
      </c>
      <c r="Z80" s="15">
        <f t="shared" ca="1" si="23"/>
        <v>0</v>
      </c>
      <c r="AA80" s="15">
        <f t="shared" ca="1" si="23"/>
        <v>0</v>
      </c>
      <c r="AB80" s="15">
        <f t="shared" ca="1" si="23"/>
        <v>0</v>
      </c>
      <c r="AC80" s="15">
        <f t="shared" ca="1" si="23"/>
        <v>0</v>
      </c>
    </row>
    <row r="81" spans="1:29" x14ac:dyDescent="0.2">
      <c r="A81" t="s">
        <v>910</v>
      </c>
      <c r="D81" s="15">
        <f ca="1">D80 * $D$78</f>
        <v>0</v>
      </c>
      <c r="E81" s="15">
        <f t="shared" ref="E81:AC81" ca="1" si="24">E80 * $D$78</f>
        <v>0</v>
      </c>
      <c r="F81" s="15">
        <f t="shared" ca="1" si="24"/>
        <v>0</v>
      </c>
      <c r="G81" s="15">
        <f t="shared" ca="1" si="24"/>
        <v>0</v>
      </c>
      <c r="H81" s="15">
        <f t="shared" ca="1" si="24"/>
        <v>0</v>
      </c>
      <c r="I81" s="15">
        <f t="shared" ca="1" si="24"/>
        <v>0</v>
      </c>
      <c r="J81" s="15">
        <f t="shared" ca="1" si="24"/>
        <v>0</v>
      </c>
      <c r="K81" s="15">
        <f t="shared" ca="1" si="24"/>
        <v>0</v>
      </c>
      <c r="L81" s="15">
        <f t="shared" ca="1" si="24"/>
        <v>0</v>
      </c>
      <c r="M81" s="15">
        <f t="shared" ca="1" si="24"/>
        <v>0</v>
      </c>
      <c r="N81" s="15">
        <f t="shared" ca="1" si="24"/>
        <v>0</v>
      </c>
      <c r="O81" s="15">
        <f t="shared" ca="1" si="24"/>
        <v>0</v>
      </c>
      <c r="P81" s="15">
        <f t="shared" ca="1" si="24"/>
        <v>0</v>
      </c>
      <c r="Q81" s="15">
        <f t="shared" ca="1" si="24"/>
        <v>0</v>
      </c>
      <c r="R81" s="15">
        <f t="shared" ca="1" si="24"/>
        <v>0</v>
      </c>
      <c r="S81" s="15">
        <f t="shared" ca="1" si="24"/>
        <v>0</v>
      </c>
      <c r="T81" s="15">
        <f t="shared" ca="1" si="24"/>
        <v>0</v>
      </c>
      <c r="U81" s="15">
        <f t="shared" ca="1" si="24"/>
        <v>0</v>
      </c>
      <c r="V81" s="15">
        <f t="shared" ca="1" si="24"/>
        <v>0</v>
      </c>
      <c r="W81" s="15">
        <f t="shared" ca="1" si="24"/>
        <v>0</v>
      </c>
      <c r="X81" s="15">
        <f t="shared" ca="1" si="24"/>
        <v>0</v>
      </c>
      <c r="Y81" s="15">
        <f t="shared" ca="1" si="24"/>
        <v>0</v>
      </c>
      <c r="Z81" s="15">
        <f t="shared" ca="1" si="24"/>
        <v>0</v>
      </c>
      <c r="AA81" s="15">
        <f t="shared" ca="1" si="24"/>
        <v>0</v>
      </c>
      <c r="AB81" s="15">
        <f t="shared" ca="1" si="24"/>
        <v>0</v>
      </c>
      <c r="AC81" s="15">
        <f t="shared" ca="1" si="24"/>
        <v>0</v>
      </c>
    </row>
    <row r="82" spans="1:29" x14ac:dyDescent="0.2">
      <c r="A82" t="s">
        <v>911</v>
      </c>
      <c r="D82" s="15">
        <f ca="1">D80 * (1 - $D$78)</f>
        <v>0</v>
      </c>
      <c r="E82" s="15">
        <f t="shared" ref="E82:AC82" ca="1" si="25">E80 * (1 - $D$78)</f>
        <v>0</v>
      </c>
      <c r="F82" s="15">
        <f t="shared" ca="1" si="25"/>
        <v>0</v>
      </c>
      <c r="G82" s="15">
        <f t="shared" ca="1" si="25"/>
        <v>0</v>
      </c>
      <c r="H82" s="15">
        <f t="shared" ca="1" si="25"/>
        <v>0</v>
      </c>
      <c r="I82" s="15">
        <f t="shared" ca="1" si="25"/>
        <v>0</v>
      </c>
      <c r="J82" s="15">
        <f t="shared" ca="1" si="25"/>
        <v>0</v>
      </c>
      <c r="K82" s="15">
        <f t="shared" ca="1" si="25"/>
        <v>0</v>
      </c>
      <c r="L82" s="15">
        <f t="shared" ca="1" si="25"/>
        <v>0</v>
      </c>
      <c r="M82" s="15">
        <f t="shared" ca="1" si="25"/>
        <v>0</v>
      </c>
      <c r="N82" s="15">
        <f t="shared" ca="1" si="25"/>
        <v>0</v>
      </c>
      <c r="O82" s="15">
        <f t="shared" ca="1" si="25"/>
        <v>0</v>
      </c>
      <c r="P82" s="15">
        <f t="shared" ca="1" si="25"/>
        <v>0</v>
      </c>
      <c r="Q82" s="15">
        <f t="shared" ca="1" si="25"/>
        <v>0</v>
      </c>
      <c r="R82" s="15">
        <f t="shared" ca="1" si="25"/>
        <v>0</v>
      </c>
      <c r="S82" s="15">
        <f t="shared" ca="1" si="25"/>
        <v>0</v>
      </c>
      <c r="T82" s="15">
        <f t="shared" ca="1" si="25"/>
        <v>0</v>
      </c>
      <c r="U82" s="15">
        <f t="shared" ca="1" si="25"/>
        <v>0</v>
      </c>
      <c r="V82" s="15">
        <f t="shared" ca="1" si="25"/>
        <v>0</v>
      </c>
      <c r="W82" s="15">
        <f t="shared" ca="1" si="25"/>
        <v>0</v>
      </c>
      <c r="X82" s="15">
        <f t="shared" ca="1" si="25"/>
        <v>0</v>
      </c>
      <c r="Y82" s="15">
        <f t="shared" ca="1" si="25"/>
        <v>0</v>
      </c>
      <c r="Z82" s="15">
        <f t="shared" ca="1" si="25"/>
        <v>0</v>
      </c>
      <c r="AA82" s="15">
        <f t="shared" ca="1" si="25"/>
        <v>0</v>
      </c>
      <c r="AB82" s="15">
        <f t="shared" ca="1" si="25"/>
        <v>0</v>
      </c>
      <c r="AC82" s="15">
        <f t="shared" ca="1" si="25"/>
        <v>0</v>
      </c>
    </row>
    <row r="83" spans="1:29" x14ac:dyDescent="0.2">
      <c r="A83" t="s">
        <v>1026</v>
      </c>
      <c r="D83" s="31" cm="1">
        <f t="array" aca="1" ref="D83" ca="1">IFERROR(INDEX('Starlink Capacity'!$D:$AC, MATCH("BB pool at-cost rate ($/Gbps/yr)", 'Starlink Capacity'!$A:$A, 0), D$5+1), 0)</f>
        <v>1892.8085783905481</v>
      </c>
      <c r="E83" s="31" cm="1">
        <f t="array" aca="1" ref="E83" ca="1">IFERROR(INDEX('Starlink Capacity'!$D:$AC, MATCH("BB pool at-cost rate ($/Gbps/yr)", 'Starlink Capacity'!$A:$A, 0), E$5+1), 0)</f>
        <v>1945.4633920535086</v>
      </c>
      <c r="F83" s="31" cm="1">
        <f t="array" aca="1" ref="F83" ca="1">IFERROR(INDEX('Starlink Capacity'!$D:$AC, MATCH("BB pool at-cost rate ($/Gbps/yr)", 'Starlink Capacity'!$A:$A, 0), F$5+1), 0)</f>
        <v>2104.3841017671712</v>
      </c>
      <c r="G83" s="31" cm="1">
        <f t="array" aca="1" ref="G83" ca="1">IFERROR(INDEX('Starlink Capacity'!$D:$AC, MATCH("BB pool at-cost rate ($/Gbps/yr)", 'Starlink Capacity'!$A:$A, 0), G$5+1), 0)</f>
        <v>2469.1457000690616</v>
      </c>
      <c r="H83" s="31" cm="1">
        <f t="array" aca="1" ref="H83" ca="1">IFERROR(INDEX('Starlink Capacity'!$D:$AC, MATCH("BB pool at-cost rate ($/Gbps/yr)", 'Starlink Capacity'!$A:$A, 0), H$5+1), 0)</f>
        <v>3731.1404879903826</v>
      </c>
      <c r="I83" s="31" cm="1">
        <f t="array" aca="1" ref="I83" ca="1">IFERROR(INDEX('Starlink Capacity'!$D:$AC, MATCH("BB pool at-cost rate ($/Gbps/yr)", 'Starlink Capacity'!$A:$A, 0), I$5+1), 0)</f>
        <v>0</v>
      </c>
      <c r="J83" s="31" cm="1">
        <f t="array" aca="1" ref="J83" ca="1">IFERROR(INDEX('Starlink Capacity'!$D:$AC, MATCH("BB pool at-cost rate ($/Gbps/yr)", 'Starlink Capacity'!$A:$A, 0), J$5+1), 0)</f>
        <v>0</v>
      </c>
      <c r="K83" s="31" cm="1">
        <f t="array" aca="1" ref="K83" ca="1">IFERROR(INDEX('Starlink Capacity'!$D:$AC, MATCH("BB pool at-cost rate ($/Gbps/yr)", 'Starlink Capacity'!$A:$A, 0), K$5+1), 0)</f>
        <v>0</v>
      </c>
      <c r="L83" s="31" cm="1">
        <f t="array" aca="1" ref="L83" ca="1">IFERROR(INDEX('Starlink Capacity'!$D:$AC, MATCH("BB pool at-cost rate ($/Gbps/yr)", 'Starlink Capacity'!$A:$A, 0), L$5+1), 0)</f>
        <v>0</v>
      </c>
      <c r="M83" s="31" cm="1">
        <f t="array" aca="1" ref="M83" ca="1">IFERROR(INDEX('Starlink Capacity'!$D:$AC, MATCH("BB pool at-cost rate ($/Gbps/yr)", 'Starlink Capacity'!$A:$A, 0), M$5+1), 0)</f>
        <v>0</v>
      </c>
      <c r="N83" s="31" cm="1">
        <f t="array" aca="1" ref="N83" ca="1">IFERROR(INDEX('Starlink Capacity'!$D:$AC, MATCH("BB pool at-cost rate ($/Gbps/yr)", 'Starlink Capacity'!$A:$A, 0), N$5+1), 0)</f>
        <v>0</v>
      </c>
      <c r="O83" s="31" cm="1">
        <f t="array" aca="1" ref="O83" ca="1">IFERROR(INDEX('Starlink Capacity'!$D:$AC, MATCH("BB pool at-cost rate ($/Gbps/yr)", 'Starlink Capacity'!$A:$A, 0), O$5+1), 0)</f>
        <v>0</v>
      </c>
      <c r="P83" s="31" cm="1">
        <f t="array" aca="1" ref="P83" ca="1">IFERROR(INDEX('Starlink Capacity'!$D:$AC, MATCH("BB pool at-cost rate ($/Gbps/yr)", 'Starlink Capacity'!$A:$A, 0), P$5+1), 0)</f>
        <v>0</v>
      </c>
      <c r="Q83" s="31" cm="1">
        <f t="array" aca="1" ref="Q83" ca="1">IFERROR(INDEX('Starlink Capacity'!$D:$AC, MATCH("BB pool at-cost rate ($/Gbps/yr)", 'Starlink Capacity'!$A:$A, 0), Q$5+1), 0)</f>
        <v>0</v>
      </c>
      <c r="R83" s="31" cm="1">
        <f t="array" aca="1" ref="R83" ca="1">IFERROR(INDEX('Starlink Capacity'!$D:$AC, MATCH("BB pool at-cost rate ($/Gbps/yr)", 'Starlink Capacity'!$A:$A, 0), R$5+1), 0)</f>
        <v>0</v>
      </c>
      <c r="S83" s="31" cm="1">
        <f t="array" aca="1" ref="S83" ca="1">IFERROR(INDEX('Starlink Capacity'!$D:$AC, MATCH("BB pool at-cost rate ($/Gbps/yr)", 'Starlink Capacity'!$A:$A, 0), S$5+1), 0)</f>
        <v>0</v>
      </c>
      <c r="T83" s="31" cm="1">
        <f t="array" aca="1" ref="T83" ca="1">IFERROR(INDEX('Starlink Capacity'!$D:$AC, MATCH("BB pool at-cost rate ($/Gbps/yr)", 'Starlink Capacity'!$A:$A, 0), T$5+1), 0)</f>
        <v>0</v>
      </c>
      <c r="U83" s="31" cm="1">
        <f t="array" aca="1" ref="U83" ca="1">IFERROR(INDEX('Starlink Capacity'!$D:$AC, MATCH("BB pool at-cost rate ($/Gbps/yr)", 'Starlink Capacity'!$A:$A, 0), U$5+1), 0)</f>
        <v>0</v>
      </c>
      <c r="V83" s="31" cm="1">
        <f t="array" aca="1" ref="V83" ca="1">IFERROR(INDEX('Starlink Capacity'!$D:$AC, MATCH("BB pool at-cost rate ($/Gbps/yr)", 'Starlink Capacity'!$A:$A, 0), V$5+1), 0)</f>
        <v>0</v>
      </c>
      <c r="W83" s="31" cm="1">
        <f t="array" aca="1" ref="W83" ca="1">IFERROR(INDEX('Starlink Capacity'!$D:$AC, MATCH("BB pool at-cost rate ($/Gbps/yr)", 'Starlink Capacity'!$A:$A, 0), W$5+1), 0)</f>
        <v>0</v>
      </c>
      <c r="X83" s="31" cm="1">
        <f t="array" aca="1" ref="X83" ca="1">IFERROR(INDEX('Starlink Capacity'!$D:$AC, MATCH("BB pool at-cost rate ($/Gbps/yr)", 'Starlink Capacity'!$A:$A, 0), X$5+1), 0)</f>
        <v>0</v>
      </c>
      <c r="Y83" s="31" cm="1">
        <f t="array" aca="1" ref="Y83" ca="1">IFERROR(INDEX('Starlink Capacity'!$D:$AC, MATCH("BB pool at-cost rate ($/Gbps/yr)", 'Starlink Capacity'!$A:$A, 0), Y$5+1), 0)</f>
        <v>0</v>
      </c>
      <c r="Z83" s="31" cm="1">
        <f t="array" aca="1" ref="Z83" ca="1">IFERROR(INDEX('Starlink Capacity'!$D:$AC, MATCH("BB pool at-cost rate ($/Gbps/yr)", 'Starlink Capacity'!$A:$A, 0), Z$5+1), 0)</f>
        <v>0</v>
      </c>
      <c r="AA83" s="31" cm="1">
        <f t="array" aca="1" ref="AA83" ca="1">IFERROR(INDEX('Starlink Capacity'!$D:$AC, MATCH("BB pool at-cost rate ($/Gbps/yr)", 'Starlink Capacity'!$A:$A, 0), AA$5+1), 0)</f>
        <v>0</v>
      </c>
      <c r="AB83" s="31" cm="1">
        <f t="array" aca="1" ref="AB83" ca="1">IFERROR(INDEX('Starlink Capacity'!$D:$AC, MATCH("BB pool at-cost rate ($/Gbps/yr)", 'Starlink Capacity'!$A:$A, 0), AB$5+1), 0)</f>
        <v>0</v>
      </c>
      <c r="AC83" s="31" cm="1">
        <f t="array" aca="1" ref="AC83" ca="1">IFERROR(INDEX('Starlink Capacity'!$D:$AC, MATCH("BB pool at-cost rate ($/Gbps/yr)", 'Starlink Capacity'!$A:$A, 0), AC$5+1), 0)</f>
        <v>0</v>
      </c>
    </row>
    <row r="84" spans="1:29" x14ac:dyDescent="0.2">
      <c r="A84" t="s">
        <v>1027</v>
      </c>
      <c r="D84" s="31" cm="1">
        <f t="array" aca="1" ref="D84" ca="1">IFERROR(INDEX('Starlink Capacity'!$D:$AC, MATCH("DTC pool at-cost rate ($/Gbps/yr)", 'Starlink Capacity'!$A:$A, 0), D$5+1), 0)</f>
        <v>1892.8085783905481</v>
      </c>
      <c r="E84" s="31" cm="1">
        <f t="array" aca="1" ref="E84" ca="1">IFERROR(INDEX('Starlink Capacity'!$D:$AC, MATCH("DTC pool at-cost rate ($/Gbps/yr)", 'Starlink Capacity'!$A:$A, 0), E$5+1), 0)</f>
        <v>1945.4633920535086</v>
      </c>
      <c r="F84" s="31" cm="1">
        <f t="array" aca="1" ref="F84" ca="1">IFERROR(INDEX('Starlink Capacity'!$D:$AC, MATCH("DTC pool at-cost rate ($/Gbps/yr)", 'Starlink Capacity'!$A:$A, 0), F$5+1), 0)</f>
        <v>2104.3841017671712</v>
      </c>
      <c r="G84" s="31" cm="1">
        <f t="array" aca="1" ref="G84" ca="1">IFERROR(INDEX('Starlink Capacity'!$D:$AC, MATCH("DTC pool at-cost rate ($/Gbps/yr)", 'Starlink Capacity'!$A:$A, 0), G$5+1), 0)</f>
        <v>2469.1457000690616</v>
      </c>
      <c r="H84" s="31" cm="1">
        <f t="array" aca="1" ref="H84" ca="1">IFERROR(INDEX('Starlink Capacity'!$D:$AC, MATCH("DTC pool at-cost rate ($/Gbps/yr)", 'Starlink Capacity'!$A:$A, 0), H$5+1), 0)</f>
        <v>3731.1404879903826</v>
      </c>
      <c r="I84" s="31" cm="1">
        <f t="array" aca="1" ref="I84" ca="1">IFERROR(INDEX('Starlink Capacity'!$D:$AC, MATCH("DTC pool at-cost rate ($/Gbps/yr)", 'Starlink Capacity'!$A:$A, 0), I$5+1), 0)</f>
        <v>0</v>
      </c>
      <c r="J84" s="31" cm="1">
        <f t="array" aca="1" ref="J84" ca="1">IFERROR(INDEX('Starlink Capacity'!$D:$AC, MATCH("DTC pool at-cost rate ($/Gbps/yr)", 'Starlink Capacity'!$A:$A, 0), J$5+1), 0)</f>
        <v>0</v>
      </c>
      <c r="K84" s="31" cm="1">
        <f t="array" aca="1" ref="K84" ca="1">IFERROR(INDEX('Starlink Capacity'!$D:$AC, MATCH("DTC pool at-cost rate ($/Gbps/yr)", 'Starlink Capacity'!$A:$A, 0), K$5+1), 0)</f>
        <v>0</v>
      </c>
      <c r="L84" s="31" cm="1">
        <f t="array" aca="1" ref="L84" ca="1">IFERROR(INDEX('Starlink Capacity'!$D:$AC, MATCH("DTC pool at-cost rate ($/Gbps/yr)", 'Starlink Capacity'!$A:$A, 0), L$5+1), 0)</f>
        <v>0</v>
      </c>
      <c r="M84" s="31" cm="1">
        <f t="array" aca="1" ref="M84" ca="1">IFERROR(INDEX('Starlink Capacity'!$D:$AC, MATCH("DTC pool at-cost rate ($/Gbps/yr)", 'Starlink Capacity'!$A:$A, 0), M$5+1), 0)</f>
        <v>0</v>
      </c>
      <c r="N84" s="31" cm="1">
        <f t="array" aca="1" ref="N84" ca="1">IFERROR(INDEX('Starlink Capacity'!$D:$AC, MATCH("DTC pool at-cost rate ($/Gbps/yr)", 'Starlink Capacity'!$A:$A, 0), N$5+1), 0)</f>
        <v>0</v>
      </c>
      <c r="O84" s="31" cm="1">
        <f t="array" aca="1" ref="O84" ca="1">IFERROR(INDEX('Starlink Capacity'!$D:$AC, MATCH("DTC pool at-cost rate ($/Gbps/yr)", 'Starlink Capacity'!$A:$A, 0), O$5+1), 0)</f>
        <v>0</v>
      </c>
      <c r="P84" s="31" cm="1">
        <f t="array" aca="1" ref="P84" ca="1">IFERROR(INDEX('Starlink Capacity'!$D:$AC, MATCH("DTC pool at-cost rate ($/Gbps/yr)", 'Starlink Capacity'!$A:$A, 0), P$5+1), 0)</f>
        <v>0</v>
      </c>
      <c r="Q84" s="31" cm="1">
        <f t="array" aca="1" ref="Q84" ca="1">IFERROR(INDEX('Starlink Capacity'!$D:$AC, MATCH("DTC pool at-cost rate ($/Gbps/yr)", 'Starlink Capacity'!$A:$A, 0), Q$5+1), 0)</f>
        <v>0</v>
      </c>
      <c r="R84" s="31" cm="1">
        <f t="array" aca="1" ref="R84" ca="1">IFERROR(INDEX('Starlink Capacity'!$D:$AC, MATCH("DTC pool at-cost rate ($/Gbps/yr)", 'Starlink Capacity'!$A:$A, 0), R$5+1), 0)</f>
        <v>0</v>
      </c>
      <c r="S84" s="31" cm="1">
        <f t="array" aca="1" ref="S84" ca="1">IFERROR(INDEX('Starlink Capacity'!$D:$AC, MATCH("DTC pool at-cost rate ($/Gbps/yr)", 'Starlink Capacity'!$A:$A, 0), S$5+1), 0)</f>
        <v>0</v>
      </c>
      <c r="T84" s="31" cm="1">
        <f t="array" aca="1" ref="T84" ca="1">IFERROR(INDEX('Starlink Capacity'!$D:$AC, MATCH("DTC pool at-cost rate ($/Gbps/yr)", 'Starlink Capacity'!$A:$A, 0), T$5+1), 0)</f>
        <v>0</v>
      </c>
      <c r="U84" s="31" cm="1">
        <f t="array" aca="1" ref="U84" ca="1">IFERROR(INDEX('Starlink Capacity'!$D:$AC, MATCH("DTC pool at-cost rate ($/Gbps/yr)", 'Starlink Capacity'!$A:$A, 0), U$5+1), 0)</f>
        <v>0</v>
      </c>
      <c r="V84" s="31" cm="1">
        <f t="array" aca="1" ref="V84" ca="1">IFERROR(INDEX('Starlink Capacity'!$D:$AC, MATCH("DTC pool at-cost rate ($/Gbps/yr)", 'Starlink Capacity'!$A:$A, 0), V$5+1), 0)</f>
        <v>0</v>
      </c>
      <c r="W84" s="31" cm="1">
        <f t="array" aca="1" ref="W84" ca="1">IFERROR(INDEX('Starlink Capacity'!$D:$AC, MATCH("DTC pool at-cost rate ($/Gbps/yr)", 'Starlink Capacity'!$A:$A, 0), W$5+1), 0)</f>
        <v>0</v>
      </c>
      <c r="X84" s="31" cm="1">
        <f t="array" aca="1" ref="X84" ca="1">IFERROR(INDEX('Starlink Capacity'!$D:$AC, MATCH("DTC pool at-cost rate ($/Gbps/yr)", 'Starlink Capacity'!$A:$A, 0), X$5+1), 0)</f>
        <v>0</v>
      </c>
      <c r="Y84" s="31" cm="1">
        <f t="array" aca="1" ref="Y84" ca="1">IFERROR(INDEX('Starlink Capacity'!$D:$AC, MATCH("DTC pool at-cost rate ($/Gbps/yr)", 'Starlink Capacity'!$A:$A, 0), Y$5+1), 0)</f>
        <v>0</v>
      </c>
      <c r="Z84" s="31" cm="1">
        <f t="array" aca="1" ref="Z84" ca="1">IFERROR(INDEX('Starlink Capacity'!$D:$AC, MATCH("DTC pool at-cost rate ($/Gbps/yr)", 'Starlink Capacity'!$A:$A, 0), Z$5+1), 0)</f>
        <v>0</v>
      </c>
      <c r="AA84" s="31" cm="1">
        <f t="array" aca="1" ref="AA84" ca="1">IFERROR(INDEX('Starlink Capacity'!$D:$AC, MATCH("DTC pool at-cost rate ($/Gbps/yr)", 'Starlink Capacity'!$A:$A, 0), AA$5+1), 0)</f>
        <v>0</v>
      </c>
      <c r="AB84" s="31" cm="1">
        <f t="array" aca="1" ref="AB84" ca="1">IFERROR(INDEX('Starlink Capacity'!$D:$AC, MATCH("DTC pool at-cost rate ($/Gbps/yr)", 'Starlink Capacity'!$A:$A, 0), AB$5+1), 0)</f>
        <v>0</v>
      </c>
      <c r="AC84" s="31" cm="1">
        <f t="array" aca="1" ref="AC84" ca="1">IFERROR(INDEX('Starlink Capacity'!$D:$AC, MATCH("DTC pool at-cost rate ($/Gbps/yr)", 'Starlink Capacity'!$A:$A, 0), AC$5+1), 0)</f>
        <v>0</v>
      </c>
    </row>
    <row r="85" spans="1:29" x14ac:dyDescent="0.2">
      <c r="A85" t="s">
        <v>1028</v>
      </c>
      <c r="D85" s="23">
        <f ca="1">D81 * D83 / 1000000</f>
        <v>0</v>
      </c>
      <c r="E85" s="23">
        <f t="shared" ref="E85:AC85" ca="1" si="26">E81 * E83 / 1000000</f>
        <v>0</v>
      </c>
      <c r="F85" s="23">
        <f t="shared" ca="1" si="26"/>
        <v>0</v>
      </c>
      <c r="G85" s="23">
        <f t="shared" ca="1" si="26"/>
        <v>0</v>
      </c>
      <c r="H85" s="23">
        <f t="shared" ca="1" si="26"/>
        <v>0</v>
      </c>
      <c r="I85" s="23">
        <f t="shared" ca="1" si="26"/>
        <v>0</v>
      </c>
      <c r="J85" s="23">
        <f t="shared" ca="1" si="26"/>
        <v>0</v>
      </c>
      <c r="K85" s="23">
        <f t="shared" ca="1" si="26"/>
        <v>0</v>
      </c>
      <c r="L85" s="23">
        <f t="shared" ca="1" si="26"/>
        <v>0</v>
      </c>
      <c r="M85" s="23">
        <f t="shared" ca="1" si="26"/>
        <v>0</v>
      </c>
      <c r="N85" s="23">
        <f t="shared" ca="1" si="26"/>
        <v>0</v>
      </c>
      <c r="O85" s="23">
        <f t="shared" ca="1" si="26"/>
        <v>0</v>
      </c>
      <c r="P85" s="23">
        <f t="shared" ca="1" si="26"/>
        <v>0</v>
      </c>
      <c r="Q85" s="23">
        <f t="shared" ca="1" si="26"/>
        <v>0</v>
      </c>
      <c r="R85" s="23">
        <f t="shared" ca="1" si="26"/>
        <v>0</v>
      </c>
      <c r="S85" s="23">
        <f t="shared" ca="1" si="26"/>
        <v>0</v>
      </c>
      <c r="T85" s="23">
        <f t="shared" ca="1" si="26"/>
        <v>0</v>
      </c>
      <c r="U85" s="23">
        <f t="shared" ca="1" si="26"/>
        <v>0</v>
      </c>
      <c r="V85" s="23">
        <f t="shared" ca="1" si="26"/>
        <v>0</v>
      </c>
      <c r="W85" s="23">
        <f t="shared" ca="1" si="26"/>
        <v>0</v>
      </c>
      <c r="X85" s="23">
        <f t="shared" ca="1" si="26"/>
        <v>0</v>
      </c>
      <c r="Y85" s="23">
        <f t="shared" ca="1" si="26"/>
        <v>0</v>
      </c>
      <c r="Z85" s="23">
        <f t="shared" ca="1" si="26"/>
        <v>0</v>
      </c>
      <c r="AA85" s="23">
        <f t="shared" ca="1" si="26"/>
        <v>0</v>
      </c>
      <c r="AB85" s="23">
        <f t="shared" ca="1" si="26"/>
        <v>0</v>
      </c>
      <c r="AC85" s="23">
        <f t="shared" ca="1" si="26"/>
        <v>0</v>
      </c>
    </row>
    <row r="86" spans="1:29" x14ac:dyDescent="0.2">
      <c r="A86" t="s">
        <v>1029</v>
      </c>
      <c r="D86" s="23">
        <f ca="1">D82 * D84 / 1000000</f>
        <v>0</v>
      </c>
      <c r="E86" s="23">
        <f t="shared" ref="E86:AC86" ca="1" si="27">E82 * E84 / 1000000</f>
        <v>0</v>
      </c>
      <c r="F86" s="23">
        <f t="shared" ca="1" si="27"/>
        <v>0</v>
      </c>
      <c r="G86" s="23">
        <f t="shared" ca="1" si="27"/>
        <v>0</v>
      </c>
      <c r="H86" s="23">
        <f t="shared" ca="1" si="27"/>
        <v>0</v>
      </c>
      <c r="I86" s="23">
        <f t="shared" ca="1" si="27"/>
        <v>0</v>
      </c>
      <c r="J86" s="23">
        <f t="shared" ca="1" si="27"/>
        <v>0</v>
      </c>
      <c r="K86" s="23">
        <f t="shared" ca="1" si="27"/>
        <v>0</v>
      </c>
      <c r="L86" s="23">
        <f t="shared" ca="1" si="27"/>
        <v>0</v>
      </c>
      <c r="M86" s="23">
        <f t="shared" ca="1" si="27"/>
        <v>0</v>
      </c>
      <c r="N86" s="23">
        <f t="shared" ca="1" si="27"/>
        <v>0</v>
      </c>
      <c r="O86" s="23">
        <f t="shared" ca="1" si="27"/>
        <v>0</v>
      </c>
      <c r="P86" s="23">
        <f t="shared" ca="1" si="27"/>
        <v>0</v>
      </c>
      <c r="Q86" s="23">
        <f t="shared" ca="1" si="27"/>
        <v>0</v>
      </c>
      <c r="R86" s="23">
        <f t="shared" ca="1" si="27"/>
        <v>0</v>
      </c>
      <c r="S86" s="23">
        <f t="shared" ca="1" si="27"/>
        <v>0</v>
      </c>
      <c r="T86" s="23">
        <f t="shared" ca="1" si="27"/>
        <v>0</v>
      </c>
      <c r="U86" s="23">
        <f t="shared" ca="1" si="27"/>
        <v>0</v>
      </c>
      <c r="V86" s="23">
        <f t="shared" ca="1" si="27"/>
        <v>0</v>
      </c>
      <c r="W86" s="23">
        <f t="shared" ca="1" si="27"/>
        <v>0</v>
      </c>
      <c r="X86" s="23">
        <f t="shared" ca="1" si="27"/>
        <v>0</v>
      </c>
      <c r="Y86" s="23">
        <f t="shared" ca="1" si="27"/>
        <v>0</v>
      </c>
      <c r="Z86" s="23">
        <f t="shared" ca="1" si="27"/>
        <v>0</v>
      </c>
      <c r="AA86" s="23">
        <f t="shared" ca="1" si="27"/>
        <v>0</v>
      </c>
      <c r="AB86" s="23">
        <f t="shared" ca="1" si="27"/>
        <v>0</v>
      </c>
      <c r="AC86" s="23">
        <f t="shared" ca="1" si="27"/>
        <v>0</v>
      </c>
    </row>
    <row r="87" spans="1:29" x14ac:dyDescent="0.2">
      <c r="A87" t="s">
        <v>1030</v>
      </c>
      <c r="D87" s="23">
        <f ca="1">D85 + D86</f>
        <v>0</v>
      </c>
      <c r="E87" s="23">
        <f t="shared" ref="E87:AC87" ca="1" si="28">E85 + E86</f>
        <v>0</v>
      </c>
      <c r="F87" s="23">
        <f t="shared" ca="1" si="28"/>
        <v>0</v>
      </c>
      <c r="G87" s="23">
        <f t="shared" ca="1" si="28"/>
        <v>0</v>
      </c>
      <c r="H87" s="23">
        <f t="shared" ca="1" si="28"/>
        <v>0</v>
      </c>
      <c r="I87" s="23">
        <f t="shared" ca="1" si="28"/>
        <v>0</v>
      </c>
      <c r="J87" s="23">
        <f t="shared" ca="1" si="28"/>
        <v>0</v>
      </c>
      <c r="K87" s="23">
        <f t="shared" ca="1" si="28"/>
        <v>0</v>
      </c>
      <c r="L87" s="23">
        <f t="shared" ca="1" si="28"/>
        <v>0</v>
      </c>
      <c r="M87" s="23">
        <f t="shared" ca="1" si="28"/>
        <v>0</v>
      </c>
      <c r="N87" s="23">
        <f t="shared" ca="1" si="28"/>
        <v>0</v>
      </c>
      <c r="O87" s="23">
        <f t="shared" ca="1" si="28"/>
        <v>0</v>
      </c>
      <c r="P87" s="23">
        <f t="shared" ca="1" si="28"/>
        <v>0</v>
      </c>
      <c r="Q87" s="23">
        <f t="shared" ca="1" si="28"/>
        <v>0</v>
      </c>
      <c r="R87" s="23">
        <f t="shared" ca="1" si="28"/>
        <v>0</v>
      </c>
      <c r="S87" s="23">
        <f t="shared" ca="1" si="28"/>
        <v>0</v>
      </c>
      <c r="T87" s="23">
        <f t="shared" ca="1" si="28"/>
        <v>0</v>
      </c>
      <c r="U87" s="23">
        <f t="shared" ca="1" si="28"/>
        <v>0</v>
      </c>
      <c r="V87" s="23">
        <f t="shared" ca="1" si="28"/>
        <v>0</v>
      </c>
      <c r="W87" s="23">
        <f t="shared" ca="1" si="28"/>
        <v>0</v>
      </c>
      <c r="X87" s="23">
        <f t="shared" ca="1" si="28"/>
        <v>0</v>
      </c>
      <c r="Y87" s="23">
        <f t="shared" ca="1" si="28"/>
        <v>0</v>
      </c>
      <c r="Z87" s="23">
        <f t="shared" ca="1" si="28"/>
        <v>0</v>
      </c>
      <c r="AA87" s="23">
        <f t="shared" ca="1" si="28"/>
        <v>0</v>
      </c>
      <c r="AB87" s="23">
        <f t="shared" ca="1" si="28"/>
        <v>0</v>
      </c>
      <c r="AC87" s="23">
        <f t="shared" ca="1" si="28"/>
        <v>0</v>
      </c>
    </row>
    <row r="89" spans="1:29" x14ac:dyDescent="0.2">
      <c r="A89" s="14" t="s">
        <v>1031</v>
      </c>
    </row>
    <row r="90" spans="1:29" x14ac:dyDescent="0.2">
      <c r="A90" t="s">
        <v>1032</v>
      </c>
      <c r="D90" s="41">
        <f>INDEX(Assumptions!$B:$B, MATCH("CoreWeave baseline anchor ($B/GW_IT/yr, 2026)", Assumptions!$A:$A, 0))</f>
        <v>12</v>
      </c>
    </row>
    <row r="91" spans="1:29" x14ac:dyDescent="0.2">
      <c r="A91" t="s">
        <v>1033</v>
      </c>
      <c r="D91" s="17">
        <f>INDEX(Assumptions!$B:$B, MATCH("Terrestrial price deflation %/yr (Model A baseline year-row driver)", Assumptions!$A:$A, 0))</f>
        <v>0.05</v>
      </c>
    </row>
    <row r="92" spans="1:29" x14ac:dyDescent="0.2">
      <c r="A92" t="s">
        <v>1034</v>
      </c>
      <c r="D92" s="41">
        <f>IF(D$5 &lt; 1, $D$90, $D$90 * (1 - $D$91)^(D$5 - 1))</f>
        <v>12</v>
      </c>
      <c r="E92" s="41">
        <f t="shared" ref="E92:AC92" si="29">IF(E$5 &lt; 1, $D$90, $D$90 * (1 - $D$91)^(E$5 - 1))</f>
        <v>12</v>
      </c>
      <c r="F92" s="41">
        <f t="shared" si="29"/>
        <v>11.399999999999999</v>
      </c>
      <c r="G92" s="41">
        <f t="shared" si="29"/>
        <v>10.83</v>
      </c>
      <c r="H92" s="41">
        <f t="shared" si="29"/>
        <v>10.288499999999999</v>
      </c>
      <c r="I92" s="41">
        <f t="shared" si="29"/>
        <v>9.7740749999999998</v>
      </c>
      <c r="J92" s="41">
        <f t="shared" si="29"/>
        <v>9.2853712500000007</v>
      </c>
      <c r="K92" s="41">
        <f t="shared" si="29"/>
        <v>8.821102687499998</v>
      </c>
      <c r="L92" s="41">
        <f t="shared" si="29"/>
        <v>8.3800475531249994</v>
      </c>
      <c r="M92" s="41">
        <f t="shared" si="29"/>
        <v>7.9610451754687492</v>
      </c>
      <c r="N92" s="41">
        <f t="shared" si="29"/>
        <v>7.5629929166953112</v>
      </c>
      <c r="O92" s="41">
        <f t="shared" si="29"/>
        <v>7.1848432708605472</v>
      </c>
      <c r="P92" s="41">
        <f t="shared" si="29"/>
        <v>6.8256011073175191</v>
      </c>
      <c r="Q92" s="41">
        <f t="shared" si="29"/>
        <v>6.4843210519516425</v>
      </c>
      <c r="R92" s="41">
        <f t="shared" si="29"/>
        <v>6.1601049993540604</v>
      </c>
      <c r="S92" s="41">
        <f t="shared" si="29"/>
        <v>5.8520997493863574</v>
      </c>
      <c r="T92" s="41">
        <f t="shared" si="29"/>
        <v>5.5594947619170396</v>
      </c>
      <c r="U92" s="41">
        <f t="shared" si="29"/>
        <v>5.2815200238211872</v>
      </c>
      <c r="V92" s="41">
        <f t="shared" si="29"/>
        <v>5.0174440226301282</v>
      </c>
      <c r="W92" s="41">
        <f t="shared" si="29"/>
        <v>4.7665718214986219</v>
      </c>
      <c r="X92" s="41">
        <f t="shared" si="29"/>
        <v>4.5282432304236906</v>
      </c>
      <c r="Y92" s="41">
        <f t="shared" si="29"/>
        <v>4.3018310689025059</v>
      </c>
      <c r="Z92" s="41">
        <f t="shared" si="29"/>
        <v>4.0867395154573813</v>
      </c>
      <c r="AA92" s="41">
        <f t="shared" si="29"/>
        <v>3.8824025396845112</v>
      </c>
      <c r="AB92" s="41">
        <f t="shared" si="29"/>
        <v>3.6882824127002865</v>
      </c>
      <c r="AC92" s="41">
        <f t="shared" si="29"/>
        <v>3.5038682920652722</v>
      </c>
    </row>
    <row r="93" spans="1:29" x14ac:dyDescent="0.2">
      <c r="A93" t="s">
        <v>1035</v>
      </c>
      <c r="D93" s="26">
        <f>INDEX(Assumptions!$B:$B, MATCH("PUE_base (terrestrial colo)", Assumptions!$A:$A, 0)) / INDEX(Assumptions!$B:$B, MATCH("Orbital PUE", Assumptions!$A:$A, 0))</f>
        <v>1.2499999999999998</v>
      </c>
    </row>
    <row r="94" spans="1:29" x14ac:dyDescent="0.2">
      <c r="A94" t="s">
        <v>1036</v>
      </c>
      <c r="D94" s="17">
        <f>INDEX(Assumptions!$B:$B, MATCH("Steady-state utilization (for Model A util-adjustment ratio)", Assumptions!$A:$A, 0))</f>
        <v>0.85</v>
      </c>
    </row>
    <row r="95" spans="1:29" x14ac:dyDescent="0.2">
      <c r="A95" t="s">
        <v>1037</v>
      </c>
      <c r="D95" s="42">
        <f>$D$14 * D92 / 1000 * $D$93 * D28</f>
        <v>0.83999999999999986</v>
      </c>
      <c r="E95" s="42">
        <f t="shared" ref="E95:AC95" si="30">$D$14 * E92 / 1000 * $D$93 * E28</f>
        <v>1.0762499999999997</v>
      </c>
      <c r="F95" s="42">
        <f t="shared" si="30"/>
        <v>1.2468749999999997</v>
      </c>
      <c r="G95" s="42">
        <f t="shared" si="30"/>
        <v>1.3977468749999997</v>
      </c>
      <c r="H95" s="42">
        <f t="shared" si="30"/>
        <v>1.5304143749999997</v>
      </c>
      <c r="I95" s="42">
        <f t="shared" si="30"/>
        <v>1.4538936562499996</v>
      </c>
      <c r="J95" s="42">
        <f t="shared" si="30"/>
        <v>1.3811989734374999</v>
      </c>
      <c r="K95" s="42">
        <f t="shared" si="30"/>
        <v>1.3121390247656244</v>
      </c>
      <c r="L95" s="42">
        <f t="shared" si="30"/>
        <v>1.2465320735273433</v>
      </c>
      <c r="M95" s="42">
        <f t="shared" si="30"/>
        <v>1.1842054698509763</v>
      </c>
      <c r="N95" s="42">
        <f t="shared" si="30"/>
        <v>1.1249951963584275</v>
      </c>
      <c r="O95" s="42">
        <f t="shared" si="30"/>
        <v>1.0687454365405062</v>
      </c>
      <c r="P95" s="42">
        <f t="shared" si="30"/>
        <v>1.0153081647134807</v>
      </c>
      <c r="Q95" s="42">
        <f t="shared" si="30"/>
        <v>0.96454275647780663</v>
      </c>
      <c r="R95" s="42">
        <f t="shared" si="30"/>
        <v>0.9163156186539162</v>
      </c>
      <c r="S95" s="42">
        <f t="shared" si="30"/>
        <v>0.87049983772122042</v>
      </c>
      <c r="T95" s="42">
        <f t="shared" si="30"/>
        <v>0.82697484583515946</v>
      </c>
      <c r="U95" s="42">
        <f t="shared" si="30"/>
        <v>0.78562610354340134</v>
      </c>
      <c r="V95" s="42">
        <f t="shared" si="30"/>
        <v>0.74634479836623135</v>
      </c>
      <c r="W95" s="42">
        <f t="shared" si="30"/>
        <v>0.70902755844791987</v>
      </c>
      <c r="X95" s="42">
        <f t="shared" si="30"/>
        <v>0.67357618052552382</v>
      </c>
      <c r="Y95" s="42">
        <f t="shared" si="30"/>
        <v>0.63989737149924752</v>
      </c>
      <c r="Z95" s="42">
        <f t="shared" si="30"/>
        <v>0.60790250292428538</v>
      </c>
      <c r="AA95" s="42">
        <f t="shared" si="30"/>
        <v>0.57750737777807093</v>
      </c>
      <c r="AB95" s="42">
        <f t="shared" si="30"/>
        <v>0.54863200888916741</v>
      </c>
      <c r="AC95" s="42">
        <f t="shared" si="30"/>
        <v>0.52120040844470905</v>
      </c>
    </row>
    <row r="96" spans="1:29" x14ac:dyDescent="0.2">
      <c r="A96" t="s">
        <v>1038</v>
      </c>
      <c r="D96" s="15">
        <f>D29 * (D24 / $D$18) * D28 * $D$19 * 8760</f>
        <v>420480</v>
      </c>
      <c r="E96" s="15">
        <f t="shared" ref="E96:AC96" si="31">E29 * (E24 / $D$18) * E28 * $D$19 * 8760</f>
        <v>538739.99999999988</v>
      </c>
      <c r="F96" s="15">
        <f t="shared" si="31"/>
        <v>766500</v>
      </c>
      <c r="G96" s="15">
        <f t="shared" si="31"/>
        <v>1085364</v>
      </c>
      <c r="H96" s="15">
        <f t="shared" si="31"/>
        <v>1670721.1861158495</v>
      </c>
      <c r="I96" s="15">
        <f t="shared" si="31"/>
        <v>2041129.3497146559</v>
      </c>
      <c r="J96" s="15">
        <f t="shared" si="31"/>
        <v>2370378.9792824658</v>
      </c>
      <c r="K96" s="15">
        <f t="shared" si="31"/>
        <v>2370378.9792824658</v>
      </c>
      <c r="L96" s="15">
        <f t="shared" si="31"/>
        <v>2370378.9792824658</v>
      </c>
      <c r="M96" s="15">
        <f t="shared" si="31"/>
        <v>2370378.9792824658</v>
      </c>
      <c r="N96" s="15">
        <f t="shared" si="31"/>
        <v>2370378.9792824658</v>
      </c>
      <c r="O96" s="15">
        <f t="shared" si="31"/>
        <v>2370378.9792824658</v>
      </c>
      <c r="P96" s="15">
        <f t="shared" si="31"/>
        <v>2370378.9792824658</v>
      </c>
      <c r="Q96" s="15">
        <f t="shared" si="31"/>
        <v>2370378.9792824658</v>
      </c>
      <c r="R96" s="15">
        <f t="shared" si="31"/>
        <v>2370378.9792824658</v>
      </c>
      <c r="S96" s="15">
        <f t="shared" si="31"/>
        <v>2370378.9792824658</v>
      </c>
      <c r="T96" s="15">
        <f t="shared" si="31"/>
        <v>2370378.9792824658</v>
      </c>
      <c r="U96" s="15">
        <f t="shared" si="31"/>
        <v>2370378.9792824658</v>
      </c>
      <c r="V96" s="15">
        <f t="shared" si="31"/>
        <v>2370378.9792824658</v>
      </c>
      <c r="W96" s="15">
        <f t="shared" si="31"/>
        <v>2370378.9792824658</v>
      </c>
      <c r="X96" s="15">
        <f t="shared" si="31"/>
        <v>2370378.9792824658</v>
      </c>
      <c r="Y96" s="15">
        <f t="shared" si="31"/>
        <v>2370378.9792824658</v>
      </c>
      <c r="Z96" s="15">
        <f t="shared" si="31"/>
        <v>2370378.9792824658</v>
      </c>
      <c r="AA96" s="15">
        <f t="shared" si="31"/>
        <v>2370378.9792824658</v>
      </c>
      <c r="AB96" s="15">
        <f t="shared" si="31"/>
        <v>2370378.9792824658</v>
      </c>
      <c r="AC96" s="15">
        <f t="shared" si="31"/>
        <v>2370378.9792824658</v>
      </c>
    </row>
    <row r="97" spans="1:29" x14ac:dyDescent="0.2">
      <c r="A97" t="s">
        <v>1039</v>
      </c>
      <c r="D97" s="42">
        <f>D96 * D27 / 1000000</f>
        <v>0.84096000000000004</v>
      </c>
      <c r="E97" s="42">
        <f t="shared" ref="E97:AC97" si="32">E96 * E27 / 1000000</f>
        <v>1.0236059999999998</v>
      </c>
      <c r="F97" s="42">
        <f t="shared" si="32"/>
        <v>1.3835325000000001</v>
      </c>
      <c r="G97" s="42">
        <f t="shared" si="32"/>
        <v>1.8610736507999999</v>
      </c>
      <c r="H97" s="42">
        <f t="shared" si="32"/>
        <v>2.721604812182719</v>
      </c>
      <c r="I97" s="42">
        <f t="shared" si="32"/>
        <v>3.1588517816184014</v>
      </c>
      <c r="J97" s="42">
        <f t="shared" si="32"/>
        <v>3.4849311753410808</v>
      </c>
      <c r="K97" s="42">
        <f t="shared" si="32"/>
        <v>3.3107083203638199</v>
      </c>
      <c r="L97" s="42">
        <f t="shared" si="32"/>
        <v>3.1450188297119754</v>
      </c>
      <c r="M97" s="42">
        <f t="shared" si="32"/>
        <v>2.9878627033855483</v>
      </c>
      <c r="N97" s="42">
        <f t="shared" si="32"/>
        <v>2.8385288276907525</v>
      </c>
      <c r="O97" s="42">
        <f t="shared" si="32"/>
        <v>2.6965431268317328</v>
      </c>
      <c r="P97" s="42">
        <f t="shared" si="32"/>
        <v>2.5616685629105604</v>
      </c>
      <c r="Q97" s="42">
        <f t="shared" si="32"/>
        <v>2.4336680980293077</v>
      </c>
      <c r="R97" s="42">
        <f t="shared" si="32"/>
        <v>2.3118306184941888</v>
      </c>
      <c r="S97" s="42">
        <f t="shared" si="32"/>
        <v>2.1963931622031327</v>
      </c>
      <c r="T97" s="42">
        <f t="shared" si="32"/>
        <v>2.0866446154623546</v>
      </c>
      <c r="U97" s="42">
        <f t="shared" si="32"/>
        <v>1.982110902475998</v>
      </c>
      <c r="V97" s="42">
        <f t="shared" si="32"/>
        <v>1.8830290611419909</v>
      </c>
      <c r="W97" s="42">
        <f t="shared" si="32"/>
        <v>1.7889250156644769</v>
      </c>
      <c r="X97" s="42">
        <f t="shared" si="32"/>
        <v>1.699561728145528</v>
      </c>
      <c r="Y97" s="42">
        <f t="shared" si="32"/>
        <v>1.6144651227892874</v>
      </c>
      <c r="Z97" s="42">
        <f t="shared" si="32"/>
        <v>1.5338722374936835</v>
      </c>
      <c r="AA97" s="42">
        <f t="shared" si="32"/>
        <v>1.4570719585649317</v>
      </c>
      <c r="AB97" s="42">
        <f t="shared" si="32"/>
        <v>1.3843013239009598</v>
      </c>
      <c r="AC97" s="42">
        <f t="shared" si="32"/>
        <v>1.3150862577059119</v>
      </c>
    </row>
    <row r="98" spans="1:29" x14ac:dyDescent="0.2">
      <c r="A98" t="s">
        <v>1040</v>
      </c>
      <c r="D98" s="26">
        <f>INDEX(Assumptions!$B:$B, MATCH("Credence on Model A (Pr(A))", Assumptions!$A:$A, 0))</f>
        <v>0.6</v>
      </c>
    </row>
    <row r="99" spans="1:29" x14ac:dyDescent="0.2">
      <c r="A99" t="s">
        <v>1041</v>
      </c>
      <c r="D99" s="42">
        <f>$D$98 * D95 + (1 - $D$98) * D97</f>
        <v>0.84038399999999991</v>
      </c>
      <c r="E99" s="42">
        <f t="shared" ref="E99:AC99" si="33">$D$98 * E95 + (1 - $D$98) * E97</f>
        <v>1.0551923999999997</v>
      </c>
      <c r="F99" s="42">
        <f t="shared" si="33"/>
        <v>1.3015379999999999</v>
      </c>
      <c r="G99" s="42">
        <f t="shared" si="33"/>
        <v>1.5830775853199999</v>
      </c>
      <c r="H99" s="42">
        <f t="shared" si="33"/>
        <v>2.0068905498730873</v>
      </c>
      <c r="I99" s="42">
        <f t="shared" si="33"/>
        <v>2.1358769063973604</v>
      </c>
      <c r="J99" s="42">
        <f t="shared" si="33"/>
        <v>2.2226918541989322</v>
      </c>
      <c r="K99" s="42">
        <f t="shared" si="33"/>
        <v>2.1115667430049028</v>
      </c>
      <c r="L99" s="42">
        <f t="shared" si="33"/>
        <v>2.0059267760011963</v>
      </c>
      <c r="M99" s="42">
        <f t="shared" si="33"/>
        <v>1.905668363264805</v>
      </c>
      <c r="N99" s="42">
        <f t="shared" si="33"/>
        <v>1.8104086488913576</v>
      </c>
      <c r="O99" s="42">
        <f t="shared" si="33"/>
        <v>1.7198645126569969</v>
      </c>
      <c r="P99" s="42">
        <f t="shared" si="33"/>
        <v>1.6338523239923126</v>
      </c>
      <c r="Q99" s="42">
        <f t="shared" si="33"/>
        <v>1.552192893098407</v>
      </c>
      <c r="R99" s="42">
        <f t="shared" si="33"/>
        <v>1.4745216185900252</v>
      </c>
      <c r="S99" s="42">
        <f t="shared" si="33"/>
        <v>1.4008571675139854</v>
      </c>
      <c r="T99" s="42">
        <f t="shared" si="33"/>
        <v>1.3308427536860377</v>
      </c>
      <c r="U99" s="42">
        <f t="shared" si="33"/>
        <v>1.26422002311644</v>
      </c>
      <c r="V99" s="42">
        <f t="shared" si="33"/>
        <v>1.201018503476535</v>
      </c>
      <c r="W99" s="42">
        <f t="shared" si="33"/>
        <v>1.1409865413345428</v>
      </c>
      <c r="X99" s="42">
        <f t="shared" si="33"/>
        <v>1.0839703995735255</v>
      </c>
      <c r="Y99" s="42">
        <f t="shared" si="33"/>
        <v>1.0297244720152636</v>
      </c>
      <c r="Z99" s="42">
        <f t="shared" si="33"/>
        <v>0.97829039675204466</v>
      </c>
      <c r="AA99" s="42">
        <f t="shared" si="33"/>
        <v>0.92933321009281522</v>
      </c>
      <c r="AB99" s="42">
        <f t="shared" si="33"/>
        <v>0.8828997348938844</v>
      </c>
      <c r="AC99" s="42">
        <f t="shared" si="33"/>
        <v>0.83875474814919015</v>
      </c>
    </row>
    <row r="100" spans="1:29" x14ac:dyDescent="0.2">
      <c r="A100" t="s">
        <v>1042</v>
      </c>
      <c r="D100" s="17" cm="1">
        <f t="array" ref="D100">INDEX(Assumptions!$D:$AC, MATCH("ODC internal compute share to AI Stack % — year-row", Assumptions!$A:$A, 0), D$5+1)</f>
        <v>0.95</v>
      </c>
      <c r="E100" s="17" cm="1">
        <f t="array" ref="E100">INDEX(Assumptions!$D:$AC, MATCH("ODC internal compute share to AI Stack % — year-row", Assumptions!$A:$A, 0), E$5+1)</f>
        <v>0.91669999999999996</v>
      </c>
      <c r="F100" s="17" cm="1">
        <f t="array" ref="F100">INDEX(Assumptions!$D:$AC, MATCH("ODC internal compute share to AI Stack % — year-row", Assumptions!$A:$A, 0), F$5+1)</f>
        <v>0.88329999999999997</v>
      </c>
      <c r="G100" s="17" cm="1">
        <f t="array" ref="G100">INDEX(Assumptions!$D:$AC, MATCH("ODC internal compute share to AI Stack % — year-row", Assumptions!$A:$A, 0), G$5+1)</f>
        <v>0.85</v>
      </c>
      <c r="H100" s="17" cm="1">
        <f t="array" ref="H100">INDEX(Assumptions!$D:$AC, MATCH("ODC internal compute share to AI Stack % — year-row", Assumptions!$A:$A, 0), H$5+1)</f>
        <v>0.8125</v>
      </c>
      <c r="I100" s="17" cm="1">
        <f t="array" ref="I100">INDEX(Assumptions!$D:$AC, MATCH("ODC internal compute share to AI Stack % — year-row", Assumptions!$A:$A, 0), I$5+1)</f>
        <v>0.77500000000000002</v>
      </c>
      <c r="J100" s="17" cm="1">
        <f t="array" ref="J100">INDEX(Assumptions!$D:$AC, MATCH("ODC internal compute share to AI Stack % — year-row", Assumptions!$A:$A, 0), J$5+1)</f>
        <v>0.73750000000000004</v>
      </c>
      <c r="K100" s="17" cm="1">
        <f t="array" ref="K100">INDEX(Assumptions!$D:$AC, MATCH("ODC internal compute share to AI Stack % — year-row", Assumptions!$A:$A, 0), K$5+1)</f>
        <v>0.7</v>
      </c>
      <c r="L100" s="17" cm="1">
        <f t="array" ref="L100">INDEX(Assumptions!$D:$AC, MATCH("ODC internal compute share to AI Stack % — year-row", Assumptions!$A:$A, 0), L$5+1)</f>
        <v>0.67500000000000004</v>
      </c>
      <c r="M100" s="17" cm="1">
        <f t="array" ref="M100">INDEX(Assumptions!$D:$AC, MATCH("ODC internal compute share to AI Stack % — year-row", Assumptions!$A:$A, 0), M$5+1)</f>
        <v>0.65</v>
      </c>
      <c r="N100" s="17" cm="1">
        <f t="array" ref="N100">INDEX(Assumptions!$D:$AC, MATCH("ODC internal compute share to AI Stack % — year-row", Assumptions!$A:$A, 0), N$5+1)</f>
        <v>0.625</v>
      </c>
      <c r="O100" s="17" cm="1">
        <f t="array" ref="O100">INDEX(Assumptions!$D:$AC, MATCH("ODC internal compute share to AI Stack % — year-row", Assumptions!$A:$A, 0), O$5+1)</f>
        <v>0.6</v>
      </c>
      <c r="P100" s="17" cm="1">
        <f t="array" ref="P100">INDEX(Assumptions!$D:$AC, MATCH("ODC internal compute share to AI Stack % — year-row", Assumptions!$A:$A, 0), P$5+1)</f>
        <v>0.57499999999999996</v>
      </c>
      <c r="Q100" s="17" cm="1">
        <f t="array" ref="Q100">INDEX(Assumptions!$D:$AC, MATCH("ODC internal compute share to AI Stack % — year-row", Assumptions!$A:$A, 0), Q$5+1)</f>
        <v>0.55000000000000004</v>
      </c>
      <c r="R100" s="17" cm="1">
        <f t="array" ref="R100">INDEX(Assumptions!$D:$AC, MATCH("ODC internal compute share to AI Stack % — year-row", Assumptions!$A:$A, 0), R$5+1)</f>
        <v>0.52500000000000002</v>
      </c>
      <c r="S100" s="17" cm="1">
        <f t="array" ref="S100">INDEX(Assumptions!$D:$AC, MATCH("ODC internal compute share to AI Stack % — year-row", Assumptions!$A:$A, 0), S$5+1)</f>
        <v>0.5</v>
      </c>
      <c r="T100" s="17" cm="1">
        <f t="array" ref="T100">INDEX(Assumptions!$D:$AC, MATCH("ODC internal compute share to AI Stack % — year-row", Assumptions!$A:$A, 0), T$5+1)</f>
        <v>0.49</v>
      </c>
      <c r="U100" s="17" cm="1">
        <f t="array" ref="U100">INDEX(Assumptions!$D:$AC, MATCH("ODC internal compute share to AI Stack % — year-row", Assumptions!$A:$A, 0), U$5+1)</f>
        <v>0.48</v>
      </c>
      <c r="V100" s="17" cm="1">
        <f t="array" ref="V100">INDEX(Assumptions!$D:$AC, MATCH("ODC internal compute share to AI Stack % — year-row", Assumptions!$A:$A, 0), V$5+1)</f>
        <v>0.47</v>
      </c>
      <c r="W100" s="17" cm="1">
        <f t="array" ref="W100">INDEX(Assumptions!$D:$AC, MATCH("ODC internal compute share to AI Stack % — year-row", Assumptions!$A:$A, 0), W$5+1)</f>
        <v>0.46</v>
      </c>
      <c r="X100" s="17" cm="1">
        <f t="array" ref="X100">INDEX(Assumptions!$D:$AC, MATCH("ODC internal compute share to AI Stack % — year-row", Assumptions!$A:$A, 0), X$5+1)</f>
        <v>0.45</v>
      </c>
      <c r="Y100" s="17" cm="1">
        <f t="array" ref="Y100">INDEX(Assumptions!$D:$AC, MATCH("ODC internal compute share to AI Stack % — year-row", Assumptions!$A:$A, 0), Y$5+1)</f>
        <v>0.44</v>
      </c>
      <c r="Z100" s="17" cm="1">
        <f t="array" ref="Z100">INDEX(Assumptions!$D:$AC, MATCH("ODC internal compute share to AI Stack % — year-row", Assumptions!$A:$A, 0), Z$5+1)</f>
        <v>0.43</v>
      </c>
      <c r="AA100" s="17" cm="1">
        <f t="array" ref="AA100">INDEX(Assumptions!$D:$AC, MATCH("ODC internal compute share to AI Stack % — year-row", Assumptions!$A:$A, 0), AA$5+1)</f>
        <v>0.42</v>
      </c>
      <c r="AB100" s="17" cm="1">
        <f t="array" ref="AB100">INDEX(Assumptions!$D:$AC, MATCH("ODC internal compute share to AI Stack % — year-row", Assumptions!$A:$A, 0), AB$5+1)</f>
        <v>0.41</v>
      </c>
      <c r="AC100" s="17" cm="1">
        <f t="array" ref="AC100">INDEX(Assumptions!$D:$AC, MATCH("ODC internal compute share to AI Stack % — year-row", Assumptions!$A:$A, 0), AC$5+1)</f>
        <v>0.4</v>
      </c>
    </row>
    <row r="101" spans="1:29" x14ac:dyDescent="0.2">
      <c r="A101" t="s">
        <v>1043</v>
      </c>
      <c r="D101" s="17" cm="1">
        <f t="array" ref="D101">INDEX(Assumptions!$D:$AC, MATCH("ODC external compute share to customers % — year-row", Assumptions!$A:$A, 0), D$5+1)</f>
        <v>0.05</v>
      </c>
      <c r="E101" s="17" cm="1">
        <f t="array" ref="E101">INDEX(Assumptions!$D:$AC, MATCH("ODC external compute share to customers % — year-row", Assumptions!$A:$A, 0), E$5+1)</f>
        <v>8.3299999999999999E-2</v>
      </c>
      <c r="F101" s="17" cm="1">
        <f t="array" ref="F101">INDEX(Assumptions!$D:$AC, MATCH("ODC external compute share to customers % — year-row", Assumptions!$A:$A, 0), F$5+1)</f>
        <v>0.1167</v>
      </c>
      <c r="G101" s="17" cm="1">
        <f t="array" ref="G101">INDEX(Assumptions!$D:$AC, MATCH("ODC external compute share to customers % — year-row", Assumptions!$A:$A, 0), G$5+1)</f>
        <v>0.15</v>
      </c>
      <c r="H101" s="17" cm="1">
        <f t="array" ref="H101">INDEX(Assumptions!$D:$AC, MATCH("ODC external compute share to customers % — year-row", Assumptions!$A:$A, 0), H$5+1)</f>
        <v>0.1875</v>
      </c>
      <c r="I101" s="17" cm="1">
        <f t="array" ref="I101">INDEX(Assumptions!$D:$AC, MATCH("ODC external compute share to customers % — year-row", Assumptions!$A:$A, 0), I$5+1)</f>
        <v>0.22500000000000001</v>
      </c>
      <c r="J101" s="17" cm="1">
        <f t="array" ref="J101">INDEX(Assumptions!$D:$AC, MATCH("ODC external compute share to customers % — year-row", Assumptions!$A:$A, 0), J$5+1)</f>
        <v>0.26250000000000001</v>
      </c>
      <c r="K101" s="17" cm="1">
        <f t="array" ref="K101">INDEX(Assumptions!$D:$AC, MATCH("ODC external compute share to customers % — year-row", Assumptions!$A:$A, 0), K$5+1)</f>
        <v>0.3</v>
      </c>
      <c r="L101" s="17" cm="1">
        <f t="array" ref="L101">INDEX(Assumptions!$D:$AC, MATCH("ODC external compute share to customers % — year-row", Assumptions!$A:$A, 0), L$5+1)</f>
        <v>0.32500000000000001</v>
      </c>
      <c r="M101" s="17" cm="1">
        <f t="array" ref="M101">INDEX(Assumptions!$D:$AC, MATCH("ODC external compute share to customers % — year-row", Assumptions!$A:$A, 0), M$5+1)</f>
        <v>0.35</v>
      </c>
      <c r="N101" s="17" cm="1">
        <f t="array" ref="N101">INDEX(Assumptions!$D:$AC, MATCH("ODC external compute share to customers % — year-row", Assumptions!$A:$A, 0), N$5+1)</f>
        <v>0.375</v>
      </c>
      <c r="O101" s="17" cm="1">
        <f t="array" ref="O101">INDEX(Assumptions!$D:$AC, MATCH("ODC external compute share to customers % — year-row", Assumptions!$A:$A, 0), O$5+1)</f>
        <v>0.4</v>
      </c>
      <c r="P101" s="17" cm="1">
        <f t="array" ref="P101">INDEX(Assumptions!$D:$AC, MATCH("ODC external compute share to customers % — year-row", Assumptions!$A:$A, 0), P$5+1)</f>
        <v>0.42499999999999999</v>
      </c>
      <c r="Q101" s="17" cm="1">
        <f t="array" ref="Q101">INDEX(Assumptions!$D:$AC, MATCH("ODC external compute share to customers % — year-row", Assumptions!$A:$A, 0), Q$5+1)</f>
        <v>0.45</v>
      </c>
      <c r="R101" s="17" cm="1">
        <f t="array" ref="R101">INDEX(Assumptions!$D:$AC, MATCH("ODC external compute share to customers % — year-row", Assumptions!$A:$A, 0), R$5+1)</f>
        <v>0.47499999999999998</v>
      </c>
      <c r="S101" s="17" cm="1">
        <f t="array" ref="S101">INDEX(Assumptions!$D:$AC, MATCH("ODC external compute share to customers % — year-row", Assumptions!$A:$A, 0), S$5+1)</f>
        <v>0.5</v>
      </c>
      <c r="T101" s="17" cm="1">
        <f t="array" ref="T101">INDEX(Assumptions!$D:$AC, MATCH("ODC external compute share to customers % — year-row", Assumptions!$A:$A, 0), T$5+1)</f>
        <v>0.51</v>
      </c>
      <c r="U101" s="17" cm="1">
        <f t="array" ref="U101">INDEX(Assumptions!$D:$AC, MATCH("ODC external compute share to customers % — year-row", Assumptions!$A:$A, 0), U$5+1)</f>
        <v>0.52</v>
      </c>
      <c r="V101" s="17" cm="1">
        <f t="array" ref="V101">INDEX(Assumptions!$D:$AC, MATCH("ODC external compute share to customers % — year-row", Assumptions!$A:$A, 0), V$5+1)</f>
        <v>0.53</v>
      </c>
      <c r="W101" s="17" cm="1">
        <f t="array" ref="W101">INDEX(Assumptions!$D:$AC, MATCH("ODC external compute share to customers % — year-row", Assumptions!$A:$A, 0), W$5+1)</f>
        <v>0.54</v>
      </c>
      <c r="X101" s="17" cm="1">
        <f t="array" ref="X101">INDEX(Assumptions!$D:$AC, MATCH("ODC external compute share to customers % — year-row", Assumptions!$A:$A, 0), X$5+1)</f>
        <v>0.55000000000000004</v>
      </c>
      <c r="Y101" s="17" cm="1">
        <f t="array" ref="Y101">INDEX(Assumptions!$D:$AC, MATCH("ODC external compute share to customers % — year-row", Assumptions!$A:$A, 0), Y$5+1)</f>
        <v>0.56000000000000005</v>
      </c>
      <c r="Z101" s="17" cm="1">
        <f t="array" ref="Z101">INDEX(Assumptions!$D:$AC, MATCH("ODC external compute share to customers % — year-row", Assumptions!$A:$A, 0), Z$5+1)</f>
        <v>0.56999999999999995</v>
      </c>
      <c r="AA101" s="17" cm="1">
        <f t="array" ref="AA101">INDEX(Assumptions!$D:$AC, MATCH("ODC external compute share to customers % — year-row", Assumptions!$A:$A, 0), AA$5+1)</f>
        <v>0.57999999999999996</v>
      </c>
      <c r="AB101" s="17" cm="1">
        <f t="array" ref="AB101">INDEX(Assumptions!$D:$AC, MATCH("ODC external compute share to customers % — year-row", Assumptions!$A:$A, 0), AB$5+1)</f>
        <v>0.59</v>
      </c>
      <c r="AC101" s="17" cm="1">
        <f t="array" ref="AC101">INDEX(Assumptions!$D:$AC, MATCH("ODC external compute share to customers % — year-row", Assumptions!$A:$A, 0), AC$5+1)</f>
        <v>0.6</v>
      </c>
    </row>
    <row r="102" spans="1:29" x14ac:dyDescent="0.2">
      <c r="A102" t="s">
        <v>1044</v>
      </c>
      <c r="D102" s="42">
        <f>D99 * D101</f>
        <v>4.20192E-2</v>
      </c>
      <c r="E102" s="42">
        <f t="shared" ref="E102:AC102" si="34">E99 * E101</f>
        <v>8.7897526919999969E-2</v>
      </c>
      <c r="F102" s="42">
        <f t="shared" si="34"/>
        <v>0.15188948459999999</v>
      </c>
      <c r="G102" s="42">
        <f t="shared" si="34"/>
        <v>0.23746163779799997</v>
      </c>
      <c r="H102" s="42">
        <f t="shared" si="34"/>
        <v>0.37629197810120385</v>
      </c>
      <c r="I102" s="42">
        <f t="shared" si="34"/>
        <v>0.48057230393940609</v>
      </c>
      <c r="J102" s="42">
        <f t="shared" si="34"/>
        <v>0.58345661172721974</v>
      </c>
      <c r="K102" s="42">
        <f t="shared" si="34"/>
        <v>0.63347002290147081</v>
      </c>
      <c r="L102" s="42">
        <f t="shared" si="34"/>
        <v>0.65192620220038877</v>
      </c>
      <c r="M102" s="42">
        <f t="shared" si="34"/>
        <v>0.66698392714268173</v>
      </c>
      <c r="N102" s="42">
        <f t="shared" si="34"/>
        <v>0.67890324333425911</v>
      </c>
      <c r="O102" s="42">
        <f t="shared" si="34"/>
        <v>0.68794580506279879</v>
      </c>
      <c r="P102" s="42">
        <f t="shared" si="34"/>
        <v>0.69438723769673283</v>
      </c>
      <c r="Q102" s="42">
        <f t="shared" si="34"/>
        <v>0.69848680189428314</v>
      </c>
      <c r="R102" s="42">
        <f t="shared" si="34"/>
        <v>0.70039776883026195</v>
      </c>
      <c r="S102" s="42">
        <f t="shared" si="34"/>
        <v>0.70042858375699268</v>
      </c>
      <c r="T102" s="42">
        <f t="shared" si="34"/>
        <v>0.67872980437987918</v>
      </c>
      <c r="U102" s="42">
        <f t="shared" si="34"/>
        <v>0.65739441202054882</v>
      </c>
      <c r="V102" s="42">
        <f t="shared" si="34"/>
        <v>0.63653980684256362</v>
      </c>
      <c r="W102" s="42">
        <f t="shared" si="34"/>
        <v>0.61613273232065313</v>
      </c>
      <c r="X102" s="42">
        <f t="shared" si="34"/>
        <v>0.59618371976543905</v>
      </c>
      <c r="Y102" s="42">
        <f t="shared" si="34"/>
        <v>0.57664570432854767</v>
      </c>
      <c r="Z102" s="42">
        <f t="shared" si="34"/>
        <v>0.55762552614866545</v>
      </c>
      <c r="AA102" s="42">
        <f t="shared" si="34"/>
        <v>0.5390132618538328</v>
      </c>
      <c r="AB102" s="42">
        <f t="shared" si="34"/>
        <v>0.52091084358739181</v>
      </c>
      <c r="AC102" s="42">
        <f t="shared" si="34"/>
        <v>0.50325284888951405</v>
      </c>
    </row>
    <row r="103" spans="1:29" x14ac:dyDescent="0.2">
      <c r="A103" t="s">
        <v>1045</v>
      </c>
      <c r="D103" s="31">
        <f ca="1">D71 * D102</f>
        <v>0</v>
      </c>
      <c r="E103" s="31">
        <f t="shared" ref="E103:AC103" ca="1" si="35">E71 * E102</f>
        <v>0</v>
      </c>
      <c r="F103" s="31">
        <f t="shared" ca="1" si="35"/>
        <v>0</v>
      </c>
      <c r="G103" s="31">
        <f t="shared" ca="1" si="35"/>
        <v>0</v>
      </c>
      <c r="H103" s="31">
        <f t="shared" ca="1" si="35"/>
        <v>0</v>
      </c>
      <c r="I103" s="31">
        <f t="shared" ca="1" si="35"/>
        <v>0</v>
      </c>
      <c r="J103" s="31">
        <f t="shared" ca="1" si="35"/>
        <v>0</v>
      </c>
      <c r="K103" s="31">
        <f t="shared" ca="1" si="35"/>
        <v>0</v>
      </c>
      <c r="L103" s="31">
        <f t="shared" ca="1" si="35"/>
        <v>0</v>
      </c>
      <c r="M103" s="31">
        <f t="shared" ca="1" si="35"/>
        <v>0</v>
      </c>
      <c r="N103" s="31">
        <f t="shared" ca="1" si="35"/>
        <v>0</v>
      </c>
      <c r="O103" s="31">
        <f t="shared" ca="1" si="35"/>
        <v>0</v>
      </c>
      <c r="P103" s="31">
        <f t="shared" ca="1" si="35"/>
        <v>0</v>
      </c>
      <c r="Q103" s="31">
        <f t="shared" ca="1" si="35"/>
        <v>0</v>
      </c>
      <c r="R103" s="31">
        <f t="shared" ca="1" si="35"/>
        <v>0</v>
      </c>
      <c r="S103" s="31">
        <f t="shared" ca="1" si="35"/>
        <v>0</v>
      </c>
      <c r="T103" s="31">
        <f t="shared" ca="1" si="35"/>
        <v>0</v>
      </c>
      <c r="U103" s="31">
        <f t="shared" ca="1" si="35"/>
        <v>0</v>
      </c>
      <c r="V103" s="31">
        <f t="shared" ca="1" si="35"/>
        <v>0</v>
      </c>
      <c r="W103" s="31">
        <f t="shared" ca="1" si="35"/>
        <v>0</v>
      </c>
      <c r="X103" s="31">
        <f t="shared" ca="1" si="35"/>
        <v>0</v>
      </c>
      <c r="Y103" s="31">
        <f t="shared" ca="1" si="35"/>
        <v>0</v>
      </c>
      <c r="Z103" s="31">
        <f t="shared" ca="1" si="35"/>
        <v>0</v>
      </c>
      <c r="AA103" s="31">
        <f t="shared" ca="1" si="35"/>
        <v>0</v>
      </c>
      <c r="AB103" s="31">
        <f t="shared" ca="1" si="35"/>
        <v>0</v>
      </c>
      <c r="AC103" s="31">
        <f t="shared" ca="1" si="35"/>
        <v>0</v>
      </c>
    </row>
    <row r="105" spans="1:29" x14ac:dyDescent="0.2">
      <c r="A105" s="14" t="s">
        <v>1046</v>
      </c>
    </row>
    <row r="106" spans="1:29" x14ac:dyDescent="0.2">
      <c r="A106" t="s">
        <v>1047</v>
      </c>
      <c r="D106" s="23">
        <f ca="1">D71 * D48 / $D$20</f>
        <v>0</v>
      </c>
      <c r="E106" s="23">
        <f t="shared" ref="E106:AC106" ca="1" si="36">E71 * E48 / $D$20</f>
        <v>0</v>
      </c>
      <c r="F106" s="23">
        <f t="shared" ca="1" si="36"/>
        <v>0</v>
      </c>
      <c r="G106" s="23">
        <f t="shared" ca="1" si="36"/>
        <v>0</v>
      </c>
      <c r="H106" s="23">
        <f t="shared" ca="1" si="36"/>
        <v>0</v>
      </c>
      <c r="I106" s="23">
        <f t="shared" ca="1" si="36"/>
        <v>0</v>
      </c>
      <c r="J106" s="23">
        <f t="shared" ca="1" si="36"/>
        <v>0</v>
      </c>
      <c r="K106" s="23">
        <f t="shared" ca="1" si="36"/>
        <v>0</v>
      </c>
      <c r="L106" s="23">
        <f t="shared" ca="1" si="36"/>
        <v>0</v>
      </c>
      <c r="M106" s="23">
        <f t="shared" ca="1" si="36"/>
        <v>0</v>
      </c>
      <c r="N106" s="23">
        <f t="shared" ca="1" si="36"/>
        <v>0</v>
      </c>
      <c r="O106" s="23">
        <f t="shared" ca="1" si="36"/>
        <v>0</v>
      </c>
      <c r="P106" s="23">
        <f t="shared" ca="1" si="36"/>
        <v>0</v>
      </c>
      <c r="Q106" s="23">
        <f t="shared" ca="1" si="36"/>
        <v>0</v>
      </c>
      <c r="R106" s="23">
        <f t="shared" ca="1" si="36"/>
        <v>0</v>
      </c>
      <c r="S106" s="23">
        <f t="shared" ca="1" si="36"/>
        <v>0</v>
      </c>
      <c r="T106" s="23">
        <f t="shared" ca="1" si="36"/>
        <v>0</v>
      </c>
      <c r="U106" s="23">
        <f t="shared" ca="1" si="36"/>
        <v>0</v>
      </c>
      <c r="V106" s="23">
        <f t="shared" ca="1" si="36"/>
        <v>0</v>
      </c>
      <c r="W106" s="23">
        <f t="shared" ca="1" si="36"/>
        <v>0</v>
      </c>
      <c r="X106" s="23">
        <f t="shared" ca="1" si="36"/>
        <v>0</v>
      </c>
      <c r="Y106" s="23">
        <f t="shared" ca="1" si="36"/>
        <v>0</v>
      </c>
      <c r="Z106" s="23">
        <f t="shared" ca="1" si="36"/>
        <v>0</v>
      </c>
      <c r="AA106" s="23">
        <f t="shared" ca="1" si="36"/>
        <v>0</v>
      </c>
      <c r="AB106" s="23">
        <f t="shared" ca="1" si="36"/>
        <v>0</v>
      </c>
      <c r="AC106" s="23">
        <f t="shared" ca="1" si="36"/>
        <v>0</v>
      </c>
    </row>
    <row r="107" spans="1:29" x14ac:dyDescent="0.2">
      <c r="A107" t="s">
        <v>1048</v>
      </c>
      <c r="D107" s="23">
        <f ca="1">D54 * D52</f>
        <v>0</v>
      </c>
      <c r="E107" s="23">
        <f t="shared" ref="E107:AC107" ca="1" si="37">E54 * E52</f>
        <v>0</v>
      </c>
      <c r="F107" s="23">
        <f t="shared" ca="1" si="37"/>
        <v>0</v>
      </c>
      <c r="G107" s="23">
        <f t="shared" ca="1" si="37"/>
        <v>0</v>
      </c>
      <c r="H107" s="23">
        <f t="shared" ca="1" si="37"/>
        <v>0</v>
      </c>
      <c r="I107" s="23">
        <f t="shared" ca="1" si="37"/>
        <v>0</v>
      </c>
      <c r="J107" s="23">
        <f t="shared" ca="1" si="37"/>
        <v>0</v>
      </c>
      <c r="K107" s="23">
        <f t="shared" ca="1" si="37"/>
        <v>0</v>
      </c>
      <c r="L107" s="23">
        <f t="shared" ca="1" si="37"/>
        <v>0</v>
      </c>
      <c r="M107" s="23">
        <f t="shared" ca="1" si="37"/>
        <v>0</v>
      </c>
      <c r="N107" s="23">
        <f t="shared" ca="1" si="37"/>
        <v>0</v>
      </c>
      <c r="O107" s="23">
        <f t="shared" ca="1" si="37"/>
        <v>0</v>
      </c>
      <c r="P107" s="23">
        <f t="shared" ca="1" si="37"/>
        <v>0</v>
      </c>
      <c r="Q107" s="23">
        <f t="shared" ca="1" si="37"/>
        <v>0</v>
      </c>
      <c r="R107" s="23">
        <f t="shared" ca="1" si="37"/>
        <v>0</v>
      </c>
      <c r="S107" s="23">
        <f t="shared" ca="1" si="37"/>
        <v>0</v>
      </c>
      <c r="T107" s="23">
        <f t="shared" ca="1" si="37"/>
        <v>0</v>
      </c>
      <c r="U107" s="23">
        <f t="shared" ca="1" si="37"/>
        <v>0</v>
      </c>
      <c r="V107" s="23">
        <f t="shared" ca="1" si="37"/>
        <v>0</v>
      </c>
      <c r="W107" s="23">
        <f t="shared" ca="1" si="37"/>
        <v>0</v>
      </c>
      <c r="X107" s="23">
        <f t="shared" ca="1" si="37"/>
        <v>0</v>
      </c>
      <c r="Y107" s="23">
        <f t="shared" ca="1" si="37"/>
        <v>0</v>
      </c>
      <c r="Z107" s="23">
        <f t="shared" ca="1" si="37"/>
        <v>0</v>
      </c>
      <c r="AA107" s="23">
        <f t="shared" ca="1" si="37"/>
        <v>0</v>
      </c>
      <c r="AB107" s="23">
        <f t="shared" ca="1" si="37"/>
        <v>0</v>
      </c>
      <c r="AC107" s="23">
        <f t="shared" ca="1" si="37"/>
        <v>0</v>
      </c>
    </row>
    <row r="108" spans="1:29" x14ac:dyDescent="0.2">
      <c r="A108" t="s">
        <v>1049</v>
      </c>
      <c r="D108" s="23">
        <f ca="1">D87</f>
        <v>0</v>
      </c>
      <c r="E108" s="23">
        <f t="shared" ref="E108:AC108" ca="1" si="38">E87</f>
        <v>0</v>
      </c>
      <c r="F108" s="23">
        <f t="shared" ca="1" si="38"/>
        <v>0</v>
      </c>
      <c r="G108" s="23">
        <f t="shared" ca="1" si="38"/>
        <v>0</v>
      </c>
      <c r="H108" s="23">
        <f t="shared" ca="1" si="38"/>
        <v>0</v>
      </c>
      <c r="I108" s="23">
        <f t="shared" ca="1" si="38"/>
        <v>0</v>
      </c>
      <c r="J108" s="23">
        <f t="shared" ca="1" si="38"/>
        <v>0</v>
      </c>
      <c r="K108" s="23">
        <f t="shared" ca="1" si="38"/>
        <v>0</v>
      </c>
      <c r="L108" s="23">
        <f t="shared" ca="1" si="38"/>
        <v>0</v>
      </c>
      <c r="M108" s="23">
        <f t="shared" ca="1" si="38"/>
        <v>0</v>
      </c>
      <c r="N108" s="23">
        <f t="shared" ca="1" si="38"/>
        <v>0</v>
      </c>
      <c r="O108" s="23">
        <f t="shared" ca="1" si="38"/>
        <v>0</v>
      </c>
      <c r="P108" s="23">
        <f t="shared" ca="1" si="38"/>
        <v>0</v>
      </c>
      <c r="Q108" s="23">
        <f t="shared" ca="1" si="38"/>
        <v>0</v>
      </c>
      <c r="R108" s="23">
        <f t="shared" ca="1" si="38"/>
        <v>0</v>
      </c>
      <c r="S108" s="23">
        <f t="shared" ca="1" si="38"/>
        <v>0</v>
      </c>
      <c r="T108" s="23">
        <f t="shared" ca="1" si="38"/>
        <v>0</v>
      </c>
      <c r="U108" s="23">
        <f t="shared" ca="1" si="38"/>
        <v>0</v>
      </c>
      <c r="V108" s="23">
        <f t="shared" ca="1" si="38"/>
        <v>0</v>
      </c>
      <c r="W108" s="23">
        <f t="shared" ca="1" si="38"/>
        <v>0</v>
      </c>
      <c r="X108" s="23">
        <f t="shared" ca="1" si="38"/>
        <v>0</v>
      </c>
      <c r="Y108" s="23">
        <f t="shared" ca="1" si="38"/>
        <v>0</v>
      </c>
      <c r="Z108" s="23">
        <f t="shared" ca="1" si="38"/>
        <v>0</v>
      </c>
      <c r="AA108" s="23">
        <f t="shared" ca="1" si="38"/>
        <v>0</v>
      </c>
      <c r="AB108" s="23">
        <f t="shared" ca="1" si="38"/>
        <v>0</v>
      </c>
      <c r="AC108" s="23">
        <f t="shared" ca="1" si="38"/>
        <v>0</v>
      </c>
    </row>
    <row r="109" spans="1:29" x14ac:dyDescent="0.2">
      <c r="A109" t="s">
        <v>1050</v>
      </c>
      <c r="D109" s="23">
        <f ca="1">D103 * INDEX(Assumptions!$B:$B, MATCH("ODC insurance % of revenue", Assumptions!$A:$A, 0))</f>
        <v>0</v>
      </c>
      <c r="E109" s="23">
        <f ca="1">E103 * INDEX(Assumptions!$B:$B, MATCH("ODC insurance % of revenue", Assumptions!$A:$A, 0))</f>
        <v>0</v>
      </c>
      <c r="F109" s="23">
        <f ca="1">F103 * INDEX(Assumptions!$B:$B, MATCH("ODC insurance % of revenue", Assumptions!$A:$A, 0))</f>
        <v>0</v>
      </c>
      <c r="G109" s="23">
        <f ca="1">G103 * INDEX(Assumptions!$B:$B, MATCH("ODC insurance % of revenue", Assumptions!$A:$A, 0))</f>
        <v>0</v>
      </c>
      <c r="H109" s="23">
        <f ca="1">H103 * INDEX(Assumptions!$B:$B, MATCH("ODC insurance % of revenue", Assumptions!$A:$A, 0))</f>
        <v>0</v>
      </c>
      <c r="I109" s="23">
        <f ca="1">I103 * INDEX(Assumptions!$B:$B, MATCH("ODC insurance % of revenue", Assumptions!$A:$A, 0))</f>
        <v>0</v>
      </c>
      <c r="J109" s="23">
        <f ca="1">J103 * INDEX(Assumptions!$B:$B, MATCH("ODC insurance % of revenue", Assumptions!$A:$A, 0))</f>
        <v>0</v>
      </c>
      <c r="K109" s="23">
        <f ca="1">K103 * INDEX(Assumptions!$B:$B, MATCH("ODC insurance % of revenue", Assumptions!$A:$A, 0))</f>
        <v>0</v>
      </c>
      <c r="L109" s="23">
        <f ca="1">L103 * INDEX(Assumptions!$B:$B, MATCH("ODC insurance % of revenue", Assumptions!$A:$A, 0))</f>
        <v>0</v>
      </c>
      <c r="M109" s="23">
        <f ca="1">M103 * INDEX(Assumptions!$B:$B, MATCH("ODC insurance % of revenue", Assumptions!$A:$A, 0))</f>
        <v>0</v>
      </c>
      <c r="N109" s="23">
        <f ca="1">N103 * INDEX(Assumptions!$B:$B, MATCH("ODC insurance % of revenue", Assumptions!$A:$A, 0))</f>
        <v>0</v>
      </c>
      <c r="O109" s="23">
        <f ca="1">O103 * INDEX(Assumptions!$B:$B, MATCH("ODC insurance % of revenue", Assumptions!$A:$A, 0))</f>
        <v>0</v>
      </c>
      <c r="P109" s="23">
        <f ca="1">P103 * INDEX(Assumptions!$B:$B, MATCH("ODC insurance % of revenue", Assumptions!$A:$A, 0))</f>
        <v>0</v>
      </c>
      <c r="Q109" s="23">
        <f ca="1">Q103 * INDEX(Assumptions!$B:$B, MATCH("ODC insurance % of revenue", Assumptions!$A:$A, 0))</f>
        <v>0</v>
      </c>
      <c r="R109" s="23">
        <f ca="1">R103 * INDEX(Assumptions!$B:$B, MATCH("ODC insurance % of revenue", Assumptions!$A:$A, 0))</f>
        <v>0</v>
      </c>
      <c r="S109" s="23">
        <f ca="1">S103 * INDEX(Assumptions!$B:$B, MATCH("ODC insurance % of revenue", Assumptions!$A:$A, 0))</f>
        <v>0</v>
      </c>
      <c r="T109" s="23">
        <f ca="1">T103 * INDEX(Assumptions!$B:$B, MATCH("ODC insurance % of revenue", Assumptions!$A:$A, 0))</f>
        <v>0</v>
      </c>
      <c r="U109" s="23">
        <f ca="1">U103 * INDEX(Assumptions!$B:$B, MATCH("ODC insurance % of revenue", Assumptions!$A:$A, 0))</f>
        <v>0</v>
      </c>
      <c r="V109" s="23">
        <f ca="1">V103 * INDEX(Assumptions!$B:$B, MATCH("ODC insurance % of revenue", Assumptions!$A:$A, 0))</f>
        <v>0</v>
      </c>
      <c r="W109" s="23">
        <f ca="1">W103 * INDEX(Assumptions!$B:$B, MATCH("ODC insurance % of revenue", Assumptions!$A:$A, 0))</f>
        <v>0</v>
      </c>
      <c r="X109" s="23">
        <f ca="1">X103 * INDEX(Assumptions!$B:$B, MATCH("ODC insurance % of revenue", Assumptions!$A:$A, 0))</f>
        <v>0</v>
      </c>
      <c r="Y109" s="23">
        <f ca="1">Y103 * INDEX(Assumptions!$B:$B, MATCH("ODC insurance % of revenue", Assumptions!$A:$A, 0))</f>
        <v>0</v>
      </c>
      <c r="Z109" s="23">
        <f ca="1">Z103 * INDEX(Assumptions!$B:$B, MATCH("ODC insurance % of revenue", Assumptions!$A:$A, 0))</f>
        <v>0</v>
      </c>
      <c r="AA109" s="23">
        <f ca="1">AA103 * INDEX(Assumptions!$B:$B, MATCH("ODC insurance % of revenue", Assumptions!$A:$A, 0))</f>
        <v>0</v>
      </c>
      <c r="AB109" s="23">
        <f ca="1">AB103 * INDEX(Assumptions!$B:$B, MATCH("ODC insurance % of revenue", Assumptions!$A:$A, 0))</f>
        <v>0</v>
      </c>
      <c r="AC109" s="23">
        <f ca="1">AC103 * INDEX(Assumptions!$B:$B, MATCH("ODC insurance % of revenue", Assumptions!$A:$A, 0))</f>
        <v>0</v>
      </c>
    </row>
    <row r="110" spans="1:29" x14ac:dyDescent="0.2">
      <c r="A110" t="s">
        <v>1051</v>
      </c>
      <c r="D110" s="23">
        <f ca="1">D103 * INDEX(Assumptions!$B:$B, MATCH("ODC other COGS % of revenue", Assumptions!$A:$A, 0))</f>
        <v>0</v>
      </c>
      <c r="E110" s="23">
        <f ca="1">E103 * INDEX(Assumptions!$B:$B, MATCH("ODC other COGS % of revenue", Assumptions!$A:$A, 0))</f>
        <v>0</v>
      </c>
      <c r="F110" s="23">
        <f ca="1">F103 * INDEX(Assumptions!$B:$B, MATCH("ODC other COGS % of revenue", Assumptions!$A:$A, 0))</f>
        <v>0</v>
      </c>
      <c r="G110" s="23">
        <f ca="1">G103 * INDEX(Assumptions!$B:$B, MATCH("ODC other COGS % of revenue", Assumptions!$A:$A, 0))</f>
        <v>0</v>
      </c>
      <c r="H110" s="23">
        <f ca="1">H103 * INDEX(Assumptions!$B:$B, MATCH("ODC other COGS % of revenue", Assumptions!$A:$A, 0))</f>
        <v>0</v>
      </c>
      <c r="I110" s="23">
        <f ca="1">I103 * INDEX(Assumptions!$B:$B, MATCH("ODC other COGS % of revenue", Assumptions!$A:$A, 0))</f>
        <v>0</v>
      </c>
      <c r="J110" s="23">
        <f ca="1">J103 * INDEX(Assumptions!$B:$B, MATCH("ODC other COGS % of revenue", Assumptions!$A:$A, 0))</f>
        <v>0</v>
      </c>
      <c r="K110" s="23">
        <f ca="1">K103 * INDEX(Assumptions!$B:$B, MATCH("ODC other COGS % of revenue", Assumptions!$A:$A, 0))</f>
        <v>0</v>
      </c>
      <c r="L110" s="23">
        <f ca="1">L103 * INDEX(Assumptions!$B:$B, MATCH("ODC other COGS % of revenue", Assumptions!$A:$A, 0))</f>
        <v>0</v>
      </c>
      <c r="M110" s="23">
        <f ca="1">M103 * INDEX(Assumptions!$B:$B, MATCH("ODC other COGS % of revenue", Assumptions!$A:$A, 0))</f>
        <v>0</v>
      </c>
      <c r="N110" s="23">
        <f ca="1">N103 * INDEX(Assumptions!$B:$B, MATCH("ODC other COGS % of revenue", Assumptions!$A:$A, 0))</f>
        <v>0</v>
      </c>
      <c r="O110" s="23">
        <f ca="1">O103 * INDEX(Assumptions!$B:$B, MATCH("ODC other COGS % of revenue", Assumptions!$A:$A, 0))</f>
        <v>0</v>
      </c>
      <c r="P110" s="23">
        <f ca="1">P103 * INDEX(Assumptions!$B:$B, MATCH("ODC other COGS % of revenue", Assumptions!$A:$A, 0))</f>
        <v>0</v>
      </c>
      <c r="Q110" s="23">
        <f ca="1">Q103 * INDEX(Assumptions!$B:$B, MATCH("ODC other COGS % of revenue", Assumptions!$A:$A, 0))</f>
        <v>0</v>
      </c>
      <c r="R110" s="23">
        <f ca="1">R103 * INDEX(Assumptions!$B:$B, MATCH("ODC other COGS % of revenue", Assumptions!$A:$A, 0))</f>
        <v>0</v>
      </c>
      <c r="S110" s="23">
        <f ca="1">S103 * INDEX(Assumptions!$B:$B, MATCH("ODC other COGS % of revenue", Assumptions!$A:$A, 0))</f>
        <v>0</v>
      </c>
      <c r="T110" s="23">
        <f ca="1">T103 * INDEX(Assumptions!$B:$B, MATCH("ODC other COGS % of revenue", Assumptions!$A:$A, 0))</f>
        <v>0</v>
      </c>
      <c r="U110" s="23">
        <f ca="1">U103 * INDEX(Assumptions!$B:$B, MATCH("ODC other COGS % of revenue", Assumptions!$A:$A, 0))</f>
        <v>0</v>
      </c>
      <c r="V110" s="23">
        <f ca="1">V103 * INDEX(Assumptions!$B:$B, MATCH("ODC other COGS % of revenue", Assumptions!$A:$A, 0))</f>
        <v>0</v>
      </c>
      <c r="W110" s="23">
        <f ca="1">W103 * INDEX(Assumptions!$B:$B, MATCH("ODC other COGS % of revenue", Assumptions!$A:$A, 0))</f>
        <v>0</v>
      </c>
      <c r="X110" s="23">
        <f ca="1">X103 * INDEX(Assumptions!$B:$B, MATCH("ODC other COGS % of revenue", Assumptions!$A:$A, 0))</f>
        <v>0</v>
      </c>
      <c r="Y110" s="23">
        <f ca="1">Y103 * INDEX(Assumptions!$B:$B, MATCH("ODC other COGS % of revenue", Assumptions!$A:$A, 0))</f>
        <v>0</v>
      </c>
      <c r="Z110" s="23">
        <f ca="1">Z103 * INDEX(Assumptions!$B:$B, MATCH("ODC other COGS % of revenue", Assumptions!$A:$A, 0))</f>
        <v>0</v>
      </c>
      <c r="AA110" s="23">
        <f ca="1">AA103 * INDEX(Assumptions!$B:$B, MATCH("ODC other COGS % of revenue", Assumptions!$A:$A, 0))</f>
        <v>0</v>
      </c>
      <c r="AB110" s="23">
        <f ca="1">AB103 * INDEX(Assumptions!$B:$B, MATCH("ODC other COGS % of revenue", Assumptions!$A:$A, 0))</f>
        <v>0</v>
      </c>
      <c r="AC110" s="23">
        <f ca="1">AC103 * INDEX(Assumptions!$B:$B, MATCH("ODC other COGS % of revenue", Assumptions!$A:$A, 0))</f>
        <v>0</v>
      </c>
    </row>
    <row r="111" spans="1:29" x14ac:dyDescent="0.2">
      <c r="A111" t="s">
        <v>1052</v>
      </c>
      <c r="D111" s="23">
        <f ca="1">D103 * INDEX(Assumptions!$B:$B, MATCH("Ground station / network opex % of revenue", Assumptions!$A:$A, 0))</f>
        <v>0</v>
      </c>
      <c r="E111" s="23">
        <f ca="1">E103 * INDEX(Assumptions!$B:$B, MATCH("Ground station / network opex % of revenue", Assumptions!$A:$A, 0))</f>
        <v>0</v>
      </c>
      <c r="F111" s="23">
        <f ca="1">F103 * INDEX(Assumptions!$B:$B, MATCH("Ground station / network opex % of revenue", Assumptions!$A:$A, 0))</f>
        <v>0</v>
      </c>
      <c r="G111" s="23">
        <f ca="1">G103 * INDEX(Assumptions!$B:$B, MATCH("Ground station / network opex % of revenue", Assumptions!$A:$A, 0))</f>
        <v>0</v>
      </c>
      <c r="H111" s="23">
        <f ca="1">H103 * INDEX(Assumptions!$B:$B, MATCH("Ground station / network opex % of revenue", Assumptions!$A:$A, 0))</f>
        <v>0</v>
      </c>
      <c r="I111" s="23">
        <f ca="1">I103 * INDEX(Assumptions!$B:$B, MATCH("Ground station / network opex % of revenue", Assumptions!$A:$A, 0))</f>
        <v>0</v>
      </c>
      <c r="J111" s="23">
        <f ca="1">J103 * INDEX(Assumptions!$B:$B, MATCH("Ground station / network opex % of revenue", Assumptions!$A:$A, 0))</f>
        <v>0</v>
      </c>
      <c r="K111" s="23">
        <f ca="1">K103 * INDEX(Assumptions!$B:$B, MATCH("Ground station / network opex % of revenue", Assumptions!$A:$A, 0))</f>
        <v>0</v>
      </c>
      <c r="L111" s="23">
        <f ca="1">L103 * INDEX(Assumptions!$B:$B, MATCH("Ground station / network opex % of revenue", Assumptions!$A:$A, 0))</f>
        <v>0</v>
      </c>
      <c r="M111" s="23">
        <f ca="1">M103 * INDEX(Assumptions!$B:$B, MATCH("Ground station / network opex % of revenue", Assumptions!$A:$A, 0))</f>
        <v>0</v>
      </c>
      <c r="N111" s="23">
        <f ca="1">N103 * INDEX(Assumptions!$B:$B, MATCH("Ground station / network opex % of revenue", Assumptions!$A:$A, 0))</f>
        <v>0</v>
      </c>
      <c r="O111" s="23">
        <f ca="1">O103 * INDEX(Assumptions!$B:$B, MATCH("Ground station / network opex % of revenue", Assumptions!$A:$A, 0))</f>
        <v>0</v>
      </c>
      <c r="P111" s="23">
        <f ca="1">P103 * INDEX(Assumptions!$B:$B, MATCH("Ground station / network opex % of revenue", Assumptions!$A:$A, 0))</f>
        <v>0</v>
      </c>
      <c r="Q111" s="23">
        <f ca="1">Q103 * INDEX(Assumptions!$B:$B, MATCH("Ground station / network opex % of revenue", Assumptions!$A:$A, 0))</f>
        <v>0</v>
      </c>
      <c r="R111" s="23">
        <f ca="1">R103 * INDEX(Assumptions!$B:$B, MATCH("Ground station / network opex % of revenue", Assumptions!$A:$A, 0))</f>
        <v>0</v>
      </c>
      <c r="S111" s="23">
        <f ca="1">S103 * INDEX(Assumptions!$B:$B, MATCH("Ground station / network opex % of revenue", Assumptions!$A:$A, 0))</f>
        <v>0</v>
      </c>
      <c r="T111" s="23">
        <f ca="1">T103 * INDEX(Assumptions!$B:$B, MATCH("Ground station / network opex % of revenue", Assumptions!$A:$A, 0))</f>
        <v>0</v>
      </c>
      <c r="U111" s="23">
        <f ca="1">U103 * INDEX(Assumptions!$B:$B, MATCH("Ground station / network opex % of revenue", Assumptions!$A:$A, 0))</f>
        <v>0</v>
      </c>
      <c r="V111" s="23">
        <f ca="1">V103 * INDEX(Assumptions!$B:$B, MATCH("Ground station / network opex % of revenue", Assumptions!$A:$A, 0))</f>
        <v>0</v>
      </c>
      <c r="W111" s="23">
        <f ca="1">W103 * INDEX(Assumptions!$B:$B, MATCH("Ground station / network opex % of revenue", Assumptions!$A:$A, 0))</f>
        <v>0</v>
      </c>
      <c r="X111" s="23">
        <f ca="1">X103 * INDEX(Assumptions!$B:$B, MATCH("Ground station / network opex % of revenue", Assumptions!$A:$A, 0))</f>
        <v>0</v>
      </c>
      <c r="Y111" s="23">
        <f ca="1">Y103 * INDEX(Assumptions!$B:$B, MATCH("Ground station / network opex % of revenue", Assumptions!$A:$A, 0))</f>
        <v>0</v>
      </c>
      <c r="Z111" s="23">
        <f ca="1">Z103 * INDEX(Assumptions!$B:$B, MATCH("Ground station / network opex % of revenue", Assumptions!$A:$A, 0))</f>
        <v>0</v>
      </c>
      <c r="AA111" s="23">
        <f ca="1">AA103 * INDEX(Assumptions!$B:$B, MATCH("Ground station / network opex % of revenue", Assumptions!$A:$A, 0))</f>
        <v>0</v>
      </c>
      <c r="AB111" s="23">
        <f ca="1">AB103 * INDEX(Assumptions!$B:$B, MATCH("Ground station / network opex % of revenue", Assumptions!$A:$A, 0))</f>
        <v>0</v>
      </c>
      <c r="AC111" s="23">
        <f ca="1">AC103 * INDEX(Assumptions!$B:$B, MATCH("Ground station / network opex % of revenue", Assumptions!$A:$A, 0))</f>
        <v>0</v>
      </c>
    </row>
    <row r="112" spans="1:29" x14ac:dyDescent="0.2">
      <c r="A112" t="s">
        <v>1053</v>
      </c>
      <c r="D112" s="23">
        <f ca="1">D106 + D107 + D108 + D109 + D110 + D111</f>
        <v>0</v>
      </c>
      <c r="E112" s="23">
        <f t="shared" ref="E112:AC112" ca="1" si="39">E106 + E107 + E108 + E109 + E110 + E111</f>
        <v>0</v>
      </c>
      <c r="F112" s="23">
        <f t="shared" ca="1" si="39"/>
        <v>0</v>
      </c>
      <c r="G112" s="23">
        <f t="shared" ca="1" si="39"/>
        <v>0</v>
      </c>
      <c r="H112" s="23">
        <f t="shared" ca="1" si="39"/>
        <v>0</v>
      </c>
      <c r="I112" s="23">
        <f t="shared" ca="1" si="39"/>
        <v>0</v>
      </c>
      <c r="J112" s="23">
        <f t="shared" ca="1" si="39"/>
        <v>0</v>
      </c>
      <c r="K112" s="23">
        <f t="shared" ca="1" si="39"/>
        <v>0</v>
      </c>
      <c r="L112" s="23">
        <f t="shared" ca="1" si="39"/>
        <v>0</v>
      </c>
      <c r="M112" s="23">
        <f t="shared" ca="1" si="39"/>
        <v>0</v>
      </c>
      <c r="N112" s="23">
        <f t="shared" ca="1" si="39"/>
        <v>0</v>
      </c>
      <c r="O112" s="23">
        <f t="shared" ca="1" si="39"/>
        <v>0</v>
      </c>
      <c r="P112" s="23">
        <f t="shared" ca="1" si="39"/>
        <v>0</v>
      </c>
      <c r="Q112" s="23">
        <f t="shared" ca="1" si="39"/>
        <v>0</v>
      </c>
      <c r="R112" s="23">
        <f t="shared" ca="1" si="39"/>
        <v>0</v>
      </c>
      <c r="S112" s="23">
        <f t="shared" ca="1" si="39"/>
        <v>0</v>
      </c>
      <c r="T112" s="23">
        <f t="shared" ca="1" si="39"/>
        <v>0</v>
      </c>
      <c r="U112" s="23">
        <f t="shared" ca="1" si="39"/>
        <v>0</v>
      </c>
      <c r="V112" s="23">
        <f t="shared" ca="1" si="39"/>
        <v>0</v>
      </c>
      <c r="W112" s="23">
        <f t="shared" ca="1" si="39"/>
        <v>0</v>
      </c>
      <c r="X112" s="23">
        <f t="shared" ca="1" si="39"/>
        <v>0</v>
      </c>
      <c r="Y112" s="23">
        <f t="shared" ca="1" si="39"/>
        <v>0</v>
      </c>
      <c r="Z112" s="23">
        <f t="shared" ca="1" si="39"/>
        <v>0</v>
      </c>
      <c r="AA112" s="23">
        <f t="shared" ca="1" si="39"/>
        <v>0</v>
      </c>
      <c r="AB112" s="23">
        <f t="shared" ca="1" si="39"/>
        <v>0</v>
      </c>
      <c r="AC112" s="23">
        <f t="shared" ca="1" si="39"/>
        <v>0</v>
      </c>
    </row>
    <row r="113" spans="1:29" x14ac:dyDescent="0.2">
      <c r="A113" t="s">
        <v>1054</v>
      </c>
      <c r="D113" s="23">
        <f ca="1">IFERROR(D112 * 1000000 / D74, 0)</f>
        <v>0</v>
      </c>
      <c r="E113" s="23">
        <f t="shared" ref="E113:AC113" ca="1" si="40">IFERROR(E112 * 1000000 / E74, 0)</f>
        <v>0</v>
      </c>
      <c r="F113" s="23">
        <f t="shared" ca="1" si="40"/>
        <v>0</v>
      </c>
      <c r="G113" s="23">
        <f t="shared" ca="1" si="40"/>
        <v>0</v>
      </c>
      <c r="H113" s="23">
        <f t="shared" ca="1" si="40"/>
        <v>0</v>
      </c>
      <c r="I113" s="23">
        <f t="shared" ca="1" si="40"/>
        <v>0</v>
      </c>
      <c r="J113" s="23">
        <f t="shared" ca="1" si="40"/>
        <v>0</v>
      </c>
      <c r="K113" s="23">
        <f t="shared" ca="1" si="40"/>
        <v>0</v>
      </c>
      <c r="L113" s="23">
        <f t="shared" ca="1" si="40"/>
        <v>0</v>
      </c>
      <c r="M113" s="23">
        <f t="shared" ca="1" si="40"/>
        <v>0</v>
      </c>
      <c r="N113" s="23">
        <f t="shared" ca="1" si="40"/>
        <v>0</v>
      </c>
      <c r="O113" s="23">
        <f t="shared" ca="1" si="40"/>
        <v>0</v>
      </c>
      <c r="P113" s="23">
        <f t="shared" ca="1" si="40"/>
        <v>0</v>
      </c>
      <c r="Q113" s="23">
        <f t="shared" ca="1" si="40"/>
        <v>0</v>
      </c>
      <c r="R113" s="23">
        <f t="shared" ca="1" si="40"/>
        <v>0</v>
      </c>
      <c r="S113" s="23">
        <f t="shared" ca="1" si="40"/>
        <v>0</v>
      </c>
      <c r="T113" s="23">
        <f t="shared" ca="1" si="40"/>
        <v>0</v>
      </c>
      <c r="U113" s="23">
        <f t="shared" ca="1" si="40"/>
        <v>0</v>
      </c>
      <c r="V113" s="23">
        <f t="shared" ca="1" si="40"/>
        <v>0</v>
      </c>
      <c r="W113" s="23">
        <f t="shared" ca="1" si="40"/>
        <v>0</v>
      </c>
      <c r="X113" s="23">
        <f t="shared" ca="1" si="40"/>
        <v>0</v>
      </c>
      <c r="Y113" s="23">
        <f t="shared" ca="1" si="40"/>
        <v>0</v>
      </c>
      <c r="Z113" s="23">
        <f t="shared" ca="1" si="40"/>
        <v>0</v>
      </c>
      <c r="AA113" s="23">
        <f t="shared" ca="1" si="40"/>
        <v>0</v>
      </c>
      <c r="AB113" s="23">
        <f t="shared" ca="1" si="40"/>
        <v>0</v>
      </c>
      <c r="AC113" s="23">
        <f t="shared" ca="1" si="40"/>
        <v>0</v>
      </c>
    </row>
    <row r="114" spans="1:29" x14ac:dyDescent="0.2">
      <c r="A114" t="s">
        <v>1055</v>
      </c>
      <c r="D114" s="15">
        <f ca="1">D74 * D100</f>
        <v>0</v>
      </c>
      <c r="E114" s="15">
        <f t="shared" ref="E114:AC114" ca="1" si="41">E74 * E100</f>
        <v>0</v>
      </c>
      <c r="F114" s="15">
        <f t="shared" ca="1" si="41"/>
        <v>0</v>
      </c>
      <c r="G114" s="15">
        <f t="shared" ca="1" si="41"/>
        <v>0</v>
      </c>
      <c r="H114" s="15">
        <f t="shared" ca="1" si="41"/>
        <v>0</v>
      </c>
      <c r="I114" s="15">
        <f t="shared" ca="1" si="41"/>
        <v>0</v>
      </c>
      <c r="J114" s="15">
        <f t="shared" ca="1" si="41"/>
        <v>0</v>
      </c>
      <c r="K114" s="15">
        <f t="shared" ca="1" si="41"/>
        <v>0</v>
      </c>
      <c r="L114" s="15">
        <f t="shared" ca="1" si="41"/>
        <v>0</v>
      </c>
      <c r="M114" s="15">
        <f t="shared" ca="1" si="41"/>
        <v>0</v>
      </c>
      <c r="N114" s="15">
        <f t="shared" ca="1" si="41"/>
        <v>0</v>
      </c>
      <c r="O114" s="15">
        <f t="shared" ca="1" si="41"/>
        <v>0</v>
      </c>
      <c r="P114" s="15">
        <f t="shared" ca="1" si="41"/>
        <v>0</v>
      </c>
      <c r="Q114" s="15">
        <f t="shared" ca="1" si="41"/>
        <v>0</v>
      </c>
      <c r="R114" s="15">
        <f t="shared" ca="1" si="41"/>
        <v>0</v>
      </c>
      <c r="S114" s="15">
        <f t="shared" ca="1" si="41"/>
        <v>0</v>
      </c>
      <c r="T114" s="15">
        <f t="shared" ca="1" si="41"/>
        <v>0</v>
      </c>
      <c r="U114" s="15">
        <f t="shared" ca="1" si="41"/>
        <v>0</v>
      </c>
      <c r="V114" s="15">
        <f t="shared" ca="1" si="41"/>
        <v>0</v>
      </c>
      <c r="W114" s="15">
        <f t="shared" ca="1" si="41"/>
        <v>0</v>
      </c>
      <c r="X114" s="15">
        <f t="shared" ca="1" si="41"/>
        <v>0</v>
      </c>
      <c r="Y114" s="15">
        <f t="shared" ca="1" si="41"/>
        <v>0</v>
      </c>
      <c r="Z114" s="15">
        <f t="shared" ca="1" si="41"/>
        <v>0</v>
      </c>
      <c r="AA114" s="15">
        <f t="shared" ca="1" si="41"/>
        <v>0</v>
      </c>
      <c r="AB114" s="15">
        <f t="shared" ca="1" si="41"/>
        <v>0</v>
      </c>
      <c r="AC114" s="15">
        <f t="shared" ca="1" si="41"/>
        <v>0</v>
      </c>
    </row>
    <row r="115" spans="1:29" x14ac:dyDescent="0.2">
      <c r="A115" t="s">
        <v>1056</v>
      </c>
      <c r="D115" s="23">
        <f ca="1">D114 * D113 / 1000000</f>
        <v>0</v>
      </c>
      <c r="E115" s="23">
        <f t="shared" ref="E115:AC115" ca="1" si="42">E114 * E113 / 1000000</f>
        <v>0</v>
      </c>
      <c r="F115" s="23">
        <f t="shared" ca="1" si="42"/>
        <v>0</v>
      </c>
      <c r="G115" s="23">
        <f t="shared" ca="1" si="42"/>
        <v>0</v>
      </c>
      <c r="H115" s="23">
        <f t="shared" ca="1" si="42"/>
        <v>0</v>
      </c>
      <c r="I115" s="23">
        <f t="shared" ca="1" si="42"/>
        <v>0</v>
      </c>
      <c r="J115" s="23">
        <f t="shared" ca="1" si="42"/>
        <v>0</v>
      </c>
      <c r="K115" s="23">
        <f t="shared" ca="1" si="42"/>
        <v>0</v>
      </c>
      <c r="L115" s="23">
        <f t="shared" ca="1" si="42"/>
        <v>0</v>
      </c>
      <c r="M115" s="23">
        <f t="shared" ca="1" si="42"/>
        <v>0</v>
      </c>
      <c r="N115" s="23">
        <f t="shared" ca="1" si="42"/>
        <v>0</v>
      </c>
      <c r="O115" s="23">
        <f t="shared" ca="1" si="42"/>
        <v>0</v>
      </c>
      <c r="P115" s="23">
        <f t="shared" ca="1" si="42"/>
        <v>0</v>
      </c>
      <c r="Q115" s="23">
        <f t="shared" ca="1" si="42"/>
        <v>0</v>
      </c>
      <c r="R115" s="23">
        <f t="shared" ca="1" si="42"/>
        <v>0</v>
      </c>
      <c r="S115" s="23">
        <f t="shared" ca="1" si="42"/>
        <v>0</v>
      </c>
      <c r="T115" s="23">
        <f t="shared" ca="1" si="42"/>
        <v>0</v>
      </c>
      <c r="U115" s="23">
        <f t="shared" ca="1" si="42"/>
        <v>0</v>
      </c>
      <c r="V115" s="23">
        <f t="shared" ca="1" si="42"/>
        <v>0</v>
      </c>
      <c r="W115" s="23">
        <f t="shared" ca="1" si="42"/>
        <v>0</v>
      </c>
      <c r="X115" s="23">
        <f t="shared" ca="1" si="42"/>
        <v>0</v>
      </c>
      <c r="Y115" s="23">
        <f t="shared" ca="1" si="42"/>
        <v>0</v>
      </c>
      <c r="Z115" s="23">
        <f t="shared" ca="1" si="42"/>
        <v>0</v>
      </c>
      <c r="AA115" s="23">
        <f t="shared" ca="1" si="42"/>
        <v>0</v>
      </c>
      <c r="AB115" s="23">
        <f t="shared" ca="1" si="42"/>
        <v>0</v>
      </c>
      <c r="AC115" s="23">
        <f t="shared" ca="1" si="42"/>
        <v>0</v>
      </c>
    </row>
    <row r="121" spans="1:29" x14ac:dyDescent="0.2">
      <c r="A121" s="14" t="s">
        <v>1057</v>
      </c>
    </row>
    <row r="122" spans="1:29" x14ac:dyDescent="0.2">
      <c r="A122" t="s">
        <v>1058</v>
      </c>
      <c r="D122" s="23">
        <f ca="1">D103</f>
        <v>0</v>
      </c>
      <c r="E122" s="23">
        <f t="shared" ref="E122:AC122" ca="1" si="43">E103</f>
        <v>0</v>
      </c>
      <c r="F122" s="23">
        <f t="shared" ca="1" si="43"/>
        <v>0</v>
      </c>
      <c r="G122" s="23">
        <f t="shared" ca="1" si="43"/>
        <v>0</v>
      </c>
      <c r="H122" s="23">
        <f t="shared" ca="1" si="43"/>
        <v>0</v>
      </c>
      <c r="I122" s="23">
        <f t="shared" ca="1" si="43"/>
        <v>0</v>
      </c>
      <c r="J122" s="23">
        <f t="shared" ca="1" si="43"/>
        <v>0</v>
      </c>
      <c r="K122" s="23">
        <f t="shared" ca="1" si="43"/>
        <v>0</v>
      </c>
      <c r="L122" s="23">
        <f t="shared" ca="1" si="43"/>
        <v>0</v>
      </c>
      <c r="M122" s="23">
        <f t="shared" ca="1" si="43"/>
        <v>0</v>
      </c>
      <c r="N122" s="23">
        <f t="shared" ca="1" si="43"/>
        <v>0</v>
      </c>
      <c r="O122" s="23">
        <f t="shared" ca="1" si="43"/>
        <v>0</v>
      </c>
      <c r="P122" s="23">
        <f t="shared" ca="1" si="43"/>
        <v>0</v>
      </c>
      <c r="Q122" s="23">
        <f t="shared" ca="1" si="43"/>
        <v>0</v>
      </c>
      <c r="R122" s="23">
        <f t="shared" ca="1" si="43"/>
        <v>0</v>
      </c>
      <c r="S122" s="23">
        <f t="shared" ca="1" si="43"/>
        <v>0</v>
      </c>
      <c r="T122" s="23">
        <f t="shared" ca="1" si="43"/>
        <v>0</v>
      </c>
      <c r="U122" s="23">
        <f t="shared" ca="1" si="43"/>
        <v>0</v>
      </c>
      <c r="V122" s="23">
        <f t="shared" ca="1" si="43"/>
        <v>0</v>
      </c>
      <c r="W122" s="23">
        <f t="shared" ca="1" si="43"/>
        <v>0</v>
      </c>
      <c r="X122" s="23">
        <f t="shared" ca="1" si="43"/>
        <v>0</v>
      </c>
      <c r="Y122" s="23">
        <f t="shared" ca="1" si="43"/>
        <v>0</v>
      </c>
      <c r="Z122" s="23">
        <f t="shared" ca="1" si="43"/>
        <v>0</v>
      </c>
      <c r="AA122" s="23">
        <f t="shared" ca="1" si="43"/>
        <v>0</v>
      </c>
      <c r="AB122" s="23">
        <f t="shared" ca="1" si="43"/>
        <v>0</v>
      </c>
      <c r="AC122" s="23">
        <f t="shared" ca="1" si="43"/>
        <v>0</v>
      </c>
    </row>
    <row r="123" spans="1:29" x14ac:dyDescent="0.2">
      <c r="A123" t="s">
        <v>1059</v>
      </c>
      <c r="D123" s="23">
        <f ca="1">D115</f>
        <v>0</v>
      </c>
      <c r="E123" s="23">
        <f t="shared" ref="E123:AC123" ca="1" si="44">E115</f>
        <v>0</v>
      </c>
      <c r="F123" s="23">
        <f t="shared" ca="1" si="44"/>
        <v>0</v>
      </c>
      <c r="G123" s="23">
        <f t="shared" ca="1" si="44"/>
        <v>0</v>
      </c>
      <c r="H123" s="23">
        <f t="shared" ca="1" si="44"/>
        <v>0</v>
      </c>
      <c r="I123" s="23">
        <f t="shared" ca="1" si="44"/>
        <v>0</v>
      </c>
      <c r="J123" s="23">
        <f t="shared" ca="1" si="44"/>
        <v>0</v>
      </c>
      <c r="K123" s="23">
        <f t="shared" ca="1" si="44"/>
        <v>0</v>
      </c>
      <c r="L123" s="23">
        <f t="shared" ca="1" si="44"/>
        <v>0</v>
      </c>
      <c r="M123" s="23">
        <f t="shared" ca="1" si="44"/>
        <v>0</v>
      </c>
      <c r="N123" s="23">
        <f t="shared" ca="1" si="44"/>
        <v>0</v>
      </c>
      <c r="O123" s="23">
        <f t="shared" ca="1" si="44"/>
        <v>0</v>
      </c>
      <c r="P123" s="23">
        <f t="shared" ca="1" si="44"/>
        <v>0</v>
      </c>
      <c r="Q123" s="23">
        <f t="shared" ca="1" si="44"/>
        <v>0</v>
      </c>
      <c r="R123" s="23">
        <f t="shared" ca="1" si="44"/>
        <v>0</v>
      </c>
      <c r="S123" s="23">
        <f t="shared" ca="1" si="44"/>
        <v>0</v>
      </c>
      <c r="T123" s="23">
        <f t="shared" ca="1" si="44"/>
        <v>0</v>
      </c>
      <c r="U123" s="23">
        <f t="shared" ca="1" si="44"/>
        <v>0</v>
      </c>
      <c r="V123" s="23">
        <f t="shared" ca="1" si="44"/>
        <v>0</v>
      </c>
      <c r="W123" s="23">
        <f t="shared" ca="1" si="44"/>
        <v>0</v>
      </c>
      <c r="X123" s="23">
        <f t="shared" ca="1" si="44"/>
        <v>0</v>
      </c>
      <c r="Y123" s="23">
        <f t="shared" ca="1" si="44"/>
        <v>0</v>
      </c>
      <c r="Z123" s="23">
        <f t="shared" ca="1" si="44"/>
        <v>0</v>
      </c>
      <c r="AA123" s="23">
        <f t="shared" ca="1" si="44"/>
        <v>0</v>
      </c>
      <c r="AB123" s="23">
        <f t="shared" ca="1" si="44"/>
        <v>0</v>
      </c>
      <c r="AC123" s="23">
        <f t="shared" ca="1" si="44"/>
        <v>0</v>
      </c>
    </row>
    <row r="124" spans="1:29" x14ac:dyDescent="0.2">
      <c r="A124" t="s">
        <v>604</v>
      </c>
      <c r="D124" s="23">
        <f ca="1">D122 + D123</f>
        <v>0</v>
      </c>
      <c r="E124" s="23">
        <f t="shared" ref="E124:AC124" ca="1" si="45">E122 + E123</f>
        <v>0</v>
      </c>
      <c r="F124" s="23">
        <f t="shared" ca="1" si="45"/>
        <v>0</v>
      </c>
      <c r="G124" s="23">
        <f t="shared" ca="1" si="45"/>
        <v>0</v>
      </c>
      <c r="H124" s="23">
        <f t="shared" ca="1" si="45"/>
        <v>0</v>
      </c>
      <c r="I124" s="23">
        <f t="shared" ca="1" si="45"/>
        <v>0</v>
      </c>
      <c r="J124" s="23">
        <f t="shared" ca="1" si="45"/>
        <v>0</v>
      </c>
      <c r="K124" s="23">
        <f t="shared" ca="1" si="45"/>
        <v>0</v>
      </c>
      <c r="L124" s="23">
        <f t="shared" ca="1" si="45"/>
        <v>0</v>
      </c>
      <c r="M124" s="23">
        <f t="shared" ca="1" si="45"/>
        <v>0</v>
      </c>
      <c r="N124" s="23">
        <f t="shared" ca="1" si="45"/>
        <v>0</v>
      </c>
      <c r="O124" s="23">
        <f t="shared" ca="1" si="45"/>
        <v>0</v>
      </c>
      <c r="P124" s="23">
        <f t="shared" ca="1" si="45"/>
        <v>0</v>
      </c>
      <c r="Q124" s="23">
        <f t="shared" ca="1" si="45"/>
        <v>0</v>
      </c>
      <c r="R124" s="23">
        <f t="shared" ca="1" si="45"/>
        <v>0</v>
      </c>
      <c r="S124" s="23">
        <f t="shared" ca="1" si="45"/>
        <v>0</v>
      </c>
      <c r="T124" s="23">
        <f t="shared" ca="1" si="45"/>
        <v>0</v>
      </c>
      <c r="U124" s="23">
        <f t="shared" ca="1" si="45"/>
        <v>0</v>
      </c>
      <c r="V124" s="23">
        <f t="shared" ca="1" si="45"/>
        <v>0</v>
      </c>
      <c r="W124" s="23">
        <f t="shared" ca="1" si="45"/>
        <v>0</v>
      </c>
      <c r="X124" s="23">
        <f t="shared" ca="1" si="45"/>
        <v>0</v>
      </c>
      <c r="Y124" s="23">
        <f t="shared" ca="1" si="45"/>
        <v>0</v>
      </c>
      <c r="Z124" s="23">
        <f t="shared" ca="1" si="45"/>
        <v>0</v>
      </c>
      <c r="AA124" s="23">
        <f t="shared" ca="1" si="45"/>
        <v>0</v>
      </c>
      <c r="AB124" s="23">
        <f t="shared" ca="1" si="45"/>
        <v>0</v>
      </c>
      <c r="AC124" s="23">
        <f t="shared" ca="1" si="45"/>
        <v>0</v>
      </c>
    </row>
    <row r="125" spans="1:29" x14ac:dyDescent="0.2">
      <c r="A125" t="s">
        <v>1060</v>
      </c>
      <c r="D125" s="23">
        <f ca="1">D106</f>
        <v>0</v>
      </c>
      <c r="E125" s="23">
        <f t="shared" ref="E125:AC125" ca="1" si="46">E106</f>
        <v>0</v>
      </c>
      <c r="F125" s="23">
        <f t="shared" ca="1" si="46"/>
        <v>0</v>
      </c>
      <c r="G125" s="23">
        <f t="shared" ca="1" si="46"/>
        <v>0</v>
      </c>
      <c r="H125" s="23">
        <f t="shared" ca="1" si="46"/>
        <v>0</v>
      </c>
      <c r="I125" s="23">
        <f t="shared" ca="1" si="46"/>
        <v>0</v>
      </c>
      <c r="J125" s="23">
        <f t="shared" ca="1" si="46"/>
        <v>0</v>
      </c>
      <c r="K125" s="23">
        <f t="shared" ca="1" si="46"/>
        <v>0</v>
      </c>
      <c r="L125" s="23">
        <f t="shared" ca="1" si="46"/>
        <v>0</v>
      </c>
      <c r="M125" s="23">
        <f t="shared" ca="1" si="46"/>
        <v>0</v>
      </c>
      <c r="N125" s="23">
        <f t="shared" ca="1" si="46"/>
        <v>0</v>
      </c>
      <c r="O125" s="23">
        <f t="shared" ca="1" si="46"/>
        <v>0</v>
      </c>
      <c r="P125" s="23">
        <f t="shared" ca="1" si="46"/>
        <v>0</v>
      </c>
      <c r="Q125" s="23">
        <f t="shared" ca="1" si="46"/>
        <v>0</v>
      </c>
      <c r="R125" s="23">
        <f t="shared" ca="1" si="46"/>
        <v>0</v>
      </c>
      <c r="S125" s="23">
        <f t="shared" ca="1" si="46"/>
        <v>0</v>
      </c>
      <c r="T125" s="23">
        <f t="shared" ca="1" si="46"/>
        <v>0</v>
      </c>
      <c r="U125" s="23">
        <f t="shared" ca="1" si="46"/>
        <v>0</v>
      </c>
      <c r="V125" s="23">
        <f t="shared" ca="1" si="46"/>
        <v>0</v>
      </c>
      <c r="W125" s="23">
        <f t="shared" ca="1" si="46"/>
        <v>0</v>
      </c>
      <c r="X125" s="23">
        <f t="shared" ca="1" si="46"/>
        <v>0</v>
      </c>
      <c r="Y125" s="23">
        <f t="shared" ca="1" si="46"/>
        <v>0</v>
      </c>
      <c r="Z125" s="23">
        <f t="shared" ca="1" si="46"/>
        <v>0</v>
      </c>
      <c r="AA125" s="23">
        <f t="shared" ca="1" si="46"/>
        <v>0</v>
      </c>
      <c r="AB125" s="23">
        <f t="shared" ca="1" si="46"/>
        <v>0</v>
      </c>
      <c r="AC125" s="23">
        <f t="shared" ca="1" si="46"/>
        <v>0</v>
      </c>
    </row>
    <row r="126" spans="1:29" x14ac:dyDescent="0.2">
      <c r="A126" t="s">
        <v>1061</v>
      </c>
      <c r="D126" s="23">
        <f ca="1">D107</f>
        <v>0</v>
      </c>
      <c r="E126" s="23">
        <f t="shared" ref="E126:AC126" ca="1" si="47">E107</f>
        <v>0</v>
      </c>
      <c r="F126" s="23">
        <f t="shared" ca="1" si="47"/>
        <v>0</v>
      </c>
      <c r="G126" s="23">
        <f t="shared" ca="1" si="47"/>
        <v>0</v>
      </c>
      <c r="H126" s="23">
        <f t="shared" ca="1" si="47"/>
        <v>0</v>
      </c>
      <c r="I126" s="23">
        <f t="shared" ca="1" si="47"/>
        <v>0</v>
      </c>
      <c r="J126" s="23">
        <f t="shared" ca="1" si="47"/>
        <v>0</v>
      </c>
      <c r="K126" s="23">
        <f t="shared" ca="1" si="47"/>
        <v>0</v>
      </c>
      <c r="L126" s="23">
        <f t="shared" ca="1" si="47"/>
        <v>0</v>
      </c>
      <c r="M126" s="23">
        <f t="shared" ca="1" si="47"/>
        <v>0</v>
      </c>
      <c r="N126" s="23">
        <f t="shared" ca="1" si="47"/>
        <v>0</v>
      </c>
      <c r="O126" s="23">
        <f t="shared" ca="1" si="47"/>
        <v>0</v>
      </c>
      <c r="P126" s="23">
        <f t="shared" ca="1" si="47"/>
        <v>0</v>
      </c>
      <c r="Q126" s="23">
        <f t="shared" ca="1" si="47"/>
        <v>0</v>
      </c>
      <c r="R126" s="23">
        <f t="shared" ca="1" si="47"/>
        <v>0</v>
      </c>
      <c r="S126" s="23">
        <f t="shared" ca="1" si="47"/>
        <v>0</v>
      </c>
      <c r="T126" s="23">
        <f t="shared" ca="1" si="47"/>
        <v>0</v>
      </c>
      <c r="U126" s="23">
        <f t="shared" ca="1" si="47"/>
        <v>0</v>
      </c>
      <c r="V126" s="23">
        <f t="shared" ca="1" si="47"/>
        <v>0</v>
      </c>
      <c r="W126" s="23">
        <f t="shared" ca="1" si="47"/>
        <v>0</v>
      </c>
      <c r="X126" s="23">
        <f t="shared" ca="1" si="47"/>
        <v>0</v>
      </c>
      <c r="Y126" s="23">
        <f t="shared" ca="1" si="47"/>
        <v>0</v>
      </c>
      <c r="Z126" s="23">
        <f t="shared" ca="1" si="47"/>
        <v>0</v>
      </c>
      <c r="AA126" s="23">
        <f t="shared" ca="1" si="47"/>
        <v>0</v>
      </c>
      <c r="AB126" s="23">
        <f t="shared" ca="1" si="47"/>
        <v>0</v>
      </c>
      <c r="AC126" s="23">
        <f t="shared" ca="1" si="47"/>
        <v>0</v>
      </c>
    </row>
    <row r="127" spans="1:29" x14ac:dyDescent="0.2">
      <c r="A127" t="s">
        <v>1062</v>
      </c>
      <c r="D127" s="23">
        <f ca="1">D108</f>
        <v>0</v>
      </c>
      <c r="E127" s="23">
        <f t="shared" ref="E127:AC127" ca="1" si="48">E108</f>
        <v>0</v>
      </c>
      <c r="F127" s="23">
        <f t="shared" ca="1" si="48"/>
        <v>0</v>
      </c>
      <c r="G127" s="23">
        <f t="shared" ca="1" si="48"/>
        <v>0</v>
      </c>
      <c r="H127" s="23">
        <f t="shared" ca="1" si="48"/>
        <v>0</v>
      </c>
      <c r="I127" s="23">
        <f t="shared" ca="1" si="48"/>
        <v>0</v>
      </c>
      <c r="J127" s="23">
        <f t="shared" ca="1" si="48"/>
        <v>0</v>
      </c>
      <c r="K127" s="23">
        <f t="shared" ca="1" si="48"/>
        <v>0</v>
      </c>
      <c r="L127" s="23">
        <f t="shared" ca="1" si="48"/>
        <v>0</v>
      </c>
      <c r="M127" s="23">
        <f t="shared" ca="1" si="48"/>
        <v>0</v>
      </c>
      <c r="N127" s="23">
        <f t="shared" ca="1" si="48"/>
        <v>0</v>
      </c>
      <c r="O127" s="23">
        <f t="shared" ca="1" si="48"/>
        <v>0</v>
      </c>
      <c r="P127" s="23">
        <f t="shared" ca="1" si="48"/>
        <v>0</v>
      </c>
      <c r="Q127" s="23">
        <f t="shared" ca="1" si="48"/>
        <v>0</v>
      </c>
      <c r="R127" s="23">
        <f t="shared" ca="1" si="48"/>
        <v>0</v>
      </c>
      <c r="S127" s="23">
        <f t="shared" ca="1" si="48"/>
        <v>0</v>
      </c>
      <c r="T127" s="23">
        <f t="shared" ca="1" si="48"/>
        <v>0</v>
      </c>
      <c r="U127" s="23">
        <f t="shared" ca="1" si="48"/>
        <v>0</v>
      </c>
      <c r="V127" s="23">
        <f t="shared" ca="1" si="48"/>
        <v>0</v>
      </c>
      <c r="W127" s="23">
        <f t="shared" ca="1" si="48"/>
        <v>0</v>
      </c>
      <c r="X127" s="23">
        <f t="shared" ca="1" si="48"/>
        <v>0</v>
      </c>
      <c r="Y127" s="23">
        <f t="shared" ca="1" si="48"/>
        <v>0</v>
      </c>
      <c r="Z127" s="23">
        <f t="shared" ca="1" si="48"/>
        <v>0</v>
      </c>
      <c r="AA127" s="23">
        <f t="shared" ca="1" si="48"/>
        <v>0</v>
      </c>
      <c r="AB127" s="23">
        <f t="shared" ca="1" si="48"/>
        <v>0</v>
      </c>
      <c r="AC127" s="23">
        <f t="shared" ca="1" si="48"/>
        <v>0</v>
      </c>
    </row>
    <row r="128" spans="1:29" x14ac:dyDescent="0.2">
      <c r="A128" t="s">
        <v>1063</v>
      </c>
      <c r="D128" s="23">
        <f ca="1">D111</f>
        <v>0</v>
      </c>
      <c r="E128" s="23">
        <f t="shared" ref="E128:AC128" ca="1" si="49">E111</f>
        <v>0</v>
      </c>
      <c r="F128" s="23">
        <f t="shared" ca="1" si="49"/>
        <v>0</v>
      </c>
      <c r="G128" s="23">
        <f t="shared" ca="1" si="49"/>
        <v>0</v>
      </c>
      <c r="H128" s="23">
        <f t="shared" ca="1" si="49"/>
        <v>0</v>
      </c>
      <c r="I128" s="23">
        <f t="shared" ca="1" si="49"/>
        <v>0</v>
      </c>
      <c r="J128" s="23">
        <f t="shared" ca="1" si="49"/>
        <v>0</v>
      </c>
      <c r="K128" s="23">
        <f t="shared" ca="1" si="49"/>
        <v>0</v>
      </c>
      <c r="L128" s="23">
        <f t="shared" ca="1" si="49"/>
        <v>0</v>
      </c>
      <c r="M128" s="23">
        <f t="shared" ca="1" si="49"/>
        <v>0</v>
      </c>
      <c r="N128" s="23">
        <f t="shared" ca="1" si="49"/>
        <v>0</v>
      </c>
      <c r="O128" s="23">
        <f t="shared" ca="1" si="49"/>
        <v>0</v>
      </c>
      <c r="P128" s="23">
        <f t="shared" ca="1" si="49"/>
        <v>0</v>
      </c>
      <c r="Q128" s="23">
        <f t="shared" ca="1" si="49"/>
        <v>0</v>
      </c>
      <c r="R128" s="23">
        <f t="shared" ca="1" si="49"/>
        <v>0</v>
      </c>
      <c r="S128" s="23">
        <f t="shared" ca="1" si="49"/>
        <v>0</v>
      </c>
      <c r="T128" s="23">
        <f t="shared" ca="1" si="49"/>
        <v>0</v>
      </c>
      <c r="U128" s="23">
        <f t="shared" ca="1" si="49"/>
        <v>0</v>
      </c>
      <c r="V128" s="23">
        <f t="shared" ca="1" si="49"/>
        <v>0</v>
      </c>
      <c r="W128" s="23">
        <f t="shared" ca="1" si="49"/>
        <v>0</v>
      </c>
      <c r="X128" s="23">
        <f t="shared" ca="1" si="49"/>
        <v>0</v>
      </c>
      <c r="Y128" s="23">
        <f t="shared" ca="1" si="49"/>
        <v>0</v>
      </c>
      <c r="Z128" s="23">
        <f t="shared" ca="1" si="49"/>
        <v>0</v>
      </c>
      <c r="AA128" s="23">
        <f t="shared" ca="1" si="49"/>
        <v>0</v>
      </c>
      <c r="AB128" s="23">
        <f t="shared" ca="1" si="49"/>
        <v>0</v>
      </c>
      <c r="AC128" s="23">
        <f t="shared" ca="1" si="49"/>
        <v>0</v>
      </c>
    </row>
    <row r="129" spans="1:29" x14ac:dyDescent="0.2">
      <c r="A129" t="s">
        <v>1064</v>
      </c>
      <c r="D129" s="23">
        <f ca="1">D109</f>
        <v>0</v>
      </c>
      <c r="E129" s="23">
        <f t="shared" ref="E129:AC129" ca="1" si="50">E109</f>
        <v>0</v>
      </c>
      <c r="F129" s="23">
        <f t="shared" ca="1" si="50"/>
        <v>0</v>
      </c>
      <c r="G129" s="23">
        <f t="shared" ca="1" si="50"/>
        <v>0</v>
      </c>
      <c r="H129" s="23">
        <f t="shared" ca="1" si="50"/>
        <v>0</v>
      </c>
      <c r="I129" s="23">
        <f t="shared" ca="1" si="50"/>
        <v>0</v>
      </c>
      <c r="J129" s="23">
        <f t="shared" ca="1" si="50"/>
        <v>0</v>
      </c>
      <c r="K129" s="23">
        <f t="shared" ca="1" si="50"/>
        <v>0</v>
      </c>
      <c r="L129" s="23">
        <f t="shared" ca="1" si="50"/>
        <v>0</v>
      </c>
      <c r="M129" s="23">
        <f t="shared" ca="1" si="50"/>
        <v>0</v>
      </c>
      <c r="N129" s="23">
        <f t="shared" ca="1" si="50"/>
        <v>0</v>
      </c>
      <c r="O129" s="23">
        <f t="shared" ca="1" si="50"/>
        <v>0</v>
      </c>
      <c r="P129" s="23">
        <f t="shared" ca="1" si="50"/>
        <v>0</v>
      </c>
      <c r="Q129" s="23">
        <f t="shared" ca="1" si="50"/>
        <v>0</v>
      </c>
      <c r="R129" s="23">
        <f t="shared" ca="1" si="50"/>
        <v>0</v>
      </c>
      <c r="S129" s="23">
        <f t="shared" ca="1" si="50"/>
        <v>0</v>
      </c>
      <c r="T129" s="23">
        <f t="shared" ca="1" si="50"/>
        <v>0</v>
      </c>
      <c r="U129" s="23">
        <f t="shared" ca="1" si="50"/>
        <v>0</v>
      </c>
      <c r="V129" s="23">
        <f t="shared" ca="1" si="50"/>
        <v>0</v>
      </c>
      <c r="W129" s="23">
        <f t="shared" ca="1" si="50"/>
        <v>0</v>
      </c>
      <c r="X129" s="23">
        <f t="shared" ca="1" si="50"/>
        <v>0</v>
      </c>
      <c r="Y129" s="23">
        <f t="shared" ca="1" si="50"/>
        <v>0</v>
      </c>
      <c r="Z129" s="23">
        <f t="shared" ca="1" si="50"/>
        <v>0</v>
      </c>
      <c r="AA129" s="23">
        <f t="shared" ca="1" si="50"/>
        <v>0</v>
      </c>
      <c r="AB129" s="23">
        <f t="shared" ca="1" si="50"/>
        <v>0</v>
      </c>
      <c r="AC129" s="23">
        <f t="shared" ca="1" si="50"/>
        <v>0</v>
      </c>
    </row>
    <row r="130" spans="1:29" x14ac:dyDescent="0.2">
      <c r="A130" t="s">
        <v>1065</v>
      </c>
      <c r="D130" s="23">
        <f ca="1">D110</f>
        <v>0</v>
      </c>
      <c r="E130" s="23">
        <f t="shared" ref="E130:AC130" ca="1" si="51">E110</f>
        <v>0</v>
      </c>
      <c r="F130" s="23">
        <f t="shared" ca="1" si="51"/>
        <v>0</v>
      </c>
      <c r="G130" s="23">
        <f t="shared" ca="1" si="51"/>
        <v>0</v>
      </c>
      <c r="H130" s="23">
        <f t="shared" ca="1" si="51"/>
        <v>0</v>
      </c>
      <c r="I130" s="23">
        <f t="shared" ca="1" si="51"/>
        <v>0</v>
      </c>
      <c r="J130" s="23">
        <f t="shared" ca="1" si="51"/>
        <v>0</v>
      </c>
      <c r="K130" s="23">
        <f t="shared" ca="1" si="51"/>
        <v>0</v>
      </c>
      <c r="L130" s="23">
        <f t="shared" ca="1" si="51"/>
        <v>0</v>
      </c>
      <c r="M130" s="23">
        <f t="shared" ca="1" si="51"/>
        <v>0</v>
      </c>
      <c r="N130" s="23">
        <f t="shared" ca="1" si="51"/>
        <v>0</v>
      </c>
      <c r="O130" s="23">
        <f t="shared" ca="1" si="51"/>
        <v>0</v>
      </c>
      <c r="P130" s="23">
        <f t="shared" ca="1" si="51"/>
        <v>0</v>
      </c>
      <c r="Q130" s="23">
        <f t="shared" ca="1" si="51"/>
        <v>0</v>
      </c>
      <c r="R130" s="23">
        <f t="shared" ca="1" si="51"/>
        <v>0</v>
      </c>
      <c r="S130" s="23">
        <f t="shared" ca="1" si="51"/>
        <v>0</v>
      </c>
      <c r="T130" s="23">
        <f t="shared" ca="1" si="51"/>
        <v>0</v>
      </c>
      <c r="U130" s="23">
        <f t="shared" ca="1" si="51"/>
        <v>0</v>
      </c>
      <c r="V130" s="23">
        <f t="shared" ca="1" si="51"/>
        <v>0</v>
      </c>
      <c r="W130" s="23">
        <f t="shared" ca="1" si="51"/>
        <v>0</v>
      </c>
      <c r="X130" s="23">
        <f t="shared" ca="1" si="51"/>
        <v>0</v>
      </c>
      <c r="Y130" s="23">
        <f t="shared" ca="1" si="51"/>
        <v>0</v>
      </c>
      <c r="Z130" s="23">
        <f t="shared" ca="1" si="51"/>
        <v>0</v>
      </c>
      <c r="AA130" s="23">
        <f t="shared" ca="1" si="51"/>
        <v>0</v>
      </c>
      <c r="AB130" s="23">
        <f t="shared" ca="1" si="51"/>
        <v>0</v>
      </c>
      <c r="AC130" s="23">
        <f t="shared" ca="1" si="51"/>
        <v>0</v>
      </c>
    </row>
    <row r="131" spans="1:29" x14ac:dyDescent="0.2">
      <c r="A131" t="s">
        <v>767</v>
      </c>
      <c r="D131" s="23">
        <f ca="1">SUM(D125:D130)</f>
        <v>0</v>
      </c>
      <c r="E131" s="23">
        <f t="shared" ref="E131:AC131" ca="1" si="52">SUM(E125:E130)</f>
        <v>0</v>
      </c>
      <c r="F131" s="23">
        <f t="shared" ca="1" si="52"/>
        <v>0</v>
      </c>
      <c r="G131" s="23">
        <f t="shared" ca="1" si="52"/>
        <v>0</v>
      </c>
      <c r="H131" s="23">
        <f t="shared" ca="1" si="52"/>
        <v>0</v>
      </c>
      <c r="I131" s="23">
        <f t="shared" ca="1" si="52"/>
        <v>0</v>
      </c>
      <c r="J131" s="23">
        <f t="shared" ca="1" si="52"/>
        <v>0</v>
      </c>
      <c r="K131" s="23">
        <f t="shared" ca="1" si="52"/>
        <v>0</v>
      </c>
      <c r="L131" s="23">
        <f t="shared" ca="1" si="52"/>
        <v>0</v>
      </c>
      <c r="M131" s="23">
        <f t="shared" ca="1" si="52"/>
        <v>0</v>
      </c>
      <c r="N131" s="23">
        <f t="shared" ca="1" si="52"/>
        <v>0</v>
      </c>
      <c r="O131" s="23">
        <f t="shared" ca="1" si="52"/>
        <v>0</v>
      </c>
      <c r="P131" s="23">
        <f t="shared" ca="1" si="52"/>
        <v>0</v>
      </c>
      <c r="Q131" s="23">
        <f t="shared" ca="1" si="52"/>
        <v>0</v>
      </c>
      <c r="R131" s="23">
        <f t="shared" ca="1" si="52"/>
        <v>0</v>
      </c>
      <c r="S131" s="23">
        <f t="shared" ca="1" si="52"/>
        <v>0</v>
      </c>
      <c r="T131" s="23">
        <f t="shared" ca="1" si="52"/>
        <v>0</v>
      </c>
      <c r="U131" s="23">
        <f t="shared" ca="1" si="52"/>
        <v>0</v>
      </c>
      <c r="V131" s="23">
        <f t="shared" ca="1" si="52"/>
        <v>0</v>
      </c>
      <c r="W131" s="23">
        <f t="shared" ca="1" si="52"/>
        <v>0</v>
      </c>
      <c r="X131" s="23">
        <f t="shared" ca="1" si="52"/>
        <v>0</v>
      </c>
      <c r="Y131" s="23">
        <f t="shared" ca="1" si="52"/>
        <v>0</v>
      </c>
      <c r="Z131" s="23">
        <f t="shared" ca="1" si="52"/>
        <v>0</v>
      </c>
      <c r="AA131" s="23">
        <f t="shared" ca="1" si="52"/>
        <v>0</v>
      </c>
      <c r="AB131" s="23">
        <f t="shared" ca="1" si="52"/>
        <v>0</v>
      </c>
      <c r="AC131" s="23">
        <f t="shared" ca="1" si="52"/>
        <v>0</v>
      </c>
    </row>
    <row r="132" spans="1:29" x14ac:dyDescent="0.2">
      <c r="A132" t="s">
        <v>768</v>
      </c>
      <c r="D132" s="23">
        <f ca="1">D124 - D131</f>
        <v>0</v>
      </c>
      <c r="E132" s="23">
        <f t="shared" ref="E132:AC132" ca="1" si="53">E124 - E131</f>
        <v>0</v>
      </c>
      <c r="F132" s="23">
        <f t="shared" ca="1" si="53"/>
        <v>0</v>
      </c>
      <c r="G132" s="23">
        <f t="shared" ca="1" si="53"/>
        <v>0</v>
      </c>
      <c r="H132" s="23">
        <f t="shared" ca="1" si="53"/>
        <v>0</v>
      </c>
      <c r="I132" s="23">
        <f t="shared" ca="1" si="53"/>
        <v>0</v>
      </c>
      <c r="J132" s="23">
        <f t="shared" ca="1" si="53"/>
        <v>0</v>
      </c>
      <c r="K132" s="23">
        <f t="shared" ca="1" si="53"/>
        <v>0</v>
      </c>
      <c r="L132" s="23">
        <f t="shared" ca="1" si="53"/>
        <v>0</v>
      </c>
      <c r="M132" s="23">
        <f t="shared" ca="1" si="53"/>
        <v>0</v>
      </c>
      <c r="N132" s="23">
        <f t="shared" ca="1" si="53"/>
        <v>0</v>
      </c>
      <c r="O132" s="23">
        <f t="shared" ca="1" si="53"/>
        <v>0</v>
      </c>
      <c r="P132" s="23">
        <f t="shared" ca="1" si="53"/>
        <v>0</v>
      </c>
      <c r="Q132" s="23">
        <f t="shared" ca="1" si="53"/>
        <v>0</v>
      </c>
      <c r="R132" s="23">
        <f t="shared" ca="1" si="53"/>
        <v>0</v>
      </c>
      <c r="S132" s="23">
        <f t="shared" ca="1" si="53"/>
        <v>0</v>
      </c>
      <c r="T132" s="23">
        <f t="shared" ca="1" si="53"/>
        <v>0</v>
      </c>
      <c r="U132" s="23">
        <f t="shared" ca="1" si="53"/>
        <v>0</v>
      </c>
      <c r="V132" s="23">
        <f t="shared" ca="1" si="53"/>
        <v>0</v>
      </c>
      <c r="W132" s="23">
        <f t="shared" ca="1" si="53"/>
        <v>0</v>
      </c>
      <c r="X132" s="23">
        <f t="shared" ca="1" si="53"/>
        <v>0</v>
      </c>
      <c r="Y132" s="23">
        <f t="shared" ca="1" si="53"/>
        <v>0</v>
      </c>
      <c r="Z132" s="23">
        <f t="shared" ca="1" si="53"/>
        <v>0</v>
      </c>
      <c r="AA132" s="23">
        <f t="shared" ca="1" si="53"/>
        <v>0</v>
      </c>
      <c r="AB132" s="23">
        <f t="shared" ca="1" si="53"/>
        <v>0</v>
      </c>
      <c r="AC132" s="23">
        <f t="shared" ca="1" si="53"/>
        <v>0</v>
      </c>
    </row>
    <row r="133" spans="1:29" x14ac:dyDescent="0.2">
      <c r="A133" t="s">
        <v>605</v>
      </c>
      <c r="D133" s="23">
        <f ca="1">D132</f>
        <v>0</v>
      </c>
      <c r="E133" s="23">
        <f t="shared" ref="E133:AC133" ca="1" si="54">E132</f>
        <v>0</v>
      </c>
      <c r="F133" s="23">
        <f t="shared" ca="1" si="54"/>
        <v>0</v>
      </c>
      <c r="G133" s="23">
        <f t="shared" ca="1" si="54"/>
        <v>0</v>
      </c>
      <c r="H133" s="23">
        <f t="shared" ca="1" si="54"/>
        <v>0</v>
      </c>
      <c r="I133" s="23">
        <f t="shared" ca="1" si="54"/>
        <v>0</v>
      </c>
      <c r="J133" s="23">
        <f t="shared" ca="1" si="54"/>
        <v>0</v>
      </c>
      <c r="K133" s="23">
        <f t="shared" ca="1" si="54"/>
        <v>0</v>
      </c>
      <c r="L133" s="23">
        <f t="shared" ca="1" si="54"/>
        <v>0</v>
      </c>
      <c r="M133" s="23">
        <f t="shared" ca="1" si="54"/>
        <v>0</v>
      </c>
      <c r="N133" s="23">
        <f t="shared" ca="1" si="54"/>
        <v>0</v>
      </c>
      <c r="O133" s="23">
        <f t="shared" ca="1" si="54"/>
        <v>0</v>
      </c>
      <c r="P133" s="23">
        <f t="shared" ca="1" si="54"/>
        <v>0</v>
      </c>
      <c r="Q133" s="23">
        <f t="shared" ca="1" si="54"/>
        <v>0</v>
      </c>
      <c r="R133" s="23">
        <f t="shared" ca="1" si="54"/>
        <v>0</v>
      </c>
      <c r="S133" s="23">
        <f t="shared" ca="1" si="54"/>
        <v>0</v>
      </c>
      <c r="T133" s="23">
        <f t="shared" ca="1" si="54"/>
        <v>0</v>
      </c>
      <c r="U133" s="23">
        <f t="shared" ca="1" si="54"/>
        <v>0</v>
      </c>
      <c r="V133" s="23">
        <f t="shared" ca="1" si="54"/>
        <v>0</v>
      </c>
      <c r="W133" s="23">
        <f t="shared" ca="1" si="54"/>
        <v>0</v>
      </c>
      <c r="X133" s="23">
        <f t="shared" ca="1" si="54"/>
        <v>0</v>
      </c>
      <c r="Y133" s="23">
        <f t="shared" ca="1" si="54"/>
        <v>0</v>
      </c>
      <c r="Z133" s="23">
        <f t="shared" ca="1" si="54"/>
        <v>0</v>
      </c>
      <c r="AA133" s="23">
        <f t="shared" ca="1" si="54"/>
        <v>0</v>
      </c>
      <c r="AB133" s="23">
        <f t="shared" ca="1" si="54"/>
        <v>0</v>
      </c>
      <c r="AC133" s="23">
        <f t="shared" ca="1" si="54"/>
        <v>0</v>
      </c>
    </row>
    <row r="134" spans="1:29" x14ac:dyDescent="0.2">
      <c r="A134" t="s">
        <v>606</v>
      </c>
      <c r="D134" s="17">
        <f ca="1">IFERROR(D133 / D124, 0)</f>
        <v>0</v>
      </c>
      <c r="E134" s="17">
        <f t="shared" ref="E134:AC134" ca="1" si="55">IFERROR(E133 / E124, 0)</f>
        <v>0</v>
      </c>
      <c r="F134" s="17">
        <f t="shared" ca="1" si="55"/>
        <v>0</v>
      </c>
      <c r="G134" s="17">
        <f t="shared" ca="1" si="55"/>
        <v>0</v>
      </c>
      <c r="H134" s="17">
        <f t="shared" ca="1" si="55"/>
        <v>0</v>
      </c>
      <c r="I134" s="17">
        <f t="shared" ca="1" si="55"/>
        <v>0</v>
      </c>
      <c r="J134" s="17">
        <f t="shared" ca="1" si="55"/>
        <v>0</v>
      </c>
      <c r="K134" s="17">
        <f t="shared" ca="1" si="55"/>
        <v>0</v>
      </c>
      <c r="L134" s="17">
        <f t="shared" ca="1" si="55"/>
        <v>0</v>
      </c>
      <c r="M134" s="17">
        <f t="shared" ca="1" si="55"/>
        <v>0</v>
      </c>
      <c r="N134" s="17">
        <f t="shared" ca="1" si="55"/>
        <v>0</v>
      </c>
      <c r="O134" s="17">
        <f t="shared" ca="1" si="55"/>
        <v>0</v>
      </c>
      <c r="P134" s="17">
        <f t="shared" ca="1" si="55"/>
        <v>0</v>
      </c>
      <c r="Q134" s="17">
        <f t="shared" ca="1" si="55"/>
        <v>0</v>
      </c>
      <c r="R134" s="17">
        <f t="shared" ca="1" si="55"/>
        <v>0</v>
      </c>
      <c r="S134" s="17">
        <f t="shared" ca="1" si="55"/>
        <v>0</v>
      </c>
      <c r="T134" s="17">
        <f t="shared" ca="1" si="55"/>
        <v>0</v>
      </c>
      <c r="U134" s="17">
        <f t="shared" ca="1" si="55"/>
        <v>0</v>
      </c>
      <c r="V134" s="17">
        <f t="shared" ca="1" si="55"/>
        <v>0</v>
      </c>
      <c r="W134" s="17">
        <f t="shared" ca="1" si="55"/>
        <v>0</v>
      </c>
      <c r="X134" s="17">
        <f t="shared" ca="1" si="55"/>
        <v>0</v>
      </c>
      <c r="Y134" s="17">
        <f t="shared" ca="1" si="55"/>
        <v>0</v>
      </c>
      <c r="Z134" s="17">
        <f t="shared" ca="1" si="55"/>
        <v>0</v>
      </c>
      <c r="AA134" s="17">
        <f t="shared" ca="1" si="55"/>
        <v>0</v>
      </c>
      <c r="AB134" s="17">
        <f t="shared" ca="1" si="55"/>
        <v>0</v>
      </c>
      <c r="AC134" s="17">
        <f t="shared" ca="1" si="55"/>
        <v>0</v>
      </c>
    </row>
    <row r="135" spans="1:29" x14ac:dyDescent="0.2">
      <c r="A135" t="s">
        <v>608</v>
      </c>
      <c r="D135" s="23">
        <f ca="1">D69 * D48</f>
        <v>0</v>
      </c>
      <c r="E135" s="23">
        <f t="shared" ref="E135:AC135" ca="1" si="56">E69 * E48</f>
        <v>0</v>
      </c>
      <c r="F135" s="23">
        <f t="shared" ca="1" si="56"/>
        <v>0</v>
      </c>
      <c r="G135" s="23">
        <f t="shared" ca="1" si="56"/>
        <v>0</v>
      </c>
      <c r="H135" s="23">
        <f t="shared" ca="1" si="56"/>
        <v>0</v>
      </c>
      <c r="I135" s="23">
        <f t="shared" ca="1" si="56"/>
        <v>0</v>
      </c>
      <c r="J135" s="23">
        <f t="shared" ca="1" si="56"/>
        <v>0</v>
      </c>
      <c r="K135" s="23">
        <f t="shared" ca="1" si="56"/>
        <v>0</v>
      </c>
      <c r="L135" s="23">
        <f t="shared" ca="1" si="56"/>
        <v>0</v>
      </c>
      <c r="M135" s="23">
        <f t="shared" ca="1" si="56"/>
        <v>0</v>
      </c>
      <c r="N135" s="23">
        <f t="shared" ca="1" si="56"/>
        <v>0</v>
      </c>
      <c r="O135" s="23">
        <f t="shared" ca="1" si="56"/>
        <v>0</v>
      </c>
      <c r="P135" s="23">
        <f t="shared" ca="1" si="56"/>
        <v>0</v>
      </c>
      <c r="Q135" s="23">
        <f t="shared" ca="1" si="56"/>
        <v>0</v>
      </c>
      <c r="R135" s="23">
        <f t="shared" ca="1" si="56"/>
        <v>0</v>
      </c>
      <c r="S135" s="23">
        <f t="shared" ca="1" si="56"/>
        <v>0</v>
      </c>
      <c r="T135" s="23">
        <f t="shared" ca="1" si="56"/>
        <v>0</v>
      </c>
      <c r="U135" s="23">
        <f t="shared" ca="1" si="56"/>
        <v>0</v>
      </c>
      <c r="V135" s="23">
        <f t="shared" ca="1" si="56"/>
        <v>0</v>
      </c>
      <c r="W135" s="23">
        <f t="shared" ca="1" si="56"/>
        <v>0</v>
      </c>
      <c r="X135" s="23">
        <f t="shared" ca="1" si="56"/>
        <v>0</v>
      </c>
      <c r="Y135" s="23">
        <f t="shared" ca="1" si="56"/>
        <v>0</v>
      </c>
      <c r="Z135" s="23">
        <f t="shared" ca="1" si="56"/>
        <v>0</v>
      </c>
      <c r="AA135" s="23">
        <f t="shared" ca="1" si="56"/>
        <v>0</v>
      </c>
      <c r="AB135" s="23">
        <f t="shared" ca="1" si="56"/>
        <v>0</v>
      </c>
      <c r="AC135" s="23">
        <f t="shared" ca="1" si="56"/>
        <v>0</v>
      </c>
    </row>
    <row r="136" spans="1:29" x14ac:dyDescent="0.2">
      <c r="A136" t="s">
        <v>1066</v>
      </c>
      <c r="D136" s="23">
        <f ca="1">D135</f>
        <v>0</v>
      </c>
      <c r="E136" s="23">
        <f t="shared" ref="E136:AC136" ca="1" si="57">E135</f>
        <v>0</v>
      </c>
      <c r="F136" s="23">
        <f t="shared" ca="1" si="57"/>
        <v>0</v>
      </c>
      <c r="G136" s="23">
        <f t="shared" ca="1" si="57"/>
        <v>0</v>
      </c>
      <c r="H136" s="23">
        <f t="shared" ca="1" si="57"/>
        <v>0</v>
      </c>
      <c r="I136" s="23">
        <f t="shared" ca="1" si="57"/>
        <v>0</v>
      </c>
      <c r="J136" s="23">
        <f t="shared" ca="1" si="57"/>
        <v>0</v>
      </c>
      <c r="K136" s="23">
        <f t="shared" ca="1" si="57"/>
        <v>0</v>
      </c>
      <c r="L136" s="23">
        <f t="shared" ca="1" si="57"/>
        <v>0</v>
      </c>
      <c r="M136" s="23">
        <f t="shared" ca="1" si="57"/>
        <v>0</v>
      </c>
      <c r="N136" s="23">
        <f t="shared" ca="1" si="57"/>
        <v>0</v>
      </c>
      <c r="O136" s="23">
        <f t="shared" ca="1" si="57"/>
        <v>0</v>
      </c>
      <c r="P136" s="23">
        <f t="shared" ca="1" si="57"/>
        <v>0</v>
      </c>
      <c r="Q136" s="23">
        <f t="shared" ca="1" si="57"/>
        <v>0</v>
      </c>
      <c r="R136" s="23">
        <f t="shared" ca="1" si="57"/>
        <v>0</v>
      </c>
      <c r="S136" s="23">
        <f t="shared" ca="1" si="57"/>
        <v>0</v>
      </c>
      <c r="T136" s="23">
        <f t="shared" ca="1" si="57"/>
        <v>0</v>
      </c>
      <c r="U136" s="23">
        <f t="shared" ca="1" si="57"/>
        <v>0</v>
      </c>
      <c r="V136" s="23">
        <f t="shared" ca="1" si="57"/>
        <v>0</v>
      </c>
      <c r="W136" s="23">
        <f t="shared" ca="1" si="57"/>
        <v>0</v>
      </c>
      <c r="X136" s="23">
        <f t="shared" ca="1" si="57"/>
        <v>0</v>
      </c>
      <c r="Y136" s="23">
        <f t="shared" ca="1" si="57"/>
        <v>0</v>
      </c>
      <c r="Z136" s="23">
        <f t="shared" ca="1" si="57"/>
        <v>0</v>
      </c>
      <c r="AA136" s="23">
        <f t="shared" ca="1" si="57"/>
        <v>0</v>
      </c>
      <c r="AB136" s="23">
        <f t="shared" ca="1" si="57"/>
        <v>0</v>
      </c>
      <c r="AC136" s="23">
        <f t="shared" ca="1" si="57"/>
        <v>0</v>
      </c>
    </row>
    <row r="137" spans="1:29" x14ac:dyDescent="0.2">
      <c r="A137" t="s">
        <v>607</v>
      </c>
      <c r="D137" s="23">
        <f ca="1">D133 + D125 - D135</f>
        <v>0</v>
      </c>
      <c r="E137" s="23">
        <f t="shared" ref="E137:AC137" ca="1" si="58">E133 + E125 - E135</f>
        <v>0</v>
      </c>
      <c r="F137" s="23">
        <f t="shared" ca="1" si="58"/>
        <v>0</v>
      </c>
      <c r="G137" s="23">
        <f t="shared" ca="1" si="58"/>
        <v>0</v>
      </c>
      <c r="H137" s="23">
        <f t="shared" ca="1" si="58"/>
        <v>0</v>
      </c>
      <c r="I137" s="23">
        <f t="shared" ca="1" si="58"/>
        <v>0</v>
      </c>
      <c r="J137" s="23">
        <f t="shared" ca="1" si="58"/>
        <v>0</v>
      </c>
      <c r="K137" s="23">
        <f t="shared" ca="1" si="58"/>
        <v>0</v>
      </c>
      <c r="L137" s="23">
        <f t="shared" ca="1" si="58"/>
        <v>0</v>
      </c>
      <c r="M137" s="23">
        <f t="shared" ca="1" si="58"/>
        <v>0</v>
      </c>
      <c r="N137" s="23">
        <f t="shared" ca="1" si="58"/>
        <v>0</v>
      </c>
      <c r="O137" s="23">
        <f t="shared" ca="1" si="58"/>
        <v>0</v>
      </c>
      <c r="P137" s="23">
        <f t="shared" ca="1" si="58"/>
        <v>0</v>
      </c>
      <c r="Q137" s="23">
        <f t="shared" ca="1" si="58"/>
        <v>0</v>
      </c>
      <c r="R137" s="23">
        <f t="shared" ca="1" si="58"/>
        <v>0</v>
      </c>
      <c r="S137" s="23">
        <f t="shared" ca="1" si="58"/>
        <v>0</v>
      </c>
      <c r="T137" s="23">
        <f t="shared" ca="1" si="58"/>
        <v>0</v>
      </c>
      <c r="U137" s="23">
        <f t="shared" ca="1" si="58"/>
        <v>0</v>
      </c>
      <c r="V137" s="23">
        <f t="shared" ca="1" si="58"/>
        <v>0</v>
      </c>
      <c r="W137" s="23">
        <f t="shared" ca="1" si="58"/>
        <v>0</v>
      </c>
      <c r="X137" s="23">
        <f t="shared" ca="1" si="58"/>
        <v>0</v>
      </c>
      <c r="Y137" s="23">
        <f t="shared" ca="1" si="58"/>
        <v>0</v>
      </c>
      <c r="Z137" s="23">
        <f t="shared" ca="1" si="58"/>
        <v>0</v>
      </c>
      <c r="AA137" s="23">
        <f t="shared" ca="1" si="58"/>
        <v>0</v>
      </c>
      <c r="AB137" s="23">
        <f t="shared" ca="1" si="58"/>
        <v>0</v>
      </c>
      <c r="AC137" s="23">
        <f t="shared" ca="1" si="58"/>
        <v>0</v>
      </c>
    </row>
    <row r="146" spans="1:29" x14ac:dyDescent="0.2">
      <c r="A146" s="14" t="s">
        <v>1067</v>
      </c>
    </row>
    <row r="147" spans="1:29" x14ac:dyDescent="0.2">
      <c r="A147" t="s">
        <v>1068</v>
      </c>
      <c r="D147" s="23">
        <f ca="1">D48 + D53</f>
        <v>9.4172990654205595</v>
      </c>
      <c r="E147" s="23">
        <f t="shared" ref="E147:AC147" ca="1" si="59">E48 + E53</f>
        <v>7.7127885981308415</v>
      </c>
      <c r="F147" s="23">
        <f t="shared" ca="1" si="59"/>
        <v>6.4634675572984959</v>
      </c>
      <c r="G147" s="23">
        <f t="shared" ca="1" si="59"/>
        <v>4.7327966465582438</v>
      </c>
      <c r="H147" s="23">
        <f t="shared" ca="1" si="59"/>
        <v>4.4150752325504783</v>
      </c>
      <c r="I147" s="23">
        <f t="shared" ca="1" si="59"/>
        <v>4.1378734069794554</v>
      </c>
      <c r="J147" s="23">
        <f t="shared" ca="1" si="59"/>
        <v>3.8935669341906705</v>
      </c>
      <c r="K147" s="23">
        <f t="shared" ca="1" si="59"/>
        <v>3.8883048034219487</v>
      </c>
      <c r="L147" s="23">
        <f t="shared" ca="1" si="59"/>
        <v>3.8845723105392462</v>
      </c>
      <c r="M147" s="23">
        <f t="shared" ca="1" si="59"/>
        <v>3.8830528226803835</v>
      </c>
      <c r="N147" s="23">
        <f t="shared" ca="1" si="59"/>
        <v>3.8787736423982899</v>
      </c>
      <c r="O147" s="23">
        <f t="shared" ca="1" si="59"/>
        <v>3.8783845682088827</v>
      </c>
      <c r="P147" s="23">
        <f t="shared" ca="1" si="59"/>
        <v>3.8754649755204342</v>
      </c>
      <c r="Q147" s="23">
        <f t="shared" ca="1" si="59"/>
        <v>3.8739366614839397</v>
      </c>
      <c r="R147" s="23">
        <f t="shared" ca="1" si="59"/>
        <v>3.8736903880986779</v>
      </c>
      <c r="S147" s="23">
        <f t="shared" ca="1" si="59"/>
        <v>3.8710089913091954</v>
      </c>
      <c r="T147" s="23">
        <f t="shared" ca="1" si="59"/>
        <v>3.8709310515720685</v>
      </c>
      <c r="U147" s="23">
        <f t="shared" ca="1" si="59"/>
        <v>3.8697626129208729</v>
      </c>
      <c r="V147" s="23">
        <f t="shared" ca="1" si="59"/>
        <v>3.8680959299832032</v>
      </c>
      <c r="W147" s="23">
        <f t="shared" ca="1" si="59"/>
        <v>3.8680301580895362</v>
      </c>
      <c r="X147" s="23">
        <f t="shared" ca="1" si="59"/>
        <v>3.866018753189826</v>
      </c>
      <c r="Y147" s="23">
        <f t="shared" ca="1" si="59"/>
        <v>3.866018753189826</v>
      </c>
      <c r="Z147" s="23">
        <f t="shared" ca="1" si="59"/>
        <v>3.8659601535295005</v>
      </c>
      <c r="AA147" s="23">
        <f t="shared" ca="1" si="59"/>
        <v>3.8641593399286793</v>
      </c>
      <c r="AB147" s="23">
        <f t="shared" ca="1" si="59"/>
        <v>3.8641593399286793</v>
      </c>
      <c r="AC147" s="23">
        <f t="shared" ca="1" si="59"/>
        <v>3.8641593399286793</v>
      </c>
    </row>
    <row r="148" spans="1:29" x14ac:dyDescent="0.2">
      <c r="A148" t="s">
        <v>1069</v>
      </c>
      <c r="D148" s="42">
        <f>D102 * INDEX(Assumptions!$B:$B, MATCH("Ground station / network opex % of revenue", Assumptions!$A:$A, 0))</f>
        <v>8.4038400000000001E-4</v>
      </c>
      <c r="E148" s="42">
        <f>E102 * INDEX(Assumptions!$B:$B, MATCH("Ground station / network opex % of revenue", Assumptions!$A:$A, 0))</f>
        <v>1.7579505383999994E-3</v>
      </c>
      <c r="F148" s="42">
        <f>F102 * INDEX(Assumptions!$B:$B, MATCH("Ground station / network opex % of revenue", Assumptions!$A:$A, 0))</f>
        <v>3.0377896919999998E-3</v>
      </c>
      <c r="G148" s="42">
        <f>G102 * INDEX(Assumptions!$B:$B, MATCH("Ground station / network opex % of revenue", Assumptions!$A:$A, 0))</f>
        <v>4.7492327559599994E-3</v>
      </c>
      <c r="H148" s="42">
        <f>H102 * INDEX(Assumptions!$B:$B, MATCH("Ground station / network opex % of revenue", Assumptions!$A:$A, 0))</f>
        <v>7.5258395620240769E-3</v>
      </c>
      <c r="I148" s="42">
        <f>I102 * INDEX(Assumptions!$B:$B, MATCH("Ground station / network opex % of revenue", Assumptions!$A:$A, 0))</f>
        <v>9.6114460787881228E-3</v>
      </c>
      <c r="J148" s="42">
        <f>J102 * INDEX(Assumptions!$B:$B, MATCH("Ground station / network opex % of revenue", Assumptions!$A:$A, 0))</f>
        <v>1.1669132234544395E-2</v>
      </c>
      <c r="K148" s="42">
        <f>K102 * INDEX(Assumptions!$B:$B, MATCH("Ground station / network opex % of revenue", Assumptions!$A:$A, 0))</f>
        <v>1.2669400458029417E-2</v>
      </c>
      <c r="L148" s="42">
        <f>L102 * INDEX(Assumptions!$B:$B, MATCH("Ground station / network opex % of revenue", Assumptions!$A:$A, 0))</f>
        <v>1.3038524044007776E-2</v>
      </c>
      <c r="M148" s="42">
        <f>M102 * INDEX(Assumptions!$B:$B, MATCH("Ground station / network opex % of revenue", Assumptions!$A:$A, 0))</f>
        <v>1.3339678542853634E-2</v>
      </c>
      <c r="N148" s="42">
        <f>N102 * INDEX(Assumptions!$B:$B, MATCH("Ground station / network opex % of revenue", Assumptions!$A:$A, 0))</f>
        <v>1.3578064866685183E-2</v>
      </c>
      <c r="O148" s="42">
        <f>O102 * INDEX(Assumptions!$B:$B, MATCH("Ground station / network opex % of revenue", Assumptions!$A:$A, 0))</f>
        <v>1.3758916101255975E-2</v>
      </c>
      <c r="P148" s="42">
        <f>P102 * INDEX(Assumptions!$B:$B, MATCH("Ground station / network opex % of revenue", Assumptions!$A:$A, 0))</f>
        <v>1.3887744753934657E-2</v>
      </c>
      <c r="Q148" s="42">
        <f>Q102 * INDEX(Assumptions!$B:$B, MATCH("Ground station / network opex % of revenue", Assumptions!$A:$A, 0))</f>
        <v>1.3969736037885663E-2</v>
      </c>
      <c r="R148" s="42">
        <f>R102 * INDEX(Assumptions!$B:$B, MATCH("Ground station / network opex % of revenue", Assumptions!$A:$A, 0))</f>
        <v>1.4007955376605239E-2</v>
      </c>
      <c r="S148" s="42">
        <f>S102 * INDEX(Assumptions!$B:$B, MATCH("Ground station / network opex % of revenue", Assumptions!$A:$A, 0))</f>
        <v>1.4008571675139855E-2</v>
      </c>
      <c r="T148" s="42">
        <f>T102 * INDEX(Assumptions!$B:$B, MATCH("Ground station / network opex % of revenue", Assumptions!$A:$A, 0))</f>
        <v>1.3574596087597583E-2</v>
      </c>
      <c r="U148" s="42">
        <f>U102 * INDEX(Assumptions!$B:$B, MATCH("Ground station / network opex % of revenue", Assumptions!$A:$A, 0))</f>
        <v>1.3147888240410978E-2</v>
      </c>
      <c r="V148" s="42">
        <f>V102 * INDEX(Assumptions!$B:$B, MATCH("Ground station / network opex % of revenue", Assumptions!$A:$A, 0))</f>
        <v>1.2730796136851272E-2</v>
      </c>
      <c r="W148" s="42">
        <f>W102 * INDEX(Assumptions!$B:$B, MATCH("Ground station / network opex % of revenue", Assumptions!$A:$A, 0))</f>
        <v>1.2322654646413063E-2</v>
      </c>
      <c r="X148" s="42">
        <f>X102 * INDEX(Assumptions!$B:$B, MATCH("Ground station / network opex % of revenue", Assumptions!$A:$A, 0))</f>
        <v>1.1923674395308781E-2</v>
      </c>
      <c r="Y148" s="42">
        <f>Y102 * INDEX(Assumptions!$B:$B, MATCH("Ground station / network opex % of revenue", Assumptions!$A:$A, 0))</f>
        <v>1.1532914086570954E-2</v>
      </c>
      <c r="Z148" s="42">
        <f>Z102 * INDEX(Assumptions!$B:$B, MATCH("Ground station / network opex % of revenue", Assumptions!$A:$A, 0))</f>
        <v>1.115251052297331E-2</v>
      </c>
      <c r="AA148" s="42">
        <f>AA102 * INDEX(Assumptions!$B:$B, MATCH("Ground station / network opex % of revenue", Assumptions!$A:$A, 0))</f>
        <v>1.0780265237076656E-2</v>
      </c>
      <c r="AB148" s="42">
        <f>AB102 * INDEX(Assumptions!$B:$B, MATCH("Ground station / network opex % of revenue", Assumptions!$A:$A, 0))</f>
        <v>1.0418216871747836E-2</v>
      </c>
      <c r="AC148" s="42">
        <f>AC102 * INDEX(Assumptions!$B:$B, MATCH("Ground station / network opex % of revenue", Assumptions!$A:$A, 0))</f>
        <v>1.006505697779028E-2</v>
      </c>
    </row>
    <row r="149" spans="1:29" x14ac:dyDescent="0.2">
      <c r="A149" t="s">
        <v>1070</v>
      </c>
      <c r="D149" s="42">
        <f>D102 * INDEX(Assumptions!$B:$B, MATCH("ODC insurance % of revenue", Assumptions!$A:$A, 0))</f>
        <v>4.20192E-4</v>
      </c>
      <c r="E149" s="42">
        <f>E102 * INDEX(Assumptions!$B:$B, MATCH("ODC insurance % of revenue", Assumptions!$A:$A, 0))</f>
        <v>8.7897526919999969E-4</v>
      </c>
      <c r="F149" s="42">
        <f>F102 * INDEX(Assumptions!$B:$B, MATCH("ODC insurance % of revenue", Assumptions!$A:$A, 0))</f>
        <v>1.5188948459999999E-3</v>
      </c>
      <c r="G149" s="42">
        <f>G102 * INDEX(Assumptions!$B:$B, MATCH("ODC insurance % of revenue", Assumptions!$A:$A, 0))</f>
        <v>2.3746163779799997E-3</v>
      </c>
      <c r="H149" s="42">
        <f>H102 * INDEX(Assumptions!$B:$B, MATCH("ODC insurance % of revenue", Assumptions!$A:$A, 0))</f>
        <v>3.7629197810120384E-3</v>
      </c>
      <c r="I149" s="42">
        <f>I102 * INDEX(Assumptions!$B:$B, MATCH("ODC insurance % of revenue", Assumptions!$A:$A, 0))</f>
        <v>4.8057230393940614E-3</v>
      </c>
      <c r="J149" s="42">
        <f>J102 * INDEX(Assumptions!$B:$B, MATCH("ODC insurance % of revenue", Assumptions!$A:$A, 0))</f>
        <v>5.8345661172721974E-3</v>
      </c>
      <c r="K149" s="42">
        <f>K102 * INDEX(Assumptions!$B:$B, MATCH("ODC insurance % of revenue", Assumptions!$A:$A, 0))</f>
        <v>6.3347002290147086E-3</v>
      </c>
      <c r="L149" s="42">
        <f>L102 * INDEX(Assumptions!$B:$B, MATCH("ODC insurance % of revenue", Assumptions!$A:$A, 0))</f>
        <v>6.5192620220038879E-3</v>
      </c>
      <c r="M149" s="42">
        <f>M102 * INDEX(Assumptions!$B:$B, MATCH("ODC insurance % of revenue", Assumptions!$A:$A, 0))</f>
        <v>6.6698392714268171E-3</v>
      </c>
      <c r="N149" s="42">
        <f>N102 * INDEX(Assumptions!$B:$B, MATCH("ODC insurance % of revenue", Assumptions!$A:$A, 0))</f>
        <v>6.7890324333425914E-3</v>
      </c>
      <c r="O149" s="42">
        <f>O102 * INDEX(Assumptions!$B:$B, MATCH("ODC insurance % of revenue", Assumptions!$A:$A, 0))</f>
        <v>6.8794580506279877E-3</v>
      </c>
      <c r="P149" s="42">
        <f>P102 * INDEX(Assumptions!$B:$B, MATCH("ODC insurance % of revenue", Assumptions!$A:$A, 0))</f>
        <v>6.9438723769673283E-3</v>
      </c>
      <c r="Q149" s="42">
        <f>Q102 * INDEX(Assumptions!$B:$B, MATCH("ODC insurance % of revenue", Assumptions!$A:$A, 0))</f>
        <v>6.9848680189428317E-3</v>
      </c>
      <c r="R149" s="42">
        <f>R102 * INDEX(Assumptions!$B:$B, MATCH("ODC insurance % of revenue", Assumptions!$A:$A, 0))</f>
        <v>7.0039776883026195E-3</v>
      </c>
      <c r="S149" s="42">
        <f>S102 * INDEX(Assumptions!$B:$B, MATCH("ODC insurance % of revenue", Assumptions!$A:$A, 0))</f>
        <v>7.0042858375699273E-3</v>
      </c>
      <c r="T149" s="42">
        <f>T102 * INDEX(Assumptions!$B:$B, MATCH("ODC insurance % of revenue", Assumptions!$A:$A, 0))</f>
        <v>6.7872980437987916E-3</v>
      </c>
      <c r="U149" s="42">
        <f>U102 * INDEX(Assumptions!$B:$B, MATCH("ODC insurance % of revenue", Assumptions!$A:$A, 0))</f>
        <v>6.5739441202054888E-3</v>
      </c>
      <c r="V149" s="42">
        <f>V102 * INDEX(Assumptions!$B:$B, MATCH("ODC insurance % of revenue", Assumptions!$A:$A, 0))</f>
        <v>6.3653980684256362E-3</v>
      </c>
      <c r="W149" s="42">
        <f>W102 * INDEX(Assumptions!$B:$B, MATCH("ODC insurance % of revenue", Assumptions!$A:$A, 0))</f>
        <v>6.1613273232065313E-3</v>
      </c>
      <c r="X149" s="42">
        <f>X102 * INDEX(Assumptions!$B:$B, MATCH("ODC insurance % of revenue", Assumptions!$A:$A, 0))</f>
        <v>5.9618371976543905E-3</v>
      </c>
      <c r="Y149" s="42">
        <f>Y102 * INDEX(Assumptions!$B:$B, MATCH("ODC insurance % of revenue", Assumptions!$A:$A, 0))</f>
        <v>5.7664570432854768E-3</v>
      </c>
      <c r="Z149" s="42">
        <f>Z102 * INDEX(Assumptions!$B:$B, MATCH("ODC insurance % of revenue", Assumptions!$A:$A, 0))</f>
        <v>5.5762552614866548E-3</v>
      </c>
      <c r="AA149" s="42">
        <f>AA102 * INDEX(Assumptions!$B:$B, MATCH("ODC insurance % of revenue", Assumptions!$A:$A, 0))</f>
        <v>5.3901326185383279E-3</v>
      </c>
      <c r="AB149" s="42">
        <f>AB102 * INDEX(Assumptions!$B:$B, MATCH("ODC insurance % of revenue", Assumptions!$A:$A, 0))</f>
        <v>5.2091084358739182E-3</v>
      </c>
      <c r="AC149" s="42">
        <f>AC102 * INDEX(Assumptions!$B:$B, MATCH("ODC insurance % of revenue", Assumptions!$A:$A, 0))</f>
        <v>5.0325284888951402E-3</v>
      </c>
    </row>
    <row r="150" spans="1:29" x14ac:dyDescent="0.2">
      <c r="A150" t="s">
        <v>1071</v>
      </c>
      <c r="D150" s="42">
        <f>D102 * INDEX(Assumptions!$B:$B, MATCH("ODC other COGS % of revenue", Assumptions!$A:$A, 0))</f>
        <v>1.260576E-3</v>
      </c>
      <c r="E150" s="42">
        <f>E102 * INDEX(Assumptions!$B:$B, MATCH("ODC other COGS % of revenue", Assumptions!$A:$A, 0))</f>
        <v>2.6369258075999991E-3</v>
      </c>
      <c r="F150" s="42">
        <f>F102 * INDEX(Assumptions!$B:$B, MATCH("ODC other COGS % of revenue", Assumptions!$A:$A, 0))</f>
        <v>4.5566845379999997E-3</v>
      </c>
      <c r="G150" s="42">
        <f>G102 * INDEX(Assumptions!$B:$B, MATCH("ODC other COGS % of revenue", Assumptions!$A:$A, 0))</f>
        <v>7.1238491339399987E-3</v>
      </c>
      <c r="H150" s="42">
        <f>H102 * INDEX(Assumptions!$B:$B, MATCH("ODC other COGS % of revenue", Assumptions!$A:$A, 0))</f>
        <v>1.1288759343036116E-2</v>
      </c>
      <c r="I150" s="42">
        <f>I102 * INDEX(Assumptions!$B:$B, MATCH("ODC other COGS % of revenue", Assumptions!$A:$A, 0))</f>
        <v>1.4417169118182182E-2</v>
      </c>
      <c r="J150" s="42">
        <f>J102 * INDEX(Assumptions!$B:$B, MATCH("ODC other COGS % of revenue", Assumptions!$A:$A, 0))</f>
        <v>1.7503698351816591E-2</v>
      </c>
      <c r="K150" s="42">
        <f>K102 * INDEX(Assumptions!$B:$B, MATCH("ODC other COGS % of revenue", Assumptions!$A:$A, 0))</f>
        <v>1.9004100687044122E-2</v>
      </c>
      <c r="L150" s="42">
        <f>L102 * INDEX(Assumptions!$B:$B, MATCH("ODC other COGS % of revenue", Assumptions!$A:$A, 0))</f>
        <v>1.9557786066011662E-2</v>
      </c>
      <c r="M150" s="42">
        <f>M102 * INDEX(Assumptions!$B:$B, MATCH("ODC other COGS % of revenue", Assumptions!$A:$A, 0))</f>
        <v>2.000951781428045E-2</v>
      </c>
      <c r="N150" s="42">
        <f>N102 * INDEX(Assumptions!$B:$B, MATCH("ODC other COGS % of revenue", Assumptions!$A:$A, 0))</f>
        <v>2.0367097300027774E-2</v>
      </c>
      <c r="O150" s="42">
        <f>O102 * INDEX(Assumptions!$B:$B, MATCH("ODC other COGS % of revenue", Assumptions!$A:$A, 0))</f>
        <v>2.0638374151883961E-2</v>
      </c>
      <c r="P150" s="42">
        <f>P102 * INDEX(Assumptions!$B:$B, MATCH("ODC other COGS % of revenue", Assumptions!$A:$A, 0))</f>
        <v>2.0831617130901984E-2</v>
      </c>
      <c r="Q150" s="42">
        <f>Q102 * INDEX(Assumptions!$B:$B, MATCH("ODC other COGS % of revenue", Assumptions!$A:$A, 0))</f>
        <v>2.0954604056828495E-2</v>
      </c>
      <c r="R150" s="42">
        <f>R102 * INDEX(Assumptions!$B:$B, MATCH("ODC other COGS % of revenue", Assumptions!$A:$A, 0))</f>
        <v>2.1011933064907857E-2</v>
      </c>
      <c r="S150" s="42">
        <f>S102 * INDEX(Assumptions!$B:$B, MATCH("ODC other COGS % of revenue", Assumptions!$A:$A, 0))</f>
        <v>2.101285751270978E-2</v>
      </c>
      <c r="T150" s="42">
        <f>T102 * INDEX(Assumptions!$B:$B, MATCH("ODC other COGS % of revenue", Assumptions!$A:$A, 0))</f>
        <v>2.0361894131396375E-2</v>
      </c>
      <c r="U150" s="42">
        <f>U102 * INDEX(Assumptions!$B:$B, MATCH("ODC other COGS % of revenue", Assumptions!$A:$A, 0))</f>
        <v>1.9721832360616465E-2</v>
      </c>
      <c r="V150" s="42">
        <f>V102 * INDEX(Assumptions!$B:$B, MATCH("ODC other COGS % of revenue", Assumptions!$A:$A, 0))</f>
        <v>1.9096194205276907E-2</v>
      </c>
      <c r="W150" s="42">
        <f>W102 * INDEX(Assumptions!$B:$B, MATCH("ODC other COGS % of revenue", Assumptions!$A:$A, 0))</f>
        <v>1.8483981969619593E-2</v>
      </c>
      <c r="X150" s="42">
        <f>X102 * INDEX(Assumptions!$B:$B, MATCH("ODC other COGS % of revenue", Assumptions!$A:$A, 0))</f>
        <v>1.7885511592963171E-2</v>
      </c>
      <c r="Y150" s="42">
        <f>Y102 * INDEX(Assumptions!$B:$B, MATCH("ODC other COGS % of revenue", Assumptions!$A:$A, 0))</f>
        <v>1.7299371129856429E-2</v>
      </c>
      <c r="Z150" s="42">
        <f>Z102 * INDEX(Assumptions!$B:$B, MATCH("ODC other COGS % of revenue", Assumptions!$A:$A, 0))</f>
        <v>1.6728765784459962E-2</v>
      </c>
      <c r="AA150" s="42">
        <f>AA102 * INDEX(Assumptions!$B:$B, MATCH("ODC other COGS % of revenue", Assumptions!$A:$A, 0))</f>
        <v>1.6170397855614985E-2</v>
      </c>
      <c r="AB150" s="42">
        <f>AB102 * INDEX(Assumptions!$B:$B, MATCH("ODC other COGS % of revenue", Assumptions!$A:$A, 0))</f>
        <v>1.5627325307621755E-2</v>
      </c>
      <c r="AC150" s="42">
        <f>AC102 * INDEX(Assumptions!$B:$B, MATCH("ODC other COGS % of revenue", Assumptions!$A:$A, 0))</f>
        <v>1.5097585466685421E-2</v>
      </c>
    </row>
    <row r="151" spans="1:29" x14ac:dyDescent="0.2">
      <c r="A151" t="s">
        <v>1074</v>
      </c>
      <c r="D151" s="42">
        <f ca="1">(D152 * D83 + D153 * D84) / 1000000</f>
        <v>4.6426808810763358E-5</v>
      </c>
      <c r="E151" s="42">
        <f t="shared" ref="E151:AC151" ca="1" si="60">(E152 * E83 + E153 * E84) / 1000000</f>
        <v>6.1139105290369588E-5</v>
      </c>
      <c r="F151" s="42">
        <f t="shared" ca="1" si="60"/>
        <v>8.0650520700226841E-5</v>
      </c>
      <c r="G151" s="42">
        <f t="shared" ca="1" si="60"/>
        <v>1.1166341056707321E-4</v>
      </c>
      <c r="H151" s="42">
        <f t="shared" ca="1" si="60"/>
        <v>1.9447450451503474E-4</v>
      </c>
      <c r="I151" s="42">
        <f t="shared" ca="1" si="60"/>
        <v>0</v>
      </c>
      <c r="J151" s="42">
        <f t="shared" ca="1" si="60"/>
        <v>0</v>
      </c>
      <c r="K151" s="42">
        <f t="shared" ca="1" si="60"/>
        <v>0</v>
      </c>
      <c r="L151" s="42">
        <f t="shared" ca="1" si="60"/>
        <v>0</v>
      </c>
      <c r="M151" s="42">
        <f t="shared" ca="1" si="60"/>
        <v>0</v>
      </c>
      <c r="N151" s="42">
        <f t="shared" ca="1" si="60"/>
        <v>0</v>
      </c>
      <c r="O151" s="42">
        <f t="shared" ca="1" si="60"/>
        <v>0</v>
      </c>
      <c r="P151" s="42">
        <f t="shared" ca="1" si="60"/>
        <v>0</v>
      </c>
      <c r="Q151" s="42">
        <f t="shared" ca="1" si="60"/>
        <v>0</v>
      </c>
      <c r="R151" s="42">
        <f t="shared" ca="1" si="60"/>
        <v>0</v>
      </c>
      <c r="S151" s="42">
        <f t="shared" ca="1" si="60"/>
        <v>0</v>
      </c>
      <c r="T151" s="42">
        <f t="shared" ca="1" si="60"/>
        <v>0</v>
      </c>
      <c r="U151" s="42">
        <f t="shared" ca="1" si="60"/>
        <v>0</v>
      </c>
      <c r="V151" s="42">
        <f t="shared" ca="1" si="60"/>
        <v>0</v>
      </c>
      <c r="W151" s="42">
        <f t="shared" ca="1" si="60"/>
        <v>0</v>
      </c>
      <c r="X151" s="42">
        <f t="shared" ca="1" si="60"/>
        <v>0</v>
      </c>
      <c r="Y151" s="42">
        <f t="shared" ca="1" si="60"/>
        <v>0</v>
      </c>
      <c r="Z151" s="42">
        <f t="shared" ca="1" si="60"/>
        <v>0</v>
      </c>
      <c r="AA151" s="42">
        <f t="shared" ca="1" si="60"/>
        <v>0</v>
      </c>
      <c r="AB151" s="42">
        <f t="shared" ca="1" si="60"/>
        <v>0</v>
      </c>
      <c r="AC151" s="42">
        <f t="shared" ca="1" si="60"/>
        <v>0</v>
      </c>
    </row>
    <row r="152" spans="1:29" x14ac:dyDescent="0.2">
      <c r="A152" t="s">
        <v>1072</v>
      </c>
      <c r="D152" s="52">
        <f>($D$14 * D28 * 8760 / 1000000) * $D$77 * $D$78</f>
        <v>1.2264000000000001E-2</v>
      </c>
      <c r="E152" s="52">
        <f t="shared" ref="E152:AC152" si="61">($D$14 * E28 * 8760 / 1000000) * $D$77 * $D$78</f>
        <v>1.5713250000000002E-2</v>
      </c>
      <c r="F152" s="52">
        <f t="shared" si="61"/>
        <v>1.9162499999999999E-2</v>
      </c>
      <c r="G152" s="52">
        <f t="shared" si="61"/>
        <v>2.261175E-2</v>
      </c>
      <c r="H152" s="52">
        <f t="shared" si="61"/>
        <v>2.6061000000000001E-2</v>
      </c>
      <c r="I152" s="52">
        <f t="shared" si="61"/>
        <v>2.6061000000000001E-2</v>
      </c>
      <c r="J152" s="52">
        <f t="shared" si="61"/>
        <v>2.6061000000000001E-2</v>
      </c>
      <c r="K152" s="52">
        <f t="shared" si="61"/>
        <v>2.6061000000000001E-2</v>
      </c>
      <c r="L152" s="52">
        <f t="shared" si="61"/>
        <v>2.6061000000000001E-2</v>
      </c>
      <c r="M152" s="52">
        <f t="shared" si="61"/>
        <v>2.6061000000000001E-2</v>
      </c>
      <c r="N152" s="52">
        <f t="shared" si="61"/>
        <v>2.6061000000000001E-2</v>
      </c>
      <c r="O152" s="52">
        <f t="shared" si="61"/>
        <v>2.6061000000000001E-2</v>
      </c>
      <c r="P152" s="52">
        <f t="shared" si="61"/>
        <v>2.6061000000000001E-2</v>
      </c>
      <c r="Q152" s="52">
        <f t="shared" si="61"/>
        <v>2.6061000000000001E-2</v>
      </c>
      <c r="R152" s="52">
        <f t="shared" si="61"/>
        <v>2.6061000000000001E-2</v>
      </c>
      <c r="S152" s="52">
        <f t="shared" si="61"/>
        <v>2.6061000000000001E-2</v>
      </c>
      <c r="T152" s="52">
        <f t="shared" si="61"/>
        <v>2.6061000000000001E-2</v>
      </c>
      <c r="U152" s="52">
        <f t="shared" si="61"/>
        <v>2.6061000000000001E-2</v>
      </c>
      <c r="V152" s="52">
        <f t="shared" si="61"/>
        <v>2.6061000000000001E-2</v>
      </c>
      <c r="W152" s="52">
        <f t="shared" si="61"/>
        <v>2.6061000000000001E-2</v>
      </c>
      <c r="X152" s="52">
        <f t="shared" si="61"/>
        <v>2.6061000000000001E-2</v>
      </c>
      <c r="Y152" s="52">
        <f t="shared" si="61"/>
        <v>2.6061000000000001E-2</v>
      </c>
      <c r="Z152" s="52">
        <f t="shared" si="61"/>
        <v>2.6061000000000001E-2</v>
      </c>
      <c r="AA152" s="52">
        <f t="shared" si="61"/>
        <v>2.6061000000000001E-2</v>
      </c>
      <c r="AB152" s="52">
        <f t="shared" si="61"/>
        <v>2.6061000000000001E-2</v>
      </c>
      <c r="AC152" s="52">
        <f t="shared" si="61"/>
        <v>2.6061000000000001E-2</v>
      </c>
    </row>
    <row r="153" spans="1:29" x14ac:dyDescent="0.2">
      <c r="A153" t="s">
        <v>1073</v>
      </c>
      <c r="D153" s="52">
        <f>($D$14 * D28 * 8760 / 1000000) * $D$77 * (1 - $D$78)</f>
        <v>1.2264000000000001E-2</v>
      </c>
      <c r="E153" s="52">
        <f t="shared" ref="E153:AC153" si="62">($D$14 * E28 * 8760 / 1000000) * $D$77 * (1 - $D$78)</f>
        <v>1.5713250000000002E-2</v>
      </c>
      <c r="F153" s="52">
        <f t="shared" si="62"/>
        <v>1.9162499999999999E-2</v>
      </c>
      <c r="G153" s="52">
        <f t="shared" si="62"/>
        <v>2.261175E-2</v>
      </c>
      <c r="H153" s="52">
        <f t="shared" si="62"/>
        <v>2.6061000000000001E-2</v>
      </c>
      <c r="I153" s="52">
        <f t="shared" si="62"/>
        <v>2.6061000000000001E-2</v>
      </c>
      <c r="J153" s="52">
        <f t="shared" si="62"/>
        <v>2.6061000000000001E-2</v>
      </c>
      <c r="K153" s="52">
        <f t="shared" si="62"/>
        <v>2.6061000000000001E-2</v>
      </c>
      <c r="L153" s="52">
        <f t="shared" si="62"/>
        <v>2.6061000000000001E-2</v>
      </c>
      <c r="M153" s="52">
        <f t="shared" si="62"/>
        <v>2.6061000000000001E-2</v>
      </c>
      <c r="N153" s="52">
        <f t="shared" si="62"/>
        <v>2.6061000000000001E-2</v>
      </c>
      <c r="O153" s="52">
        <f t="shared" si="62"/>
        <v>2.6061000000000001E-2</v>
      </c>
      <c r="P153" s="52">
        <f t="shared" si="62"/>
        <v>2.6061000000000001E-2</v>
      </c>
      <c r="Q153" s="52">
        <f t="shared" si="62"/>
        <v>2.6061000000000001E-2</v>
      </c>
      <c r="R153" s="52">
        <f t="shared" si="62"/>
        <v>2.6061000000000001E-2</v>
      </c>
      <c r="S153" s="52">
        <f t="shared" si="62"/>
        <v>2.6061000000000001E-2</v>
      </c>
      <c r="T153" s="52">
        <f t="shared" si="62"/>
        <v>2.6061000000000001E-2</v>
      </c>
      <c r="U153" s="52">
        <f t="shared" si="62"/>
        <v>2.6061000000000001E-2</v>
      </c>
      <c r="V153" s="52">
        <f t="shared" si="62"/>
        <v>2.6061000000000001E-2</v>
      </c>
      <c r="W153" s="52">
        <f t="shared" si="62"/>
        <v>2.6061000000000001E-2</v>
      </c>
      <c r="X153" s="52">
        <f t="shared" si="62"/>
        <v>2.6061000000000001E-2</v>
      </c>
      <c r="Y153" s="52">
        <f t="shared" si="62"/>
        <v>2.6061000000000001E-2</v>
      </c>
      <c r="Z153" s="52">
        <f t="shared" si="62"/>
        <v>2.6061000000000001E-2</v>
      </c>
      <c r="AA153" s="52">
        <f t="shared" si="62"/>
        <v>2.6061000000000001E-2</v>
      </c>
      <c r="AB153" s="52">
        <f t="shared" si="62"/>
        <v>2.6061000000000001E-2</v>
      </c>
      <c r="AC153" s="52">
        <f t="shared" si="62"/>
        <v>2.6061000000000001E-2</v>
      </c>
    </row>
    <row r="154" spans="1:29" x14ac:dyDescent="0.2">
      <c r="A154" t="s">
        <v>1075</v>
      </c>
      <c r="D154" s="42">
        <f ca="1">D102 - D148 - D149 - D150 - D151</f>
        <v>3.9451621191189237E-2</v>
      </c>
      <c r="E154" s="42">
        <f t="shared" ref="E154:AC154" ca="1" si="63">E102 - E148 - E149 - E150 - E151</f>
        <v>8.2562536199509595E-2</v>
      </c>
      <c r="F154" s="42">
        <f t="shared" ca="1" si="63"/>
        <v>0.14269546500329974</v>
      </c>
      <c r="G154" s="42">
        <f t="shared" ca="1" si="63"/>
        <v>0.22310227611955291</v>
      </c>
      <c r="H154" s="42">
        <f t="shared" ca="1" si="63"/>
        <v>0.35351998491061654</v>
      </c>
      <c r="I154" s="42">
        <f t="shared" ca="1" si="63"/>
        <v>0.4517379657030417</v>
      </c>
      <c r="J154" s="42">
        <f t="shared" ca="1" si="63"/>
        <v>0.54844921502358657</v>
      </c>
      <c r="K154" s="42">
        <f t="shared" ca="1" si="63"/>
        <v>0.59546182152738247</v>
      </c>
      <c r="L154" s="42">
        <f t="shared" ca="1" si="63"/>
        <v>0.61281063006836545</v>
      </c>
      <c r="M154" s="42">
        <f t="shared" ca="1" si="63"/>
        <v>0.62696489151412083</v>
      </c>
      <c r="N154" s="42">
        <f t="shared" ca="1" si="63"/>
        <v>0.63816904873420355</v>
      </c>
      <c r="O154" s="42">
        <f t="shared" ca="1" si="63"/>
        <v>0.64666905675903086</v>
      </c>
      <c r="P154" s="42">
        <f t="shared" ca="1" si="63"/>
        <v>0.65272400343492887</v>
      </c>
      <c r="Q154" s="42">
        <f t="shared" ca="1" si="63"/>
        <v>0.65657759378062619</v>
      </c>
      <c r="R154" s="42">
        <f t="shared" ca="1" si="63"/>
        <v>0.65837390270044616</v>
      </c>
      <c r="S154" s="42">
        <f t="shared" ca="1" si="63"/>
        <v>0.65840286873157317</v>
      </c>
      <c r="T154" s="42">
        <f t="shared" ca="1" si="63"/>
        <v>0.63800601611708652</v>
      </c>
      <c r="U154" s="42">
        <f t="shared" ca="1" si="63"/>
        <v>0.61795074729931587</v>
      </c>
      <c r="V154" s="42">
        <f t="shared" ca="1" si="63"/>
        <v>0.59834741843200989</v>
      </c>
      <c r="W154" s="42">
        <f t="shared" ca="1" si="63"/>
        <v>0.57916476838141395</v>
      </c>
      <c r="X154" s="42">
        <f t="shared" ca="1" si="63"/>
        <v>0.56041269657951276</v>
      </c>
      <c r="Y154" s="42">
        <f t="shared" ca="1" si="63"/>
        <v>0.54204696206883474</v>
      </c>
      <c r="Z154" s="42">
        <f t="shared" ca="1" si="63"/>
        <v>0.52416799457974561</v>
      </c>
      <c r="AA154" s="42">
        <f t="shared" ca="1" si="63"/>
        <v>0.50667246614260275</v>
      </c>
      <c r="AB154" s="42">
        <f t="shared" ca="1" si="63"/>
        <v>0.4896561929721483</v>
      </c>
      <c r="AC154" s="42">
        <f t="shared" ca="1" si="63"/>
        <v>0.47305767795614323</v>
      </c>
    </row>
    <row r="155" spans="1:29" x14ac:dyDescent="0.2">
      <c r="A155" t="s">
        <v>610</v>
      </c>
      <c r="D155" s="17" cm="1">
        <f t="array" aca="1" ref="D155" ca="1">IFERROR(IRR(IF(_xlfn.SEQUENCE(1, $D$20+1)=1, -D147, INDEX($D$154:$AC$154, 1, MAX(1, COLUMN()-COLUMN($D$5)+1)) : INDEX($D$154:$AC$154, 1, MIN(26, COLUMN()-COLUMN($D$5)+$D$20+1)))), -1)</f>
        <v>-0.39020501847551969</v>
      </c>
      <c r="E155" s="17" cm="1">
        <f t="array" aca="1" ref="E155" ca="1">IFERROR(IRR(IF(_xlfn.SEQUENCE(1, $D$20+1)=1, -E147, INDEX($D$154:$AC$154, 1, MAX(1, COLUMN()-COLUMN($D$5)+1)) : INDEX($D$154:$AC$154, 1, MIN(26, COLUMN()-COLUMN($D$5)+$D$20+1)))), -1)</f>
        <v>-0.32023887949377416</v>
      </c>
      <c r="F155" s="17" cm="1">
        <f t="array" aca="1" ref="F155" ca="1">IFERROR(IRR(IF(_xlfn.SEQUENCE(1, $D$20+1)=1, -F147, INDEX($D$154:$AC$154, 1, MAX(1, COLUMN()-COLUMN($D$5)+1)) : INDEX($D$154:$AC$154, 1, MIN(26, COLUMN()-COLUMN($D$5)+$D$20+1)))), -1)</f>
        <v>-0.25676827372625011</v>
      </c>
      <c r="G155" s="17" cm="1">
        <f t="array" aca="1" ref="G155" ca="1">IFERROR(IRR(IF(_xlfn.SEQUENCE(1, $D$20+1)=1, -G147, INDEX($D$154:$AC$154, 1, MAX(1, COLUMN()-COLUMN($D$5)+1)) : INDEX($D$154:$AC$154, 1, MIN(26, COLUMN()-COLUMN($D$5)+$D$20+1)))), -1)</f>
        <v>-0.16425253643971149</v>
      </c>
      <c r="H155" s="17" cm="1">
        <f t="array" aca="1" ref="H155" ca="1">IFERROR(IRR(IF(_xlfn.SEQUENCE(1, $D$20+1)=1, -H147, INDEX($D$154:$AC$154, 1, MAX(1, COLUMN()-COLUMN($D$5)+1)) : INDEX($D$154:$AC$154, 1, MIN(26, COLUMN()-COLUMN($D$5)+$D$20+1)))), -1)</f>
        <v>-0.12650833545218754</v>
      </c>
      <c r="I155" s="17" cm="1">
        <f t="array" aca="1" ref="I155" ca="1">IFERROR(IRR(IF(_xlfn.SEQUENCE(1, $D$20+1)=1, -I147, INDEX($D$154:$AC$154, 1, MAX(1, COLUMN()-COLUMN($D$5)+1)) : INDEX($D$154:$AC$154, 1, MIN(26, COLUMN()-COLUMN($D$5)+$D$20+1)))), -1)</f>
        <v>-9.4476713907085674E-2</v>
      </c>
      <c r="J155" s="17" cm="1">
        <f t="array" aca="1" ref="J155" ca="1">IFERROR(IRR(IF(_xlfn.SEQUENCE(1, $D$20+1)=1, -J147, INDEX($D$154:$AC$154, 1, MAX(1, COLUMN()-COLUMN($D$5)+1)) : INDEX($D$154:$AC$154, 1, MIN(26, COLUMN()-COLUMN($D$5)+$D$20+1)))), -1)</f>
        <v>-6.8699833077396799E-2</v>
      </c>
      <c r="K155" s="17" cm="1">
        <f t="array" aca="1" ref="K155" ca="1">IFERROR(IRR(IF(_xlfn.SEQUENCE(1, $D$20+1)=1, -K147, INDEX($D$154:$AC$154, 1, MAX(1, COLUMN()-COLUMN($D$5)+1)) : INDEX($D$154:$AC$154, 1, MIN(26, COLUMN()-COLUMN($D$5)+$D$20+1)))), -1)</f>
        <v>-6.3137277567681505E-2</v>
      </c>
      <c r="L155" s="17" cm="1">
        <f t="array" aca="1" ref="L155" ca="1">IFERROR(IRR(IF(_xlfn.SEQUENCE(1, $D$20+1)=1, -L147, INDEX($D$154:$AC$154, 1, MAX(1, COLUMN()-COLUMN($D$5)+1)) : INDEX($D$154:$AC$154, 1, MIN(26, COLUMN()-COLUMN($D$5)+$D$20+1)))), -1)</f>
        <v>-5.8933262860752289E-2</v>
      </c>
      <c r="M155" s="17" cm="1">
        <f t="array" aca="1" ref="M155" ca="1">IFERROR(IRR(IF(_xlfn.SEQUENCE(1, $D$20+1)=1, -M147, INDEX($D$154:$AC$154, 1, MAX(1, COLUMN()-COLUMN($D$5)+1)) : INDEX($D$154:$AC$154, 1, MIN(26, COLUMN()-COLUMN($D$5)+$D$20+1)))), -1)</f>
        <v>-5.603182617668756E-2</v>
      </c>
      <c r="N155" s="17" cm="1">
        <f t="array" aca="1" ref="N155" ca="1">IFERROR(IRR(IF(_xlfn.SEQUENCE(1, $D$20+1)=1, -N147, INDEX($D$154:$AC$154, 1, MAX(1, COLUMN()-COLUMN($D$5)+1)) : INDEX($D$154:$AC$154, 1, MIN(26, COLUMN()-COLUMN($D$5)+$D$20+1)))), -1)</f>
        <v>-5.393479073578844E-2</v>
      </c>
      <c r="O155" s="17" cm="1">
        <f t="array" aca="1" ref="O155" ca="1">IFERROR(IRR(IF(_xlfn.SEQUENCE(1, $D$20+1)=1, -O147, INDEX($D$154:$AC$154, 1, MAX(1, COLUMN()-COLUMN($D$5)+1)) : INDEX($D$154:$AC$154, 1, MIN(26, COLUMN()-COLUMN($D$5)+$D$20+1)))), -1)</f>
        <v>-5.5010099928581746E-2</v>
      </c>
      <c r="P155" s="17" cm="1">
        <f t="array" aca="1" ref="P155" ca="1">IFERROR(IRR(IF(_xlfn.SEQUENCE(1, $D$20+1)=1, -P147, INDEX($D$154:$AC$154, 1, MAX(1, COLUMN()-COLUMN($D$5)+1)) : INDEX($D$154:$AC$154, 1, MIN(26, COLUMN()-COLUMN($D$5)+$D$20+1)))), -1)</f>
        <v>-5.8433001318225819E-2</v>
      </c>
      <c r="Q155" s="17" cm="1">
        <f t="array" aca="1" ref="Q155" ca="1">IFERROR(IRR(IF(_xlfn.SEQUENCE(1, $D$20+1)=1, -Q147, INDEX($D$154:$AC$154, 1, MAX(1, COLUMN()-COLUMN($D$5)+1)) : INDEX($D$154:$AC$154, 1, MIN(26, COLUMN()-COLUMN($D$5)+$D$20+1)))), -1)</f>
        <v>-6.4237656107740349E-2</v>
      </c>
      <c r="R155" s="17" cm="1">
        <f t="array" aca="1" ref="R155" ca="1">IFERROR(IRR(IF(_xlfn.SEQUENCE(1, $D$20+1)=1, -R147, INDEX($D$154:$AC$154, 1, MAX(1, COLUMN()-COLUMN($D$5)+1)) : INDEX($D$154:$AC$154, 1, MIN(26, COLUMN()-COLUMN($D$5)+$D$20+1)))), -1)</f>
        <v>-7.2141118644340918E-2</v>
      </c>
      <c r="S155" s="17" cm="1">
        <f t="array" aca="1" ref="S155" ca="1">IFERROR(IRR(IF(_xlfn.SEQUENCE(1, $D$20+1)=1, -S147, INDEX($D$154:$AC$154, 1, MAX(1, COLUMN()-COLUMN($D$5)+1)) : INDEX($D$154:$AC$154, 1, MIN(26, COLUMN()-COLUMN($D$5)+$D$20+1)))), -1)</f>
        <v>-8.1556382442243613E-2</v>
      </c>
      <c r="T155" s="17" cm="1">
        <f t="array" aca="1" ref="T155" ca="1">IFERROR(IRR(IF(_xlfn.SEQUENCE(1, $D$20+1)=1, -T147, INDEX($D$154:$AC$154, 1, MAX(1, COLUMN()-COLUMN($D$5)+1)) : INDEX($D$154:$AC$154, 1, MIN(26, COLUMN()-COLUMN($D$5)+$D$20+1)))), -1)</f>
        <v>-9.1122891023193153E-2</v>
      </c>
      <c r="U155" s="17" cm="1">
        <f t="array" aca="1" ref="U155" ca="1">IFERROR(IRR(IF(_xlfn.SEQUENCE(1, $D$20+1)=1, -U147, INDEX($D$154:$AC$154, 1, MAX(1, COLUMN()-COLUMN($D$5)+1)) : INDEX($D$154:$AC$154, 1, MIN(26, COLUMN()-COLUMN($D$5)+$D$20+1)))), -1)</f>
        <v>-0.10054199547562304</v>
      </c>
      <c r="V155" s="17" cm="1">
        <f t="array" aca="1" ref="V155" ca="1">IFERROR(IRR(IF(_xlfn.SEQUENCE(1, $D$20+1)=1, -V147, INDEX($D$154:$AC$154, 1, MAX(1, COLUMN()-COLUMN($D$5)+1)) : INDEX($D$154:$AC$154, 1, MIN(26, COLUMN()-COLUMN($D$5)+$D$20+1)))), -1)</f>
        <v>-0.10986671224559408</v>
      </c>
      <c r="W155" s="17" cm="1">
        <f t="array" aca="1" ref="W155" ca="1">IFERROR(IRR(IF(_xlfn.SEQUENCE(1, $D$20+1)=1, -W147, INDEX($D$154:$AC$154, 1, MAX(1, COLUMN()-COLUMN($D$5)+1)) : INDEX($D$154:$AC$154, 1, MIN(26, COLUMN()-COLUMN($D$5)+$D$20+1)))), -1)</f>
        <v>-0.11923940375631314</v>
      </c>
      <c r="X155" s="17" cm="1">
        <f t="array" aca="1" ref="X155" ca="1">IFERROR(IRR(IF(_xlfn.SEQUENCE(1, $D$20+1)=1, -X147, INDEX($D$154:$AC$154, 1, MAX(1, COLUMN()-COLUMN($D$5)+1)) : INDEX($D$154:$AC$154, 1, MIN(26, COLUMN()-COLUMN($D$5)+$D$20+1)))), -1)</f>
        <v>-0.12840448853575959</v>
      </c>
      <c r="Y155" s="17" cm="1">
        <f t="array" aca="1" ref="Y155" ca="1">IFERROR(IRR(IF(_xlfn.SEQUENCE(1, $D$20+1)=1, -Y147, INDEX($D$154:$AC$154, 1, MAX(1, COLUMN()-COLUMN($D$5)+1)) : INDEX($D$154:$AC$154, 1, MIN(26, COLUMN()-COLUMN($D$5)+$D$20+1)))), -1)</f>
        <v>-1</v>
      </c>
      <c r="Z155" s="17" cm="1">
        <f t="array" aca="1" ref="Z155" ca="1">IFERROR(IRR(IF(_xlfn.SEQUENCE(1, $D$20+1)=1, -Z147, INDEX($D$154:$AC$154, 1, MAX(1, COLUMN()-COLUMN($D$5)+1)) : INDEX($D$154:$AC$154, 1, MIN(26, COLUMN()-COLUMN($D$5)+$D$20+1)))), -1)</f>
        <v>-1</v>
      </c>
      <c r="AA155" s="17" cm="1">
        <f t="array" aca="1" ref="AA155" ca="1">IFERROR(IRR(IF(_xlfn.SEQUENCE(1, $D$20+1)=1, -AA147, INDEX($D$154:$AC$154, 1, MAX(1, COLUMN()-COLUMN($D$5)+1)) : INDEX($D$154:$AC$154, 1, MIN(26, COLUMN()-COLUMN($D$5)+$D$20+1)))), -1)</f>
        <v>-1</v>
      </c>
      <c r="AB155" s="17" cm="1">
        <f t="array" aca="1" ref="AB155" ca="1">IFERROR(IRR(IF(_xlfn.SEQUENCE(1, $D$20+1)=1, -AB147, INDEX($D$154:$AC$154, 1, MAX(1, COLUMN()-COLUMN($D$5)+1)) : INDEX($D$154:$AC$154, 1, MIN(26, COLUMN()-COLUMN($D$5)+$D$20+1)))), -1)</f>
        <v>-1</v>
      </c>
      <c r="AC155" s="17" cm="1">
        <f t="array" aca="1" ref="AC155" ca="1">IFERROR(IRR(IF(_xlfn.SEQUENCE(1, $D$20+1)=1, -AC147, INDEX($D$154:$AC$154, 1, MAX(1, COLUMN()-COLUMN($D$5)+1)) : INDEX($D$154:$AC$154, 1, MIN(26, COLUMN()-COLUMN($D$5)+$D$20+1)))), -1)</f>
        <v>-0.14408781512815627</v>
      </c>
    </row>
    <row r="156" spans="1:29" x14ac:dyDescent="0.2">
      <c r="A156" t="s">
        <v>611</v>
      </c>
      <c r="D156" s="17" cm="1">
        <f t="array" aca="1" ref="D156" ca="1">IFERROR(IRR(IF(_xlfn.SEQUENCE(1, $D$20+1)=1, -IF(COLUMN()-COLUMN($D$5)+3 &gt; 26, D147, INDEX($D$147:$AC$147, 1, MIN(26, COLUMN()-COLUMN($D$5)+3))), INDEX($D$154:$AC$154, 1, MAX(1, MIN(26, COLUMN()-COLUMN($D$5)+3))) : INDEX($D$154:$AC$154, 1, MIN(26, COLUMN()-COLUMN($D$5)+$D$20+3)))), -1)</f>
        <v>-0.25676827372625011</v>
      </c>
      <c r="E156" s="17" cm="1">
        <f t="array" aca="1" ref="E156" ca="1">IFERROR(IRR(IF(_xlfn.SEQUENCE(1, $D$20+1)=1, -IF(COLUMN()-COLUMN($D$5)+3 &gt; 26, E147, INDEX($D$147:$AC$147, 1, MIN(26, COLUMN()-COLUMN($D$5)+3))), INDEX($D$154:$AC$154, 1, MAX(1, MIN(26, COLUMN()-COLUMN($D$5)+3))) : INDEX($D$154:$AC$154, 1, MIN(26, COLUMN()-COLUMN($D$5)+$D$20+3)))), -1)</f>
        <v>-0.16425253643971149</v>
      </c>
      <c r="F156" s="17" cm="1">
        <f t="array" aca="1" ref="F156" ca="1">IFERROR(IRR(IF(_xlfn.SEQUENCE(1, $D$20+1)=1, -IF(COLUMN()-COLUMN($D$5)+3 &gt; 26, F147, INDEX($D$147:$AC$147, 1, MIN(26, COLUMN()-COLUMN($D$5)+3))), INDEX($D$154:$AC$154, 1, MAX(1, MIN(26, COLUMN()-COLUMN($D$5)+3))) : INDEX($D$154:$AC$154, 1, MIN(26, COLUMN()-COLUMN($D$5)+$D$20+3)))), -1)</f>
        <v>-0.12650833545218754</v>
      </c>
      <c r="G156" s="17" cm="1">
        <f t="array" aca="1" ref="G156" ca="1">IFERROR(IRR(IF(_xlfn.SEQUENCE(1, $D$20+1)=1, -IF(COLUMN()-COLUMN($D$5)+3 &gt; 26, G147, INDEX($D$147:$AC$147, 1, MIN(26, COLUMN()-COLUMN($D$5)+3))), INDEX($D$154:$AC$154, 1, MAX(1, MIN(26, COLUMN()-COLUMN($D$5)+3))) : INDEX($D$154:$AC$154, 1, MIN(26, COLUMN()-COLUMN($D$5)+$D$20+3)))), -1)</f>
        <v>-9.4476713907085674E-2</v>
      </c>
      <c r="H156" s="17" cm="1">
        <f t="array" aca="1" ref="H156" ca="1">IFERROR(IRR(IF(_xlfn.SEQUENCE(1, $D$20+1)=1, -IF(COLUMN()-COLUMN($D$5)+3 &gt; 26, H147, INDEX($D$147:$AC$147, 1, MIN(26, COLUMN()-COLUMN($D$5)+3))), INDEX($D$154:$AC$154, 1, MAX(1, MIN(26, COLUMN()-COLUMN($D$5)+3))) : INDEX($D$154:$AC$154, 1, MIN(26, COLUMN()-COLUMN($D$5)+$D$20+3)))), -1)</f>
        <v>-6.8699833077396799E-2</v>
      </c>
      <c r="I156" s="17" cm="1">
        <f t="array" aca="1" ref="I156" ca="1">IFERROR(IRR(IF(_xlfn.SEQUENCE(1, $D$20+1)=1, -IF(COLUMN()-COLUMN($D$5)+3 &gt; 26, I147, INDEX($D$147:$AC$147, 1, MIN(26, COLUMN()-COLUMN($D$5)+3))), INDEX($D$154:$AC$154, 1, MAX(1, MIN(26, COLUMN()-COLUMN($D$5)+3))) : INDEX($D$154:$AC$154, 1, MIN(26, COLUMN()-COLUMN($D$5)+$D$20+3)))), -1)</f>
        <v>-6.3137277567681505E-2</v>
      </c>
      <c r="J156" s="17" cm="1">
        <f t="array" aca="1" ref="J156" ca="1">IFERROR(IRR(IF(_xlfn.SEQUENCE(1, $D$20+1)=1, -IF(COLUMN()-COLUMN($D$5)+3 &gt; 26, J147, INDEX($D$147:$AC$147, 1, MIN(26, COLUMN()-COLUMN($D$5)+3))), INDEX($D$154:$AC$154, 1, MAX(1, MIN(26, COLUMN()-COLUMN($D$5)+3))) : INDEX($D$154:$AC$154, 1, MIN(26, COLUMN()-COLUMN($D$5)+$D$20+3)))), -1)</f>
        <v>-5.8933262860752289E-2</v>
      </c>
      <c r="K156" s="17" cm="1">
        <f t="array" aca="1" ref="K156" ca="1">IFERROR(IRR(IF(_xlfn.SEQUENCE(1, $D$20+1)=1, -IF(COLUMN()-COLUMN($D$5)+3 &gt; 26, K147, INDEX($D$147:$AC$147, 1, MIN(26, COLUMN()-COLUMN($D$5)+3))), INDEX($D$154:$AC$154, 1, MAX(1, MIN(26, COLUMN()-COLUMN($D$5)+3))) : INDEX($D$154:$AC$154, 1, MIN(26, COLUMN()-COLUMN($D$5)+$D$20+3)))), -1)</f>
        <v>-5.603182617668756E-2</v>
      </c>
      <c r="L156" s="17" cm="1">
        <f t="array" aca="1" ref="L156" ca="1">IFERROR(IRR(IF(_xlfn.SEQUENCE(1, $D$20+1)=1, -IF(COLUMN()-COLUMN($D$5)+3 &gt; 26, L147, INDEX($D$147:$AC$147, 1, MIN(26, COLUMN()-COLUMN($D$5)+3))), INDEX($D$154:$AC$154, 1, MAX(1, MIN(26, COLUMN()-COLUMN($D$5)+3))) : INDEX($D$154:$AC$154, 1, MIN(26, COLUMN()-COLUMN($D$5)+$D$20+3)))), -1)</f>
        <v>-5.393479073578844E-2</v>
      </c>
      <c r="M156" s="17" cm="1">
        <f t="array" aca="1" ref="M156" ca="1">IFERROR(IRR(IF(_xlfn.SEQUENCE(1, $D$20+1)=1, -IF(COLUMN()-COLUMN($D$5)+3 &gt; 26, M147, INDEX($D$147:$AC$147, 1, MIN(26, COLUMN()-COLUMN($D$5)+3))), INDEX($D$154:$AC$154, 1, MAX(1, MIN(26, COLUMN()-COLUMN($D$5)+3))) : INDEX($D$154:$AC$154, 1, MIN(26, COLUMN()-COLUMN($D$5)+$D$20+3)))), -1)</f>
        <v>-5.5010099928581746E-2</v>
      </c>
      <c r="N156" s="17" cm="1">
        <f t="array" aca="1" ref="N156" ca="1">IFERROR(IRR(IF(_xlfn.SEQUENCE(1, $D$20+1)=1, -IF(COLUMN()-COLUMN($D$5)+3 &gt; 26, N147, INDEX($D$147:$AC$147, 1, MIN(26, COLUMN()-COLUMN($D$5)+3))), INDEX($D$154:$AC$154, 1, MAX(1, MIN(26, COLUMN()-COLUMN($D$5)+3))) : INDEX($D$154:$AC$154, 1, MIN(26, COLUMN()-COLUMN($D$5)+$D$20+3)))), -1)</f>
        <v>-5.8433001318225819E-2</v>
      </c>
      <c r="O156" s="17" cm="1">
        <f t="array" aca="1" ref="O156" ca="1">IFERROR(IRR(IF(_xlfn.SEQUENCE(1, $D$20+1)=1, -IF(COLUMN()-COLUMN($D$5)+3 &gt; 26, O147, INDEX($D$147:$AC$147, 1, MIN(26, COLUMN()-COLUMN($D$5)+3))), INDEX($D$154:$AC$154, 1, MAX(1, MIN(26, COLUMN()-COLUMN($D$5)+3))) : INDEX($D$154:$AC$154, 1, MIN(26, COLUMN()-COLUMN($D$5)+$D$20+3)))), -1)</f>
        <v>-6.4237656107740349E-2</v>
      </c>
      <c r="P156" s="17" cm="1">
        <f t="array" aca="1" ref="P156" ca="1">IFERROR(IRR(IF(_xlfn.SEQUENCE(1, $D$20+1)=1, -IF(COLUMN()-COLUMN($D$5)+3 &gt; 26, P147, INDEX($D$147:$AC$147, 1, MIN(26, COLUMN()-COLUMN($D$5)+3))), INDEX($D$154:$AC$154, 1, MAX(1, MIN(26, COLUMN()-COLUMN($D$5)+3))) : INDEX($D$154:$AC$154, 1, MIN(26, COLUMN()-COLUMN($D$5)+$D$20+3)))), -1)</f>
        <v>-7.2141118644340918E-2</v>
      </c>
      <c r="Q156" s="17" cm="1">
        <f t="array" aca="1" ref="Q156" ca="1">IFERROR(IRR(IF(_xlfn.SEQUENCE(1, $D$20+1)=1, -IF(COLUMN()-COLUMN($D$5)+3 &gt; 26, Q147, INDEX($D$147:$AC$147, 1, MIN(26, COLUMN()-COLUMN($D$5)+3))), INDEX($D$154:$AC$154, 1, MAX(1, MIN(26, COLUMN()-COLUMN($D$5)+3))) : INDEX($D$154:$AC$154, 1, MIN(26, COLUMN()-COLUMN($D$5)+$D$20+3)))), -1)</f>
        <v>-8.1556382442243613E-2</v>
      </c>
      <c r="R156" s="17" cm="1">
        <f t="array" aca="1" ref="R156" ca="1">IFERROR(IRR(IF(_xlfn.SEQUENCE(1, $D$20+1)=1, -IF(COLUMN()-COLUMN($D$5)+3 &gt; 26, R147, INDEX($D$147:$AC$147, 1, MIN(26, COLUMN()-COLUMN($D$5)+3))), INDEX($D$154:$AC$154, 1, MAX(1, MIN(26, COLUMN()-COLUMN($D$5)+3))) : INDEX($D$154:$AC$154, 1, MIN(26, COLUMN()-COLUMN($D$5)+$D$20+3)))), -1)</f>
        <v>-9.1122891023193153E-2</v>
      </c>
      <c r="S156" s="17" cm="1">
        <f t="array" aca="1" ref="S156" ca="1">IFERROR(IRR(IF(_xlfn.SEQUENCE(1, $D$20+1)=1, -IF(COLUMN()-COLUMN($D$5)+3 &gt; 26, S147, INDEX($D$147:$AC$147, 1, MIN(26, COLUMN()-COLUMN($D$5)+3))), INDEX($D$154:$AC$154, 1, MAX(1, MIN(26, COLUMN()-COLUMN($D$5)+3))) : INDEX($D$154:$AC$154, 1, MIN(26, COLUMN()-COLUMN($D$5)+$D$20+3)))), -1)</f>
        <v>-0.10054199547562304</v>
      </c>
      <c r="T156" s="17" cm="1">
        <f t="array" aca="1" ref="T156" ca="1">IFERROR(IRR(IF(_xlfn.SEQUENCE(1, $D$20+1)=1, -IF(COLUMN()-COLUMN($D$5)+3 &gt; 26, T147, INDEX($D$147:$AC$147, 1, MIN(26, COLUMN()-COLUMN($D$5)+3))), INDEX($D$154:$AC$154, 1, MAX(1, MIN(26, COLUMN()-COLUMN($D$5)+3))) : INDEX($D$154:$AC$154, 1, MIN(26, COLUMN()-COLUMN($D$5)+$D$20+3)))), -1)</f>
        <v>-0.10986671224559408</v>
      </c>
      <c r="U156" s="17" cm="1">
        <f t="array" aca="1" ref="U156" ca="1">IFERROR(IRR(IF(_xlfn.SEQUENCE(1, $D$20+1)=1, -IF(COLUMN()-COLUMN($D$5)+3 &gt; 26, U147, INDEX($D$147:$AC$147, 1, MIN(26, COLUMN()-COLUMN($D$5)+3))), INDEX($D$154:$AC$154, 1, MAX(1, MIN(26, COLUMN()-COLUMN($D$5)+3))) : INDEX($D$154:$AC$154, 1, MIN(26, COLUMN()-COLUMN($D$5)+$D$20+3)))), -1)</f>
        <v>-0.11923940375631314</v>
      </c>
      <c r="V156" s="17" cm="1">
        <f t="array" aca="1" ref="V156" ca="1">IFERROR(IRR(IF(_xlfn.SEQUENCE(1, $D$20+1)=1, -IF(COLUMN()-COLUMN($D$5)+3 &gt; 26, V147, INDEX($D$147:$AC$147, 1, MIN(26, COLUMN()-COLUMN($D$5)+3))), INDEX($D$154:$AC$154, 1, MAX(1, MIN(26, COLUMN()-COLUMN($D$5)+3))) : INDEX($D$154:$AC$154, 1, MIN(26, COLUMN()-COLUMN($D$5)+$D$20+3)))), -1)</f>
        <v>-0.12840448853575959</v>
      </c>
      <c r="W156" s="17" cm="1">
        <f t="array" aca="1" ref="W156" ca="1">IFERROR(IRR(IF(_xlfn.SEQUENCE(1, $D$20+1)=1, -IF(COLUMN()-COLUMN($D$5)+3 &gt; 26, W147, INDEX($D$147:$AC$147, 1, MIN(26, COLUMN()-COLUMN($D$5)+3))), INDEX($D$154:$AC$154, 1, MAX(1, MIN(26, COLUMN()-COLUMN($D$5)+3))) : INDEX($D$154:$AC$154, 1, MIN(26, COLUMN()-COLUMN($D$5)+$D$20+3)))), -1)</f>
        <v>-1</v>
      </c>
      <c r="X156" s="17" cm="1">
        <f t="array" aca="1" ref="X156" ca="1">IFERROR(IRR(IF(_xlfn.SEQUENCE(1, $D$20+1)=1, -IF(COLUMN()-COLUMN($D$5)+3 &gt; 26, X147, INDEX($D$147:$AC$147, 1, MIN(26, COLUMN()-COLUMN($D$5)+3))), INDEX($D$154:$AC$154, 1, MAX(1, MIN(26, COLUMN()-COLUMN($D$5)+3))) : INDEX($D$154:$AC$154, 1, MIN(26, COLUMN()-COLUMN($D$5)+$D$20+3)))), -1)</f>
        <v>-1</v>
      </c>
      <c r="Y156" s="17" cm="1">
        <f t="array" aca="1" ref="Y156" ca="1">IFERROR(IRR(IF(_xlfn.SEQUENCE(1, $D$20+1)=1, -IF(COLUMN()-COLUMN($D$5)+3 &gt; 26, Y147, INDEX($D$147:$AC$147, 1, MIN(26, COLUMN()-COLUMN($D$5)+3))), INDEX($D$154:$AC$154, 1, MAX(1, MIN(26, COLUMN()-COLUMN($D$5)+3))) : INDEX($D$154:$AC$154, 1, MIN(26, COLUMN()-COLUMN($D$5)+$D$20+3)))), -1)</f>
        <v>-1</v>
      </c>
      <c r="Z156" s="17" cm="1">
        <f t="array" aca="1" ref="Z156" ca="1">IFERROR(IRR(IF(_xlfn.SEQUENCE(1, $D$20+1)=1, -IF(COLUMN()-COLUMN($D$5)+3 &gt; 26, Z147, INDEX($D$147:$AC$147, 1, MIN(26, COLUMN()-COLUMN($D$5)+3))), INDEX($D$154:$AC$154, 1, MAX(1, MIN(26, COLUMN()-COLUMN($D$5)+3))) : INDEX($D$154:$AC$154, 1, MIN(26, COLUMN()-COLUMN($D$5)+$D$20+3)))), -1)</f>
        <v>-1</v>
      </c>
      <c r="AA156" s="17" cm="1">
        <f t="array" aca="1" ref="AA156" ca="1">IFERROR(IRR(IF(_xlfn.SEQUENCE(1, $D$20+1)=1, -IF(COLUMN()-COLUMN($D$5)+3 &gt; 26, AA147, INDEX($D$147:$AC$147, 1, MIN(26, COLUMN()-COLUMN($D$5)+3))), INDEX($D$154:$AC$154, 1, MAX(1, MIN(26, COLUMN()-COLUMN($D$5)+3))) : INDEX($D$154:$AC$154, 1, MIN(26, COLUMN()-COLUMN($D$5)+$D$20+3)))), -1)</f>
        <v>-0.14408781512815627</v>
      </c>
      <c r="AB156" s="17" cm="1">
        <f t="array" aca="1" ref="AB156" ca="1">IFERROR(IRR(IF(_xlfn.SEQUENCE(1, $D$20+1)=1, -IF(COLUMN()-COLUMN($D$5)+3 &gt; 26, AB147, INDEX($D$147:$AC$147, 1, MIN(26, COLUMN()-COLUMN($D$5)+3))), INDEX($D$154:$AC$154, 1, MAX(1, MIN(26, COLUMN()-COLUMN($D$5)+3))) : INDEX($D$154:$AC$154, 1, MIN(26, COLUMN()-COLUMN($D$5)+$D$20+3)))), -1)</f>
        <v>-0.14408781512815627</v>
      </c>
      <c r="AC156" s="17" cm="1">
        <f t="array" aca="1" ref="AC156" ca="1">IFERROR(IRR(IF(_xlfn.SEQUENCE(1, $D$20+1)=1, -IF(COLUMN()-COLUMN($D$5)+3 &gt; 26, AC147, INDEX($D$147:$AC$147, 1, MIN(26, COLUMN()-COLUMN($D$5)+3))), INDEX($D$154:$AC$154, 1, MAX(1, MIN(26, COLUMN()-COLUMN($D$5)+3))) : INDEX($D$154:$AC$154, 1, MIN(26, COLUMN()-COLUMN($D$5)+$D$20+3)))), -1)</f>
        <v>-0.14408781512815627</v>
      </c>
    </row>
    <row r="157" spans="1:29" x14ac:dyDescent="0.2">
      <c r="A157" t="s">
        <v>612</v>
      </c>
      <c r="D157" s="17">
        <f ca="1">(1 - INDEX(Assumptions!$B:$B, MATCH("Forward IRR weight w (Blended = (1-w)·Spot + w·Forward)", Assumptions!$A:$A, 0))) * D155 + INDEX(Assumptions!$B:$B, MATCH("Forward IRR weight w (Blended = (1-w)·Spot + w·Forward)", Assumptions!$A:$A, 0)) * D156</f>
        <v>-0.29679929715103098</v>
      </c>
      <c r="E157" s="17">
        <f ca="1">(1 - INDEX(Assumptions!$B:$B, MATCH("Forward IRR weight w (Blended = (1-w)·Spot + w·Forward)", Assumptions!$A:$A, 0))) * E155 + INDEX(Assumptions!$B:$B, MATCH("Forward IRR weight w (Blended = (1-w)·Spot + w·Forward)", Assumptions!$A:$A, 0)) * E156</f>
        <v>-0.21104843935593032</v>
      </c>
      <c r="F157" s="17">
        <f ca="1">(1 - INDEX(Assumptions!$B:$B, MATCH("Forward IRR weight w (Blended = (1-w)·Spot + w·Forward)", Assumptions!$A:$A, 0))) * F155 + INDEX(Assumptions!$B:$B, MATCH("Forward IRR weight w (Blended = (1-w)·Spot + w·Forward)", Assumptions!$A:$A, 0)) * F156</f>
        <v>-0.16558631693440631</v>
      </c>
      <c r="G157" s="17">
        <f ca="1">(1 - INDEX(Assumptions!$B:$B, MATCH("Forward IRR weight w (Blended = (1-w)·Spot + w·Forward)", Assumptions!$A:$A, 0))) * G155 + INDEX(Assumptions!$B:$B, MATCH("Forward IRR weight w (Blended = (1-w)·Spot + w·Forward)", Assumptions!$A:$A, 0)) * G156</f>
        <v>-0.11540946066687344</v>
      </c>
      <c r="H157" s="17">
        <f ca="1">(1 - INDEX(Assumptions!$B:$B, MATCH("Forward IRR weight w (Blended = (1-w)·Spot + w·Forward)", Assumptions!$A:$A, 0))) * H155 + INDEX(Assumptions!$B:$B, MATCH("Forward IRR weight w (Blended = (1-w)·Spot + w·Forward)", Assumptions!$A:$A, 0)) * H156</f>
        <v>-8.6042383789834018E-2</v>
      </c>
      <c r="I157" s="17">
        <f ca="1">(1 - INDEX(Assumptions!$B:$B, MATCH("Forward IRR weight w (Blended = (1-w)·Spot + w·Forward)", Assumptions!$A:$A, 0))) * I155 + INDEX(Assumptions!$B:$B, MATCH("Forward IRR weight w (Blended = (1-w)·Spot + w·Forward)", Assumptions!$A:$A, 0)) * I156</f>
        <v>-7.2539108469502761E-2</v>
      </c>
      <c r="J157" s="17">
        <f ca="1">(1 - INDEX(Assumptions!$B:$B, MATCH("Forward IRR weight w (Blended = (1-w)·Spot + w·Forward)", Assumptions!$A:$A, 0))) * J155 + INDEX(Assumptions!$B:$B, MATCH("Forward IRR weight w (Blended = (1-w)·Spot + w·Forward)", Assumptions!$A:$A, 0)) * J156</f>
        <v>-6.1863233925745637E-2</v>
      </c>
      <c r="K157" s="17">
        <f ca="1">(1 - INDEX(Assumptions!$B:$B, MATCH("Forward IRR weight w (Blended = (1-w)·Spot + w·Forward)", Assumptions!$A:$A, 0))) * K155 + INDEX(Assumptions!$B:$B, MATCH("Forward IRR weight w (Blended = (1-w)·Spot + w·Forward)", Assumptions!$A:$A, 0)) * K156</f>
        <v>-5.8163461593985742E-2</v>
      </c>
      <c r="L157" s="17">
        <f ca="1">(1 - INDEX(Assumptions!$B:$B, MATCH("Forward IRR weight w (Blended = (1-w)·Spot + w·Forward)", Assumptions!$A:$A, 0))) * L155 + INDEX(Assumptions!$B:$B, MATCH("Forward IRR weight w (Blended = (1-w)·Spot + w·Forward)", Assumptions!$A:$A, 0)) * L156</f>
        <v>-5.5434332373277599E-2</v>
      </c>
      <c r="M157" s="17">
        <f ca="1">(1 - INDEX(Assumptions!$B:$B, MATCH("Forward IRR weight w (Blended = (1-w)·Spot + w·Forward)", Assumptions!$A:$A, 0))) * M155 + INDEX(Assumptions!$B:$B, MATCH("Forward IRR weight w (Blended = (1-w)·Spot + w·Forward)", Assumptions!$A:$A, 0)) * M156</f>
        <v>-5.5316617803013488E-2</v>
      </c>
      <c r="N157" s="17">
        <f ca="1">(1 - INDEX(Assumptions!$B:$B, MATCH("Forward IRR weight w (Blended = (1-w)·Spot + w·Forward)", Assumptions!$A:$A, 0))) * N155 + INDEX(Assumptions!$B:$B, MATCH("Forward IRR weight w (Blended = (1-w)·Spot + w·Forward)", Assumptions!$A:$A, 0)) * N156</f>
        <v>-5.7083538143494608E-2</v>
      </c>
      <c r="O157" s="17">
        <f ca="1">(1 - INDEX(Assumptions!$B:$B, MATCH("Forward IRR weight w (Blended = (1-w)·Spot + w·Forward)", Assumptions!$A:$A, 0))) * O155 + INDEX(Assumptions!$B:$B, MATCH("Forward IRR weight w (Blended = (1-w)·Spot + w·Forward)", Assumptions!$A:$A, 0)) * O156</f>
        <v>-6.1469389253992771E-2</v>
      </c>
      <c r="P157" s="17">
        <f ca="1">(1 - INDEX(Assumptions!$B:$B, MATCH("Forward IRR weight w (Blended = (1-w)·Spot + w·Forward)", Assumptions!$A:$A, 0))) * P155 + INDEX(Assumptions!$B:$B, MATCH("Forward IRR weight w (Blended = (1-w)·Spot + w·Forward)", Assumptions!$A:$A, 0)) * P156</f>
        <v>-6.8028683446506394E-2</v>
      </c>
      <c r="Q157" s="17">
        <f ca="1">(1 - INDEX(Assumptions!$B:$B, MATCH("Forward IRR weight w (Blended = (1-w)·Spot + w·Forward)", Assumptions!$A:$A, 0))) * Q155 + INDEX(Assumptions!$B:$B, MATCH("Forward IRR weight w (Blended = (1-w)·Spot + w·Forward)", Assumptions!$A:$A, 0)) * Q156</f>
        <v>-7.636076454189264E-2</v>
      </c>
      <c r="R157" s="17">
        <f ca="1">(1 - INDEX(Assumptions!$B:$B, MATCH("Forward IRR weight w (Blended = (1-w)·Spot + w·Forward)", Assumptions!$A:$A, 0))) * R155 + INDEX(Assumptions!$B:$B, MATCH("Forward IRR weight w (Blended = (1-w)·Spot + w·Forward)", Assumptions!$A:$A, 0)) * R156</f>
        <v>-8.5428359309537488E-2</v>
      </c>
      <c r="S157" s="17">
        <f ca="1">(1 - INDEX(Assumptions!$B:$B, MATCH("Forward IRR weight w (Blended = (1-w)·Spot + w·Forward)", Assumptions!$A:$A, 0))) * S155 + INDEX(Assumptions!$B:$B, MATCH("Forward IRR weight w (Blended = (1-w)·Spot + w·Forward)", Assumptions!$A:$A, 0)) * S156</f>
        <v>-9.4846311565609215E-2</v>
      </c>
      <c r="T157" s="17">
        <f ca="1">(1 - INDEX(Assumptions!$B:$B, MATCH("Forward IRR weight w (Blended = (1-w)·Spot + w·Forward)", Assumptions!$A:$A, 0))) * T155 + INDEX(Assumptions!$B:$B, MATCH("Forward IRR weight w (Blended = (1-w)·Spot + w·Forward)", Assumptions!$A:$A, 0)) * T156</f>
        <v>-0.10424356587887379</v>
      </c>
      <c r="U157" s="17">
        <f ca="1">(1 - INDEX(Assumptions!$B:$B, MATCH("Forward IRR weight w (Blended = (1-w)·Spot + w·Forward)", Assumptions!$A:$A, 0))) * U155 + INDEX(Assumptions!$B:$B, MATCH("Forward IRR weight w (Blended = (1-w)·Spot + w·Forward)", Assumptions!$A:$A, 0)) * U156</f>
        <v>-0.11363018127210611</v>
      </c>
      <c r="V157" s="17">
        <f ca="1">(1 - INDEX(Assumptions!$B:$B, MATCH("Forward IRR weight w (Blended = (1-w)·Spot + w·Forward)", Assumptions!$A:$A, 0))) * V155 + INDEX(Assumptions!$B:$B, MATCH("Forward IRR weight w (Blended = (1-w)·Spot + w·Forward)", Assumptions!$A:$A, 0)) * V156</f>
        <v>-0.12284315564870993</v>
      </c>
      <c r="W157" s="17">
        <f ca="1">(1 - INDEX(Assumptions!$B:$B, MATCH("Forward IRR weight w (Blended = (1-w)·Spot + w·Forward)", Assumptions!$A:$A, 0))) * W155 + INDEX(Assumptions!$B:$B, MATCH("Forward IRR weight w (Blended = (1-w)·Spot + w·Forward)", Assumptions!$A:$A, 0)) * W156</f>
        <v>-0.73577182112689388</v>
      </c>
      <c r="X157" s="17">
        <f ca="1">(1 - INDEX(Assumptions!$B:$B, MATCH("Forward IRR weight w (Blended = (1-w)·Spot + w·Forward)", Assumptions!$A:$A, 0))) * X155 + INDEX(Assumptions!$B:$B, MATCH("Forward IRR weight w (Blended = (1-w)·Spot + w·Forward)", Assumptions!$A:$A, 0)) * X156</f>
        <v>-0.73852134656072788</v>
      </c>
      <c r="Y157" s="17">
        <f ca="1">(1 - INDEX(Assumptions!$B:$B, MATCH("Forward IRR weight w (Blended = (1-w)·Spot + w·Forward)", Assumptions!$A:$A, 0))) * Y155 + INDEX(Assumptions!$B:$B, MATCH("Forward IRR weight w (Blended = (1-w)·Spot + w·Forward)", Assumptions!$A:$A, 0)) * Y156</f>
        <v>-1</v>
      </c>
      <c r="Z157" s="17">
        <f ca="1">(1 - INDEX(Assumptions!$B:$B, MATCH("Forward IRR weight w (Blended = (1-w)·Spot + w·Forward)", Assumptions!$A:$A, 0))) * Z155 + INDEX(Assumptions!$B:$B, MATCH("Forward IRR weight w (Blended = (1-w)·Spot + w·Forward)", Assumptions!$A:$A, 0)) * Z156</f>
        <v>-1</v>
      </c>
      <c r="AA157" s="17">
        <f ca="1">(1 - INDEX(Assumptions!$B:$B, MATCH("Forward IRR weight w (Blended = (1-w)·Spot + w·Forward)", Assumptions!$A:$A, 0))) * AA155 + INDEX(Assumptions!$B:$B, MATCH("Forward IRR weight w (Blended = (1-w)·Spot + w·Forward)", Assumptions!$A:$A, 0)) * AA156</f>
        <v>-0.40086147058970945</v>
      </c>
      <c r="AB157" s="17">
        <f ca="1">(1 - INDEX(Assumptions!$B:$B, MATCH("Forward IRR weight w (Blended = (1-w)·Spot + w·Forward)", Assumptions!$A:$A, 0))) * AB155 + INDEX(Assumptions!$B:$B, MATCH("Forward IRR weight w (Blended = (1-w)·Spot + w·Forward)", Assumptions!$A:$A, 0)) * AB156</f>
        <v>-0.40086147058970945</v>
      </c>
      <c r="AC157" s="17">
        <f ca="1">(1 - INDEX(Assumptions!$B:$B, MATCH("Forward IRR weight w (Blended = (1-w)·Spot + w·Forward)", Assumptions!$A:$A, 0))) * AC155 + INDEX(Assumptions!$B:$B, MATCH("Forward IRR weight w (Blended = (1-w)·Spot + w·Forward)", Assumptions!$A:$A, 0)) * AC156</f>
        <v>-0.14408781512815627</v>
      </c>
    </row>
    <row r="200" spans="1:29" x14ac:dyDescent="0.2">
      <c r="A200" s="13" t="s">
        <v>603</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x14ac:dyDescent="0.2">
      <c r="A201" t="s">
        <v>604</v>
      </c>
      <c r="C201" t="s">
        <v>614</v>
      </c>
      <c r="D201" s="23">
        <f ca="1">D124</f>
        <v>0</v>
      </c>
      <c r="E201" s="23">
        <f t="shared" ref="E201:AC201" ca="1" si="64">E124</f>
        <v>0</v>
      </c>
      <c r="F201" s="23">
        <f t="shared" ca="1" si="64"/>
        <v>0</v>
      </c>
      <c r="G201" s="23">
        <f t="shared" ca="1" si="64"/>
        <v>0</v>
      </c>
      <c r="H201" s="23">
        <f t="shared" ca="1" si="64"/>
        <v>0</v>
      </c>
      <c r="I201" s="23">
        <f t="shared" ca="1" si="64"/>
        <v>0</v>
      </c>
      <c r="J201" s="23">
        <f t="shared" ca="1" si="64"/>
        <v>0</v>
      </c>
      <c r="K201" s="23">
        <f t="shared" ca="1" si="64"/>
        <v>0</v>
      </c>
      <c r="L201" s="23">
        <f t="shared" ca="1" si="64"/>
        <v>0</v>
      </c>
      <c r="M201" s="23">
        <f t="shared" ca="1" si="64"/>
        <v>0</v>
      </c>
      <c r="N201" s="23">
        <f t="shared" ca="1" si="64"/>
        <v>0</v>
      </c>
      <c r="O201" s="23">
        <f t="shared" ca="1" si="64"/>
        <v>0</v>
      </c>
      <c r="P201" s="23">
        <f t="shared" ca="1" si="64"/>
        <v>0</v>
      </c>
      <c r="Q201" s="23">
        <f t="shared" ca="1" si="64"/>
        <v>0</v>
      </c>
      <c r="R201" s="23">
        <f t="shared" ca="1" si="64"/>
        <v>0</v>
      </c>
      <c r="S201" s="23">
        <f t="shared" ca="1" si="64"/>
        <v>0</v>
      </c>
      <c r="T201" s="23">
        <f t="shared" ca="1" si="64"/>
        <v>0</v>
      </c>
      <c r="U201" s="23">
        <f t="shared" ca="1" si="64"/>
        <v>0</v>
      </c>
      <c r="V201" s="23">
        <f t="shared" ca="1" si="64"/>
        <v>0</v>
      </c>
      <c r="W201" s="23">
        <f t="shared" ca="1" si="64"/>
        <v>0</v>
      </c>
      <c r="X201" s="23">
        <f t="shared" ca="1" si="64"/>
        <v>0</v>
      </c>
      <c r="Y201" s="23">
        <f t="shared" ca="1" si="64"/>
        <v>0</v>
      </c>
      <c r="Z201" s="23">
        <f t="shared" ca="1" si="64"/>
        <v>0</v>
      </c>
      <c r="AA201" s="23">
        <f t="shared" ca="1" si="64"/>
        <v>0</v>
      </c>
      <c r="AB201" s="23">
        <f t="shared" ca="1" si="64"/>
        <v>0</v>
      </c>
      <c r="AC201" s="23">
        <f t="shared" ca="1" si="64"/>
        <v>0</v>
      </c>
    </row>
    <row r="202" spans="1:29" x14ac:dyDescent="0.2">
      <c r="A202" t="s">
        <v>605</v>
      </c>
      <c r="C202" t="s">
        <v>615</v>
      </c>
      <c r="D202" s="23">
        <f ca="1">D133</f>
        <v>0</v>
      </c>
      <c r="E202" s="23">
        <f t="shared" ref="E202:AC202" ca="1" si="65">E133</f>
        <v>0</v>
      </c>
      <c r="F202" s="23">
        <f t="shared" ca="1" si="65"/>
        <v>0</v>
      </c>
      <c r="G202" s="23">
        <f t="shared" ca="1" si="65"/>
        <v>0</v>
      </c>
      <c r="H202" s="23">
        <f t="shared" ca="1" si="65"/>
        <v>0</v>
      </c>
      <c r="I202" s="23">
        <f t="shared" ca="1" si="65"/>
        <v>0</v>
      </c>
      <c r="J202" s="23">
        <f t="shared" ca="1" si="65"/>
        <v>0</v>
      </c>
      <c r="K202" s="23">
        <f t="shared" ca="1" si="65"/>
        <v>0</v>
      </c>
      <c r="L202" s="23">
        <f t="shared" ca="1" si="65"/>
        <v>0</v>
      </c>
      <c r="M202" s="23">
        <f t="shared" ca="1" si="65"/>
        <v>0</v>
      </c>
      <c r="N202" s="23">
        <f t="shared" ca="1" si="65"/>
        <v>0</v>
      </c>
      <c r="O202" s="23">
        <f t="shared" ca="1" si="65"/>
        <v>0</v>
      </c>
      <c r="P202" s="23">
        <f t="shared" ca="1" si="65"/>
        <v>0</v>
      </c>
      <c r="Q202" s="23">
        <f t="shared" ca="1" si="65"/>
        <v>0</v>
      </c>
      <c r="R202" s="23">
        <f t="shared" ca="1" si="65"/>
        <v>0</v>
      </c>
      <c r="S202" s="23">
        <f t="shared" ca="1" si="65"/>
        <v>0</v>
      </c>
      <c r="T202" s="23">
        <f t="shared" ca="1" si="65"/>
        <v>0</v>
      </c>
      <c r="U202" s="23">
        <f t="shared" ca="1" si="65"/>
        <v>0</v>
      </c>
      <c r="V202" s="23">
        <f t="shared" ca="1" si="65"/>
        <v>0</v>
      </c>
      <c r="W202" s="23">
        <f t="shared" ca="1" si="65"/>
        <v>0</v>
      </c>
      <c r="X202" s="23">
        <f t="shared" ca="1" si="65"/>
        <v>0</v>
      </c>
      <c r="Y202" s="23">
        <f t="shared" ca="1" si="65"/>
        <v>0</v>
      </c>
      <c r="Z202" s="23">
        <f t="shared" ca="1" si="65"/>
        <v>0</v>
      </c>
      <c r="AA202" s="23">
        <f t="shared" ca="1" si="65"/>
        <v>0</v>
      </c>
      <c r="AB202" s="23">
        <f t="shared" ca="1" si="65"/>
        <v>0</v>
      </c>
      <c r="AC202" s="23">
        <f t="shared" ca="1" si="65"/>
        <v>0</v>
      </c>
    </row>
    <row r="203" spans="1:29" x14ac:dyDescent="0.2">
      <c r="A203" t="s">
        <v>606</v>
      </c>
      <c r="C203" s="16" t="s">
        <v>616</v>
      </c>
      <c r="D203" s="17">
        <f ca="1">D134</f>
        <v>0</v>
      </c>
      <c r="E203" s="17">
        <f t="shared" ref="E203:AC203" ca="1" si="66">E134</f>
        <v>0</v>
      </c>
      <c r="F203" s="17">
        <f t="shared" ca="1" si="66"/>
        <v>0</v>
      </c>
      <c r="G203" s="17">
        <f t="shared" ca="1" si="66"/>
        <v>0</v>
      </c>
      <c r="H203" s="17">
        <f t="shared" ca="1" si="66"/>
        <v>0</v>
      </c>
      <c r="I203" s="17">
        <f t="shared" ca="1" si="66"/>
        <v>0</v>
      </c>
      <c r="J203" s="17">
        <f t="shared" ca="1" si="66"/>
        <v>0</v>
      </c>
      <c r="K203" s="17">
        <f t="shared" ca="1" si="66"/>
        <v>0</v>
      </c>
      <c r="L203" s="17">
        <f t="shared" ca="1" si="66"/>
        <v>0</v>
      </c>
      <c r="M203" s="17">
        <f t="shared" ca="1" si="66"/>
        <v>0</v>
      </c>
      <c r="N203" s="17">
        <f t="shared" ca="1" si="66"/>
        <v>0</v>
      </c>
      <c r="O203" s="17">
        <f t="shared" ca="1" si="66"/>
        <v>0</v>
      </c>
      <c r="P203" s="17">
        <f t="shared" ca="1" si="66"/>
        <v>0</v>
      </c>
      <c r="Q203" s="17">
        <f t="shared" ca="1" si="66"/>
        <v>0</v>
      </c>
      <c r="R203" s="17">
        <f t="shared" ca="1" si="66"/>
        <v>0</v>
      </c>
      <c r="S203" s="17">
        <f t="shared" ca="1" si="66"/>
        <v>0</v>
      </c>
      <c r="T203" s="17">
        <f t="shared" ca="1" si="66"/>
        <v>0</v>
      </c>
      <c r="U203" s="17">
        <f t="shared" ca="1" si="66"/>
        <v>0</v>
      </c>
      <c r="V203" s="17">
        <f t="shared" ca="1" si="66"/>
        <v>0</v>
      </c>
      <c r="W203" s="17">
        <f t="shared" ca="1" si="66"/>
        <v>0</v>
      </c>
      <c r="X203" s="17">
        <f t="shared" ca="1" si="66"/>
        <v>0</v>
      </c>
      <c r="Y203" s="17">
        <f t="shared" ca="1" si="66"/>
        <v>0</v>
      </c>
      <c r="Z203" s="17">
        <f t="shared" ca="1" si="66"/>
        <v>0</v>
      </c>
      <c r="AA203" s="17">
        <f t="shared" ca="1" si="66"/>
        <v>0</v>
      </c>
      <c r="AB203" s="17">
        <f t="shared" ca="1" si="66"/>
        <v>0</v>
      </c>
      <c r="AC203" s="17">
        <f t="shared" ca="1" si="66"/>
        <v>0</v>
      </c>
    </row>
    <row r="204" spans="1:29" x14ac:dyDescent="0.2">
      <c r="A204" t="s">
        <v>607</v>
      </c>
      <c r="C204" s="16" t="s">
        <v>617</v>
      </c>
      <c r="D204" s="23">
        <f ca="1">D137</f>
        <v>0</v>
      </c>
      <c r="E204" s="23">
        <f t="shared" ref="E204:AC204" ca="1" si="67">E137</f>
        <v>0</v>
      </c>
      <c r="F204" s="23">
        <f t="shared" ca="1" si="67"/>
        <v>0</v>
      </c>
      <c r="G204" s="23">
        <f t="shared" ca="1" si="67"/>
        <v>0</v>
      </c>
      <c r="H204" s="23">
        <f t="shared" ca="1" si="67"/>
        <v>0</v>
      </c>
      <c r="I204" s="23">
        <f t="shared" ca="1" si="67"/>
        <v>0</v>
      </c>
      <c r="J204" s="23">
        <f t="shared" ca="1" si="67"/>
        <v>0</v>
      </c>
      <c r="K204" s="23">
        <f t="shared" ca="1" si="67"/>
        <v>0</v>
      </c>
      <c r="L204" s="23">
        <f t="shared" ca="1" si="67"/>
        <v>0</v>
      </c>
      <c r="M204" s="23">
        <f t="shared" ca="1" si="67"/>
        <v>0</v>
      </c>
      <c r="N204" s="23">
        <f t="shared" ca="1" si="67"/>
        <v>0</v>
      </c>
      <c r="O204" s="23">
        <f t="shared" ca="1" si="67"/>
        <v>0</v>
      </c>
      <c r="P204" s="23">
        <f t="shared" ca="1" si="67"/>
        <v>0</v>
      </c>
      <c r="Q204" s="23">
        <f t="shared" ca="1" si="67"/>
        <v>0</v>
      </c>
      <c r="R204" s="23">
        <f t="shared" ca="1" si="67"/>
        <v>0</v>
      </c>
      <c r="S204" s="23">
        <f t="shared" ca="1" si="67"/>
        <v>0</v>
      </c>
      <c r="T204" s="23">
        <f t="shared" ca="1" si="67"/>
        <v>0</v>
      </c>
      <c r="U204" s="23">
        <f t="shared" ca="1" si="67"/>
        <v>0</v>
      </c>
      <c r="V204" s="23">
        <f t="shared" ca="1" si="67"/>
        <v>0</v>
      </c>
      <c r="W204" s="23">
        <f t="shared" ca="1" si="67"/>
        <v>0</v>
      </c>
      <c r="X204" s="23">
        <f t="shared" ca="1" si="67"/>
        <v>0</v>
      </c>
      <c r="Y204" s="23">
        <f t="shared" ca="1" si="67"/>
        <v>0</v>
      </c>
      <c r="Z204" s="23">
        <f t="shared" ca="1" si="67"/>
        <v>0</v>
      </c>
      <c r="AA204" s="23">
        <f t="shared" ca="1" si="67"/>
        <v>0</v>
      </c>
      <c r="AB204" s="23">
        <f t="shared" ca="1" si="67"/>
        <v>0</v>
      </c>
      <c r="AC204" s="23">
        <f t="shared" ca="1" si="67"/>
        <v>0</v>
      </c>
    </row>
    <row r="205" spans="1:29" x14ac:dyDescent="0.2">
      <c r="A205" t="s">
        <v>608</v>
      </c>
      <c r="C205" t="s">
        <v>614</v>
      </c>
      <c r="D205" s="23">
        <f ca="1">D135</f>
        <v>0</v>
      </c>
      <c r="E205" s="23">
        <f t="shared" ref="E205:AC205" ca="1" si="68">E135</f>
        <v>0</v>
      </c>
      <c r="F205" s="23">
        <f t="shared" ca="1" si="68"/>
        <v>0</v>
      </c>
      <c r="G205" s="23">
        <f t="shared" ca="1" si="68"/>
        <v>0</v>
      </c>
      <c r="H205" s="23">
        <f t="shared" ca="1" si="68"/>
        <v>0</v>
      </c>
      <c r="I205" s="23">
        <f t="shared" ca="1" si="68"/>
        <v>0</v>
      </c>
      <c r="J205" s="23">
        <f t="shared" ca="1" si="68"/>
        <v>0</v>
      </c>
      <c r="K205" s="23">
        <f t="shared" ca="1" si="68"/>
        <v>0</v>
      </c>
      <c r="L205" s="23">
        <f t="shared" ca="1" si="68"/>
        <v>0</v>
      </c>
      <c r="M205" s="23">
        <f t="shared" ca="1" si="68"/>
        <v>0</v>
      </c>
      <c r="N205" s="23">
        <f t="shared" ca="1" si="68"/>
        <v>0</v>
      </c>
      <c r="O205" s="23">
        <f t="shared" ca="1" si="68"/>
        <v>0</v>
      </c>
      <c r="P205" s="23">
        <f t="shared" ca="1" si="68"/>
        <v>0</v>
      </c>
      <c r="Q205" s="23">
        <f t="shared" ca="1" si="68"/>
        <v>0</v>
      </c>
      <c r="R205" s="23">
        <f t="shared" ca="1" si="68"/>
        <v>0</v>
      </c>
      <c r="S205" s="23">
        <f t="shared" ca="1" si="68"/>
        <v>0</v>
      </c>
      <c r="T205" s="23">
        <f t="shared" ca="1" si="68"/>
        <v>0</v>
      </c>
      <c r="U205" s="23">
        <f t="shared" ca="1" si="68"/>
        <v>0</v>
      </c>
      <c r="V205" s="23">
        <f t="shared" ca="1" si="68"/>
        <v>0</v>
      </c>
      <c r="W205" s="23">
        <f t="shared" ca="1" si="68"/>
        <v>0</v>
      </c>
      <c r="X205" s="23">
        <f t="shared" ca="1" si="68"/>
        <v>0</v>
      </c>
      <c r="Y205" s="23">
        <f t="shared" ca="1" si="68"/>
        <v>0</v>
      </c>
      <c r="Z205" s="23">
        <f t="shared" ca="1" si="68"/>
        <v>0</v>
      </c>
      <c r="AA205" s="23">
        <f t="shared" ca="1" si="68"/>
        <v>0</v>
      </c>
      <c r="AB205" s="23">
        <f t="shared" ca="1" si="68"/>
        <v>0</v>
      </c>
      <c r="AC205" s="23">
        <f t="shared" ca="1" si="68"/>
        <v>0</v>
      </c>
    </row>
    <row r="206" spans="1:29" x14ac:dyDescent="0.2">
      <c r="A206" t="s">
        <v>609</v>
      </c>
      <c r="C206" s="16" t="s">
        <v>618</v>
      </c>
      <c r="D206" s="23">
        <f ca="1">D136</f>
        <v>0</v>
      </c>
      <c r="E206" s="23">
        <f t="shared" ref="E206:AC206" ca="1" si="69">E136</f>
        <v>0</v>
      </c>
      <c r="F206" s="23">
        <f t="shared" ca="1" si="69"/>
        <v>0</v>
      </c>
      <c r="G206" s="23">
        <f t="shared" ca="1" si="69"/>
        <v>0</v>
      </c>
      <c r="H206" s="23">
        <f t="shared" ca="1" si="69"/>
        <v>0</v>
      </c>
      <c r="I206" s="23">
        <f t="shared" ca="1" si="69"/>
        <v>0</v>
      </c>
      <c r="J206" s="23">
        <f t="shared" ca="1" si="69"/>
        <v>0</v>
      </c>
      <c r="K206" s="23">
        <f t="shared" ca="1" si="69"/>
        <v>0</v>
      </c>
      <c r="L206" s="23">
        <f t="shared" ca="1" si="69"/>
        <v>0</v>
      </c>
      <c r="M206" s="23">
        <f t="shared" ca="1" si="69"/>
        <v>0</v>
      </c>
      <c r="N206" s="23">
        <f t="shared" ca="1" si="69"/>
        <v>0</v>
      </c>
      <c r="O206" s="23">
        <f t="shared" ca="1" si="69"/>
        <v>0</v>
      </c>
      <c r="P206" s="23">
        <f t="shared" ca="1" si="69"/>
        <v>0</v>
      </c>
      <c r="Q206" s="23">
        <f t="shared" ca="1" si="69"/>
        <v>0</v>
      </c>
      <c r="R206" s="23">
        <f t="shared" ca="1" si="69"/>
        <v>0</v>
      </c>
      <c r="S206" s="23">
        <f t="shared" ca="1" si="69"/>
        <v>0</v>
      </c>
      <c r="T206" s="23">
        <f t="shared" ca="1" si="69"/>
        <v>0</v>
      </c>
      <c r="U206" s="23">
        <f t="shared" ca="1" si="69"/>
        <v>0</v>
      </c>
      <c r="V206" s="23">
        <f t="shared" ca="1" si="69"/>
        <v>0</v>
      </c>
      <c r="W206" s="23">
        <f t="shared" ca="1" si="69"/>
        <v>0</v>
      </c>
      <c r="X206" s="23">
        <f t="shared" ca="1" si="69"/>
        <v>0</v>
      </c>
      <c r="Y206" s="23">
        <f t="shared" ca="1" si="69"/>
        <v>0</v>
      </c>
      <c r="Z206" s="23">
        <f t="shared" ca="1" si="69"/>
        <v>0</v>
      </c>
      <c r="AA206" s="23">
        <f t="shared" ca="1" si="69"/>
        <v>0</v>
      </c>
      <c r="AB206" s="23">
        <f t="shared" ca="1" si="69"/>
        <v>0</v>
      </c>
      <c r="AC206" s="23">
        <f t="shared" ca="1" si="69"/>
        <v>0</v>
      </c>
    </row>
    <row r="207" spans="1:29" x14ac:dyDescent="0.2">
      <c r="A207" t="s">
        <v>610</v>
      </c>
      <c r="C207" t="s">
        <v>619</v>
      </c>
      <c r="D207" s="17">
        <f ca="1">D155</f>
        <v>-0.39020501847551969</v>
      </c>
      <c r="E207" s="17">
        <f t="shared" ref="E207:AC207" ca="1" si="70">E155</f>
        <v>-0.32023887949377416</v>
      </c>
      <c r="F207" s="17">
        <f t="shared" ca="1" si="70"/>
        <v>-0.25676827372625011</v>
      </c>
      <c r="G207" s="17">
        <f t="shared" ca="1" si="70"/>
        <v>-0.16425253643971149</v>
      </c>
      <c r="H207" s="17">
        <f t="shared" ca="1" si="70"/>
        <v>-0.12650833545218754</v>
      </c>
      <c r="I207" s="17">
        <f t="shared" ca="1" si="70"/>
        <v>-9.4476713907085674E-2</v>
      </c>
      <c r="J207" s="17">
        <f t="shared" ca="1" si="70"/>
        <v>-6.8699833077396799E-2</v>
      </c>
      <c r="K207" s="17">
        <f t="shared" ca="1" si="70"/>
        <v>-6.3137277567681505E-2</v>
      </c>
      <c r="L207" s="17">
        <f t="shared" ca="1" si="70"/>
        <v>-5.8933262860752289E-2</v>
      </c>
      <c r="M207" s="17">
        <f t="shared" ca="1" si="70"/>
        <v>-5.603182617668756E-2</v>
      </c>
      <c r="N207" s="17">
        <f t="shared" ca="1" si="70"/>
        <v>-5.393479073578844E-2</v>
      </c>
      <c r="O207" s="17">
        <f t="shared" ca="1" si="70"/>
        <v>-5.5010099928581746E-2</v>
      </c>
      <c r="P207" s="17">
        <f t="shared" ca="1" si="70"/>
        <v>-5.8433001318225819E-2</v>
      </c>
      <c r="Q207" s="17">
        <f t="shared" ca="1" si="70"/>
        <v>-6.4237656107740349E-2</v>
      </c>
      <c r="R207" s="17">
        <f t="shared" ca="1" si="70"/>
        <v>-7.2141118644340918E-2</v>
      </c>
      <c r="S207" s="17">
        <f t="shared" ca="1" si="70"/>
        <v>-8.1556382442243613E-2</v>
      </c>
      <c r="T207" s="17">
        <f t="shared" ca="1" si="70"/>
        <v>-9.1122891023193153E-2</v>
      </c>
      <c r="U207" s="17">
        <f t="shared" ca="1" si="70"/>
        <v>-0.10054199547562304</v>
      </c>
      <c r="V207" s="17">
        <f t="shared" ca="1" si="70"/>
        <v>-0.10986671224559408</v>
      </c>
      <c r="W207" s="17">
        <f t="shared" ca="1" si="70"/>
        <v>-0.11923940375631314</v>
      </c>
      <c r="X207" s="17">
        <f t="shared" ca="1" si="70"/>
        <v>-0.12840448853575959</v>
      </c>
      <c r="Y207" s="17">
        <f t="shared" ca="1" si="70"/>
        <v>-1</v>
      </c>
      <c r="Z207" s="17">
        <f t="shared" ca="1" si="70"/>
        <v>-1</v>
      </c>
      <c r="AA207" s="17">
        <f t="shared" ca="1" si="70"/>
        <v>-1</v>
      </c>
      <c r="AB207" s="17">
        <f t="shared" ca="1" si="70"/>
        <v>-1</v>
      </c>
      <c r="AC207" s="17">
        <f t="shared" ca="1" si="70"/>
        <v>-0.14408781512815627</v>
      </c>
    </row>
    <row r="208" spans="1:29" x14ac:dyDescent="0.2">
      <c r="A208" t="s">
        <v>611</v>
      </c>
      <c r="C208" t="s">
        <v>620</v>
      </c>
      <c r="D208" s="17">
        <f ca="1">D156</f>
        <v>-0.25676827372625011</v>
      </c>
      <c r="E208" s="17">
        <f t="shared" ref="E208:AC208" ca="1" si="71">E156</f>
        <v>-0.16425253643971149</v>
      </c>
      <c r="F208" s="17">
        <f t="shared" ca="1" si="71"/>
        <v>-0.12650833545218754</v>
      </c>
      <c r="G208" s="17">
        <f t="shared" ca="1" si="71"/>
        <v>-9.4476713907085674E-2</v>
      </c>
      <c r="H208" s="17">
        <f t="shared" ca="1" si="71"/>
        <v>-6.8699833077396799E-2</v>
      </c>
      <c r="I208" s="17">
        <f t="shared" ca="1" si="71"/>
        <v>-6.3137277567681505E-2</v>
      </c>
      <c r="J208" s="17">
        <f t="shared" ca="1" si="71"/>
        <v>-5.8933262860752289E-2</v>
      </c>
      <c r="K208" s="17">
        <f t="shared" ca="1" si="71"/>
        <v>-5.603182617668756E-2</v>
      </c>
      <c r="L208" s="17">
        <f t="shared" ca="1" si="71"/>
        <v>-5.393479073578844E-2</v>
      </c>
      <c r="M208" s="17">
        <f t="shared" ca="1" si="71"/>
        <v>-5.5010099928581746E-2</v>
      </c>
      <c r="N208" s="17">
        <f t="shared" ca="1" si="71"/>
        <v>-5.8433001318225819E-2</v>
      </c>
      <c r="O208" s="17">
        <f t="shared" ca="1" si="71"/>
        <v>-6.4237656107740349E-2</v>
      </c>
      <c r="P208" s="17">
        <f t="shared" ca="1" si="71"/>
        <v>-7.2141118644340918E-2</v>
      </c>
      <c r="Q208" s="17">
        <f t="shared" ca="1" si="71"/>
        <v>-8.1556382442243613E-2</v>
      </c>
      <c r="R208" s="17">
        <f t="shared" ca="1" si="71"/>
        <v>-9.1122891023193153E-2</v>
      </c>
      <c r="S208" s="17">
        <f t="shared" ca="1" si="71"/>
        <v>-0.10054199547562304</v>
      </c>
      <c r="T208" s="17">
        <f t="shared" ca="1" si="71"/>
        <v>-0.10986671224559408</v>
      </c>
      <c r="U208" s="17">
        <f t="shared" ca="1" si="71"/>
        <v>-0.11923940375631314</v>
      </c>
      <c r="V208" s="17">
        <f t="shared" ca="1" si="71"/>
        <v>-0.12840448853575959</v>
      </c>
      <c r="W208" s="17">
        <f t="shared" ca="1" si="71"/>
        <v>-1</v>
      </c>
      <c r="X208" s="17">
        <f t="shared" ca="1" si="71"/>
        <v>-1</v>
      </c>
      <c r="Y208" s="17">
        <f t="shared" ca="1" si="71"/>
        <v>-1</v>
      </c>
      <c r="Z208" s="17">
        <f t="shared" ca="1" si="71"/>
        <v>-1</v>
      </c>
      <c r="AA208" s="17">
        <f t="shared" ca="1" si="71"/>
        <v>-0.14408781512815627</v>
      </c>
      <c r="AB208" s="17">
        <f t="shared" ca="1" si="71"/>
        <v>-0.14408781512815627</v>
      </c>
      <c r="AC208" s="17">
        <f t="shared" ca="1" si="71"/>
        <v>-0.14408781512815627</v>
      </c>
    </row>
    <row r="209" spans="1:29" x14ac:dyDescent="0.2">
      <c r="A209" t="s">
        <v>612</v>
      </c>
      <c r="C209" s="16" t="s">
        <v>621</v>
      </c>
      <c r="D209" s="17">
        <f ca="1">D157</f>
        <v>-0.29679929715103098</v>
      </c>
      <c r="E209" s="17">
        <f t="shared" ref="E209:AC209" ca="1" si="72">E157</f>
        <v>-0.21104843935593032</v>
      </c>
      <c r="F209" s="17">
        <f t="shared" ca="1" si="72"/>
        <v>-0.16558631693440631</v>
      </c>
      <c r="G209" s="17">
        <f t="shared" ca="1" si="72"/>
        <v>-0.11540946066687344</v>
      </c>
      <c r="H209" s="17">
        <f t="shared" ca="1" si="72"/>
        <v>-8.6042383789834018E-2</v>
      </c>
      <c r="I209" s="17">
        <f t="shared" ca="1" si="72"/>
        <v>-7.2539108469502761E-2</v>
      </c>
      <c r="J209" s="17">
        <f t="shared" ca="1" si="72"/>
        <v>-6.1863233925745637E-2</v>
      </c>
      <c r="K209" s="17">
        <f t="shared" ca="1" si="72"/>
        <v>-5.8163461593985742E-2</v>
      </c>
      <c r="L209" s="17">
        <f t="shared" ca="1" si="72"/>
        <v>-5.5434332373277599E-2</v>
      </c>
      <c r="M209" s="17">
        <f t="shared" ca="1" si="72"/>
        <v>-5.5316617803013488E-2</v>
      </c>
      <c r="N209" s="17">
        <f t="shared" ca="1" si="72"/>
        <v>-5.7083538143494608E-2</v>
      </c>
      <c r="O209" s="17">
        <f t="shared" ca="1" si="72"/>
        <v>-6.1469389253992771E-2</v>
      </c>
      <c r="P209" s="17">
        <f t="shared" ca="1" si="72"/>
        <v>-6.8028683446506394E-2</v>
      </c>
      <c r="Q209" s="17">
        <f t="shared" ca="1" si="72"/>
        <v>-7.636076454189264E-2</v>
      </c>
      <c r="R209" s="17">
        <f t="shared" ca="1" si="72"/>
        <v>-8.5428359309537488E-2</v>
      </c>
      <c r="S209" s="17">
        <f t="shared" ca="1" si="72"/>
        <v>-9.4846311565609215E-2</v>
      </c>
      <c r="T209" s="17">
        <f t="shared" ca="1" si="72"/>
        <v>-0.10424356587887379</v>
      </c>
      <c r="U209" s="17">
        <f t="shared" ca="1" si="72"/>
        <v>-0.11363018127210611</v>
      </c>
      <c r="V209" s="17">
        <f t="shared" ca="1" si="72"/>
        <v>-0.12284315564870993</v>
      </c>
      <c r="W209" s="17">
        <f t="shared" ca="1" si="72"/>
        <v>-0.73577182112689388</v>
      </c>
      <c r="X209" s="17">
        <f t="shared" ca="1" si="72"/>
        <v>-0.73852134656072788</v>
      </c>
      <c r="Y209" s="17">
        <f t="shared" ca="1" si="72"/>
        <v>-1</v>
      </c>
      <c r="Z209" s="17">
        <f t="shared" ca="1" si="72"/>
        <v>-1</v>
      </c>
      <c r="AA209" s="17">
        <f t="shared" ca="1" si="72"/>
        <v>-0.40086147058970945</v>
      </c>
      <c r="AB209" s="17">
        <f t="shared" ca="1" si="72"/>
        <v>-0.40086147058970945</v>
      </c>
      <c r="AC209" s="17">
        <f t="shared" ca="1" si="72"/>
        <v>-0.14408781512815627</v>
      </c>
    </row>
    <row r="210" spans="1:29" x14ac:dyDescent="0.2">
      <c r="A210" t="s">
        <v>613</v>
      </c>
      <c r="C210" t="s">
        <v>622</v>
      </c>
      <c r="D210" s="15">
        <f ca="1">D65</f>
        <v>0</v>
      </c>
      <c r="E210" s="15">
        <f t="shared" ref="E210:AC210" ca="1" si="73">E65</f>
        <v>0</v>
      </c>
      <c r="F210" s="15">
        <f t="shared" ca="1" si="73"/>
        <v>0</v>
      </c>
      <c r="G210" s="15">
        <f t="shared" ca="1" si="73"/>
        <v>0</v>
      </c>
      <c r="H210" s="15">
        <f t="shared" ca="1" si="73"/>
        <v>0</v>
      </c>
      <c r="I210" s="15">
        <f t="shared" ca="1" si="73"/>
        <v>0</v>
      </c>
      <c r="J210" s="15">
        <f t="shared" ca="1" si="73"/>
        <v>0</v>
      </c>
      <c r="K210" s="15">
        <f t="shared" ca="1" si="73"/>
        <v>0</v>
      </c>
      <c r="L210" s="15">
        <f t="shared" ca="1" si="73"/>
        <v>0</v>
      </c>
      <c r="M210" s="15">
        <f t="shared" ca="1" si="73"/>
        <v>0</v>
      </c>
      <c r="N210" s="15">
        <f t="shared" ca="1" si="73"/>
        <v>0</v>
      </c>
      <c r="O210" s="15">
        <f t="shared" ca="1" si="73"/>
        <v>0</v>
      </c>
      <c r="P210" s="15">
        <f t="shared" ca="1" si="73"/>
        <v>0</v>
      </c>
      <c r="Q210" s="15">
        <f t="shared" ca="1" si="73"/>
        <v>0</v>
      </c>
      <c r="R210" s="15">
        <f t="shared" ca="1" si="73"/>
        <v>0</v>
      </c>
      <c r="S210" s="15">
        <f t="shared" ca="1" si="73"/>
        <v>0</v>
      </c>
      <c r="T210" s="15">
        <f t="shared" ca="1" si="73"/>
        <v>0</v>
      </c>
      <c r="U210" s="15">
        <f t="shared" ca="1" si="73"/>
        <v>0</v>
      </c>
      <c r="V210" s="15">
        <f t="shared" ca="1" si="73"/>
        <v>0</v>
      </c>
      <c r="W210" s="15">
        <f t="shared" ca="1" si="73"/>
        <v>0</v>
      </c>
      <c r="X210" s="15">
        <f t="shared" ca="1" si="73"/>
        <v>0</v>
      </c>
      <c r="Y210" s="15">
        <f t="shared" ca="1" si="73"/>
        <v>0</v>
      </c>
      <c r="Z210" s="15">
        <f t="shared" ca="1" si="73"/>
        <v>0</v>
      </c>
      <c r="AA210" s="15">
        <f t="shared" ca="1" si="73"/>
        <v>0</v>
      </c>
      <c r="AB210" s="15">
        <f t="shared" ca="1" si="73"/>
        <v>0</v>
      </c>
      <c r="AC210" s="15">
        <f t="shared" ca="1" si="7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3443-30EF-8F4F-8066-F4DE934F6604}">
  <dimension ref="A4:AC210"/>
  <sheetViews>
    <sheetView workbookViewId="0">
      <selection activeCell="T2" sqref="T2"/>
    </sheetView>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7" spans="1:29" x14ac:dyDescent="0.2">
      <c r="A7" s="13" t="s">
        <v>596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2">
      <c r="A8" t="s">
        <v>597</v>
      </c>
      <c r="C8" t="s">
        <v>601</v>
      </c>
      <c r="D8" s="15">
        <f ca="1">INDEX(Allocator!D:D, MATCH("AI Stack cash allocation", Allocator!$A:$A, 0))</f>
        <v>0</v>
      </c>
      <c r="E8" s="15">
        <f ca="1">INDEX(Allocator!E:E, MATCH("AI Stack cash allocation", Allocator!$A:$A, 0))</f>
        <v>0</v>
      </c>
      <c r="F8" s="15">
        <f ca="1">INDEX(Allocator!F:F, MATCH("AI Stack cash allocation", Allocator!$A:$A, 0))</f>
        <v>0</v>
      </c>
      <c r="G8" s="15">
        <f ca="1">INDEX(Allocator!G:G, MATCH("AI Stack cash allocation", Allocator!$A:$A, 0))</f>
        <v>0</v>
      </c>
      <c r="H8" s="15">
        <f ca="1">INDEX(Allocator!H:H, MATCH("AI Stack cash allocation", Allocator!$A:$A, 0))</f>
        <v>0</v>
      </c>
      <c r="I8" s="15">
        <f ca="1">INDEX(Allocator!I:I, MATCH("AI Stack cash allocation", Allocator!$A:$A, 0))</f>
        <v>0</v>
      </c>
      <c r="J8" s="15">
        <f ca="1">INDEX(Allocator!J:J, MATCH("AI Stack cash allocation", Allocator!$A:$A, 0))</f>
        <v>0</v>
      </c>
      <c r="K8" s="15">
        <f ca="1">INDEX(Allocator!K:K, MATCH("AI Stack cash allocation", Allocator!$A:$A, 0))</f>
        <v>0</v>
      </c>
      <c r="L8" s="15">
        <f ca="1">INDEX(Allocator!L:L, MATCH("AI Stack cash allocation", Allocator!$A:$A, 0))</f>
        <v>0</v>
      </c>
      <c r="M8" s="15">
        <f ca="1">INDEX(Allocator!M:M, MATCH("AI Stack cash allocation", Allocator!$A:$A, 0))</f>
        <v>0</v>
      </c>
      <c r="N8" s="15">
        <f ca="1">INDEX(Allocator!N:N, MATCH("AI Stack cash allocation", Allocator!$A:$A, 0))</f>
        <v>0</v>
      </c>
      <c r="O8" s="15">
        <f ca="1">INDEX(Allocator!O:O, MATCH("AI Stack cash allocation", Allocator!$A:$A, 0))</f>
        <v>0</v>
      </c>
      <c r="P8" s="15">
        <f ca="1">INDEX(Allocator!P:P, MATCH("AI Stack cash allocation", Allocator!$A:$A, 0))</f>
        <v>0</v>
      </c>
      <c r="Q8" s="15">
        <f ca="1">INDEX(Allocator!Q:Q, MATCH("AI Stack cash allocation", Allocator!$A:$A, 0))</f>
        <v>0</v>
      </c>
      <c r="R8" s="15">
        <f ca="1">INDEX(Allocator!R:R, MATCH("AI Stack cash allocation", Allocator!$A:$A, 0))</f>
        <v>0</v>
      </c>
      <c r="S8" s="15">
        <f ca="1">INDEX(Allocator!S:S, MATCH("AI Stack cash allocation", Allocator!$A:$A, 0))</f>
        <v>0</v>
      </c>
      <c r="T8" s="15">
        <f ca="1">INDEX(Allocator!T:T, MATCH("AI Stack cash allocation", Allocator!$A:$A, 0))</f>
        <v>0</v>
      </c>
      <c r="U8" s="15">
        <f ca="1">INDEX(Allocator!U:U, MATCH("AI Stack cash allocation", Allocator!$A:$A, 0))</f>
        <v>0</v>
      </c>
      <c r="V8" s="15">
        <f ca="1">INDEX(Allocator!V:V, MATCH("AI Stack cash allocation", Allocator!$A:$A, 0))</f>
        <v>0</v>
      </c>
      <c r="W8" s="15">
        <f ca="1">INDEX(Allocator!W:W, MATCH("AI Stack cash allocation", Allocator!$A:$A, 0))</f>
        <v>0</v>
      </c>
      <c r="X8" s="15">
        <f ca="1">INDEX(Allocator!X:X, MATCH("AI Stack cash allocation", Allocator!$A:$A, 0))</f>
        <v>0</v>
      </c>
      <c r="Y8" s="15">
        <f ca="1">INDEX(Allocator!Y:Y, MATCH("AI Stack cash allocation", Allocator!$A:$A, 0))</f>
        <v>0</v>
      </c>
      <c r="Z8" s="15">
        <f ca="1">INDEX(Allocator!Z:Z, MATCH("AI Stack cash allocation", Allocator!$A:$A, 0))</f>
        <v>0</v>
      </c>
      <c r="AA8" s="15">
        <f ca="1">INDEX(Allocator!AA:AA, MATCH("AI Stack cash allocation", Allocator!$A:$A, 0))</f>
        <v>0</v>
      </c>
      <c r="AB8" s="15">
        <f ca="1">INDEX(Allocator!AB:AB, MATCH("AI Stack cash allocation", Allocator!$A:$A, 0))</f>
        <v>0</v>
      </c>
      <c r="AC8" s="15">
        <f ca="1">INDEX(Allocator!AC:AC, MATCH("AI Stack cash allocation", Allocator!$A:$A, 0))</f>
        <v>0</v>
      </c>
    </row>
    <row r="9" spans="1:29" x14ac:dyDescent="0.2">
      <c r="A9" t="s">
        <v>598</v>
      </c>
      <c r="C9" t="s">
        <v>600</v>
      </c>
      <c r="D9" s="15">
        <f ca="1">INDEX(Allocator!D:D, MATCH("AI Stack kg allocation", Allocator!$A:$A, 0))</f>
        <v>0</v>
      </c>
      <c r="E9" s="15">
        <f ca="1">INDEX(Allocator!E:E, MATCH("AI Stack kg allocation", Allocator!$A:$A, 0))</f>
        <v>0</v>
      </c>
      <c r="F9" s="15">
        <f ca="1">INDEX(Allocator!F:F, MATCH("AI Stack kg allocation", Allocator!$A:$A, 0))</f>
        <v>0</v>
      </c>
      <c r="G9" s="15">
        <f ca="1">INDEX(Allocator!G:G, MATCH("AI Stack kg allocation", Allocator!$A:$A, 0))</f>
        <v>0</v>
      </c>
      <c r="H9" s="15">
        <f ca="1">INDEX(Allocator!H:H, MATCH("AI Stack kg allocation", Allocator!$A:$A, 0))</f>
        <v>0</v>
      </c>
      <c r="I9" s="15">
        <f ca="1">INDEX(Allocator!I:I, MATCH("AI Stack kg allocation", Allocator!$A:$A, 0))</f>
        <v>0</v>
      </c>
      <c r="J9" s="15">
        <f ca="1">INDEX(Allocator!J:J, MATCH("AI Stack kg allocation", Allocator!$A:$A, 0))</f>
        <v>0</v>
      </c>
      <c r="K9" s="15">
        <f ca="1">INDEX(Allocator!K:K, MATCH("AI Stack kg allocation", Allocator!$A:$A, 0))</f>
        <v>0</v>
      </c>
      <c r="L9" s="15">
        <f ca="1">INDEX(Allocator!L:L, MATCH("AI Stack kg allocation", Allocator!$A:$A, 0))</f>
        <v>0</v>
      </c>
      <c r="M9" s="15">
        <f ca="1">INDEX(Allocator!M:M, MATCH("AI Stack kg allocation", Allocator!$A:$A, 0))</f>
        <v>0</v>
      </c>
      <c r="N9" s="15">
        <f ca="1">INDEX(Allocator!N:N, MATCH("AI Stack kg allocation", Allocator!$A:$A, 0))</f>
        <v>0</v>
      </c>
      <c r="O9" s="15">
        <f ca="1">INDEX(Allocator!O:O, MATCH("AI Stack kg allocation", Allocator!$A:$A, 0))</f>
        <v>0</v>
      </c>
      <c r="P9" s="15">
        <f ca="1">INDEX(Allocator!P:P, MATCH("AI Stack kg allocation", Allocator!$A:$A, 0))</f>
        <v>0</v>
      </c>
      <c r="Q9" s="15">
        <f ca="1">INDEX(Allocator!Q:Q, MATCH("AI Stack kg allocation", Allocator!$A:$A, 0))</f>
        <v>0</v>
      </c>
      <c r="R9" s="15">
        <f ca="1">INDEX(Allocator!R:R, MATCH("AI Stack kg allocation", Allocator!$A:$A, 0))</f>
        <v>0</v>
      </c>
      <c r="S9" s="15">
        <f ca="1">INDEX(Allocator!S:S, MATCH("AI Stack kg allocation", Allocator!$A:$A, 0))</f>
        <v>0</v>
      </c>
      <c r="T9" s="15">
        <f ca="1">INDEX(Allocator!T:T, MATCH("AI Stack kg allocation", Allocator!$A:$A, 0))</f>
        <v>0</v>
      </c>
      <c r="U9" s="15">
        <f ca="1">INDEX(Allocator!U:U, MATCH("AI Stack kg allocation", Allocator!$A:$A, 0))</f>
        <v>0</v>
      </c>
      <c r="V9" s="15">
        <f ca="1">INDEX(Allocator!V:V, MATCH("AI Stack kg allocation", Allocator!$A:$A, 0))</f>
        <v>0</v>
      </c>
      <c r="W9" s="15">
        <f ca="1">INDEX(Allocator!W:W, MATCH("AI Stack kg allocation", Allocator!$A:$A, 0))</f>
        <v>0</v>
      </c>
      <c r="X9" s="15">
        <f ca="1">INDEX(Allocator!X:X, MATCH("AI Stack kg allocation", Allocator!$A:$A, 0))</f>
        <v>0</v>
      </c>
      <c r="Y9" s="15">
        <f ca="1">INDEX(Allocator!Y:Y, MATCH("AI Stack kg allocation", Allocator!$A:$A, 0))</f>
        <v>0</v>
      </c>
      <c r="Z9" s="15">
        <f ca="1">INDEX(Allocator!Z:Z, MATCH("AI Stack kg allocation", Allocator!$A:$A, 0))</f>
        <v>0</v>
      </c>
      <c r="AA9" s="15">
        <f ca="1">INDEX(Allocator!AA:AA, MATCH("AI Stack kg allocation", Allocator!$A:$A, 0))</f>
        <v>0</v>
      </c>
      <c r="AB9" s="15">
        <f ca="1">INDEX(Allocator!AB:AB, MATCH("AI Stack kg allocation", Allocator!$A:$A, 0))</f>
        <v>0</v>
      </c>
      <c r="AC9" s="15">
        <f ca="1">INDEX(Allocator!AC:AC, MATCH("AI Stack kg allocation", Allocator!$A:$A, 0))</f>
        <v>0</v>
      </c>
    </row>
    <row r="10" spans="1:29" x14ac:dyDescent="0.2">
      <c r="A10" t="s">
        <v>599</v>
      </c>
      <c r="C10" s="16" t="s">
        <v>623</v>
      </c>
      <c r="D10" s="15">
        <f ca="1">D8</f>
        <v>0</v>
      </c>
      <c r="E10" s="15">
        <f t="shared" ref="E10:AC10" ca="1" si="0">E8</f>
        <v>0</v>
      </c>
      <c r="F10" s="15">
        <f t="shared" ca="1" si="0"/>
        <v>0</v>
      </c>
      <c r="G10" s="15">
        <f t="shared" ca="1" si="0"/>
        <v>0</v>
      </c>
      <c r="H10" s="15">
        <f t="shared" ca="1" si="0"/>
        <v>0</v>
      </c>
      <c r="I10" s="15">
        <f t="shared" ca="1" si="0"/>
        <v>0</v>
      </c>
      <c r="J10" s="15">
        <f t="shared" ca="1" si="0"/>
        <v>0</v>
      </c>
      <c r="K10" s="15">
        <f t="shared" ca="1" si="0"/>
        <v>0</v>
      </c>
      <c r="L10" s="15">
        <f t="shared" ca="1" si="0"/>
        <v>0</v>
      </c>
      <c r="M10" s="15">
        <f t="shared" ca="1" si="0"/>
        <v>0</v>
      </c>
      <c r="N10" s="15">
        <f t="shared" ca="1" si="0"/>
        <v>0</v>
      </c>
      <c r="O10" s="15">
        <f t="shared" ca="1" si="0"/>
        <v>0</v>
      </c>
      <c r="P10" s="15">
        <f t="shared" ca="1" si="0"/>
        <v>0</v>
      </c>
      <c r="Q10" s="15">
        <f t="shared" ca="1" si="0"/>
        <v>0</v>
      </c>
      <c r="R10" s="15">
        <f t="shared" ca="1" si="0"/>
        <v>0</v>
      </c>
      <c r="S10" s="15">
        <f t="shared" ca="1" si="0"/>
        <v>0</v>
      </c>
      <c r="T10" s="15">
        <f t="shared" ca="1" si="0"/>
        <v>0</v>
      </c>
      <c r="U10" s="15">
        <f t="shared" ca="1" si="0"/>
        <v>0</v>
      </c>
      <c r="V10" s="15">
        <f t="shared" ca="1" si="0"/>
        <v>0</v>
      </c>
      <c r="W10" s="15">
        <f t="shared" ca="1" si="0"/>
        <v>0</v>
      </c>
      <c r="X10" s="15">
        <f t="shared" ca="1" si="0"/>
        <v>0</v>
      </c>
      <c r="Y10" s="15">
        <f t="shared" ca="1" si="0"/>
        <v>0</v>
      </c>
      <c r="Z10" s="15">
        <f t="shared" ca="1" si="0"/>
        <v>0</v>
      </c>
      <c r="AA10" s="15">
        <f t="shared" ca="1" si="0"/>
        <v>0</v>
      </c>
      <c r="AB10" s="15">
        <f t="shared" ca="1" si="0"/>
        <v>0</v>
      </c>
      <c r="AC10" s="15">
        <f t="shared" ca="1" si="0"/>
        <v>0</v>
      </c>
    </row>
    <row r="200" spans="1:29" x14ac:dyDescent="0.2">
      <c r="A200" s="13" t="s">
        <v>603</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x14ac:dyDescent="0.2">
      <c r="A201" t="s">
        <v>604</v>
      </c>
      <c r="C201" t="s">
        <v>614</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5">
        <v>0</v>
      </c>
      <c r="V201" s="15">
        <v>0</v>
      </c>
      <c r="W201" s="15">
        <v>0</v>
      </c>
      <c r="X201" s="15">
        <v>0</v>
      </c>
      <c r="Y201" s="15">
        <v>0</v>
      </c>
      <c r="Z201" s="15">
        <v>0</v>
      </c>
      <c r="AA201" s="15">
        <v>0</v>
      </c>
      <c r="AB201" s="15">
        <v>0</v>
      </c>
      <c r="AC201" s="15">
        <v>0</v>
      </c>
    </row>
    <row r="202" spans="1:29" x14ac:dyDescent="0.2">
      <c r="A202" t="s">
        <v>605</v>
      </c>
      <c r="C202" t="s">
        <v>615</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5">
        <v>0</v>
      </c>
      <c r="V202" s="15">
        <v>0</v>
      </c>
      <c r="W202" s="15">
        <v>0</v>
      </c>
      <c r="X202" s="15">
        <v>0</v>
      </c>
      <c r="Y202" s="15">
        <v>0</v>
      </c>
      <c r="Z202" s="15">
        <v>0</v>
      </c>
      <c r="AA202" s="15">
        <v>0</v>
      </c>
      <c r="AB202" s="15">
        <v>0</v>
      </c>
      <c r="AC202" s="15">
        <v>0</v>
      </c>
    </row>
    <row r="203" spans="1:29" x14ac:dyDescent="0.2">
      <c r="A203" t="s">
        <v>606</v>
      </c>
      <c r="C203" s="16" t="s">
        <v>616</v>
      </c>
      <c r="D203" s="17">
        <v>0</v>
      </c>
      <c r="E203" s="17">
        <v>0</v>
      </c>
      <c r="F203" s="17">
        <v>0</v>
      </c>
      <c r="G203" s="17">
        <v>0</v>
      </c>
      <c r="H203" s="17">
        <v>0</v>
      </c>
      <c r="I203" s="17">
        <v>0</v>
      </c>
      <c r="J203" s="17">
        <v>0</v>
      </c>
      <c r="K203" s="17">
        <v>0</v>
      </c>
      <c r="L203" s="17">
        <v>0</v>
      </c>
      <c r="M203" s="17">
        <v>0</v>
      </c>
      <c r="N203" s="17">
        <v>0</v>
      </c>
      <c r="O203" s="17">
        <v>0</v>
      </c>
      <c r="P203" s="17">
        <v>0</v>
      </c>
      <c r="Q203" s="17">
        <v>0</v>
      </c>
      <c r="R203" s="17">
        <v>0</v>
      </c>
      <c r="S203" s="17">
        <v>0</v>
      </c>
      <c r="T203" s="17">
        <v>0</v>
      </c>
      <c r="U203" s="17">
        <v>0</v>
      </c>
      <c r="V203" s="17">
        <v>0</v>
      </c>
      <c r="W203" s="17">
        <v>0</v>
      </c>
      <c r="X203" s="17">
        <v>0</v>
      </c>
      <c r="Y203" s="17">
        <v>0</v>
      </c>
      <c r="Z203" s="17">
        <v>0</v>
      </c>
      <c r="AA203" s="17">
        <v>0</v>
      </c>
      <c r="AB203" s="17">
        <v>0</v>
      </c>
      <c r="AC203" s="17">
        <v>0</v>
      </c>
    </row>
    <row r="204" spans="1:29" x14ac:dyDescent="0.2">
      <c r="A204" t="s">
        <v>607</v>
      </c>
      <c r="C204" s="16" t="s">
        <v>617</v>
      </c>
      <c r="D204" s="15">
        <v>0</v>
      </c>
      <c r="E204" s="15">
        <v>0</v>
      </c>
      <c r="F204" s="15">
        <v>0</v>
      </c>
      <c r="G204" s="15">
        <v>0</v>
      </c>
      <c r="H204" s="15">
        <v>0</v>
      </c>
      <c r="I204" s="15">
        <v>0</v>
      </c>
      <c r="J204" s="15">
        <v>0</v>
      </c>
      <c r="K204" s="15">
        <v>0</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v>0</v>
      </c>
      <c r="AB204" s="15">
        <v>0</v>
      </c>
      <c r="AC204" s="15">
        <v>0</v>
      </c>
    </row>
    <row r="205" spans="1:29" x14ac:dyDescent="0.2">
      <c r="A205" t="s">
        <v>608</v>
      </c>
      <c r="C205" t="s">
        <v>614</v>
      </c>
      <c r="D205" s="15">
        <v>0</v>
      </c>
      <c r="E205" s="15">
        <v>0</v>
      </c>
      <c r="F205" s="15">
        <v>0</v>
      </c>
      <c r="G205" s="15">
        <v>0</v>
      </c>
      <c r="H205" s="15">
        <v>0</v>
      </c>
      <c r="I205" s="15">
        <v>0</v>
      </c>
      <c r="J205" s="15">
        <v>0</v>
      </c>
      <c r="K205" s="15">
        <v>0</v>
      </c>
      <c r="L205" s="15">
        <v>0</v>
      </c>
      <c r="M205" s="15">
        <v>0</v>
      </c>
      <c r="N205" s="15">
        <v>0</v>
      </c>
      <c r="O205" s="15">
        <v>0</v>
      </c>
      <c r="P205" s="15">
        <v>0</v>
      </c>
      <c r="Q205" s="15">
        <v>0</v>
      </c>
      <c r="R205" s="15">
        <v>0</v>
      </c>
      <c r="S205" s="15">
        <v>0</v>
      </c>
      <c r="T205" s="15">
        <v>0</v>
      </c>
      <c r="U205" s="15">
        <v>0</v>
      </c>
      <c r="V205" s="15">
        <v>0</v>
      </c>
      <c r="W205" s="15">
        <v>0</v>
      </c>
      <c r="X205" s="15">
        <v>0</v>
      </c>
      <c r="Y205" s="15">
        <v>0</v>
      </c>
      <c r="Z205" s="15">
        <v>0</v>
      </c>
      <c r="AA205" s="15">
        <v>0</v>
      </c>
      <c r="AB205" s="15">
        <v>0</v>
      </c>
      <c r="AC205" s="15">
        <v>0</v>
      </c>
    </row>
    <row r="206" spans="1:29" x14ac:dyDescent="0.2">
      <c r="A206" t="s">
        <v>609</v>
      </c>
      <c r="C206" s="16" t="s">
        <v>618</v>
      </c>
      <c r="D206" s="15">
        <v>0</v>
      </c>
      <c r="E206" s="15">
        <v>0</v>
      </c>
      <c r="F206" s="15">
        <v>0</v>
      </c>
      <c r="G206" s="15">
        <v>0</v>
      </c>
      <c r="H206" s="15">
        <v>0</v>
      </c>
      <c r="I206" s="15">
        <v>0</v>
      </c>
      <c r="J206" s="15">
        <v>0</v>
      </c>
      <c r="K206" s="15">
        <v>0</v>
      </c>
      <c r="L206" s="15">
        <v>0</v>
      </c>
      <c r="M206" s="15">
        <v>0</v>
      </c>
      <c r="N206" s="15">
        <v>0</v>
      </c>
      <c r="O206" s="15">
        <v>0</v>
      </c>
      <c r="P206" s="15">
        <v>0</v>
      </c>
      <c r="Q206" s="15">
        <v>0</v>
      </c>
      <c r="R206" s="15">
        <v>0</v>
      </c>
      <c r="S206" s="15">
        <v>0</v>
      </c>
      <c r="T206" s="15">
        <v>0</v>
      </c>
      <c r="U206" s="15">
        <v>0</v>
      </c>
      <c r="V206" s="15">
        <v>0</v>
      </c>
      <c r="W206" s="15">
        <v>0</v>
      </c>
      <c r="X206" s="15">
        <v>0</v>
      </c>
      <c r="Y206" s="15">
        <v>0</v>
      </c>
      <c r="Z206" s="15">
        <v>0</v>
      </c>
      <c r="AA206" s="15">
        <v>0</v>
      </c>
      <c r="AB206" s="15">
        <v>0</v>
      </c>
      <c r="AC206" s="15">
        <v>0</v>
      </c>
    </row>
    <row r="207" spans="1:29" x14ac:dyDescent="0.2">
      <c r="A207" t="s">
        <v>610</v>
      </c>
      <c r="C207" t="s">
        <v>619</v>
      </c>
      <c r="D207" s="17">
        <v>0</v>
      </c>
      <c r="E207" s="17">
        <v>0</v>
      </c>
      <c r="F207" s="17">
        <v>0</v>
      </c>
      <c r="G207" s="17">
        <v>0</v>
      </c>
      <c r="H207" s="17">
        <v>0</v>
      </c>
      <c r="I207" s="17">
        <v>0</v>
      </c>
      <c r="J207" s="17">
        <v>0</v>
      </c>
      <c r="K207" s="17">
        <v>0</v>
      </c>
      <c r="L207" s="17">
        <v>0</v>
      </c>
      <c r="M207" s="17">
        <v>0</v>
      </c>
      <c r="N207" s="17">
        <v>0</v>
      </c>
      <c r="O207" s="17">
        <v>0</v>
      </c>
      <c r="P207" s="17">
        <v>0</v>
      </c>
      <c r="Q207" s="17">
        <v>0</v>
      </c>
      <c r="R207" s="17">
        <v>0</v>
      </c>
      <c r="S207" s="17">
        <v>0</v>
      </c>
      <c r="T207" s="17">
        <v>0</v>
      </c>
      <c r="U207" s="17">
        <v>0</v>
      </c>
      <c r="V207" s="17">
        <v>0</v>
      </c>
      <c r="W207" s="17">
        <v>0</v>
      </c>
      <c r="X207" s="17">
        <v>0</v>
      </c>
      <c r="Y207" s="17">
        <v>0</v>
      </c>
      <c r="Z207" s="17">
        <v>0</v>
      </c>
      <c r="AA207" s="17">
        <v>0</v>
      </c>
      <c r="AB207" s="17">
        <v>0</v>
      </c>
      <c r="AC207" s="17">
        <v>0</v>
      </c>
    </row>
    <row r="208" spans="1:29" x14ac:dyDescent="0.2">
      <c r="A208" t="s">
        <v>611</v>
      </c>
      <c r="C208" t="s">
        <v>620</v>
      </c>
      <c r="D208" s="17">
        <v>0</v>
      </c>
      <c r="E208" s="17">
        <v>0</v>
      </c>
      <c r="F208" s="17">
        <v>0</v>
      </c>
      <c r="G208" s="17">
        <v>0</v>
      </c>
      <c r="H208" s="17">
        <v>0</v>
      </c>
      <c r="I208" s="17">
        <v>0</v>
      </c>
      <c r="J208" s="17">
        <v>0</v>
      </c>
      <c r="K208" s="17">
        <v>0</v>
      </c>
      <c r="L208" s="17">
        <v>0</v>
      </c>
      <c r="M208" s="17">
        <v>0</v>
      </c>
      <c r="N208" s="17">
        <v>0</v>
      </c>
      <c r="O208" s="17">
        <v>0</v>
      </c>
      <c r="P208" s="17">
        <v>0</v>
      </c>
      <c r="Q208" s="17">
        <v>0</v>
      </c>
      <c r="R208" s="17">
        <v>0</v>
      </c>
      <c r="S208" s="17">
        <v>0</v>
      </c>
      <c r="T208" s="17">
        <v>0</v>
      </c>
      <c r="U208" s="17">
        <v>0</v>
      </c>
      <c r="V208" s="17">
        <v>0</v>
      </c>
      <c r="W208" s="17">
        <v>0</v>
      </c>
      <c r="X208" s="17">
        <v>0</v>
      </c>
      <c r="Y208" s="17">
        <v>0</v>
      </c>
      <c r="Z208" s="17">
        <v>0</v>
      </c>
      <c r="AA208" s="17">
        <v>0</v>
      </c>
      <c r="AB208" s="17">
        <v>0</v>
      </c>
      <c r="AC208" s="17">
        <v>0</v>
      </c>
    </row>
    <row r="209" spans="1:29" x14ac:dyDescent="0.2">
      <c r="A209" t="s">
        <v>612</v>
      </c>
      <c r="C209" s="16" t="s">
        <v>621</v>
      </c>
      <c r="D209" s="17">
        <v>0</v>
      </c>
      <c r="E209" s="17">
        <v>0</v>
      </c>
      <c r="F209" s="17">
        <v>0</v>
      </c>
      <c r="G209" s="17">
        <v>0</v>
      </c>
      <c r="H209" s="17">
        <v>0</v>
      </c>
      <c r="I209" s="17">
        <v>0</v>
      </c>
      <c r="J209" s="17">
        <v>0</v>
      </c>
      <c r="K209" s="17">
        <v>0</v>
      </c>
      <c r="L209" s="17">
        <v>0</v>
      </c>
      <c r="M209" s="17">
        <v>0</v>
      </c>
      <c r="N209" s="17">
        <v>0</v>
      </c>
      <c r="O209" s="17">
        <v>0</v>
      </c>
      <c r="P209" s="17">
        <v>0</v>
      </c>
      <c r="Q209" s="17">
        <v>0</v>
      </c>
      <c r="R209" s="17">
        <v>0</v>
      </c>
      <c r="S209" s="17">
        <v>0</v>
      </c>
      <c r="T209" s="17">
        <v>0</v>
      </c>
      <c r="U209" s="17">
        <v>0</v>
      </c>
      <c r="V209" s="17">
        <v>0</v>
      </c>
      <c r="W209" s="17">
        <v>0</v>
      </c>
      <c r="X209" s="17">
        <v>0</v>
      </c>
      <c r="Y209" s="17">
        <v>0</v>
      </c>
      <c r="Z209" s="17">
        <v>0</v>
      </c>
      <c r="AA209" s="17">
        <v>0</v>
      </c>
      <c r="AB209" s="17">
        <v>0</v>
      </c>
      <c r="AC209" s="17">
        <v>0</v>
      </c>
    </row>
    <row r="210" spans="1:29" x14ac:dyDescent="0.2">
      <c r="A210" t="s">
        <v>613</v>
      </c>
      <c r="C210" t="s">
        <v>622</v>
      </c>
      <c r="D210" s="15">
        <v>0</v>
      </c>
      <c r="E210" s="15">
        <v>0</v>
      </c>
      <c r="F210" s="15">
        <v>0</v>
      </c>
      <c r="G210" s="15">
        <v>0</v>
      </c>
      <c r="H210" s="15">
        <v>0</v>
      </c>
      <c r="I210" s="15">
        <v>0</v>
      </c>
      <c r="J210" s="15">
        <v>0</v>
      </c>
      <c r="K210" s="15">
        <v>0</v>
      </c>
      <c r="L210" s="15">
        <v>0</v>
      </c>
      <c r="M210" s="15">
        <v>0</v>
      </c>
      <c r="N210" s="15">
        <v>0</v>
      </c>
      <c r="O210" s="15">
        <v>0</v>
      </c>
      <c r="P210" s="15">
        <v>0</v>
      </c>
      <c r="Q210" s="15">
        <v>0</v>
      </c>
      <c r="R210" s="15">
        <v>0</v>
      </c>
      <c r="S210" s="15">
        <v>0</v>
      </c>
      <c r="T210" s="15">
        <v>0</v>
      </c>
      <c r="U210" s="15">
        <v>0</v>
      </c>
      <c r="V210" s="15">
        <v>0</v>
      </c>
      <c r="W210" s="15">
        <v>0</v>
      </c>
      <c r="X210" s="15">
        <v>0</v>
      </c>
      <c r="Y210" s="15">
        <v>0</v>
      </c>
      <c r="Z210" s="15">
        <v>0</v>
      </c>
      <c r="AA210" s="15">
        <v>0</v>
      </c>
      <c r="AB210" s="15">
        <v>0</v>
      </c>
      <c r="AC210" s="1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71A5-80F1-8B41-9F01-42CE6C61899B}">
  <dimension ref="A4:AF212"/>
  <sheetViews>
    <sheetView workbookViewId="0">
      <selection activeCell="AH49" sqref="AH49:AH50"/>
    </sheetView>
  </sheetViews>
  <sheetFormatPr baseColWidth="10" defaultRowHeight="16" x14ac:dyDescent="0.2"/>
  <cols>
    <col min="1" max="1" width="33.33203125" customWidth="1"/>
    <col min="3" max="3" width="19.5" customWidth="1"/>
  </cols>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7" spans="1:29" x14ac:dyDescent="0.2">
      <c r="A7" s="13" t="s">
        <v>596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2">
      <c r="A8" t="s">
        <v>597</v>
      </c>
      <c r="C8" t="s">
        <v>601</v>
      </c>
      <c r="D8" s="15">
        <f ca="1">INDEX(Allocator!D:D, MATCH("Lunar Mars cash allocation", Allocator!$A:$A, 0))</f>
        <v>1000</v>
      </c>
      <c r="E8" s="15">
        <f ca="1">INDEX(Allocator!E:E, MATCH("Lunar Mars cash allocation", Allocator!$A:$A, 0))</f>
        <v>1000</v>
      </c>
      <c r="F8" s="15">
        <f ca="1">INDEX(Allocator!F:F, MATCH("Lunar Mars cash allocation", Allocator!$A:$A, 0))</f>
        <v>1000</v>
      </c>
      <c r="G8" s="15">
        <f ca="1">INDEX(Allocator!G:G, MATCH("Lunar Mars cash allocation", Allocator!$A:$A, 0))</f>
        <v>1000</v>
      </c>
      <c r="H8" s="15">
        <f ca="1">INDEX(Allocator!H:H, MATCH("Lunar Mars cash allocation", Allocator!$A:$A, 0))</f>
        <v>1000</v>
      </c>
      <c r="I8" s="15">
        <f ca="1">INDEX(Allocator!I:I, MATCH("Lunar Mars cash allocation", Allocator!$A:$A, 0))</f>
        <v>1000</v>
      </c>
      <c r="J8" s="15">
        <f ca="1">INDEX(Allocator!J:J, MATCH("Lunar Mars cash allocation", Allocator!$A:$A, 0))</f>
        <v>1000</v>
      </c>
      <c r="K8" s="15">
        <f ca="1">INDEX(Allocator!K:K, MATCH("Lunar Mars cash allocation", Allocator!$A:$A, 0))</f>
        <v>1000</v>
      </c>
      <c r="L8" s="15">
        <f ca="1">INDEX(Allocator!L:L, MATCH("Lunar Mars cash allocation", Allocator!$A:$A, 0))</f>
        <v>1000</v>
      </c>
      <c r="M8" s="15">
        <f ca="1">INDEX(Allocator!M:M, MATCH("Lunar Mars cash allocation", Allocator!$A:$A, 0))</f>
        <v>1000</v>
      </c>
      <c r="N8" s="15">
        <f ca="1">INDEX(Allocator!N:N, MATCH("Lunar Mars cash allocation", Allocator!$A:$A, 0))</f>
        <v>1000</v>
      </c>
      <c r="O8" s="15">
        <f ca="1">INDEX(Allocator!O:O, MATCH("Lunar Mars cash allocation", Allocator!$A:$A, 0))</f>
        <v>1000</v>
      </c>
      <c r="P8" s="15">
        <f ca="1">INDEX(Allocator!P:P, MATCH("Lunar Mars cash allocation", Allocator!$A:$A, 0))</f>
        <v>1000</v>
      </c>
      <c r="Q8" s="15">
        <f ca="1">INDEX(Allocator!Q:Q, MATCH("Lunar Mars cash allocation", Allocator!$A:$A, 0))</f>
        <v>1000</v>
      </c>
      <c r="R8" s="15">
        <f ca="1">INDEX(Allocator!R:R, MATCH("Lunar Mars cash allocation", Allocator!$A:$A, 0))</f>
        <v>1000</v>
      </c>
      <c r="S8" s="15">
        <f ca="1">INDEX(Allocator!S:S, MATCH("Lunar Mars cash allocation", Allocator!$A:$A, 0))</f>
        <v>1000</v>
      </c>
      <c r="T8" s="15">
        <f ca="1">INDEX(Allocator!T:T, MATCH("Lunar Mars cash allocation", Allocator!$A:$A, 0))</f>
        <v>1000</v>
      </c>
      <c r="U8" s="15">
        <f ca="1">INDEX(Allocator!U:U, MATCH("Lunar Mars cash allocation", Allocator!$A:$A, 0))</f>
        <v>1000</v>
      </c>
      <c r="V8" s="15">
        <f ca="1">INDEX(Allocator!V:V, MATCH("Lunar Mars cash allocation", Allocator!$A:$A, 0))</f>
        <v>1000</v>
      </c>
      <c r="W8" s="15">
        <f ca="1">INDEX(Allocator!W:W, MATCH("Lunar Mars cash allocation", Allocator!$A:$A, 0))</f>
        <v>1000</v>
      </c>
      <c r="X8" s="15">
        <f ca="1">INDEX(Allocator!X:X, MATCH("Lunar Mars cash allocation", Allocator!$A:$A, 0))</f>
        <v>1000</v>
      </c>
      <c r="Y8" s="15">
        <f ca="1">INDEX(Allocator!Y:Y, MATCH("Lunar Mars cash allocation", Allocator!$A:$A, 0))</f>
        <v>1000</v>
      </c>
      <c r="Z8" s="15">
        <f ca="1">INDEX(Allocator!Z:Z, MATCH("Lunar Mars cash allocation", Allocator!$A:$A, 0))</f>
        <v>1000</v>
      </c>
      <c r="AA8" s="15">
        <f ca="1">INDEX(Allocator!AA:AA, MATCH("Lunar Mars cash allocation", Allocator!$A:$A, 0))</f>
        <v>1000</v>
      </c>
      <c r="AB8" s="15">
        <f ca="1">INDEX(Allocator!AB:AB, MATCH("Lunar Mars cash allocation", Allocator!$A:$A, 0))</f>
        <v>1000</v>
      </c>
      <c r="AC8" s="15">
        <f ca="1">INDEX(Allocator!AC:AC, MATCH("Lunar Mars cash allocation", Allocator!$A:$A, 0))</f>
        <v>1180.8063198715245</v>
      </c>
    </row>
    <row r="9" spans="1:29" x14ac:dyDescent="0.2">
      <c r="A9" t="s">
        <v>598</v>
      </c>
      <c r="C9" t="s">
        <v>600</v>
      </c>
      <c r="D9" s="15">
        <f ca="1">INDEX(Allocator!D:D, MATCH("Lunar Mars kg allocation", Allocator!$A:$A, 0))</f>
        <v>0</v>
      </c>
      <c r="E9" s="15">
        <f ca="1">INDEX(Allocator!E:E, MATCH("Lunar Mars kg allocation", Allocator!$A:$A, 0))</f>
        <v>0</v>
      </c>
      <c r="F9" s="15">
        <f ca="1">INDEX(Allocator!F:F, MATCH("Lunar Mars kg allocation", Allocator!$A:$A, 0))</f>
        <v>0</v>
      </c>
      <c r="G9" s="15">
        <f ca="1">INDEX(Allocator!G:G, MATCH("Lunar Mars kg allocation", Allocator!$A:$A, 0))</f>
        <v>3326909.6657904722</v>
      </c>
      <c r="H9" s="15">
        <f ca="1">INDEX(Allocator!H:H, MATCH("Lunar Mars kg allocation", Allocator!$A:$A, 0))</f>
        <v>3404225.1238186788</v>
      </c>
      <c r="I9" s="15">
        <f ca="1">INDEX(Allocator!I:I, MATCH("Lunar Mars kg allocation", Allocator!$A:$A, 0))</f>
        <v>3482414.5337390373</v>
      </c>
      <c r="J9" s="15">
        <f ca="1">INDEX(Allocator!J:J, MATCH("Lunar Mars kg allocation", Allocator!$A:$A, 0))</f>
        <v>3572722.9582877513</v>
      </c>
      <c r="K9" s="15">
        <f ca="1">INDEX(Allocator!K:K, MATCH("Lunar Mars kg allocation", Allocator!$A:$A, 0))</f>
        <v>3664111.4884932735</v>
      </c>
      <c r="L9" s="15">
        <f ca="1">INDEX(Allocator!L:L, MATCH("Lunar Mars kg allocation", Allocator!$A:$A, 0))</f>
        <v>3756374.0929118125</v>
      </c>
      <c r="M9" s="15">
        <f ca="1">INDEX(Allocator!M:M, MATCH("Lunar Mars kg allocation", Allocator!$A:$A, 0))</f>
        <v>3849276.3403376373</v>
      </c>
      <c r="N9" s="15">
        <f ca="1">INDEX(Allocator!N:N, MATCH("Lunar Mars kg allocation", Allocator!$A:$A, 0))</f>
        <v>3942554.1316836067</v>
      </c>
      <c r="O9" s="15">
        <f ca="1">INDEX(Allocator!O:O, MATCH("Lunar Mars kg allocation", Allocator!$A:$A, 0))</f>
        <v>3977503.8745412761</v>
      </c>
      <c r="P9" s="15">
        <f ca="1">INDEX(Allocator!P:P, MATCH("Lunar Mars kg allocation", Allocator!$A:$A, 0))</f>
        <v>4012072.1556890355</v>
      </c>
      <c r="Q9" s="15">
        <f ca="1">INDEX(Allocator!Q:Q, MATCH("Lunar Mars kg allocation", Allocator!$A:$A, 0))</f>
        <v>4046219.2893405715</v>
      </c>
      <c r="R9" s="15">
        <f ca="1">INDEX(Allocator!R:R, MATCH("Lunar Mars kg allocation", Allocator!$A:$A, 0))</f>
        <v>4079908.5802376084</v>
      </c>
      <c r="S9" s="15">
        <f ca="1">INDEX(Allocator!S:S, MATCH("Lunar Mars kg allocation", Allocator!$A:$A, 0))</f>
        <v>4113102.6357317055</v>
      </c>
      <c r="T9" s="15">
        <f ca="1">INDEX(Allocator!T:T, MATCH("Lunar Mars kg allocation", Allocator!$A:$A, 0))</f>
        <v>4145760.0160535835</v>
      </c>
      <c r="U9" s="15">
        <f ca="1">INDEX(Allocator!U:U, MATCH("Lunar Mars kg allocation", Allocator!$A:$A, 0))</f>
        <v>4177842.3380771549</v>
      </c>
      <c r="V9" s="15">
        <f ca="1">INDEX(Allocator!V:V, MATCH("Lunar Mars kg allocation", Allocator!$A:$A, 0))</f>
        <v>4209310.7527944883</v>
      </c>
      <c r="W9" s="15">
        <f ca="1">INDEX(Allocator!W:W, MATCH("Lunar Mars kg allocation", Allocator!$A:$A, 0))</f>
        <v>4240122.8393316511</v>
      </c>
      <c r="X9" s="15">
        <f ca="1">INDEX(Allocator!X:X, MATCH("Lunar Mars kg allocation", Allocator!$A:$A, 0))</f>
        <v>4270239.3168777013</v>
      </c>
      <c r="Y9" s="15">
        <f ca="1">INDEX(Allocator!Y:Y, MATCH("Lunar Mars kg allocation", Allocator!$A:$A, 0))</f>
        <v>4299620.7250806373</v>
      </c>
      <c r="Z9" s="15">
        <f ca="1">INDEX(Allocator!Z:Z, MATCH("Lunar Mars kg allocation", Allocator!$A:$A, 0))</f>
        <v>4328224.600711246</v>
      </c>
      <c r="AA9" s="15">
        <f ca="1">INDEX(Allocator!AA:AA, MATCH("Lunar Mars kg allocation", Allocator!$A:$A, 0))</f>
        <v>4356011.7147960393</v>
      </c>
      <c r="AB9" s="15">
        <f ca="1">INDEX(Allocator!AB:AB, MATCH("Lunar Mars kg allocation", Allocator!$A:$A, 0))</f>
        <v>4862776.2526990287</v>
      </c>
      <c r="AC9" s="15">
        <f ca="1">INDEX(Allocator!AC:AC, MATCH("Lunar Mars kg allocation", Allocator!$A:$A, 0))</f>
        <v>4408977.0127464868</v>
      </c>
    </row>
    <row r="10" spans="1:29" x14ac:dyDescent="0.2">
      <c r="A10" t="s">
        <v>599</v>
      </c>
      <c r="C10" s="16" t="s">
        <v>623</v>
      </c>
      <c r="D10" s="15">
        <f ca="1">D8</f>
        <v>1000</v>
      </c>
      <c r="E10" s="15">
        <f t="shared" ref="E10:AC10" ca="1" si="0">E8</f>
        <v>1000</v>
      </c>
      <c r="F10" s="15">
        <f t="shared" ca="1" si="0"/>
        <v>1000</v>
      </c>
      <c r="G10" s="15">
        <f t="shared" ca="1" si="0"/>
        <v>1000</v>
      </c>
      <c r="H10" s="15">
        <f t="shared" ca="1" si="0"/>
        <v>1000</v>
      </c>
      <c r="I10" s="15">
        <f t="shared" ca="1" si="0"/>
        <v>1000</v>
      </c>
      <c r="J10" s="15">
        <f t="shared" ca="1" si="0"/>
        <v>1000</v>
      </c>
      <c r="K10" s="15">
        <f t="shared" ca="1" si="0"/>
        <v>1000</v>
      </c>
      <c r="L10" s="15">
        <f t="shared" ca="1" si="0"/>
        <v>1000</v>
      </c>
      <c r="M10" s="15">
        <f t="shared" ca="1" si="0"/>
        <v>1000</v>
      </c>
      <c r="N10" s="15">
        <f t="shared" ca="1" si="0"/>
        <v>1000</v>
      </c>
      <c r="O10" s="15">
        <f t="shared" ca="1" si="0"/>
        <v>1000</v>
      </c>
      <c r="P10" s="15">
        <f t="shared" ca="1" si="0"/>
        <v>1000</v>
      </c>
      <c r="Q10" s="15">
        <f t="shared" ca="1" si="0"/>
        <v>1000</v>
      </c>
      <c r="R10" s="15">
        <f t="shared" ca="1" si="0"/>
        <v>1000</v>
      </c>
      <c r="S10" s="15">
        <f t="shared" ca="1" si="0"/>
        <v>1000</v>
      </c>
      <c r="T10" s="15">
        <f t="shared" ca="1" si="0"/>
        <v>1000</v>
      </c>
      <c r="U10" s="15">
        <f t="shared" ca="1" si="0"/>
        <v>1000</v>
      </c>
      <c r="V10" s="15">
        <f t="shared" ca="1" si="0"/>
        <v>1000</v>
      </c>
      <c r="W10" s="15">
        <f t="shared" ca="1" si="0"/>
        <v>1000</v>
      </c>
      <c r="X10" s="15">
        <f t="shared" ca="1" si="0"/>
        <v>1000</v>
      </c>
      <c r="Y10" s="15">
        <f t="shared" ca="1" si="0"/>
        <v>1000</v>
      </c>
      <c r="Z10" s="15">
        <f t="shared" ca="1" si="0"/>
        <v>1000</v>
      </c>
      <c r="AA10" s="15">
        <f t="shared" ca="1" si="0"/>
        <v>1000</v>
      </c>
      <c r="AB10" s="15">
        <f t="shared" ca="1" si="0"/>
        <v>1000</v>
      </c>
      <c r="AC10" s="15">
        <f t="shared" ca="1" si="0"/>
        <v>1180.8063198715245</v>
      </c>
    </row>
    <row r="11" spans="1:29" x14ac:dyDescent="0.2">
      <c r="A11" s="4" t="s">
        <v>1104</v>
      </c>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row>
    <row r="12" spans="1:29" x14ac:dyDescent="0.2">
      <c r="A12" t="s">
        <v>1105</v>
      </c>
      <c r="C12" t="s">
        <v>1106</v>
      </c>
      <c r="D12" s="15" cm="1">
        <f t="array" aca="1" ref="D12" ca="1">INDEX(Allocator!$D:$AC, MATCH("Mars/Moon strategic carve-out ($mm/yr)", Allocator!$A:$A, 0), D$5+1)</f>
        <v>1000</v>
      </c>
      <c r="E12" s="15" cm="1">
        <f t="array" aca="1" ref="E12" ca="1">INDEX(Allocator!$D:$AC, MATCH("Mars/Moon strategic carve-out ($mm/yr)", Allocator!$A:$A, 0), E$5+1)</f>
        <v>1000</v>
      </c>
      <c r="F12" s="15" cm="1">
        <f t="array" aca="1" ref="F12" ca="1">INDEX(Allocator!$D:$AC, MATCH("Mars/Moon strategic carve-out ($mm/yr)", Allocator!$A:$A, 0), F$5+1)</f>
        <v>1000</v>
      </c>
      <c r="G12" s="15" cm="1">
        <f t="array" aca="1" ref="G12" ca="1">INDEX(Allocator!$D:$AC, MATCH("Mars/Moon strategic carve-out ($mm/yr)", Allocator!$A:$A, 0), G$5+1)</f>
        <v>1000</v>
      </c>
      <c r="H12" s="15" cm="1">
        <f t="array" aca="1" ref="H12" ca="1">INDEX(Allocator!$D:$AC, MATCH("Mars/Moon strategic carve-out ($mm/yr)", Allocator!$A:$A, 0), H$5+1)</f>
        <v>1000</v>
      </c>
      <c r="I12" s="15" cm="1">
        <f t="array" aca="1" ref="I12" ca="1">INDEX(Allocator!$D:$AC, MATCH("Mars/Moon strategic carve-out ($mm/yr)", Allocator!$A:$A, 0), I$5+1)</f>
        <v>1000</v>
      </c>
      <c r="J12" s="15" cm="1">
        <f t="array" aca="1" ref="J12" ca="1">INDEX(Allocator!$D:$AC, MATCH("Mars/Moon strategic carve-out ($mm/yr)", Allocator!$A:$A, 0), J$5+1)</f>
        <v>1000</v>
      </c>
      <c r="K12" s="15" cm="1">
        <f t="array" aca="1" ref="K12" ca="1">INDEX(Allocator!$D:$AC, MATCH("Mars/Moon strategic carve-out ($mm/yr)", Allocator!$A:$A, 0), K$5+1)</f>
        <v>1000</v>
      </c>
      <c r="L12" s="15" cm="1">
        <f t="array" aca="1" ref="L12" ca="1">INDEX(Allocator!$D:$AC, MATCH("Mars/Moon strategic carve-out ($mm/yr)", Allocator!$A:$A, 0), L$5+1)</f>
        <v>1000</v>
      </c>
      <c r="M12" s="15" cm="1">
        <f t="array" aca="1" ref="M12" ca="1">INDEX(Allocator!$D:$AC, MATCH("Mars/Moon strategic carve-out ($mm/yr)", Allocator!$A:$A, 0), M$5+1)</f>
        <v>1000</v>
      </c>
      <c r="N12" s="15" cm="1">
        <f t="array" aca="1" ref="N12" ca="1">INDEX(Allocator!$D:$AC, MATCH("Mars/Moon strategic carve-out ($mm/yr)", Allocator!$A:$A, 0), N$5+1)</f>
        <v>1000</v>
      </c>
      <c r="O12" s="15" cm="1">
        <f t="array" aca="1" ref="O12" ca="1">INDEX(Allocator!$D:$AC, MATCH("Mars/Moon strategic carve-out ($mm/yr)", Allocator!$A:$A, 0), O$5+1)</f>
        <v>1000</v>
      </c>
      <c r="P12" s="15" cm="1">
        <f t="array" aca="1" ref="P12" ca="1">INDEX(Allocator!$D:$AC, MATCH("Mars/Moon strategic carve-out ($mm/yr)", Allocator!$A:$A, 0), P$5+1)</f>
        <v>1000</v>
      </c>
      <c r="Q12" s="15" cm="1">
        <f t="array" aca="1" ref="Q12" ca="1">INDEX(Allocator!$D:$AC, MATCH("Mars/Moon strategic carve-out ($mm/yr)", Allocator!$A:$A, 0), Q$5+1)</f>
        <v>1000</v>
      </c>
      <c r="R12" s="15" cm="1">
        <f t="array" aca="1" ref="R12" ca="1">INDEX(Allocator!$D:$AC, MATCH("Mars/Moon strategic carve-out ($mm/yr)", Allocator!$A:$A, 0), R$5+1)</f>
        <v>1000</v>
      </c>
      <c r="S12" s="15" cm="1">
        <f t="array" aca="1" ref="S12" ca="1">INDEX(Allocator!$D:$AC, MATCH("Mars/Moon strategic carve-out ($mm/yr)", Allocator!$A:$A, 0), S$5+1)</f>
        <v>1000</v>
      </c>
      <c r="T12" s="15" cm="1">
        <f t="array" aca="1" ref="T12" ca="1">INDEX(Allocator!$D:$AC, MATCH("Mars/Moon strategic carve-out ($mm/yr)", Allocator!$A:$A, 0), T$5+1)</f>
        <v>1000</v>
      </c>
      <c r="U12" s="15" cm="1">
        <f t="array" aca="1" ref="U12" ca="1">INDEX(Allocator!$D:$AC, MATCH("Mars/Moon strategic carve-out ($mm/yr)", Allocator!$A:$A, 0), U$5+1)</f>
        <v>1000</v>
      </c>
      <c r="V12" s="15" cm="1">
        <f t="array" aca="1" ref="V12" ca="1">INDEX(Allocator!$D:$AC, MATCH("Mars/Moon strategic carve-out ($mm/yr)", Allocator!$A:$A, 0), V$5+1)</f>
        <v>1000</v>
      </c>
      <c r="W12" s="15" cm="1">
        <f t="array" aca="1" ref="W12" ca="1">INDEX(Allocator!$D:$AC, MATCH("Mars/Moon strategic carve-out ($mm/yr)", Allocator!$A:$A, 0), W$5+1)</f>
        <v>1000</v>
      </c>
      <c r="X12" s="15" cm="1">
        <f t="array" aca="1" ref="X12" ca="1">INDEX(Allocator!$D:$AC, MATCH("Mars/Moon strategic carve-out ($mm/yr)", Allocator!$A:$A, 0), X$5+1)</f>
        <v>1000</v>
      </c>
      <c r="Y12" s="15" cm="1">
        <f t="array" aca="1" ref="Y12" ca="1">INDEX(Allocator!$D:$AC, MATCH("Mars/Moon strategic carve-out ($mm/yr)", Allocator!$A:$A, 0), Y$5+1)</f>
        <v>1000</v>
      </c>
      <c r="Z12" s="15" cm="1">
        <f t="array" aca="1" ref="Z12" ca="1">INDEX(Allocator!$D:$AC, MATCH("Mars/Moon strategic carve-out ($mm/yr)", Allocator!$A:$A, 0), Z$5+1)</f>
        <v>1000</v>
      </c>
      <c r="AA12" s="15" cm="1">
        <f t="array" aca="1" ref="AA12" ca="1">INDEX(Allocator!$D:$AC, MATCH("Mars/Moon strategic carve-out ($mm/yr)", Allocator!$A:$A, 0), AA$5+1)</f>
        <v>1000</v>
      </c>
      <c r="AB12" s="15" cm="1">
        <f t="array" aca="1" ref="AB12" ca="1">INDEX(Allocator!$D:$AC, MATCH("Mars/Moon strategic carve-out ($mm/yr)", Allocator!$A:$A, 0), AB$5+1)</f>
        <v>1000</v>
      </c>
      <c r="AC12" s="15" cm="1">
        <f t="array" aca="1" ref="AC12" ca="1">INDEX(Allocator!$D:$AC, MATCH("Mars/Moon strategic carve-out ($mm/yr)", Allocator!$A:$A, 0), AC$5+1)</f>
        <v>1180.8063198715245</v>
      </c>
    </row>
    <row r="13" spans="1:29" x14ac:dyDescent="0.2">
      <c r="A13" t="s">
        <v>1098</v>
      </c>
      <c r="C13" t="s">
        <v>1107</v>
      </c>
      <c r="D13" s="17" cm="1">
        <f t="array" aca="1" ref="D13" ca="1">INDEX(Allocator!$D:$AC, MATCH("Lunar share of carve-out (% — year-row)", Allocator!$A:$A, 0), D$5+1)</f>
        <v>1</v>
      </c>
      <c r="E13" s="17" cm="1">
        <f t="array" aca="1" ref="E13" ca="1">INDEX(Allocator!$D:$AC, MATCH("Lunar share of carve-out (% — year-row)", Allocator!$A:$A, 0), E$5+1)</f>
        <v>1</v>
      </c>
      <c r="F13" s="17" cm="1">
        <f t="array" aca="1" ref="F13" ca="1">INDEX(Allocator!$D:$AC, MATCH("Lunar share of carve-out (% — year-row)", Allocator!$A:$A, 0), F$5+1)</f>
        <v>1</v>
      </c>
      <c r="G13" s="17" cm="1">
        <f t="array" aca="1" ref="G13" ca="1">INDEX(Allocator!$D:$AC, MATCH("Lunar share of carve-out (% — year-row)", Allocator!$A:$A, 0), G$5+1)</f>
        <v>0.7</v>
      </c>
      <c r="H13" s="17" cm="1">
        <f t="array" aca="1" ref="H13" ca="1">INDEX(Allocator!$D:$AC, MATCH("Lunar share of carve-out (% — year-row)", Allocator!$A:$A, 0), H$5+1)</f>
        <v>0.7</v>
      </c>
      <c r="I13" s="17" cm="1">
        <f t="array" aca="1" ref="I13" ca="1">INDEX(Allocator!$D:$AC, MATCH("Lunar share of carve-out (% — year-row)", Allocator!$A:$A, 0), I$5+1)</f>
        <v>0.7</v>
      </c>
      <c r="J13" s="17" cm="1">
        <f t="array" aca="1" ref="J13" ca="1">INDEX(Allocator!$D:$AC, MATCH("Lunar share of carve-out (% — year-row)", Allocator!$A:$A, 0), J$5+1)</f>
        <v>0.7</v>
      </c>
      <c r="K13" s="17" cm="1">
        <f t="array" aca="1" ref="K13" ca="1">INDEX(Allocator!$D:$AC, MATCH("Lunar share of carve-out (% — year-row)", Allocator!$A:$A, 0), K$5+1)</f>
        <v>0.7</v>
      </c>
      <c r="L13" s="17" cm="1">
        <f t="array" aca="1" ref="L13" ca="1">INDEX(Allocator!$D:$AC, MATCH("Lunar share of carve-out (% — year-row)", Allocator!$A:$A, 0), L$5+1)</f>
        <v>0.7</v>
      </c>
      <c r="M13" s="17" cm="1">
        <f t="array" aca="1" ref="M13" ca="1">INDEX(Allocator!$D:$AC, MATCH("Lunar share of carve-out (% — year-row)", Allocator!$A:$A, 0), M$5+1)</f>
        <v>0.7</v>
      </c>
      <c r="N13" s="17" cm="1">
        <f t="array" aca="1" ref="N13" ca="1">INDEX(Allocator!$D:$AC, MATCH("Lunar share of carve-out (% — year-row)", Allocator!$A:$A, 0), N$5+1)</f>
        <v>0.7</v>
      </c>
      <c r="O13" s="17" cm="1">
        <f t="array" aca="1" ref="O13" ca="1">INDEX(Allocator!$D:$AC, MATCH("Lunar share of carve-out (% — year-row)", Allocator!$A:$A, 0), O$5+1)</f>
        <v>0.7</v>
      </c>
      <c r="P13" s="17" cm="1">
        <f t="array" aca="1" ref="P13" ca="1">INDEX(Allocator!$D:$AC, MATCH("Lunar share of carve-out (% — year-row)", Allocator!$A:$A, 0), P$5+1)</f>
        <v>0.7</v>
      </c>
      <c r="Q13" s="17" cm="1">
        <f t="array" aca="1" ref="Q13" ca="1">INDEX(Allocator!$D:$AC, MATCH("Lunar share of carve-out (% — year-row)", Allocator!$A:$A, 0), Q$5+1)</f>
        <v>0.7</v>
      </c>
      <c r="R13" s="17" cm="1">
        <f t="array" aca="1" ref="R13" ca="1">INDEX(Allocator!$D:$AC, MATCH("Lunar share of carve-out (% — year-row)", Allocator!$A:$A, 0), R$5+1)</f>
        <v>0.7</v>
      </c>
      <c r="S13" s="17" cm="1">
        <f t="array" aca="1" ref="S13" ca="1">INDEX(Allocator!$D:$AC, MATCH("Lunar share of carve-out (% — year-row)", Allocator!$A:$A, 0), S$5+1)</f>
        <v>0.7</v>
      </c>
      <c r="T13" s="17" cm="1">
        <f t="array" aca="1" ref="T13" ca="1">INDEX(Allocator!$D:$AC, MATCH("Lunar share of carve-out (% — year-row)", Allocator!$A:$A, 0), T$5+1)</f>
        <v>0.7</v>
      </c>
      <c r="U13" s="17" cm="1">
        <f t="array" aca="1" ref="U13" ca="1">INDEX(Allocator!$D:$AC, MATCH("Lunar share of carve-out (% — year-row)", Allocator!$A:$A, 0), U$5+1)</f>
        <v>0.7</v>
      </c>
      <c r="V13" s="17" cm="1">
        <f t="array" aca="1" ref="V13" ca="1">INDEX(Allocator!$D:$AC, MATCH("Lunar share of carve-out (% — year-row)", Allocator!$A:$A, 0), V$5+1)</f>
        <v>0.7</v>
      </c>
      <c r="W13" s="17" cm="1">
        <f t="array" aca="1" ref="W13" ca="1">INDEX(Allocator!$D:$AC, MATCH("Lunar share of carve-out (% — year-row)", Allocator!$A:$A, 0), W$5+1)</f>
        <v>0.7</v>
      </c>
      <c r="X13" s="17" cm="1">
        <f t="array" aca="1" ref="X13" ca="1">INDEX(Allocator!$D:$AC, MATCH("Lunar share of carve-out (% — year-row)", Allocator!$A:$A, 0), X$5+1)</f>
        <v>0.7</v>
      </c>
      <c r="Y13" s="17" cm="1">
        <f t="array" aca="1" ref="Y13" ca="1">INDEX(Allocator!$D:$AC, MATCH("Lunar share of carve-out (% — year-row)", Allocator!$A:$A, 0), Y$5+1)</f>
        <v>0.7</v>
      </c>
      <c r="Z13" s="17" cm="1">
        <f t="array" aca="1" ref="Z13" ca="1">INDEX(Allocator!$D:$AC, MATCH("Lunar share of carve-out (% — year-row)", Allocator!$A:$A, 0), Z$5+1)</f>
        <v>0.7</v>
      </c>
      <c r="AA13" s="17" cm="1">
        <f t="array" aca="1" ref="AA13" ca="1">INDEX(Allocator!$D:$AC, MATCH("Lunar share of carve-out (% — year-row)", Allocator!$A:$A, 0), AA$5+1)</f>
        <v>0.7</v>
      </c>
      <c r="AB13" s="17" cm="1">
        <f t="array" aca="1" ref="AB13" ca="1">INDEX(Allocator!$D:$AC, MATCH("Lunar share of carve-out (% — year-row)", Allocator!$A:$A, 0), AB$5+1)</f>
        <v>0.7</v>
      </c>
      <c r="AC13" s="17" cm="1">
        <f t="array" aca="1" ref="AC13" ca="1">INDEX(Allocator!$D:$AC, MATCH("Lunar share of carve-out (% — year-row)", Allocator!$A:$A, 0), AC$5+1)</f>
        <v>0.7</v>
      </c>
    </row>
    <row r="14" spans="1:29" x14ac:dyDescent="0.2">
      <c r="A14" t="s">
        <v>1099</v>
      </c>
      <c r="C14" t="s">
        <v>1108</v>
      </c>
      <c r="D14" s="17" cm="1">
        <f t="array" aca="1" ref="D14" ca="1">INDEX(Allocator!$D:$AC, MATCH("Mars share of carve-out (% — year-row)", Allocator!$A:$A, 0), D$5+1)</f>
        <v>0</v>
      </c>
      <c r="E14" s="17" cm="1">
        <f t="array" aca="1" ref="E14" ca="1">INDEX(Allocator!$D:$AC, MATCH("Mars share of carve-out (% — year-row)", Allocator!$A:$A, 0), E$5+1)</f>
        <v>0</v>
      </c>
      <c r="F14" s="17" cm="1">
        <f t="array" aca="1" ref="F14" ca="1">INDEX(Allocator!$D:$AC, MATCH("Mars share of carve-out (% — year-row)", Allocator!$A:$A, 0), F$5+1)</f>
        <v>0</v>
      </c>
      <c r="G14" s="17" cm="1">
        <f t="array" aca="1" ref="G14" ca="1">INDEX(Allocator!$D:$AC, MATCH("Mars share of carve-out (% — year-row)", Allocator!$A:$A, 0), G$5+1)</f>
        <v>0.30000000000000004</v>
      </c>
      <c r="H14" s="17" cm="1">
        <f t="array" aca="1" ref="H14" ca="1">INDEX(Allocator!$D:$AC, MATCH("Mars share of carve-out (% — year-row)", Allocator!$A:$A, 0), H$5+1)</f>
        <v>0.30000000000000004</v>
      </c>
      <c r="I14" s="17" cm="1">
        <f t="array" aca="1" ref="I14" ca="1">INDEX(Allocator!$D:$AC, MATCH("Mars share of carve-out (% — year-row)", Allocator!$A:$A, 0), I$5+1)</f>
        <v>0.30000000000000004</v>
      </c>
      <c r="J14" s="17" cm="1">
        <f t="array" aca="1" ref="J14" ca="1">INDEX(Allocator!$D:$AC, MATCH("Mars share of carve-out (% — year-row)", Allocator!$A:$A, 0), J$5+1)</f>
        <v>0.30000000000000004</v>
      </c>
      <c r="K14" s="17" cm="1">
        <f t="array" aca="1" ref="K14" ca="1">INDEX(Allocator!$D:$AC, MATCH("Mars share of carve-out (% — year-row)", Allocator!$A:$A, 0), K$5+1)</f>
        <v>0.30000000000000004</v>
      </c>
      <c r="L14" s="17" cm="1">
        <f t="array" aca="1" ref="L14" ca="1">INDEX(Allocator!$D:$AC, MATCH("Mars share of carve-out (% — year-row)", Allocator!$A:$A, 0), L$5+1)</f>
        <v>0.30000000000000004</v>
      </c>
      <c r="M14" s="17" cm="1">
        <f t="array" aca="1" ref="M14" ca="1">INDEX(Allocator!$D:$AC, MATCH("Mars share of carve-out (% — year-row)", Allocator!$A:$A, 0), M$5+1)</f>
        <v>0.30000000000000004</v>
      </c>
      <c r="N14" s="17" cm="1">
        <f t="array" aca="1" ref="N14" ca="1">INDEX(Allocator!$D:$AC, MATCH("Mars share of carve-out (% — year-row)", Allocator!$A:$A, 0), N$5+1)</f>
        <v>0.30000000000000004</v>
      </c>
      <c r="O14" s="17" cm="1">
        <f t="array" aca="1" ref="O14" ca="1">INDEX(Allocator!$D:$AC, MATCH("Mars share of carve-out (% — year-row)", Allocator!$A:$A, 0), O$5+1)</f>
        <v>0.30000000000000004</v>
      </c>
      <c r="P14" s="17" cm="1">
        <f t="array" aca="1" ref="P14" ca="1">INDEX(Allocator!$D:$AC, MATCH("Mars share of carve-out (% — year-row)", Allocator!$A:$A, 0), P$5+1)</f>
        <v>0.30000000000000004</v>
      </c>
      <c r="Q14" s="17" cm="1">
        <f t="array" aca="1" ref="Q14" ca="1">INDEX(Allocator!$D:$AC, MATCH("Mars share of carve-out (% — year-row)", Allocator!$A:$A, 0), Q$5+1)</f>
        <v>0.30000000000000004</v>
      </c>
      <c r="R14" s="17" cm="1">
        <f t="array" aca="1" ref="R14" ca="1">INDEX(Allocator!$D:$AC, MATCH("Mars share of carve-out (% — year-row)", Allocator!$A:$A, 0), R$5+1)</f>
        <v>0.30000000000000004</v>
      </c>
      <c r="S14" s="17" cm="1">
        <f t="array" aca="1" ref="S14" ca="1">INDEX(Allocator!$D:$AC, MATCH("Mars share of carve-out (% — year-row)", Allocator!$A:$A, 0), S$5+1)</f>
        <v>0.30000000000000004</v>
      </c>
      <c r="T14" s="17" cm="1">
        <f t="array" aca="1" ref="T14" ca="1">INDEX(Allocator!$D:$AC, MATCH("Mars share of carve-out (% — year-row)", Allocator!$A:$A, 0), T$5+1)</f>
        <v>0.30000000000000004</v>
      </c>
      <c r="U14" s="17" cm="1">
        <f t="array" aca="1" ref="U14" ca="1">INDEX(Allocator!$D:$AC, MATCH("Mars share of carve-out (% — year-row)", Allocator!$A:$A, 0), U$5+1)</f>
        <v>0.30000000000000004</v>
      </c>
      <c r="V14" s="17" cm="1">
        <f t="array" aca="1" ref="V14" ca="1">INDEX(Allocator!$D:$AC, MATCH("Mars share of carve-out (% — year-row)", Allocator!$A:$A, 0), V$5+1)</f>
        <v>0.30000000000000004</v>
      </c>
      <c r="W14" s="17" cm="1">
        <f t="array" aca="1" ref="W14" ca="1">INDEX(Allocator!$D:$AC, MATCH("Mars share of carve-out (% — year-row)", Allocator!$A:$A, 0), W$5+1)</f>
        <v>0.30000000000000004</v>
      </c>
      <c r="X14" s="17" cm="1">
        <f t="array" aca="1" ref="X14" ca="1">INDEX(Allocator!$D:$AC, MATCH("Mars share of carve-out (% — year-row)", Allocator!$A:$A, 0), X$5+1)</f>
        <v>0.30000000000000004</v>
      </c>
      <c r="Y14" s="17" cm="1">
        <f t="array" aca="1" ref="Y14" ca="1">INDEX(Allocator!$D:$AC, MATCH("Mars share of carve-out (% — year-row)", Allocator!$A:$A, 0), Y$5+1)</f>
        <v>0.30000000000000004</v>
      </c>
      <c r="Z14" s="17" cm="1">
        <f t="array" aca="1" ref="Z14" ca="1">INDEX(Allocator!$D:$AC, MATCH("Mars share of carve-out (% — year-row)", Allocator!$A:$A, 0), Z$5+1)</f>
        <v>0.30000000000000004</v>
      </c>
      <c r="AA14" s="17" cm="1">
        <f t="array" aca="1" ref="AA14" ca="1">INDEX(Allocator!$D:$AC, MATCH("Mars share of carve-out (% — year-row)", Allocator!$A:$A, 0), AA$5+1)</f>
        <v>0.30000000000000004</v>
      </c>
      <c r="AB14" s="17" cm="1">
        <f t="array" aca="1" ref="AB14" ca="1">INDEX(Allocator!$D:$AC, MATCH("Mars share of carve-out (% — year-row)", Allocator!$A:$A, 0), AB$5+1)</f>
        <v>0.30000000000000004</v>
      </c>
      <c r="AC14" s="17" cm="1">
        <f t="array" aca="1" ref="AC14" ca="1">INDEX(Allocator!$D:$AC, MATCH("Mars share of carve-out (% — year-row)", Allocator!$A:$A, 0), AC$5+1)</f>
        <v>0.30000000000000004</v>
      </c>
    </row>
    <row r="15" spans="1:29" x14ac:dyDescent="0.2">
      <c r="A15" t="s">
        <v>1109</v>
      </c>
      <c r="C15" t="s">
        <v>1110</v>
      </c>
      <c r="D15" s="15">
        <f t="shared" ref="D15:AC15" ca="1" si="1">D12*D13</f>
        <v>1000</v>
      </c>
      <c r="E15" s="15">
        <f t="shared" ca="1" si="1"/>
        <v>1000</v>
      </c>
      <c r="F15" s="15">
        <f t="shared" ca="1" si="1"/>
        <v>1000</v>
      </c>
      <c r="G15" s="15">
        <f t="shared" ca="1" si="1"/>
        <v>700</v>
      </c>
      <c r="H15" s="15">
        <f t="shared" ca="1" si="1"/>
        <v>700</v>
      </c>
      <c r="I15" s="15">
        <f t="shared" ca="1" si="1"/>
        <v>700</v>
      </c>
      <c r="J15" s="15">
        <f t="shared" ca="1" si="1"/>
        <v>700</v>
      </c>
      <c r="K15" s="15">
        <f t="shared" ca="1" si="1"/>
        <v>700</v>
      </c>
      <c r="L15" s="15">
        <f t="shared" ca="1" si="1"/>
        <v>700</v>
      </c>
      <c r="M15" s="15">
        <f t="shared" ca="1" si="1"/>
        <v>700</v>
      </c>
      <c r="N15" s="15">
        <f t="shared" ca="1" si="1"/>
        <v>700</v>
      </c>
      <c r="O15" s="15">
        <f t="shared" ca="1" si="1"/>
        <v>700</v>
      </c>
      <c r="P15" s="15">
        <f t="shared" ca="1" si="1"/>
        <v>700</v>
      </c>
      <c r="Q15" s="15">
        <f t="shared" ca="1" si="1"/>
        <v>700</v>
      </c>
      <c r="R15" s="15">
        <f t="shared" ca="1" si="1"/>
        <v>700</v>
      </c>
      <c r="S15" s="15">
        <f t="shared" ca="1" si="1"/>
        <v>700</v>
      </c>
      <c r="T15" s="15">
        <f t="shared" ca="1" si="1"/>
        <v>700</v>
      </c>
      <c r="U15" s="15">
        <f t="shared" ca="1" si="1"/>
        <v>700</v>
      </c>
      <c r="V15" s="15">
        <f t="shared" ca="1" si="1"/>
        <v>700</v>
      </c>
      <c r="W15" s="15">
        <f t="shared" ca="1" si="1"/>
        <v>700</v>
      </c>
      <c r="X15" s="15">
        <f t="shared" ca="1" si="1"/>
        <v>700</v>
      </c>
      <c r="Y15" s="15">
        <f t="shared" ca="1" si="1"/>
        <v>700</v>
      </c>
      <c r="Z15" s="15">
        <f t="shared" ca="1" si="1"/>
        <v>700</v>
      </c>
      <c r="AA15" s="15">
        <f t="shared" ca="1" si="1"/>
        <v>700</v>
      </c>
      <c r="AB15" s="15">
        <f t="shared" ca="1" si="1"/>
        <v>700</v>
      </c>
      <c r="AC15" s="15">
        <f t="shared" ca="1" si="1"/>
        <v>826.56442391006703</v>
      </c>
    </row>
    <row r="16" spans="1:29" x14ac:dyDescent="0.2">
      <c r="A16" t="s">
        <v>1111</v>
      </c>
      <c r="C16" t="s">
        <v>1112</v>
      </c>
      <c r="D16" s="15">
        <f t="shared" ref="D16:AC16" ca="1" si="2">D12*D14</f>
        <v>0</v>
      </c>
      <c r="E16" s="15">
        <f t="shared" ca="1" si="2"/>
        <v>0</v>
      </c>
      <c r="F16" s="15">
        <f t="shared" ca="1" si="2"/>
        <v>0</v>
      </c>
      <c r="G16" s="15">
        <f t="shared" ca="1" si="2"/>
        <v>300.00000000000006</v>
      </c>
      <c r="H16" s="15">
        <f t="shared" ca="1" si="2"/>
        <v>300.00000000000006</v>
      </c>
      <c r="I16" s="15">
        <f t="shared" ca="1" si="2"/>
        <v>300.00000000000006</v>
      </c>
      <c r="J16" s="15">
        <f t="shared" ca="1" si="2"/>
        <v>300.00000000000006</v>
      </c>
      <c r="K16" s="15">
        <f t="shared" ca="1" si="2"/>
        <v>300.00000000000006</v>
      </c>
      <c r="L16" s="15">
        <f t="shared" ca="1" si="2"/>
        <v>300.00000000000006</v>
      </c>
      <c r="M16" s="15">
        <f t="shared" ca="1" si="2"/>
        <v>300.00000000000006</v>
      </c>
      <c r="N16" s="15">
        <f t="shared" ca="1" si="2"/>
        <v>300.00000000000006</v>
      </c>
      <c r="O16" s="15">
        <f t="shared" ca="1" si="2"/>
        <v>300.00000000000006</v>
      </c>
      <c r="P16" s="15">
        <f t="shared" ca="1" si="2"/>
        <v>300.00000000000006</v>
      </c>
      <c r="Q16" s="15">
        <f t="shared" ca="1" si="2"/>
        <v>300.00000000000006</v>
      </c>
      <c r="R16" s="15">
        <f t="shared" ca="1" si="2"/>
        <v>300.00000000000006</v>
      </c>
      <c r="S16" s="15">
        <f t="shared" ca="1" si="2"/>
        <v>300.00000000000006</v>
      </c>
      <c r="T16" s="15">
        <f t="shared" ca="1" si="2"/>
        <v>300.00000000000006</v>
      </c>
      <c r="U16" s="15">
        <f t="shared" ca="1" si="2"/>
        <v>300.00000000000006</v>
      </c>
      <c r="V16" s="15">
        <f t="shared" ca="1" si="2"/>
        <v>300.00000000000006</v>
      </c>
      <c r="W16" s="15">
        <f t="shared" ca="1" si="2"/>
        <v>300.00000000000006</v>
      </c>
      <c r="X16" s="15">
        <f t="shared" ca="1" si="2"/>
        <v>300.00000000000006</v>
      </c>
      <c r="Y16" s="15">
        <f t="shared" ca="1" si="2"/>
        <v>300.00000000000006</v>
      </c>
      <c r="Z16" s="15">
        <f t="shared" ca="1" si="2"/>
        <v>300.00000000000006</v>
      </c>
      <c r="AA16" s="15">
        <f t="shared" ca="1" si="2"/>
        <v>300.00000000000006</v>
      </c>
      <c r="AB16" s="15">
        <f t="shared" ca="1" si="2"/>
        <v>300.00000000000006</v>
      </c>
      <c r="AC16" s="15">
        <f t="shared" ca="1" si="2"/>
        <v>354.24189596145737</v>
      </c>
    </row>
    <row r="17" spans="1:29" x14ac:dyDescent="0.2">
      <c r="A17" s="4" t="s">
        <v>1113</v>
      </c>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row>
    <row r="18" spans="1:29" x14ac:dyDescent="0.2">
      <c r="A18" t="s">
        <v>1114</v>
      </c>
      <c r="C18" t="s">
        <v>1115</v>
      </c>
      <c r="D18" s="40" cm="1">
        <f t="array" aca="1" ref="D18" ca="1">IFERROR(INDEX('Launch Capacity'!$D:$AC, MATCH("Blended Starship build cost per vehicle ($mm)", 'Launch Capacity'!$A:$A, 0), D$5+1) / IFERROR(INDEX(Assumptions!$B:$B, MATCH("Lifetime reuses per ship (cap)", Assumptions!$A:$A, 0)), 30), 32)</f>
        <v>32</v>
      </c>
      <c r="E18" s="40" cm="1">
        <f t="array" aca="1" ref="E18" ca="1">IFERROR(INDEX('Launch Capacity'!$D:$AC, MATCH("Blended Starship build cost per vehicle ($mm)", 'Launch Capacity'!$A:$A, 0), E$5+1) / IFERROR(INDEX(Assumptions!$B:$B, MATCH("Lifetime reuses per ship (cap)", Assumptions!$A:$A, 0)), 30), 32)</f>
        <v>32</v>
      </c>
      <c r="F18" s="40" cm="1">
        <f t="array" aca="1" ref="F18" ca="1">IFERROR(INDEX('Launch Capacity'!$D:$AC, MATCH("Blended Starship build cost per vehicle ($mm)", 'Launch Capacity'!$A:$A, 0), F$5+1) / IFERROR(INDEX(Assumptions!$B:$B, MATCH("Lifetime reuses per ship (cap)", Assumptions!$A:$A, 0)), 30), 32)</f>
        <v>32</v>
      </c>
      <c r="G18" s="40" cm="1">
        <f t="array" aca="1" ref="G18" ca="1">IFERROR(INDEX('Launch Capacity'!$D:$AC, MATCH("Blended Starship build cost per vehicle ($mm)", 'Launch Capacity'!$A:$A, 0), G$5+1) / IFERROR(INDEX(Assumptions!$B:$B, MATCH("Lifetime reuses per ship (cap)", Assumptions!$A:$A, 0)), 30), 32)</f>
        <v>32</v>
      </c>
      <c r="H18" s="40" cm="1">
        <f t="array" aca="1" ref="H18" ca="1">IFERROR(INDEX('Launch Capacity'!$D:$AC, MATCH("Blended Starship build cost per vehicle ($mm)", 'Launch Capacity'!$A:$A, 0), H$5+1) / IFERROR(INDEX(Assumptions!$B:$B, MATCH("Lifetime reuses per ship (cap)", Assumptions!$A:$A, 0)), 30), 32)</f>
        <v>32</v>
      </c>
      <c r="I18" s="40" cm="1">
        <f t="array" aca="1" ref="I18" ca="1">IFERROR(INDEX('Launch Capacity'!$D:$AC, MATCH("Blended Starship build cost per vehicle ($mm)", 'Launch Capacity'!$A:$A, 0), I$5+1) / IFERROR(INDEX(Assumptions!$B:$B, MATCH("Lifetime reuses per ship (cap)", Assumptions!$A:$A, 0)), 30), 32)</f>
        <v>32</v>
      </c>
      <c r="J18" s="40" cm="1">
        <f t="array" aca="1" ref="J18" ca="1">IFERROR(INDEX('Launch Capacity'!$D:$AC, MATCH("Blended Starship build cost per vehicle ($mm)", 'Launch Capacity'!$A:$A, 0), J$5+1) / IFERROR(INDEX(Assumptions!$B:$B, MATCH("Lifetime reuses per ship (cap)", Assumptions!$A:$A, 0)), 30), 32)</f>
        <v>32</v>
      </c>
      <c r="K18" s="40" cm="1">
        <f t="array" aca="1" ref="K18" ca="1">IFERROR(INDEX('Launch Capacity'!$D:$AC, MATCH("Blended Starship build cost per vehicle ($mm)", 'Launch Capacity'!$A:$A, 0), K$5+1) / IFERROR(INDEX(Assumptions!$B:$B, MATCH("Lifetime reuses per ship (cap)", Assumptions!$A:$A, 0)), 30), 32)</f>
        <v>32</v>
      </c>
      <c r="L18" s="40" cm="1">
        <f t="array" aca="1" ref="L18" ca="1">IFERROR(INDEX('Launch Capacity'!$D:$AC, MATCH("Blended Starship build cost per vehicle ($mm)", 'Launch Capacity'!$A:$A, 0), L$5+1) / IFERROR(INDEX(Assumptions!$B:$B, MATCH("Lifetime reuses per ship (cap)", Assumptions!$A:$A, 0)), 30), 32)</f>
        <v>32</v>
      </c>
      <c r="M18" s="40" cm="1">
        <f t="array" aca="1" ref="M18" ca="1">IFERROR(INDEX('Launch Capacity'!$D:$AC, MATCH("Blended Starship build cost per vehicle ($mm)", 'Launch Capacity'!$A:$A, 0), M$5+1) / IFERROR(INDEX(Assumptions!$B:$B, MATCH("Lifetime reuses per ship (cap)", Assumptions!$A:$A, 0)), 30), 32)</f>
        <v>32</v>
      </c>
      <c r="N18" s="40" cm="1">
        <f t="array" aca="1" ref="N18" ca="1">IFERROR(INDEX('Launch Capacity'!$D:$AC, MATCH("Blended Starship build cost per vehicle ($mm)", 'Launch Capacity'!$A:$A, 0), N$5+1) / IFERROR(INDEX(Assumptions!$B:$B, MATCH("Lifetime reuses per ship (cap)", Assumptions!$A:$A, 0)), 30), 32)</f>
        <v>32</v>
      </c>
      <c r="O18" s="40" cm="1">
        <f t="array" aca="1" ref="O18" ca="1">IFERROR(INDEX('Launch Capacity'!$D:$AC, MATCH("Blended Starship build cost per vehicle ($mm)", 'Launch Capacity'!$A:$A, 0), O$5+1) / IFERROR(INDEX(Assumptions!$B:$B, MATCH("Lifetime reuses per ship (cap)", Assumptions!$A:$A, 0)), 30), 32)</f>
        <v>32</v>
      </c>
      <c r="P18" s="40" cm="1">
        <f t="array" aca="1" ref="P18" ca="1">IFERROR(INDEX('Launch Capacity'!$D:$AC, MATCH("Blended Starship build cost per vehicle ($mm)", 'Launch Capacity'!$A:$A, 0), P$5+1) / IFERROR(INDEX(Assumptions!$B:$B, MATCH("Lifetime reuses per ship (cap)", Assumptions!$A:$A, 0)), 30), 32)</f>
        <v>32</v>
      </c>
      <c r="Q18" s="40" cm="1">
        <f t="array" aca="1" ref="Q18" ca="1">IFERROR(INDEX('Launch Capacity'!$D:$AC, MATCH("Blended Starship build cost per vehicle ($mm)", 'Launch Capacity'!$A:$A, 0), Q$5+1) / IFERROR(INDEX(Assumptions!$B:$B, MATCH("Lifetime reuses per ship (cap)", Assumptions!$A:$A, 0)), 30), 32)</f>
        <v>32</v>
      </c>
      <c r="R18" s="40" cm="1">
        <f t="array" aca="1" ref="R18" ca="1">IFERROR(INDEX('Launch Capacity'!$D:$AC, MATCH("Blended Starship build cost per vehicle ($mm)", 'Launch Capacity'!$A:$A, 0), R$5+1) / IFERROR(INDEX(Assumptions!$B:$B, MATCH("Lifetime reuses per ship (cap)", Assumptions!$A:$A, 0)), 30), 32)</f>
        <v>32</v>
      </c>
      <c r="S18" s="40" cm="1">
        <f t="array" aca="1" ref="S18" ca="1">IFERROR(INDEX('Launch Capacity'!$D:$AC, MATCH("Blended Starship build cost per vehicle ($mm)", 'Launch Capacity'!$A:$A, 0), S$5+1) / IFERROR(INDEX(Assumptions!$B:$B, MATCH("Lifetime reuses per ship (cap)", Assumptions!$A:$A, 0)), 30), 32)</f>
        <v>32</v>
      </c>
      <c r="T18" s="40" cm="1">
        <f t="array" aca="1" ref="T18" ca="1">IFERROR(INDEX('Launch Capacity'!$D:$AC, MATCH("Blended Starship build cost per vehicle ($mm)", 'Launch Capacity'!$A:$A, 0), T$5+1) / IFERROR(INDEX(Assumptions!$B:$B, MATCH("Lifetime reuses per ship (cap)", Assumptions!$A:$A, 0)), 30), 32)</f>
        <v>32</v>
      </c>
      <c r="U18" s="40" cm="1">
        <f t="array" aca="1" ref="U18" ca="1">IFERROR(INDEX('Launch Capacity'!$D:$AC, MATCH("Blended Starship build cost per vehicle ($mm)", 'Launch Capacity'!$A:$A, 0), U$5+1) / IFERROR(INDEX(Assumptions!$B:$B, MATCH("Lifetime reuses per ship (cap)", Assumptions!$A:$A, 0)), 30), 32)</f>
        <v>32</v>
      </c>
      <c r="V18" s="40" cm="1">
        <f t="array" aca="1" ref="V18" ca="1">IFERROR(INDEX('Launch Capacity'!$D:$AC, MATCH("Blended Starship build cost per vehicle ($mm)", 'Launch Capacity'!$A:$A, 0), V$5+1) / IFERROR(INDEX(Assumptions!$B:$B, MATCH("Lifetime reuses per ship (cap)", Assumptions!$A:$A, 0)), 30), 32)</f>
        <v>32</v>
      </c>
      <c r="W18" s="40" cm="1">
        <f t="array" aca="1" ref="W18" ca="1">IFERROR(INDEX('Launch Capacity'!$D:$AC, MATCH("Blended Starship build cost per vehicle ($mm)", 'Launch Capacity'!$A:$A, 0), W$5+1) / IFERROR(INDEX(Assumptions!$B:$B, MATCH("Lifetime reuses per ship (cap)", Assumptions!$A:$A, 0)), 30), 32)</f>
        <v>32</v>
      </c>
      <c r="X18" s="40" cm="1">
        <f t="array" aca="1" ref="X18" ca="1">IFERROR(INDEX('Launch Capacity'!$D:$AC, MATCH("Blended Starship build cost per vehicle ($mm)", 'Launch Capacity'!$A:$A, 0), X$5+1) / IFERROR(INDEX(Assumptions!$B:$B, MATCH("Lifetime reuses per ship (cap)", Assumptions!$A:$A, 0)), 30), 32)</f>
        <v>32</v>
      </c>
      <c r="Y18" s="40" cm="1">
        <f t="array" aca="1" ref="Y18" ca="1">IFERROR(INDEX('Launch Capacity'!$D:$AC, MATCH("Blended Starship build cost per vehicle ($mm)", 'Launch Capacity'!$A:$A, 0), Y$5+1) / IFERROR(INDEX(Assumptions!$B:$B, MATCH("Lifetime reuses per ship (cap)", Assumptions!$A:$A, 0)), 30), 32)</f>
        <v>32</v>
      </c>
      <c r="Z18" s="40" cm="1">
        <f t="array" aca="1" ref="Z18" ca="1">IFERROR(INDEX('Launch Capacity'!$D:$AC, MATCH("Blended Starship build cost per vehicle ($mm)", 'Launch Capacity'!$A:$A, 0), Z$5+1) / IFERROR(INDEX(Assumptions!$B:$B, MATCH("Lifetime reuses per ship (cap)", Assumptions!$A:$A, 0)), 30), 32)</f>
        <v>32</v>
      </c>
      <c r="AA18" s="40" cm="1">
        <f t="array" aca="1" ref="AA18" ca="1">IFERROR(INDEX('Launch Capacity'!$D:$AC, MATCH("Blended Starship build cost per vehicle ($mm)", 'Launch Capacity'!$A:$A, 0), AA$5+1) / IFERROR(INDEX(Assumptions!$B:$B, MATCH("Lifetime reuses per ship (cap)", Assumptions!$A:$A, 0)), 30), 32)</f>
        <v>32</v>
      </c>
      <c r="AB18" s="40" cm="1">
        <f t="array" aca="1" ref="AB18" ca="1">IFERROR(INDEX('Launch Capacity'!$D:$AC, MATCH("Blended Starship build cost per vehicle ($mm)", 'Launch Capacity'!$A:$A, 0), AB$5+1) / IFERROR(INDEX(Assumptions!$B:$B, MATCH("Lifetime reuses per ship (cap)", Assumptions!$A:$A, 0)), 30), 32)</f>
        <v>32</v>
      </c>
      <c r="AC18" s="40" cm="1">
        <f t="array" aca="1" ref="AC18" ca="1">IFERROR(INDEX('Launch Capacity'!$D:$AC, MATCH("Blended Starship build cost per vehicle ($mm)", 'Launch Capacity'!$A:$A, 0), AC$5+1) / IFERROR(INDEX(Assumptions!$B:$B, MATCH("Lifetime reuses per ship (cap)", Assumptions!$A:$A, 0)), 30), 32)</f>
        <v>32</v>
      </c>
    </row>
    <row r="19" spans="1:29" x14ac:dyDescent="0.2">
      <c r="A19" t="s">
        <v>1116</v>
      </c>
      <c r="C19" t="s">
        <v>1117</v>
      </c>
      <c r="D19" s="29">
        <f>INDEX(Assumptions!$B:$B, MATCH("Lunar fuel depot multiplier per outbound Starship", Assumptions!$A:$A, 0))</f>
        <v>1</v>
      </c>
      <c r="E19" s="29">
        <f>INDEX(Assumptions!$B:$B, MATCH("Lunar fuel depot multiplier per outbound Starship", Assumptions!$A:$A, 0))</f>
        <v>1</v>
      </c>
      <c r="F19" s="29">
        <f>INDEX(Assumptions!$B:$B, MATCH("Lunar fuel depot multiplier per outbound Starship", Assumptions!$A:$A, 0))</f>
        <v>1</v>
      </c>
      <c r="G19" s="29">
        <f>INDEX(Assumptions!$B:$B, MATCH("Lunar fuel depot multiplier per outbound Starship", Assumptions!$A:$A, 0))</f>
        <v>1</v>
      </c>
      <c r="H19" s="29">
        <f>INDEX(Assumptions!$B:$B, MATCH("Lunar fuel depot multiplier per outbound Starship", Assumptions!$A:$A, 0))</f>
        <v>1</v>
      </c>
      <c r="I19" s="29">
        <f>INDEX(Assumptions!$B:$B, MATCH("Lunar fuel depot multiplier per outbound Starship", Assumptions!$A:$A, 0))</f>
        <v>1</v>
      </c>
      <c r="J19" s="29">
        <f>INDEX(Assumptions!$B:$B, MATCH("Lunar fuel depot multiplier per outbound Starship", Assumptions!$A:$A, 0))</f>
        <v>1</v>
      </c>
      <c r="K19" s="29">
        <f>INDEX(Assumptions!$B:$B, MATCH("Lunar fuel depot multiplier per outbound Starship", Assumptions!$A:$A, 0))</f>
        <v>1</v>
      </c>
      <c r="L19" s="29">
        <f>INDEX(Assumptions!$B:$B, MATCH("Lunar fuel depot multiplier per outbound Starship", Assumptions!$A:$A, 0))</f>
        <v>1</v>
      </c>
      <c r="M19" s="29">
        <f>INDEX(Assumptions!$B:$B, MATCH("Lunar fuel depot multiplier per outbound Starship", Assumptions!$A:$A, 0))</f>
        <v>1</v>
      </c>
      <c r="N19" s="29">
        <f>INDEX(Assumptions!$B:$B, MATCH("Lunar fuel depot multiplier per outbound Starship", Assumptions!$A:$A, 0))</f>
        <v>1</v>
      </c>
      <c r="O19" s="29">
        <f>INDEX(Assumptions!$B:$B, MATCH("Lunar fuel depot multiplier per outbound Starship", Assumptions!$A:$A, 0))</f>
        <v>1</v>
      </c>
      <c r="P19" s="29">
        <f>INDEX(Assumptions!$B:$B, MATCH("Lunar fuel depot multiplier per outbound Starship", Assumptions!$A:$A, 0))</f>
        <v>1</v>
      </c>
      <c r="Q19" s="29">
        <f>INDEX(Assumptions!$B:$B, MATCH("Lunar fuel depot multiplier per outbound Starship", Assumptions!$A:$A, 0))</f>
        <v>1</v>
      </c>
      <c r="R19" s="29">
        <f>INDEX(Assumptions!$B:$B, MATCH("Lunar fuel depot multiplier per outbound Starship", Assumptions!$A:$A, 0))</f>
        <v>1</v>
      </c>
      <c r="S19" s="29">
        <f>INDEX(Assumptions!$B:$B, MATCH("Lunar fuel depot multiplier per outbound Starship", Assumptions!$A:$A, 0))</f>
        <v>1</v>
      </c>
      <c r="T19" s="29">
        <f>INDEX(Assumptions!$B:$B, MATCH("Lunar fuel depot multiplier per outbound Starship", Assumptions!$A:$A, 0))</f>
        <v>1</v>
      </c>
      <c r="U19" s="29">
        <f>INDEX(Assumptions!$B:$B, MATCH("Lunar fuel depot multiplier per outbound Starship", Assumptions!$A:$A, 0))</f>
        <v>1</v>
      </c>
      <c r="V19" s="29">
        <f>INDEX(Assumptions!$B:$B, MATCH("Lunar fuel depot multiplier per outbound Starship", Assumptions!$A:$A, 0))</f>
        <v>1</v>
      </c>
      <c r="W19" s="29">
        <f>INDEX(Assumptions!$B:$B, MATCH("Lunar fuel depot multiplier per outbound Starship", Assumptions!$A:$A, 0))</f>
        <v>1</v>
      </c>
      <c r="X19" s="29">
        <f>INDEX(Assumptions!$B:$B, MATCH("Lunar fuel depot multiplier per outbound Starship", Assumptions!$A:$A, 0))</f>
        <v>1</v>
      </c>
      <c r="Y19" s="29">
        <f>INDEX(Assumptions!$B:$B, MATCH("Lunar fuel depot multiplier per outbound Starship", Assumptions!$A:$A, 0))</f>
        <v>1</v>
      </c>
      <c r="Z19" s="29">
        <f>INDEX(Assumptions!$B:$B, MATCH("Lunar fuel depot multiplier per outbound Starship", Assumptions!$A:$A, 0))</f>
        <v>1</v>
      </c>
      <c r="AA19" s="29">
        <f>INDEX(Assumptions!$B:$B, MATCH("Lunar fuel depot multiplier per outbound Starship", Assumptions!$A:$A, 0))</f>
        <v>1</v>
      </c>
      <c r="AB19" s="29">
        <f>INDEX(Assumptions!$B:$B, MATCH("Lunar fuel depot multiplier per outbound Starship", Assumptions!$A:$A, 0))</f>
        <v>1</v>
      </c>
      <c r="AC19" s="29">
        <f>INDEX(Assumptions!$B:$B, MATCH("Lunar fuel depot multiplier per outbound Starship", Assumptions!$A:$A, 0))</f>
        <v>1</v>
      </c>
    </row>
    <row r="20" spans="1:29" x14ac:dyDescent="0.2">
      <c r="A20" t="s">
        <v>1118</v>
      </c>
      <c r="C20" t="s">
        <v>1119</v>
      </c>
      <c r="D20" s="29">
        <f>INDEX(Assumptions!$B:$B, MATCH("Mars fuel depot multiplier per outbound Starship", Assumptions!$A:$A, 0))</f>
        <v>5</v>
      </c>
      <c r="E20" s="29">
        <f>INDEX(Assumptions!$B:$B, MATCH("Mars fuel depot multiplier per outbound Starship", Assumptions!$A:$A, 0))</f>
        <v>5</v>
      </c>
      <c r="F20" s="29">
        <f>INDEX(Assumptions!$B:$B, MATCH("Mars fuel depot multiplier per outbound Starship", Assumptions!$A:$A, 0))</f>
        <v>5</v>
      </c>
      <c r="G20" s="29">
        <f>INDEX(Assumptions!$B:$B, MATCH("Mars fuel depot multiplier per outbound Starship", Assumptions!$A:$A, 0))</f>
        <v>5</v>
      </c>
      <c r="H20" s="29">
        <f>INDEX(Assumptions!$B:$B, MATCH("Mars fuel depot multiplier per outbound Starship", Assumptions!$A:$A, 0))</f>
        <v>5</v>
      </c>
      <c r="I20" s="29">
        <f>INDEX(Assumptions!$B:$B, MATCH("Mars fuel depot multiplier per outbound Starship", Assumptions!$A:$A, 0))</f>
        <v>5</v>
      </c>
      <c r="J20" s="29">
        <f>INDEX(Assumptions!$B:$B, MATCH("Mars fuel depot multiplier per outbound Starship", Assumptions!$A:$A, 0))</f>
        <v>5</v>
      </c>
      <c r="K20" s="29">
        <f>INDEX(Assumptions!$B:$B, MATCH("Mars fuel depot multiplier per outbound Starship", Assumptions!$A:$A, 0))</f>
        <v>5</v>
      </c>
      <c r="L20" s="29">
        <f>INDEX(Assumptions!$B:$B, MATCH("Mars fuel depot multiplier per outbound Starship", Assumptions!$A:$A, 0))</f>
        <v>5</v>
      </c>
      <c r="M20" s="29">
        <f>INDEX(Assumptions!$B:$B, MATCH("Mars fuel depot multiplier per outbound Starship", Assumptions!$A:$A, 0))</f>
        <v>5</v>
      </c>
      <c r="N20" s="29">
        <f>INDEX(Assumptions!$B:$B, MATCH("Mars fuel depot multiplier per outbound Starship", Assumptions!$A:$A, 0))</f>
        <v>5</v>
      </c>
      <c r="O20" s="29">
        <f>INDEX(Assumptions!$B:$B, MATCH("Mars fuel depot multiplier per outbound Starship", Assumptions!$A:$A, 0))</f>
        <v>5</v>
      </c>
      <c r="P20" s="29">
        <f>INDEX(Assumptions!$B:$B, MATCH("Mars fuel depot multiplier per outbound Starship", Assumptions!$A:$A, 0))</f>
        <v>5</v>
      </c>
      <c r="Q20" s="29">
        <f>INDEX(Assumptions!$B:$B, MATCH("Mars fuel depot multiplier per outbound Starship", Assumptions!$A:$A, 0))</f>
        <v>5</v>
      </c>
      <c r="R20" s="29">
        <f>INDEX(Assumptions!$B:$B, MATCH("Mars fuel depot multiplier per outbound Starship", Assumptions!$A:$A, 0))</f>
        <v>5</v>
      </c>
      <c r="S20" s="29">
        <f>INDEX(Assumptions!$B:$B, MATCH("Mars fuel depot multiplier per outbound Starship", Assumptions!$A:$A, 0))</f>
        <v>5</v>
      </c>
      <c r="T20" s="29">
        <f>INDEX(Assumptions!$B:$B, MATCH("Mars fuel depot multiplier per outbound Starship", Assumptions!$A:$A, 0))</f>
        <v>5</v>
      </c>
      <c r="U20" s="29">
        <f>INDEX(Assumptions!$B:$B, MATCH("Mars fuel depot multiplier per outbound Starship", Assumptions!$A:$A, 0))</f>
        <v>5</v>
      </c>
      <c r="V20" s="29">
        <f>INDEX(Assumptions!$B:$B, MATCH("Mars fuel depot multiplier per outbound Starship", Assumptions!$A:$A, 0))</f>
        <v>5</v>
      </c>
      <c r="W20" s="29">
        <f>INDEX(Assumptions!$B:$B, MATCH("Mars fuel depot multiplier per outbound Starship", Assumptions!$A:$A, 0))</f>
        <v>5</v>
      </c>
      <c r="X20" s="29">
        <f>INDEX(Assumptions!$B:$B, MATCH("Mars fuel depot multiplier per outbound Starship", Assumptions!$A:$A, 0))</f>
        <v>5</v>
      </c>
      <c r="Y20" s="29">
        <f>INDEX(Assumptions!$B:$B, MATCH("Mars fuel depot multiplier per outbound Starship", Assumptions!$A:$A, 0))</f>
        <v>5</v>
      </c>
      <c r="Z20" s="29">
        <f>INDEX(Assumptions!$B:$B, MATCH("Mars fuel depot multiplier per outbound Starship", Assumptions!$A:$A, 0))</f>
        <v>5</v>
      </c>
      <c r="AA20" s="29">
        <f>INDEX(Assumptions!$B:$B, MATCH("Mars fuel depot multiplier per outbound Starship", Assumptions!$A:$A, 0))</f>
        <v>5</v>
      </c>
      <c r="AB20" s="29">
        <f>INDEX(Assumptions!$B:$B, MATCH("Mars fuel depot multiplier per outbound Starship", Assumptions!$A:$A, 0))</f>
        <v>5</v>
      </c>
      <c r="AC20" s="29">
        <f>INDEX(Assumptions!$B:$B, MATCH("Mars fuel depot multiplier per outbound Starship", Assumptions!$A:$A, 0))</f>
        <v>5</v>
      </c>
    </row>
    <row r="21" spans="1:29" x14ac:dyDescent="0.2">
      <c r="A21" t="s">
        <v>1120</v>
      </c>
      <c r="C21" t="s">
        <v>1121</v>
      </c>
      <c r="D21" s="15">
        <f>INDEX(Assumptions!$B:$B, MATCH("Lunar payload per surface-landed Starship (kg)", Assumptions!$A:$A, 0))</f>
        <v>50000</v>
      </c>
      <c r="E21" s="15">
        <f>INDEX(Assumptions!$B:$B, MATCH("Lunar payload per surface-landed Starship (kg)", Assumptions!$A:$A, 0))</f>
        <v>50000</v>
      </c>
      <c r="F21" s="15">
        <f>INDEX(Assumptions!$B:$B, MATCH("Lunar payload per surface-landed Starship (kg)", Assumptions!$A:$A, 0))</f>
        <v>50000</v>
      </c>
      <c r="G21" s="15">
        <f>INDEX(Assumptions!$B:$B, MATCH("Lunar payload per surface-landed Starship (kg)", Assumptions!$A:$A, 0))</f>
        <v>50000</v>
      </c>
      <c r="H21" s="15">
        <f>INDEX(Assumptions!$B:$B, MATCH("Lunar payload per surface-landed Starship (kg)", Assumptions!$A:$A, 0))</f>
        <v>50000</v>
      </c>
      <c r="I21" s="15">
        <f>INDEX(Assumptions!$B:$B, MATCH("Lunar payload per surface-landed Starship (kg)", Assumptions!$A:$A, 0))</f>
        <v>50000</v>
      </c>
      <c r="J21" s="15">
        <f>INDEX(Assumptions!$B:$B, MATCH("Lunar payload per surface-landed Starship (kg)", Assumptions!$A:$A, 0))</f>
        <v>50000</v>
      </c>
      <c r="K21" s="15">
        <f>INDEX(Assumptions!$B:$B, MATCH("Lunar payload per surface-landed Starship (kg)", Assumptions!$A:$A, 0))</f>
        <v>50000</v>
      </c>
      <c r="L21" s="15">
        <f>INDEX(Assumptions!$B:$B, MATCH("Lunar payload per surface-landed Starship (kg)", Assumptions!$A:$A, 0))</f>
        <v>50000</v>
      </c>
      <c r="M21" s="15">
        <f>INDEX(Assumptions!$B:$B, MATCH("Lunar payload per surface-landed Starship (kg)", Assumptions!$A:$A, 0))</f>
        <v>50000</v>
      </c>
      <c r="N21" s="15">
        <f>INDEX(Assumptions!$B:$B, MATCH("Lunar payload per surface-landed Starship (kg)", Assumptions!$A:$A, 0))</f>
        <v>50000</v>
      </c>
      <c r="O21" s="15">
        <f>INDEX(Assumptions!$B:$B, MATCH("Lunar payload per surface-landed Starship (kg)", Assumptions!$A:$A, 0))</f>
        <v>50000</v>
      </c>
      <c r="P21" s="15">
        <f>INDEX(Assumptions!$B:$B, MATCH("Lunar payload per surface-landed Starship (kg)", Assumptions!$A:$A, 0))</f>
        <v>50000</v>
      </c>
      <c r="Q21" s="15">
        <f>INDEX(Assumptions!$B:$B, MATCH("Lunar payload per surface-landed Starship (kg)", Assumptions!$A:$A, 0))</f>
        <v>50000</v>
      </c>
      <c r="R21" s="15">
        <f>INDEX(Assumptions!$B:$B, MATCH("Lunar payload per surface-landed Starship (kg)", Assumptions!$A:$A, 0))</f>
        <v>50000</v>
      </c>
      <c r="S21" s="15">
        <f>INDEX(Assumptions!$B:$B, MATCH("Lunar payload per surface-landed Starship (kg)", Assumptions!$A:$A, 0))</f>
        <v>50000</v>
      </c>
      <c r="T21" s="15">
        <f>INDEX(Assumptions!$B:$B, MATCH("Lunar payload per surface-landed Starship (kg)", Assumptions!$A:$A, 0))</f>
        <v>50000</v>
      </c>
      <c r="U21" s="15">
        <f>INDEX(Assumptions!$B:$B, MATCH("Lunar payload per surface-landed Starship (kg)", Assumptions!$A:$A, 0))</f>
        <v>50000</v>
      </c>
      <c r="V21" s="15">
        <f>INDEX(Assumptions!$B:$B, MATCH("Lunar payload per surface-landed Starship (kg)", Assumptions!$A:$A, 0))</f>
        <v>50000</v>
      </c>
      <c r="W21" s="15">
        <f>INDEX(Assumptions!$B:$B, MATCH("Lunar payload per surface-landed Starship (kg)", Assumptions!$A:$A, 0))</f>
        <v>50000</v>
      </c>
      <c r="X21" s="15">
        <f>INDEX(Assumptions!$B:$B, MATCH("Lunar payload per surface-landed Starship (kg)", Assumptions!$A:$A, 0))</f>
        <v>50000</v>
      </c>
      <c r="Y21" s="15">
        <f>INDEX(Assumptions!$B:$B, MATCH("Lunar payload per surface-landed Starship (kg)", Assumptions!$A:$A, 0))</f>
        <v>50000</v>
      </c>
      <c r="Z21" s="15">
        <f>INDEX(Assumptions!$B:$B, MATCH("Lunar payload per surface-landed Starship (kg)", Assumptions!$A:$A, 0))</f>
        <v>50000</v>
      </c>
      <c r="AA21" s="15">
        <f>INDEX(Assumptions!$B:$B, MATCH("Lunar payload per surface-landed Starship (kg)", Assumptions!$A:$A, 0))</f>
        <v>50000</v>
      </c>
      <c r="AB21" s="15">
        <f>INDEX(Assumptions!$B:$B, MATCH("Lunar payload per surface-landed Starship (kg)", Assumptions!$A:$A, 0))</f>
        <v>50000</v>
      </c>
      <c r="AC21" s="15">
        <f>INDEX(Assumptions!$B:$B, MATCH("Lunar payload per surface-landed Starship (kg)", Assumptions!$A:$A, 0))</f>
        <v>50000</v>
      </c>
    </row>
    <row r="22" spans="1:29" x14ac:dyDescent="0.2">
      <c r="A22" t="s">
        <v>1122</v>
      </c>
      <c r="C22" t="s">
        <v>1123</v>
      </c>
      <c r="D22" s="15">
        <f>INDEX(Assumptions!$B:$B, MATCH("Mars payload per surface-landed Starship (kg)", Assumptions!$A:$A, 0))</f>
        <v>100000</v>
      </c>
      <c r="E22" s="15">
        <f>INDEX(Assumptions!$B:$B, MATCH("Mars payload per surface-landed Starship (kg)", Assumptions!$A:$A, 0))</f>
        <v>100000</v>
      </c>
      <c r="F22" s="15">
        <f>INDEX(Assumptions!$B:$B, MATCH("Mars payload per surface-landed Starship (kg)", Assumptions!$A:$A, 0))</f>
        <v>100000</v>
      </c>
      <c r="G22" s="15">
        <f>INDEX(Assumptions!$B:$B, MATCH("Mars payload per surface-landed Starship (kg)", Assumptions!$A:$A, 0))</f>
        <v>100000</v>
      </c>
      <c r="H22" s="15">
        <f>INDEX(Assumptions!$B:$B, MATCH("Mars payload per surface-landed Starship (kg)", Assumptions!$A:$A, 0))</f>
        <v>100000</v>
      </c>
      <c r="I22" s="15">
        <f>INDEX(Assumptions!$B:$B, MATCH("Mars payload per surface-landed Starship (kg)", Assumptions!$A:$A, 0))</f>
        <v>100000</v>
      </c>
      <c r="J22" s="15">
        <f>INDEX(Assumptions!$B:$B, MATCH("Mars payload per surface-landed Starship (kg)", Assumptions!$A:$A, 0))</f>
        <v>100000</v>
      </c>
      <c r="K22" s="15">
        <f>INDEX(Assumptions!$B:$B, MATCH("Mars payload per surface-landed Starship (kg)", Assumptions!$A:$A, 0))</f>
        <v>100000</v>
      </c>
      <c r="L22" s="15">
        <f>INDEX(Assumptions!$B:$B, MATCH("Mars payload per surface-landed Starship (kg)", Assumptions!$A:$A, 0))</f>
        <v>100000</v>
      </c>
      <c r="M22" s="15">
        <f>INDEX(Assumptions!$B:$B, MATCH("Mars payload per surface-landed Starship (kg)", Assumptions!$A:$A, 0))</f>
        <v>100000</v>
      </c>
      <c r="N22" s="15">
        <f>INDEX(Assumptions!$B:$B, MATCH("Mars payload per surface-landed Starship (kg)", Assumptions!$A:$A, 0))</f>
        <v>100000</v>
      </c>
      <c r="O22" s="15">
        <f>INDEX(Assumptions!$B:$B, MATCH("Mars payload per surface-landed Starship (kg)", Assumptions!$A:$A, 0))</f>
        <v>100000</v>
      </c>
      <c r="P22" s="15">
        <f>INDEX(Assumptions!$B:$B, MATCH("Mars payload per surface-landed Starship (kg)", Assumptions!$A:$A, 0))</f>
        <v>100000</v>
      </c>
      <c r="Q22" s="15">
        <f>INDEX(Assumptions!$B:$B, MATCH("Mars payload per surface-landed Starship (kg)", Assumptions!$A:$A, 0))</f>
        <v>100000</v>
      </c>
      <c r="R22" s="15">
        <f>INDEX(Assumptions!$B:$B, MATCH("Mars payload per surface-landed Starship (kg)", Assumptions!$A:$A, 0))</f>
        <v>100000</v>
      </c>
      <c r="S22" s="15">
        <f>INDEX(Assumptions!$B:$B, MATCH("Mars payload per surface-landed Starship (kg)", Assumptions!$A:$A, 0))</f>
        <v>100000</v>
      </c>
      <c r="T22" s="15">
        <f>INDEX(Assumptions!$B:$B, MATCH("Mars payload per surface-landed Starship (kg)", Assumptions!$A:$A, 0))</f>
        <v>100000</v>
      </c>
      <c r="U22" s="15">
        <f>INDEX(Assumptions!$B:$B, MATCH("Mars payload per surface-landed Starship (kg)", Assumptions!$A:$A, 0))</f>
        <v>100000</v>
      </c>
      <c r="V22" s="15">
        <f>INDEX(Assumptions!$B:$B, MATCH("Mars payload per surface-landed Starship (kg)", Assumptions!$A:$A, 0))</f>
        <v>100000</v>
      </c>
      <c r="W22" s="15">
        <f>INDEX(Assumptions!$B:$B, MATCH("Mars payload per surface-landed Starship (kg)", Assumptions!$A:$A, 0))</f>
        <v>100000</v>
      </c>
      <c r="X22" s="15">
        <f>INDEX(Assumptions!$B:$B, MATCH("Mars payload per surface-landed Starship (kg)", Assumptions!$A:$A, 0))</f>
        <v>100000</v>
      </c>
      <c r="Y22" s="15">
        <f>INDEX(Assumptions!$B:$B, MATCH("Mars payload per surface-landed Starship (kg)", Assumptions!$A:$A, 0))</f>
        <v>100000</v>
      </c>
      <c r="Z22" s="15">
        <f>INDEX(Assumptions!$B:$B, MATCH("Mars payload per surface-landed Starship (kg)", Assumptions!$A:$A, 0))</f>
        <v>100000</v>
      </c>
      <c r="AA22" s="15">
        <f>INDEX(Assumptions!$B:$B, MATCH("Mars payload per surface-landed Starship (kg)", Assumptions!$A:$A, 0))</f>
        <v>100000</v>
      </c>
      <c r="AB22" s="15">
        <f>INDEX(Assumptions!$B:$B, MATCH("Mars payload per surface-landed Starship (kg)", Assumptions!$A:$A, 0))</f>
        <v>100000</v>
      </c>
      <c r="AC22" s="15">
        <f>INDEX(Assumptions!$B:$B, MATCH("Mars payload per surface-landed Starship (kg)", Assumptions!$A:$A, 0))</f>
        <v>100000</v>
      </c>
    </row>
    <row r="23" spans="1:29" x14ac:dyDescent="0.2">
      <c r="A23" t="s">
        <v>1124</v>
      </c>
      <c r="C23" t="s">
        <v>1125</v>
      </c>
      <c r="D23" s="15" cm="1">
        <f t="array" ref="D23">INDEX(Assumptions!$D:$AC, MATCH("Hardware replacement cost factor ($/kg landed) — declining", Assumptions!$A:$A, 0), D$5+1)</f>
        <v>1000</v>
      </c>
      <c r="E23" s="15" cm="1">
        <f t="array" ref="E23">INDEX(Assumptions!$D:$AC, MATCH("Hardware replacement cost factor ($/kg landed) — declining", Assumptions!$A:$A, 0), E$5+1)</f>
        <v>1000</v>
      </c>
      <c r="F23" s="15" cm="1">
        <f t="array" ref="F23">INDEX(Assumptions!$D:$AC, MATCH("Hardware replacement cost factor ($/kg landed) — declining", Assumptions!$A:$A, 0), F$5+1)</f>
        <v>950</v>
      </c>
      <c r="G23" s="15" cm="1">
        <f t="array" ref="G23">INDEX(Assumptions!$D:$AC, MATCH("Hardware replacement cost factor ($/kg landed) — declining", Assumptions!$A:$A, 0), G$5+1)</f>
        <v>900</v>
      </c>
      <c r="H23" s="15" cm="1">
        <f t="array" ref="H23">INDEX(Assumptions!$D:$AC, MATCH("Hardware replacement cost factor ($/kg landed) — declining", Assumptions!$A:$A, 0), H$5+1)</f>
        <v>850</v>
      </c>
      <c r="I23" s="15" cm="1">
        <f t="array" ref="I23">INDEX(Assumptions!$D:$AC, MATCH("Hardware replacement cost factor ($/kg landed) — declining", Assumptions!$A:$A, 0), I$5+1)</f>
        <v>800</v>
      </c>
      <c r="J23" s="15" cm="1">
        <f t="array" ref="J23">INDEX(Assumptions!$D:$AC, MATCH("Hardware replacement cost factor ($/kg landed) — declining", Assumptions!$A:$A, 0), J$5+1)</f>
        <v>740</v>
      </c>
      <c r="K23" s="15" cm="1">
        <f t="array" ref="K23">INDEX(Assumptions!$D:$AC, MATCH("Hardware replacement cost factor ($/kg landed) — declining", Assumptions!$A:$A, 0), K$5+1)</f>
        <v>680</v>
      </c>
      <c r="L23" s="15" cm="1">
        <f t="array" ref="L23">INDEX(Assumptions!$D:$AC, MATCH("Hardware replacement cost factor ($/kg landed) — declining", Assumptions!$A:$A, 0), L$5+1)</f>
        <v>620</v>
      </c>
      <c r="M23" s="15" cm="1">
        <f t="array" ref="M23">INDEX(Assumptions!$D:$AC, MATCH("Hardware replacement cost factor ($/kg landed) — declining", Assumptions!$A:$A, 0), M$5+1)</f>
        <v>560</v>
      </c>
      <c r="N23" s="15" cm="1">
        <f t="array" ref="N23">INDEX(Assumptions!$D:$AC, MATCH("Hardware replacement cost factor ($/kg landed) — declining", Assumptions!$A:$A, 0), N$5+1)</f>
        <v>500</v>
      </c>
      <c r="O23" s="15" cm="1">
        <f t="array" ref="O23">INDEX(Assumptions!$D:$AC, MATCH("Hardware replacement cost factor ($/kg landed) — declining", Assumptions!$A:$A, 0), O$5+1)</f>
        <v>486.66699999999997</v>
      </c>
      <c r="P23" s="15" cm="1">
        <f t="array" ref="P23">INDEX(Assumptions!$D:$AC, MATCH("Hardware replacement cost factor ($/kg landed) — declining", Assumptions!$A:$A, 0), P$5+1)</f>
        <v>473.33300000000003</v>
      </c>
      <c r="Q23" s="15" cm="1">
        <f t="array" ref="Q23">INDEX(Assumptions!$D:$AC, MATCH("Hardware replacement cost factor ($/kg landed) — declining", Assumptions!$A:$A, 0), Q$5+1)</f>
        <v>460</v>
      </c>
      <c r="R23" s="15" cm="1">
        <f t="array" ref="R23">INDEX(Assumptions!$D:$AC, MATCH("Hardware replacement cost factor ($/kg landed) — declining", Assumptions!$A:$A, 0), R$5+1)</f>
        <v>446.66699999999997</v>
      </c>
      <c r="S23" s="15" cm="1">
        <f t="array" ref="S23">INDEX(Assumptions!$D:$AC, MATCH("Hardware replacement cost factor ($/kg landed) — declining", Assumptions!$A:$A, 0), S$5+1)</f>
        <v>433.33300000000003</v>
      </c>
      <c r="T23" s="15" cm="1">
        <f t="array" ref="T23">INDEX(Assumptions!$D:$AC, MATCH("Hardware replacement cost factor ($/kg landed) — declining", Assumptions!$A:$A, 0), T$5+1)</f>
        <v>420</v>
      </c>
      <c r="U23" s="15" cm="1">
        <f t="array" ref="U23">INDEX(Assumptions!$D:$AC, MATCH("Hardware replacement cost factor ($/kg landed) — declining", Assumptions!$A:$A, 0), U$5+1)</f>
        <v>406.66699999999997</v>
      </c>
      <c r="V23" s="15" cm="1">
        <f t="array" ref="V23">INDEX(Assumptions!$D:$AC, MATCH("Hardware replacement cost factor ($/kg landed) — declining", Assumptions!$A:$A, 0), V$5+1)</f>
        <v>393.33300000000003</v>
      </c>
      <c r="W23" s="15" cm="1">
        <f t="array" ref="W23">INDEX(Assumptions!$D:$AC, MATCH("Hardware replacement cost factor ($/kg landed) — declining", Assumptions!$A:$A, 0), W$5+1)</f>
        <v>380</v>
      </c>
      <c r="X23" s="15" cm="1">
        <f t="array" ref="X23">INDEX(Assumptions!$D:$AC, MATCH("Hardware replacement cost factor ($/kg landed) — declining", Assumptions!$A:$A, 0), X$5+1)</f>
        <v>366.66699999999997</v>
      </c>
      <c r="Y23" s="15" cm="1">
        <f t="array" ref="Y23">INDEX(Assumptions!$D:$AC, MATCH("Hardware replacement cost factor ($/kg landed) — declining", Assumptions!$A:$A, 0), Y$5+1)</f>
        <v>353.33300000000003</v>
      </c>
      <c r="Z23" s="15" cm="1">
        <f t="array" ref="Z23">INDEX(Assumptions!$D:$AC, MATCH("Hardware replacement cost factor ($/kg landed) — declining", Assumptions!$A:$A, 0), Z$5+1)</f>
        <v>340</v>
      </c>
      <c r="AA23" s="15" cm="1">
        <f t="array" ref="AA23">INDEX(Assumptions!$D:$AC, MATCH("Hardware replacement cost factor ($/kg landed) — declining", Assumptions!$A:$A, 0), AA$5+1)</f>
        <v>326.66699999999997</v>
      </c>
      <c r="AB23" s="15" cm="1">
        <f t="array" ref="AB23">INDEX(Assumptions!$D:$AC, MATCH("Hardware replacement cost factor ($/kg landed) — declining", Assumptions!$A:$A, 0), AB$5+1)</f>
        <v>313.33300000000003</v>
      </c>
      <c r="AC23" s="15" cm="1">
        <f t="array" ref="AC23">INDEX(Assumptions!$D:$AC, MATCH("Hardware replacement cost factor ($/kg landed) — declining", Assumptions!$A:$A, 0), AC$5+1)</f>
        <v>300</v>
      </c>
    </row>
    <row r="24" spans="1:29" x14ac:dyDescent="0.2">
      <c r="A24" t="s">
        <v>1126</v>
      </c>
      <c r="C24" t="s">
        <v>1127</v>
      </c>
      <c r="D24" s="40" cm="1">
        <f t="array" ref="D24">D21*(1-INDEX(Assumptions!$D:$AC, MATCH("Lunar labour share of surface payload — year-row", Assumptions!$A:$A, 0), D$5+1))*D23/1000000</f>
        <v>35</v>
      </c>
      <c r="E24" s="40" cm="1">
        <f t="array" ref="E24">E21*(1-INDEX(Assumptions!$D:$AC, MATCH("Lunar labour share of surface payload — year-row", Assumptions!$A:$A, 0), E$5+1))*E23/1000000</f>
        <v>34.200000000000003</v>
      </c>
      <c r="F24" s="40" cm="1">
        <f t="array" ref="F24">F21*(1-INDEX(Assumptions!$D:$AC, MATCH("Lunar labour share of surface payload — year-row", Assumptions!$A:$A, 0), F$5+1))*F23/1000000</f>
        <v>31.729999999999993</v>
      </c>
      <c r="G24" s="40" cm="1">
        <f t="array" ref="G24">G21*(1-INDEX(Assumptions!$D:$AC, MATCH("Lunar labour share of surface payload — year-row", Assumptions!$A:$A, 0), G$5+1))*G23/1000000</f>
        <v>29.34</v>
      </c>
      <c r="H24" s="40" cm="1">
        <f t="array" ref="H24">H21*(1-INDEX(Assumptions!$D:$AC, MATCH("Lunar labour share of surface payload — year-row", Assumptions!$A:$A, 0), H$5+1))*H23/1000000</f>
        <v>27.03</v>
      </c>
      <c r="I24" s="40" cm="1">
        <f t="array" ref="I24">I21*(1-INDEX(Assumptions!$D:$AC, MATCH("Lunar labour share of surface payload — year-row", Assumptions!$A:$A, 0), I$5+1))*I23/1000000</f>
        <v>24.8</v>
      </c>
      <c r="J24" s="40" cm="1">
        <f t="array" ref="J24">J21*(1-INDEX(Assumptions!$D:$AC, MATCH("Lunar labour share of surface payload — year-row", Assumptions!$A:$A, 0), J$5+1))*J23/1000000</f>
        <v>22.347999999999999</v>
      </c>
      <c r="K24" s="40" cm="1">
        <f t="array" ref="K24">K21*(1-INDEX(Assumptions!$D:$AC, MATCH("Lunar labour share of surface payload — year-row", Assumptions!$A:$A, 0), K$5+1))*K23/1000000</f>
        <v>19.992000000000004</v>
      </c>
      <c r="L24" s="40" cm="1">
        <f t="array" ref="L24">L21*(1-INDEX(Assumptions!$D:$AC, MATCH("Lunar labour share of surface payload — year-row", Assumptions!$A:$A, 0), L$5+1))*L23/1000000</f>
        <v>17.732000000000003</v>
      </c>
      <c r="M24" s="40" cm="1">
        <f t="array" ref="M24">M21*(1-INDEX(Assumptions!$D:$AC, MATCH("Lunar labour share of surface payload — year-row", Assumptions!$A:$A, 0), M$5+1))*M23/1000000</f>
        <v>15.568000000000001</v>
      </c>
      <c r="N24" s="40" cm="1">
        <f t="array" ref="N24">N21*(1-INDEX(Assumptions!$D:$AC, MATCH("Lunar labour share of surface payload — year-row", Assumptions!$A:$A, 0), N$5+1))*N23/1000000</f>
        <v>13.5</v>
      </c>
      <c r="O24" s="40" cm="1">
        <f t="array" ref="O24">O21*(1-INDEX(Assumptions!$D:$AC, MATCH("Lunar labour share of surface payload — year-row", Assumptions!$A:$A, 0), O$5+1))*O23/1000000</f>
        <v>12.750675399999999</v>
      </c>
      <c r="P24" s="40" cm="1">
        <f t="array" ref="P24">P21*(1-INDEX(Assumptions!$D:$AC, MATCH("Lunar labour share of surface payload — year-row", Assumptions!$A:$A, 0), P$5+1))*P23/1000000</f>
        <v>12.0226582</v>
      </c>
      <c r="Q24" s="40" cm="1">
        <f t="array" ref="Q24">Q21*(1-INDEX(Assumptions!$D:$AC, MATCH("Lunar labour share of surface payload — year-row", Assumptions!$A:$A, 0), Q$5+1))*Q23/1000000</f>
        <v>11.316000000000001</v>
      </c>
      <c r="R24" s="40" cm="1">
        <f t="array" ref="R24">R21*(1-INDEX(Assumptions!$D:$AC, MATCH("Lunar labour share of surface payload — year-row", Assumptions!$A:$A, 0), R$5+1))*R23/1000000</f>
        <v>10.630674599999999</v>
      </c>
      <c r="S24" s="40" cm="1">
        <f t="array" ref="S24">S21*(1-INDEX(Assumptions!$D:$AC, MATCH("Lunar labour share of surface payload — year-row", Assumptions!$A:$A, 0), S$5+1))*S23/1000000</f>
        <v>9.9666589999999999</v>
      </c>
      <c r="T24" s="40" cm="1">
        <f t="array" ref="T24">T21*(1-INDEX(Assumptions!$D:$AC, MATCH("Lunar labour share of surface payload — year-row", Assumptions!$A:$A, 0), T$5+1))*T23/1000000</f>
        <v>9.3239999999999981</v>
      </c>
      <c r="U24" s="40" cm="1">
        <f t="array" ref="U24">U21*(1-INDEX(Assumptions!$D:$AC, MATCH("Lunar labour share of surface payload — year-row", Assumptions!$A:$A, 0), U$5+1))*U23/1000000</f>
        <v>8.7026738000000012</v>
      </c>
      <c r="V24" s="40" cm="1">
        <f t="array" ref="V24">V21*(1-INDEX(Assumptions!$D:$AC, MATCH("Lunar labour share of surface payload — year-row", Assumptions!$A:$A, 0), V$5+1))*V23/1000000</f>
        <v>8.1026598000000014</v>
      </c>
      <c r="W24" s="40" cm="1">
        <f t="array" ref="W24">W21*(1-INDEX(Assumptions!$D:$AC, MATCH("Lunar labour share of surface payload — year-row", Assumptions!$A:$A, 0), W$5+1))*W23/1000000</f>
        <v>7.524</v>
      </c>
      <c r="X24" s="40" cm="1">
        <f t="array" ref="X24">X21*(1-INDEX(Assumptions!$D:$AC, MATCH("Lunar labour share of surface payload — year-row", Assumptions!$A:$A, 0), X$5+1))*X23/1000000</f>
        <v>6.9666729999999992</v>
      </c>
      <c r="Y24" s="40" cm="1">
        <f t="array" ref="Y24">Y21*(1-INDEX(Assumptions!$D:$AC, MATCH("Lunar labour share of surface payload — year-row", Assumptions!$A:$A, 0), Y$5+1))*Y23/1000000</f>
        <v>6.4306606000000004</v>
      </c>
      <c r="Z24" s="40" cm="1">
        <f t="array" ref="Z24">Z21*(1-INDEX(Assumptions!$D:$AC, MATCH("Lunar labour share of surface payload — year-row", Assumptions!$A:$A, 0), Z$5+1))*Z23/1000000</f>
        <v>5.9160000000000004</v>
      </c>
      <c r="AA24" s="40" cm="1">
        <f t="array" ref="AA24">AA21*(1-INDEX(Assumptions!$D:$AC, MATCH("Lunar labour share of surface payload — year-row", Assumptions!$A:$A, 0), AA$5+1))*AA23/1000000</f>
        <v>5.4226721999999983</v>
      </c>
      <c r="AB24" s="40" cm="1">
        <f t="array" ref="AB24">AB21*(1-INDEX(Assumptions!$D:$AC, MATCH("Lunar labour share of surface payload — year-row", Assumptions!$A:$A, 0), AB$5+1))*AB23/1000000</f>
        <v>4.9506613999999995</v>
      </c>
      <c r="AC24" s="40" cm="1">
        <f t="array" ref="AC24">AC21*(1-INDEX(Assumptions!$D:$AC, MATCH("Lunar labour share of surface payload — year-row", Assumptions!$A:$A, 0), AC$5+1))*AC23/1000000</f>
        <v>4.5000000000000009</v>
      </c>
    </row>
    <row r="25" spans="1:29" x14ac:dyDescent="0.2">
      <c r="A25" t="s">
        <v>1128</v>
      </c>
      <c r="C25" t="s">
        <v>1129</v>
      </c>
      <c r="D25" s="40" cm="1">
        <f t="array" ref="D25">D22*(1-INDEX(Assumptions!$D:$AC, MATCH("Mars labour share of surface payload — year-row", Assumptions!$A:$A, 0), D$5+1))*D23/1000000</f>
        <v>70</v>
      </c>
      <c r="E25" s="40" cm="1">
        <f t="array" ref="E25">E22*(1-INDEX(Assumptions!$D:$AC, MATCH("Mars labour share of surface payload — year-row", Assumptions!$A:$A, 0), E$5+1))*E23/1000000</f>
        <v>68.400000000000006</v>
      </c>
      <c r="F25" s="40" cm="1">
        <f t="array" ref="F25">F22*(1-INDEX(Assumptions!$D:$AC, MATCH("Mars labour share of surface payload — year-row", Assumptions!$A:$A, 0), F$5+1))*F23/1000000</f>
        <v>63.459999999999987</v>
      </c>
      <c r="G25" s="40" cm="1">
        <f t="array" ref="G25">G22*(1-INDEX(Assumptions!$D:$AC, MATCH("Mars labour share of surface payload — year-row", Assumptions!$A:$A, 0), G$5+1))*G23/1000000</f>
        <v>58.68</v>
      </c>
      <c r="H25" s="40" cm="1">
        <f t="array" ref="H25">H22*(1-INDEX(Assumptions!$D:$AC, MATCH("Mars labour share of surface payload — year-row", Assumptions!$A:$A, 0), H$5+1))*H23/1000000</f>
        <v>54.06</v>
      </c>
      <c r="I25" s="40" cm="1">
        <f t="array" ref="I25">I22*(1-INDEX(Assumptions!$D:$AC, MATCH("Mars labour share of surface payload — year-row", Assumptions!$A:$A, 0), I$5+1))*I23/1000000</f>
        <v>49.6</v>
      </c>
      <c r="J25" s="40" cm="1">
        <f t="array" ref="J25">J22*(1-INDEX(Assumptions!$D:$AC, MATCH("Mars labour share of surface payload — year-row", Assumptions!$A:$A, 0), J$5+1))*J23/1000000</f>
        <v>44.695999999999998</v>
      </c>
      <c r="K25" s="40" cm="1">
        <f t="array" ref="K25">K22*(1-INDEX(Assumptions!$D:$AC, MATCH("Mars labour share of surface payload — year-row", Assumptions!$A:$A, 0), K$5+1))*K23/1000000</f>
        <v>39.984000000000009</v>
      </c>
      <c r="L25" s="40" cm="1">
        <f t="array" ref="L25">L22*(1-INDEX(Assumptions!$D:$AC, MATCH("Mars labour share of surface payload — year-row", Assumptions!$A:$A, 0), L$5+1))*L23/1000000</f>
        <v>35.464000000000006</v>
      </c>
      <c r="M25" s="40" cm="1">
        <f t="array" ref="M25">M22*(1-INDEX(Assumptions!$D:$AC, MATCH("Mars labour share of surface payload — year-row", Assumptions!$A:$A, 0), M$5+1))*M23/1000000</f>
        <v>31.136000000000003</v>
      </c>
      <c r="N25" s="40" cm="1">
        <f t="array" ref="N25">N22*(1-INDEX(Assumptions!$D:$AC, MATCH("Mars labour share of surface payload — year-row", Assumptions!$A:$A, 0), N$5+1))*N23/1000000</f>
        <v>27</v>
      </c>
      <c r="O25" s="40" cm="1">
        <f t="array" ref="O25">O22*(1-INDEX(Assumptions!$D:$AC, MATCH("Mars labour share of surface payload — year-row", Assumptions!$A:$A, 0), O$5+1))*O23/1000000</f>
        <v>25.501350799999997</v>
      </c>
      <c r="P25" s="40" cm="1">
        <f t="array" ref="P25">P22*(1-INDEX(Assumptions!$D:$AC, MATCH("Mars labour share of surface payload — year-row", Assumptions!$A:$A, 0), P$5+1))*P23/1000000</f>
        <v>24.045316400000001</v>
      </c>
      <c r="Q25" s="40" cm="1">
        <f t="array" ref="Q25">Q22*(1-INDEX(Assumptions!$D:$AC, MATCH("Mars labour share of surface payload — year-row", Assumptions!$A:$A, 0), Q$5+1))*Q23/1000000</f>
        <v>22.632000000000001</v>
      </c>
      <c r="R25" s="40" cm="1">
        <f t="array" ref="R25">R22*(1-INDEX(Assumptions!$D:$AC, MATCH("Mars labour share of surface payload — year-row", Assumptions!$A:$A, 0), R$5+1))*R23/1000000</f>
        <v>21.261349199999998</v>
      </c>
      <c r="S25" s="40" cm="1">
        <f t="array" ref="S25">S22*(1-INDEX(Assumptions!$D:$AC, MATCH("Mars labour share of surface payload — year-row", Assumptions!$A:$A, 0), S$5+1))*S23/1000000</f>
        <v>19.933318</v>
      </c>
      <c r="T25" s="40" cm="1">
        <f t="array" ref="T25">T22*(1-INDEX(Assumptions!$D:$AC, MATCH("Mars labour share of surface payload — year-row", Assumptions!$A:$A, 0), T$5+1))*T23/1000000</f>
        <v>18.647999999999996</v>
      </c>
      <c r="U25" s="40" cm="1">
        <f t="array" ref="U25">U22*(1-INDEX(Assumptions!$D:$AC, MATCH("Mars labour share of surface payload — year-row", Assumptions!$A:$A, 0), U$5+1))*U23/1000000</f>
        <v>17.405347600000002</v>
      </c>
      <c r="V25" s="40" cm="1">
        <f t="array" ref="V25">V22*(1-INDEX(Assumptions!$D:$AC, MATCH("Mars labour share of surface payload — year-row", Assumptions!$A:$A, 0), V$5+1))*V23/1000000</f>
        <v>16.205319600000003</v>
      </c>
      <c r="W25" s="40" cm="1">
        <f t="array" ref="W25">W22*(1-INDEX(Assumptions!$D:$AC, MATCH("Mars labour share of surface payload — year-row", Assumptions!$A:$A, 0), W$5+1))*W23/1000000</f>
        <v>15.048</v>
      </c>
      <c r="X25" s="40" cm="1">
        <f t="array" ref="X25">X22*(1-INDEX(Assumptions!$D:$AC, MATCH("Mars labour share of surface payload — year-row", Assumptions!$A:$A, 0), X$5+1))*X23/1000000</f>
        <v>13.933345999999998</v>
      </c>
      <c r="Y25" s="40" cm="1">
        <f t="array" ref="Y25">Y22*(1-INDEX(Assumptions!$D:$AC, MATCH("Mars labour share of surface payload — year-row", Assumptions!$A:$A, 0), Y$5+1))*Y23/1000000</f>
        <v>12.861321200000001</v>
      </c>
      <c r="Z25" s="40" cm="1">
        <f t="array" ref="Z25">Z22*(1-INDEX(Assumptions!$D:$AC, MATCH("Mars labour share of surface payload — year-row", Assumptions!$A:$A, 0), Z$5+1))*Z23/1000000</f>
        <v>11.832000000000001</v>
      </c>
      <c r="AA25" s="40" cm="1">
        <f t="array" ref="AA25">AA22*(1-INDEX(Assumptions!$D:$AC, MATCH("Mars labour share of surface payload — year-row", Assumptions!$A:$A, 0), AA$5+1))*AA23/1000000</f>
        <v>10.845344399999997</v>
      </c>
      <c r="AB25" s="40" cm="1">
        <f t="array" ref="AB25">AB22*(1-INDEX(Assumptions!$D:$AC, MATCH("Mars labour share of surface payload — year-row", Assumptions!$A:$A, 0), AB$5+1))*AB23/1000000</f>
        <v>9.9013227999999991</v>
      </c>
      <c r="AC25" s="40" cm="1">
        <f t="array" ref="AC25">AC22*(1-INDEX(Assumptions!$D:$AC, MATCH("Mars labour share of surface payload — year-row", Assumptions!$A:$A, 0), AC$5+1))*AC23/1000000</f>
        <v>9.0000000000000018</v>
      </c>
    </row>
    <row r="26" spans="1:29" x14ac:dyDescent="0.2">
      <c r="A26" t="s">
        <v>1130</v>
      </c>
      <c r="C26" t="s">
        <v>1131</v>
      </c>
      <c r="D26" s="40">
        <f t="shared" ref="D26:AC26" ca="1" si="3">D18*(1+D19)+D24</f>
        <v>99</v>
      </c>
      <c r="E26" s="40">
        <f t="shared" ca="1" si="3"/>
        <v>98.2</v>
      </c>
      <c r="F26" s="40">
        <f t="shared" ca="1" si="3"/>
        <v>95.72999999999999</v>
      </c>
      <c r="G26" s="40">
        <f t="shared" ca="1" si="3"/>
        <v>93.34</v>
      </c>
      <c r="H26" s="40">
        <f t="shared" ca="1" si="3"/>
        <v>91.03</v>
      </c>
      <c r="I26" s="40">
        <f t="shared" ca="1" si="3"/>
        <v>88.8</v>
      </c>
      <c r="J26" s="40">
        <f t="shared" ca="1" si="3"/>
        <v>86.347999999999999</v>
      </c>
      <c r="K26" s="40">
        <f t="shared" ca="1" si="3"/>
        <v>83.992000000000004</v>
      </c>
      <c r="L26" s="40">
        <f t="shared" ca="1" si="3"/>
        <v>81.731999999999999</v>
      </c>
      <c r="M26" s="40">
        <f t="shared" ca="1" si="3"/>
        <v>79.567999999999998</v>
      </c>
      <c r="N26" s="40">
        <f t="shared" ca="1" si="3"/>
        <v>77.5</v>
      </c>
      <c r="O26" s="40">
        <f t="shared" ca="1" si="3"/>
        <v>76.750675400000006</v>
      </c>
      <c r="P26" s="40">
        <f t="shared" ca="1" si="3"/>
        <v>76.022658199999995</v>
      </c>
      <c r="Q26" s="40">
        <f t="shared" ca="1" si="3"/>
        <v>75.316000000000003</v>
      </c>
      <c r="R26" s="40">
        <f t="shared" ca="1" si="3"/>
        <v>74.630674599999992</v>
      </c>
      <c r="S26" s="40">
        <f t="shared" ca="1" si="3"/>
        <v>73.966658999999993</v>
      </c>
      <c r="T26" s="40">
        <f t="shared" ca="1" si="3"/>
        <v>73.323999999999998</v>
      </c>
      <c r="U26" s="40">
        <f t="shared" ca="1" si="3"/>
        <v>72.702673799999999</v>
      </c>
      <c r="V26" s="40">
        <f t="shared" ca="1" si="3"/>
        <v>72.102659799999998</v>
      </c>
      <c r="W26" s="40">
        <f t="shared" ca="1" si="3"/>
        <v>71.524000000000001</v>
      </c>
      <c r="X26" s="40">
        <f t="shared" ca="1" si="3"/>
        <v>70.966673</v>
      </c>
      <c r="Y26" s="40">
        <f t="shared" ca="1" si="3"/>
        <v>70.430660599999996</v>
      </c>
      <c r="Z26" s="40">
        <f t="shared" ca="1" si="3"/>
        <v>69.915999999999997</v>
      </c>
      <c r="AA26" s="40">
        <f t="shared" ca="1" si="3"/>
        <v>69.422672199999994</v>
      </c>
      <c r="AB26" s="40">
        <f t="shared" ca="1" si="3"/>
        <v>68.950661400000001</v>
      </c>
      <c r="AC26" s="40">
        <f t="shared" ca="1" si="3"/>
        <v>68.5</v>
      </c>
    </row>
    <row r="27" spans="1:29" x14ac:dyDescent="0.2">
      <c r="A27" t="s">
        <v>1132</v>
      </c>
      <c r="C27" t="s">
        <v>1133</v>
      </c>
      <c r="D27" s="40">
        <f t="shared" ref="D27:AC27" ca="1" si="4">D18*(1+D20)+D25</f>
        <v>262</v>
      </c>
      <c r="E27" s="40">
        <f t="shared" ca="1" si="4"/>
        <v>260.39999999999998</v>
      </c>
      <c r="F27" s="40">
        <f t="shared" ca="1" si="4"/>
        <v>255.45999999999998</v>
      </c>
      <c r="G27" s="40">
        <f t="shared" ca="1" si="4"/>
        <v>250.68</v>
      </c>
      <c r="H27" s="40">
        <f t="shared" ca="1" si="4"/>
        <v>246.06</v>
      </c>
      <c r="I27" s="40">
        <f t="shared" ca="1" si="4"/>
        <v>241.6</v>
      </c>
      <c r="J27" s="40">
        <f t="shared" ca="1" si="4"/>
        <v>236.696</v>
      </c>
      <c r="K27" s="40">
        <f t="shared" ca="1" si="4"/>
        <v>231.98400000000001</v>
      </c>
      <c r="L27" s="40">
        <f t="shared" ca="1" si="4"/>
        <v>227.464</v>
      </c>
      <c r="M27" s="40">
        <f t="shared" ca="1" si="4"/>
        <v>223.136</v>
      </c>
      <c r="N27" s="40">
        <f t="shared" ca="1" si="4"/>
        <v>219</v>
      </c>
      <c r="O27" s="40">
        <f t="shared" ca="1" si="4"/>
        <v>217.50135080000001</v>
      </c>
      <c r="P27" s="40">
        <f t="shared" ca="1" si="4"/>
        <v>216.04531639999999</v>
      </c>
      <c r="Q27" s="40">
        <f t="shared" ca="1" si="4"/>
        <v>214.63200000000001</v>
      </c>
      <c r="R27" s="40">
        <f t="shared" ca="1" si="4"/>
        <v>213.26134919999998</v>
      </c>
      <c r="S27" s="40">
        <f t="shared" ca="1" si="4"/>
        <v>211.93331799999999</v>
      </c>
      <c r="T27" s="40">
        <f t="shared" ca="1" si="4"/>
        <v>210.648</v>
      </c>
      <c r="U27" s="40">
        <f t="shared" ca="1" si="4"/>
        <v>209.4053476</v>
      </c>
      <c r="V27" s="40">
        <f t="shared" ca="1" si="4"/>
        <v>208.2053196</v>
      </c>
      <c r="W27" s="40">
        <f t="shared" ca="1" si="4"/>
        <v>207.048</v>
      </c>
      <c r="X27" s="40">
        <f t="shared" ca="1" si="4"/>
        <v>205.933346</v>
      </c>
      <c r="Y27" s="40">
        <f t="shared" ca="1" si="4"/>
        <v>204.86132119999999</v>
      </c>
      <c r="Z27" s="40">
        <f t="shared" ca="1" si="4"/>
        <v>203.83199999999999</v>
      </c>
      <c r="AA27" s="40">
        <f t="shared" ca="1" si="4"/>
        <v>202.84534439999999</v>
      </c>
      <c r="AB27" s="40">
        <f t="shared" ca="1" si="4"/>
        <v>201.9013228</v>
      </c>
      <c r="AC27" s="40">
        <f t="shared" ca="1" si="4"/>
        <v>201</v>
      </c>
    </row>
    <row r="29" spans="1:29" x14ac:dyDescent="0.2">
      <c r="A29" s="4" t="s">
        <v>1134</v>
      </c>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row>
    <row r="30" spans="1:29" x14ac:dyDescent="0.2">
      <c r="A30" t="s">
        <v>1135</v>
      </c>
      <c r="C30" t="s">
        <v>1136</v>
      </c>
      <c r="D30" s="26">
        <f ca="1">IF(D$4 &lt; INDEX(Assumptions!$B:$B, MATCH("First mission year (Lunar Mars)", Assumptions!$A:$A, 0)), 0, IFERROR(D15/D26, 0))</f>
        <v>0</v>
      </c>
      <c r="E30" s="26">
        <f ca="1">IF(E$4 &lt; INDEX(Assumptions!$B:$B, MATCH("First mission year (Lunar Mars)", Assumptions!$A:$A, 0)), 0, IFERROR(E15/E26, 0))</f>
        <v>0</v>
      </c>
      <c r="F30" s="26">
        <f ca="1">IF(F$4 &lt; INDEX(Assumptions!$B:$B, MATCH("First mission year (Lunar Mars)", Assumptions!$A:$A, 0)), 0, IFERROR(F15/F26, 0))</f>
        <v>0</v>
      </c>
      <c r="G30" s="26">
        <f ca="1">IF(G$4 &lt; INDEX(Assumptions!$B:$B, MATCH("First mission year (Lunar Mars)", Assumptions!$A:$A, 0)), 0, IFERROR(G15/G26, 0))</f>
        <v>7.4994643239768584</v>
      </c>
      <c r="H30" s="26">
        <f ca="1">IF(H$4 &lt; INDEX(Assumptions!$B:$B, MATCH("First mission year (Lunar Mars)", Assumptions!$A:$A, 0)), 0, IFERROR(H15/H26, 0))</f>
        <v>7.6897726024387563</v>
      </c>
      <c r="I30" s="26">
        <f ca="1">IF(I$4 &lt; INDEX(Assumptions!$B:$B, MATCH("First mission year (Lunar Mars)", Assumptions!$A:$A, 0)), 0, IFERROR(I15/I26, 0))</f>
        <v>7.8828828828828827</v>
      </c>
      <c r="J30" s="26">
        <f ca="1">IF(J$4 &lt; INDEX(Assumptions!$B:$B, MATCH("First mission year (Lunar Mars)", Assumptions!$A:$A, 0)), 0, IFERROR(J15/J26, 0))</f>
        <v>8.1067309028582013</v>
      </c>
      <c r="K30" s="26">
        <f ca="1">IF(K$4 &lt; INDEX(Assumptions!$B:$B, MATCH("First mission year (Lunar Mars)", Assumptions!$A:$A, 0)), 0, IFERROR(K15/K26, 0))</f>
        <v>8.3341270597199735</v>
      </c>
      <c r="L30" s="26">
        <f ca="1">IF(L$4 &lt; INDEX(Assumptions!$B:$B, MATCH("First mission year (Lunar Mars)", Assumptions!$A:$A, 0)), 0, IFERROR(L15/L26, 0))</f>
        <v>8.5645769099006515</v>
      </c>
      <c r="M30" s="26">
        <f ca="1">IF(M$4 &lt; INDEX(Assumptions!$B:$B, MATCH("First mission year (Lunar Mars)", Assumptions!$A:$A, 0)), 0, IFERROR(M15/M26, 0))</f>
        <v>8.7975065352905695</v>
      </c>
      <c r="N30" s="26">
        <f ca="1">IF(N$4 &lt; INDEX(Assumptions!$B:$B, MATCH("First mission year (Lunar Mars)", Assumptions!$A:$A, 0)), 0, IFERROR(N15/N26, 0))</f>
        <v>9.0322580645161299</v>
      </c>
      <c r="O30" s="26">
        <f ca="1">IF(O$4 &lt; INDEX(Assumptions!$B:$B, MATCH("First mission year (Lunar Mars)", Assumptions!$A:$A, 0)), 0, IFERROR(O15/O26, 0))</f>
        <v>9.1204409127584043</v>
      </c>
      <c r="P30" s="26">
        <f ca="1">IF(P$4 &lt; INDEX(Assumptions!$B:$B, MATCH("First mission year (Lunar Mars)", Assumptions!$A:$A, 0)), 0, IFERROR(P15/P26, 0))</f>
        <v>9.2077811612222735</v>
      </c>
      <c r="Q30" s="26">
        <f ca="1">IF(Q$4 &lt; INDEX(Assumptions!$B:$B, MATCH("First mission year (Lunar Mars)", Assumptions!$A:$A, 0)), 0, IFERROR(Q15/Q26, 0))</f>
        <v>9.2941738807159169</v>
      </c>
      <c r="R30" s="26">
        <f ca="1">IF(R$4 &lt; INDEX(Assumptions!$B:$B, MATCH("First mission year (Lunar Mars)", Assumptions!$A:$A, 0)), 0, IFERROR(R15/R26, 0))</f>
        <v>9.3795212726108748</v>
      </c>
      <c r="S30" s="26">
        <f ca="1">IF(S$4 &lt; INDEX(Assumptions!$B:$B, MATCH("First mission year (Lunar Mars)", Assumptions!$A:$A, 0)), 0, IFERROR(S15/S26, 0))</f>
        <v>9.4637233783940413</v>
      </c>
      <c r="T30" s="26">
        <f ca="1">IF(T$4 &lt; INDEX(Assumptions!$B:$B, MATCH("First mission year (Lunar Mars)", Assumptions!$A:$A, 0)), 0, IFERROR(T15/T26, 0))</f>
        <v>9.5466695761278704</v>
      </c>
      <c r="U30" s="26">
        <f ca="1">IF(U$4 &lt; INDEX(Assumptions!$B:$B, MATCH("First mission year (Lunar Mars)", Assumptions!$A:$A, 0)), 0, IFERROR(U15/U26, 0))</f>
        <v>9.6282566157835046</v>
      </c>
      <c r="V30" s="26">
        <f ca="1">IF(V$4 &lt; INDEX(Assumptions!$B:$B, MATCH("First mission year (Lunar Mars)", Assumptions!$A:$A, 0)), 0, IFERROR(V15/V26, 0))</f>
        <v>9.7083797177756814</v>
      </c>
      <c r="W30" s="26">
        <f ca="1">IF(W$4 &lt; INDEX(Assumptions!$B:$B, MATCH("First mission year (Lunar Mars)", Assumptions!$A:$A, 0)), 0, IFERROR(W15/W26, 0))</f>
        <v>9.7869246686426941</v>
      </c>
      <c r="X30" s="26">
        <f ca="1">IF(X$4 &lt; INDEX(Assumptions!$B:$B, MATCH("First mission year (Lunar Mars)", Assumptions!$A:$A, 0)), 0, IFERROR(X15/X26, 0))</f>
        <v>9.8637849346551718</v>
      </c>
      <c r="Y30" s="26">
        <f ca="1">IF(Y$4 &lt; INDEX(Assumptions!$B:$B, MATCH("First mission year (Lunar Mars)", Assumptions!$A:$A, 0)), 0, IFERROR(Y15/Y26, 0))</f>
        <v>9.9388532499438185</v>
      </c>
      <c r="Z30" s="26">
        <f ca="1">IF(Z$4 &lt; INDEX(Assumptions!$B:$B, MATCH("First mission year (Lunar Mars)", Assumptions!$A:$A, 0)), 0, IFERROR(Z15/Z26, 0))</f>
        <v>10.012014417300762</v>
      </c>
      <c r="AA30" s="26">
        <f ca="1">IF(AA$4 &lt; INDEX(Assumptions!$B:$B, MATCH("First mission year (Lunar Mars)", Assumptions!$A:$A, 0)), 0, IFERROR(AA15/AA26, 0))</f>
        <v>10.083161275949848</v>
      </c>
      <c r="AB30" s="26">
        <f ca="1">IF(AB$4 &lt; INDEX(Assumptions!$B:$B, MATCH("First mission year (Lunar Mars)", Assumptions!$A:$A, 0)), 0, IFERROR(AB15/AB26, 0))</f>
        <v>10.152186879530063</v>
      </c>
      <c r="AC30" s="26">
        <f ca="1">IF(AC$4 &lt; INDEX(Assumptions!$B:$B, MATCH("First mission year (Lunar Mars)", Assumptions!$A:$A, 0)), 0, IFERROR(AC15/AC26, 0))</f>
        <v>12.06663392569441</v>
      </c>
    </row>
    <row r="31" spans="1:29" x14ac:dyDescent="0.2">
      <c r="A31" t="s">
        <v>1137</v>
      </c>
      <c r="C31" t="s">
        <v>1138</v>
      </c>
      <c r="D31" s="26">
        <f t="shared" ref="D31:AC31" ca="1" si="5">D30*(1+D19)</f>
        <v>0</v>
      </c>
      <c r="E31" s="26">
        <f t="shared" ca="1" si="5"/>
        <v>0</v>
      </c>
      <c r="F31" s="26">
        <f t="shared" ca="1" si="5"/>
        <v>0</v>
      </c>
      <c r="G31" s="26">
        <f t="shared" ca="1" si="5"/>
        <v>14.998928647953717</v>
      </c>
      <c r="H31" s="26">
        <f t="shared" ca="1" si="5"/>
        <v>15.379545204877513</v>
      </c>
      <c r="I31" s="26">
        <f t="shared" ca="1" si="5"/>
        <v>15.765765765765765</v>
      </c>
      <c r="J31" s="26">
        <f t="shared" ca="1" si="5"/>
        <v>16.213461805716403</v>
      </c>
      <c r="K31" s="26">
        <f t="shared" ca="1" si="5"/>
        <v>16.668254119439947</v>
      </c>
      <c r="L31" s="26">
        <f t="shared" ca="1" si="5"/>
        <v>17.129153819801303</v>
      </c>
      <c r="M31" s="26">
        <f t="shared" ca="1" si="5"/>
        <v>17.595013070581139</v>
      </c>
      <c r="N31" s="26">
        <f t="shared" ca="1" si="5"/>
        <v>18.06451612903226</v>
      </c>
      <c r="O31" s="26">
        <f t="shared" ca="1" si="5"/>
        <v>18.240881825516809</v>
      </c>
      <c r="P31" s="26">
        <f t="shared" ca="1" si="5"/>
        <v>18.415562322444547</v>
      </c>
      <c r="Q31" s="26">
        <f t="shared" ca="1" si="5"/>
        <v>18.588347761431834</v>
      </c>
      <c r="R31" s="26">
        <f t="shared" ca="1" si="5"/>
        <v>18.75904254522175</v>
      </c>
      <c r="S31" s="26">
        <f t="shared" ca="1" si="5"/>
        <v>18.927446756788083</v>
      </c>
      <c r="T31" s="26">
        <f t="shared" ca="1" si="5"/>
        <v>19.093339152255741</v>
      </c>
      <c r="U31" s="26">
        <f t="shared" ca="1" si="5"/>
        <v>19.256513231567009</v>
      </c>
      <c r="V31" s="26">
        <f t="shared" ca="1" si="5"/>
        <v>19.416759435551363</v>
      </c>
      <c r="W31" s="26">
        <f t="shared" ca="1" si="5"/>
        <v>19.573849337285388</v>
      </c>
      <c r="X31" s="26">
        <f t="shared" ca="1" si="5"/>
        <v>19.727569869310344</v>
      </c>
      <c r="Y31" s="26">
        <f t="shared" ca="1" si="5"/>
        <v>19.877706499887637</v>
      </c>
      <c r="Z31" s="26">
        <f t="shared" ca="1" si="5"/>
        <v>20.024028834601523</v>
      </c>
      <c r="AA31" s="26">
        <f t="shared" ca="1" si="5"/>
        <v>20.166322551899697</v>
      </c>
      <c r="AB31" s="26">
        <f t="shared" ca="1" si="5"/>
        <v>20.304373759060127</v>
      </c>
      <c r="AC31" s="26">
        <f t="shared" ca="1" si="5"/>
        <v>24.133267851388819</v>
      </c>
    </row>
    <row r="32" spans="1:29" x14ac:dyDescent="0.2">
      <c r="A32" t="s">
        <v>1139</v>
      </c>
      <c r="C32" t="s">
        <v>1140</v>
      </c>
      <c r="D32" s="15">
        <f t="shared" ref="D32:AC32" ca="1" si="6">D30*D21</f>
        <v>0</v>
      </c>
      <c r="E32" s="15">
        <f t="shared" ca="1" si="6"/>
        <v>0</v>
      </c>
      <c r="F32" s="15">
        <f t="shared" ca="1" si="6"/>
        <v>0</v>
      </c>
      <c r="G32" s="15">
        <f t="shared" ca="1" si="6"/>
        <v>374973.21619884291</v>
      </c>
      <c r="H32" s="15">
        <f t="shared" ca="1" si="6"/>
        <v>384488.63012193784</v>
      </c>
      <c r="I32" s="15">
        <f t="shared" ca="1" si="6"/>
        <v>394144.14414414414</v>
      </c>
      <c r="J32" s="15">
        <f t="shared" ca="1" si="6"/>
        <v>405336.54514291009</v>
      </c>
      <c r="K32" s="15">
        <f t="shared" ca="1" si="6"/>
        <v>416706.35298599867</v>
      </c>
      <c r="L32" s="15">
        <f t="shared" ca="1" si="6"/>
        <v>428228.84549503255</v>
      </c>
      <c r="M32" s="15">
        <f t="shared" ca="1" si="6"/>
        <v>439875.32676452846</v>
      </c>
      <c r="N32" s="15">
        <f t="shared" ca="1" si="6"/>
        <v>451612.90322580648</v>
      </c>
      <c r="O32" s="15">
        <f t="shared" ca="1" si="6"/>
        <v>456022.04563792021</v>
      </c>
      <c r="P32" s="15">
        <f t="shared" ca="1" si="6"/>
        <v>460389.0580611137</v>
      </c>
      <c r="Q32" s="15">
        <f t="shared" ca="1" si="6"/>
        <v>464708.69403579587</v>
      </c>
      <c r="R32" s="15">
        <f t="shared" ca="1" si="6"/>
        <v>468976.06363054377</v>
      </c>
      <c r="S32" s="15">
        <f t="shared" ca="1" si="6"/>
        <v>473186.16891970206</v>
      </c>
      <c r="T32" s="15">
        <f t="shared" ca="1" si="6"/>
        <v>477333.47880639351</v>
      </c>
      <c r="U32" s="15">
        <f t="shared" ca="1" si="6"/>
        <v>481412.83078917523</v>
      </c>
      <c r="V32" s="15">
        <f t="shared" ca="1" si="6"/>
        <v>485418.98588878405</v>
      </c>
      <c r="W32" s="15">
        <f t="shared" ca="1" si="6"/>
        <v>489346.23343213473</v>
      </c>
      <c r="X32" s="15">
        <f t="shared" ca="1" si="6"/>
        <v>493189.24673275859</v>
      </c>
      <c r="Y32" s="15">
        <f t="shared" ca="1" si="6"/>
        <v>496942.66249719093</v>
      </c>
      <c r="Z32" s="15">
        <f t="shared" ca="1" si="6"/>
        <v>500600.72086503811</v>
      </c>
      <c r="AA32" s="15">
        <f t="shared" ca="1" si="6"/>
        <v>504158.06379749242</v>
      </c>
      <c r="AB32" s="15">
        <f t="shared" ca="1" si="6"/>
        <v>507609.34397650318</v>
      </c>
      <c r="AC32" s="15">
        <f t="shared" ca="1" si="6"/>
        <v>603331.69628472044</v>
      </c>
    </row>
    <row r="33" spans="1:29" x14ac:dyDescent="0.2">
      <c r="A33" t="s">
        <v>1141</v>
      </c>
      <c r="C33" t="s">
        <v>1142</v>
      </c>
      <c r="D33" s="17" cm="1">
        <f t="array" ref="D33">INDEX(Assumptions!$D:$AC, MATCH("Lunar labour share of surface payload — year-row", Assumptions!$A:$A, 0), D$5+1)</f>
        <v>0.3</v>
      </c>
      <c r="E33" s="17" cm="1">
        <f t="array" ref="E33">INDEX(Assumptions!$D:$AC, MATCH("Lunar labour share of surface payload — year-row", Assumptions!$A:$A, 0), E$5+1)</f>
        <v>0.316</v>
      </c>
      <c r="F33" s="17" cm="1">
        <f t="array" ref="F33">INDEX(Assumptions!$D:$AC, MATCH("Lunar labour share of surface payload — year-row", Assumptions!$A:$A, 0), F$5+1)</f>
        <v>0.33200000000000002</v>
      </c>
      <c r="G33" s="17" cm="1">
        <f t="array" ref="G33">INDEX(Assumptions!$D:$AC, MATCH("Lunar labour share of surface payload — year-row", Assumptions!$A:$A, 0), G$5+1)</f>
        <v>0.34799999999999998</v>
      </c>
      <c r="H33" s="17" cm="1">
        <f t="array" ref="H33">INDEX(Assumptions!$D:$AC, MATCH("Lunar labour share of surface payload — year-row", Assumptions!$A:$A, 0), H$5+1)</f>
        <v>0.36399999999999999</v>
      </c>
      <c r="I33" s="17" cm="1">
        <f t="array" ref="I33">INDEX(Assumptions!$D:$AC, MATCH("Lunar labour share of surface payload — year-row", Assumptions!$A:$A, 0), I$5+1)</f>
        <v>0.38</v>
      </c>
      <c r="J33" s="17" cm="1">
        <f t="array" ref="J33">INDEX(Assumptions!$D:$AC, MATCH("Lunar labour share of surface payload — year-row", Assumptions!$A:$A, 0), J$5+1)</f>
        <v>0.39600000000000002</v>
      </c>
      <c r="K33" s="17" cm="1">
        <f t="array" ref="K33">INDEX(Assumptions!$D:$AC, MATCH("Lunar labour share of surface payload — year-row", Assumptions!$A:$A, 0), K$5+1)</f>
        <v>0.41199999999999998</v>
      </c>
      <c r="L33" s="17" cm="1">
        <f t="array" ref="L33">INDEX(Assumptions!$D:$AC, MATCH("Lunar labour share of surface payload — year-row", Assumptions!$A:$A, 0), L$5+1)</f>
        <v>0.42799999999999999</v>
      </c>
      <c r="M33" s="17" cm="1">
        <f t="array" ref="M33">INDEX(Assumptions!$D:$AC, MATCH("Lunar labour share of surface payload — year-row", Assumptions!$A:$A, 0), M$5+1)</f>
        <v>0.44400000000000001</v>
      </c>
      <c r="N33" s="17" cm="1">
        <f t="array" ref="N33">INDEX(Assumptions!$D:$AC, MATCH("Lunar labour share of surface payload — year-row", Assumptions!$A:$A, 0), N$5+1)</f>
        <v>0.46</v>
      </c>
      <c r="O33" s="17" cm="1">
        <f t="array" ref="O33">INDEX(Assumptions!$D:$AC, MATCH("Lunar labour share of surface payload — year-row", Assumptions!$A:$A, 0), O$5+1)</f>
        <v>0.47599999999999998</v>
      </c>
      <c r="P33" s="17" cm="1">
        <f t="array" ref="P33">INDEX(Assumptions!$D:$AC, MATCH("Lunar labour share of surface payload — year-row", Assumptions!$A:$A, 0), P$5+1)</f>
        <v>0.49199999999999999</v>
      </c>
      <c r="Q33" s="17" cm="1">
        <f t="array" ref="Q33">INDEX(Assumptions!$D:$AC, MATCH("Lunar labour share of surface payload — year-row", Assumptions!$A:$A, 0), Q$5+1)</f>
        <v>0.50800000000000001</v>
      </c>
      <c r="R33" s="17" cm="1">
        <f t="array" ref="R33">INDEX(Assumptions!$D:$AC, MATCH("Lunar labour share of surface payload — year-row", Assumptions!$A:$A, 0), R$5+1)</f>
        <v>0.52400000000000002</v>
      </c>
      <c r="S33" s="17" cm="1">
        <f t="array" ref="S33">INDEX(Assumptions!$D:$AC, MATCH("Lunar labour share of surface payload — year-row", Assumptions!$A:$A, 0), S$5+1)</f>
        <v>0.54</v>
      </c>
      <c r="T33" s="17" cm="1">
        <f t="array" ref="T33">INDEX(Assumptions!$D:$AC, MATCH("Lunar labour share of surface payload — year-row", Assumptions!$A:$A, 0), T$5+1)</f>
        <v>0.55600000000000005</v>
      </c>
      <c r="U33" s="17" cm="1">
        <f t="array" ref="U33">INDEX(Assumptions!$D:$AC, MATCH("Lunar labour share of surface payload — year-row", Assumptions!$A:$A, 0), U$5+1)</f>
        <v>0.57199999999999995</v>
      </c>
      <c r="V33" s="17" cm="1">
        <f t="array" ref="V33">INDEX(Assumptions!$D:$AC, MATCH("Lunar labour share of surface payload — year-row", Assumptions!$A:$A, 0), V$5+1)</f>
        <v>0.58799999999999997</v>
      </c>
      <c r="W33" s="17" cm="1">
        <f t="array" ref="W33">INDEX(Assumptions!$D:$AC, MATCH("Lunar labour share of surface payload — year-row", Assumptions!$A:$A, 0), W$5+1)</f>
        <v>0.60399999999999998</v>
      </c>
      <c r="X33" s="17" cm="1">
        <f t="array" ref="X33">INDEX(Assumptions!$D:$AC, MATCH("Lunar labour share of surface payload — year-row", Assumptions!$A:$A, 0), X$5+1)</f>
        <v>0.62</v>
      </c>
      <c r="Y33" s="17" cm="1">
        <f t="array" ref="Y33">INDEX(Assumptions!$D:$AC, MATCH("Lunar labour share of surface payload — year-row", Assumptions!$A:$A, 0), Y$5+1)</f>
        <v>0.63600000000000001</v>
      </c>
      <c r="Z33" s="17" cm="1">
        <f t="array" ref="Z33">INDEX(Assumptions!$D:$AC, MATCH("Lunar labour share of surface payload — year-row", Assumptions!$A:$A, 0), Z$5+1)</f>
        <v>0.65200000000000002</v>
      </c>
      <c r="AA33" s="17" cm="1">
        <f t="array" ref="AA33">INDEX(Assumptions!$D:$AC, MATCH("Lunar labour share of surface payload — year-row", Assumptions!$A:$A, 0), AA$5+1)</f>
        <v>0.66800000000000004</v>
      </c>
      <c r="AB33" s="17" cm="1">
        <f t="array" ref="AB33">INDEX(Assumptions!$D:$AC, MATCH("Lunar labour share of surface payload — year-row", Assumptions!$A:$A, 0), AB$5+1)</f>
        <v>0.68400000000000005</v>
      </c>
      <c r="AC33" s="17" cm="1">
        <f t="array" ref="AC33">INDEX(Assumptions!$D:$AC, MATCH("Lunar labour share of surface payload — year-row", Assumptions!$A:$A, 0), AC$5+1)</f>
        <v>0.7</v>
      </c>
    </row>
    <row r="34" spans="1:29" x14ac:dyDescent="0.2">
      <c r="A34" t="s">
        <v>1143</v>
      </c>
      <c r="C34" t="s">
        <v>1144</v>
      </c>
      <c r="D34" s="15">
        <f t="shared" ref="D34:AC34" ca="1" si="7">D32*D33</f>
        <v>0</v>
      </c>
      <c r="E34" s="15">
        <f t="shared" ca="1" si="7"/>
        <v>0</v>
      </c>
      <c r="F34" s="15">
        <f t="shared" ca="1" si="7"/>
        <v>0</v>
      </c>
      <c r="G34" s="15">
        <f t="shared" ca="1" si="7"/>
        <v>130490.67923719733</v>
      </c>
      <c r="H34" s="15">
        <f t="shared" ca="1" si="7"/>
        <v>139953.86136438538</v>
      </c>
      <c r="I34" s="15">
        <f t="shared" ca="1" si="7"/>
        <v>149774.77477477476</v>
      </c>
      <c r="J34" s="15">
        <f t="shared" ca="1" si="7"/>
        <v>160513.27187659239</v>
      </c>
      <c r="K34" s="15">
        <f t="shared" ca="1" si="7"/>
        <v>171683.01743023144</v>
      </c>
      <c r="L34" s="15">
        <f t="shared" ca="1" si="7"/>
        <v>183281.94587187393</v>
      </c>
      <c r="M34" s="15">
        <f t="shared" ca="1" si="7"/>
        <v>195304.64508345065</v>
      </c>
      <c r="N34" s="15">
        <f t="shared" ca="1" si="7"/>
        <v>207741.935483871</v>
      </c>
      <c r="O34" s="15">
        <f t="shared" ca="1" si="7"/>
        <v>217066.49372365</v>
      </c>
      <c r="P34" s="15">
        <f t="shared" ca="1" si="7"/>
        <v>226511.41656606793</v>
      </c>
      <c r="Q34" s="15">
        <f t="shared" ca="1" si="7"/>
        <v>236072.01657018429</v>
      </c>
      <c r="R34" s="15">
        <f t="shared" ca="1" si="7"/>
        <v>245743.45734240493</v>
      </c>
      <c r="S34" s="15">
        <f t="shared" ca="1" si="7"/>
        <v>255520.53121663912</v>
      </c>
      <c r="T34" s="15">
        <f t="shared" ca="1" si="7"/>
        <v>265397.41421635484</v>
      </c>
      <c r="U34" s="15">
        <f t="shared" ca="1" si="7"/>
        <v>275368.13921140821</v>
      </c>
      <c r="V34" s="15">
        <f t="shared" ca="1" si="7"/>
        <v>285426.36370260501</v>
      </c>
      <c r="W34" s="15">
        <f t="shared" ca="1" si="7"/>
        <v>295565.12499300938</v>
      </c>
      <c r="X34" s="15">
        <f t="shared" ca="1" si="7"/>
        <v>305777.33297431032</v>
      </c>
      <c r="Y34" s="15">
        <f t="shared" ca="1" si="7"/>
        <v>316055.53334821342</v>
      </c>
      <c r="Z34" s="15">
        <f t="shared" ca="1" si="7"/>
        <v>326391.67000400485</v>
      </c>
      <c r="AA34" s="15">
        <f t="shared" ca="1" si="7"/>
        <v>336777.58661672496</v>
      </c>
      <c r="AB34" s="15">
        <f t="shared" ca="1" si="7"/>
        <v>347204.79127992818</v>
      </c>
      <c r="AC34" s="15">
        <f t="shared" ca="1" si="7"/>
        <v>422332.1873993043</v>
      </c>
    </row>
    <row r="35" spans="1:29" x14ac:dyDescent="0.2">
      <c r="A35" t="s">
        <v>1145</v>
      </c>
      <c r="C35" t="s">
        <v>1146</v>
      </c>
      <c r="D35" s="15">
        <f t="shared" ref="D35:AC35" ca="1" si="8">D32*(1-D33)</f>
        <v>0</v>
      </c>
      <c r="E35" s="15">
        <f t="shared" ca="1" si="8"/>
        <v>0</v>
      </c>
      <c r="F35" s="15">
        <f t="shared" ca="1" si="8"/>
        <v>0</v>
      </c>
      <c r="G35" s="15">
        <f t="shared" ca="1" si="8"/>
        <v>244482.53696164559</v>
      </c>
      <c r="H35" s="15">
        <f t="shared" ca="1" si="8"/>
        <v>244534.76875755246</v>
      </c>
      <c r="I35" s="15">
        <f t="shared" ca="1" si="8"/>
        <v>244369.36936936938</v>
      </c>
      <c r="J35" s="15">
        <f t="shared" ca="1" si="8"/>
        <v>244823.2732663177</v>
      </c>
      <c r="K35" s="15">
        <f t="shared" ca="1" si="8"/>
        <v>245023.33555576726</v>
      </c>
      <c r="L35" s="15">
        <f t="shared" ca="1" si="8"/>
        <v>244946.89962315865</v>
      </c>
      <c r="M35" s="15">
        <f t="shared" ca="1" si="8"/>
        <v>244570.68168107784</v>
      </c>
      <c r="N35" s="15">
        <f t="shared" ca="1" si="8"/>
        <v>243870.96774193551</v>
      </c>
      <c r="O35" s="15">
        <f t="shared" ca="1" si="8"/>
        <v>238955.55191427021</v>
      </c>
      <c r="P35" s="15">
        <f t="shared" ca="1" si="8"/>
        <v>233877.64149504577</v>
      </c>
      <c r="Q35" s="15">
        <f t="shared" ca="1" si="8"/>
        <v>228636.67746561157</v>
      </c>
      <c r="R35" s="15">
        <f t="shared" ca="1" si="8"/>
        <v>223232.60628813884</v>
      </c>
      <c r="S35" s="15">
        <f t="shared" ca="1" si="8"/>
        <v>217665.63770306294</v>
      </c>
      <c r="T35" s="15">
        <f t="shared" ca="1" si="8"/>
        <v>211936.0645900387</v>
      </c>
      <c r="U35" s="15">
        <f t="shared" ca="1" si="8"/>
        <v>206044.69157776702</v>
      </c>
      <c r="V35" s="15">
        <f t="shared" ca="1" si="8"/>
        <v>199992.62218617904</v>
      </c>
      <c r="W35" s="15">
        <f t="shared" ca="1" si="8"/>
        <v>193781.10843912535</v>
      </c>
      <c r="X35" s="15">
        <f t="shared" ca="1" si="8"/>
        <v>187411.91375844827</v>
      </c>
      <c r="Y35" s="15">
        <f t="shared" ca="1" si="8"/>
        <v>180887.12914897749</v>
      </c>
      <c r="Z35" s="15">
        <f t="shared" ca="1" si="8"/>
        <v>174209.05086103326</v>
      </c>
      <c r="AA35" s="15">
        <f t="shared" ca="1" si="8"/>
        <v>167380.47718076746</v>
      </c>
      <c r="AB35" s="15">
        <f t="shared" ca="1" si="8"/>
        <v>160404.55269657497</v>
      </c>
      <c r="AC35" s="15">
        <f t="shared" ca="1" si="8"/>
        <v>180999.50888541617</v>
      </c>
    </row>
    <row r="37" spans="1:29" x14ac:dyDescent="0.2">
      <c r="A37" s="4" t="s">
        <v>1147</v>
      </c>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row>
    <row r="38" spans="1:29" x14ac:dyDescent="0.2">
      <c r="A38" t="s">
        <v>1148</v>
      </c>
      <c r="C38" t="s">
        <v>1149</v>
      </c>
      <c r="D38" s="26">
        <f ca="1">IF(D$4 &lt; INDEX(Assumptions!$B:$B, MATCH("First mission year (Lunar Mars)", Assumptions!$A:$A, 0)), 0, IFERROR(D16/D27, 0))</f>
        <v>0</v>
      </c>
      <c r="E38" s="26">
        <f ca="1">IF(E$4 &lt; INDEX(Assumptions!$B:$B, MATCH("First mission year (Lunar Mars)", Assumptions!$A:$A, 0)), 0, IFERROR(E16/E27, 0))</f>
        <v>0</v>
      </c>
      <c r="F38" s="26">
        <f ca="1">IF(F$4 &lt; INDEX(Assumptions!$B:$B, MATCH("First mission year (Lunar Mars)", Assumptions!$A:$A, 0)), 0, IFERROR(F16/F27, 0))</f>
        <v>0</v>
      </c>
      <c r="G38" s="26">
        <f ca="1">IF(G$4 &lt; INDEX(Assumptions!$B:$B, MATCH("First mission year (Lunar Mars)", Assumptions!$A:$A, 0)), 0, IFERROR(G16/G27, 0))</f>
        <v>1.1967448539971279</v>
      </c>
      <c r="H38" s="26">
        <f ca="1">IF(H$4 &lt; INDEX(Assumptions!$B:$B, MATCH("First mission year (Lunar Mars)", Assumptions!$A:$A, 0)), 0, IFERROR(H16/H27, 0))</f>
        <v>1.2192148256522801</v>
      </c>
      <c r="I38" s="26">
        <f ca="1">IF(I$4 &lt; INDEX(Assumptions!$B:$B, MATCH("First mission year (Lunar Mars)", Assumptions!$A:$A, 0)), 0, IFERROR(I16/I27, 0))</f>
        <v>1.241721854304636</v>
      </c>
      <c r="J38" s="26">
        <f ca="1">IF(J$4 &lt; INDEX(Assumptions!$B:$B, MATCH("First mission year (Lunar Mars)", Assumptions!$A:$A, 0)), 0, IFERROR(J16/J27, 0))</f>
        <v>1.2674485415892118</v>
      </c>
      <c r="K38" s="26">
        <f ca="1">IF(K$4 &lt; INDEX(Assumptions!$B:$B, MATCH("First mission year (Lunar Mars)", Assumptions!$A:$A, 0)), 0, IFERROR(K16/K27, 0))</f>
        <v>1.293192633974757</v>
      </c>
      <c r="L38" s="26">
        <f ca="1">IF(L$4 &lt; INDEX(Assumptions!$B:$B, MATCH("First mission year (Lunar Mars)", Assumptions!$A:$A, 0)), 0, IFERROR(L16/L27, 0))</f>
        <v>1.3188900221573527</v>
      </c>
      <c r="M38" s="26">
        <f ca="1">IF(M$4 &lt; INDEX(Assumptions!$B:$B, MATCH("First mission year (Lunar Mars)", Assumptions!$A:$A, 0)), 0, IFERROR(M16/M27, 0))</f>
        <v>1.3444715330560737</v>
      </c>
      <c r="N38" s="26">
        <f ca="1">IF(N$4 &lt; INDEX(Assumptions!$B:$B, MATCH("First mission year (Lunar Mars)", Assumptions!$A:$A, 0)), 0, IFERROR(N16/N27, 0))</f>
        <v>1.3698630136986305</v>
      </c>
      <c r="O38" s="26">
        <f ca="1">IF(O$4 &lt; INDEX(Assumptions!$B:$B, MATCH("First mission year (Lunar Mars)", Assumptions!$A:$A, 0)), 0, IFERROR(O16/O27, 0))</f>
        <v>1.3793017785708392</v>
      </c>
      <c r="P38" s="26">
        <f ca="1">IF(P$4 &lt; INDEX(Assumptions!$B:$B, MATCH("First mission year (Lunar Mars)", Assumptions!$A:$A, 0)), 0, IFERROR(P16/P27, 0))</f>
        <v>1.3885975636915038</v>
      </c>
      <c r="Q38" s="26">
        <f ca="1">IF(Q$4 &lt; INDEX(Assumptions!$B:$B, MATCH("First mission year (Lunar Mars)", Assumptions!$A:$A, 0)), 0, IFERROR(Q16/Q27, 0))</f>
        <v>1.3977412501397743</v>
      </c>
      <c r="R38" s="26">
        <f ca="1">IF(R$4 &lt; INDEX(Assumptions!$B:$B, MATCH("First mission year (Lunar Mars)", Assumptions!$A:$A, 0)), 0, IFERROR(R16/R27, 0))</f>
        <v>1.4067246649492737</v>
      </c>
      <c r="S38" s="26">
        <f ca="1">IF(S$4 &lt; INDEX(Assumptions!$B:$B, MATCH("First mission year (Lunar Mars)", Assumptions!$A:$A, 0)), 0, IFERROR(S16/S27, 0))</f>
        <v>1.4155395802372144</v>
      </c>
      <c r="T38" s="26">
        <f ca="1">IF(T$4 &lt; INDEX(Assumptions!$B:$B, MATCH("First mission year (Lunar Mars)", Assumptions!$A:$A, 0)), 0, IFERROR(T16/T27, 0))</f>
        <v>1.424176825794691</v>
      </c>
      <c r="U38" s="26">
        <f ca="1">IF(U$4 &lt; INDEX(Assumptions!$B:$B, MATCH("First mission year (Lunar Mars)", Assumptions!$A:$A, 0)), 0, IFERROR(U16/U27, 0))</f>
        <v>1.4326281703801154</v>
      </c>
      <c r="V38" s="26">
        <f ca="1">IF(V$4 &lt; INDEX(Assumptions!$B:$B, MATCH("First mission year (Lunar Mars)", Assumptions!$A:$A, 0)), 0, IFERROR(V16/V27, 0))</f>
        <v>1.4408853749575381</v>
      </c>
      <c r="W38" s="26">
        <f ca="1">IF(W$4 &lt; INDEX(Assumptions!$B:$B, MATCH("First mission year (Lunar Mars)", Assumptions!$A:$A, 0)), 0, IFERROR(W16/W27, 0))</f>
        <v>1.4489393763764926</v>
      </c>
      <c r="X38" s="26">
        <f ca="1">IF(X$4 &lt; INDEX(Assumptions!$B:$B, MATCH("First mission year (Lunar Mars)", Assumptions!$A:$A, 0)), 0, IFERROR(X16/X27, 0))</f>
        <v>1.456782040534611</v>
      </c>
      <c r="Y38" s="26">
        <f ca="1">IF(Y$4 &lt; INDEX(Assumptions!$B:$B, MATCH("First mission year (Lunar Mars)", Assumptions!$A:$A, 0)), 0, IFERROR(Y16/Y27, 0))</f>
        <v>1.4644052778861023</v>
      </c>
      <c r="Z38" s="26">
        <f ca="1">IF(Z$4 &lt; INDEX(Assumptions!$B:$B, MATCH("First mission year (Lunar Mars)", Assumptions!$A:$A, 0)), 0, IFERROR(Z16/Z27, 0))</f>
        <v>1.471800306134464</v>
      </c>
      <c r="AA38" s="26">
        <f ca="1">IF(AA$4 &lt; INDEX(Assumptions!$B:$B, MATCH("First mission year (Lunar Mars)", Assumptions!$A:$A, 0)), 0, IFERROR(AA16/AA27, 0))</f>
        <v>1.4789592577900943</v>
      </c>
      <c r="AB38" s="26">
        <f ca="1">IF(AB$4 &lt; INDEX(Assumptions!$B:$B, MATCH("First mission year (Lunar Mars)", Assumptions!$A:$A, 0)), 0, IFERROR(AB16/AB27, 0))</f>
        <v>1.485874365950415</v>
      </c>
      <c r="AC38" s="26">
        <f ca="1">IF(AC$4 &lt; INDEX(Assumptions!$B:$B, MATCH("First mission year (Lunar Mars)", Assumptions!$A:$A, 0)), 0, IFERROR(AC16/AC27, 0))</f>
        <v>1.762397492345559</v>
      </c>
    </row>
    <row r="39" spans="1:29" x14ac:dyDescent="0.2">
      <c r="A39" t="s">
        <v>1150</v>
      </c>
      <c r="C39" t="s">
        <v>1151</v>
      </c>
      <c r="D39" s="26">
        <f t="shared" ref="D39:AC39" ca="1" si="9">D38*(1+D20)</f>
        <v>0</v>
      </c>
      <c r="E39" s="26">
        <f t="shared" ca="1" si="9"/>
        <v>0</v>
      </c>
      <c r="F39" s="26">
        <f t="shared" ca="1" si="9"/>
        <v>0</v>
      </c>
      <c r="G39" s="26">
        <f t="shared" ca="1" si="9"/>
        <v>7.1804691239827676</v>
      </c>
      <c r="H39" s="26">
        <f t="shared" ca="1" si="9"/>
        <v>7.3152889539136812</v>
      </c>
      <c r="I39" s="26">
        <f t="shared" ca="1" si="9"/>
        <v>7.450331125827816</v>
      </c>
      <c r="J39" s="26">
        <f t="shared" ca="1" si="9"/>
        <v>7.6046912495352714</v>
      </c>
      <c r="K39" s="26">
        <f t="shared" ca="1" si="9"/>
        <v>7.7591558038485422</v>
      </c>
      <c r="L39" s="26">
        <f t="shared" ca="1" si="9"/>
        <v>7.913340132944116</v>
      </c>
      <c r="M39" s="26">
        <f t="shared" ca="1" si="9"/>
        <v>8.0668291983364426</v>
      </c>
      <c r="N39" s="26">
        <f t="shared" ca="1" si="9"/>
        <v>8.2191780821917835</v>
      </c>
      <c r="O39" s="26">
        <f t="shared" ca="1" si="9"/>
        <v>8.2758106714250346</v>
      </c>
      <c r="P39" s="26">
        <f t="shared" ca="1" si="9"/>
        <v>8.3315853821490222</v>
      </c>
      <c r="Q39" s="26">
        <f t="shared" ca="1" si="9"/>
        <v>8.3864475008386457</v>
      </c>
      <c r="R39" s="26">
        <f t="shared" ca="1" si="9"/>
        <v>8.4403479896956419</v>
      </c>
      <c r="S39" s="26">
        <f t="shared" ca="1" si="9"/>
        <v>8.4932374814232858</v>
      </c>
      <c r="T39" s="26">
        <f t="shared" ca="1" si="9"/>
        <v>8.5450609547681466</v>
      </c>
      <c r="U39" s="26">
        <f t="shared" ca="1" si="9"/>
        <v>8.5957690222806917</v>
      </c>
      <c r="V39" s="26">
        <f t="shared" ca="1" si="9"/>
        <v>8.6453122497452277</v>
      </c>
      <c r="W39" s="26">
        <f t="shared" ca="1" si="9"/>
        <v>8.6936362582589553</v>
      </c>
      <c r="X39" s="26">
        <f t="shared" ca="1" si="9"/>
        <v>8.7406922432076666</v>
      </c>
      <c r="Y39" s="26">
        <f t="shared" ca="1" si="9"/>
        <v>8.786431667316613</v>
      </c>
      <c r="Z39" s="26">
        <f t="shared" ca="1" si="9"/>
        <v>8.8308018368067849</v>
      </c>
      <c r="AA39" s="26">
        <f t="shared" ca="1" si="9"/>
        <v>8.8737555467405649</v>
      </c>
      <c r="AB39" s="26">
        <f t="shared" ca="1" si="9"/>
        <v>8.9152461957024904</v>
      </c>
      <c r="AC39" s="26">
        <f t="shared" ca="1" si="9"/>
        <v>10.574384954073354</v>
      </c>
    </row>
    <row r="40" spans="1:29" x14ac:dyDescent="0.2">
      <c r="A40" t="s">
        <v>1152</v>
      </c>
      <c r="C40" t="s">
        <v>1153</v>
      </c>
      <c r="D40" s="15">
        <f t="shared" ref="D40:AC40" ca="1" si="10">D38*D22</f>
        <v>0</v>
      </c>
      <c r="E40" s="15">
        <f t="shared" ca="1" si="10"/>
        <v>0</v>
      </c>
      <c r="F40" s="15">
        <f t="shared" ca="1" si="10"/>
        <v>0</v>
      </c>
      <c r="G40" s="15">
        <f t="shared" ca="1" si="10"/>
        <v>119674.48539971279</v>
      </c>
      <c r="H40" s="15">
        <f t="shared" ca="1" si="10"/>
        <v>121921.48256522801</v>
      </c>
      <c r="I40" s="15">
        <f t="shared" ca="1" si="10"/>
        <v>124172.18543046359</v>
      </c>
      <c r="J40" s="15">
        <f t="shared" ca="1" si="10"/>
        <v>126744.85415892118</v>
      </c>
      <c r="K40" s="15">
        <f t="shared" ca="1" si="10"/>
        <v>129319.2633974757</v>
      </c>
      <c r="L40" s="15">
        <f t="shared" ca="1" si="10"/>
        <v>131889.00221573527</v>
      </c>
      <c r="M40" s="15">
        <f t="shared" ca="1" si="10"/>
        <v>134447.15330560738</v>
      </c>
      <c r="N40" s="15">
        <f t="shared" ca="1" si="10"/>
        <v>136986.30136986304</v>
      </c>
      <c r="O40" s="15">
        <f t="shared" ca="1" si="10"/>
        <v>137930.17785708394</v>
      </c>
      <c r="P40" s="15">
        <f t="shared" ca="1" si="10"/>
        <v>138859.75636915039</v>
      </c>
      <c r="Q40" s="15">
        <f t="shared" ca="1" si="10"/>
        <v>139774.12501397743</v>
      </c>
      <c r="R40" s="15">
        <f t="shared" ca="1" si="10"/>
        <v>140672.46649492739</v>
      </c>
      <c r="S40" s="15">
        <f t="shared" ca="1" si="10"/>
        <v>141553.95802372144</v>
      </c>
      <c r="T40" s="15">
        <f t="shared" ca="1" si="10"/>
        <v>142417.68257946911</v>
      </c>
      <c r="U40" s="15">
        <f t="shared" ca="1" si="10"/>
        <v>143262.81703801153</v>
      </c>
      <c r="V40" s="15">
        <f t="shared" ca="1" si="10"/>
        <v>144088.53749575382</v>
      </c>
      <c r="W40" s="15">
        <f t="shared" ca="1" si="10"/>
        <v>144893.93763764927</v>
      </c>
      <c r="X40" s="15">
        <f t="shared" ca="1" si="10"/>
        <v>145678.20405346112</v>
      </c>
      <c r="Y40" s="15">
        <f t="shared" ca="1" si="10"/>
        <v>146440.52778861023</v>
      </c>
      <c r="Z40" s="15">
        <f t="shared" ca="1" si="10"/>
        <v>147180.0306134464</v>
      </c>
      <c r="AA40" s="15">
        <f t="shared" ca="1" si="10"/>
        <v>147895.92577900944</v>
      </c>
      <c r="AB40" s="15">
        <f t="shared" ca="1" si="10"/>
        <v>148587.43659504151</v>
      </c>
      <c r="AC40" s="15">
        <f t="shared" ca="1" si="10"/>
        <v>176239.7492345559</v>
      </c>
    </row>
    <row r="41" spans="1:29" x14ac:dyDescent="0.2">
      <c r="A41" t="s">
        <v>1154</v>
      </c>
      <c r="C41" t="s">
        <v>1155</v>
      </c>
      <c r="D41" s="17" cm="1">
        <f t="array" ref="D41">INDEX(Assumptions!$D:$AC, MATCH("Mars labour share of surface payload — year-row", Assumptions!$A:$A, 0), D$5+1)</f>
        <v>0.3</v>
      </c>
      <c r="E41" s="17" cm="1">
        <f t="array" ref="E41">INDEX(Assumptions!$D:$AC, MATCH("Mars labour share of surface payload — year-row", Assumptions!$A:$A, 0), E$5+1)</f>
        <v>0.316</v>
      </c>
      <c r="F41" s="17" cm="1">
        <f t="array" ref="F41">INDEX(Assumptions!$D:$AC, MATCH("Mars labour share of surface payload — year-row", Assumptions!$A:$A, 0), F$5+1)</f>
        <v>0.33200000000000002</v>
      </c>
      <c r="G41" s="17" cm="1">
        <f t="array" ref="G41">INDEX(Assumptions!$D:$AC, MATCH("Mars labour share of surface payload — year-row", Assumptions!$A:$A, 0), G$5+1)</f>
        <v>0.34799999999999998</v>
      </c>
      <c r="H41" s="17" cm="1">
        <f t="array" ref="H41">INDEX(Assumptions!$D:$AC, MATCH("Mars labour share of surface payload — year-row", Assumptions!$A:$A, 0), H$5+1)</f>
        <v>0.36399999999999999</v>
      </c>
      <c r="I41" s="17" cm="1">
        <f t="array" ref="I41">INDEX(Assumptions!$D:$AC, MATCH("Mars labour share of surface payload — year-row", Assumptions!$A:$A, 0), I$5+1)</f>
        <v>0.38</v>
      </c>
      <c r="J41" s="17" cm="1">
        <f t="array" ref="J41">INDEX(Assumptions!$D:$AC, MATCH("Mars labour share of surface payload — year-row", Assumptions!$A:$A, 0), J$5+1)</f>
        <v>0.39600000000000002</v>
      </c>
      <c r="K41" s="17" cm="1">
        <f t="array" ref="K41">INDEX(Assumptions!$D:$AC, MATCH("Mars labour share of surface payload — year-row", Assumptions!$A:$A, 0), K$5+1)</f>
        <v>0.41199999999999998</v>
      </c>
      <c r="L41" s="17" cm="1">
        <f t="array" ref="L41">INDEX(Assumptions!$D:$AC, MATCH("Mars labour share of surface payload — year-row", Assumptions!$A:$A, 0), L$5+1)</f>
        <v>0.42799999999999999</v>
      </c>
      <c r="M41" s="17" cm="1">
        <f t="array" ref="M41">INDEX(Assumptions!$D:$AC, MATCH("Mars labour share of surface payload — year-row", Assumptions!$A:$A, 0), M$5+1)</f>
        <v>0.44400000000000001</v>
      </c>
      <c r="N41" s="17" cm="1">
        <f t="array" ref="N41">INDEX(Assumptions!$D:$AC, MATCH("Mars labour share of surface payload — year-row", Assumptions!$A:$A, 0), N$5+1)</f>
        <v>0.46</v>
      </c>
      <c r="O41" s="17" cm="1">
        <f t="array" ref="O41">INDEX(Assumptions!$D:$AC, MATCH("Mars labour share of surface payload — year-row", Assumptions!$A:$A, 0), O$5+1)</f>
        <v>0.47599999999999998</v>
      </c>
      <c r="P41" s="17" cm="1">
        <f t="array" ref="P41">INDEX(Assumptions!$D:$AC, MATCH("Mars labour share of surface payload — year-row", Assumptions!$A:$A, 0), P$5+1)</f>
        <v>0.49199999999999999</v>
      </c>
      <c r="Q41" s="17" cm="1">
        <f t="array" ref="Q41">INDEX(Assumptions!$D:$AC, MATCH("Mars labour share of surface payload — year-row", Assumptions!$A:$A, 0), Q$5+1)</f>
        <v>0.50800000000000001</v>
      </c>
      <c r="R41" s="17" cm="1">
        <f t="array" ref="R41">INDEX(Assumptions!$D:$AC, MATCH("Mars labour share of surface payload — year-row", Assumptions!$A:$A, 0), R$5+1)</f>
        <v>0.52400000000000002</v>
      </c>
      <c r="S41" s="17" cm="1">
        <f t="array" ref="S41">INDEX(Assumptions!$D:$AC, MATCH("Mars labour share of surface payload — year-row", Assumptions!$A:$A, 0), S$5+1)</f>
        <v>0.54</v>
      </c>
      <c r="T41" s="17" cm="1">
        <f t="array" ref="T41">INDEX(Assumptions!$D:$AC, MATCH("Mars labour share of surface payload — year-row", Assumptions!$A:$A, 0), T$5+1)</f>
        <v>0.55600000000000005</v>
      </c>
      <c r="U41" s="17" cm="1">
        <f t="array" ref="U41">INDEX(Assumptions!$D:$AC, MATCH("Mars labour share of surface payload — year-row", Assumptions!$A:$A, 0), U$5+1)</f>
        <v>0.57199999999999995</v>
      </c>
      <c r="V41" s="17" cm="1">
        <f t="array" ref="V41">INDEX(Assumptions!$D:$AC, MATCH("Mars labour share of surface payload — year-row", Assumptions!$A:$A, 0), V$5+1)</f>
        <v>0.58799999999999997</v>
      </c>
      <c r="W41" s="17" cm="1">
        <f t="array" ref="W41">INDEX(Assumptions!$D:$AC, MATCH("Mars labour share of surface payload — year-row", Assumptions!$A:$A, 0), W$5+1)</f>
        <v>0.60399999999999998</v>
      </c>
      <c r="X41" s="17" cm="1">
        <f t="array" ref="X41">INDEX(Assumptions!$D:$AC, MATCH("Mars labour share of surface payload — year-row", Assumptions!$A:$A, 0), X$5+1)</f>
        <v>0.62</v>
      </c>
      <c r="Y41" s="17" cm="1">
        <f t="array" ref="Y41">INDEX(Assumptions!$D:$AC, MATCH("Mars labour share of surface payload — year-row", Assumptions!$A:$A, 0), Y$5+1)</f>
        <v>0.63600000000000001</v>
      </c>
      <c r="Z41" s="17" cm="1">
        <f t="array" ref="Z41">INDEX(Assumptions!$D:$AC, MATCH("Mars labour share of surface payload — year-row", Assumptions!$A:$A, 0), Z$5+1)</f>
        <v>0.65200000000000002</v>
      </c>
      <c r="AA41" s="17" cm="1">
        <f t="array" ref="AA41">INDEX(Assumptions!$D:$AC, MATCH("Mars labour share of surface payload — year-row", Assumptions!$A:$A, 0), AA$5+1)</f>
        <v>0.66800000000000004</v>
      </c>
      <c r="AB41" s="17" cm="1">
        <f t="array" ref="AB41">INDEX(Assumptions!$D:$AC, MATCH("Mars labour share of surface payload — year-row", Assumptions!$A:$A, 0), AB$5+1)</f>
        <v>0.68400000000000005</v>
      </c>
      <c r="AC41" s="17" cm="1">
        <f t="array" ref="AC41">INDEX(Assumptions!$D:$AC, MATCH("Mars labour share of surface payload — year-row", Assumptions!$A:$A, 0), AC$5+1)</f>
        <v>0.7</v>
      </c>
    </row>
    <row r="42" spans="1:29" x14ac:dyDescent="0.2">
      <c r="A42" t="s">
        <v>1156</v>
      </c>
      <c r="C42" t="s">
        <v>1157</v>
      </c>
      <c r="D42" s="15">
        <f t="shared" ref="D42:AC42" ca="1" si="11">D40*D41</f>
        <v>0</v>
      </c>
      <c r="E42" s="15">
        <f t="shared" ca="1" si="11"/>
        <v>0</v>
      </c>
      <c r="F42" s="15">
        <f t="shared" ca="1" si="11"/>
        <v>0</v>
      </c>
      <c r="G42" s="15">
        <f t="shared" ca="1" si="11"/>
        <v>41646.720919100051</v>
      </c>
      <c r="H42" s="15">
        <f t="shared" ca="1" si="11"/>
        <v>44379.419653742996</v>
      </c>
      <c r="I42" s="15">
        <f t="shared" ca="1" si="11"/>
        <v>47185.430463576165</v>
      </c>
      <c r="J42" s="15">
        <f t="shared" ca="1" si="11"/>
        <v>50190.962246932788</v>
      </c>
      <c r="K42" s="15">
        <f t="shared" ca="1" si="11"/>
        <v>53279.536519759989</v>
      </c>
      <c r="L42" s="15">
        <f t="shared" ca="1" si="11"/>
        <v>56448.492948334693</v>
      </c>
      <c r="M42" s="15">
        <f t="shared" ca="1" si="11"/>
        <v>59694.536067689682</v>
      </c>
      <c r="N42" s="15">
        <f t="shared" ca="1" si="11"/>
        <v>63013.698630136998</v>
      </c>
      <c r="O42" s="15">
        <f t="shared" ca="1" si="11"/>
        <v>65654.764659971945</v>
      </c>
      <c r="P42" s="15">
        <f t="shared" ca="1" si="11"/>
        <v>68319.000133621987</v>
      </c>
      <c r="Q42" s="15">
        <f t="shared" ca="1" si="11"/>
        <v>71005.255507100534</v>
      </c>
      <c r="R42" s="15">
        <f t="shared" ca="1" si="11"/>
        <v>73712.372443341956</v>
      </c>
      <c r="S42" s="15">
        <f t="shared" ca="1" si="11"/>
        <v>76439.13733280958</v>
      </c>
      <c r="T42" s="15">
        <f t="shared" ca="1" si="11"/>
        <v>79184.231514184838</v>
      </c>
      <c r="U42" s="15">
        <f t="shared" ca="1" si="11"/>
        <v>81946.331345742597</v>
      </c>
      <c r="V42" s="15">
        <f t="shared" ca="1" si="11"/>
        <v>84724.060047503241</v>
      </c>
      <c r="W42" s="15">
        <f t="shared" ca="1" si="11"/>
        <v>87515.938333140162</v>
      </c>
      <c r="X42" s="15">
        <f t="shared" ca="1" si="11"/>
        <v>90320.486513145894</v>
      </c>
      <c r="Y42" s="15">
        <f t="shared" ca="1" si="11"/>
        <v>93136.175673556107</v>
      </c>
      <c r="Z42" s="15">
        <f t="shared" ca="1" si="11"/>
        <v>95961.37995996706</v>
      </c>
      <c r="AA42" s="15">
        <f t="shared" ca="1" si="11"/>
        <v>98794.478420378306</v>
      </c>
      <c r="AB42" s="15">
        <f t="shared" ca="1" si="11"/>
        <v>101633.8066310084</v>
      </c>
      <c r="AC42" s="15">
        <f t="shared" ca="1" si="11"/>
        <v>123367.82446418912</v>
      </c>
    </row>
    <row r="43" spans="1:29" x14ac:dyDescent="0.2">
      <c r="A43" t="s">
        <v>1158</v>
      </c>
      <c r="C43" t="s">
        <v>1159</v>
      </c>
      <c r="D43" s="15">
        <f t="shared" ref="D43:AC43" ca="1" si="12">D40*(1-D41)</f>
        <v>0</v>
      </c>
      <c r="E43" s="15">
        <f t="shared" ca="1" si="12"/>
        <v>0</v>
      </c>
      <c r="F43" s="15">
        <f t="shared" ca="1" si="12"/>
        <v>0</v>
      </c>
      <c r="G43" s="15">
        <f t="shared" ca="1" si="12"/>
        <v>78027.76448061275</v>
      </c>
      <c r="H43" s="15">
        <f t="shared" ca="1" si="12"/>
        <v>77542.062911485016</v>
      </c>
      <c r="I43" s="15">
        <f t="shared" ca="1" si="12"/>
        <v>76986.754966887427</v>
      </c>
      <c r="J43" s="15">
        <f t="shared" ca="1" si="12"/>
        <v>76553.891911988394</v>
      </c>
      <c r="K43" s="15">
        <f t="shared" ca="1" si="12"/>
        <v>76039.72687771573</v>
      </c>
      <c r="L43" s="15">
        <f t="shared" ca="1" si="12"/>
        <v>75440.509267400586</v>
      </c>
      <c r="M43" s="15">
        <f t="shared" ca="1" si="12"/>
        <v>74752.617237917715</v>
      </c>
      <c r="N43" s="15">
        <f t="shared" ca="1" si="12"/>
        <v>73972.602739726048</v>
      </c>
      <c r="O43" s="15">
        <f t="shared" ca="1" si="12"/>
        <v>72275.413197111993</v>
      </c>
      <c r="P43" s="15">
        <f t="shared" ca="1" si="12"/>
        <v>70540.756235528403</v>
      </c>
      <c r="Q43" s="15">
        <f t="shared" ca="1" si="12"/>
        <v>68768.869506876901</v>
      </c>
      <c r="R43" s="15">
        <f t="shared" ca="1" si="12"/>
        <v>66960.094051585431</v>
      </c>
      <c r="S43" s="15">
        <f t="shared" ca="1" si="12"/>
        <v>65114.82069091186</v>
      </c>
      <c r="T43" s="15">
        <f t="shared" ca="1" si="12"/>
        <v>63233.45106528428</v>
      </c>
      <c r="U43" s="15">
        <f t="shared" ca="1" si="12"/>
        <v>61316.485692268943</v>
      </c>
      <c r="V43" s="15">
        <f t="shared" ca="1" si="12"/>
        <v>59364.477448250575</v>
      </c>
      <c r="W43" s="15">
        <f t="shared" ca="1" si="12"/>
        <v>57377.999304509118</v>
      </c>
      <c r="X43" s="15">
        <f t="shared" ca="1" si="12"/>
        <v>55357.717540315221</v>
      </c>
      <c r="Y43" s="15">
        <f t="shared" ca="1" si="12"/>
        <v>53304.35211505412</v>
      </c>
      <c r="Z43" s="15">
        <f t="shared" ca="1" si="12"/>
        <v>51218.650653479344</v>
      </c>
      <c r="AA43" s="15">
        <f t="shared" ca="1" si="12"/>
        <v>49101.447358631129</v>
      </c>
      <c r="AB43" s="15">
        <f t="shared" ca="1" si="12"/>
        <v>46953.629964033105</v>
      </c>
      <c r="AC43" s="15">
        <f t="shared" ca="1" si="12"/>
        <v>52871.924770366779</v>
      </c>
    </row>
    <row r="47" spans="1:29" x14ac:dyDescent="0.2">
      <c r="A47" s="4" t="s">
        <v>1160</v>
      </c>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row>
    <row r="48" spans="1:29" x14ac:dyDescent="0.2">
      <c r="A48" t="s">
        <v>1161</v>
      </c>
      <c r="C48" t="s">
        <v>1162</v>
      </c>
      <c r="D48" s="15">
        <f>IFERROR(INDEX(Assumptions!$B:$B, MATCH("Starship LEO payload per launch — Compute config (kg)", Assumptions!$A:$A, 0)), 150000)</f>
        <v>150000</v>
      </c>
      <c r="E48" s="15">
        <f>IFERROR(INDEX(Assumptions!$B:$B, MATCH("Starship LEO payload per launch — Compute config (kg)", Assumptions!$A:$A, 0)), 150000)</f>
        <v>150000</v>
      </c>
      <c r="F48" s="15">
        <f>IFERROR(INDEX(Assumptions!$B:$B, MATCH("Starship LEO payload per launch — Compute config (kg)", Assumptions!$A:$A, 0)), 150000)</f>
        <v>150000</v>
      </c>
      <c r="G48" s="15">
        <f>IFERROR(INDEX(Assumptions!$B:$B, MATCH("Starship LEO payload per launch — Compute config (kg)", Assumptions!$A:$A, 0)), 150000)</f>
        <v>150000</v>
      </c>
      <c r="H48" s="15">
        <f>IFERROR(INDEX(Assumptions!$B:$B, MATCH("Starship LEO payload per launch — Compute config (kg)", Assumptions!$A:$A, 0)), 150000)</f>
        <v>150000</v>
      </c>
      <c r="I48" s="15">
        <f>IFERROR(INDEX(Assumptions!$B:$B, MATCH("Starship LEO payload per launch — Compute config (kg)", Assumptions!$A:$A, 0)), 150000)</f>
        <v>150000</v>
      </c>
      <c r="J48" s="15">
        <f>IFERROR(INDEX(Assumptions!$B:$B, MATCH("Starship LEO payload per launch — Compute config (kg)", Assumptions!$A:$A, 0)), 150000)</f>
        <v>150000</v>
      </c>
      <c r="K48" s="15">
        <f>IFERROR(INDEX(Assumptions!$B:$B, MATCH("Starship LEO payload per launch — Compute config (kg)", Assumptions!$A:$A, 0)), 150000)</f>
        <v>150000</v>
      </c>
      <c r="L48" s="15">
        <f>IFERROR(INDEX(Assumptions!$B:$B, MATCH("Starship LEO payload per launch — Compute config (kg)", Assumptions!$A:$A, 0)), 150000)</f>
        <v>150000</v>
      </c>
      <c r="M48" s="15">
        <f>IFERROR(INDEX(Assumptions!$B:$B, MATCH("Starship LEO payload per launch — Compute config (kg)", Assumptions!$A:$A, 0)), 150000)</f>
        <v>150000</v>
      </c>
      <c r="N48" s="15">
        <f>IFERROR(INDEX(Assumptions!$B:$B, MATCH("Starship LEO payload per launch — Compute config (kg)", Assumptions!$A:$A, 0)), 150000)</f>
        <v>150000</v>
      </c>
      <c r="O48" s="15">
        <f>IFERROR(INDEX(Assumptions!$B:$B, MATCH("Starship LEO payload per launch — Compute config (kg)", Assumptions!$A:$A, 0)), 150000)</f>
        <v>150000</v>
      </c>
      <c r="P48" s="15">
        <f>IFERROR(INDEX(Assumptions!$B:$B, MATCH("Starship LEO payload per launch — Compute config (kg)", Assumptions!$A:$A, 0)), 150000)</f>
        <v>150000</v>
      </c>
      <c r="Q48" s="15">
        <f>IFERROR(INDEX(Assumptions!$B:$B, MATCH("Starship LEO payload per launch — Compute config (kg)", Assumptions!$A:$A, 0)), 150000)</f>
        <v>150000</v>
      </c>
      <c r="R48" s="15">
        <f>IFERROR(INDEX(Assumptions!$B:$B, MATCH("Starship LEO payload per launch — Compute config (kg)", Assumptions!$A:$A, 0)), 150000)</f>
        <v>150000</v>
      </c>
      <c r="S48" s="15">
        <f>IFERROR(INDEX(Assumptions!$B:$B, MATCH("Starship LEO payload per launch — Compute config (kg)", Assumptions!$A:$A, 0)), 150000)</f>
        <v>150000</v>
      </c>
      <c r="T48" s="15">
        <f>IFERROR(INDEX(Assumptions!$B:$B, MATCH("Starship LEO payload per launch — Compute config (kg)", Assumptions!$A:$A, 0)), 150000)</f>
        <v>150000</v>
      </c>
      <c r="U48" s="15">
        <f>IFERROR(INDEX(Assumptions!$B:$B, MATCH("Starship LEO payload per launch — Compute config (kg)", Assumptions!$A:$A, 0)), 150000)</f>
        <v>150000</v>
      </c>
      <c r="V48" s="15">
        <f>IFERROR(INDEX(Assumptions!$B:$B, MATCH("Starship LEO payload per launch — Compute config (kg)", Assumptions!$A:$A, 0)), 150000)</f>
        <v>150000</v>
      </c>
      <c r="W48" s="15">
        <f>IFERROR(INDEX(Assumptions!$B:$B, MATCH("Starship LEO payload per launch — Compute config (kg)", Assumptions!$A:$A, 0)), 150000)</f>
        <v>150000</v>
      </c>
      <c r="X48" s="15">
        <f>IFERROR(INDEX(Assumptions!$B:$B, MATCH("Starship LEO payload per launch — Compute config (kg)", Assumptions!$A:$A, 0)), 150000)</f>
        <v>150000</v>
      </c>
      <c r="Y48" s="15">
        <f>IFERROR(INDEX(Assumptions!$B:$B, MATCH("Starship LEO payload per launch — Compute config (kg)", Assumptions!$A:$A, 0)), 150000)</f>
        <v>150000</v>
      </c>
      <c r="Z48" s="15">
        <f>IFERROR(INDEX(Assumptions!$B:$B, MATCH("Starship LEO payload per launch — Compute config (kg)", Assumptions!$A:$A, 0)), 150000)</f>
        <v>150000</v>
      </c>
      <c r="AA48" s="15">
        <f>IFERROR(INDEX(Assumptions!$B:$B, MATCH("Starship LEO payload per launch — Compute config (kg)", Assumptions!$A:$A, 0)), 150000)</f>
        <v>150000</v>
      </c>
      <c r="AB48" s="15">
        <f>IFERROR(INDEX(Assumptions!$B:$B, MATCH("Starship LEO payload per launch — Compute config (kg)", Assumptions!$A:$A, 0)), 150000)</f>
        <v>150000</v>
      </c>
      <c r="AC48" s="15">
        <f>IFERROR(INDEX(Assumptions!$B:$B, MATCH("Starship LEO payload per launch — Compute config (kg)", Assumptions!$A:$A, 0)), 150000)</f>
        <v>150000</v>
      </c>
    </row>
    <row r="49" spans="1:29" x14ac:dyDescent="0.2">
      <c r="A49" t="s">
        <v>1163</v>
      </c>
      <c r="C49" t="s">
        <v>1164</v>
      </c>
      <c r="D49" s="15">
        <f t="shared" ref="D49:AC49" ca="1" si="13">D31*D48</f>
        <v>0</v>
      </c>
      <c r="E49" s="15">
        <f t="shared" ca="1" si="13"/>
        <v>0</v>
      </c>
      <c r="F49" s="15">
        <f t="shared" ca="1" si="13"/>
        <v>0</v>
      </c>
      <c r="G49" s="15">
        <f t="shared" ca="1" si="13"/>
        <v>2249839.2971930574</v>
      </c>
      <c r="H49" s="15">
        <f t="shared" ca="1" si="13"/>
        <v>2306931.7807316268</v>
      </c>
      <c r="I49" s="15">
        <f t="shared" ca="1" si="13"/>
        <v>2364864.8648648649</v>
      </c>
      <c r="J49" s="15">
        <f t="shared" ca="1" si="13"/>
        <v>2432019.2708574603</v>
      </c>
      <c r="K49" s="15">
        <f t="shared" ca="1" si="13"/>
        <v>2500238.1179159922</v>
      </c>
      <c r="L49" s="15">
        <f t="shared" ca="1" si="13"/>
        <v>2569373.0729701952</v>
      </c>
      <c r="M49" s="15">
        <f t="shared" ca="1" si="13"/>
        <v>2639251.9605871709</v>
      </c>
      <c r="N49" s="15">
        <f t="shared" ca="1" si="13"/>
        <v>2709677.4193548388</v>
      </c>
      <c r="O49" s="15">
        <f t="shared" ca="1" si="13"/>
        <v>2736132.2738275211</v>
      </c>
      <c r="P49" s="15">
        <f t="shared" ca="1" si="13"/>
        <v>2762334.348366682</v>
      </c>
      <c r="Q49" s="15">
        <f t="shared" ca="1" si="13"/>
        <v>2788252.164214775</v>
      </c>
      <c r="R49" s="15">
        <f t="shared" ca="1" si="13"/>
        <v>2813856.3817832624</v>
      </c>
      <c r="S49" s="15">
        <f t="shared" ca="1" si="13"/>
        <v>2839117.0135182124</v>
      </c>
      <c r="T49" s="15">
        <f t="shared" ca="1" si="13"/>
        <v>2864000.8728383612</v>
      </c>
      <c r="U49" s="15">
        <f t="shared" ca="1" si="13"/>
        <v>2888476.9847350512</v>
      </c>
      <c r="V49" s="15">
        <f t="shared" ca="1" si="13"/>
        <v>2912513.9153327043</v>
      </c>
      <c r="W49" s="15">
        <f t="shared" ca="1" si="13"/>
        <v>2936077.4005928081</v>
      </c>
      <c r="X49" s="15">
        <f t="shared" ca="1" si="13"/>
        <v>2959135.4803965515</v>
      </c>
      <c r="Y49" s="15">
        <f t="shared" ca="1" si="13"/>
        <v>2981655.9749831455</v>
      </c>
      <c r="Z49" s="15">
        <f t="shared" ca="1" si="13"/>
        <v>3003604.3251902284</v>
      </c>
      <c r="AA49" s="15">
        <f t="shared" ca="1" si="13"/>
        <v>3024948.3827849543</v>
      </c>
      <c r="AB49" s="15">
        <f t="shared" ca="1" si="13"/>
        <v>3045656.063859019</v>
      </c>
      <c r="AC49" s="15">
        <f t="shared" ca="1" si="13"/>
        <v>3619990.1777083226</v>
      </c>
    </row>
    <row r="50" spans="1:29" x14ac:dyDescent="0.2">
      <c r="A50" t="s">
        <v>1165</v>
      </c>
      <c r="C50" t="s">
        <v>1166</v>
      </c>
      <c r="D50" s="15">
        <f t="shared" ref="D50:AC50" ca="1" si="14">D39*D48</f>
        <v>0</v>
      </c>
      <c r="E50" s="15">
        <f t="shared" ca="1" si="14"/>
        <v>0</v>
      </c>
      <c r="F50" s="15">
        <f t="shared" ca="1" si="14"/>
        <v>0</v>
      </c>
      <c r="G50" s="15">
        <f t="shared" ca="1" si="14"/>
        <v>1077070.368597415</v>
      </c>
      <c r="H50" s="15">
        <f t="shared" ca="1" si="14"/>
        <v>1097293.3430870522</v>
      </c>
      <c r="I50" s="15">
        <f t="shared" ca="1" si="14"/>
        <v>1117549.6688741725</v>
      </c>
      <c r="J50" s="15">
        <f t="shared" ca="1" si="14"/>
        <v>1140703.6874302907</v>
      </c>
      <c r="K50" s="15">
        <f t="shared" ca="1" si="14"/>
        <v>1163873.3705772813</v>
      </c>
      <c r="L50" s="15">
        <f t="shared" ca="1" si="14"/>
        <v>1187001.0199416175</v>
      </c>
      <c r="M50" s="15">
        <f t="shared" ca="1" si="14"/>
        <v>1210024.3797504664</v>
      </c>
      <c r="N50" s="15">
        <f t="shared" ca="1" si="14"/>
        <v>1232876.7123287676</v>
      </c>
      <c r="O50" s="15">
        <f t="shared" ca="1" si="14"/>
        <v>1241371.6007137552</v>
      </c>
      <c r="P50" s="15">
        <f t="shared" ca="1" si="14"/>
        <v>1249737.8073223534</v>
      </c>
      <c r="Q50" s="15">
        <f t="shared" ca="1" si="14"/>
        <v>1257967.1251257968</v>
      </c>
      <c r="R50" s="15">
        <f t="shared" ca="1" si="14"/>
        <v>1266052.1984543463</v>
      </c>
      <c r="S50" s="15">
        <f t="shared" ca="1" si="14"/>
        <v>1273985.6222134929</v>
      </c>
      <c r="T50" s="15">
        <f t="shared" ca="1" si="14"/>
        <v>1281759.1432152221</v>
      </c>
      <c r="U50" s="15">
        <f t="shared" ca="1" si="14"/>
        <v>1289365.3533421038</v>
      </c>
      <c r="V50" s="15">
        <f t="shared" ca="1" si="14"/>
        <v>1296796.8374617842</v>
      </c>
      <c r="W50" s="15">
        <f t="shared" ca="1" si="14"/>
        <v>1304045.4387388432</v>
      </c>
      <c r="X50" s="15">
        <f t="shared" ca="1" si="14"/>
        <v>1311103.83648115</v>
      </c>
      <c r="Y50" s="15">
        <f t="shared" ca="1" si="14"/>
        <v>1317964.750097492</v>
      </c>
      <c r="Z50" s="15">
        <f t="shared" ca="1" si="14"/>
        <v>1324620.2755210178</v>
      </c>
      <c r="AA50" s="15">
        <f t="shared" ca="1" si="14"/>
        <v>1331063.3320110848</v>
      </c>
      <c r="AB50" s="15">
        <f t="shared" ca="1" si="14"/>
        <v>1337286.9293553736</v>
      </c>
      <c r="AC50" s="15">
        <f t="shared" ca="1" si="14"/>
        <v>1586157.7431110032</v>
      </c>
    </row>
    <row r="51" spans="1:29" x14ac:dyDescent="0.2">
      <c r="A51" t="s">
        <v>1167</v>
      </c>
      <c r="C51" t="s">
        <v>1168</v>
      </c>
      <c r="D51" s="15">
        <f t="shared" ref="D51:AC51" ca="1" si="15">D49+D50</f>
        <v>0</v>
      </c>
      <c r="E51" s="15">
        <f t="shared" ca="1" si="15"/>
        <v>0</v>
      </c>
      <c r="F51" s="15">
        <f t="shared" ca="1" si="15"/>
        <v>0</v>
      </c>
      <c r="G51" s="15">
        <f t="shared" ca="1" si="15"/>
        <v>3326909.6657904722</v>
      </c>
      <c r="H51" s="15">
        <f t="shared" ca="1" si="15"/>
        <v>3404225.1238186788</v>
      </c>
      <c r="I51" s="15">
        <f t="shared" ca="1" si="15"/>
        <v>3482414.5337390373</v>
      </c>
      <c r="J51" s="15">
        <f t="shared" ca="1" si="15"/>
        <v>3572722.9582877513</v>
      </c>
      <c r="K51" s="15">
        <f t="shared" ca="1" si="15"/>
        <v>3664111.4884932735</v>
      </c>
      <c r="L51" s="15">
        <f t="shared" ca="1" si="15"/>
        <v>3756374.0929118125</v>
      </c>
      <c r="M51" s="15">
        <f t="shared" ca="1" si="15"/>
        <v>3849276.3403376373</v>
      </c>
      <c r="N51" s="15">
        <f t="shared" ca="1" si="15"/>
        <v>3942554.1316836067</v>
      </c>
      <c r="O51" s="15">
        <f t="shared" ca="1" si="15"/>
        <v>3977503.8745412761</v>
      </c>
      <c r="P51" s="15">
        <f t="shared" ca="1" si="15"/>
        <v>4012072.1556890355</v>
      </c>
      <c r="Q51" s="15">
        <f t="shared" ca="1" si="15"/>
        <v>4046219.2893405715</v>
      </c>
      <c r="R51" s="15">
        <f t="shared" ca="1" si="15"/>
        <v>4079908.5802376084</v>
      </c>
      <c r="S51" s="15">
        <f t="shared" ca="1" si="15"/>
        <v>4113102.6357317055</v>
      </c>
      <c r="T51" s="15">
        <f t="shared" ca="1" si="15"/>
        <v>4145760.0160535835</v>
      </c>
      <c r="U51" s="15">
        <f t="shared" ca="1" si="15"/>
        <v>4177842.3380771549</v>
      </c>
      <c r="V51" s="15">
        <f t="shared" ca="1" si="15"/>
        <v>4209310.7527944883</v>
      </c>
      <c r="W51" s="15">
        <f t="shared" ca="1" si="15"/>
        <v>4240122.8393316511</v>
      </c>
      <c r="X51" s="15">
        <f t="shared" ca="1" si="15"/>
        <v>4270239.3168777013</v>
      </c>
      <c r="Y51" s="15">
        <f t="shared" ca="1" si="15"/>
        <v>4299620.7250806373</v>
      </c>
      <c r="Z51" s="15">
        <f t="shared" ca="1" si="15"/>
        <v>4328224.600711246</v>
      </c>
      <c r="AA51" s="15">
        <f t="shared" ca="1" si="15"/>
        <v>4356011.7147960393</v>
      </c>
      <c r="AB51" s="15">
        <f t="shared" ca="1" si="15"/>
        <v>4382942.993214393</v>
      </c>
      <c r="AC51" s="15">
        <f t="shared" ca="1" si="15"/>
        <v>5206147.9208193254</v>
      </c>
    </row>
    <row r="57" spans="1:29" x14ac:dyDescent="0.2">
      <c r="A57" s="4" t="s">
        <v>1169</v>
      </c>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row>
    <row r="58" spans="1:29" x14ac:dyDescent="0.2">
      <c r="A58" t="s">
        <v>395</v>
      </c>
      <c r="C58" t="s">
        <v>1170</v>
      </c>
      <c r="D58" s="15">
        <f>INDEX(Assumptions!$B:$B, MATCH("Labour unit mass (kg)", Assumptions!$A:$A, 0))</f>
        <v>60</v>
      </c>
      <c r="E58" s="15">
        <f>INDEX(Assumptions!$B:$B, MATCH("Labour unit mass (kg)", Assumptions!$A:$A, 0))</f>
        <v>60</v>
      </c>
      <c r="F58" s="15">
        <f>INDEX(Assumptions!$B:$B, MATCH("Labour unit mass (kg)", Assumptions!$A:$A, 0))</f>
        <v>60</v>
      </c>
      <c r="G58" s="15">
        <f>INDEX(Assumptions!$B:$B, MATCH("Labour unit mass (kg)", Assumptions!$A:$A, 0))</f>
        <v>60</v>
      </c>
      <c r="H58" s="15">
        <f>INDEX(Assumptions!$B:$B, MATCH("Labour unit mass (kg)", Assumptions!$A:$A, 0))</f>
        <v>60</v>
      </c>
      <c r="I58" s="15">
        <f>INDEX(Assumptions!$B:$B, MATCH("Labour unit mass (kg)", Assumptions!$A:$A, 0))</f>
        <v>60</v>
      </c>
      <c r="J58" s="15">
        <f>INDEX(Assumptions!$B:$B, MATCH("Labour unit mass (kg)", Assumptions!$A:$A, 0))</f>
        <v>60</v>
      </c>
      <c r="K58" s="15">
        <f>INDEX(Assumptions!$B:$B, MATCH("Labour unit mass (kg)", Assumptions!$A:$A, 0))</f>
        <v>60</v>
      </c>
      <c r="L58" s="15">
        <f>INDEX(Assumptions!$B:$B, MATCH("Labour unit mass (kg)", Assumptions!$A:$A, 0))</f>
        <v>60</v>
      </c>
      <c r="M58" s="15">
        <f>INDEX(Assumptions!$B:$B, MATCH("Labour unit mass (kg)", Assumptions!$A:$A, 0))</f>
        <v>60</v>
      </c>
      <c r="N58" s="15">
        <f>INDEX(Assumptions!$B:$B, MATCH("Labour unit mass (kg)", Assumptions!$A:$A, 0))</f>
        <v>60</v>
      </c>
      <c r="O58" s="15">
        <f>INDEX(Assumptions!$B:$B, MATCH("Labour unit mass (kg)", Assumptions!$A:$A, 0))</f>
        <v>60</v>
      </c>
      <c r="P58" s="15">
        <f>INDEX(Assumptions!$B:$B, MATCH("Labour unit mass (kg)", Assumptions!$A:$A, 0))</f>
        <v>60</v>
      </c>
      <c r="Q58" s="15">
        <f>INDEX(Assumptions!$B:$B, MATCH("Labour unit mass (kg)", Assumptions!$A:$A, 0))</f>
        <v>60</v>
      </c>
      <c r="R58" s="15">
        <f>INDEX(Assumptions!$B:$B, MATCH("Labour unit mass (kg)", Assumptions!$A:$A, 0))</f>
        <v>60</v>
      </c>
      <c r="S58" s="15">
        <f>INDEX(Assumptions!$B:$B, MATCH("Labour unit mass (kg)", Assumptions!$A:$A, 0))</f>
        <v>60</v>
      </c>
      <c r="T58" s="15">
        <f>INDEX(Assumptions!$B:$B, MATCH("Labour unit mass (kg)", Assumptions!$A:$A, 0))</f>
        <v>60</v>
      </c>
      <c r="U58" s="15">
        <f>INDEX(Assumptions!$B:$B, MATCH("Labour unit mass (kg)", Assumptions!$A:$A, 0))</f>
        <v>60</v>
      </c>
      <c r="V58" s="15">
        <f>INDEX(Assumptions!$B:$B, MATCH("Labour unit mass (kg)", Assumptions!$A:$A, 0))</f>
        <v>60</v>
      </c>
      <c r="W58" s="15">
        <f>INDEX(Assumptions!$B:$B, MATCH("Labour unit mass (kg)", Assumptions!$A:$A, 0))</f>
        <v>60</v>
      </c>
      <c r="X58" s="15">
        <f>INDEX(Assumptions!$B:$B, MATCH("Labour unit mass (kg)", Assumptions!$A:$A, 0))</f>
        <v>60</v>
      </c>
      <c r="Y58" s="15">
        <f>INDEX(Assumptions!$B:$B, MATCH("Labour unit mass (kg)", Assumptions!$A:$A, 0))</f>
        <v>60</v>
      </c>
      <c r="Z58" s="15">
        <f>INDEX(Assumptions!$B:$B, MATCH("Labour unit mass (kg)", Assumptions!$A:$A, 0))</f>
        <v>60</v>
      </c>
      <c r="AA58" s="15">
        <f>INDEX(Assumptions!$B:$B, MATCH("Labour unit mass (kg)", Assumptions!$A:$A, 0))</f>
        <v>60</v>
      </c>
      <c r="AB58" s="15">
        <f>INDEX(Assumptions!$B:$B, MATCH("Labour unit mass (kg)", Assumptions!$A:$A, 0))</f>
        <v>60</v>
      </c>
      <c r="AC58" s="15">
        <f>INDEX(Assumptions!$B:$B, MATCH("Labour unit mass (kg)", Assumptions!$A:$A, 0))</f>
        <v>60</v>
      </c>
    </row>
    <row r="59" spans="1:29" x14ac:dyDescent="0.2">
      <c r="A59" t="s">
        <v>1171</v>
      </c>
      <c r="C59" t="s">
        <v>1172</v>
      </c>
      <c r="D59" s="29">
        <f>INDEX(Assumptions!$B:$B, MATCH("Labour unit operational lifespan on surface (years)", Assumptions!$A:$A, 0))</f>
        <v>5</v>
      </c>
      <c r="E59" s="29">
        <f>INDEX(Assumptions!$B:$B, MATCH("Labour unit operational lifespan on surface (years)", Assumptions!$A:$A, 0))</f>
        <v>5</v>
      </c>
      <c r="F59" s="29">
        <f>INDEX(Assumptions!$B:$B, MATCH("Labour unit operational lifespan on surface (years)", Assumptions!$A:$A, 0))</f>
        <v>5</v>
      </c>
      <c r="G59" s="29">
        <f>INDEX(Assumptions!$B:$B, MATCH("Labour unit operational lifespan on surface (years)", Assumptions!$A:$A, 0))</f>
        <v>5</v>
      </c>
      <c r="H59" s="29">
        <f>INDEX(Assumptions!$B:$B, MATCH("Labour unit operational lifespan on surface (years)", Assumptions!$A:$A, 0))</f>
        <v>5</v>
      </c>
      <c r="I59" s="29">
        <f>INDEX(Assumptions!$B:$B, MATCH("Labour unit operational lifespan on surface (years)", Assumptions!$A:$A, 0))</f>
        <v>5</v>
      </c>
      <c r="J59" s="29">
        <f>INDEX(Assumptions!$B:$B, MATCH("Labour unit operational lifespan on surface (years)", Assumptions!$A:$A, 0))</f>
        <v>5</v>
      </c>
      <c r="K59" s="29">
        <f>INDEX(Assumptions!$B:$B, MATCH("Labour unit operational lifespan on surface (years)", Assumptions!$A:$A, 0))</f>
        <v>5</v>
      </c>
      <c r="L59" s="29">
        <f>INDEX(Assumptions!$B:$B, MATCH("Labour unit operational lifespan on surface (years)", Assumptions!$A:$A, 0))</f>
        <v>5</v>
      </c>
      <c r="M59" s="29">
        <f>INDEX(Assumptions!$B:$B, MATCH("Labour unit operational lifespan on surface (years)", Assumptions!$A:$A, 0))</f>
        <v>5</v>
      </c>
      <c r="N59" s="29">
        <f>INDEX(Assumptions!$B:$B, MATCH("Labour unit operational lifespan on surface (years)", Assumptions!$A:$A, 0))</f>
        <v>5</v>
      </c>
      <c r="O59" s="29">
        <f>INDEX(Assumptions!$B:$B, MATCH("Labour unit operational lifespan on surface (years)", Assumptions!$A:$A, 0))</f>
        <v>5</v>
      </c>
      <c r="P59" s="29">
        <f>INDEX(Assumptions!$B:$B, MATCH("Labour unit operational lifespan on surface (years)", Assumptions!$A:$A, 0))</f>
        <v>5</v>
      </c>
      <c r="Q59" s="29">
        <f>INDEX(Assumptions!$B:$B, MATCH("Labour unit operational lifespan on surface (years)", Assumptions!$A:$A, 0))</f>
        <v>5</v>
      </c>
      <c r="R59" s="29">
        <f>INDEX(Assumptions!$B:$B, MATCH("Labour unit operational lifespan on surface (years)", Assumptions!$A:$A, 0))</f>
        <v>5</v>
      </c>
      <c r="S59" s="29">
        <f>INDEX(Assumptions!$B:$B, MATCH("Labour unit operational lifespan on surface (years)", Assumptions!$A:$A, 0))</f>
        <v>5</v>
      </c>
      <c r="T59" s="29">
        <f>INDEX(Assumptions!$B:$B, MATCH("Labour unit operational lifespan on surface (years)", Assumptions!$A:$A, 0))</f>
        <v>5</v>
      </c>
      <c r="U59" s="29">
        <f>INDEX(Assumptions!$B:$B, MATCH("Labour unit operational lifespan on surface (years)", Assumptions!$A:$A, 0))</f>
        <v>5</v>
      </c>
      <c r="V59" s="29">
        <f>INDEX(Assumptions!$B:$B, MATCH("Labour unit operational lifespan on surface (years)", Assumptions!$A:$A, 0))</f>
        <v>5</v>
      </c>
      <c r="W59" s="29">
        <f>INDEX(Assumptions!$B:$B, MATCH("Labour unit operational lifespan on surface (years)", Assumptions!$A:$A, 0))</f>
        <v>5</v>
      </c>
      <c r="X59" s="29">
        <f>INDEX(Assumptions!$B:$B, MATCH("Labour unit operational lifespan on surface (years)", Assumptions!$A:$A, 0))</f>
        <v>5</v>
      </c>
      <c r="Y59" s="29">
        <f>INDEX(Assumptions!$B:$B, MATCH("Labour unit operational lifespan on surface (years)", Assumptions!$A:$A, 0))</f>
        <v>5</v>
      </c>
      <c r="Z59" s="29">
        <f>INDEX(Assumptions!$B:$B, MATCH("Labour unit operational lifespan on surface (years)", Assumptions!$A:$A, 0))</f>
        <v>5</v>
      </c>
      <c r="AA59" s="29">
        <f>INDEX(Assumptions!$B:$B, MATCH("Labour unit operational lifespan on surface (years)", Assumptions!$A:$A, 0))</f>
        <v>5</v>
      </c>
      <c r="AB59" s="29">
        <f>INDEX(Assumptions!$B:$B, MATCH("Labour unit operational lifespan on surface (years)", Assumptions!$A:$A, 0))</f>
        <v>5</v>
      </c>
      <c r="AC59" s="29">
        <f>INDEX(Assumptions!$B:$B, MATCH("Labour unit operational lifespan on surface (years)", Assumptions!$A:$A, 0))</f>
        <v>5</v>
      </c>
    </row>
    <row r="60" spans="1:29" x14ac:dyDescent="0.2">
      <c r="A60" t="s">
        <v>1173</v>
      </c>
      <c r="C60" t="s">
        <v>1174</v>
      </c>
      <c r="D60" s="23">
        <f>INDEX(Assumptions!$B:$B, MATCH("Labour unit base hourly output ($/hr; burdened $22/0.7)", Assumptions!$A:$A, 0))</f>
        <v>31.43</v>
      </c>
      <c r="E60" s="23">
        <f>INDEX(Assumptions!$B:$B, MATCH("Labour unit base hourly output ($/hr; burdened $22/0.7)", Assumptions!$A:$A, 0))</f>
        <v>31.43</v>
      </c>
      <c r="F60" s="23">
        <f>INDEX(Assumptions!$B:$B, MATCH("Labour unit base hourly output ($/hr; burdened $22/0.7)", Assumptions!$A:$A, 0))</f>
        <v>31.43</v>
      </c>
      <c r="G60" s="23">
        <f>INDEX(Assumptions!$B:$B, MATCH("Labour unit base hourly output ($/hr; burdened $22/0.7)", Assumptions!$A:$A, 0))</f>
        <v>31.43</v>
      </c>
      <c r="H60" s="23">
        <f>INDEX(Assumptions!$B:$B, MATCH("Labour unit base hourly output ($/hr; burdened $22/0.7)", Assumptions!$A:$A, 0))</f>
        <v>31.43</v>
      </c>
      <c r="I60" s="23">
        <f>INDEX(Assumptions!$B:$B, MATCH("Labour unit base hourly output ($/hr; burdened $22/0.7)", Assumptions!$A:$A, 0))</f>
        <v>31.43</v>
      </c>
      <c r="J60" s="23">
        <f>INDEX(Assumptions!$B:$B, MATCH("Labour unit base hourly output ($/hr; burdened $22/0.7)", Assumptions!$A:$A, 0))</f>
        <v>31.43</v>
      </c>
      <c r="K60" s="23">
        <f>INDEX(Assumptions!$B:$B, MATCH("Labour unit base hourly output ($/hr; burdened $22/0.7)", Assumptions!$A:$A, 0))</f>
        <v>31.43</v>
      </c>
      <c r="L60" s="23">
        <f>INDEX(Assumptions!$B:$B, MATCH("Labour unit base hourly output ($/hr; burdened $22/0.7)", Assumptions!$A:$A, 0))</f>
        <v>31.43</v>
      </c>
      <c r="M60" s="23">
        <f>INDEX(Assumptions!$B:$B, MATCH("Labour unit base hourly output ($/hr; burdened $22/0.7)", Assumptions!$A:$A, 0))</f>
        <v>31.43</v>
      </c>
      <c r="N60" s="23">
        <f>INDEX(Assumptions!$B:$B, MATCH("Labour unit base hourly output ($/hr; burdened $22/0.7)", Assumptions!$A:$A, 0))</f>
        <v>31.43</v>
      </c>
      <c r="O60" s="23">
        <f>INDEX(Assumptions!$B:$B, MATCH("Labour unit base hourly output ($/hr; burdened $22/0.7)", Assumptions!$A:$A, 0))</f>
        <v>31.43</v>
      </c>
      <c r="P60" s="23">
        <f>INDEX(Assumptions!$B:$B, MATCH("Labour unit base hourly output ($/hr; burdened $22/0.7)", Assumptions!$A:$A, 0))</f>
        <v>31.43</v>
      </c>
      <c r="Q60" s="23">
        <f>INDEX(Assumptions!$B:$B, MATCH("Labour unit base hourly output ($/hr; burdened $22/0.7)", Assumptions!$A:$A, 0))</f>
        <v>31.43</v>
      </c>
      <c r="R60" s="23">
        <f>INDEX(Assumptions!$B:$B, MATCH("Labour unit base hourly output ($/hr; burdened $22/0.7)", Assumptions!$A:$A, 0))</f>
        <v>31.43</v>
      </c>
      <c r="S60" s="23">
        <f>INDEX(Assumptions!$B:$B, MATCH("Labour unit base hourly output ($/hr; burdened $22/0.7)", Assumptions!$A:$A, 0))</f>
        <v>31.43</v>
      </c>
      <c r="T60" s="23">
        <f>INDEX(Assumptions!$B:$B, MATCH("Labour unit base hourly output ($/hr; burdened $22/0.7)", Assumptions!$A:$A, 0))</f>
        <v>31.43</v>
      </c>
      <c r="U60" s="23">
        <f>INDEX(Assumptions!$B:$B, MATCH("Labour unit base hourly output ($/hr; burdened $22/0.7)", Assumptions!$A:$A, 0))</f>
        <v>31.43</v>
      </c>
      <c r="V60" s="23">
        <f>INDEX(Assumptions!$B:$B, MATCH("Labour unit base hourly output ($/hr; burdened $22/0.7)", Assumptions!$A:$A, 0))</f>
        <v>31.43</v>
      </c>
      <c r="W60" s="23">
        <f>INDEX(Assumptions!$B:$B, MATCH("Labour unit base hourly output ($/hr; burdened $22/0.7)", Assumptions!$A:$A, 0))</f>
        <v>31.43</v>
      </c>
      <c r="X60" s="23">
        <f>INDEX(Assumptions!$B:$B, MATCH("Labour unit base hourly output ($/hr; burdened $22/0.7)", Assumptions!$A:$A, 0))</f>
        <v>31.43</v>
      </c>
      <c r="Y60" s="23">
        <f>INDEX(Assumptions!$B:$B, MATCH("Labour unit base hourly output ($/hr; burdened $22/0.7)", Assumptions!$A:$A, 0))</f>
        <v>31.43</v>
      </c>
      <c r="Z60" s="23">
        <f>INDEX(Assumptions!$B:$B, MATCH("Labour unit base hourly output ($/hr; burdened $22/0.7)", Assumptions!$A:$A, 0))</f>
        <v>31.43</v>
      </c>
      <c r="AA60" s="23">
        <f>INDEX(Assumptions!$B:$B, MATCH("Labour unit base hourly output ($/hr; burdened $22/0.7)", Assumptions!$A:$A, 0))</f>
        <v>31.43</v>
      </c>
      <c r="AB60" s="23">
        <f>INDEX(Assumptions!$B:$B, MATCH("Labour unit base hourly output ($/hr; burdened $22/0.7)", Assumptions!$A:$A, 0))</f>
        <v>31.43</v>
      </c>
      <c r="AC60" s="23">
        <f>INDEX(Assumptions!$B:$B, MATCH("Labour unit base hourly output ($/hr; burdened $22/0.7)", Assumptions!$A:$A, 0))</f>
        <v>31.43</v>
      </c>
    </row>
    <row r="61" spans="1:29" x14ac:dyDescent="0.2">
      <c r="A61" t="s">
        <v>398</v>
      </c>
      <c r="C61" t="s">
        <v>1175</v>
      </c>
      <c r="D61" s="24">
        <f>INDEX(Assumptions!$B:$B, MATCH("Labour unit daily working hours", Assumptions!$A:$A, 0))</f>
        <v>22</v>
      </c>
      <c r="E61" s="24">
        <f>INDEX(Assumptions!$B:$B, MATCH("Labour unit daily working hours", Assumptions!$A:$A, 0))</f>
        <v>22</v>
      </c>
      <c r="F61" s="24">
        <f>INDEX(Assumptions!$B:$B, MATCH("Labour unit daily working hours", Assumptions!$A:$A, 0))</f>
        <v>22</v>
      </c>
      <c r="G61" s="24">
        <f>INDEX(Assumptions!$B:$B, MATCH("Labour unit daily working hours", Assumptions!$A:$A, 0))</f>
        <v>22</v>
      </c>
      <c r="H61" s="24">
        <f>INDEX(Assumptions!$B:$B, MATCH("Labour unit daily working hours", Assumptions!$A:$A, 0))</f>
        <v>22</v>
      </c>
      <c r="I61" s="24">
        <f>INDEX(Assumptions!$B:$B, MATCH("Labour unit daily working hours", Assumptions!$A:$A, 0))</f>
        <v>22</v>
      </c>
      <c r="J61" s="24">
        <f>INDEX(Assumptions!$B:$B, MATCH("Labour unit daily working hours", Assumptions!$A:$A, 0))</f>
        <v>22</v>
      </c>
      <c r="K61" s="24">
        <f>INDEX(Assumptions!$B:$B, MATCH("Labour unit daily working hours", Assumptions!$A:$A, 0))</f>
        <v>22</v>
      </c>
      <c r="L61" s="24">
        <f>INDEX(Assumptions!$B:$B, MATCH("Labour unit daily working hours", Assumptions!$A:$A, 0))</f>
        <v>22</v>
      </c>
      <c r="M61" s="24">
        <f>INDEX(Assumptions!$B:$B, MATCH("Labour unit daily working hours", Assumptions!$A:$A, 0))</f>
        <v>22</v>
      </c>
      <c r="N61" s="24">
        <f>INDEX(Assumptions!$B:$B, MATCH("Labour unit daily working hours", Assumptions!$A:$A, 0))</f>
        <v>22</v>
      </c>
      <c r="O61" s="24">
        <f>INDEX(Assumptions!$B:$B, MATCH("Labour unit daily working hours", Assumptions!$A:$A, 0))</f>
        <v>22</v>
      </c>
      <c r="P61" s="24">
        <f>INDEX(Assumptions!$B:$B, MATCH("Labour unit daily working hours", Assumptions!$A:$A, 0))</f>
        <v>22</v>
      </c>
      <c r="Q61" s="24">
        <f>INDEX(Assumptions!$B:$B, MATCH("Labour unit daily working hours", Assumptions!$A:$A, 0))</f>
        <v>22</v>
      </c>
      <c r="R61" s="24">
        <f>INDEX(Assumptions!$B:$B, MATCH("Labour unit daily working hours", Assumptions!$A:$A, 0))</f>
        <v>22</v>
      </c>
      <c r="S61" s="24">
        <f>INDEX(Assumptions!$B:$B, MATCH("Labour unit daily working hours", Assumptions!$A:$A, 0))</f>
        <v>22</v>
      </c>
      <c r="T61" s="24">
        <f>INDEX(Assumptions!$B:$B, MATCH("Labour unit daily working hours", Assumptions!$A:$A, 0))</f>
        <v>22</v>
      </c>
      <c r="U61" s="24">
        <f>INDEX(Assumptions!$B:$B, MATCH("Labour unit daily working hours", Assumptions!$A:$A, 0))</f>
        <v>22</v>
      </c>
      <c r="V61" s="24">
        <f>INDEX(Assumptions!$B:$B, MATCH("Labour unit daily working hours", Assumptions!$A:$A, 0))</f>
        <v>22</v>
      </c>
      <c r="W61" s="24">
        <f>INDEX(Assumptions!$B:$B, MATCH("Labour unit daily working hours", Assumptions!$A:$A, 0))</f>
        <v>22</v>
      </c>
      <c r="X61" s="24">
        <f>INDEX(Assumptions!$B:$B, MATCH("Labour unit daily working hours", Assumptions!$A:$A, 0))</f>
        <v>22</v>
      </c>
      <c r="Y61" s="24">
        <f>INDEX(Assumptions!$B:$B, MATCH("Labour unit daily working hours", Assumptions!$A:$A, 0))</f>
        <v>22</v>
      </c>
      <c r="Z61" s="24">
        <f>INDEX(Assumptions!$B:$B, MATCH("Labour unit daily working hours", Assumptions!$A:$A, 0))</f>
        <v>22</v>
      </c>
      <c r="AA61" s="24">
        <f>INDEX(Assumptions!$B:$B, MATCH("Labour unit daily working hours", Assumptions!$A:$A, 0))</f>
        <v>22</v>
      </c>
      <c r="AB61" s="24">
        <f>INDEX(Assumptions!$B:$B, MATCH("Labour unit daily working hours", Assumptions!$A:$A, 0))</f>
        <v>22</v>
      </c>
      <c r="AC61" s="24">
        <f>INDEX(Assumptions!$B:$B, MATCH("Labour unit daily working hours", Assumptions!$A:$A, 0))</f>
        <v>22</v>
      </c>
    </row>
    <row r="62" spans="1:29" x14ac:dyDescent="0.2">
      <c r="A62" t="s">
        <v>1176</v>
      </c>
      <c r="C62" t="s">
        <v>1177</v>
      </c>
      <c r="D62" s="26">
        <f>INDEX(Assumptions!$B:$B, MATCH("Labour unit productivity factor vs human baseline", Assumptions!$A:$A, 0))</f>
        <v>1</v>
      </c>
      <c r="E62" s="26">
        <f>INDEX(Assumptions!$B:$B, MATCH("Labour unit productivity factor vs human baseline", Assumptions!$A:$A, 0))</f>
        <v>1</v>
      </c>
      <c r="F62" s="26">
        <f>INDEX(Assumptions!$B:$B, MATCH("Labour unit productivity factor vs human baseline", Assumptions!$A:$A, 0))</f>
        <v>1</v>
      </c>
      <c r="G62" s="26">
        <f>INDEX(Assumptions!$B:$B, MATCH("Labour unit productivity factor vs human baseline", Assumptions!$A:$A, 0))</f>
        <v>1</v>
      </c>
      <c r="H62" s="26">
        <f>INDEX(Assumptions!$B:$B, MATCH("Labour unit productivity factor vs human baseline", Assumptions!$A:$A, 0))</f>
        <v>1</v>
      </c>
      <c r="I62" s="26">
        <f>INDEX(Assumptions!$B:$B, MATCH("Labour unit productivity factor vs human baseline", Assumptions!$A:$A, 0))</f>
        <v>1</v>
      </c>
      <c r="J62" s="26">
        <f>INDEX(Assumptions!$B:$B, MATCH("Labour unit productivity factor vs human baseline", Assumptions!$A:$A, 0))</f>
        <v>1</v>
      </c>
      <c r="K62" s="26">
        <f>INDEX(Assumptions!$B:$B, MATCH("Labour unit productivity factor vs human baseline", Assumptions!$A:$A, 0))</f>
        <v>1</v>
      </c>
      <c r="L62" s="26">
        <f>INDEX(Assumptions!$B:$B, MATCH("Labour unit productivity factor vs human baseline", Assumptions!$A:$A, 0))</f>
        <v>1</v>
      </c>
      <c r="M62" s="26">
        <f>INDEX(Assumptions!$B:$B, MATCH("Labour unit productivity factor vs human baseline", Assumptions!$A:$A, 0))</f>
        <v>1</v>
      </c>
      <c r="N62" s="26">
        <f>INDEX(Assumptions!$B:$B, MATCH("Labour unit productivity factor vs human baseline", Assumptions!$A:$A, 0))</f>
        <v>1</v>
      </c>
      <c r="O62" s="26">
        <f>INDEX(Assumptions!$B:$B, MATCH("Labour unit productivity factor vs human baseline", Assumptions!$A:$A, 0))</f>
        <v>1</v>
      </c>
      <c r="P62" s="26">
        <f>INDEX(Assumptions!$B:$B, MATCH("Labour unit productivity factor vs human baseline", Assumptions!$A:$A, 0))</f>
        <v>1</v>
      </c>
      <c r="Q62" s="26">
        <f>INDEX(Assumptions!$B:$B, MATCH("Labour unit productivity factor vs human baseline", Assumptions!$A:$A, 0))</f>
        <v>1</v>
      </c>
      <c r="R62" s="26">
        <f>INDEX(Assumptions!$B:$B, MATCH("Labour unit productivity factor vs human baseline", Assumptions!$A:$A, 0))</f>
        <v>1</v>
      </c>
      <c r="S62" s="26">
        <f>INDEX(Assumptions!$B:$B, MATCH("Labour unit productivity factor vs human baseline", Assumptions!$A:$A, 0))</f>
        <v>1</v>
      </c>
      <c r="T62" s="26">
        <f>INDEX(Assumptions!$B:$B, MATCH("Labour unit productivity factor vs human baseline", Assumptions!$A:$A, 0))</f>
        <v>1</v>
      </c>
      <c r="U62" s="26">
        <f>INDEX(Assumptions!$B:$B, MATCH("Labour unit productivity factor vs human baseline", Assumptions!$A:$A, 0))</f>
        <v>1</v>
      </c>
      <c r="V62" s="26">
        <f>INDEX(Assumptions!$B:$B, MATCH("Labour unit productivity factor vs human baseline", Assumptions!$A:$A, 0))</f>
        <v>1</v>
      </c>
      <c r="W62" s="26">
        <f>INDEX(Assumptions!$B:$B, MATCH("Labour unit productivity factor vs human baseline", Assumptions!$A:$A, 0))</f>
        <v>1</v>
      </c>
      <c r="X62" s="26">
        <f>INDEX(Assumptions!$B:$B, MATCH("Labour unit productivity factor vs human baseline", Assumptions!$A:$A, 0))</f>
        <v>1</v>
      </c>
      <c r="Y62" s="26">
        <f>INDEX(Assumptions!$B:$B, MATCH("Labour unit productivity factor vs human baseline", Assumptions!$A:$A, 0))</f>
        <v>1</v>
      </c>
      <c r="Z62" s="26">
        <f>INDEX(Assumptions!$B:$B, MATCH("Labour unit productivity factor vs human baseline", Assumptions!$A:$A, 0))</f>
        <v>1</v>
      </c>
      <c r="AA62" s="26">
        <f>INDEX(Assumptions!$B:$B, MATCH("Labour unit productivity factor vs human baseline", Assumptions!$A:$A, 0))</f>
        <v>1</v>
      </c>
      <c r="AB62" s="26">
        <f>INDEX(Assumptions!$B:$B, MATCH("Labour unit productivity factor vs human baseline", Assumptions!$A:$A, 0))</f>
        <v>1</v>
      </c>
      <c r="AC62" s="26">
        <f>INDEX(Assumptions!$B:$B, MATCH("Labour unit productivity factor vs human baseline", Assumptions!$A:$A, 0))</f>
        <v>1</v>
      </c>
    </row>
    <row r="63" spans="1:29" x14ac:dyDescent="0.2">
      <c r="A63" t="s">
        <v>403</v>
      </c>
      <c r="C63" t="s">
        <v>1178</v>
      </c>
      <c r="D63" s="17">
        <f>INDEX(Assumptions!$B:$B, MATCH("Labour unit productivity learning rate (%/yr)", Assumptions!$A:$A, 0))</f>
        <v>0.05</v>
      </c>
      <c r="E63" s="17">
        <f>INDEX(Assumptions!$B:$B, MATCH("Labour unit productivity learning rate (%/yr)", Assumptions!$A:$A, 0))</f>
        <v>0.05</v>
      </c>
      <c r="F63" s="17">
        <f>INDEX(Assumptions!$B:$B, MATCH("Labour unit productivity learning rate (%/yr)", Assumptions!$A:$A, 0))</f>
        <v>0.05</v>
      </c>
      <c r="G63" s="17">
        <f>INDEX(Assumptions!$B:$B, MATCH("Labour unit productivity learning rate (%/yr)", Assumptions!$A:$A, 0))</f>
        <v>0.05</v>
      </c>
      <c r="H63" s="17">
        <f>INDEX(Assumptions!$B:$B, MATCH("Labour unit productivity learning rate (%/yr)", Assumptions!$A:$A, 0))</f>
        <v>0.05</v>
      </c>
      <c r="I63" s="17">
        <f>INDEX(Assumptions!$B:$B, MATCH("Labour unit productivity learning rate (%/yr)", Assumptions!$A:$A, 0))</f>
        <v>0.05</v>
      </c>
      <c r="J63" s="17">
        <f>INDEX(Assumptions!$B:$B, MATCH("Labour unit productivity learning rate (%/yr)", Assumptions!$A:$A, 0))</f>
        <v>0.05</v>
      </c>
      <c r="K63" s="17">
        <f>INDEX(Assumptions!$B:$B, MATCH("Labour unit productivity learning rate (%/yr)", Assumptions!$A:$A, 0))</f>
        <v>0.05</v>
      </c>
      <c r="L63" s="17">
        <f>INDEX(Assumptions!$B:$B, MATCH("Labour unit productivity learning rate (%/yr)", Assumptions!$A:$A, 0))</f>
        <v>0.05</v>
      </c>
      <c r="M63" s="17">
        <f>INDEX(Assumptions!$B:$B, MATCH("Labour unit productivity learning rate (%/yr)", Assumptions!$A:$A, 0))</f>
        <v>0.05</v>
      </c>
      <c r="N63" s="17">
        <f>INDEX(Assumptions!$B:$B, MATCH("Labour unit productivity learning rate (%/yr)", Assumptions!$A:$A, 0))</f>
        <v>0.05</v>
      </c>
      <c r="O63" s="17">
        <f>INDEX(Assumptions!$B:$B, MATCH("Labour unit productivity learning rate (%/yr)", Assumptions!$A:$A, 0))</f>
        <v>0.05</v>
      </c>
      <c r="P63" s="17">
        <f>INDEX(Assumptions!$B:$B, MATCH("Labour unit productivity learning rate (%/yr)", Assumptions!$A:$A, 0))</f>
        <v>0.05</v>
      </c>
      <c r="Q63" s="17">
        <f>INDEX(Assumptions!$B:$B, MATCH("Labour unit productivity learning rate (%/yr)", Assumptions!$A:$A, 0))</f>
        <v>0.05</v>
      </c>
      <c r="R63" s="17">
        <f>INDEX(Assumptions!$B:$B, MATCH("Labour unit productivity learning rate (%/yr)", Assumptions!$A:$A, 0))</f>
        <v>0.05</v>
      </c>
      <c r="S63" s="17">
        <f>INDEX(Assumptions!$B:$B, MATCH("Labour unit productivity learning rate (%/yr)", Assumptions!$A:$A, 0))</f>
        <v>0.05</v>
      </c>
      <c r="T63" s="17">
        <f>INDEX(Assumptions!$B:$B, MATCH("Labour unit productivity learning rate (%/yr)", Assumptions!$A:$A, 0))</f>
        <v>0.05</v>
      </c>
      <c r="U63" s="17">
        <f>INDEX(Assumptions!$B:$B, MATCH("Labour unit productivity learning rate (%/yr)", Assumptions!$A:$A, 0))</f>
        <v>0.05</v>
      </c>
      <c r="V63" s="17">
        <f>INDEX(Assumptions!$B:$B, MATCH("Labour unit productivity learning rate (%/yr)", Assumptions!$A:$A, 0))</f>
        <v>0.05</v>
      </c>
      <c r="W63" s="17">
        <f>INDEX(Assumptions!$B:$B, MATCH("Labour unit productivity learning rate (%/yr)", Assumptions!$A:$A, 0))</f>
        <v>0.05</v>
      </c>
      <c r="X63" s="17">
        <f>INDEX(Assumptions!$B:$B, MATCH("Labour unit productivity learning rate (%/yr)", Assumptions!$A:$A, 0))</f>
        <v>0.05</v>
      </c>
      <c r="Y63" s="17">
        <f>INDEX(Assumptions!$B:$B, MATCH("Labour unit productivity learning rate (%/yr)", Assumptions!$A:$A, 0))</f>
        <v>0.05</v>
      </c>
      <c r="Z63" s="17">
        <f>INDEX(Assumptions!$B:$B, MATCH("Labour unit productivity learning rate (%/yr)", Assumptions!$A:$A, 0))</f>
        <v>0.05</v>
      </c>
      <c r="AA63" s="17">
        <f>INDEX(Assumptions!$B:$B, MATCH("Labour unit productivity learning rate (%/yr)", Assumptions!$A:$A, 0))</f>
        <v>0.05</v>
      </c>
      <c r="AB63" s="17">
        <f>INDEX(Assumptions!$B:$B, MATCH("Labour unit productivity learning rate (%/yr)", Assumptions!$A:$A, 0))</f>
        <v>0.05</v>
      </c>
      <c r="AC63" s="17">
        <f>INDEX(Assumptions!$B:$B, MATCH("Labour unit productivity learning rate (%/yr)", Assumptions!$A:$A, 0))</f>
        <v>0.05</v>
      </c>
    </row>
    <row r="64" spans="1:29" x14ac:dyDescent="0.2">
      <c r="A64" t="s">
        <v>1179</v>
      </c>
      <c r="C64" t="s">
        <v>1180</v>
      </c>
      <c r="D64" s="52">
        <f t="shared" ref="D64:AC64" si="16">D60*D61*365/1000000</f>
        <v>0.25238290000000002</v>
      </c>
      <c r="E64" s="52">
        <f t="shared" si="16"/>
        <v>0.25238290000000002</v>
      </c>
      <c r="F64" s="52">
        <f t="shared" si="16"/>
        <v>0.25238290000000002</v>
      </c>
      <c r="G64" s="52">
        <f t="shared" si="16"/>
        <v>0.25238290000000002</v>
      </c>
      <c r="H64" s="52">
        <f t="shared" si="16"/>
        <v>0.25238290000000002</v>
      </c>
      <c r="I64" s="52">
        <f t="shared" si="16"/>
        <v>0.25238290000000002</v>
      </c>
      <c r="J64" s="52">
        <f t="shared" si="16"/>
        <v>0.25238290000000002</v>
      </c>
      <c r="K64" s="52">
        <f t="shared" si="16"/>
        <v>0.25238290000000002</v>
      </c>
      <c r="L64" s="52">
        <f t="shared" si="16"/>
        <v>0.25238290000000002</v>
      </c>
      <c r="M64" s="52">
        <f t="shared" si="16"/>
        <v>0.25238290000000002</v>
      </c>
      <c r="N64" s="52">
        <f t="shared" si="16"/>
        <v>0.25238290000000002</v>
      </c>
      <c r="O64" s="52">
        <f t="shared" si="16"/>
        <v>0.25238290000000002</v>
      </c>
      <c r="P64" s="52">
        <f t="shared" si="16"/>
        <v>0.25238290000000002</v>
      </c>
      <c r="Q64" s="52">
        <f t="shared" si="16"/>
        <v>0.25238290000000002</v>
      </c>
      <c r="R64" s="52">
        <f t="shared" si="16"/>
        <v>0.25238290000000002</v>
      </c>
      <c r="S64" s="52">
        <f t="shared" si="16"/>
        <v>0.25238290000000002</v>
      </c>
      <c r="T64" s="52">
        <f t="shared" si="16"/>
        <v>0.25238290000000002</v>
      </c>
      <c r="U64" s="52">
        <f t="shared" si="16"/>
        <v>0.25238290000000002</v>
      </c>
      <c r="V64" s="52">
        <f t="shared" si="16"/>
        <v>0.25238290000000002</v>
      </c>
      <c r="W64" s="52">
        <f t="shared" si="16"/>
        <v>0.25238290000000002</v>
      </c>
      <c r="X64" s="52">
        <f t="shared" si="16"/>
        <v>0.25238290000000002</v>
      </c>
      <c r="Y64" s="52">
        <f t="shared" si="16"/>
        <v>0.25238290000000002</v>
      </c>
      <c r="Z64" s="52">
        <f t="shared" si="16"/>
        <v>0.25238290000000002</v>
      </c>
      <c r="AA64" s="52">
        <f t="shared" si="16"/>
        <v>0.25238290000000002</v>
      </c>
      <c r="AB64" s="52">
        <f t="shared" si="16"/>
        <v>0.25238290000000002</v>
      </c>
      <c r="AC64" s="52">
        <f t="shared" si="16"/>
        <v>0.25238290000000002</v>
      </c>
    </row>
    <row r="65" spans="1:29" x14ac:dyDescent="0.2">
      <c r="A65" t="s">
        <v>1181</v>
      </c>
      <c r="C65" t="s">
        <v>1182</v>
      </c>
      <c r="D65" s="26">
        <f t="shared" ref="D65:AC65" si="17">POWER(1+$D$63, D$5)</f>
        <v>1</v>
      </c>
      <c r="E65" s="26">
        <f t="shared" si="17"/>
        <v>1.05</v>
      </c>
      <c r="F65" s="26">
        <f t="shared" si="17"/>
        <v>1.1025</v>
      </c>
      <c r="G65" s="26">
        <f t="shared" si="17"/>
        <v>1.1576250000000001</v>
      </c>
      <c r="H65" s="26">
        <f t="shared" si="17"/>
        <v>1.21550625</v>
      </c>
      <c r="I65" s="26">
        <f t="shared" si="17"/>
        <v>1.2762815625000001</v>
      </c>
      <c r="J65" s="26">
        <f t="shared" si="17"/>
        <v>1.340095640625</v>
      </c>
      <c r="K65" s="26">
        <f t="shared" si="17"/>
        <v>1.4071004226562502</v>
      </c>
      <c r="L65" s="26">
        <f t="shared" si="17"/>
        <v>1.4774554437890626</v>
      </c>
      <c r="M65" s="26">
        <f t="shared" si="17"/>
        <v>1.5513282159785158</v>
      </c>
      <c r="N65" s="26">
        <f t="shared" si="17"/>
        <v>1.6288946267774416</v>
      </c>
      <c r="O65" s="26">
        <f t="shared" si="17"/>
        <v>1.7103393581163138</v>
      </c>
      <c r="P65" s="26">
        <f t="shared" si="17"/>
        <v>1.7958563260221292</v>
      </c>
      <c r="Q65" s="26">
        <f t="shared" si="17"/>
        <v>1.885649142323236</v>
      </c>
      <c r="R65" s="26">
        <f t="shared" si="17"/>
        <v>1.9799315994393973</v>
      </c>
      <c r="S65" s="26">
        <f t="shared" si="17"/>
        <v>2.0789281794113679</v>
      </c>
      <c r="T65" s="26">
        <f t="shared" si="17"/>
        <v>2.182874588381936</v>
      </c>
      <c r="U65" s="26">
        <f t="shared" si="17"/>
        <v>2.2920183178010332</v>
      </c>
      <c r="V65" s="26">
        <f t="shared" si="17"/>
        <v>2.4066192336910848</v>
      </c>
      <c r="W65" s="26">
        <f t="shared" si="17"/>
        <v>2.526950195375639</v>
      </c>
      <c r="X65" s="26">
        <f t="shared" si="17"/>
        <v>2.6532977051444209</v>
      </c>
      <c r="Y65" s="26">
        <f t="shared" si="17"/>
        <v>2.7859625904016418</v>
      </c>
      <c r="Z65" s="26">
        <f t="shared" si="17"/>
        <v>2.9252607199217238</v>
      </c>
      <c r="AA65" s="26">
        <f t="shared" si="17"/>
        <v>3.0715237559178106</v>
      </c>
      <c r="AB65" s="26">
        <f t="shared" si="17"/>
        <v>3.2250999437137007</v>
      </c>
      <c r="AC65" s="26">
        <f t="shared" si="17"/>
        <v>3.3863549408993858</v>
      </c>
    </row>
    <row r="66" spans="1:29" x14ac:dyDescent="0.2">
      <c r="A66" t="s">
        <v>1183</v>
      </c>
      <c r="C66" t="s">
        <v>1184</v>
      </c>
      <c r="D66" s="52">
        <f t="shared" ref="D66:AC66" si="18">D64*D65*D62</f>
        <v>0.25238290000000002</v>
      </c>
      <c r="E66" s="52">
        <f t="shared" si="18"/>
        <v>0.26500204500000002</v>
      </c>
      <c r="F66" s="52">
        <f t="shared" si="18"/>
        <v>0.27825214725000003</v>
      </c>
      <c r="G66" s="52">
        <f t="shared" si="18"/>
        <v>0.29216475461250008</v>
      </c>
      <c r="H66" s="52">
        <f t="shared" si="18"/>
        <v>0.30677299234312505</v>
      </c>
      <c r="I66" s="52">
        <f t="shared" si="18"/>
        <v>0.3221116419602813</v>
      </c>
      <c r="J66" s="52">
        <f t="shared" si="18"/>
        <v>0.33821722405829535</v>
      </c>
      <c r="K66" s="52">
        <f t="shared" si="18"/>
        <v>0.35512808526121015</v>
      </c>
      <c r="L66" s="52">
        <f t="shared" si="18"/>
        <v>0.37288448952427061</v>
      </c>
      <c r="M66" s="52">
        <f t="shared" si="18"/>
        <v>0.39152871400048417</v>
      </c>
      <c r="N66" s="52">
        <f t="shared" si="18"/>
        <v>0.41110514970050838</v>
      </c>
      <c r="O66" s="52">
        <f t="shared" si="18"/>
        <v>0.43166040718553383</v>
      </c>
      <c r="P66" s="52">
        <f t="shared" si="18"/>
        <v>0.45324342754481045</v>
      </c>
      <c r="Q66" s="52">
        <f t="shared" si="18"/>
        <v>0.47590559892205109</v>
      </c>
      <c r="R66" s="52">
        <f t="shared" si="18"/>
        <v>0.49970087886815351</v>
      </c>
      <c r="S66" s="52">
        <f t="shared" si="18"/>
        <v>0.52468592281156134</v>
      </c>
      <c r="T66" s="52">
        <f t="shared" si="18"/>
        <v>0.55092021895213938</v>
      </c>
      <c r="U66" s="52">
        <f t="shared" si="18"/>
        <v>0.57846622989974639</v>
      </c>
      <c r="V66" s="52">
        <f t="shared" si="18"/>
        <v>0.60738954139473378</v>
      </c>
      <c r="W66" s="52">
        <f t="shared" si="18"/>
        <v>0.63775901846447047</v>
      </c>
      <c r="X66" s="52">
        <f t="shared" si="18"/>
        <v>0.66964696938769397</v>
      </c>
      <c r="Y66" s="52">
        <f t="shared" si="18"/>
        <v>0.70312931785707855</v>
      </c>
      <c r="Z66" s="52">
        <f t="shared" si="18"/>
        <v>0.73828578374993248</v>
      </c>
      <c r="AA66" s="52">
        <f t="shared" si="18"/>
        <v>0.77520007293742921</v>
      </c>
      <c r="AB66" s="52">
        <f t="shared" si="18"/>
        <v>0.81396007658430058</v>
      </c>
      <c r="AC66" s="52">
        <f t="shared" si="18"/>
        <v>0.85465808041351565</v>
      </c>
    </row>
    <row r="68" spans="1:29" x14ac:dyDescent="0.2">
      <c r="A68" t="s">
        <v>1185</v>
      </c>
      <c r="C68" t="s">
        <v>1186</v>
      </c>
      <c r="D68" s="15">
        <f t="shared" ref="D68:AC68" ca="1" si="19">D34/D58</f>
        <v>0</v>
      </c>
      <c r="E68" s="15">
        <f t="shared" ca="1" si="19"/>
        <v>0</v>
      </c>
      <c r="F68" s="15">
        <f t="shared" ca="1" si="19"/>
        <v>0</v>
      </c>
      <c r="G68" s="15">
        <f t="shared" ca="1" si="19"/>
        <v>2174.8446539532888</v>
      </c>
      <c r="H68" s="15">
        <f t="shared" ca="1" si="19"/>
        <v>2332.5643560730896</v>
      </c>
      <c r="I68" s="15">
        <f t="shared" ca="1" si="19"/>
        <v>2496.2462462462458</v>
      </c>
      <c r="J68" s="15">
        <f t="shared" ca="1" si="19"/>
        <v>2675.2211979432063</v>
      </c>
      <c r="K68" s="15">
        <f t="shared" ca="1" si="19"/>
        <v>2861.3836238371905</v>
      </c>
      <c r="L68" s="15">
        <f t="shared" ca="1" si="19"/>
        <v>3054.6990978645654</v>
      </c>
      <c r="M68" s="15">
        <f t="shared" ca="1" si="19"/>
        <v>3255.0774180575108</v>
      </c>
      <c r="N68" s="15">
        <f t="shared" ca="1" si="19"/>
        <v>3462.36559139785</v>
      </c>
      <c r="O68" s="15">
        <f t="shared" ca="1" si="19"/>
        <v>3617.7748953941668</v>
      </c>
      <c r="P68" s="15">
        <f t="shared" ca="1" si="19"/>
        <v>3775.190276101132</v>
      </c>
      <c r="Q68" s="15">
        <f t="shared" ca="1" si="19"/>
        <v>3934.5336095030716</v>
      </c>
      <c r="R68" s="15">
        <f t="shared" ca="1" si="19"/>
        <v>4095.7242890400821</v>
      </c>
      <c r="S68" s="15">
        <f t="shared" ca="1" si="19"/>
        <v>4258.6755202773184</v>
      </c>
      <c r="T68" s="15">
        <f t="shared" ca="1" si="19"/>
        <v>4423.2902369392477</v>
      </c>
      <c r="U68" s="15">
        <f t="shared" ca="1" si="19"/>
        <v>4589.4689868568039</v>
      </c>
      <c r="V68" s="15">
        <f t="shared" ca="1" si="19"/>
        <v>4757.1060617100838</v>
      </c>
      <c r="W68" s="15">
        <f t="shared" ca="1" si="19"/>
        <v>4926.085416550156</v>
      </c>
      <c r="X68" s="15">
        <f t="shared" ca="1" si="19"/>
        <v>5096.2888829051717</v>
      </c>
      <c r="Y68" s="15">
        <f t="shared" ca="1" si="19"/>
        <v>5267.5922224702235</v>
      </c>
      <c r="Z68" s="15">
        <f t="shared" ca="1" si="19"/>
        <v>5439.8611667334144</v>
      </c>
      <c r="AA68" s="15">
        <f t="shared" ca="1" si="19"/>
        <v>5612.9597769454158</v>
      </c>
      <c r="AB68" s="15">
        <f t="shared" ca="1" si="19"/>
        <v>5786.7465213321366</v>
      </c>
      <c r="AC68" s="15">
        <f t="shared" ca="1" si="19"/>
        <v>7038.8697899884046</v>
      </c>
    </row>
    <row r="69" spans="1:29" x14ac:dyDescent="0.2">
      <c r="A69" t="s">
        <v>1187</v>
      </c>
      <c r="C69" t="s">
        <v>1188</v>
      </c>
      <c r="D69" s="15">
        <f t="shared" ref="D69:AC69" ca="1" si="20">D42/D58</f>
        <v>0</v>
      </c>
      <c r="E69" s="15">
        <f t="shared" ca="1" si="20"/>
        <v>0</v>
      </c>
      <c r="F69" s="15">
        <f t="shared" ca="1" si="20"/>
        <v>0</v>
      </c>
      <c r="G69" s="15">
        <f t="shared" ca="1" si="20"/>
        <v>694.11201531833422</v>
      </c>
      <c r="H69" s="15">
        <f t="shared" ca="1" si="20"/>
        <v>739.65699422904993</v>
      </c>
      <c r="I69" s="15">
        <f t="shared" ca="1" si="20"/>
        <v>786.42384105960275</v>
      </c>
      <c r="J69" s="15">
        <f t="shared" ca="1" si="20"/>
        <v>836.51603744887984</v>
      </c>
      <c r="K69" s="15">
        <f t="shared" ca="1" si="20"/>
        <v>887.99227532933321</v>
      </c>
      <c r="L69" s="15">
        <f t="shared" ca="1" si="20"/>
        <v>940.80821580557824</v>
      </c>
      <c r="M69" s="15">
        <f t="shared" ca="1" si="20"/>
        <v>994.90893446149471</v>
      </c>
      <c r="N69" s="15">
        <f t="shared" ca="1" si="20"/>
        <v>1050.2283105022832</v>
      </c>
      <c r="O69" s="15">
        <f t="shared" ca="1" si="20"/>
        <v>1094.246077666199</v>
      </c>
      <c r="P69" s="15">
        <f t="shared" ca="1" si="20"/>
        <v>1138.6500022270332</v>
      </c>
      <c r="Q69" s="15">
        <f t="shared" ca="1" si="20"/>
        <v>1183.4209251183422</v>
      </c>
      <c r="R69" s="15">
        <f t="shared" ca="1" si="20"/>
        <v>1228.5395407223659</v>
      </c>
      <c r="S69" s="15">
        <f t="shared" ca="1" si="20"/>
        <v>1273.9856222134929</v>
      </c>
      <c r="T69" s="15">
        <f t="shared" ca="1" si="20"/>
        <v>1319.7371919030807</v>
      </c>
      <c r="U69" s="15">
        <f t="shared" ca="1" si="20"/>
        <v>1365.77218909571</v>
      </c>
      <c r="V69" s="15">
        <f t="shared" ca="1" si="20"/>
        <v>1412.0676674583874</v>
      </c>
      <c r="W69" s="15">
        <f t="shared" ca="1" si="20"/>
        <v>1458.5989722190027</v>
      </c>
      <c r="X69" s="15">
        <f t="shared" ca="1" si="20"/>
        <v>1505.3414418857649</v>
      </c>
      <c r="Y69" s="15">
        <f t="shared" ca="1" si="20"/>
        <v>1552.2695945592684</v>
      </c>
      <c r="Z69" s="15">
        <f t="shared" ca="1" si="20"/>
        <v>1599.3563326661176</v>
      </c>
      <c r="AA69" s="15">
        <f t="shared" ca="1" si="20"/>
        <v>1646.5746403396383</v>
      </c>
      <c r="AB69" s="15">
        <f t="shared" ca="1" si="20"/>
        <v>1693.8967771834732</v>
      </c>
      <c r="AC69" s="15">
        <f t="shared" ca="1" si="20"/>
        <v>2056.1304077364853</v>
      </c>
    </row>
    <row r="71" spans="1:29" x14ac:dyDescent="0.2">
      <c r="A71" t="s">
        <v>1189</v>
      </c>
      <c r="C71" t="s">
        <v>1190</v>
      </c>
      <c r="D71" s="15" cm="1">
        <f t="array" aca="1" ref="D71" ca="1">IF(D$5-$D$59+1&lt;1, 0, INDEX($D68:$AC68, 1, D$5-$D$59+1))</f>
        <v>0</v>
      </c>
      <c r="E71" s="15" cm="1">
        <f t="array" aca="1" ref="E71" ca="1">IF(E$5-$D$59+1&lt;1, 0, INDEX($D68:$AC68, 1, E$5-$D$59+1))</f>
        <v>0</v>
      </c>
      <c r="F71" s="15" cm="1">
        <f t="array" aca="1" ref="F71" ca="1">IF(F$5-$D$59+1&lt;1, 0, INDEX($D68:$AC68, 1, F$5-$D$59+1))</f>
        <v>0</v>
      </c>
      <c r="G71" s="15" cm="1">
        <f t="array" aca="1" ref="G71" ca="1">IF(G$5-$D$59+1&lt;1, 0, INDEX($D68:$AC68, 1, G$5-$D$59+1))</f>
        <v>0</v>
      </c>
      <c r="H71" s="15" cm="1">
        <f t="array" aca="1" ref="H71" ca="1">IF(H$5-$D$59+1&lt;1, 0, INDEX($D68:$AC68, 1, H$5-$D$59+1))</f>
        <v>0</v>
      </c>
      <c r="I71" s="15" cm="1">
        <f t="array" aca="1" ref="I71" ca="1">IF(I$5-$D$59+1&lt;1, 0, INDEX($D68:$AC68, 1, I$5-$D$59+1))</f>
        <v>0</v>
      </c>
      <c r="J71" s="15" cm="1">
        <f t="array" aca="1" ref="J71" ca="1">IF(J$5-$D$59+1&lt;1, 0, INDEX($D68:$AC68, 1, J$5-$D$59+1))</f>
        <v>0</v>
      </c>
      <c r="K71" s="15" cm="1">
        <f t="array" aca="1" ref="K71" ca="1">IF(K$5-$D$59+1&lt;1, 0, INDEX($D68:$AC68, 1, K$5-$D$59+1))</f>
        <v>0</v>
      </c>
      <c r="L71" s="15" cm="1">
        <f t="array" aca="1" ref="L71" ca="1">IF(L$5-$D$59+1&lt;1, 0, INDEX($D68:$AC68, 1, L$5-$D$59+1))</f>
        <v>2174.8446539532888</v>
      </c>
      <c r="M71" s="15" cm="1">
        <f t="array" aca="1" ref="M71" ca="1">IF(M$5-$D$59+1&lt;1, 0, INDEX($D68:$AC68, 1, M$5-$D$59+1))</f>
        <v>2332.5643560730896</v>
      </c>
      <c r="N71" s="15" cm="1">
        <f t="array" aca="1" ref="N71" ca="1">IF(N$5-$D$59+1&lt;1, 0, INDEX($D68:$AC68, 1, N$5-$D$59+1))</f>
        <v>2496.2462462462458</v>
      </c>
      <c r="O71" s="15" cm="1">
        <f t="array" aca="1" ref="O71" ca="1">IF(O$5-$D$59+1&lt;1, 0, INDEX($D68:$AC68, 1, O$5-$D$59+1))</f>
        <v>2675.2211979432063</v>
      </c>
      <c r="P71" s="15" cm="1">
        <f t="array" aca="1" ref="P71" ca="1">IF(P$5-$D$59+1&lt;1, 0, INDEX($D68:$AC68, 1, P$5-$D$59+1))</f>
        <v>2861.3836238371905</v>
      </c>
      <c r="Q71" s="15" cm="1">
        <f t="array" aca="1" ref="Q71" ca="1">IF(Q$5-$D$59+1&lt;1, 0, INDEX($D68:$AC68, 1, Q$5-$D$59+1))</f>
        <v>3054.6990978645654</v>
      </c>
      <c r="R71" s="15" cm="1">
        <f t="array" aca="1" ref="R71" ca="1">IF(R$5-$D$59+1&lt;1, 0, INDEX($D68:$AC68, 1, R$5-$D$59+1))</f>
        <v>3255.0774180575108</v>
      </c>
      <c r="S71" s="15" cm="1">
        <f t="array" aca="1" ref="S71" ca="1">IF(S$5-$D$59+1&lt;1, 0, INDEX($D68:$AC68, 1, S$5-$D$59+1))</f>
        <v>3462.36559139785</v>
      </c>
      <c r="T71" s="15" cm="1">
        <f t="array" aca="1" ref="T71" ca="1">IF(T$5-$D$59+1&lt;1, 0, INDEX($D68:$AC68, 1, T$5-$D$59+1))</f>
        <v>3617.7748953941668</v>
      </c>
      <c r="U71" s="15" cm="1">
        <f t="array" aca="1" ref="U71" ca="1">IF(U$5-$D$59+1&lt;1, 0, INDEX($D68:$AC68, 1, U$5-$D$59+1))</f>
        <v>3775.190276101132</v>
      </c>
      <c r="V71" s="15" cm="1">
        <f t="array" aca="1" ref="V71" ca="1">IF(V$5-$D$59+1&lt;1, 0, INDEX($D68:$AC68, 1, V$5-$D$59+1))</f>
        <v>3934.5336095030716</v>
      </c>
      <c r="W71" s="15" cm="1">
        <f t="array" aca="1" ref="W71" ca="1">IF(W$5-$D$59+1&lt;1, 0, INDEX($D68:$AC68, 1, W$5-$D$59+1))</f>
        <v>4095.7242890400821</v>
      </c>
      <c r="X71" s="15" cm="1">
        <f t="array" aca="1" ref="X71" ca="1">IF(X$5-$D$59+1&lt;1, 0, INDEX($D68:$AC68, 1, X$5-$D$59+1))</f>
        <v>4258.6755202773184</v>
      </c>
      <c r="Y71" s="15" cm="1">
        <f t="array" aca="1" ref="Y71" ca="1">IF(Y$5-$D$59+1&lt;1, 0, INDEX($D68:$AC68, 1, Y$5-$D$59+1))</f>
        <v>4423.2902369392477</v>
      </c>
      <c r="Z71" s="15" cm="1">
        <f t="array" aca="1" ref="Z71" ca="1">IF(Z$5-$D$59+1&lt;1, 0, INDEX($D68:$AC68, 1, Z$5-$D$59+1))</f>
        <v>4589.4689868568039</v>
      </c>
      <c r="AA71" s="15" cm="1">
        <f t="array" aca="1" ref="AA71" ca="1">IF(AA$5-$D$59+1&lt;1, 0, INDEX($D68:$AC68, 1, AA$5-$D$59+1))</f>
        <v>4757.1060617100838</v>
      </c>
      <c r="AB71" s="15" cm="1">
        <f t="array" aca="1" ref="AB71" ca="1">IF(AB$5-$D$59+1&lt;1, 0, INDEX($D68:$AC68, 1, AB$5-$D$59+1))</f>
        <v>4926.085416550156</v>
      </c>
      <c r="AC71" s="15" cm="1">
        <f t="array" aca="1" ref="AC71" ca="1">IF(AC$5-$D$59+1&lt;1, 0, INDEX($D68:$AC68, 1, AC$5-$D$59+1))</f>
        <v>5096.2888829051717</v>
      </c>
    </row>
    <row r="72" spans="1:29" x14ac:dyDescent="0.2">
      <c r="A72" t="s">
        <v>1191</v>
      </c>
      <c r="C72" t="s">
        <v>1192</v>
      </c>
      <c r="D72" s="15" cm="1">
        <f t="array" aca="1" ref="D72" ca="1">IF(D$5-$D$59+1&lt;1, 0, INDEX($D69:$AC69, 1, D$5-$D$59+1))</f>
        <v>0</v>
      </c>
      <c r="E72" s="15" cm="1">
        <f t="array" aca="1" ref="E72" ca="1">IF(E$5-$D$59+1&lt;1, 0, INDEX($D69:$AC69, 1, E$5-$D$59+1))</f>
        <v>0</v>
      </c>
      <c r="F72" s="15" cm="1">
        <f t="array" aca="1" ref="F72" ca="1">IF(F$5-$D$59+1&lt;1, 0, INDEX($D69:$AC69, 1, F$5-$D$59+1))</f>
        <v>0</v>
      </c>
      <c r="G72" s="15" cm="1">
        <f t="array" aca="1" ref="G72" ca="1">IF(G$5-$D$59+1&lt;1, 0, INDEX($D69:$AC69, 1, G$5-$D$59+1))</f>
        <v>0</v>
      </c>
      <c r="H72" s="15" cm="1">
        <f t="array" aca="1" ref="H72" ca="1">IF(H$5-$D$59+1&lt;1, 0, INDEX($D69:$AC69, 1, H$5-$D$59+1))</f>
        <v>0</v>
      </c>
      <c r="I72" s="15" cm="1">
        <f t="array" aca="1" ref="I72" ca="1">IF(I$5-$D$59+1&lt;1, 0, INDEX($D69:$AC69, 1, I$5-$D$59+1))</f>
        <v>0</v>
      </c>
      <c r="J72" s="15" cm="1">
        <f t="array" aca="1" ref="J72" ca="1">IF(J$5-$D$59+1&lt;1, 0, INDEX($D69:$AC69, 1, J$5-$D$59+1))</f>
        <v>0</v>
      </c>
      <c r="K72" s="15" cm="1">
        <f t="array" aca="1" ref="K72" ca="1">IF(K$5-$D$59+1&lt;1, 0, INDEX($D69:$AC69, 1, K$5-$D$59+1))</f>
        <v>0</v>
      </c>
      <c r="L72" s="15" cm="1">
        <f t="array" aca="1" ref="L72" ca="1">IF(L$5-$D$59+1&lt;1, 0, INDEX($D69:$AC69, 1, L$5-$D$59+1))</f>
        <v>694.11201531833422</v>
      </c>
      <c r="M72" s="15" cm="1">
        <f t="array" aca="1" ref="M72" ca="1">IF(M$5-$D$59+1&lt;1, 0, INDEX($D69:$AC69, 1, M$5-$D$59+1))</f>
        <v>739.65699422904993</v>
      </c>
      <c r="N72" s="15" cm="1">
        <f t="array" aca="1" ref="N72" ca="1">IF(N$5-$D$59+1&lt;1, 0, INDEX($D69:$AC69, 1, N$5-$D$59+1))</f>
        <v>786.42384105960275</v>
      </c>
      <c r="O72" s="15" cm="1">
        <f t="array" aca="1" ref="O72" ca="1">IF(O$5-$D$59+1&lt;1, 0, INDEX($D69:$AC69, 1, O$5-$D$59+1))</f>
        <v>836.51603744887984</v>
      </c>
      <c r="P72" s="15" cm="1">
        <f t="array" aca="1" ref="P72" ca="1">IF(P$5-$D$59+1&lt;1, 0, INDEX($D69:$AC69, 1, P$5-$D$59+1))</f>
        <v>887.99227532933321</v>
      </c>
      <c r="Q72" s="15" cm="1">
        <f t="array" aca="1" ref="Q72" ca="1">IF(Q$5-$D$59+1&lt;1, 0, INDEX($D69:$AC69, 1, Q$5-$D$59+1))</f>
        <v>940.80821580557824</v>
      </c>
      <c r="R72" s="15" cm="1">
        <f t="array" aca="1" ref="R72" ca="1">IF(R$5-$D$59+1&lt;1, 0, INDEX($D69:$AC69, 1, R$5-$D$59+1))</f>
        <v>994.90893446149471</v>
      </c>
      <c r="S72" s="15" cm="1">
        <f t="array" aca="1" ref="S72" ca="1">IF(S$5-$D$59+1&lt;1, 0, INDEX($D69:$AC69, 1, S$5-$D$59+1))</f>
        <v>1050.2283105022832</v>
      </c>
      <c r="T72" s="15" cm="1">
        <f t="array" aca="1" ref="T72" ca="1">IF(T$5-$D$59+1&lt;1, 0, INDEX($D69:$AC69, 1, T$5-$D$59+1))</f>
        <v>1094.246077666199</v>
      </c>
      <c r="U72" s="15" cm="1">
        <f t="array" aca="1" ref="U72" ca="1">IF(U$5-$D$59+1&lt;1, 0, INDEX($D69:$AC69, 1, U$5-$D$59+1))</f>
        <v>1138.6500022270332</v>
      </c>
      <c r="V72" s="15" cm="1">
        <f t="array" aca="1" ref="V72" ca="1">IF(V$5-$D$59+1&lt;1, 0, INDEX($D69:$AC69, 1, V$5-$D$59+1))</f>
        <v>1183.4209251183422</v>
      </c>
      <c r="W72" s="15" cm="1">
        <f t="array" aca="1" ref="W72" ca="1">IF(W$5-$D$59+1&lt;1, 0, INDEX($D69:$AC69, 1, W$5-$D$59+1))</f>
        <v>1228.5395407223659</v>
      </c>
      <c r="X72" s="15" cm="1">
        <f t="array" aca="1" ref="X72" ca="1">IF(X$5-$D$59+1&lt;1, 0, INDEX($D69:$AC69, 1, X$5-$D$59+1))</f>
        <v>1273.9856222134929</v>
      </c>
      <c r="Y72" s="15" cm="1">
        <f t="array" aca="1" ref="Y72" ca="1">IF(Y$5-$D$59+1&lt;1, 0, INDEX($D69:$AC69, 1, Y$5-$D$59+1))</f>
        <v>1319.7371919030807</v>
      </c>
      <c r="Z72" s="15" cm="1">
        <f t="array" aca="1" ref="Z72" ca="1">IF(Z$5-$D$59+1&lt;1, 0, INDEX($D69:$AC69, 1, Z$5-$D$59+1))</f>
        <v>1365.77218909571</v>
      </c>
      <c r="AA72" s="15" cm="1">
        <f t="array" aca="1" ref="AA72" ca="1">IF(AA$5-$D$59+1&lt;1, 0, INDEX($D69:$AC69, 1, AA$5-$D$59+1))</f>
        <v>1412.0676674583874</v>
      </c>
      <c r="AB72" s="15" cm="1">
        <f t="array" aca="1" ref="AB72" ca="1">IF(AB$5-$D$59+1&lt;1, 0, INDEX($D69:$AC69, 1, AB$5-$D$59+1))</f>
        <v>1458.5989722190027</v>
      </c>
      <c r="AC72" s="15" cm="1">
        <f t="array" aca="1" ref="AC72" ca="1">IF(AC$5-$D$59+1&lt;1, 0, INDEX($D69:$AC69, 1, AC$5-$D$59+1))</f>
        <v>1505.3414418857649</v>
      </c>
    </row>
    <row r="74" spans="1:29" x14ac:dyDescent="0.2">
      <c r="A74" t="s">
        <v>1193</v>
      </c>
      <c r="C74" t="s">
        <v>1194</v>
      </c>
      <c r="D74" s="15" cm="1">
        <f t="array" aca="1" ref="D74" ca="1">IF(D$5=0, D68-D71, INDEX($D74:$AC74, 1, D$5)+D68-D71)</f>
        <v>0</v>
      </c>
      <c r="E74" s="15" cm="1">
        <f t="array" aca="1" ref="E74" ca="1">IF(E$5=0, E68-E71, INDEX($D74:$AC74, 1, E$5)+E68-E71)</f>
        <v>0</v>
      </c>
      <c r="F74" s="15" cm="1">
        <f t="array" aca="1" ref="F74" ca="1">IF(F$5=0, F68-F71, INDEX($D74:$AC74, 1, F$5)+F68-F71)</f>
        <v>0</v>
      </c>
      <c r="G74" s="15" cm="1">
        <f t="array" aca="1" ref="G74" ca="1">IF(G$5=0, G68-G71, INDEX($D74:$AC74, 1, G$5)+G68-G71)</f>
        <v>2174.8446539532888</v>
      </c>
      <c r="H74" s="15" cm="1">
        <f t="array" aca="1" ref="H74" ca="1">IF(H$5=0, H68-H71, INDEX($D74:$AC74, 1, H$5)+H68-H71)</f>
        <v>4507.4090100263784</v>
      </c>
      <c r="I74" s="15" cm="1">
        <f t="array" aca="1" ref="I74" ca="1">IF(I$5=0, I68-I71, INDEX($D74:$AC74, 1, I$5)+I68-I71)</f>
        <v>7003.6552562726247</v>
      </c>
      <c r="J74" s="15" cm="1">
        <f t="array" aca="1" ref="J74" ca="1">IF(J$5=0, J68-J71, INDEX($D74:$AC74, 1, J$5)+J68-J71)</f>
        <v>9678.8764542158315</v>
      </c>
      <c r="K74" s="15" cm="1">
        <f t="array" aca="1" ref="K74" ca="1">IF(K$5=0, K68-K71, INDEX($D74:$AC74, 1, K$5)+K68-K71)</f>
        <v>12540.260078053023</v>
      </c>
      <c r="L74" s="15" cm="1">
        <f t="array" aca="1" ref="L74" ca="1">IF(L$5=0, L68-L71, INDEX($D74:$AC74, 1, L$5)+L68-L71)</f>
        <v>13420.1145219643</v>
      </c>
      <c r="M74" s="15" cm="1">
        <f t="array" aca="1" ref="M74" ca="1">IF(M$5=0, M68-M71, INDEX($D74:$AC74, 1, M$5)+M68-M71)</f>
        <v>14342.627583948721</v>
      </c>
      <c r="N74" s="15" cm="1">
        <f t="array" aca="1" ref="N74" ca="1">IF(N$5=0, N68-N71, INDEX($D74:$AC74, 1, N$5)+N68-N71)</f>
        <v>15308.746929100325</v>
      </c>
      <c r="O74" s="15" cm="1">
        <f t="array" aca="1" ref="O74" ca="1">IF(O$5=0, O68-O71, INDEX($D74:$AC74, 1, O$5)+O68-O71)</f>
        <v>16251.300626551285</v>
      </c>
      <c r="P74" s="15" cm="1">
        <f t="array" aca="1" ref="P74" ca="1">IF(P$5=0, P68-P71, INDEX($D74:$AC74, 1, P$5)+P68-P71)</f>
        <v>17165.107278815227</v>
      </c>
      <c r="Q74" s="15" cm="1">
        <f t="array" aca="1" ref="Q74" ca="1">IF(Q$5=0, Q68-Q71, INDEX($D74:$AC74, 1, Q$5)+Q68-Q71)</f>
        <v>18044.941790453733</v>
      </c>
      <c r="R74" s="15" cm="1">
        <f t="array" aca="1" ref="R74" ca="1">IF(R$5=0, R68-R71, INDEX($D74:$AC74, 1, R$5)+R68-R71)</f>
        <v>18885.588661436304</v>
      </c>
      <c r="S74" s="15" cm="1">
        <f t="array" aca="1" ref="S74" ca="1">IF(S$5=0, S68-S71, INDEX($D74:$AC74, 1, S$5)+S68-S71)</f>
        <v>19681.898590315774</v>
      </c>
      <c r="T74" s="15" cm="1">
        <f t="array" aca="1" ref="T74" ca="1">IF(T$5=0, T68-T71, INDEX($D74:$AC74, 1, T$5)+T68-T71)</f>
        <v>20487.413931860854</v>
      </c>
      <c r="U74" s="15" cm="1">
        <f t="array" aca="1" ref="U74" ca="1">IF(U$5=0, U68-U71, INDEX($D74:$AC74, 1, U$5)+U68-U71)</f>
        <v>21301.692642616526</v>
      </c>
      <c r="V74" s="15" cm="1">
        <f t="array" aca="1" ref="V74" ca="1">IF(V$5=0, V68-V71, INDEX($D74:$AC74, 1, V$5)+V68-V71)</f>
        <v>22124.265094823539</v>
      </c>
      <c r="W74" s="15" cm="1">
        <f t="array" aca="1" ref="W74" ca="1">IF(W$5=0, W68-W71, INDEX($D74:$AC74, 1, W$5)+W68-W71)</f>
        <v>22954.626222333613</v>
      </c>
      <c r="X74" s="15" cm="1">
        <f t="array" aca="1" ref="X74" ca="1">IF(X$5=0, X68-X71, INDEX($D74:$AC74, 1, X$5)+X68-X71)</f>
        <v>23792.239584961462</v>
      </c>
      <c r="Y74" s="15" cm="1">
        <f t="array" aca="1" ref="Y74" ca="1">IF(Y$5=0, Y68-Y71, INDEX($D74:$AC74, 1, Y$5)+Y68-Y71)</f>
        <v>24636.541570492438</v>
      </c>
      <c r="Z74" s="15" cm="1">
        <f t="array" aca="1" ref="Z74" ca="1">IF(Z$5=0, Z68-Z71, INDEX($D74:$AC74, 1, Z$5)+Z68-Z71)</f>
        <v>25486.933750369048</v>
      </c>
      <c r="AA74" s="15" cm="1">
        <f t="array" aca="1" ref="AA74" ca="1">IF(AA$5=0, AA68-AA71, INDEX($D74:$AC74, 1, AA$5)+AA68-AA71)</f>
        <v>26342.787465604379</v>
      </c>
      <c r="AB74" s="15" cm="1">
        <f t="array" aca="1" ref="AB74" ca="1">IF(AB$5=0, AB68-AB71, INDEX($D74:$AC74, 1, AB$5)+AB68-AB71)</f>
        <v>27203.448570386361</v>
      </c>
      <c r="AC74" s="15" cm="1">
        <f t="array" aca="1" ref="AC74" ca="1">IF(AC$5=0, AC68-AC71, INDEX($D74:$AC74, 1, AC$5)+AC68-AC71)</f>
        <v>29146.029477469594</v>
      </c>
    </row>
    <row r="75" spans="1:29" x14ac:dyDescent="0.2">
      <c r="A75" t="s">
        <v>1195</v>
      </c>
      <c r="C75" t="s">
        <v>419</v>
      </c>
      <c r="D75" s="15" cm="1">
        <f t="array" aca="1" ref="D75" ca="1">IF(D$5=0, D69-D72, INDEX($D75:$AC75, 1, D$5)+D69-D72)</f>
        <v>0</v>
      </c>
      <c r="E75" s="15" cm="1">
        <f t="array" aca="1" ref="E75" ca="1">IF(E$5=0, E69-E72, INDEX($D75:$AC75, 1, E$5)+E69-E72)</f>
        <v>0</v>
      </c>
      <c r="F75" s="15" cm="1">
        <f t="array" aca="1" ref="F75" ca="1">IF(F$5=0, F69-F72, INDEX($D75:$AC75, 1, F$5)+F69-F72)</f>
        <v>0</v>
      </c>
      <c r="G75" s="15" cm="1">
        <f t="array" aca="1" ref="G75" ca="1">IF(G$5=0, G69-G72, INDEX($D75:$AC75, 1, G$5)+G69-G72)</f>
        <v>694.11201531833422</v>
      </c>
      <c r="H75" s="15" cm="1">
        <f t="array" aca="1" ref="H75" ca="1">IF(H$5=0, H69-H72, INDEX($D75:$AC75, 1, H$5)+H69-H72)</f>
        <v>1433.769009547384</v>
      </c>
      <c r="I75" s="15" cm="1">
        <f t="array" aca="1" ref="I75" ca="1">IF(I$5=0, I69-I72, INDEX($D75:$AC75, 1, I$5)+I69-I72)</f>
        <v>2220.1928506069867</v>
      </c>
      <c r="J75" s="15" cm="1">
        <f t="array" aca="1" ref="J75" ca="1">IF(J$5=0, J69-J72, INDEX($D75:$AC75, 1, J$5)+J69-J72)</f>
        <v>3056.7088880558667</v>
      </c>
      <c r="K75" s="15" cm="1">
        <f t="array" aca="1" ref="K75" ca="1">IF(K$5=0, K69-K72, INDEX($D75:$AC75, 1, K$5)+K69-K72)</f>
        <v>3944.7011633851998</v>
      </c>
      <c r="L75" s="15" cm="1">
        <f t="array" aca="1" ref="L75" ca="1">IF(L$5=0, L69-L72, INDEX($D75:$AC75, 1, L$5)+L69-L72)</f>
        <v>4191.3973638724437</v>
      </c>
      <c r="M75" s="15" cm="1">
        <f t="array" aca="1" ref="M75" ca="1">IF(M$5=0, M69-M72, INDEX($D75:$AC75, 1, M$5)+M69-M72)</f>
        <v>4446.6493041048889</v>
      </c>
      <c r="N75" s="15" cm="1">
        <f t="array" aca="1" ref="N75" ca="1">IF(N$5=0, N69-N72, INDEX($D75:$AC75, 1, N$5)+N69-N72)</f>
        <v>4710.4537735475697</v>
      </c>
      <c r="O75" s="15" cm="1">
        <f t="array" aca="1" ref="O75" ca="1">IF(O$5=0, O69-O72, INDEX($D75:$AC75, 1, O$5)+O69-O72)</f>
        <v>4968.1838137648892</v>
      </c>
      <c r="P75" s="15" cm="1">
        <f t="array" aca="1" ref="P75" ca="1">IF(P$5=0, P69-P72, INDEX($D75:$AC75, 1, P$5)+P69-P72)</f>
        <v>5218.8415406625891</v>
      </c>
      <c r="Q75" s="15" cm="1">
        <f t="array" aca="1" ref="Q75" ca="1">IF(Q$5=0, Q69-Q72, INDEX($D75:$AC75, 1, Q$5)+Q69-Q72)</f>
        <v>5461.4542499753525</v>
      </c>
      <c r="R75" s="15" cm="1">
        <f t="array" aca="1" ref="R75" ca="1">IF(R$5=0, R69-R72, INDEX($D75:$AC75, 1, R$5)+R69-R72)</f>
        <v>5695.0848562362235</v>
      </c>
      <c r="S75" s="15" cm="1">
        <f t="array" aca="1" ref="S75" ca="1">IF(S$5=0, S69-S72, INDEX($D75:$AC75, 1, S$5)+S69-S72)</f>
        <v>5918.8421679474332</v>
      </c>
      <c r="T75" s="15" cm="1">
        <f t="array" aca="1" ref="T75" ca="1">IF(T$5=0, T69-T72, INDEX($D75:$AC75, 1, T$5)+T69-T72)</f>
        <v>6144.3332821843142</v>
      </c>
      <c r="U75" s="15" cm="1">
        <f t="array" aca="1" ref="U75" ca="1">IF(U$5=0, U69-U72, INDEX($D75:$AC75, 1, U$5)+U69-U72)</f>
        <v>6371.4554690529912</v>
      </c>
      <c r="V75" s="15" cm="1">
        <f t="array" aca="1" ref="V75" ca="1">IF(V$5=0, V69-V72, INDEX($D75:$AC75, 1, V$5)+V69-V72)</f>
        <v>6600.1022113930367</v>
      </c>
      <c r="W75" s="15" cm="1">
        <f t="array" aca="1" ref="W75" ca="1">IF(W$5=0, W69-W72, INDEX($D75:$AC75, 1, W$5)+W69-W72)</f>
        <v>6830.1616428896732</v>
      </c>
      <c r="X75" s="15" cm="1">
        <f t="array" aca="1" ref="X75" ca="1">IF(X$5=0, X69-X72, INDEX($D75:$AC75, 1, X$5)+X69-X72)</f>
        <v>7061.5174625619456</v>
      </c>
      <c r="Y75" s="15" cm="1">
        <f t="array" aca="1" ref="Y75" ca="1">IF(Y$5=0, Y69-Y72, INDEX($D75:$AC75, 1, Y$5)+Y69-Y72)</f>
        <v>7294.0498652181323</v>
      </c>
      <c r="Z75" s="15" cm="1">
        <f t="array" aca="1" ref="Z75" ca="1">IF(Z$5=0, Z69-Z72, INDEX($D75:$AC75, 1, Z$5)+Z69-Z72)</f>
        <v>7527.6340087885392</v>
      </c>
      <c r="AA75" s="15" cm="1">
        <f t="array" aca="1" ref="AA75" ca="1">IF(AA$5=0, AA69-AA72, INDEX($D75:$AC75, 1, AA$5)+AA69-AA72)</f>
        <v>7762.1409816697897</v>
      </c>
      <c r="AB75" s="15" cm="1">
        <f t="array" aca="1" ref="AB75" ca="1">IF(AB$5=0, AB69-AB72, INDEX($D75:$AC75, 1, AB$5)+AB69-AB72)</f>
        <v>7997.4387866342604</v>
      </c>
      <c r="AC75" s="15" cm="1">
        <f t="array" aca="1" ref="AC75" ca="1">IF(AC$5=0, AC69-AC72, INDEX($D75:$AC75, 1, AC$5)+AC69-AC72)</f>
        <v>8548.2277524849815</v>
      </c>
    </row>
    <row r="82" spans="1:29" x14ac:dyDescent="0.2">
      <c r="A82" s="4" t="s">
        <v>1196</v>
      </c>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row>
    <row r="83" spans="1:29" x14ac:dyDescent="0.2">
      <c r="A83" t="s">
        <v>1197</v>
      </c>
      <c r="C83" t="s">
        <v>1198</v>
      </c>
      <c r="D83" s="29">
        <f>INDEX(Assumptions!$B:$B, MATCH("Capital lifetime — book value straight-line depreciation (years)", Assumptions!$A:$A, 0))</f>
        <v>10</v>
      </c>
      <c r="E83" s="29">
        <f>INDEX(Assumptions!$B:$B, MATCH("Capital lifetime — book value straight-line depreciation (years)", Assumptions!$A:$A, 0))</f>
        <v>10</v>
      </c>
      <c r="F83" s="29">
        <f>INDEX(Assumptions!$B:$B, MATCH("Capital lifetime — book value straight-line depreciation (years)", Assumptions!$A:$A, 0))</f>
        <v>10</v>
      </c>
      <c r="G83" s="29">
        <f>INDEX(Assumptions!$B:$B, MATCH("Capital lifetime — book value straight-line depreciation (years)", Assumptions!$A:$A, 0))</f>
        <v>10</v>
      </c>
      <c r="H83" s="29">
        <f>INDEX(Assumptions!$B:$B, MATCH("Capital lifetime — book value straight-line depreciation (years)", Assumptions!$A:$A, 0))</f>
        <v>10</v>
      </c>
      <c r="I83" s="29">
        <f>INDEX(Assumptions!$B:$B, MATCH("Capital lifetime — book value straight-line depreciation (years)", Assumptions!$A:$A, 0))</f>
        <v>10</v>
      </c>
      <c r="J83" s="29">
        <f>INDEX(Assumptions!$B:$B, MATCH("Capital lifetime — book value straight-line depreciation (years)", Assumptions!$A:$A, 0))</f>
        <v>10</v>
      </c>
      <c r="K83" s="29">
        <f>INDEX(Assumptions!$B:$B, MATCH("Capital lifetime — book value straight-line depreciation (years)", Assumptions!$A:$A, 0))</f>
        <v>10</v>
      </c>
      <c r="L83" s="29">
        <f>INDEX(Assumptions!$B:$B, MATCH("Capital lifetime — book value straight-line depreciation (years)", Assumptions!$A:$A, 0))</f>
        <v>10</v>
      </c>
      <c r="M83" s="29">
        <f>INDEX(Assumptions!$B:$B, MATCH("Capital lifetime — book value straight-line depreciation (years)", Assumptions!$A:$A, 0))</f>
        <v>10</v>
      </c>
      <c r="N83" s="29">
        <f>INDEX(Assumptions!$B:$B, MATCH("Capital lifetime — book value straight-line depreciation (years)", Assumptions!$A:$A, 0))</f>
        <v>10</v>
      </c>
      <c r="O83" s="29">
        <f>INDEX(Assumptions!$B:$B, MATCH("Capital lifetime — book value straight-line depreciation (years)", Assumptions!$A:$A, 0))</f>
        <v>10</v>
      </c>
      <c r="P83" s="29">
        <f>INDEX(Assumptions!$B:$B, MATCH("Capital lifetime — book value straight-line depreciation (years)", Assumptions!$A:$A, 0))</f>
        <v>10</v>
      </c>
      <c r="Q83" s="29">
        <f>INDEX(Assumptions!$B:$B, MATCH("Capital lifetime — book value straight-line depreciation (years)", Assumptions!$A:$A, 0))</f>
        <v>10</v>
      </c>
      <c r="R83" s="29">
        <f>INDEX(Assumptions!$B:$B, MATCH("Capital lifetime — book value straight-line depreciation (years)", Assumptions!$A:$A, 0))</f>
        <v>10</v>
      </c>
      <c r="S83" s="29">
        <f>INDEX(Assumptions!$B:$B, MATCH("Capital lifetime — book value straight-line depreciation (years)", Assumptions!$A:$A, 0))</f>
        <v>10</v>
      </c>
      <c r="T83" s="29">
        <f>INDEX(Assumptions!$B:$B, MATCH("Capital lifetime — book value straight-line depreciation (years)", Assumptions!$A:$A, 0))</f>
        <v>10</v>
      </c>
      <c r="U83" s="29">
        <f>INDEX(Assumptions!$B:$B, MATCH("Capital lifetime — book value straight-line depreciation (years)", Assumptions!$A:$A, 0))</f>
        <v>10</v>
      </c>
      <c r="V83" s="29">
        <f>INDEX(Assumptions!$B:$B, MATCH("Capital lifetime — book value straight-line depreciation (years)", Assumptions!$A:$A, 0))</f>
        <v>10</v>
      </c>
      <c r="W83" s="29">
        <f>INDEX(Assumptions!$B:$B, MATCH("Capital lifetime — book value straight-line depreciation (years)", Assumptions!$A:$A, 0))</f>
        <v>10</v>
      </c>
      <c r="X83" s="29">
        <f>INDEX(Assumptions!$B:$B, MATCH("Capital lifetime — book value straight-line depreciation (years)", Assumptions!$A:$A, 0))</f>
        <v>10</v>
      </c>
      <c r="Y83" s="29">
        <f>INDEX(Assumptions!$B:$B, MATCH("Capital lifetime — book value straight-line depreciation (years)", Assumptions!$A:$A, 0))</f>
        <v>10</v>
      </c>
      <c r="Z83" s="29">
        <f>INDEX(Assumptions!$B:$B, MATCH("Capital lifetime — book value straight-line depreciation (years)", Assumptions!$A:$A, 0))</f>
        <v>10</v>
      </c>
      <c r="AA83" s="29">
        <f>INDEX(Assumptions!$B:$B, MATCH("Capital lifetime — book value straight-line depreciation (years)", Assumptions!$A:$A, 0))</f>
        <v>10</v>
      </c>
      <c r="AB83" s="29">
        <f>INDEX(Assumptions!$B:$B, MATCH("Capital lifetime — book value straight-line depreciation (years)", Assumptions!$A:$A, 0))</f>
        <v>10</v>
      </c>
      <c r="AC83" s="29">
        <f>INDEX(Assumptions!$B:$B, MATCH("Capital lifetime — book value straight-line depreciation (years)", Assumptions!$A:$A, 0))</f>
        <v>10</v>
      </c>
    </row>
    <row r="85" spans="1:29" x14ac:dyDescent="0.2">
      <c r="A85" t="s">
        <v>1199</v>
      </c>
      <c r="C85" t="s">
        <v>1200</v>
      </c>
      <c r="D85" s="15">
        <f t="shared" ref="D85:AC85" ca="1" si="21">D74*D66</f>
        <v>0</v>
      </c>
      <c r="E85" s="15">
        <f t="shared" ca="1" si="21"/>
        <v>0</v>
      </c>
      <c r="F85" s="15">
        <f t="shared" ca="1" si="21"/>
        <v>0</v>
      </c>
      <c r="G85" s="15">
        <f t="shared" ca="1" si="21"/>
        <v>635.4129546425703</v>
      </c>
      <c r="H85" s="15">
        <f t="shared" ca="1" si="21"/>
        <v>1382.7513497201551</v>
      </c>
      <c r="I85" s="15">
        <f t="shared" ca="1" si="21"/>
        <v>2255.95889432173</v>
      </c>
      <c r="J85" s="15">
        <f t="shared" ca="1" si="21"/>
        <v>3273.5627263480751</v>
      </c>
      <c r="K85" s="15">
        <f t="shared" ca="1" si="21"/>
        <v>4453.3985501965635</v>
      </c>
      <c r="L85" s="15">
        <f t="shared" ca="1" si="21"/>
        <v>5004.1525528799093</v>
      </c>
      <c r="M85" s="15">
        <f t="shared" ca="1" si="21"/>
        <v>5615.550533331314</v>
      </c>
      <c r="N85" s="15">
        <f t="shared" ca="1" si="21"/>
        <v>6293.5046980149873</v>
      </c>
      <c r="O85" s="15">
        <f t="shared" ca="1" si="21"/>
        <v>7015.0430457516486</v>
      </c>
      <c r="P85" s="15">
        <f t="shared" ca="1" si="21"/>
        <v>7779.9720572245878</v>
      </c>
      <c r="Q85" s="15">
        <f t="shared" ca="1" si="21"/>
        <v>8587.6888302994321</v>
      </c>
      <c r="R85" s="15">
        <f t="shared" ca="1" si="21"/>
        <v>9437.1452520621569</v>
      </c>
      <c r="S85" s="15">
        <f t="shared" ca="1" si="21"/>
        <v>10326.8151245434</v>
      </c>
      <c r="T85" s="15">
        <f t="shared" ca="1" si="21"/>
        <v>11286.930569103892</v>
      </c>
      <c r="U85" s="15">
        <f t="shared" ca="1" si="21"/>
        <v>12322.309833457548</v>
      </c>
      <c r="V85" s="15">
        <f t="shared" ca="1" si="21"/>
        <v>13438.047229640386</v>
      </c>
      <c r="W85" s="15">
        <f t="shared" ca="1" si="21"/>
        <v>14639.519888774281</v>
      </c>
      <c r="X85" s="15">
        <f t="shared" ca="1" si="21"/>
        <v>15932.40113301537</v>
      </c>
      <c r="Y85" s="15">
        <f t="shared" ca="1" si="21"/>
        <v>17322.674668817908</v>
      </c>
      <c r="Z85" s="15">
        <f t="shared" ca="1" si="21"/>
        <v>18816.640859273819</v>
      </c>
      <c r="AA85" s="15">
        <f t="shared" ca="1" si="21"/>
        <v>20420.930764711709</v>
      </c>
      <c r="AB85" s="15">
        <f t="shared" ca="1" si="21"/>
        <v>22142.521081708765</v>
      </c>
      <c r="AC85" s="15">
        <f t="shared" ca="1" si="21"/>
        <v>24909.889604889904</v>
      </c>
    </row>
    <row r="86" spans="1:29" x14ac:dyDescent="0.2">
      <c r="A86" t="s">
        <v>1201</v>
      </c>
      <c r="C86" t="s">
        <v>1202</v>
      </c>
      <c r="D86" s="15">
        <f t="shared" ref="D86:AC86" ca="1" si="22">D75*D66</f>
        <v>0</v>
      </c>
      <c r="E86" s="15">
        <f t="shared" ca="1" si="22"/>
        <v>0</v>
      </c>
      <c r="F86" s="15">
        <f t="shared" ca="1" si="22"/>
        <v>0</v>
      </c>
      <c r="G86" s="15">
        <f t="shared" ca="1" si="22"/>
        <v>202.795066629069</v>
      </c>
      <c r="H86" s="15">
        <f t="shared" ca="1" si="22"/>
        <v>439.84160938768963</v>
      </c>
      <c r="I86" s="15">
        <f t="shared" ca="1" si="22"/>
        <v>715.14996457749396</v>
      </c>
      <c r="J86" s="15">
        <f t="shared" ca="1" si="22"/>
        <v>1033.831594872574</v>
      </c>
      <c r="K86" s="15">
        <f t="shared" ca="1" si="22"/>
        <v>1400.8741710806542</v>
      </c>
      <c r="L86" s="15">
        <f t="shared" ca="1" si="22"/>
        <v>1562.9070664209496</v>
      </c>
      <c r="M86" s="15">
        <f t="shared" ca="1" si="22"/>
        <v>1740.9908836473351</v>
      </c>
      <c r="N86" s="15">
        <f t="shared" ca="1" si="22"/>
        <v>1936.4918037315981</v>
      </c>
      <c r="O86" s="15">
        <f t="shared" ca="1" si="22"/>
        <v>2144.5682480223304</v>
      </c>
      <c r="P86" s="15">
        <f t="shared" ca="1" si="22"/>
        <v>2365.4056277031509</v>
      </c>
      <c r="Q86" s="15">
        <f t="shared" ca="1" si="22"/>
        <v>2599.1366558199015</v>
      </c>
      <c r="R86" s="15">
        <f t="shared" ca="1" si="22"/>
        <v>2845.8389078899527</v>
      </c>
      <c r="S86" s="15">
        <f t="shared" ca="1" si="22"/>
        <v>3105.5331648654815</v>
      </c>
      <c r="T86" s="15">
        <f t="shared" ca="1" si="22"/>
        <v>3385.0374371358994</v>
      </c>
      <c r="U86" s="15">
        <f t="shared" ca="1" si="22"/>
        <v>3685.6718241572039</v>
      </c>
      <c r="V86" s="15">
        <f t="shared" ca="1" si="22"/>
        <v>4008.8330553363849</v>
      </c>
      <c r="W86" s="15">
        <f t="shared" ca="1" si="22"/>
        <v>4355.9971853229927</v>
      </c>
      <c r="X86" s="15">
        <f t="shared" ca="1" si="22"/>
        <v>4728.7237680828857</v>
      </c>
      <c r="Y86" s="15">
        <f t="shared" ca="1" si="22"/>
        <v>5128.6603061463411</v>
      </c>
      <c r="Z86" s="15">
        <f t="shared" ca="1" si="22"/>
        <v>5557.5451739610926</v>
      </c>
      <c r="AA86" s="15">
        <f t="shared" ca="1" si="22"/>
        <v>6017.2122551410293</v>
      </c>
      <c r="AB86" s="15">
        <f t="shared" ca="1" si="22"/>
        <v>6509.5958872470783</v>
      </c>
      <c r="AC86" s="15">
        <f t="shared" ca="1" si="22"/>
        <v>7305.8119218763559</v>
      </c>
    </row>
    <row r="88" spans="1:29" x14ac:dyDescent="0.2">
      <c r="A88" t="s">
        <v>1203</v>
      </c>
      <c r="C88" t="s">
        <v>1204</v>
      </c>
      <c r="D88" s="15">
        <f t="shared" ref="D88:AC88" ca="1" si="23">D35*D23/1000000</f>
        <v>0</v>
      </c>
      <c r="E88" s="15">
        <f t="shared" ca="1" si="23"/>
        <v>0</v>
      </c>
      <c r="F88" s="15">
        <f t="shared" ca="1" si="23"/>
        <v>0</v>
      </c>
      <c r="G88" s="15">
        <f t="shared" ca="1" si="23"/>
        <v>220.03428326548104</v>
      </c>
      <c r="H88" s="15">
        <f t="shared" ca="1" si="23"/>
        <v>207.8545534439196</v>
      </c>
      <c r="I88" s="15">
        <f t="shared" ca="1" si="23"/>
        <v>195.4954954954955</v>
      </c>
      <c r="J88" s="15">
        <f t="shared" ca="1" si="23"/>
        <v>181.16922221707512</v>
      </c>
      <c r="K88" s="15">
        <f t="shared" ca="1" si="23"/>
        <v>166.61586817792175</v>
      </c>
      <c r="L88" s="15">
        <f t="shared" ca="1" si="23"/>
        <v>151.86707776635836</v>
      </c>
      <c r="M88" s="15">
        <f t="shared" ca="1" si="23"/>
        <v>136.95958174140358</v>
      </c>
      <c r="N88" s="15">
        <f t="shared" ca="1" si="23"/>
        <v>121.93548387096776</v>
      </c>
      <c r="O88" s="15">
        <f t="shared" ca="1" si="23"/>
        <v>116.29178158346214</v>
      </c>
      <c r="P88" s="15">
        <f t="shared" ca="1" si="23"/>
        <v>110.70200568177451</v>
      </c>
      <c r="Q88" s="15">
        <f t="shared" ca="1" si="23"/>
        <v>105.17287163418132</v>
      </c>
      <c r="R88" s="15">
        <f t="shared" ca="1" si="23"/>
        <v>99.710638552904101</v>
      </c>
      <c r="S88" s="15">
        <f t="shared" ca="1" si="23"/>
        <v>94.321703782781384</v>
      </c>
      <c r="T88" s="15">
        <f t="shared" ca="1" si="23"/>
        <v>89.013147127816254</v>
      </c>
      <c r="U88" s="15">
        <f t="shared" ca="1" si="23"/>
        <v>83.791576589855779</v>
      </c>
      <c r="V88" s="15">
        <f t="shared" ca="1" si="23"/>
        <v>78.663698062356374</v>
      </c>
      <c r="W88" s="15">
        <f t="shared" ca="1" si="23"/>
        <v>73.636821206867637</v>
      </c>
      <c r="X88" s="15">
        <f t="shared" ca="1" si="23"/>
        <v>68.717764182068947</v>
      </c>
      <c r="Y88" s="15">
        <f t="shared" ca="1" si="23"/>
        <v>63.913392003595668</v>
      </c>
      <c r="Z88" s="15">
        <f t="shared" ca="1" si="23"/>
        <v>59.231077292751316</v>
      </c>
      <c r="AA88" s="15">
        <f t="shared" ca="1" si="23"/>
        <v>54.677678339209756</v>
      </c>
      <c r="AB88" s="15">
        <f t="shared" ca="1" si="23"/>
        <v>50.26003971007593</v>
      </c>
      <c r="AC88" s="15">
        <f t="shared" ca="1" si="23"/>
        <v>54.299852665624847</v>
      </c>
    </row>
    <row r="89" spans="1:29" x14ac:dyDescent="0.2">
      <c r="A89" t="s">
        <v>1205</v>
      </c>
      <c r="C89" t="s">
        <v>1206</v>
      </c>
      <c r="D89" s="15">
        <f t="shared" ref="D89:AC89" ca="1" si="24">D43*D23/1000000</f>
        <v>0</v>
      </c>
      <c r="E89" s="15">
        <f t="shared" ca="1" si="24"/>
        <v>0</v>
      </c>
      <c r="F89" s="15">
        <f t="shared" ca="1" si="24"/>
        <v>0</v>
      </c>
      <c r="G89" s="15">
        <f t="shared" ca="1" si="24"/>
        <v>70.224988032551479</v>
      </c>
      <c r="H89" s="15">
        <f t="shared" ca="1" si="24"/>
        <v>65.910753474762259</v>
      </c>
      <c r="I89" s="15">
        <f t="shared" ca="1" si="24"/>
        <v>61.589403973509945</v>
      </c>
      <c r="J89" s="15">
        <f t="shared" ca="1" si="24"/>
        <v>56.649880014871414</v>
      </c>
      <c r="K89" s="15">
        <f t="shared" ca="1" si="24"/>
        <v>51.707014276846699</v>
      </c>
      <c r="L89" s="15">
        <f t="shared" ca="1" si="24"/>
        <v>46.773115745788367</v>
      </c>
      <c r="M89" s="15">
        <f t="shared" ca="1" si="24"/>
        <v>41.861465653233921</v>
      </c>
      <c r="N89" s="15">
        <f t="shared" ca="1" si="24"/>
        <v>36.986301369863028</v>
      </c>
      <c r="O89" s="15">
        <f t="shared" ca="1" si="24"/>
        <v>35.174058514398901</v>
      </c>
      <c r="P89" s="15">
        <f t="shared" ca="1" si="24"/>
        <v>33.389267771231367</v>
      </c>
      <c r="Q89" s="15">
        <f t="shared" ca="1" si="24"/>
        <v>31.633679973163375</v>
      </c>
      <c r="R89" s="15">
        <f t="shared" ca="1" si="24"/>
        <v>29.908864329739508</v>
      </c>
      <c r="S89" s="15">
        <f t="shared" ca="1" si="24"/>
        <v>28.21640059445491</v>
      </c>
      <c r="T89" s="15">
        <f t="shared" ca="1" si="24"/>
        <v>26.558049447419396</v>
      </c>
      <c r="U89" s="15">
        <f t="shared" ca="1" si="24"/>
        <v>24.935391287017936</v>
      </c>
      <c r="V89" s="15">
        <f t="shared" ca="1" si="24"/>
        <v>23.350008008152745</v>
      </c>
      <c r="W89" s="15">
        <f t="shared" ca="1" si="24"/>
        <v>21.803639735713464</v>
      </c>
      <c r="X89" s="15">
        <f t="shared" ca="1" si="24"/>
        <v>20.297848217354758</v>
      </c>
      <c r="Y89" s="15">
        <f t="shared" ca="1" si="24"/>
        <v>18.834186645868421</v>
      </c>
      <c r="Z89" s="15">
        <f t="shared" ca="1" si="24"/>
        <v>17.414341222182976</v>
      </c>
      <c r="AA89" s="15">
        <f t="shared" ca="1" si="24"/>
        <v>16.039822504301956</v>
      </c>
      <c r="AB89" s="15">
        <f t="shared" ca="1" si="24"/>
        <v>14.712121737520386</v>
      </c>
      <c r="AC89" s="15">
        <f t="shared" ca="1" si="24"/>
        <v>15.861577431110033</v>
      </c>
    </row>
    <row r="91" spans="1:29" x14ac:dyDescent="0.2">
      <c r="A91" t="s">
        <v>1207</v>
      </c>
      <c r="C91" t="s">
        <v>1208</v>
      </c>
      <c r="D91" s="15">
        <f t="shared" ref="D91:AC91" ca="1" si="25">D85+D88</f>
        <v>0</v>
      </c>
      <c r="E91" s="15">
        <f t="shared" ca="1" si="25"/>
        <v>0</v>
      </c>
      <c r="F91" s="15">
        <f t="shared" ca="1" si="25"/>
        <v>0</v>
      </c>
      <c r="G91" s="15">
        <f t="shared" ca="1" si="25"/>
        <v>855.44723790805131</v>
      </c>
      <c r="H91" s="15">
        <f t="shared" ca="1" si="25"/>
        <v>1590.6059031640748</v>
      </c>
      <c r="I91" s="15">
        <f t="shared" ca="1" si="25"/>
        <v>2451.4543898172255</v>
      </c>
      <c r="J91" s="15">
        <f t="shared" ca="1" si="25"/>
        <v>3454.7319485651501</v>
      </c>
      <c r="K91" s="15">
        <f t="shared" ca="1" si="25"/>
        <v>4620.0144183744851</v>
      </c>
      <c r="L91" s="15">
        <f t="shared" ca="1" si="25"/>
        <v>5156.0196306462676</v>
      </c>
      <c r="M91" s="15">
        <f t="shared" ca="1" si="25"/>
        <v>5752.5101150727178</v>
      </c>
      <c r="N91" s="15">
        <f t="shared" ca="1" si="25"/>
        <v>6415.4401818859551</v>
      </c>
      <c r="O91" s="15">
        <f t="shared" ca="1" si="25"/>
        <v>7131.3348273351112</v>
      </c>
      <c r="P91" s="15">
        <f t="shared" ca="1" si="25"/>
        <v>7890.6740629063625</v>
      </c>
      <c r="Q91" s="15">
        <f t="shared" ca="1" si="25"/>
        <v>8692.8617019336125</v>
      </c>
      <c r="R91" s="15">
        <f t="shared" ca="1" si="25"/>
        <v>9536.8558906150611</v>
      </c>
      <c r="S91" s="15">
        <f t="shared" ca="1" si="25"/>
        <v>10421.136828326182</v>
      </c>
      <c r="T91" s="15">
        <f t="shared" ca="1" si="25"/>
        <v>11375.943716231708</v>
      </c>
      <c r="U91" s="15">
        <f t="shared" ca="1" si="25"/>
        <v>12406.101410047404</v>
      </c>
      <c r="V91" s="15">
        <f t="shared" ca="1" si="25"/>
        <v>13516.710927702743</v>
      </c>
      <c r="W91" s="15">
        <f t="shared" ca="1" si="25"/>
        <v>14713.156709981149</v>
      </c>
      <c r="X91" s="15">
        <f t="shared" ca="1" si="25"/>
        <v>16001.118897197439</v>
      </c>
      <c r="Y91" s="15">
        <f t="shared" ca="1" si="25"/>
        <v>17386.588060821505</v>
      </c>
      <c r="Z91" s="15">
        <f t="shared" ca="1" si="25"/>
        <v>18875.871936566571</v>
      </c>
      <c r="AA91" s="15">
        <f t="shared" ca="1" si="25"/>
        <v>20475.608443050918</v>
      </c>
      <c r="AB91" s="15">
        <f t="shared" ca="1" si="25"/>
        <v>22192.78112141884</v>
      </c>
      <c r="AC91" s="15">
        <f t="shared" ca="1" si="25"/>
        <v>24964.189457555531</v>
      </c>
    </row>
    <row r="92" spans="1:29" x14ac:dyDescent="0.2">
      <c r="A92" t="s">
        <v>1209</v>
      </c>
      <c r="C92" t="s">
        <v>1210</v>
      </c>
      <c r="D92" s="15">
        <f t="shared" ref="D92:AC92" ca="1" si="26">D86+D89</f>
        <v>0</v>
      </c>
      <c r="E92" s="15">
        <f t="shared" ca="1" si="26"/>
        <v>0</v>
      </c>
      <c r="F92" s="15">
        <f t="shared" ca="1" si="26"/>
        <v>0</v>
      </c>
      <c r="G92" s="15">
        <f t="shared" ca="1" si="26"/>
        <v>273.02005466162046</v>
      </c>
      <c r="H92" s="15">
        <f t="shared" ca="1" si="26"/>
        <v>505.75236286245189</v>
      </c>
      <c r="I92" s="15">
        <f t="shared" ca="1" si="26"/>
        <v>776.73936855100396</v>
      </c>
      <c r="J92" s="15">
        <f t="shared" ca="1" si="26"/>
        <v>1090.4814748874453</v>
      </c>
      <c r="K92" s="15">
        <f t="shared" ca="1" si="26"/>
        <v>1452.5811853575008</v>
      </c>
      <c r="L92" s="15">
        <f t="shared" ca="1" si="26"/>
        <v>1609.6801821667379</v>
      </c>
      <c r="M92" s="15">
        <f t="shared" ca="1" si="26"/>
        <v>1782.8523493005689</v>
      </c>
      <c r="N92" s="15">
        <f t="shared" ca="1" si="26"/>
        <v>1973.4781051014611</v>
      </c>
      <c r="O92" s="15">
        <f t="shared" ca="1" si="26"/>
        <v>2179.7423065367293</v>
      </c>
      <c r="P92" s="15">
        <f t="shared" ca="1" si="26"/>
        <v>2398.7948954743824</v>
      </c>
      <c r="Q92" s="15">
        <f t="shared" ca="1" si="26"/>
        <v>2630.770335793065</v>
      </c>
      <c r="R92" s="15">
        <f t="shared" ca="1" si="26"/>
        <v>2875.7477722196923</v>
      </c>
      <c r="S92" s="15">
        <f t="shared" ca="1" si="26"/>
        <v>3133.7495654599365</v>
      </c>
      <c r="T92" s="15">
        <f t="shared" ca="1" si="26"/>
        <v>3411.5954865833187</v>
      </c>
      <c r="U92" s="15">
        <f t="shared" ca="1" si="26"/>
        <v>3710.6072154442218</v>
      </c>
      <c r="V92" s="15">
        <f t="shared" ca="1" si="26"/>
        <v>4032.1830633445375</v>
      </c>
      <c r="W92" s="15">
        <f t="shared" ca="1" si="26"/>
        <v>4377.8008250587063</v>
      </c>
      <c r="X92" s="15">
        <f t="shared" ca="1" si="26"/>
        <v>4749.0216163002406</v>
      </c>
      <c r="Y92" s="15">
        <f t="shared" ca="1" si="26"/>
        <v>5147.4944927922097</v>
      </c>
      <c r="Z92" s="15">
        <f t="shared" ca="1" si="26"/>
        <v>5574.9595151832755</v>
      </c>
      <c r="AA92" s="15">
        <f t="shared" ca="1" si="26"/>
        <v>6033.2520776453312</v>
      </c>
      <c r="AB92" s="15">
        <f t="shared" ca="1" si="26"/>
        <v>6524.3080089845989</v>
      </c>
      <c r="AC92" s="15">
        <f t="shared" ca="1" si="26"/>
        <v>7321.673499307466</v>
      </c>
    </row>
    <row r="94" spans="1:29" x14ac:dyDescent="0.2">
      <c r="A94" t="s">
        <v>1211</v>
      </c>
      <c r="C94" t="s">
        <v>1212</v>
      </c>
      <c r="D94" s="15" cm="1">
        <f t="array" aca="1" ref="D94" ca="1">IF(D$5=0, D91, INDEX($D94:$AC94, 1, D$5)*(1-1/$D$83)+D91)</f>
        <v>0</v>
      </c>
      <c r="E94" s="15" cm="1">
        <f t="array" aca="1" ref="E94" ca="1">IF(E$5=0, E91, INDEX($D94:$AC94, 1, E$5)*(1-1/$D$83)+E91)</f>
        <v>0</v>
      </c>
      <c r="F94" s="15" cm="1">
        <f t="array" aca="1" ref="F94" ca="1">IF(F$5=0, F91, INDEX($D94:$AC94, 1, F$5)*(1-1/$D$83)+F91)</f>
        <v>0</v>
      </c>
      <c r="G94" s="15" cm="1">
        <f t="array" aca="1" ref="G94" ca="1">IF(G$5=0, G91, INDEX($D94:$AC94, 1, G$5)*(1-1/$D$83)+G91)</f>
        <v>855.44723790805131</v>
      </c>
      <c r="H94" s="15" cm="1">
        <f t="array" aca="1" ref="H94" ca="1">IF(H$5=0, H91, INDEX($D94:$AC94, 1, H$5)*(1-1/$D$83)+H91)</f>
        <v>2360.5084172813208</v>
      </c>
      <c r="I94" s="15" cm="1">
        <f t="array" aca="1" ref="I94" ca="1">IF(I$5=0, I91, INDEX($D94:$AC94, 1, I$5)*(1-1/$D$83)+I91)</f>
        <v>4575.9119653704147</v>
      </c>
      <c r="J94" s="15" cm="1">
        <f t="array" aca="1" ref="J94" ca="1">IF(J$5=0, J91, INDEX($D94:$AC94, 1, J$5)*(1-1/$D$83)+J91)</f>
        <v>7573.0527173985229</v>
      </c>
      <c r="K94" s="15" cm="1">
        <f t="array" aca="1" ref="K94" ca="1">IF(K$5=0, K91, INDEX($D94:$AC94, 1, K$5)*(1-1/$D$83)+K91)</f>
        <v>11435.761864033157</v>
      </c>
      <c r="L94" s="15" cm="1">
        <f t="array" aca="1" ref="L94" ca="1">IF(L$5=0, L91, INDEX($D94:$AC94, 1, L$5)*(1-1/$D$83)+L91)</f>
        <v>15448.205308276109</v>
      </c>
      <c r="M94" s="15" cm="1">
        <f t="array" aca="1" ref="M94" ca="1">IF(M$5=0, M91, INDEX($D94:$AC94, 1, M$5)*(1-1/$D$83)+M91)</f>
        <v>19655.894892521217</v>
      </c>
      <c r="N94" s="15" cm="1">
        <f t="array" aca="1" ref="N94" ca="1">IF(N$5=0, N91, INDEX($D94:$AC94, 1, N$5)*(1-1/$D$83)+N91)</f>
        <v>24105.745585155051</v>
      </c>
      <c r="O94" s="15" cm="1">
        <f t="array" aca="1" ref="O94" ca="1">IF(O$5=0, O91, INDEX($D94:$AC94, 1, O$5)*(1-1/$D$83)+O91)</f>
        <v>28826.505853974657</v>
      </c>
      <c r="P94" s="15" cm="1">
        <f t="array" aca="1" ref="P94" ca="1">IF(P$5=0, P91, INDEX($D94:$AC94, 1, P$5)*(1-1/$D$83)+P91)</f>
        <v>33834.529331483551</v>
      </c>
      <c r="Q94" s="15" cm="1">
        <f t="array" aca="1" ref="Q94" ca="1">IF(Q$5=0, Q91, INDEX($D94:$AC94, 1, Q$5)*(1-1/$D$83)+Q91)</f>
        <v>39143.93810026881</v>
      </c>
      <c r="R94" s="15" cm="1">
        <f t="array" aca="1" ref="R94" ca="1">IF(R$5=0, R91, INDEX($D94:$AC94, 1, R$5)*(1-1/$D$83)+R91)</f>
        <v>44766.400180856988</v>
      </c>
      <c r="S94" s="15" cm="1">
        <f t="array" aca="1" ref="S94" ca="1">IF(S$5=0, S91, INDEX($D94:$AC94, 1, S$5)*(1-1/$D$83)+S91)</f>
        <v>50710.896991097477</v>
      </c>
      <c r="T94" s="15" cm="1">
        <f t="array" aca="1" ref="T94" ca="1">IF(T$5=0, T91, INDEX($D94:$AC94, 1, T$5)*(1-1/$D$83)+T91)</f>
        <v>57015.751008219435</v>
      </c>
      <c r="U94" s="15" cm="1">
        <f t="array" aca="1" ref="U94" ca="1">IF(U$5=0, U91, INDEX($D94:$AC94, 1, U$5)*(1-1/$D$83)+U91)</f>
        <v>63720.277317444896</v>
      </c>
      <c r="V94" s="15" cm="1">
        <f t="array" aca="1" ref="V94" ca="1">IF(V$5=0, V91, INDEX($D94:$AC94, 1, V$5)*(1-1/$D$83)+V91)</f>
        <v>70864.960513403159</v>
      </c>
      <c r="W94" s="15" cm="1">
        <f t="array" aca="1" ref="W94" ca="1">IF(W$5=0, W91, INDEX($D94:$AC94, 1, W$5)*(1-1/$D$83)+W91)</f>
        <v>78491.62117204399</v>
      </c>
      <c r="X94" s="15" cm="1">
        <f t="array" aca="1" ref="X94" ca="1">IF(X$5=0, X91, INDEX($D94:$AC94, 1, X$5)*(1-1/$D$83)+X91)</f>
        <v>86643.577952037027</v>
      </c>
      <c r="Y94" s="15" cm="1">
        <f t="array" aca="1" ref="Y94" ca="1">IF(Y$5=0, Y91, INDEX($D94:$AC94, 1, Y$5)*(1-1/$D$83)+Y91)</f>
        <v>95365.808217654834</v>
      </c>
      <c r="Z94" s="15" cm="1">
        <f t="array" aca="1" ref="Z94" ca="1">IF(Z$5=0, Z91, INDEX($D94:$AC94, 1, Z$5)*(1-1/$D$83)+Z91)</f>
        <v>104705.09933245592</v>
      </c>
      <c r="AA94" s="15" cm="1">
        <f t="array" aca="1" ref="AA94" ca="1">IF(AA$5=0, AA91, INDEX($D94:$AC94, 1, AA$5)*(1-1/$D$83)+AA91)</f>
        <v>114710.19784226126</v>
      </c>
      <c r="AB94" s="15" cm="1">
        <f t="array" aca="1" ref="AB94" ca="1">IF(AB$5=0, AB91, INDEX($D94:$AC94, 1, AB$5)*(1-1/$D$83)+AB91)</f>
        <v>125431.95917945397</v>
      </c>
      <c r="AC94" s="15" cm="1">
        <f t="array" aca="1" ref="AC94" ca="1">IF(AC$5=0, AC91, INDEX($D94:$AC94, 1, AC$5)*(1-1/$D$83)+AC91)</f>
        <v>137852.95271906411</v>
      </c>
    </row>
    <row r="95" spans="1:29" x14ac:dyDescent="0.2">
      <c r="A95" t="s">
        <v>1213</v>
      </c>
      <c r="C95" t="s">
        <v>419</v>
      </c>
      <c r="D95" s="15" cm="1">
        <f t="array" aca="1" ref="D95" ca="1">IF(D$5=0, D92, INDEX($D95:$AC95, 1, D$5)*(1-1/$D$83)+D92)</f>
        <v>0</v>
      </c>
      <c r="E95" s="15" cm="1">
        <f t="array" aca="1" ref="E95" ca="1">IF(E$5=0, E92, INDEX($D95:$AC95, 1, E$5)*(1-1/$D$83)+E92)</f>
        <v>0</v>
      </c>
      <c r="F95" s="15" cm="1">
        <f t="array" aca="1" ref="F95" ca="1">IF(F$5=0, F92, INDEX($D95:$AC95, 1, F$5)*(1-1/$D$83)+F92)</f>
        <v>0</v>
      </c>
      <c r="G95" s="15" cm="1">
        <f t="array" aca="1" ref="G95" ca="1">IF(G$5=0, G92, INDEX($D95:$AC95, 1, G$5)*(1-1/$D$83)+G92)</f>
        <v>273.02005466162046</v>
      </c>
      <c r="H95" s="15" cm="1">
        <f t="array" aca="1" ref="H95" ca="1">IF(H$5=0, H92, INDEX($D95:$AC95, 1, H$5)*(1-1/$D$83)+H92)</f>
        <v>751.47041205791038</v>
      </c>
      <c r="I95" s="15" cm="1">
        <f t="array" aca="1" ref="I95" ca="1">IF(I$5=0, I92, INDEX($D95:$AC95, 1, I$5)*(1-1/$D$83)+I92)</f>
        <v>1453.0627394031235</v>
      </c>
      <c r="J95" s="15" cm="1">
        <f t="array" aca="1" ref="J95" ca="1">IF(J$5=0, J92, INDEX($D95:$AC95, 1, J$5)*(1-1/$D$83)+J92)</f>
        <v>2398.2379403502564</v>
      </c>
      <c r="K95" s="15" cm="1">
        <f t="array" aca="1" ref="K95" ca="1">IF(K$5=0, K92, INDEX($D95:$AC95, 1, K$5)*(1-1/$D$83)+K92)</f>
        <v>3610.9953316727315</v>
      </c>
      <c r="L95" s="15" cm="1">
        <f t="array" aca="1" ref="L95" ca="1">IF(L$5=0, L92, INDEX($D95:$AC95, 1, L$5)*(1-1/$D$83)+L92)</f>
        <v>4859.5759806721962</v>
      </c>
      <c r="M95" s="15" cm="1">
        <f t="array" aca="1" ref="M95" ca="1">IF(M$5=0, M92, INDEX($D95:$AC95, 1, M$5)*(1-1/$D$83)+M92)</f>
        <v>6156.4707319055451</v>
      </c>
      <c r="N95" s="15" cm="1">
        <f t="array" aca="1" ref="N95" ca="1">IF(N$5=0, N92, INDEX($D95:$AC95, 1, N$5)*(1-1/$D$83)+N92)</f>
        <v>7514.3017638164511</v>
      </c>
      <c r="O95" s="15" cm="1">
        <f t="array" aca="1" ref="O95" ca="1">IF(O$5=0, O92, INDEX($D95:$AC95, 1, O$5)*(1-1/$D$83)+O92)</f>
        <v>8942.6138939715347</v>
      </c>
      <c r="P95" s="15" cm="1">
        <f t="array" aca="1" ref="P95" ca="1">IF(P$5=0, P92, INDEX($D95:$AC95, 1, P$5)*(1-1/$D$83)+P92)</f>
        <v>10447.147400048765</v>
      </c>
      <c r="Q95" s="15" cm="1">
        <f t="array" aca="1" ref="Q95" ca="1">IF(Q$5=0, Q92, INDEX($D95:$AC95, 1, Q$5)*(1-1/$D$83)+Q92)</f>
        <v>12033.202995836953</v>
      </c>
      <c r="R95" s="15" cm="1">
        <f t="array" aca="1" ref="R95" ca="1">IF(R$5=0, R92, INDEX($D95:$AC95, 1, R$5)*(1-1/$D$83)+R92)</f>
        <v>13705.630468472951</v>
      </c>
      <c r="S95" s="15" cm="1">
        <f t="array" aca="1" ref="S95" ca="1">IF(S$5=0, S92, INDEX($D95:$AC95, 1, S$5)*(1-1/$D$83)+S92)</f>
        <v>15468.816987085593</v>
      </c>
      <c r="T95" s="15" cm="1">
        <f t="array" aca="1" ref="T95" ca="1">IF(T$5=0, T92, INDEX($D95:$AC95, 1, T$5)*(1-1/$D$83)+T92)</f>
        <v>17333.530774960353</v>
      </c>
      <c r="U95" s="15" cm="1">
        <f t="array" aca="1" ref="U95" ca="1">IF(U$5=0, U92, INDEX($D95:$AC95, 1, U$5)*(1-1/$D$83)+U92)</f>
        <v>19310.784912908541</v>
      </c>
      <c r="V95" s="15" cm="1">
        <f t="array" aca="1" ref="V95" ca="1">IF(V$5=0, V92, INDEX($D95:$AC95, 1, V$5)*(1-1/$D$83)+V92)</f>
        <v>21411.889484962227</v>
      </c>
      <c r="W95" s="15" cm="1">
        <f t="array" aca="1" ref="W95" ca="1">IF(W$5=0, W92, INDEX($D95:$AC95, 1, W$5)*(1-1/$D$83)+W92)</f>
        <v>23648.501361524708</v>
      </c>
      <c r="X95" s="15" cm="1">
        <f t="array" aca="1" ref="X95" ca="1">IF(X$5=0, X92, INDEX($D95:$AC95, 1, X$5)*(1-1/$D$83)+X92)</f>
        <v>26032.67284167248</v>
      </c>
      <c r="Y95" s="15" cm="1">
        <f t="array" aca="1" ref="Y95" ca="1">IF(Y$5=0, Y92, INDEX($D95:$AC95, 1, Y$5)*(1-1/$D$83)+Y92)</f>
        <v>28576.900050297445</v>
      </c>
      <c r="Z95" s="15" cm="1">
        <f t="array" aca="1" ref="Z95" ca="1">IF(Z$5=0, Z92, INDEX($D95:$AC95, 1, Z$5)*(1-1/$D$83)+Z92)</f>
        <v>31294.169560450977</v>
      </c>
      <c r="AA95" s="15" cm="1">
        <f t="array" aca="1" ref="AA95" ca="1">IF(AA$5=0, AA92, INDEX($D95:$AC95, 1, AA$5)*(1-1/$D$83)+AA92)</f>
        <v>34198.004682051207</v>
      </c>
      <c r="AB95" s="15" cm="1">
        <f t="array" aca="1" ref="AB95" ca="1">IF(AB$5=0, AB92, INDEX($D95:$AC95, 1, AB$5)*(1-1/$D$83)+AB92)</f>
        <v>37302.512222830686</v>
      </c>
      <c r="AC95" s="15" cm="1">
        <f t="array" aca="1" ref="AC95" ca="1">IF(AC$5=0, AC92, INDEX($D95:$AC95, 1, AC$5)*(1-1/$D$83)+AC92)</f>
        <v>40893.934499855081</v>
      </c>
    </row>
    <row r="97" spans="1:29" x14ac:dyDescent="0.2">
      <c r="A97" t="s">
        <v>1214</v>
      </c>
      <c r="C97" t="s">
        <v>1215</v>
      </c>
      <c r="D97" s="15">
        <f t="shared" ref="D97:AC97" ca="1" si="27">D94+D95</f>
        <v>0</v>
      </c>
      <c r="E97" s="15">
        <f t="shared" ca="1" si="27"/>
        <v>0</v>
      </c>
      <c r="F97" s="15">
        <f t="shared" ca="1" si="27"/>
        <v>0</v>
      </c>
      <c r="G97" s="15">
        <f t="shared" ca="1" si="27"/>
        <v>1128.4672925696718</v>
      </c>
      <c r="H97" s="15">
        <f t="shared" ca="1" si="27"/>
        <v>3111.9788293392312</v>
      </c>
      <c r="I97" s="15">
        <f t="shared" ca="1" si="27"/>
        <v>6028.9747047735382</v>
      </c>
      <c r="J97" s="15">
        <f t="shared" ca="1" si="27"/>
        <v>9971.2906577487793</v>
      </c>
      <c r="K97" s="15">
        <f t="shared" ca="1" si="27"/>
        <v>15046.757195705888</v>
      </c>
      <c r="L97" s="15">
        <f t="shared" ca="1" si="27"/>
        <v>20307.781288948303</v>
      </c>
      <c r="M97" s="15">
        <f t="shared" ca="1" si="27"/>
        <v>25812.365624426762</v>
      </c>
      <c r="N97" s="15">
        <f t="shared" ca="1" si="27"/>
        <v>31620.0473489715</v>
      </c>
      <c r="O97" s="15">
        <f t="shared" ca="1" si="27"/>
        <v>37769.119747946192</v>
      </c>
      <c r="P97" s="15">
        <f t="shared" ca="1" si="27"/>
        <v>44281.676731532316</v>
      </c>
      <c r="Q97" s="15">
        <f t="shared" ca="1" si="27"/>
        <v>51177.141096105763</v>
      </c>
      <c r="R97" s="15">
        <f t="shared" ca="1" si="27"/>
        <v>58472.030649329943</v>
      </c>
      <c r="S97" s="15">
        <f t="shared" ca="1" si="27"/>
        <v>66179.713978183077</v>
      </c>
      <c r="T97" s="15">
        <f t="shared" ca="1" si="27"/>
        <v>74349.281783179787</v>
      </c>
      <c r="U97" s="15">
        <f t="shared" ca="1" si="27"/>
        <v>83031.062230353433</v>
      </c>
      <c r="V97" s="15">
        <f t="shared" ca="1" si="27"/>
        <v>92276.849998365389</v>
      </c>
      <c r="W97" s="15">
        <f t="shared" ca="1" si="27"/>
        <v>102140.1225335687</v>
      </c>
      <c r="X97" s="15">
        <f t="shared" ca="1" si="27"/>
        <v>112676.25079370951</v>
      </c>
      <c r="Y97" s="15">
        <f t="shared" ca="1" si="27"/>
        <v>123942.70826795229</v>
      </c>
      <c r="Z97" s="15">
        <f t="shared" ca="1" si="27"/>
        <v>135999.2688929069</v>
      </c>
      <c r="AA97" s="15">
        <f t="shared" ca="1" si="27"/>
        <v>148908.20252431248</v>
      </c>
      <c r="AB97" s="15">
        <f t="shared" ca="1" si="27"/>
        <v>162734.47140228466</v>
      </c>
      <c r="AC97" s="15">
        <f t="shared" ca="1" si="27"/>
        <v>178746.88721891918</v>
      </c>
    </row>
    <row r="112" spans="1:29" x14ac:dyDescent="0.2">
      <c r="A112" s="4" t="s">
        <v>1216</v>
      </c>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row>
    <row r="113" spans="1:32" x14ac:dyDescent="0.2">
      <c r="A113" t="s">
        <v>604</v>
      </c>
      <c r="C113" t="s">
        <v>1217</v>
      </c>
      <c r="D113" s="15">
        <f>0</f>
        <v>0</v>
      </c>
      <c r="E113" s="15">
        <f>0</f>
        <v>0</v>
      </c>
      <c r="F113" s="15">
        <f>0</f>
        <v>0</v>
      </c>
      <c r="G113" s="15">
        <f>0</f>
        <v>0</v>
      </c>
      <c r="H113" s="15">
        <f>0</f>
        <v>0</v>
      </c>
      <c r="I113" s="15">
        <f>0</f>
        <v>0</v>
      </c>
      <c r="J113" s="15">
        <f>0</f>
        <v>0</v>
      </c>
      <c r="K113" s="15">
        <f>0</f>
        <v>0</v>
      </c>
      <c r="L113" s="15">
        <f>0</f>
        <v>0</v>
      </c>
      <c r="M113" s="15">
        <f>0</f>
        <v>0</v>
      </c>
      <c r="N113" s="15">
        <f>0</f>
        <v>0</v>
      </c>
      <c r="O113" s="15">
        <f>0</f>
        <v>0</v>
      </c>
      <c r="P113" s="15">
        <f>0</f>
        <v>0</v>
      </c>
      <c r="Q113" s="15">
        <f>0</f>
        <v>0</v>
      </c>
      <c r="R113" s="15">
        <f>0</f>
        <v>0</v>
      </c>
      <c r="S113" s="15">
        <f>0</f>
        <v>0</v>
      </c>
      <c r="T113" s="15">
        <f>0</f>
        <v>0</v>
      </c>
      <c r="U113" s="15">
        <f>0</f>
        <v>0</v>
      </c>
      <c r="V113" s="15">
        <f>0</f>
        <v>0</v>
      </c>
      <c r="W113" s="15">
        <f>0</f>
        <v>0</v>
      </c>
      <c r="X113" s="15">
        <f>0</f>
        <v>0</v>
      </c>
      <c r="Y113" s="15">
        <f>0</f>
        <v>0</v>
      </c>
      <c r="Z113" s="15">
        <f>0</f>
        <v>0</v>
      </c>
      <c r="AA113" s="15">
        <f>0</f>
        <v>0</v>
      </c>
      <c r="AB113" s="15">
        <f>0</f>
        <v>0</v>
      </c>
      <c r="AC113" s="15">
        <f>0</f>
        <v>0</v>
      </c>
    </row>
    <row r="115" spans="1:32" x14ac:dyDescent="0.2">
      <c r="A115" t="s">
        <v>1218</v>
      </c>
      <c r="C115" t="s">
        <v>1219</v>
      </c>
      <c r="D115" s="40">
        <f ca="1">D30*D26*INDEX(Assumptions!$B:$B, MATCH("Module operating cost — Lunar (% of Lunar CapEx)", Assumptions!$A:$A, 0))</f>
        <v>0</v>
      </c>
      <c r="E115" s="40">
        <f ca="1">E30*E26*INDEX(Assumptions!$B:$B, MATCH("Module operating cost — Lunar (% of Lunar CapEx)", Assumptions!$A:$A, 0))</f>
        <v>0</v>
      </c>
      <c r="F115" s="40">
        <f ca="1">F30*F26*INDEX(Assumptions!$B:$B, MATCH("Module operating cost — Lunar (% of Lunar CapEx)", Assumptions!$A:$A, 0))</f>
        <v>0</v>
      </c>
      <c r="G115" s="40">
        <f ca="1">G30*G26*INDEX(Assumptions!$B:$B, MATCH("Module operating cost — Lunar (% of Lunar CapEx)", Assumptions!$A:$A, 0))</f>
        <v>35</v>
      </c>
      <c r="H115" s="40">
        <f ca="1">H30*H26*INDEX(Assumptions!$B:$B, MATCH("Module operating cost — Lunar (% of Lunar CapEx)", Assumptions!$A:$A, 0))</f>
        <v>35</v>
      </c>
      <c r="I115" s="40">
        <f ca="1">I30*I26*INDEX(Assumptions!$B:$B, MATCH("Module operating cost — Lunar (% of Lunar CapEx)", Assumptions!$A:$A, 0))</f>
        <v>35</v>
      </c>
      <c r="J115" s="40">
        <f ca="1">J30*J26*INDEX(Assumptions!$B:$B, MATCH("Module operating cost — Lunar (% of Lunar CapEx)", Assumptions!$A:$A, 0))</f>
        <v>35</v>
      </c>
      <c r="K115" s="40">
        <f ca="1">K30*K26*INDEX(Assumptions!$B:$B, MATCH("Module operating cost — Lunar (% of Lunar CapEx)", Assumptions!$A:$A, 0))</f>
        <v>35</v>
      </c>
      <c r="L115" s="40">
        <f ca="1">L30*L26*INDEX(Assumptions!$B:$B, MATCH("Module operating cost — Lunar (% of Lunar CapEx)", Assumptions!$A:$A, 0))</f>
        <v>35</v>
      </c>
      <c r="M115" s="40">
        <f ca="1">M30*M26*INDEX(Assumptions!$B:$B, MATCH("Module operating cost — Lunar (% of Lunar CapEx)", Assumptions!$A:$A, 0))</f>
        <v>35</v>
      </c>
      <c r="N115" s="40">
        <f ca="1">N30*N26*INDEX(Assumptions!$B:$B, MATCH("Module operating cost — Lunar (% of Lunar CapEx)", Assumptions!$A:$A, 0))</f>
        <v>35.000000000000007</v>
      </c>
      <c r="O115" s="40">
        <f ca="1">O30*O26*INDEX(Assumptions!$B:$B, MATCH("Module operating cost — Lunar (% of Lunar CapEx)", Assumptions!$A:$A, 0))</f>
        <v>35.000000000000007</v>
      </c>
      <c r="P115" s="40">
        <f ca="1">P30*P26*INDEX(Assumptions!$B:$B, MATCH("Module operating cost — Lunar (% of Lunar CapEx)", Assumptions!$A:$A, 0))</f>
        <v>35</v>
      </c>
      <c r="Q115" s="40">
        <f ca="1">Q30*Q26*INDEX(Assumptions!$B:$B, MATCH("Module operating cost — Lunar (% of Lunar CapEx)", Assumptions!$A:$A, 0))</f>
        <v>35</v>
      </c>
      <c r="R115" s="40">
        <f ca="1">R30*R26*INDEX(Assumptions!$B:$B, MATCH("Module operating cost — Lunar (% of Lunar CapEx)", Assumptions!$A:$A, 0))</f>
        <v>35</v>
      </c>
      <c r="S115" s="40">
        <f ca="1">S30*S26*INDEX(Assumptions!$B:$B, MATCH("Module operating cost — Lunar (% of Lunar CapEx)", Assumptions!$A:$A, 0))</f>
        <v>35</v>
      </c>
      <c r="T115" s="40">
        <f ca="1">T30*T26*INDEX(Assumptions!$B:$B, MATCH("Module operating cost — Lunar (% of Lunar CapEx)", Assumptions!$A:$A, 0))</f>
        <v>35</v>
      </c>
      <c r="U115" s="40">
        <f ca="1">U30*U26*INDEX(Assumptions!$B:$B, MATCH("Module operating cost — Lunar (% of Lunar CapEx)", Assumptions!$A:$A, 0))</f>
        <v>35.000000000000007</v>
      </c>
      <c r="V115" s="40">
        <f ca="1">V30*V26*INDEX(Assumptions!$B:$B, MATCH("Module operating cost — Lunar (% of Lunar CapEx)", Assumptions!$A:$A, 0))</f>
        <v>35</v>
      </c>
      <c r="W115" s="40">
        <f ca="1">W30*W26*INDEX(Assumptions!$B:$B, MATCH("Module operating cost — Lunar (% of Lunar CapEx)", Assumptions!$A:$A, 0))</f>
        <v>35.000000000000007</v>
      </c>
      <c r="X115" s="40">
        <f ca="1">X30*X26*INDEX(Assumptions!$B:$B, MATCH("Module operating cost — Lunar (% of Lunar CapEx)", Assumptions!$A:$A, 0))</f>
        <v>35</v>
      </c>
      <c r="Y115" s="40">
        <f ca="1">Y30*Y26*INDEX(Assumptions!$B:$B, MATCH("Module operating cost — Lunar (% of Lunar CapEx)", Assumptions!$A:$A, 0))</f>
        <v>35</v>
      </c>
      <c r="Z115" s="40">
        <f ca="1">Z30*Z26*INDEX(Assumptions!$B:$B, MATCH("Module operating cost — Lunar (% of Lunar CapEx)", Assumptions!$A:$A, 0))</f>
        <v>35</v>
      </c>
      <c r="AA115" s="40">
        <f ca="1">AA30*AA26*INDEX(Assumptions!$B:$B, MATCH("Module operating cost — Lunar (% of Lunar CapEx)", Assumptions!$A:$A, 0))</f>
        <v>35</v>
      </c>
      <c r="AB115" s="40">
        <f ca="1">AB30*AB26*INDEX(Assumptions!$B:$B, MATCH("Module operating cost — Lunar (% of Lunar CapEx)", Assumptions!$A:$A, 0))</f>
        <v>35</v>
      </c>
      <c r="AC115" s="40">
        <f ca="1">AC30*AC26*INDEX(Assumptions!$B:$B, MATCH("Module operating cost — Lunar (% of Lunar CapEx)", Assumptions!$A:$A, 0))</f>
        <v>41.328221195503353</v>
      </c>
    </row>
    <row r="116" spans="1:32" x14ac:dyDescent="0.2">
      <c r="A116" t="s">
        <v>1220</v>
      </c>
      <c r="C116" t="s">
        <v>1221</v>
      </c>
      <c r="D116" s="40">
        <f ca="1">D38*D27*INDEX(Assumptions!$B:$B, MATCH("Module operating cost — Mars (% of Mars CapEx)", Assumptions!$A:$A, 0))</f>
        <v>0</v>
      </c>
      <c r="E116" s="40">
        <f ca="1">E38*E27*INDEX(Assumptions!$B:$B, MATCH("Module operating cost — Mars (% of Mars CapEx)", Assumptions!$A:$A, 0))</f>
        <v>0</v>
      </c>
      <c r="F116" s="40">
        <f ca="1">F38*F27*INDEX(Assumptions!$B:$B, MATCH("Module operating cost — Mars (% of Mars CapEx)", Assumptions!$A:$A, 0))</f>
        <v>0</v>
      </c>
      <c r="G116" s="40">
        <f ca="1">G38*G27*INDEX(Assumptions!$B:$B, MATCH("Module operating cost — Mars (% of Mars CapEx)", Assumptions!$A:$A, 0))</f>
        <v>15.000000000000004</v>
      </c>
      <c r="H116" s="40">
        <f ca="1">H38*H27*INDEX(Assumptions!$B:$B, MATCH("Module operating cost — Mars (% of Mars CapEx)", Assumptions!$A:$A, 0))</f>
        <v>15.000000000000004</v>
      </c>
      <c r="I116" s="40">
        <f ca="1">I38*I27*INDEX(Assumptions!$B:$B, MATCH("Module operating cost — Mars (% of Mars CapEx)", Assumptions!$A:$A, 0))</f>
        <v>15.000000000000004</v>
      </c>
      <c r="J116" s="40">
        <f ca="1">J38*J27*INDEX(Assumptions!$B:$B, MATCH("Module operating cost — Mars (% of Mars CapEx)", Assumptions!$A:$A, 0))</f>
        <v>15.000000000000004</v>
      </c>
      <c r="K116" s="40">
        <f ca="1">K38*K27*INDEX(Assumptions!$B:$B, MATCH("Module operating cost — Mars (% of Mars CapEx)", Assumptions!$A:$A, 0))</f>
        <v>15.000000000000004</v>
      </c>
      <c r="L116" s="40">
        <f ca="1">L38*L27*INDEX(Assumptions!$B:$B, MATCH("Module operating cost — Mars (% of Mars CapEx)", Assumptions!$A:$A, 0))</f>
        <v>15.000000000000004</v>
      </c>
      <c r="M116" s="40">
        <f ca="1">M38*M27*INDEX(Assumptions!$B:$B, MATCH("Module operating cost — Mars (% of Mars CapEx)", Assumptions!$A:$A, 0))</f>
        <v>15.000000000000004</v>
      </c>
      <c r="N116" s="40">
        <f ca="1">N38*N27*INDEX(Assumptions!$B:$B, MATCH("Module operating cost — Mars (% of Mars CapEx)", Assumptions!$A:$A, 0))</f>
        <v>15.000000000000004</v>
      </c>
      <c r="O116" s="40">
        <f ca="1">O38*O27*INDEX(Assumptions!$B:$B, MATCH("Module operating cost — Mars (% of Mars CapEx)", Assumptions!$A:$A, 0))</f>
        <v>15.000000000000004</v>
      </c>
      <c r="P116" s="40">
        <f ca="1">P38*P27*INDEX(Assumptions!$B:$B, MATCH("Module operating cost — Mars (% of Mars CapEx)", Assumptions!$A:$A, 0))</f>
        <v>15.000000000000004</v>
      </c>
      <c r="Q116" s="40">
        <f ca="1">Q38*Q27*INDEX(Assumptions!$B:$B, MATCH("Module operating cost — Mars (% of Mars CapEx)", Assumptions!$A:$A, 0))</f>
        <v>15.000000000000004</v>
      </c>
      <c r="R116" s="40">
        <f ca="1">R38*R27*INDEX(Assumptions!$B:$B, MATCH("Module operating cost — Mars (% of Mars CapEx)", Assumptions!$A:$A, 0))</f>
        <v>15.000000000000004</v>
      </c>
      <c r="S116" s="40">
        <f ca="1">S38*S27*INDEX(Assumptions!$B:$B, MATCH("Module operating cost — Mars (% of Mars CapEx)", Assumptions!$A:$A, 0))</f>
        <v>15.000000000000004</v>
      </c>
      <c r="T116" s="40">
        <f ca="1">T38*T27*INDEX(Assumptions!$B:$B, MATCH("Module operating cost — Mars (% of Mars CapEx)", Assumptions!$A:$A, 0))</f>
        <v>15.000000000000004</v>
      </c>
      <c r="U116" s="40">
        <f ca="1">U38*U27*INDEX(Assumptions!$B:$B, MATCH("Module operating cost — Mars (% of Mars CapEx)", Assumptions!$A:$A, 0))</f>
        <v>15.000000000000004</v>
      </c>
      <c r="V116" s="40">
        <f ca="1">V38*V27*INDEX(Assumptions!$B:$B, MATCH("Module operating cost — Mars (% of Mars CapEx)", Assumptions!$A:$A, 0))</f>
        <v>15.000000000000004</v>
      </c>
      <c r="W116" s="40">
        <f ca="1">W38*W27*INDEX(Assumptions!$B:$B, MATCH("Module operating cost — Mars (% of Mars CapEx)", Assumptions!$A:$A, 0))</f>
        <v>15.000000000000004</v>
      </c>
      <c r="X116" s="40">
        <f ca="1">X38*X27*INDEX(Assumptions!$B:$B, MATCH("Module operating cost — Mars (% of Mars CapEx)", Assumptions!$A:$A, 0))</f>
        <v>15.000000000000004</v>
      </c>
      <c r="Y116" s="40">
        <f ca="1">Y38*Y27*INDEX(Assumptions!$B:$B, MATCH("Module operating cost — Mars (% of Mars CapEx)", Assumptions!$A:$A, 0))</f>
        <v>15.000000000000004</v>
      </c>
      <c r="Z116" s="40">
        <f ca="1">Z38*Z27*INDEX(Assumptions!$B:$B, MATCH("Module operating cost — Mars (% of Mars CapEx)", Assumptions!$A:$A, 0))</f>
        <v>15.000000000000004</v>
      </c>
      <c r="AA116" s="40">
        <f ca="1">AA38*AA27*INDEX(Assumptions!$B:$B, MATCH("Module operating cost — Mars (% of Mars CapEx)", Assumptions!$A:$A, 0))</f>
        <v>15.000000000000004</v>
      </c>
      <c r="AB116" s="40">
        <f ca="1">AB38*AB27*INDEX(Assumptions!$B:$B, MATCH("Module operating cost — Mars (% of Mars CapEx)", Assumptions!$A:$A, 0))</f>
        <v>15.000000000000004</v>
      </c>
      <c r="AC116" s="40">
        <f ca="1">AC38*AC27*INDEX(Assumptions!$B:$B, MATCH("Module operating cost — Mars (% of Mars CapEx)", Assumptions!$A:$A, 0))</f>
        <v>17.712094798072869</v>
      </c>
    </row>
    <row r="117" spans="1:32" x14ac:dyDescent="0.2">
      <c r="A117" t="s">
        <v>1701</v>
      </c>
      <c r="C117" t="s">
        <v>1222</v>
      </c>
      <c r="D117" s="40" cm="1">
        <f t="array" aca="1" ref="D117" ca="1">IF(D$5=0, 0, INDEX($D94:$AC94, 1, D$5)/$D$83)</f>
        <v>0</v>
      </c>
      <c r="E117" s="40" cm="1">
        <f t="array" aca="1" ref="E117" ca="1">IF(E$5=0, 0, INDEX($D94:$AC94, 1, E$5)/$D$83)</f>
        <v>0</v>
      </c>
      <c r="F117" s="40" cm="1">
        <f t="array" aca="1" ref="F117" ca="1">IF(F$5=0, 0, INDEX($D94:$AC94, 1, F$5)/$D$83)</f>
        <v>0</v>
      </c>
      <c r="G117" s="40" cm="1">
        <f t="array" aca="1" ref="G117" ca="1">IF(G$5=0, 0, INDEX($D94:$AC94, 1, G$5)/$D$83)</f>
        <v>0</v>
      </c>
      <c r="H117" s="40" cm="1">
        <f t="array" aca="1" ref="H117" ca="1">IF(H$5=0, 0, INDEX($D94:$AC94, 1, H$5)/$D$83)</f>
        <v>85.544723790805136</v>
      </c>
      <c r="I117" s="40" cm="1">
        <f t="array" aca="1" ref="I117" ca="1">IF(I$5=0, 0, INDEX($D94:$AC94, 1, I$5)/$D$83)</f>
        <v>236.05084172813207</v>
      </c>
      <c r="J117" s="40" cm="1">
        <f t="array" aca="1" ref="J117" ca="1">IF(J$5=0, 0, INDEX($D94:$AC94, 1, J$5)/$D$83)</f>
        <v>457.59119653704147</v>
      </c>
      <c r="K117" s="40" cm="1">
        <f t="array" aca="1" ref="K117" ca="1">IF(K$5=0, 0, INDEX($D94:$AC94, 1, K$5)/$D$83)</f>
        <v>757.30527173985229</v>
      </c>
      <c r="L117" s="40" cm="1">
        <f t="array" aca="1" ref="L117" ca="1">IF(L$5=0, 0, INDEX($D94:$AC94, 1, L$5)/$D$83)</f>
        <v>1143.5761864033157</v>
      </c>
      <c r="M117" s="40" cm="1">
        <f t="array" aca="1" ref="M117" ca="1">IF(M$5=0, 0, INDEX($D94:$AC94, 1, M$5)/$D$83)</f>
        <v>1544.8205308276108</v>
      </c>
      <c r="N117" s="40" cm="1">
        <f t="array" aca="1" ref="N117" ca="1">IF(N$5=0, 0, INDEX($D94:$AC94, 1, N$5)/$D$83)</f>
        <v>1965.5894892521217</v>
      </c>
      <c r="O117" s="40" cm="1">
        <f t="array" aca="1" ref="O117" ca="1">IF(O$5=0, 0, INDEX($D94:$AC94, 1, O$5)/$D$83)</f>
        <v>2410.574558515505</v>
      </c>
      <c r="P117" s="40" cm="1">
        <f t="array" aca="1" ref="P117" ca="1">IF(P$5=0, 0, INDEX($D94:$AC94, 1, P$5)/$D$83)</f>
        <v>2882.6505853974659</v>
      </c>
      <c r="Q117" s="40" cm="1">
        <f t="array" aca="1" ref="Q117" ca="1">IF(Q$5=0, 0, INDEX($D94:$AC94, 1, Q$5)/$D$83)</f>
        <v>3383.452933148355</v>
      </c>
      <c r="R117" s="40" cm="1">
        <f t="array" aca="1" ref="R117" ca="1">IF(R$5=0, 0, INDEX($D94:$AC94, 1, R$5)/$D$83)</f>
        <v>3914.3938100268811</v>
      </c>
      <c r="S117" s="40" cm="1">
        <f t="array" aca="1" ref="S117" ca="1">IF(S$5=0, 0, INDEX($D94:$AC94, 1, S$5)/$D$83)</f>
        <v>4476.640018085699</v>
      </c>
      <c r="T117" s="40" cm="1">
        <f t="array" aca="1" ref="T117" ca="1">IF(T$5=0, 0, INDEX($D94:$AC94, 1, T$5)/$D$83)</f>
        <v>5071.0896991097479</v>
      </c>
      <c r="U117" s="40" cm="1">
        <f t="array" aca="1" ref="U117" ca="1">IF(U$5=0, 0, INDEX($D94:$AC94, 1, U$5)/$D$83)</f>
        <v>5701.5751008219431</v>
      </c>
      <c r="V117" s="40" cm="1">
        <f t="array" aca="1" ref="V117" ca="1">IF(V$5=0, 0, INDEX($D94:$AC94, 1, V$5)/$D$83)</f>
        <v>6372.0277317444898</v>
      </c>
      <c r="W117" s="40" cm="1">
        <f t="array" aca="1" ref="W117" ca="1">IF(W$5=0, 0, INDEX($D94:$AC94, 1, W$5)/$D$83)</f>
        <v>7086.4960513403157</v>
      </c>
      <c r="X117" s="40" cm="1">
        <f t="array" aca="1" ref="X117" ca="1">IF(X$5=0, 0, INDEX($D94:$AC94, 1, X$5)/$D$83)</f>
        <v>7849.1621172043988</v>
      </c>
      <c r="Y117" s="40" cm="1">
        <f t="array" aca="1" ref="Y117" ca="1">IF(Y$5=0, 0, INDEX($D94:$AC94, 1, Y$5)/$D$83)</f>
        <v>8664.3577952037031</v>
      </c>
      <c r="Z117" s="40" cm="1">
        <f t="array" aca="1" ref="Z117" ca="1">IF(Z$5=0, 0, INDEX($D94:$AC94, 1, Z$5)/$D$83)</f>
        <v>9536.5808217654831</v>
      </c>
      <c r="AA117" s="40" cm="1">
        <f t="array" aca="1" ref="AA117" ca="1">IF(AA$5=0, 0, INDEX($D94:$AC94, 1, AA$5)/$D$83)</f>
        <v>10470.509933245592</v>
      </c>
      <c r="AB117" s="40" cm="1">
        <f t="array" aca="1" ref="AB117" ca="1">IF(AB$5=0, 0, INDEX($D94:$AC94, 1, AB$5)/$D$83)</f>
        <v>11471.019784226126</v>
      </c>
      <c r="AC117" s="40" cm="1">
        <f t="array" aca="1" ref="AC117" ca="1">IF(AC$5=0, 0, INDEX($D94:$AC94, 1, AC$5)/$D$83)</f>
        <v>12543.195917945397</v>
      </c>
    </row>
    <row r="118" spans="1:32" x14ac:dyDescent="0.2">
      <c r="A118" t="s">
        <v>1702</v>
      </c>
      <c r="C118" t="s">
        <v>1223</v>
      </c>
      <c r="D118" s="40" cm="1">
        <f t="array" aca="1" ref="D118" ca="1">IF(D$5=0, 0, INDEX($D95:$AC95, 1, D$5)/$D$83)</f>
        <v>0</v>
      </c>
      <c r="E118" s="40" cm="1">
        <f t="array" aca="1" ref="E118" ca="1">IF(E$5=0, 0, INDEX($D95:$AC95, 1, E$5)/$D$83)</f>
        <v>0</v>
      </c>
      <c r="F118" s="40" cm="1">
        <f t="array" aca="1" ref="F118" ca="1">IF(F$5=0, 0, INDEX($D95:$AC95, 1, F$5)/$D$83)</f>
        <v>0</v>
      </c>
      <c r="G118" s="40" cm="1">
        <f t="array" aca="1" ref="G118" ca="1">IF(G$5=0, 0, INDEX($D95:$AC95, 1, G$5)/$D$83)</f>
        <v>0</v>
      </c>
      <c r="H118" s="40" cm="1">
        <f t="array" aca="1" ref="H118" ca="1">IF(H$5=0, 0, INDEX($D95:$AC95, 1, H$5)/$D$83)</f>
        <v>27.302005466162047</v>
      </c>
      <c r="I118" s="40" cm="1">
        <f t="array" aca="1" ref="I118" ca="1">IF(I$5=0, 0, INDEX($D95:$AC95, 1, I$5)/$D$83)</f>
        <v>75.147041205791041</v>
      </c>
      <c r="J118" s="40" cm="1">
        <f t="array" aca="1" ref="J118" ca="1">IF(J$5=0, 0, INDEX($D95:$AC95, 1, J$5)/$D$83)</f>
        <v>145.30627394031234</v>
      </c>
      <c r="K118" s="40" cm="1">
        <f t="array" aca="1" ref="K118" ca="1">IF(K$5=0, 0, INDEX($D95:$AC95, 1, K$5)/$D$83)</f>
        <v>239.82379403502563</v>
      </c>
      <c r="L118" s="40" cm="1">
        <f t="array" aca="1" ref="L118" ca="1">IF(L$5=0, 0, INDEX($D95:$AC95, 1, L$5)/$D$83)</f>
        <v>361.09953316727314</v>
      </c>
      <c r="M118" s="40" cm="1">
        <f t="array" aca="1" ref="M118" ca="1">IF(M$5=0, 0, INDEX($D95:$AC95, 1, M$5)/$D$83)</f>
        <v>485.95759806721964</v>
      </c>
      <c r="N118" s="40" cm="1">
        <f t="array" aca="1" ref="N118" ca="1">IF(N$5=0, 0, INDEX($D95:$AC95, 1, N$5)/$D$83)</f>
        <v>615.64707319055447</v>
      </c>
      <c r="O118" s="40" cm="1">
        <f t="array" aca="1" ref="O118" ca="1">IF(O$5=0, 0, INDEX($D95:$AC95, 1, O$5)/$D$83)</f>
        <v>751.43017638164508</v>
      </c>
      <c r="P118" s="40" cm="1">
        <f t="array" aca="1" ref="P118" ca="1">IF(P$5=0, 0, INDEX($D95:$AC95, 1, P$5)/$D$83)</f>
        <v>894.26138939715349</v>
      </c>
      <c r="Q118" s="40" cm="1">
        <f t="array" aca="1" ref="Q118" ca="1">IF(Q$5=0, 0, INDEX($D95:$AC95, 1, Q$5)/$D$83)</f>
        <v>1044.7147400048766</v>
      </c>
      <c r="R118" s="40" cm="1">
        <f t="array" aca="1" ref="R118" ca="1">IF(R$5=0, 0, INDEX($D95:$AC95, 1, R$5)/$D$83)</f>
        <v>1203.3202995836953</v>
      </c>
      <c r="S118" s="40" cm="1">
        <f t="array" aca="1" ref="S118" ca="1">IF(S$5=0, 0, INDEX($D95:$AC95, 1, S$5)/$D$83)</f>
        <v>1370.563046847295</v>
      </c>
      <c r="T118" s="40" cm="1">
        <f t="array" aca="1" ref="T118" ca="1">IF(T$5=0, 0, INDEX($D95:$AC95, 1, T$5)/$D$83)</f>
        <v>1546.8816987085593</v>
      </c>
      <c r="U118" s="40" cm="1">
        <f t="array" aca="1" ref="U118" ca="1">IF(U$5=0, 0, INDEX($D95:$AC95, 1, U$5)/$D$83)</f>
        <v>1733.3530774960352</v>
      </c>
      <c r="V118" s="40" cm="1">
        <f t="array" aca="1" ref="V118" ca="1">IF(V$5=0, 0, INDEX($D95:$AC95, 1, V$5)/$D$83)</f>
        <v>1931.0784912908541</v>
      </c>
      <c r="W118" s="40" cm="1">
        <f t="array" aca="1" ref="W118" ca="1">IF(W$5=0, 0, INDEX($D95:$AC95, 1, W$5)/$D$83)</f>
        <v>2141.1889484962226</v>
      </c>
      <c r="X118" s="40" cm="1">
        <f t="array" aca="1" ref="X118" ca="1">IF(X$5=0, 0, INDEX($D95:$AC95, 1, X$5)/$D$83)</f>
        <v>2364.8501361524709</v>
      </c>
      <c r="Y118" s="40" cm="1">
        <f t="array" aca="1" ref="Y118" ca="1">IF(Y$5=0, 0, INDEX($D95:$AC95, 1, Y$5)/$D$83)</f>
        <v>2603.2672841672479</v>
      </c>
      <c r="Z118" s="40" cm="1">
        <f t="array" aca="1" ref="Z118" ca="1">IF(Z$5=0, 0, INDEX($D95:$AC95, 1, Z$5)/$D$83)</f>
        <v>2857.6900050297445</v>
      </c>
      <c r="AA118" s="40" cm="1">
        <f t="array" aca="1" ref="AA118" ca="1">IF(AA$5=0, 0, INDEX($D95:$AC95, 1, AA$5)/$D$83)</f>
        <v>3129.4169560450978</v>
      </c>
      <c r="AB118" s="40" cm="1">
        <f t="array" aca="1" ref="AB118" ca="1">IF(AB$5=0, 0, INDEX($D95:$AC95, 1, AB$5)/$D$83)</f>
        <v>3419.8004682051205</v>
      </c>
      <c r="AC118" s="40" cm="1">
        <f t="array" aca="1" ref="AC118" ca="1">IF(AC$5=0, 0, INDEX($D95:$AC95, 1, AC$5)/$D$83)</f>
        <v>3730.2512222830687</v>
      </c>
    </row>
    <row r="119" spans="1:32" x14ac:dyDescent="0.2">
      <c r="A119" t="s">
        <v>767</v>
      </c>
      <c r="C119" t="s">
        <v>1224</v>
      </c>
      <c r="D119" s="40">
        <f ca="1">D115+D116</f>
        <v>0</v>
      </c>
      <c r="E119" s="40">
        <f t="shared" ref="E119:AC119" ca="1" si="28">E115+E116</f>
        <v>0</v>
      </c>
      <c r="F119" s="40">
        <f t="shared" ca="1" si="28"/>
        <v>0</v>
      </c>
      <c r="G119" s="40">
        <f t="shared" ca="1" si="28"/>
        <v>0</v>
      </c>
      <c r="H119" s="40">
        <f t="shared" ca="1" si="28"/>
        <v>0</v>
      </c>
      <c r="I119" s="40">
        <f t="shared" ca="1" si="28"/>
        <v>0</v>
      </c>
      <c r="J119" s="40">
        <f t="shared" ca="1" si="28"/>
        <v>0</v>
      </c>
      <c r="K119" s="40">
        <f t="shared" ca="1" si="28"/>
        <v>0</v>
      </c>
      <c r="L119" s="40">
        <f t="shared" ca="1" si="28"/>
        <v>0</v>
      </c>
      <c r="M119" s="40">
        <f t="shared" ca="1" si="28"/>
        <v>0</v>
      </c>
      <c r="N119" s="40">
        <f t="shared" ca="1" si="28"/>
        <v>0</v>
      </c>
      <c r="O119" s="40">
        <f t="shared" ca="1" si="28"/>
        <v>0</v>
      </c>
      <c r="P119" s="40">
        <f t="shared" ca="1" si="28"/>
        <v>0</v>
      </c>
      <c r="Q119" s="40">
        <f t="shared" ca="1" si="28"/>
        <v>0</v>
      </c>
      <c r="R119" s="40">
        <f t="shared" ca="1" si="28"/>
        <v>0</v>
      </c>
      <c r="S119" s="40">
        <f t="shared" ca="1" si="28"/>
        <v>0</v>
      </c>
      <c r="T119" s="40">
        <f t="shared" ca="1" si="28"/>
        <v>0</v>
      </c>
      <c r="U119" s="40">
        <f t="shared" ca="1" si="28"/>
        <v>0</v>
      </c>
      <c r="V119" s="40">
        <f t="shared" ca="1" si="28"/>
        <v>0</v>
      </c>
      <c r="W119" s="40">
        <f t="shared" ca="1" si="28"/>
        <v>0</v>
      </c>
      <c r="X119" s="40">
        <f t="shared" ca="1" si="28"/>
        <v>0</v>
      </c>
      <c r="Y119" s="40">
        <f t="shared" ca="1" si="28"/>
        <v>0</v>
      </c>
      <c r="Z119" s="40">
        <f t="shared" ca="1" si="28"/>
        <v>0</v>
      </c>
      <c r="AA119" s="40">
        <f t="shared" ca="1" si="28"/>
        <v>0</v>
      </c>
      <c r="AB119" s="40">
        <f t="shared" ca="1" si="28"/>
        <v>0</v>
      </c>
      <c r="AC119" s="40">
        <f t="shared" ca="1" si="28"/>
        <v>0</v>
      </c>
    </row>
    <row r="120" spans="1:32" x14ac:dyDescent="0.2">
      <c r="A120" t="s">
        <v>1703</v>
      </c>
      <c r="D120">
        <f ca="1">IFERROR(SUM($D$125:D125) / INDEX(Assumptions!$B:$B, MATCH("Capital lifetime — book value straight-line depreciation (years)", Assumptions!$A:$A, 0)), 0)</f>
        <v>0</v>
      </c>
      <c r="E120">
        <f ca="1">IFERROR(SUM($D$125:E125) / INDEX(Assumptions!$B:$B, MATCH("Capital lifetime — book value straight-line depreciation (years)", Assumptions!$A:$A, 0)), 0)</f>
        <v>0</v>
      </c>
      <c r="F120">
        <f ca="1">IFERROR(SUM($D$125:F125) / INDEX(Assumptions!$B:$B, MATCH("Capital lifetime — book value straight-line depreciation (years)", Assumptions!$A:$A, 0)), 0)</f>
        <v>0</v>
      </c>
      <c r="G120">
        <f ca="1">IFERROR(SUM($D$125:G125) / INDEX(Assumptions!$B:$B, MATCH("Capital lifetime — book value straight-line depreciation (years)", Assumptions!$A:$A, 0)), 0)</f>
        <v>0</v>
      </c>
      <c r="H120">
        <f ca="1">IFERROR(SUM($D$125:H125) / INDEX(Assumptions!$B:$B, MATCH("Capital lifetime — book value straight-line depreciation (years)", Assumptions!$A:$A, 0)), 0)</f>
        <v>0</v>
      </c>
      <c r="I120">
        <f ca="1">IFERROR(SUM($D$125:I125) / INDEX(Assumptions!$B:$B, MATCH("Capital lifetime — book value straight-line depreciation (years)", Assumptions!$A:$A, 0)), 0)</f>
        <v>0</v>
      </c>
      <c r="J120">
        <f ca="1">IFERROR(SUM($D$125:J125) / INDEX(Assumptions!$B:$B, MATCH("Capital lifetime — book value straight-line depreciation (years)", Assumptions!$A:$A, 0)), 0)</f>
        <v>0</v>
      </c>
      <c r="K120">
        <f ca="1">IFERROR(SUM($D$125:K125) / INDEX(Assumptions!$B:$B, MATCH("Capital lifetime — book value straight-line depreciation (years)", Assumptions!$A:$A, 0)), 0)</f>
        <v>0</v>
      </c>
      <c r="L120">
        <f ca="1">IFERROR(SUM($D$125:L125) / INDEX(Assumptions!$B:$B, MATCH("Capital lifetime — book value straight-line depreciation (years)", Assumptions!$A:$A, 0)), 0)</f>
        <v>0</v>
      </c>
      <c r="M120">
        <f ca="1">IFERROR(SUM($D$125:M125) / INDEX(Assumptions!$B:$B, MATCH("Capital lifetime — book value straight-line depreciation (years)", Assumptions!$A:$A, 0)), 0)</f>
        <v>0</v>
      </c>
      <c r="N120">
        <f ca="1">IFERROR(SUM($D$125:N125) / INDEX(Assumptions!$B:$B, MATCH("Capital lifetime — book value straight-line depreciation (years)", Assumptions!$A:$A, 0)), 0)</f>
        <v>0</v>
      </c>
      <c r="O120">
        <f ca="1">IFERROR(SUM($D$125:O125) / INDEX(Assumptions!$B:$B, MATCH("Capital lifetime — book value straight-line depreciation (years)", Assumptions!$A:$A, 0)), 0)</f>
        <v>0</v>
      </c>
      <c r="P120">
        <f ca="1">IFERROR(SUM($D$125:P125) / INDEX(Assumptions!$B:$B, MATCH("Capital lifetime — book value straight-line depreciation (years)", Assumptions!$A:$A, 0)), 0)</f>
        <v>0</v>
      </c>
      <c r="Q120">
        <f ca="1">IFERROR(SUM($D$125:Q125) / INDEX(Assumptions!$B:$B, MATCH("Capital lifetime — book value straight-line depreciation (years)", Assumptions!$A:$A, 0)), 0)</f>
        <v>0</v>
      </c>
      <c r="R120">
        <f ca="1">IFERROR(SUM($D$125:R125) / INDEX(Assumptions!$B:$B, MATCH("Capital lifetime — book value straight-line depreciation (years)", Assumptions!$A:$A, 0)), 0)</f>
        <v>0</v>
      </c>
      <c r="S120">
        <f ca="1">IFERROR(SUM($D$125:S125) / INDEX(Assumptions!$B:$B, MATCH("Capital lifetime — book value straight-line depreciation (years)", Assumptions!$A:$A, 0)), 0)</f>
        <v>0</v>
      </c>
      <c r="T120">
        <f ca="1">IFERROR(SUM($D$125:T125) / INDEX(Assumptions!$B:$B, MATCH("Capital lifetime — book value straight-line depreciation (years)", Assumptions!$A:$A, 0)), 0)</f>
        <v>0</v>
      </c>
      <c r="U120">
        <f ca="1">IFERROR(SUM($D$125:U125) / INDEX(Assumptions!$B:$B, MATCH("Capital lifetime — book value straight-line depreciation (years)", Assumptions!$A:$A, 0)), 0)</f>
        <v>0</v>
      </c>
      <c r="V120">
        <f ca="1">IFERROR(SUM($D$125:V125) / INDEX(Assumptions!$B:$B, MATCH("Capital lifetime — book value straight-line depreciation (years)", Assumptions!$A:$A, 0)), 0)</f>
        <v>0</v>
      </c>
      <c r="W120">
        <f ca="1">IFERROR(SUM($D$125:W125) / INDEX(Assumptions!$B:$B, MATCH("Capital lifetime — book value straight-line depreciation (years)", Assumptions!$A:$A, 0)), 0)</f>
        <v>0</v>
      </c>
      <c r="X120">
        <f ca="1">IFERROR(SUM($D$125:X125) / INDEX(Assumptions!$B:$B, MATCH("Capital lifetime — book value straight-line depreciation (years)", Assumptions!$A:$A, 0)), 0)</f>
        <v>0</v>
      </c>
      <c r="Y120">
        <f ca="1">IFERROR(SUM($D$125:Y125) / INDEX(Assumptions!$B:$B, MATCH("Capital lifetime — book value straight-line depreciation (years)", Assumptions!$A:$A, 0)), 0)</f>
        <v>0</v>
      </c>
      <c r="Z120">
        <f ca="1">IFERROR(SUM($D$125:Z125) / INDEX(Assumptions!$B:$B, MATCH("Capital lifetime — book value straight-line depreciation (years)", Assumptions!$A:$A, 0)), 0)</f>
        <v>0</v>
      </c>
      <c r="AA120">
        <f ca="1">IFERROR(SUM($D$125:AA125) / INDEX(Assumptions!$B:$B, MATCH("Capital lifetime — book value straight-line depreciation (years)", Assumptions!$A:$A, 0)), 0)</f>
        <v>0</v>
      </c>
      <c r="AB120">
        <f ca="1">IFERROR(SUM($D$125:AB125) / INDEX(Assumptions!$B:$B, MATCH("Capital lifetime — book value straight-line depreciation (years)", Assumptions!$A:$A, 0)), 0)</f>
        <v>0</v>
      </c>
      <c r="AC120">
        <f ca="1">IFERROR(SUM($D$125:AC125) / INDEX(Assumptions!$B:$B, MATCH("Capital lifetime — book value straight-line depreciation (years)", Assumptions!$A:$A, 0)), 0)</f>
        <v>0</v>
      </c>
      <c r="AE120">
        <f ca="1">SUM($D$125:I125)</f>
        <v>0</v>
      </c>
      <c r="AF120">
        <f ca="1">Assumptions!B204</f>
        <v>0</v>
      </c>
    </row>
    <row r="121" spans="1:32" x14ac:dyDescent="0.2">
      <c r="A121" t="s">
        <v>768</v>
      </c>
      <c r="C121" t="s">
        <v>1225</v>
      </c>
      <c r="D121" s="40">
        <f t="shared" ref="D121:AC121" ca="1" si="29">D113-D119</f>
        <v>0</v>
      </c>
      <c r="E121" s="40">
        <f t="shared" ca="1" si="29"/>
        <v>0</v>
      </c>
      <c r="F121" s="40">
        <f t="shared" ca="1" si="29"/>
        <v>0</v>
      </c>
      <c r="G121" s="40">
        <f t="shared" ca="1" si="29"/>
        <v>-50</v>
      </c>
      <c r="H121" s="40">
        <f t="shared" ca="1" si="29"/>
        <v>-162.84672925696719</v>
      </c>
      <c r="I121" s="40">
        <f t="shared" ca="1" si="29"/>
        <v>-361.1978829339231</v>
      </c>
      <c r="J121" s="40">
        <f t="shared" ca="1" si="29"/>
        <v>-652.89747047735386</v>
      </c>
      <c r="K121" s="40">
        <f t="shared" ca="1" si="29"/>
        <v>-1047.129065774878</v>
      </c>
      <c r="L121" s="40">
        <f t="shared" ca="1" si="29"/>
        <v>-1554.6757195705889</v>
      </c>
      <c r="M121" s="40">
        <f t="shared" ca="1" si="29"/>
        <v>-2080.7781288948304</v>
      </c>
      <c r="N121" s="40">
        <f t="shared" ca="1" si="29"/>
        <v>-2631.2365624426761</v>
      </c>
      <c r="O121" s="40">
        <f t="shared" ca="1" si="29"/>
        <v>-3212.0047348971502</v>
      </c>
      <c r="P121" s="40">
        <f t="shared" ca="1" si="29"/>
        <v>-3826.9119747946193</v>
      </c>
      <c r="Q121" s="40">
        <f t="shared" ca="1" si="29"/>
        <v>-4478.1676731532316</v>
      </c>
      <c r="R121" s="40">
        <f t="shared" ca="1" si="29"/>
        <v>-5167.7141096105761</v>
      </c>
      <c r="S121" s="40">
        <f t="shared" ca="1" si="29"/>
        <v>-5897.2030649329936</v>
      </c>
      <c r="T121" s="40">
        <f t="shared" ca="1" si="29"/>
        <v>-6667.9713978183072</v>
      </c>
      <c r="U121" s="40">
        <f t="shared" ca="1" si="29"/>
        <v>-7484.9281783179786</v>
      </c>
      <c r="V121" s="40">
        <f t="shared" ca="1" si="29"/>
        <v>-8353.1062230353436</v>
      </c>
      <c r="W121" s="40">
        <f t="shared" ca="1" si="29"/>
        <v>-9277.6849998365378</v>
      </c>
      <c r="X121" s="40">
        <f t="shared" ca="1" si="29"/>
        <v>-10264.01225335687</v>
      </c>
      <c r="Y121" s="40">
        <f t="shared" ca="1" si="29"/>
        <v>-11317.625079370951</v>
      </c>
      <c r="Z121" s="40">
        <f t="shared" ca="1" si="29"/>
        <v>-12444.270826795228</v>
      </c>
      <c r="AA121" s="40">
        <f t="shared" ca="1" si="29"/>
        <v>-13649.926889290689</v>
      </c>
      <c r="AB121" s="40">
        <f t="shared" ca="1" si="29"/>
        <v>-14940.820252431247</v>
      </c>
      <c r="AC121" s="40">
        <f t="shared" ca="1" si="29"/>
        <v>-16332.487456222041</v>
      </c>
      <c r="AE121" s="40">
        <f ca="1">INDEX(Assumptions!$B:$B, MATCH("Capital lifetime — book value straight-line depreciation (years)", Assumptions!$A:$A, 0))</f>
        <v>0</v>
      </c>
      <c r="AF121">
        <f ca="1">MATCH("Capital lifetime — book value straight-line depreciation (years)", Assumptions!$A:$A, 0)</f>
        <v>0</v>
      </c>
    </row>
    <row r="122" spans="1:32" x14ac:dyDescent="0.2">
      <c r="A122" t="s">
        <v>605</v>
      </c>
      <c r="C122" t="s">
        <v>1226</v>
      </c>
      <c r="D122" s="40">
        <f t="shared" ref="D122:AC122" ca="1" si="30">D121</f>
        <v>0</v>
      </c>
      <c r="E122" s="40">
        <f t="shared" ca="1" si="30"/>
        <v>0</v>
      </c>
      <c r="F122" s="40">
        <f t="shared" ca="1" si="30"/>
        <v>0</v>
      </c>
      <c r="G122" s="40">
        <f t="shared" ca="1" si="30"/>
        <v>-50</v>
      </c>
      <c r="H122" s="40">
        <f t="shared" ca="1" si="30"/>
        <v>-162.84672925696719</v>
      </c>
      <c r="I122" s="40">
        <f t="shared" ca="1" si="30"/>
        <v>-361.1978829339231</v>
      </c>
      <c r="J122" s="40">
        <f t="shared" ca="1" si="30"/>
        <v>-652.89747047735386</v>
      </c>
      <c r="K122" s="40">
        <f t="shared" ca="1" si="30"/>
        <v>-1047.129065774878</v>
      </c>
      <c r="L122" s="40">
        <f t="shared" ca="1" si="30"/>
        <v>-1554.6757195705889</v>
      </c>
      <c r="M122" s="40">
        <f t="shared" ca="1" si="30"/>
        <v>-2080.7781288948304</v>
      </c>
      <c r="N122" s="40">
        <f t="shared" ca="1" si="30"/>
        <v>-2631.2365624426761</v>
      </c>
      <c r="O122" s="40">
        <f t="shared" ca="1" si="30"/>
        <v>-3212.0047348971502</v>
      </c>
      <c r="P122" s="40">
        <f t="shared" ca="1" si="30"/>
        <v>-3826.9119747946193</v>
      </c>
      <c r="Q122" s="40">
        <f t="shared" ca="1" si="30"/>
        <v>-4478.1676731532316</v>
      </c>
      <c r="R122" s="40">
        <f t="shared" ca="1" si="30"/>
        <v>-5167.7141096105761</v>
      </c>
      <c r="S122" s="40">
        <f t="shared" ca="1" si="30"/>
        <v>-5897.2030649329936</v>
      </c>
      <c r="T122" s="40">
        <f t="shared" ca="1" si="30"/>
        <v>-6667.9713978183072</v>
      </c>
      <c r="U122" s="40">
        <f t="shared" ca="1" si="30"/>
        <v>-7484.9281783179786</v>
      </c>
      <c r="V122" s="40">
        <f t="shared" ca="1" si="30"/>
        <v>-8353.1062230353436</v>
      </c>
      <c r="W122" s="40">
        <f t="shared" ca="1" si="30"/>
        <v>-9277.6849998365378</v>
      </c>
      <c r="X122" s="40">
        <f t="shared" ca="1" si="30"/>
        <v>-10264.01225335687</v>
      </c>
      <c r="Y122" s="40">
        <f t="shared" ca="1" si="30"/>
        <v>-11317.625079370951</v>
      </c>
      <c r="Z122" s="40">
        <f t="shared" ca="1" si="30"/>
        <v>-12444.270826795228</v>
      </c>
      <c r="AA122" s="40">
        <f t="shared" ca="1" si="30"/>
        <v>-13649.926889290689</v>
      </c>
      <c r="AB122" s="40">
        <f t="shared" ca="1" si="30"/>
        <v>-14940.820252431247</v>
      </c>
      <c r="AC122" s="40">
        <f t="shared" ca="1" si="30"/>
        <v>-16332.487456222041</v>
      </c>
      <c r="AE122" s="40">
        <f ca="1">SUM($D$125:I125)/10</f>
        <v>0</v>
      </c>
      <c r="AF122">
        <f ca="1">INDEX(Assumptions!$B:$B, 204)</f>
        <v>0</v>
      </c>
    </row>
    <row r="123" spans="1:32" x14ac:dyDescent="0.2">
      <c r="A123" t="s">
        <v>606</v>
      </c>
      <c r="C123" t="s">
        <v>1227</v>
      </c>
      <c r="D123" s="17">
        <f t="shared" ref="D123:AC123" ca="1" si="31">IFERROR(D122/D113, 0)</f>
        <v>0</v>
      </c>
      <c r="E123" s="17">
        <f t="shared" ca="1" si="31"/>
        <v>0</v>
      </c>
      <c r="F123" s="17">
        <f t="shared" ca="1" si="31"/>
        <v>0</v>
      </c>
      <c r="G123" s="17">
        <f t="shared" ca="1" si="31"/>
        <v>0</v>
      </c>
      <c r="H123" s="17">
        <f t="shared" ca="1" si="31"/>
        <v>0</v>
      </c>
      <c r="I123" s="17">
        <f t="shared" ca="1" si="31"/>
        <v>0</v>
      </c>
      <c r="J123" s="17">
        <f t="shared" ca="1" si="31"/>
        <v>0</v>
      </c>
      <c r="K123" s="17">
        <f t="shared" ca="1" si="31"/>
        <v>0</v>
      </c>
      <c r="L123" s="17">
        <f t="shared" ca="1" si="31"/>
        <v>0</v>
      </c>
      <c r="M123" s="17">
        <f t="shared" ca="1" si="31"/>
        <v>0</v>
      </c>
      <c r="N123" s="17">
        <f t="shared" ca="1" si="31"/>
        <v>0</v>
      </c>
      <c r="O123" s="17">
        <f t="shared" ca="1" si="31"/>
        <v>0</v>
      </c>
      <c r="P123" s="17">
        <f t="shared" ca="1" si="31"/>
        <v>0</v>
      </c>
      <c r="Q123" s="17">
        <f t="shared" ca="1" si="31"/>
        <v>0</v>
      </c>
      <c r="R123" s="17">
        <f t="shared" ca="1" si="31"/>
        <v>0</v>
      </c>
      <c r="S123" s="17">
        <f t="shared" ca="1" si="31"/>
        <v>0</v>
      </c>
      <c r="T123" s="17">
        <f t="shared" ca="1" si="31"/>
        <v>0</v>
      </c>
      <c r="U123" s="17">
        <f t="shared" ca="1" si="31"/>
        <v>0</v>
      </c>
      <c r="V123" s="17">
        <f t="shared" ca="1" si="31"/>
        <v>0</v>
      </c>
      <c r="W123" s="17">
        <f t="shared" ca="1" si="31"/>
        <v>0</v>
      </c>
      <c r="X123" s="17">
        <f t="shared" ca="1" si="31"/>
        <v>0</v>
      </c>
      <c r="Y123" s="17">
        <f t="shared" ca="1" si="31"/>
        <v>0</v>
      </c>
      <c r="Z123" s="17">
        <f t="shared" ca="1" si="31"/>
        <v>0</v>
      </c>
      <c r="AA123" s="17">
        <f t="shared" ca="1" si="31"/>
        <v>0</v>
      </c>
      <c r="AB123" s="17">
        <f t="shared" ca="1" si="31"/>
        <v>0</v>
      </c>
      <c r="AC123" s="17">
        <f t="shared" ca="1" si="31"/>
        <v>0</v>
      </c>
    </row>
    <row r="125" spans="1:32" x14ac:dyDescent="0.2">
      <c r="A125" t="s">
        <v>608</v>
      </c>
      <c r="C125" t="s">
        <v>1228</v>
      </c>
      <c r="D125" s="40">
        <f t="shared" ref="D125:AC125" ca="1" si="32">D30*D26+D38*D27</f>
        <v>0</v>
      </c>
      <c r="E125" s="40">
        <f t="shared" ca="1" si="32"/>
        <v>0</v>
      </c>
      <c r="F125" s="40">
        <f t="shared" ca="1" si="32"/>
        <v>0</v>
      </c>
      <c r="G125" s="40">
        <f t="shared" ca="1" si="32"/>
        <v>1000</v>
      </c>
      <c r="H125" s="40">
        <f t="shared" ca="1" si="32"/>
        <v>1000</v>
      </c>
      <c r="I125" s="40">
        <f t="shared" ca="1" si="32"/>
        <v>1000</v>
      </c>
      <c r="J125" s="40">
        <f t="shared" ca="1" si="32"/>
        <v>1000</v>
      </c>
      <c r="K125" s="40">
        <f t="shared" ca="1" si="32"/>
        <v>1000</v>
      </c>
      <c r="L125" s="40">
        <f t="shared" ca="1" si="32"/>
        <v>1000</v>
      </c>
      <c r="M125" s="40">
        <f t="shared" ca="1" si="32"/>
        <v>1000</v>
      </c>
      <c r="N125" s="40">
        <f t="shared" ca="1" si="32"/>
        <v>1000.0000000000002</v>
      </c>
      <c r="O125" s="40">
        <f t="shared" ca="1" si="32"/>
        <v>1000.0000000000002</v>
      </c>
      <c r="P125" s="40">
        <f t="shared" ca="1" si="32"/>
        <v>1000</v>
      </c>
      <c r="Q125" s="40">
        <f t="shared" ca="1" si="32"/>
        <v>1000</v>
      </c>
      <c r="R125" s="40">
        <f t="shared" ca="1" si="32"/>
        <v>1000</v>
      </c>
      <c r="S125" s="40">
        <f t="shared" ca="1" si="32"/>
        <v>1000</v>
      </c>
      <c r="T125" s="40">
        <f t="shared" ca="1" si="32"/>
        <v>1000</v>
      </c>
      <c r="U125" s="40">
        <f t="shared" ca="1" si="32"/>
        <v>1000.0000000000002</v>
      </c>
      <c r="V125" s="40">
        <f t="shared" ca="1" si="32"/>
        <v>1000</v>
      </c>
      <c r="W125" s="40">
        <f t="shared" ca="1" si="32"/>
        <v>1000.0000000000002</v>
      </c>
      <c r="X125" s="40">
        <f t="shared" ca="1" si="32"/>
        <v>1000</v>
      </c>
      <c r="Y125" s="40">
        <f t="shared" ca="1" si="32"/>
        <v>1000</v>
      </c>
      <c r="Z125" s="40">
        <f t="shared" ca="1" si="32"/>
        <v>1000</v>
      </c>
      <c r="AA125" s="40">
        <f t="shared" ca="1" si="32"/>
        <v>1000</v>
      </c>
      <c r="AB125" s="40">
        <f t="shared" ca="1" si="32"/>
        <v>1000</v>
      </c>
      <c r="AC125" s="40">
        <f t="shared" ca="1" si="32"/>
        <v>1180.8063198715245</v>
      </c>
    </row>
    <row r="126" spans="1:32" x14ac:dyDescent="0.2">
      <c r="A126" t="s">
        <v>609</v>
      </c>
      <c r="C126" t="s">
        <v>1229</v>
      </c>
      <c r="D126" s="40">
        <f t="shared" ref="D126:AC126" ca="1" si="33">D125</f>
        <v>0</v>
      </c>
      <c r="E126" s="40">
        <f t="shared" ca="1" si="33"/>
        <v>0</v>
      </c>
      <c r="F126" s="40">
        <f t="shared" ca="1" si="33"/>
        <v>0</v>
      </c>
      <c r="G126" s="40">
        <f t="shared" ca="1" si="33"/>
        <v>1000</v>
      </c>
      <c r="H126" s="40">
        <f t="shared" ca="1" si="33"/>
        <v>1000</v>
      </c>
      <c r="I126" s="40">
        <f t="shared" ca="1" si="33"/>
        <v>1000</v>
      </c>
      <c r="J126" s="40">
        <f t="shared" ca="1" si="33"/>
        <v>1000</v>
      </c>
      <c r="K126" s="40">
        <f t="shared" ca="1" si="33"/>
        <v>1000</v>
      </c>
      <c r="L126" s="40">
        <f t="shared" ca="1" si="33"/>
        <v>1000</v>
      </c>
      <c r="M126" s="40">
        <f t="shared" ca="1" si="33"/>
        <v>1000</v>
      </c>
      <c r="N126" s="40">
        <f t="shared" ca="1" si="33"/>
        <v>1000.0000000000002</v>
      </c>
      <c r="O126" s="40">
        <f t="shared" ca="1" si="33"/>
        <v>1000.0000000000002</v>
      </c>
      <c r="P126" s="40">
        <f t="shared" ca="1" si="33"/>
        <v>1000</v>
      </c>
      <c r="Q126" s="40">
        <f t="shared" ca="1" si="33"/>
        <v>1000</v>
      </c>
      <c r="R126" s="40">
        <f t="shared" ca="1" si="33"/>
        <v>1000</v>
      </c>
      <c r="S126" s="40">
        <f t="shared" ca="1" si="33"/>
        <v>1000</v>
      </c>
      <c r="T126" s="40">
        <f t="shared" ca="1" si="33"/>
        <v>1000</v>
      </c>
      <c r="U126" s="40">
        <f t="shared" ca="1" si="33"/>
        <v>1000.0000000000002</v>
      </c>
      <c r="V126" s="40">
        <f t="shared" ca="1" si="33"/>
        <v>1000</v>
      </c>
      <c r="W126" s="40">
        <f t="shared" ca="1" si="33"/>
        <v>1000.0000000000002</v>
      </c>
      <c r="X126" s="40">
        <f t="shared" ca="1" si="33"/>
        <v>1000</v>
      </c>
      <c r="Y126" s="40">
        <f t="shared" ca="1" si="33"/>
        <v>1000</v>
      </c>
      <c r="Z126" s="40">
        <f t="shared" ca="1" si="33"/>
        <v>1000</v>
      </c>
      <c r="AA126" s="40">
        <f t="shared" ca="1" si="33"/>
        <v>1000</v>
      </c>
      <c r="AB126" s="40">
        <f t="shared" ca="1" si="33"/>
        <v>1000</v>
      </c>
      <c r="AC126" s="40">
        <f t="shared" ca="1" si="33"/>
        <v>1180.8063198715245</v>
      </c>
    </row>
    <row r="128" spans="1:32" x14ac:dyDescent="0.2">
      <c r="A128" t="s">
        <v>1230</v>
      </c>
      <c r="C128" t="s">
        <v>1231</v>
      </c>
      <c r="D128" s="40">
        <f t="shared" ref="D128:AC128" ca="1" si="34">D117+D118</f>
        <v>0</v>
      </c>
      <c r="E128" s="40">
        <f t="shared" ca="1" si="34"/>
        <v>0</v>
      </c>
      <c r="F128" s="40">
        <f t="shared" ca="1" si="34"/>
        <v>0</v>
      </c>
      <c r="G128" s="40">
        <f t="shared" ca="1" si="34"/>
        <v>0</v>
      </c>
      <c r="H128" s="40">
        <f t="shared" ca="1" si="34"/>
        <v>112.84672925696718</v>
      </c>
      <c r="I128" s="40">
        <f t="shared" ca="1" si="34"/>
        <v>311.1978829339231</v>
      </c>
      <c r="J128" s="40">
        <f t="shared" ca="1" si="34"/>
        <v>602.89747047735386</v>
      </c>
      <c r="K128" s="40">
        <f t="shared" ca="1" si="34"/>
        <v>997.12906577487797</v>
      </c>
      <c r="L128" s="40">
        <f t="shared" ca="1" si="34"/>
        <v>1504.6757195705889</v>
      </c>
      <c r="M128" s="40">
        <f t="shared" ca="1" si="34"/>
        <v>2030.7781288948304</v>
      </c>
      <c r="N128" s="40">
        <f t="shared" ca="1" si="34"/>
        <v>2581.2365624426761</v>
      </c>
      <c r="O128" s="40">
        <f t="shared" ca="1" si="34"/>
        <v>3162.0047348971502</v>
      </c>
      <c r="P128" s="40">
        <f t="shared" ca="1" si="34"/>
        <v>3776.9119747946193</v>
      </c>
      <c r="Q128" s="40">
        <f t="shared" ca="1" si="34"/>
        <v>4428.1676731532316</v>
      </c>
      <c r="R128" s="40">
        <f t="shared" ca="1" si="34"/>
        <v>5117.7141096105761</v>
      </c>
      <c r="S128" s="40">
        <f t="shared" ca="1" si="34"/>
        <v>5847.2030649329936</v>
      </c>
      <c r="T128" s="40">
        <f t="shared" ca="1" si="34"/>
        <v>6617.9713978183072</v>
      </c>
      <c r="U128" s="40">
        <f t="shared" ca="1" si="34"/>
        <v>7434.9281783179786</v>
      </c>
      <c r="V128" s="40">
        <f t="shared" ca="1" si="34"/>
        <v>8303.1062230353436</v>
      </c>
      <c r="W128" s="40">
        <f t="shared" ca="1" si="34"/>
        <v>9227.6849998365378</v>
      </c>
      <c r="X128" s="40">
        <f t="shared" ca="1" si="34"/>
        <v>10214.01225335687</v>
      </c>
      <c r="Y128" s="40">
        <f t="shared" ca="1" si="34"/>
        <v>11267.625079370951</v>
      </c>
      <c r="Z128" s="40">
        <f t="shared" ca="1" si="34"/>
        <v>12394.270826795228</v>
      </c>
      <c r="AA128" s="40">
        <f t="shared" ca="1" si="34"/>
        <v>13599.926889290689</v>
      </c>
      <c r="AB128" s="40">
        <f t="shared" ca="1" si="34"/>
        <v>14890.820252431247</v>
      </c>
      <c r="AC128" s="40">
        <f t="shared" ca="1" si="34"/>
        <v>16273.447140228465</v>
      </c>
    </row>
    <row r="129" spans="1:29" x14ac:dyDescent="0.2">
      <c r="A129" t="s">
        <v>607</v>
      </c>
      <c r="C129" t="s">
        <v>1232</v>
      </c>
      <c r="D129" s="40">
        <f t="shared" ref="D129:AC129" ca="1" si="35">D122+D128-D125</f>
        <v>0</v>
      </c>
      <c r="E129" s="40">
        <f t="shared" ca="1" si="35"/>
        <v>0</v>
      </c>
      <c r="F129" s="40">
        <f t="shared" ca="1" si="35"/>
        <v>0</v>
      </c>
      <c r="G129" s="40">
        <f t="shared" ca="1" si="35"/>
        <v>-1050</v>
      </c>
      <c r="H129" s="40">
        <f t="shared" ca="1" si="35"/>
        <v>-1050</v>
      </c>
      <c r="I129" s="40">
        <f t="shared" ca="1" si="35"/>
        <v>-1050</v>
      </c>
      <c r="J129" s="40">
        <f t="shared" ca="1" si="35"/>
        <v>-1050</v>
      </c>
      <c r="K129" s="40">
        <f t="shared" ca="1" si="35"/>
        <v>-1050</v>
      </c>
      <c r="L129" s="40">
        <f t="shared" ca="1" si="35"/>
        <v>-1050</v>
      </c>
      <c r="M129" s="40">
        <f t="shared" ca="1" si="35"/>
        <v>-1050</v>
      </c>
      <c r="N129" s="40">
        <f t="shared" ca="1" si="35"/>
        <v>-1050.0000000000002</v>
      </c>
      <c r="O129" s="40">
        <f t="shared" ca="1" si="35"/>
        <v>-1050.0000000000002</v>
      </c>
      <c r="P129" s="40">
        <f t="shared" ca="1" si="35"/>
        <v>-1050</v>
      </c>
      <c r="Q129" s="40">
        <f t="shared" ca="1" si="35"/>
        <v>-1050</v>
      </c>
      <c r="R129" s="40">
        <f t="shared" ca="1" si="35"/>
        <v>-1050</v>
      </c>
      <c r="S129" s="40">
        <f t="shared" ca="1" si="35"/>
        <v>-1050</v>
      </c>
      <c r="T129" s="40">
        <f t="shared" ca="1" si="35"/>
        <v>-1050</v>
      </c>
      <c r="U129" s="40">
        <f t="shared" ca="1" si="35"/>
        <v>-1050.0000000000002</v>
      </c>
      <c r="V129" s="40">
        <f t="shared" ca="1" si="35"/>
        <v>-1050</v>
      </c>
      <c r="W129" s="40">
        <f t="shared" ca="1" si="35"/>
        <v>-1050.0000000000002</v>
      </c>
      <c r="X129" s="40">
        <f t="shared" ca="1" si="35"/>
        <v>-1050</v>
      </c>
      <c r="Y129" s="40">
        <f t="shared" ca="1" si="35"/>
        <v>-1050</v>
      </c>
      <c r="Z129" s="40">
        <f t="shared" ca="1" si="35"/>
        <v>-1050</v>
      </c>
      <c r="AA129" s="40">
        <f t="shared" ca="1" si="35"/>
        <v>-1050</v>
      </c>
      <c r="AB129" s="40">
        <f t="shared" ca="1" si="35"/>
        <v>-1050</v>
      </c>
      <c r="AC129" s="40">
        <f t="shared" ca="1" si="35"/>
        <v>-1239.8466358651003</v>
      </c>
    </row>
    <row r="132" spans="1:29" x14ac:dyDescent="0.2">
      <c r="A132" s="4" t="s">
        <v>1233</v>
      </c>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row>
    <row r="133" spans="1:29" x14ac:dyDescent="0.2">
      <c r="A133" s="18" t="s">
        <v>1234</v>
      </c>
      <c r="C133" t="s">
        <v>1235</v>
      </c>
      <c r="D133" s="15">
        <f t="shared" ref="D133:AC133" ca="1" si="36">D12</f>
        <v>1000</v>
      </c>
      <c r="E133" s="15">
        <f t="shared" ca="1" si="36"/>
        <v>1000</v>
      </c>
      <c r="F133" s="15">
        <f t="shared" ca="1" si="36"/>
        <v>1000</v>
      </c>
      <c r="G133" s="15">
        <f t="shared" ca="1" si="36"/>
        <v>1000</v>
      </c>
      <c r="H133" s="15">
        <f t="shared" ca="1" si="36"/>
        <v>1000</v>
      </c>
      <c r="I133" s="15">
        <f t="shared" ca="1" si="36"/>
        <v>1000</v>
      </c>
      <c r="J133" s="15">
        <f t="shared" ca="1" si="36"/>
        <v>1000</v>
      </c>
      <c r="K133" s="15">
        <f t="shared" ca="1" si="36"/>
        <v>1000</v>
      </c>
      <c r="L133" s="15">
        <f t="shared" ca="1" si="36"/>
        <v>1000</v>
      </c>
      <c r="M133" s="15">
        <f t="shared" ca="1" si="36"/>
        <v>1000</v>
      </c>
      <c r="N133" s="15">
        <f t="shared" ca="1" si="36"/>
        <v>1000</v>
      </c>
      <c r="O133" s="15">
        <f t="shared" ca="1" si="36"/>
        <v>1000</v>
      </c>
      <c r="P133" s="15">
        <f t="shared" ca="1" si="36"/>
        <v>1000</v>
      </c>
      <c r="Q133" s="15">
        <f t="shared" ca="1" si="36"/>
        <v>1000</v>
      </c>
      <c r="R133" s="15">
        <f t="shared" ca="1" si="36"/>
        <v>1000</v>
      </c>
      <c r="S133" s="15">
        <f t="shared" ca="1" si="36"/>
        <v>1000</v>
      </c>
      <c r="T133" s="15">
        <f t="shared" ca="1" si="36"/>
        <v>1000</v>
      </c>
      <c r="U133" s="15">
        <f t="shared" ca="1" si="36"/>
        <v>1000</v>
      </c>
      <c r="V133" s="15">
        <f t="shared" ca="1" si="36"/>
        <v>1000</v>
      </c>
      <c r="W133" s="15">
        <f t="shared" ca="1" si="36"/>
        <v>1000</v>
      </c>
      <c r="X133" s="15">
        <f t="shared" ca="1" si="36"/>
        <v>1000</v>
      </c>
      <c r="Y133" s="15">
        <f t="shared" ca="1" si="36"/>
        <v>1000</v>
      </c>
      <c r="Z133" s="15">
        <f t="shared" ca="1" si="36"/>
        <v>1000</v>
      </c>
      <c r="AA133" s="15">
        <f t="shared" ca="1" si="36"/>
        <v>1000</v>
      </c>
      <c r="AB133" s="15">
        <f t="shared" ca="1" si="36"/>
        <v>1000</v>
      </c>
      <c r="AC133" s="15">
        <f t="shared" ca="1" si="36"/>
        <v>1180.8063198715245</v>
      </c>
    </row>
    <row r="134" spans="1:29" x14ac:dyDescent="0.2">
      <c r="A134" s="18" t="s">
        <v>1236</v>
      </c>
      <c r="C134" t="s">
        <v>1237</v>
      </c>
      <c r="D134" s="15">
        <f t="shared" ref="D134:AC134" ca="1" si="37">D12-D125</f>
        <v>1000</v>
      </c>
      <c r="E134" s="15">
        <f t="shared" ca="1" si="37"/>
        <v>1000</v>
      </c>
      <c r="F134" s="15">
        <f t="shared" ca="1" si="37"/>
        <v>1000</v>
      </c>
      <c r="G134" s="15">
        <f t="shared" ca="1" si="37"/>
        <v>0</v>
      </c>
      <c r="H134" s="15">
        <f t="shared" ca="1" si="37"/>
        <v>0</v>
      </c>
      <c r="I134" s="15">
        <f t="shared" ca="1" si="37"/>
        <v>0</v>
      </c>
      <c r="J134" s="15">
        <f t="shared" ca="1" si="37"/>
        <v>0</v>
      </c>
      <c r="K134" s="15">
        <f t="shared" ca="1" si="37"/>
        <v>0</v>
      </c>
      <c r="L134" s="15">
        <f t="shared" ca="1" si="37"/>
        <v>0</v>
      </c>
      <c r="M134" s="15">
        <f t="shared" ca="1" si="37"/>
        <v>0</v>
      </c>
      <c r="N134" s="15">
        <f t="shared" ca="1" si="37"/>
        <v>0</v>
      </c>
      <c r="O134" s="15">
        <f t="shared" ca="1" si="37"/>
        <v>0</v>
      </c>
      <c r="P134" s="15">
        <f t="shared" ca="1" si="37"/>
        <v>0</v>
      </c>
      <c r="Q134" s="15">
        <f t="shared" ca="1" si="37"/>
        <v>0</v>
      </c>
      <c r="R134" s="15">
        <f t="shared" ca="1" si="37"/>
        <v>0</v>
      </c>
      <c r="S134" s="15">
        <f t="shared" ca="1" si="37"/>
        <v>0</v>
      </c>
      <c r="T134" s="15">
        <f t="shared" ca="1" si="37"/>
        <v>0</v>
      </c>
      <c r="U134" s="15">
        <f t="shared" ca="1" si="37"/>
        <v>0</v>
      </c>
      <c r="V134" s="15">
        <f t="shared" ca="1" si="37"/>
        <v>0</v>
      </c>
      <c r="W134" s="15">
        <f t="shared" ca="1" si="37"/>
        <v>0</v>
      </c>
      <c r="X134" s="15">
        <f t="shared" ca="1" si="37"/>
        <v>0</v>
      </c>
      <c r="Y134" s="15">
        <f t="shared" ca="1" si="37"/>
        <v>0</v>
      </c>
      <c r="Z134" s="15">
        <f t="shared" ca="1" si="37"/>
        <v>0</v>
      </c>
      <c r="AA134" s="15">
        <f t="shared" ca="1" si="37"/>
        <v>0</v>
      </c>
      <c r="AB134" s="15">
        <f t="shared" ca="1" si="37"/>
        <v>0</v>
      </c>
      <c r="AC134" s="15">
        <f t="shared" ca="1" si="37"/>
        <v>0</v>
      </c>
    </row>
    <row r="135" spans="1:29" x14ac:dyDescent="0.2">
      <c r="A135" s="18" t="s">
        <v>1238</v>
      </c>
      <c r="C135" t="s">
        <v>1239</v>
      </c>
      <c r="D135" s="40" cm="1">
        <f t="array" aca="1" ref="D135" ca="1">IF(D$5=0, D30, INDEX($D135:$AC135, 1, D$5)+D30)</f>
        <v>0</v>
      </c>
      <c r="E135" s="40" cm="1">
        <f t="array" aca="1" ref="E135" ca="1">IF(E$5=0, E30, INDEX($D135:$AC135, 1, E$5)+E30)</f>
        <v>0</v>
      </c>
      <c r="F135" s="40" cm="1">
        <f t="array" aca="1" ref="F135" ca="1">IF(F$5=0, F30, INDEX($D135:$AC135, 1, F$5)+F30)</f>
        <v>0</v>
      </c>
      <c r="G135" s="40" cm="1">
        <f t="array" aca="1" ref="G135" ca="1">IF(G$5=0, G30, INDEX($D135:$AC135, 1, G$5)+G30)</f>
        <v>7.4994643239768584</v>
      </c>
      <c r="H135" s="40" cm="1">
        <f t="array" aca="1" ref="H135" ca="1">IF(H$5=0, H30, INDEX($D135:$AC135, 1, H$5)+H30)</f>
        <v>15.189236926415614</v>
      </c>
      <c r="I135" s="40" cm="1">
        <f t="array" aca="1" ref="I135" ca="1">IF(I$5=0, I30, INDEX($D135:$AC135, 1, I$5)+I30)</f>
        <v>23.072119809298496</v>
      </c>
      <c r="J135" s="40" cm="1">
        <f t="array" aca="1" ref="J135" ca="1">IF(J$5=0, J30, INDEX($D135:$AC135, 1, J$5)+J30)</f>
        <v>31.178850712156695</v>
      </c>
      <c r="K135" s="40" cm="1">
        <f t="array" aca="1" ref="K135" ca="1">IF(K$5=0, K30, INDEX($D135:$AC135, 1, K$5)+K30)</f>
        <v>39.51297777187667</v>
      </c>
      <c r="L135" s="40" cm="1">
        <f t="array" aca="1" ref="L135" ca="1">IF(L$5=0, L30, INDEX($D135:$AC135, 1, L$5)+L30)</f>
        <v>48.077554681777322</v>
      </c>
      <c r="M135" s="40" cm="1">
        <f t="array" aca="1" ref="M135" ca="1">IF(M$5=0, M30, INDEX($D135:$AC135, 1, M$5)+M30)</f>
        <v>56.875061217067895</v>
      </c>
      <c r="N135" s="40" cm="1">
        <f t="array" aca="1" ref="N135" ca="1">IF(N$5=0, N30, INDEX($D135:$AC135, 1, N$5)+N30)</f>
        <v>65.907319281584023</v>
      </c>
      <c r="O135" s="40" cm="1">
        <f t="array" aca="1" ref="O135" ca="1">IF(O$5=0, O30, INDEX($D135:$AC135, 1, O$5)+O30)</f>
        <v>75.02776019434242</v>
      </c>
      <c r="P135" s="40" cm="1">
        <f t="array" aca="1" ref="P135" ca="1">IF(P$5=0, P30, INDEX($D135:$AC135, 1, P$5)+P30)</f>
        <v>84.235541355564692</v>
      </c>
      <c r="Q135" s="40" cm="1">
        <f t="array" aca="1" ref="Q135" ca="1">IF(Q$5=0, Q30, INDEX($D135:$AC135, 1, Q$5)+Q30)</f>
        <v>93.529715236280609</v>
      </c>
      <c r="R135" s="40" cm="1">
        <f t="array" aca="1" ref="R135" ca="1">IF(R$5=0, R30, INDEX($D135:$AC135, 1, R$5)+R30)</f>
        <v>102.90923650889148</v>
      </c>
      <c r="S135" s="40" cm="1">
        <f t="array" aca="1" ref="S135" ca="1">IF(S$5=0, S30, INDEX($D135:$AC135, 1, S$5)+S30)</f>
        <v>112.37295988728552</v>
      </c>
      <c r="T135" s="40" cm="1">
        <f t="array" aca="1" ref="T135" ca="1">IF(T$5=0, T30, INDEX($D135:$AC135, 1, T$5)+T30)</f>
        <v>121.91962946341339</v>
      </c>
      <c r="U135" s="40" cm="1">
        <f t="array" aca="1" ref="U135" ca="1">IF(U$5=0, U30, INDEX($D135:$AC135, 1, U$5)+U30)</f>
        <v>131.5478860791969</v>
      </c>
      <c r="V135" s="40" cm="1">
        <f t="array" aca="1" ref="V135" ca="1">IF(V$5=0, V30, INDEX($D135:$AC135, 1, V$5)+V30)</f>
        <v>141.25626579697257</v>
      </c>
      <c r="W135" s="40" cm="1">
        <f t="array" aca="1" ref="W135" ca="1">IF(W$5=0, W30, INDEX($D135:$AC135, 1, W$5)+W30)</f>
        <v>151.04319046561525</v>
      </c>
      <c r="X135" s="40" cm="1">
        <f t="array" aca="1" ref="X135" ca="1">IF(X$5=0, X30, INDEX($D135:$AC135, 1, X$5)+X30)</f>
        <v>160.90697540027043</v>
      </c>
      <c r="Y135" s="40" cm="1">
        <f t="array" aca="1" ref="Y135" ca="1">IF(Y$5=0, Y30, INDEX($D135:$AC135, 1, Y$5)+Y30)</f>
        <v>170.84582865021423</v>
      </c>
      <c r="Z135" s="40" cm="1">
        <f t="array" aca="1" ref="Z135" ca="1">IF(Z$5=0, Z30, INDEX($D135:$AC135, 1, Z$5)+Z30)</f>
        <v>180.85784306751498</v>
      </c>
      <c r="AA135" s="40" cm="1">
        <f t="array" aca="1" ref="AA135" ca="1">IF(AA$5=0, AA30, INDEX($D135:$AC135, 1, AA$5)+AA30)</f>
        <v>190.94100434346484</v>
      </c>
      <c r="AB135" s="40" cm="1">
        <f t="array" aca="1" ref="AB135" ca="1">IF(AB$5=0, AB30, INDEX($D135:$AC135, 1, AB$5)+AB30)</f>
        <v>201.0931912229949</v>
      </c>
      <c r="AC135" s="40" cm="1">
        <f t="array" aca="1" ref="AC135" ca="1">IF(AC$5=0, AC30, INDEX($D135:$AC135, 1, AC$5)+AC30)</f>
        <v>213.15982514868932</v>
      </c>
    </row>
    <row r="136" spans="1:29" x14ac:dyDescent="0.2">
      <c r="A136" s="18" t="s">
        <v>1240</v>
      </c>
      <c r="C136" t="s">
        <v>1210</v>
      </c>
      <c r="D136" s="40" cm="1">
        <f t="array" aca="1" ref="D136" ca="1">IF(D$5=0, D38, INDEX($D136:$AC136, 1, D$5)+D38)</f>
        <v>0</v>
      </c>
      <c r="E136" s="40" cm="1">
        <f t="array" aca="1" ref="E136" ca="1">IF(E$5=0, E38, INDEX($D136:$AC136, 1, E$5)+E38)</f>
        <v>0</v>
      </c>
      <c r="F136" s="40" cm="1">
        <f t="array" aca="1" ref="F136" ca="1">IF(F$5=0, F38, INDEX($D136:$AC136, 1, F$5)+F38)</f>
        <v>0</v>
      </c>
      <c r="G136" s="40" cm="1">
        <f t="array" aca="1" ref="G136" ca="1">IF(G$5=0, G38, INDEX($D136:$AC136, 1, G$5)+G38)</f>
        <v>1.1967448539971279</v>
      </c>
      <c r="H136" s="40" cm="1">
        <f t="array" aca="1" ref="H136" ca="1">IF(H$5=0, H38, INDEX($D136:$AC136, 1, H$5)+H38)</f>
        <v>2.4159596796494078</v>
      </c>
      <c r="I136" s="40" cm="1">
        <f t="array" aca="1" ref="I136" ca="1">IF(I$5=0, I38, INDEX($D136:$AC136, 1, I$5)+I38)</f>
        <v>3.6576815339540438</v>
      </c>
      <c r="J136" s="40" cm="1">
        <f t="array" aca="1" ref="J136" ca="1">IF(J$5=0, J38, INDEX($D136:$AC136, 1, J$5)+J38)</f>
        <v>4.9251300755432554</v>
      </c>
      <c r="K136" s="40" cm="1">
        <f t="array" aca="1" ref="K136" ca="1">IF(K$5=0, K38, INDEX($D136:$AC136, 1, K$5)+K38)</f>
        <v>6.2183227095180129</v>
      </c>
      <c r="L136" s="40" cm="1">
        <f t="array" aca="1" ref="L136" ca="1">IF(L$5=0, L38, INDEX($D136:$AC136, 1, L$5)+L38)</f>
        <v>7.5372127316753659</v>
      </c>
      <c r="M136" s="40" cm="1">
        <f t="array" aca="1" ref="M136" ca="1">IF(M$5=0, M38, INDEX($D136:$AC136, 1, M$5)+M38)</f>
        <v>8.8816842647314402</v>
      </c>
      <c r="N136" s="40" cm="1">
        <f t="array" aca="1" ref="N136" ca="1">IF(N$5=0, N38, INDEX($D136:$AC136, 1, N$5)+N38)</f>
        <v>10.251547278430071</v>
      </c>
      <c r="O136" s="40" cm="1">
        <f t="array" aca="1" ref="O136" ca="1">IF(O$5=0, O38, INDEX($D136:$AC136, 1, O$5)+O38)</f>
        <v>11.63084905700091</v>
      </c>
      <c r="P136" s="40" cm="1">
        <f t="array" aca="1" ref="P136" ca="1">IF(P$5=0, P38, INDEX($D136:$AC136, 1, P$5)+P38)</f>
        <v>13.019446620692413</v>
      </c>
      <c r="Q136" s="40" cm="1">
        <f t="array" aca="1" ref="Q136" ca="1">IF(Q$5=0, Q38, INDEX($D136:$AC136, 1, Q$5)+Q38)</f>
        <v>14.417187870832187</v>
      </c>
      <c r="R136" s="40" cm="1">
        <f t="array" aca="1" ref="R136" ca="1">IF(R$5=0, R38, INDEX($D136:$AC136, 1, R$5)+R38)</f>
        <v>15.82391253578146</v>
      </c>
      <c r="S136" s="40" cm="1">
        <f t="array" aca="1" ref="S136" ca="1">IF(S$5=0, S38, INDEX($D136:$AC136, 1, S$5)+S38)</f>
        <v>17.239452116018676</v>
      </c>
      <c r="T136" s="40" cm="1">
        <f t="array" aca="1" ref="T136" ca="1">IF(T$5=0, T38, INDEX($D136:$AC136, 1, T$5)+T38)</f>
        <v>18.663628941813368</v>
      </c>
      <c r="U136" s="40" cm="1">
        <f t="array" aca="1" ref="U136" ca="1">IF(U$5=0, U38, INDEX($D136:$AC136, 1, U$5)+U38)</f>
        <v>20.096257112193484</v>
      </c>
      <c r="V136" s="40" cm="1">
        <f t="array" aca="1" ref="V136" ca="1">IF(V$5=0, V38, INDEX($D136:$AC136, 1, V$5)+V38)</f>
        <v>21.537142487151023</v>
      </c>
      <c r="W136" s="40" cm="1">
        <f t="array" aca="1" ref="W136" ca="1">IF(W$5=0, W38, INDEX($D136:$AC136, 1, W$5)+W38)</f>
        <v>22.986081863527517</v>
      </c>
      <c r="X136" s="40" cm="1">
        <f t="array" aca="1" ref="X136" ca="1">IF(X$5=0, X38, INDEX($D136:$AC136, 1, X$5)+X38)</f>
        <v>24.442863904062129</v>
      </c>
      <c r="Y136" s="40" cm="1">
        <f t="array" aca="1" ref="Y136" ca="1">IF(Y$5=0, Y38, INDEX($D136:$AC136, 1, Y$5)+Y38)</f>
        <v>25.90726918194823</v>
      </c>
      <c r="Z136" s="40" cm="1">
        <f t="array" aca="1" ref="Z136" ca="1">IF(Z$5=0, Z38, INDEX($D136:$AC136, 1, Z$5)+Z38)</f>
        <v>27.379069488082695</v>
      </c>
      <c r="AA136" s="40" cm="1">
        <f t="array" aca="1" ref="AA136" ca="1">IF(AA$5=0, AA38, INDEX($D136:$AC136, 1, AA$5)+AA38)</f>
        <v>28.85802874587279</v>
      </c>
      <c r="AB136" s="40" cm="1">
        <f t="array" aca="1" ref="AB136" ca="1">IF(AB$5=0, AB38, INDEX($D136:$AC136, 1, AB$5)+AB38)</f>
        <v>30.343903111823206</v>
      </c>
      <c r="AC136" s="40" cm="1">
        <f t="array" aca="1" ref="AC136" ca="1">IF(AC$5=0, AC38, INDEX($D136:$AC136, 1, AC$5)+AC38)</f>
        <v>32.106300604168766</v>
      </c>
    </row>
    <row r="137" spans="1:29" x14ac:dyDescent="0.2">
      <c r="A137" s="18" t="s">
        <v>1241</v>
      </c>
      <c r="C137" t="s">
        <v>1242</v>
      </c>
      <c r="D137" s="40">
        <f t="shared" ref="D137:AC137" ca="1" si="38">D31+D39</f>
        <v>0</v>
      </c>
      <c r="E137" s="40">
        <f t="shared" ca="1" si="38"/>
        <v>0</v>
      </c>
      <c r="F137" s="40">
        <f t="shared" ca="1" si="38"/>
        <v>0</v>
      </c>
      <c r="G137" s="40">
        <f t="shared" ca="1" si="38"/>
        <v>22.179397771936486</v>
      </c>
      <c r="H137" s="40">
        <f t="shared" ca="1" si="38"/>
        <v>22.694834158791195</v>
      </c>
      <c r="I137" s="40">
        <f t="shared" ca="1" si="38"/>
        <v>23.21609689159358</v>
      </c>
      <c r="J137" s="40">
        <f t="shared" ca="1" si="38"/>
        <v>23.818153055251674</v>
      </c>
      <c r="K137" s="40">
        <f t="shared" ca="1" si="38"/>
        <v>24.42740992328849</v>
      </c>
      <c r="L137" s="40">
        <f t="shared" ca="1" si="38"/>
        <v>25.042493952745417</v>
      </c>
      <c r="M137" s="40">
        <f t="shared" ca="1" si="38"/>
        <v>25.661842268917582</v>
      </c>
      <c r="N137" s="40">
        <f t="shared" ca="1" si="38"/>
        <v>26.283694211224045</v>
      </c>
      <c r="O137" s="40">
        <f t="shared" ca="1" si="38"/>
        <v>26.516692496941843</v>
      </c>
      <c r="P137" s="40">
        <f t="shared" ca="1" si="38"/>
        <v>26.747147704593569</v>
      </c>
      <c r="Q137" s="40">
        <f t="shared" ca="1" si="38"/>
        <v>26.974795262270479</v>
      </c>
      <c r="R137" s="40">
        <f t="shared" ca="1" si="38"/>
        <v>27.199390534917391</v>
      </c>
      <c r="S137" s="40">
        <f t="shared" ca="1" si="38"/>
        <v>27.420684238211368</v>
      </c>
      <c r="T137" s="40">
        <f t="shared" ca="1" si="38"/>
        <v>27.638400107023887</v>
      </c>
      <c r="U137" s="40">
        <f t="shared" ca="1" si="38"/>
        <v>27.852282253847701</v>
      </c>
      <c r="V137" s="40">
        <f t="shared" ca="1" si="38"/>
        <v>28.062071685296591</v>
      </c>
      <c r="W137" s="40">
        <f t="shared" ca="1" si="38"/>
        <v>28.267485595544343</v>
      </c>
      <c r="X137" s="40">
        <f t="shared" ca="1" si="38"/>
        <v>28.468262112518012</v>
      </c>
      <c r="Y137" s="40">
        <f t="shared" ca="1" si="38"/>
        <v>28.66413816720425</v>
      </c>
      <c r="Z137" s="40">
        <f t="shared" ca="1" si="38"/>
        <v>28.854830671408308</v>
      </c>
      <c r="AA137" s="40">
        <f t="shared" ca="1" si="38"/>
        <v>29.040078098640262</v>
      </c>
      <c r="AB137" s="40">
        <f t="shared" ca="1" si="38"/>
        <v>29.219619954762617</v>
      </c>
      <c r="AC137" s="40">
        <f t="shared" ca="1" si="38"/>
        <v>34.707652805462175</v>
      </c>
    </row>
    <row r="138" spans="1:29" x14ac:dyDescent="0.2">
      <c r="A138" s="18" t="s">
        <v>1243</v>
      </c>
      <c r="C138" t="s">
        <v>1244</v>
      </c>
      <c r="D138" s="15">
        <f t="shared" ref="D138:AC138" ca="1" si="39">D85</f>
        <v>0</v>
      </c>
      <c r="E138" s="15">
        <f t="shared" ca="1" si="39"/>
        <v>0</v>
      </c>
      <c r="F138" s="15">
        <f t="shared" ca="1" si="39"/>
        <v>0</v>
      </c>
      <c r="G138" s="15">
        <f t="shared" ca="1" si="39"/>
        <v>635.4129546425703</v>
      </c>
      <c r="H138" s="15">
        <f t="shared" ca="1" si="39"/>
        <v>1382.7513497201551</v>
      </c>
      <c r="I138" s="15">
        <f t="shared" ca="1" si="39"/>
        <v>2255.95889432173</v>
      </c>
      <c r="J138" s="15">
        <f t="shared" ca="1" si="39"/>
        <v>3273.5627263480751</v>
      </c>
      <c r="K138" s="15">
        <f t="shared" ca="1" si="39"/>
        <v>4453.3985501965635</v>
      </c>
      <c r="L138" s="15">
        <f t="shared" ca="1" si="39"/>
        <v>5004.1525528799093</v>
      </c>
      <c r="M138" s="15">
        <f t="shared" ca="1" si="39"/>
        <v>5615.550533331314</v>
      </c>
      <c r="N138" s="15">
        <f t="shared" ca="1" si="39"/>
        <v>6293.5046980149873</v>
      </c>
      <c r="O138" s="15">
        <f t="shared" ca="1" si="39"/>
        <v>7015.0430457516486</v>
      </c>
      <c r="P138" s="15">
        <f t="shared" ca="1" si="39"/>
        <v>7779.9720572245878</v>
      </c>
      <c r="Q138" s="15">
        <f t="shared" ca="1" si="39"/>
        <v>8587.6888302994321</v>
      </c>
      <c r="R138" s="15">
        <f t="shared" ca="1" si="39"/>
        <v>9437.1452520621569</v>
      </c>
      <c r="S138" s="15">
        <f t="shared" ca="1" si="39"/>
        <v>10326.8151245434</v>
      </c>
      <c r="T138" s="15">
        <f t="shared" ca="1" si="39"/>
        <v>11286.930569103892</v>
      </c>
      <c r="U138" s="15">
        <f t="shared" ca="1" si="39"/>
        <v>12322.309833457548</v>
      </c>
      <c r="V138" s="15">
        <f t="shared" ca="1" si="39"/>
        <v>13438.047229640386</v>
      </c>
      <c r="W138" s="15">
        <f t="shared" ca="1" si="39"/>
        <v>14639.519888774281</v>
      </c>
      <c r="X138" s="15">
        <f t="shared" ca="1" si="39"/>
        <v>15932.40113301537</v>
      </c>
      <c r="Y138" s="15">
        <f t="shared" ca="1" si="39"/>
        <v>17322.674668817908</v>
      </c>
      <c r="Z138" s="15">
        <f t="shared" ca="1" si="39"/>
        <v>18816.640859273819</v>
      </c>
      <c r="AA138" s="15">
        <f t="shared" ca="1" si="39"/>
        <v>20420.930764711709</v>
      </c>
      <c r="AB138" s="15">
        <f t="shared" ca="1" si="39"/>
        <v>22142.521081708765</v>
      </c>
      <c r="AC138" s="15">
        <f t="shared" ca="1" si="39"/>
        <v>24909.889604889904</v>
      </c>
    </row>
    <row r="139" spans="1:29" x14ac:dyDescent="0.2">
      <c r="A139" s="18" t="s">
        <v>1245</v>
      </c>
      <c r="C139" t="s">
        <v>1210</v>
      </c>
      <c r="D139" s="15">
        <f t="shared" ref="D139:AC139" ca="1" si="40">D86</f>
        <v>0</v>
      </c>
      <c r="E139" s="15">
        <f t="shared" ca="1" si="40"/>
        <v>0</v>
      </c>
      <c r="F139" s="15">
        <f t="shared" ca="1" si="40"/>
        <v>0</v>
      </c>
      <c r="G139" s="15">
        <f t="shared" ca="1" si="40"/>
        <v>202.795066629069</v>
      </c>
      <c r="H139" s="15">
        <f t="shared" ca="1" si="40"/>
        <v>439.84160938768963</v>
      </c>
      <c r="I139" s="15">
        <f t="shared" ca="1" si="40"/>
        <v>715.14996457749396</v>
      </c>
      <c r="J139" s="15">
        <f t="shared" ca="1" si="40"/>
        <v>1033.831594872574</v>
      </c>
      <c r="K139" s="15">
        <f t="shared" ca="1" si="40"/>
        <v>1400.8741710806542</v>
      </c>
      <c r="L139" s="15">
        <f t="shared" ca="1" si="40"/>
        <v>1562.9070664209496</v>
      </c>
      <c r="M139" s="15">
        <f t="shared" ca="1" si="40"/>
        <v>1740.9908836473351</v>
      </c>
      <c r="N139" s="15">
        <f t="shared" ca="1" si="40"/>
        <v>1936.4918037315981</v>
      </c>
      <c r="O139" s="15">
        <f t="shared" ca="1" si="40"/>
        <v>2144.5682480223304</v>
      </c>
      <c r="P139" s="15">
        <f t="shared" ca="1" si="40"/>
        <v>2365.4056277031509</v>
      </c>
      <c r="Q139" s="15">
        <f t="shared" ca="1" si="40"/>
        <v>2599.1366558199015</v>
      </c>
      <c r="R139" s="15">
        <f t="shared" ca="1" si="40"/>
        <v>2845.8389078899527</v>
      </c>
      <c r="S139" s="15">
        <f t="shared" ca="1" si="40"/>
        <v>3105.5331648654815</v>
      </c>
      <c r="T139" s="15">
        <f t="shared" ca="1" si="40"/>
        <v>3385.0374371358994</v>
      </c>
      <c r="U139" s="15">
        <f t="shared" ca="1" si="40"/>
        <v>3685.6718241572039</v>
      </c>
      <c r="V139" s="15">
        <f t="shared" ca="1" si="40"/>
        <v>4008.8330553363849</v>
      </c>
      <c r="W139" s="15">
        <f t="shared" ca="1" si="40"/>
        <v>4355.9971853229927</v>
      </c>
      <c r="X139" s="15">
        <f t="shared" ca="1" si="40"/>
        <v>4728.7237680828857</v>
      </c>
      <c r="Y139" s="15">
        <f t="shared" ca="1" si="40"/>
        <v>5128.6603061463411</v>
      </c>
      <c r="Z139" s="15">
        <f t="shared" ca="1" si="40"/>
        <v>5557.5451739610926</v>
      </c>
      <c r="AA139" s="15">
        <f t="shared" ca="1" si="40"/>
        <v>6017.2122551410293</v>
      </c>
      <c r="AB139" s="15">
        <f t="shared" ca="1" si="40"/>
        <v>6509.5958872470783</v>
      </c>
      <c r="AC139" s="15">
        <f t="shared" ca="1" si="40"/>
        <v>7305.8119218763559</v>
      </c>
    </row>
    <row r="200" spans="1:29" x14ac:dyDescent="0.2">
      <c r="A200" s="13" t="s">
        <v>603</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x14ac:dyDescent="0.2">
      <c r="A201" t="s">
        <v>604</v>
      </c>
      <c r="C201" t="s">
        <v>1246</v>
      </c>
      <c r="D201" s="15">
        <f t="shared" ref="D201:AC201" si="41">D113</f>
        <v>0</v>
      </c>
      <c r="E201" s="15">
        <f t="shared" si="41"/>
        <v>0</v>
      </c>
      <c r="F201" s="15">
        <f t="shared" si="41"/>
        <v>0</v>
      </c>
      <c r="G201" s="15">
        <f t="shared" si="41"/>
        <v>0</v>
      </c>
      <c r="H201" s="15">
        <f t="shared" si="41"/>
        <v>0</v>
      </c>
      <c r="I201" s="15">
        <f t="shared" si="41"/>
        <v>0</v>
      </c>
      <c r="J201" s="15">
        <f t="shared" si="41"/>
        <v>0</v>
      </c>
      <c r="K201" s="15">
        <f t="shared" si="41"/>
        <v>0</v>
      </c>
      <c r="L201" s="15">
        <f t="shared" si="41"/>
        <v>0</v>
      </c>
      <c r="M201" s="15">
        <f t="shared" si="41"/>
        <v>0</v>
      </c>
      <c r="N201" s="15">
        <f t="shared" si="41"/>
        <v>0</v>
      </c>
      <c r="O201" s="15">
        <f t="shared" si="41"/>
        <v>0</v>
      </c>
      <c r="P201" s="15">
        <f t="shared" si="41"/>
        <v>0</v>
      </c>
      <c r="Q201" s="15">
        <f t="shared" si="41"/>
        <v>0</v>
      </c>
      <c r="R201" s="15">
        <f t="shared" si="41"/>
        <v>0</v>
      </c>
      <c r="S201" s="15">
        <f t="shared" si="41"/>
        <v>0</v>
      </c>
      <c r="T201" s="15">
        <f t="shared" si="41"/>
        <v>0</v>
      </c>
      <c r="U201" s="15">
        <f t="shared" si="41"/>
        <v>0</v>
      </c>
      <c r="V201" s="15">
        <f t="shared" si="41"/>
        <v>0</v>
      </c>
      <c r="W201" s="15">
        <f t="shared" si="41"/>
        <v>0</v>
      </c>
      <c r="X201" s="15">
        <f t="shared" si="41"/>
        <v>0</v>
      </c>
      <c r="Y201" s="15">
        <f t="shared" si="41"/>
        <v>0</v>
      </c>
      <c r="Z201" s="15">
        <f t="shared" si="41"/>
        <v>0</v>
      </c>
      <c r="AA201" s="15">
        <f t="shared" si="41"/>
        <v>0</v>
      </c>
      <c r="AB201" s="15">
        <f t="shared" si="41"/>
        <v>0</v>
      </c>
      <c r="AC201" s="15">
        <f t="shared" si="41"/>
        <v>0</v>
      </c>
    </row>
    <row r="202" spans="1:29" x14ac:dyDescent="0.2">
      <c r="A202" t="s">
        <v>605</v>
      </c>
      <c r="C202" t="s">
        <v>1247</v>
      </c>
      <c r="D202" s="15">
        <f t="shared" ref="D202:AC202" ca="1" si="42">D122</f>
        <v>0</v>
      </c>
      <c r="E202" s="15">
        <f t="shared" ca="1" si="42"/>
        <v>0</v>
      </c>
      <c r="F202" s="15">
        <f t="shared" ca="1" si="42"/>
        <v>0</v>
      </c>
      <c r="G202" s="15">
        <f t="shared" ca="1" si="42"/>
        <v>-50</v>
      </c>
      <c r="H202" s="15">
        <f t="shared" ca="1" si="42"/>
        <v>-162.84672925696719</v>
      </c>
      <c r="I202" s="15">
        <f t="shared" ca="1" si="42"/>
        <v>-361.1978829339231</v>
      </c>
      <c r="J202" s="15">
        <f t="shared" ca="1" si="42"/>
        <v>-652.89747047735386</v>
      </c>
      <c r="K202" s="15">
        <f t="shared" ca="1" si="42"/>
        <v>-1047.129065774878</v>
      </c>
      <c r="L202" s="15">
        <f t="shared" ca="1" si="42"/>
        <v>-1554.6757195705889</v>
      </c>
      <c r="M202" s="15">
        <f t="shared" ca="1" si="42"/>
        <v>-2080.7781288948304</v>
      </c>
      <c r="N202" s="15">
        <f t="shared" ca="1" si="42"/>
        <v>-2631.2365624426761</v>
      </c>
      <c r="O202" s="15">
        <f t="shared" ca="1" si="42"/>
        <v>-3212.0047348971502</v>
      </c>
      <c r="P202" s="15">
        <f t="shared" ca="1" si="42"/>
        <v>-3826.9119747946193</v>
      </c>
      <c r="Q202" s="15">
        <f t="shared" ca="1" si="42"/>
        <v>-4478.1676731532316</v>
      </c>
      <c r="R202" s="15">
        <f t="shared" ca="1" si="42"/>
        <v>-5167.7141096105761</v>
      </c>
      <c r="S202" s="15">
        <f t="shared" ca="1" si="42"/>
        <v>-5897.2030649329936</v>
      </c>
      <c r="T202" s="15">
        <f t="shared" ca="1" si="42"/>
        <v>-6667.9713978183072</v>
      </c>
      <c r="U202" s="15">
        <f t="shared" ca="1" si="42"/>
        <v>-7484.9281783179786</v>
      </c>
      <c r="V202" s="15">
        <f t="shared" ca="1" si="42"/>
        <v>-8353.1062230353436</v>
      </c>
      <c r="W202" s="15">
        <f t="shared" ca="1" si="42"/>
        <v>-9277.6849998365378</v>
      </c>
      <c r="X202" s="15">
        <f t="shared" ca="1" si="42"/>
        <v>-10264.01225335687</v>
      </c>
      <c r="Y202" s="15">
        <f t="shared" ca="1" si="42"/>
        <v>-11317.625079370951</v>
      </c>
      <c r="Z202" s="15">
        <f t="shared" ca="1" si="42"/>
        <v>-12444.270826795228</v>
      </c>
      <c r="AA202" s="15">
        <f t="shared" ca="1" si="42"/>
        <v>-13649.926889290689</v>
      </c>
      <c r="AB202" s="15">
        <f t="shared" ca="1" si="42"/>
        <v>-14940.820252431247</v>
      </c>
      <c r="AC202" s="15">
        <f t="shared" ca="1" si="42"/>
        <v>-16332.487456222041</v>
      </c>
    </row>
    <row r="203" spans="1:29" x14ac:dyDescent="0.2">
      <c r="A203" t="s">
        <v>606</v>
      </c>
      <c r="C203" s="16" t="s">
        <v>1248</v>
      </c>
      <c r="D203" s="17">
        <f t="shared" ref="D203:AC203" ca="1" si="43">IFERROR(D202/D201, 0)</f>
        <v>0</v>
      </c>
      <c r="E203" s="17">
        <f t="shared" ca="1" si="43"/>
        <v>0</v>
      </c>
      <c r="F203" s="17">
        <f t="shared" ca="1" si="43"/>
        <v>0</v>
      </c>
      <c r="G203" s="17">
        <f t="shared" ca="1" si="43"/>
        <v>0</v>
      </c>
      <c r="H203" s="17">
        <f t="shared" ca="1" si="43"/>
        <v>0</v>
      </c>
      <c r="I203" s="17">
        <f t="shared" ca="1" si="43"/>
        <v>0</v>
      </c>
      <c r="J203" s="17">
        <f t="shared" ca="1" si="43"/>
        <v>0</v>
      </c>
      <c r="K203" s="17">
        <f t="shared" ca="1" si="43"/>
        <v>0</v>
      </c>
      <c r="L203" s="17">
        <f t="shared" ca="1" si="43"/>
        <v>0</v>
      </c>
      <c r="M203" s="17">
        <f t="shared" ca="1" si="43"/>
        <v>0</v>
      </c>
      <c r="N203" s="17">
        <f t="shared" ca="1" si="43"/>
        <v>0</v>
      </c>
      <c r="O203" s="17">
        <f t="shared" ca="1" si="43"/>
        <v>0</v>
      </c>
      <c r="P203" s="17">
        <f t="shared" ca="1" si="43"/>
        <v>0</v>
      </c>
      <c r="Q203" s="17">
        <f t="shared" ca="1" si="43"/>
        <v>0</v>
      </c>
      <c r="R203" s="17">
        <f t="shared" ca="1" si="43"/>
        <v>0</v>
      </c>
      <c r="S203" s="17">
        <f t="shared" ca="1" si="43"/>
        <v>0</v>
      </c>
      <c r="T203" s="17">
        <f t="shared" ca="1" si="43"/>
        <v>0</v>
      </c>
      <c r="U203" s="17">
        <f t="shared" ca="1" si="43"/>
        <v>0</v>
      </c>
      <c r="V203" s="17">
        <f t="shared" ca="1" si="43"/>
        <v>0</v>
      </c>
      <c r="W203" s="17">
        <f t="shared" ca="1" si="43"/>
        <v>0</v>
      </c>
      <c r="X203" s="17">
        <f t="shared" ca="1" si="43"/>
        <v>0</v>
      </c>
      <c r="Y203" s="17">
        <f t="shared" ca="1" si="43"/>
        <v>0</v>
      </c>
      <c r="Z203" s="17">
        <f t="shared" ca="1" si="43"/>
        <v>0</v>
      </c>
      <c r="AA203" s="17">
        <f t="shared" ca="1" si="43"/>
        <v>0</v>
      </c>
      <c r="AB203" s="17">
        <f t="shared" ca="1" si="43"/>
        <v>0</v>
      </c>
      <c r="AC203" s="17">
        <f t="shared" ca="1" si="43"/>
        <v>0</v>
      </c>
    </row>
    <row r="204" spans="1:29" x14ac:dyDescent="0.2">
      <c r="A204" t="s">
        <v>607</v>
      </c>
      <c r="C204" s="16" t="s">
        <v>1249</v>
      </c>
      <c r="D204" s="15">
        <f t="shared" ref="D204:AC204" ca="1" si="44">D129</f>
        <v>0</v>
      </c>
      <c r="E204" s="15">
        <f t="shared" ca="1" si="44"/>
        <v>0</v>
      </c>
      <c r="F204" s="15">
        <f t="shared" ca="1" si="44"/>
        <v>0</v>
      </c>
      <c r="G204" s="15">
        <f t="shared" ca="1" si="44"/>
        <v>-1050</v>
      </c>
      <c r="H204" s="15">
        <f t="shared" ca="1" si="44"/>
        <v>-1050</v>
      </c>
      <c r="I204" s="15">
        <f t="shared" ca="1" si="44"/>
        <v>-1050</v>
      </c>
      <c r="J204" s="15">
        <f t="shared" ca="1" si="44"/>
        <v>-1050</v>
      </c>
      <c r="K204" s="15">
        <f t="shared" ca="1" si="44"/>
        <v>-1050</v>
      </c>
      <c r="L204" s="15">
        <f t="shared" ca="1" si="44"/>
        <v>-1050</v>
      </c>
      <c r="M204" s="15">
        <f t="shared" ca="1" si="44"/>
        <v>-1050</v>
      </c>
      <c r="N204" s="15">
        <f t="shared" ca="1" si="44"/>
        <v>-1050.0000000000002</v>
      </c>
      <c r="O204" s="15">
        <f t="shared" ca="1" si="44"/>
        <v>-1050.0000000000002</v>
      </c>
      <c r="P204" s="15">
        <f t="shared" ca="1" si="44"/>
        <v>-1050</v>
      </c>
      <c r="Q204" s="15">
        <f t="shared" ca="1" si="44"/>
        <v>-1050</v>
      </c>
      <c r="R204" s="15">
        <f t="shared" ca="1" si="44"/>
        <v>-1050</v>
      </c>
      <c r="S204" s="15">
        <f t="shared" ca="1" si="44"/>
        <v>-1050</v>
      </c>
      <c r="T204" s="15">
        <f t="shared" ca="1" si="44"/>
        <v>-1050</v>
      </c>
      <c r="U204" s="15">
        <f t="shared" ca="1" si="44"/>
        <v>-1050.0000000000002</v>
      </c>
      <c r="V204" s="15">
        <f t="shared" ca="1" si="44"/>
        <v>-1050</v>
      </c>
      <c r="W204" s="15">
        <f t="shared" ca="1" si="44"/>
        <v>-1050.0000000000002</v>
      </c>
      <c r="X204" s="15">
        <f t="shared" ca="1" si="44"/>
        <v>-1050</v>
      </c>
      <c r="Y204" s="15">
        <f t="shared" ca="1" si="44"/>
        <v>-1050</v>
      </c>
      <c r="Z204" s="15">
        <f t="shared" ca="1" si="44"/>
        <v>-1050</v>
      </c>
      <c r="AA204" s="15">
        <f t="shared" ca="1" si="44"/>
        <v>-1050</v>
      </c>
      <c r="AB204" s="15">
        <f t="shared" ca="1" si="44"/>
        <v>-1050</v>
      </c>
      <c r="AC204" s="15">
        <f t="shared" ca="1" si="44"/>
        <v>-1239.8466358651003</v>
      </c>
    </row>
    <row r="205" spans="1:29" x14ac:dyDescent="0.2">
      <c r="A205" t="s">
        <v>608</v>
      </c>
      <c r="C205" t="s">
        <v>1250</v>
      </c>
      <c r="D205" s="15">
        <f t="shared" ref="D205:AC205" ca="1" si="45">D125</f>
        <v>0</v>
      </c>
      <c r="E205" s="15">
        <f t="shared" ca="1" si="45"/>
        <v>0</v>
      </c>
      <c r="F205" s="15">
        <f t="shared" ca="1" si="45"/>
        <v>0</v>
      </c>
      <c r="G205" s="15">
        <f t="shared" ca="1" si="45"/>
        <v>1000</v>
      </c>
      <c r="H205" s="15">
        <f t="shared" ca="1" si="45"/>
        <v>1000</v>
      </c>
      <c r="I205" s="15">
        <f t="shared" ca="1" si="45"/>
        <v>1000</v>
      </c>
      <c r="J205" s="15">
        <f t="shared" ca="1" si="45"/>
        <v>1000</v>
      </c>
      <c r="K205" s="15">
        <f t="shared" ca="1" si="45"/>
        <v>1000</v>
      </c>
      <c r="L205" s="15">
        <f t="shared" ca="1" si="45"/>
        <v>1000</v>
      </c>
      <c r="M205" s="15">
        <f t="shared" ca="1" si="45"/>
        <v>1000</v>
      </c>
      <c r="N205" s="15">
        <f t="shared" ca="1" si="45"/>
        <v>1000.0000000000002</v>
      </c>
      <c r="O205" s="15">
        <f t="shared" ca="1" si="45"/>
        <v>1000.0000000000002</v>
      </c>
      <c r="P205" s="15">
        <f t="shared" ca="1" si="45"/>
        <v>1000</v>
      </c>
      <c r="Q205" s="15">
        <f t="shared" ca="1" si="45"/>
        <v>1000</v>
      </c>
      <c r="R205" s="15">
        <f t="shared" ca="1" si="45"/>
        <v>1000</v>
      </c>
      <c r="S205" s="15">
        <f t="shared" ca="1" si="45"/>
        <v>1000</v>
      </c>
      <c r="T205" s="15">
        <f t="shared" ca="1" si="45"/>
        <v>1000</v>
      </c>
      <c r="U205" s="15">
        <f t="shared" ca="1" si="45"/>
        <v>1000.0000000000002</v>
      </c>
      <c r="V205" s="15">
        <f t="shared" ca="1" si="45"/>
        <v>1000</v>
      </c>
      <c r="W205" s="15">
        <f t="shared" ca="1" si="45"/>
        <v>1000.0000000000002</v>
      </c>
      <c r="X205" s="15">
        <f t="shared" ca="1" si="45"/>
        <v>1000</v>
      </c>
      <c r="Y205" s="15">
        <f t="shared" ca="1" si="45"/>
        <v>1000</v>
      </c>
      <c r="Z205" s="15">
        <f t="shared" ca="1" si="45"/>
        <v>1000</v>
      </c>
      <c r="AA205" s="15">
        <f t="shared" ca="1" si="45"/>
        <v>1000</v>
      </c>
      <c r="AB205" s="15">
        <f t="shared" ca="1" si="45"/>
        <v>1000</v>
      </c>
      <c r="AC205" s="15">
        <f t="shared" ca="1" si="45"/>
        <v>1180.8063198715245</v>
      </c>
    </row>
    <row r="206" spans="1:29" x14ac:dyDescent="0.2">
      <c r="A206" t="s">
        <v>609</v>
      </c>
      <c r="C206" s="16" t="s">
        <v>1251</v>
      </c>
      <c r="D206" s="15">
        <f t="shared" ref="D206:AC206" ca="1" si="46">D126</f>
        <v>0</v>
      </c>
      <c r="E206" s="15">
        <f t="shared" ca="1" si="46"/>
        <v>0</v>
      </c>
      <c r="F206" s="15">
        <f t="shared" ca="1" si="46"/>
        <v>0</v>
      </c>
      <c r="G206" s="15">
        <f t="shared" ca="1" si="46"/>
        <v>1000</v>
      </c>
      <c r="H206" s="15">
        <f t="shared" ca="1" si="46"/>
        <v>1000</v>
      </c>
      <c r="I206" s="15">
        <f t="shared" ca="1" si="46"/>
        <v>1000</v>
      </c>
      <c r="J206" s="15">
        <f t="shared" ca="1" si="46"/>
        <v>1000</v>
      </c>
      <c r="K206" s="15">
        <f t="shared" ca="1" si="46"/>
        <v>1000</v>
      </c>
      <c r="L206" s="15">
        <f t="shared" ca="1" si="46"/>
        <v>1000</v>
      </c>
      <c r="M206" s="15">
        <f t="shared" ca="1" si="46"/>
        <v>1000</v>
      </c>
      <c r="N206" s="15">
        <f t="shared" ca="1" si="46"/>
        <v>1000.0000000000002</v>
      </c>
      <c r="O206" s="15">
        <f t="shared" ca="1" si="46"/>
        <v>1000.0000000000002</v>
      </c>
      <c r="P206" s="15">
        <f t="shared" ca="1" si="46"/>
        <v>1000</v>
      </c>
      <c r="Q206" s="15">
        <f t="shared" ca="1" si="46"/>
        <v>1000</v>
      </c>
      <c r="R206" s="15">
        <f t="shared" ca="1" si="46"/>
        <v>1000</v>
      </c>
      <c r="S206" s="15">
        <f t="shared" ca="1" si="46"/>
        <v>1000</v>
      </c>
      <c r="T206" s="15">
        <f t="shared" ca="1" si="46"/>
        <v>1000</v>
      </c>
      <c r="U206" s="15">
        <f t="shared" ca="1" si="46"/>
        <v>1000.0000000000002</v>
      </c>
      <c r="V206" s="15">
        <f t="shared" ca="1" si="46"/>
        <v>1000</v>
      </c>
      <c r="W206" s="15">
        <f t="shared" ca="1" si="46"/>
        <v>1000.0000000000002</v>
      </c>
      <c r="X206" s="15">
        <f t="shared" ca="1" si="46"/>
        <v>1000</v>
      </c>
      <c r="Y206" s="15">
        <f t="shared" ca="1" si="46"/>
        <v>1000</v>
      </c>
      <c r="Z206" s="15">
        <f t="shared" ca="1" si="46"/>
        <v>1000</v>
      </c>
      <c r="AA206" s="15">
        <f t="shared" ca="1" si="46"/>
        <v>1000</v>
      </c>
      <c r="AB206" s="15">
        <f t="shared" ca="1" si="46"/>
        <v>1000</v>
      </c>
      <c r="AC206" s="15">
        <f t="shared" ca="1" si="46"/>
        <v>1180.8063198715245</v>
      </c>
    </row>
    <row r="207" spans="1:29" x14ac:dyDescent="0.2">
      <c r="A207" t="s">
        <v>610</v>
      </c>
      <c r="C207" t="s">
        <v>1252</v>
      </c>
      <c r="D207" s="17">
        <f>0</f>
        <v>0</v>
      </c>
      <c r="E207" s="17">
        <f>0</f>
        <v>0</v>
      </c>
      <c r="F207" s="17">
        <f>0</f>
        <v>0</v>
      </c>
      <c r="G207" s="17">
        <f>0</f>
        <v>0</v>
      </c>
      <c r="H207" s="17">
        <f>0</f>
        <v>0</v>
      </c>
      <c r="I207" s="17">
        <f>0</f>
        <v>0</v>
      </c>
      <c r="J207" s="17">
        <f>0</f>
        <v>0</v>
      </c>
      <c r="K207" s="17">
        <f>0</f>
        <v>0</v>
      </c>
      <c r="L207" s="17">
        <f>0</f>
        <v>0</v>
      </c>
      <c r="M207" s="17">
        <f>0</f>
        <v>0</v>
      </c>
      <c r="N207" s="17">
        <f>0</f>
        <v>0</v>
      </c>
      <c r="O207" s="17">
        <f>0</f>
        <v>0</v>
      </c>
      <c r="P207" s="17">
        <f>0</f>
        <v>0</v>
      </c>
      <c r="Q207" s="17">
        <f>0</f>
        <v>0</v>
      </c>
      <c r="R207" s="17">
        <f>0</f>
        <v>0</v>
      </c>
      <c r="S207" s="17">
        <f>0</f>
        <v>0</v>
      </c>
      <c r="T207" s="17">
        <f>0</f>
        <v>0</v>
      </c>
      <c r="U207" s="17">
        <f>0</f>
        <v>0</v>
      </c>
      <c r="V207" s="17">
        <f>0</f>
        <v>0</v>
      </c>
      <c r="W207" s="17">
        <f>0</f>
        <v>0</v>
      </c>
      <c r="X207" s="17">
        <f>0</f>
        <v>0</v>
      </c>
      <c r="Y207" s="17">
        <f>0</f>
        <v>0</v>
      </c>
      <c r="Z207" s="17">
        <f>0</f>
        <v>0</v>
      </c>
      <c r="AA207" s="17">
        <f>0</f>
        <v>0</v>
      </c>
      <c r="AB207" s="17">
        <f>0</f>
        <v>0</v>
      </c>
      <c r="AC207" s="17">
        <f>0</f>
        <v>0</v>
      </c>
    </row>
    <row r="208" spans="1:29" x14ac:dyDescent="0.2">
      <c r="A208" t="s">
        <v>611</v>
      </c>
      <c r="C208" t="s">
        <v>1253</v>
      </c>
      <c r="D208" s="17">
        <f>0</f>
        <v>0</v>
      </c>
      <c r="E208" s="17">
        <f>0</f>
        <v>0</v>
      </c>
      <c r="F208" s="17">
        <f>0</f>
        <v>0</v>
      </c>
      <c r="G208" s="17">
        <f>0</f>
        <v>0</v>
      </c>
      <c r="H208" s="17">
        <f>0</f>
        <v>0</v>
      </c>
      <c r="I208" s="17">
        <f>0</f>
        <v>0</v>
      </c>
      <c r="J208" s="17">
        <f>0</f>
        <v>0</v>
      </c>
      <c r="K208" s="17">
        <f>0</f>
        <v>0</v>
      </c>
      <c r="L208" s="17">
        <f>0</f>
        <v>0</v>
      </c>
      <c r="M208" s="17">
        <f>0</f>
        <v>0</v>
      </c>
      <c r="N208" s="17">
        <f>0</f>
        <v>0</v>
      </c>
      <c r="O208" s="17">
        <f>0</f>
        <v>0</v>
      </c>
      <c r="P208" s="17">
        <f>0</f>
        <v>0</v>
      </c>
      <c r="Q208" s="17">
        <f>0</f>
        <v>0</v>
      </c>
      <c r="R208" s="17">
        <f>0</f>
        <v>0</v>
      </c>
      <c r="S208" s="17">
        <f>0</f>
        <v>0</v>
      </c>
      <c r="T208" s="17">
        <f>0</f>
        <v>0</v>
      </c>
      <c r="U208" s="17">
        <f>0</f>
        <v>0</v>
      </c>
      <c r="V208" s="17">
        <f>0</f>
        <v>0</v>
      </c>
      <c r="W208" s="17">
        <f>0</f>
        <v>0</v>
      </c>
      <c r="X208" s="17">
        <f>0</f>
        <v>0</v>
      </c>
      <c r="Y208" s="17">
        <f>0</f>
        <v>0</v>
      </c>
      <c r="Z208" s="17">
        <f>0</f>
        <v>0</v>
      </c>
      <c r="AA208" s="17">
        <f>0</f>
        <v>0</v>
      </c>
      <c r="AB208" s="17">
        <f>0</f>
        <v>0</v>
      </c>
      <c r="AC208" s="17">
        <f>0</f>
        <v>0</v>
      </c>
    </row>
    <row r="209" spans="1:29" x14ac:dyDescent="0.2">
      <c r="A209" t="s">
        <v>612</v>
      </c>
      <c r="C209" s="16" t="s">
        <v>1254</v>
      </c>
      <c r="D209" s="17">
        <f>0</f>
        <v>0</v>
      </c>
      <c r="E209" s="17">
        <f>0</f>
        <v>0</v>
      </c>
      <c r="F209" s="17">
        <f>0</f>
        <v>0</v>
      </c>
      <c r="G209" s="17">
        <f>0</f>
        <v>0</v>
      </c>
      <c r="H209" s="17">
        <f>0</f>
        <v>0</v>
      </c>
      <c r="I209" s="17">
        <f>0</f>
        <v>0</v>
      </c>
      <c r="J209" s="17">
        <f>0</f>
        <v>0</v>
      </c>
      <c r="K209" s="17">
        <f>0</f>
        <v>0</v>
      </c>
      <c r="L209" s="17">
        <f>0</f>
        <v>0</v>
      </c>
      <c r="M209" s="17">
        <f>0</f>
        <v>0</v>
      </c>
      <c r="N209" s="17">
        <f>0</f>
        <v>0</v>
      </c>
      <c r="O209" s="17">
        <f>0</f>
        <v>0</v>
      </c>
      <c r="P209" s="17">
        <f>0</f>
        <v>0</v>
      </c>
      <c r="Q209" s="17">
        <f>0</f>
        <v>0</v>
      </c>
      <c r="R209" s="17">
        <f>0</f>
        <v>0</v>
      </c>
      <c r="S209" s="17">
        <f>0</f>
        <v>0</v>
      </c>
      <c r="T209" s="17">
        <f>0</f>
        <v>0</v>
      </c>
      <c r="U209" s="17">
        <f>0</f>
        <v>0</v>
      </c>
      <c r="V209" s="17">
        <f>0</f>
        <v>0</v>
      </c>
      <c r="W209" s="17">
        <f>0</f>
        <v>0</v>
      </c>
      <c r="X209" s="17">
        <f>0</f>
        <v>0</v>
      </c>
      <c r="Y209" s="17">
        <f>0</f>
        <v>0</v>
      </c>
      <c r="Z209" s="17">
        <f>0</f>
        <v>0</v>
      </c>
      <c r="AA209" s="17">
        <f>0</f>
        <v>0</v>
      </c>
      <c r="AB209" s="17">
        <f>0</f>
        <v>0</v>
      </c>
      <c r="AC209" s="17">
        <f>0</f>
        <v>0</v>
      </c>
    </row>
    <row r="210" spans="1:29" x14ac:dyDescent="0.2">
      <c r="A210" t="s">
        <v>613</v>
      </c>
      <c r="C210" t="s">
        <v>1255</v>
      </c>
      <c r="D210" s="15">
        <f t="shared" ref="D210:AC210" ca="1" si="47">D51</f>
        <v>0</v>
      </c>
      <c r="E210" s="15">
        <f t="shared" ca="1" si="47"/>
        <v>0</v>
      </c>
      <c r="F210" s="15">
        <f t="shared" ca="1" si="47"/>
        <v>0</v>
      </c>
      <c r="G210" s="15">
        <f t="shared" ca="1" si="47"/>
        <v>3326909.6657904722</v>
      </c>
      <c r="H210" s="15">
        <f t="shared" ca="1" si="47"/>
        <v>3404225.1238186788</v>
      </c>
      <c r="I210" s="15">
        <f t="shared" ca="1" si="47"/>
        <v>3482414.5337390373</v>
      </c>
      <c r="J210" s="15">
        <f t="shared" ca="1" si="47"/>
        <v>3572722.9582877513</v>
      </c>
      <c r="K210" s="15">
        <f t="shared" ca="1" si="47"/>
        <v>3664111.4884932735</v>
      </c>
      <c r="L210" s="15">
        <f t="shared" ca="1" si="47"/>
        <v>3756374.0929118125</v>
      </c>
      <c r="M210" s="15">
        <f t="shared" ca="1" si="47"/>
        <v>3849276.3403376373</v>
      </c>
      <c r="N210" s="15">
        <f t="shared" ca="1" si="47"/>
        <v>3942554.1316836067</v>
      </c>
      <c r="O210" s="15">
        <f t="shared" ca="1" si="47"/>
        <v>3977503.8745412761</v>
      </c>
      <c r="P210" s="15">
        <f t="shared" ca="1" si="47"/>
        <v>4012072.1556890355</v>
      </c>
      <c r="Q210" s="15">
        <f t="shared" ca="1" si="47"/>
        <v>4046219.2893405715</v>
      </c>
      <c r="R210" s="15">
        <f t="shared" ca="1" si="47"/>
        <v>4079908.5802376084</v>
      </c>
      <c r="S210" s="15">
        <f t="shared" ca="1" si="47"/>
        <v>4113102.6357317055</v>
      </c>
      <c r="T210" s="15">
        <f t="shared" ca="1" si="47"/>
        <v>4145760.0160535835</v>
      </c>
      <c r="U210" s="15">
        <f t="shared" ca="1" si="47"/>
        <v>4177842.3380771549</v>
      </c>
      <c r="V210" s="15">
        <f t="shared" ca="1" si="47"/>
        <v>4209310.7527944883</v>
      </c>
      <c r="W210" s="15">
        <f t="shared" ca="1" si="47"/>
        <v>4240122.8393316511</v>
      </c>
      <c r="X210" s="15">
        <f t="shared" ca="1" si="47"/>
        <v>4270239.3168777013</v>
      </c>
      <c r="Y210" s="15">
        <f t="shared" ca="1" si="47"/>
        <v>4299620.7250806373</v>
      </c>
      <c r="Z210" s="15">
        <f t="shared" ca="1" si="47"/>
        <v>4328224.600711246</v>
      </c>
      <c r="AA210" s="15">
        <f t="shared" ca="1" si="47"/>
        <v>4356011.7147960393</v>
      </c>
      <c r="AB210" s="15">
        <f t="shared" ca="1" si="47"/>
        <v>4382942.993214393</v>
      </c>
      <c r="AC210" s="15">
        <f t="shared" ca="1" si="47"/>
        <v>5206147.9208193254</v>
      </c>
    </row>
    <row r="211" spans="1:29" x14ac:dyDescent="0.2">
      <c r="A211" s="18" t="s">
        <v>624</v>
      </c>
      <c r="C211" t="s">
        <v>1256</v>
      </c>
      <c r="D211" s="15">
        <f t="shared" ref="D211:AC211" ca="1" si="48">D94</f>
        <v>0</v>
      </c>
      <c r="E211" s="15">
        <f t="shared" ca="1" si="48"/>
        <v>0</v>
      </c>
      <c r="F211" s="15">
        <f t="shared" ca="1" si="48"/>
        <v>0</v>
      </c>
      <c r="G211" s="15">
        <f t="shared" ca="1" si="48"/>
        <v>855.44723790805131</v>
      </c>
      <c r="H211" s="15">
        <f t="shared" ca="1" si="48"/>
        <v>2360.5084172813208</v>
      </c>
      <c r="I211" s="15">
        <f t="shared" ca="1" si="48"/>
        <v>4575.9119653704147</v>
      </c>
      <c r="J211" s="15">
        <f t="shared" ca="1" si="48"/>
        <v>7573.0527173985229</v>
      </c>
      <c r="K211" s="15">
        <f t="shared" ca="1" si="48"/>
        <v>11435.761864033157</v>
      </c>
      <c r="L211" s="15">
        <f t="shared" ca="1" si="48"/>
        <v>15448.205308276109</v>
      </c>
      <c r="M211" s="15">
        <f t="shared" ca="1" si="48"/>
        <v>19655.894892521217</v>
      </c>
      <c r="N211" s="15">
        <f t="shared" ca="1" si="48"/>
        <v>24105.745585155051</v>
      </c>
      <c r="O211" s="15">
        <f t="shared" ca="1" si="48"/>
        <v>28826.505853974657</v>
      </c>
      <c r="P211" s="15">
        <f t="shared" ca="1" si="48"/>
        <v>33834.529331483551</v>
      </c>
      <c r="Q211" s="15">
        <f t="shared" ca="1" si="48"/>
        <v>39143.93810026881</v>
      </c>
      <c r="R211" s="15">
        <f t="shared" ca="1" si="48"/>
        <v>44766.400180856988</v>
      </c>
      <c r="S211" s="15">
        <f t="shared" ca="1" si="48"/>
        <v>50710.896991097477</v>
      </c>
      <c r="T211" s="15">
        <f t="shared" ca="1" si="48"/>
        <v>57015.751008219435</v>
      </c>
      <c r="U211" s="15">
        <f t="shared" ca="1" si="48"/>
        <v>63720.277317444896</v>
      </c>
      <c r="V211" s="15">
        <f t="shared" ca="1" si="48"/>
        <v>70864.960513403159</v>
      </c>
      <c r="W211" s="15">
        <f t="shared" ca="1" si="48"/>
        <v>78491.62117204399</v>
      </c>
      <c r="X211" s="15">
        <f t="shared" ca="1" si="48"/>
        <v>86643.577952037027</v>
      </c>
      <c r="Y211" s="15">
        <f t="shared" ca="1" si="48"/>
        <v>95365.808217654834</v>
      </c>
      <c r="Z211" s="15">
        <f t="shared" ca="1" si="48"/>
        <v>104705.09933245592</v>
      </c>
      <c r="AA211" s="15">
        <f t="shared" ca="1" si="48"/>
        <v>114710.19784226126</v>
      </c>
      <c r="AB211" s="15">
        <f t="shared" ca="1" si="48"/>
        <v>125431.95917945397</v>
      </c>
      <c r="AC211" s="15">
        <f t="shared" ca="1" si="48"/>
        <v>137852.95271906411</v>
      </c>
    </row>
    <row r="212" spans="1:29" x14ac:dyDescent="0.2">
      <c r="A212" s="18" t="s">
        <v>625</v>
      </c>
      <c r="C212" t="s">
        <v>1257</v>
      </c>
      <c r="D212" s="15">
        <f t="shared" ref="D212:AC212" ca="1" si="49">D95</f>
        <v>0</v>
      </c>
      <c r="E212" s="15">
        <f t="shared" ca="1" si="49"/>
        <v>0</v>
      </c>
      <c r="F212" s="15">
        <f t="shared" ca="1" si="49"/>
        <v>0</v>
      </c>
      <c r="G212" s="15">
        <f t="shared" ca="1" si="49"/>
        <v>273.02005466162046</v>
      </c>
      <c r="H212" s="15">
        <f t="shared" ca="1" si="49"/>
        <v>751.47041205791038</v>
      </c>
      <c r="I212" s="15">
        <f t="shared" ca="1" si="49"/>
        <v>1453.0627394031235</v>
      </c>
      <c r="J212" s="15">
        <f t="shared" ca="1" si="49"/>
        <v>2398.2379403502564</v>
      </c>
      <c r="K212" s="15">
        <f t="shared" ca="1" si="49"/>
        <v>3610.9953316727315</v>
      </c>
      <c r="L212" s="15">
        <f t="shared" ca="1" si="49"/>
        <v>4859.5759806721962</v>
      </c>
      <c r="M212" s="15">
        <f t="shared" ca="1" si="49"/>
        <v>6156.4707319055451</v>
      </c>
      <c r="N212" s="15">
        <f t="shared" ca="1" si="49"/>
        <v>7514.3017638164511</v>
      </c>
      <c r="O212" s="15">
        <f t="shared" ca="1" si="49"/>
        <v>8942.6138939715347</v>
      </c>
      <c r="P212" s="15">
        <f t="shared" ca="1" si="49"/>
        <v>10447.147400048765</v>
      </c>
      <c r="Q212" s="15">
        <f t="shared" ca="1" si="49"/>
        <v>12033.202995836953</v>
      </c>
      <c r="R212" s="15">
        <f t="shared" ca="1" si="49"/>
        <v>13705.630468472951</v>
      </c>
      <c r="S212" s="15">
        <f t="shared" ca="1" si="49"/>
        <v>15468.816987085593</v>
      </c>
      <c r="T212" s="15">
        <f t="shared" ca="1" si="49"/>
        <v>17333.530774960353</v>
      </c>
      <c r="U212" s="15">
        <f t="shared" ca="1" si="49"/>
        <v>19310.784912908541</v>
      </c>
      <c r="V212" s="15">
        <f t="shared" ca="1" si="49"/>
        <v>21411.889484962227</v>
      </c>
      <c r="W212" s="15">
        <f t="shared" ca="1" si="49"/>
        <v>23648.501361524708</v>
      </c>
      <c r="X212" s="15">
        <f t="shared" ca="1" si="49"/>
        <v>26032.67284167248</v>
      </c>
      <c r="Y212" s="15">
        <f t="shared" ca="1" si="49"/>
        <v>28576.900050297445</v>
      </c>
      <c r="Z212" s="15">
        <f t="shared" ca="1" si="49"/>
        <v>31294.169560450977</v>
      </c>
      <c r="AA212" s="15">
        <f t="shared" ca="1" si="49"/>
        <v>34198.004682051207</v>
      </c>
      <c r="AB212" s="15">
        <f t="shared" ca="1" si="49"/>
        <v>37302.512222830686</v>
      </c>
      <c r="AC212" s="15">
        <f t="shared" ca="1" si="49"/>
        <v>40893.934499855081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4FFA-0DDC-9440-A135-90C6B7A86FE5}">
  <dimension ref="A3:BD125"/>
  <sheetViews>
    <sheetView workbookViewId="0">
      <selection activeCell="N66" sqref="N66"/>
    </sheetView>
  </sheetViews>
  <sheetFormatPr baseColWidth="10" defaultRowHeight="16" x14ac:dyDescent="0.2"/>
  <sheetData>
    <row r="3" spans="1:56" x14ac:dyDescent="0.2">
      <c r="BD3" s="40"/>
    </row>
    <row r="4" spans="1:56"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56"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56" x14ac:dyDescent="0.2">
      <c r="A6" s="19" t="s">
        <v>630</v>
      </c>
    </row>
    <row r="7" spans="1:56" x14ac:dyDescent="0.2">
      <c r="A7" s="61" t="s">
        <v>1342</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row>
    <row r="8" spans="1:56" x14ac:dyDescent="0.2">
      <c r="A8" t="s">
        <v>1343</v>
      </c>
      <c r="C8" t="s">
        <v>1344</v>
      </c>
      <c r="D8" s="15" cm="1">
        <f t="array" aca="1" ref="D8" ca="1">INDEX(Starlink!$D:$AC, MATCH("Total Revenue ($mm)", Starlink!$A:$A, 0), D$5+1)+INDEX('Customer Launch'!$D:$AC, MATCH("Total Revenue ($mm)", 'Customer Launch'!$A:$A, 0), D$5+1)+INDEX(ODC!$D:$AC, MATCH("Total Revenue ($mm)", ODC!$A:$A, 0), D$5+1)+IFERROR(INDEX('AI Stack'!$D:$AC, MATCH("Total Revenue ($mm)", 'AI Stack'!$A:$A, 0), D$5+1), 0)+INDEX('Lunar Mars'!$D:$AC, MATCH("Total Revenue ($mm)", 'Lunar Mars'!$A:$A, 0), D$5+1)</f>
        <v>16144.81033033162</v>
      </c>
      <c r="E8" s="15" cm="1">
        <f t="array" aca="1" ref="E8" ca="1">INDEX(Starlink!$D:$AC, MATCH("Total Revenue ($mm)", Starlink!$A:$A, 0), E$5+1)+INDEX('Customer Launch'!$D:$AC, MATCH("Total Revenue ($mm)", 'Customer Launch'!$A:$A, 0), E$5+1)+INDEX(ODC!$D:$AC, MATCH("Total Revenue ($mm)", ODC!$A:$A, 0), E$5+1)+IFERROR(INDEX('AI Stack'!$D:$AC, MATCH("Total Revenue ($mm)", 'AI Stack'!$A:$A, 0), E$5+1), 0)+INDEX('Lunar Mars'!$D:$AC, MATCH("Total Revenue ($mm)", 'Lunar Mars'!$A:$A, 0), E$5+1)</f>
        <v>12000.958526016657</v>
      </c>
      <c r="F8" s="15" cm="1">
        <f t="array" aca="1" ref="F8" ca="1">INDEX(Starlink!$D:$AC, MATCH("Total Revenue ($mm)", Starlink!$A:$A, 0), F$5+1)+INDEX('Customer Launch'!$D:$AC, MATCH("Total Revenue ($mm)", 'Customer Launch'!$A:$A, 0), F$5+1)+INDEX(ODC!$D:$AC, MATCH("Total Revenue ($mm)", ODC!$A:$A, 0), F$5+1)+IFERROR(INDEX('AI Stack'!$D:$AC, MATCH("Total Revenue ($mm)", 'AI Stack'!$A:$A, 0), F$5+1), 0)+INDEX('Lunar Mars'!$D:$AC, MATCH("Total Revenue ($mm)", 'Lunar Mars'!$A:$A, 0), F$5+1)</f>
        <v>10605.811608617692</v>
      </c>
      <c r="G8" s="15" cm="1">
        <f t="array" aca="1" ref="G8" ca="1">INDEX(Starlink!$D:$AC, MATCH("Total Revenue ($mm)", Starlink!$A:$A, 0), G$5+1)+INDEX('Customer Launch'!$D:$AC, MATCH("Total Revenue ($mm)", 'Customer Launch'!$A:$A, 0), G$5+1)+INDEX(ODC!$D:$AC, MATCH("Total Revenue ($mm)", ODC!$A:$A, 0), G$5+1)+IFERROR(INDEX('AI Stack'!$D:$AC, MATCH("Total Revenue ($mm)", 'AI Stack'!$A:$A, 0), G$5+1), 0)+INDEX('Lunar Mars'!$D:$AC, MATCH("Total Revenue ($mm)", 'Lunar Mars'!$A:$A, 0), G$5+1)</f>
        <v>9336.4732081369766</v>
      </c>
      <c r="H8" s="15" cm="1">
        <f t="array" aca="1" ref="H8" ca="1">INDEX(Starlink!$D:$AC, MATCH("Total Revenue ($mm)", Starlink!$A:$A, 0), H$5+1)+INDEX('Customer Launch'!$D:$AC, MATCH("Total Revenue ($mm)", 'Customer Launch'!$A:$A, 0), H$5+1)+INDEX(ODC!$D:$AC, MATCH("Total Revenue ($mm)", ODC!$A:$A, 0), H$5+1)+IFERROR(INDEX('AI Stack'!$D:$AC, MATCH("Total Revenue ($mm)", 'AI Stack'!$A:$A, 0), H$5+1), 0)+INDEX('Lunar Mars'!$D:$AC, MATCH("Total Revenue ($mm)", 'Lunar Mars'!$A:$A, 0), H$5+1)</f>
        <v>8089.3703245101842</v>
      </c>
      <c r="I8" s="15" cm="1">
        <f t="array" aca="1" ref="I8" ca="1">INDEX(Starlink!$D:$AC, MATCH("Total Revenue ($mm)", Starlink!$A:$A, 0), I$5+1)+INDEX('Customer Launch'!$D:$AC, MATCH("Total Revenue ($mm)", 'Customer Launch'!$A:$A, 0), I$5+1)+INDEX(ODC!$D:$AC, MATCH("Total Revenue ($mm)", ODC!$A:$A, 0), I$5+1)+IFERROR(INDEX('AI Stack'!$D:$AC, MATCH("Total Revenue ($mm)", 'AI Stack'!$A:$A, 0), I$5+1), 0)+INDEX('Lunar Mars'!$D:$AC, MATCH("Total Revenue ($mm)", 'Lunar Mars'!$A:$A, 0), I$5+1)</f>
        <v>8162.7852164131173</v>
      </c>
      <c r="J8" s="15" cm="1">
        <f t="array" aca="1" ref="J8" ca="1">INDEX(Starlink!$D:$AC, MATCH("Total Revenue ($mm)", Starlink!$A:$A, 0), J$5+1)+INDEX('Customer Launch'!$D:$AC, MATCH("Total Revenue ($mm)", 'Customer Launch'!$A:$A, 0), J$5+1)+INDEX(ODC!$D:$AC, MATCH("Total Revenue ($mm)", ODC!$A:$A, 0), J$5+1)+IFERROR(INDEX('AI Stack'!$D:$AC, MATCH("Total Revenue ($mm)", 'AI Stack'!$A:$A, 0), J$5+1), 0)+INDEX('Lunar Mars'!$D:$AC, MATCH("Total Revenue ($mm)", 'Lunar Mars'!$A:$A, 0), J$5+1)</f>
        <v>8145.4298107552941</v>
      </c>
      <c r="K8" s="15" cm="1">
        <f t="array" aca="1" ref="K8" ca="1">INDEX(Starlink!$D:$AC, MATCH("Total Revenue ($mm)", Starlink!$A:$A, 0), K$5+1)+INDEX('Customer Launch'!$D:$AC, MATCH("Total Revenue ($mm)", 'Customer Launch'!$A:$A, 0), K$5+1)+INDEX(ODC!$D:$AC, MATCH("Total Revenue ($mm)", ODC!$A:$A, 0), K$5+1)+IFERROR(INDEX('AI Stack'!$D:$AC, MATCH("Total Revenue ($mm)", 'AI Stack'!$A:$A, 0), K$5+1), 0)+INDEX('Lunar Mars'!$D:$AC, MATCH("Total Revenue ($mm)", 'Lunar Mars'!$A:$A, 0), K$5+1)</f>
        <v>8424.0823115506282</v>
      </c>
      <c r="L8" s="15" cm="1">
        <f t="array" aca="1" ref="L8" ca="1">INDEX(Starlink!$D:$AC, MATCH("Total Revenue ($mm)", Starlink!$A:$A, 0), L$5+1)+INDEX('Customer Launch'!$D:$AC, MATCH("Total Revenue ($mm)", 'Customer Launch'!$A:$A, 0), L$5+1)+INDEX(ODC!$D:$AC, MATCH("Total Revenue ($mm)", ODC!$A:$A, 0), L$5+1)+IFERROR(INDEX('AI Stack'!$D:$AC, MATCH("Total Revenue ($mm)", 'AI Stack'!$A:$A, 0), L$5+1), 0)+INDEX('Lunar Mars'!$D:$AC, MATCH("Total Revenue ($mm)", 'Lunar Mars'!$A:$A, 0), L$5+1)</f>
        <v>7690.9479177682551</v>
      </c>
      <c r="M8" s="15" cm="1">
        <f t="array" aca="1" ref="M8" ca="1">INDEX(Starlink!$D:$AC, MATCH("Total Revenue ($mm)", Starlink!$A:$A, 0), M$5+1)+INDEX('Customer Launch'!$D:$AC, MATCH("Total Revenue ($mm)", 'Customer Launch'!$A:$A, 0), M$5+1)+INDEX(ODC!$D:$AC, MATCH("Total Revenue ($mm)", ODC!$A:$A, 0), M$5+1)+IFERROR(INDEX('AI Stack'!$D:$AC, MATCH("Total Revenue ($mm)", 'AI Stack'!$A:$A, 0), M$5+1), 0)+INDEX('Lunar Mars'!$D:$AC, MATCH("Total Revenue ($mm)", 'Lunar Mars'!$A:$A, 0), M$5+1)</f>
        <v>8936.9656874057873</v>
      </c>
      <c r="N8" s="15" cm="1">
        <f t="array" aca="1" ref="N8" ca="1">INDEX(Starlink!$D:$AC, MATCH("Total Revenue ($mm)", Starlink!$A:$A, 0), N$5+1)+INDEX('Customer Launch'!$D:$AC, MATCH("Total Revenue ($mm)", 'Customer Launch'!$A:$A, 0), N$5+1)+INDEX(ODC!$D:$AC, MATCH("Total Revenue ($mm)", ODC!$A:$A, 0), N$5+1)+IFERROR(INDEX('AI Stack'!$D:$AC, MATCH("Total Revenue ($mm)", 'AI Stack'!$A:$A, 0), N$5+1), 0)+INDEX('Lunar Mars'!$D:$AC, MATCH("Total Revenue ($mm)", 'Lunar Mars'!$A:$A, 0), N$5+1)</f>
        <v>7800.2453517403701</v>
      </c>
      <c r="O8" s="15" cm="1">
        <f t="array" aca="1" ref="O8" ca="1">INDEX(Starlink!$D:$AC, MATCH("Total Revenue ($mm)", Starlink!$A:$A, 0), O$5+1)+INDEX('Customer Launch'!$D:$AC, MATCH("Total Revenue ($mm)", 'Customer Launch'!$A:$A, 0), O$5+1)+INDEX(ODC!$D:$AC, MATCH("Total Revenue ($mm)", ODC!$A:$A, 0), O$5+1)+IFERROR(INDEX('AI Stack'!$D:$AC, MATCH("Total Revenue ($mm)", 'AI Stack'!$A:$A, 0), O$5+1), 0)+INDEX('Lunar Mars'!$D:$AC, MATCH("Total Revenue ($mm)", 'Lunar Mars'!$A:$A, 0), O$5+1)</f>
        <v>7654.7401438142697</v>
      </c>
      <c r="P8" s="15" cm="1">
        <f t="array" aca="1" ref="P8" ca="1">INDEX(Starlink!$D:$AC, MATCH("Total Revenue ($mm)", Starlink!$A:$A, 0), P$5+1)+INDEX('Customer Launch'!$D:$AC, MATCH("Total Revenue ($mm)", 'Customer Launch'!$A:$A, 0), P$5+1)+INDEX(ODC!$D:$AC, MATCH("Total Revenue ($mm)", ODC!$A:$A, 0), P$5+1)+IFERROR(INDEX('AI Stack'!$D:$AC, MATCH("Total Revenue ($mm)", 'AI Stack'!$A:$A, 0), P$5+1), 0)+INDEX('Lunar Mars'!$D:$AC, MATCH("Total Revenue ($mm)", 'Lunar Mars'!$A:$A, 0), P$5+1)</f>
        <v>9898.2419447553038</v>
      </c>
      <c r="Q8" s="15" cm="1">
        <f t="array" aca="1" ref="Q8" ca="1">INDEX(Starlink!$D:$AC, MATCH("Total Revenue ($mm)", Starlink!$A:$A, 0), Q$5+1)+INDEX('Customer Launch'!$D:$AC, MATCH("Total Revenue ($mm)", 'Customer Launch'!$A:$A, 0), Q$5+1)+INDEX(ODC!$D:$AC, MATCH("Total Revenue ($mm)", ODC!$A:$A, 0), Q$5+1)+IFERROR(INDEX('AI Stack'!$D:$AC, MATCH("Total Revenue ($mm)", 'AI Stack'!$A:$A, 0), Q$5+1), 0)+INDEX('Lunar Mars'!$D:$AC, MATCH("Total Revenue ($mm)", 'Lunar Mars'!$A:$A, 0), Q$5+1)</f>
        <v>8006.5543097254895</v>
      </c>
      <c r="R8" s="15" cm="1">
        <f t="array" aca="1" ref="R8" ca="1">INDEX(Starlink!$D:$AC, MATCH("Total Revenue ($mm)", Starlink!$A:$A, 0), R$5+1)+INDEX('Customer Launch'!$D:$AC, MATCH("Total Revenue ($mm)", 'Customer Launch'!$A:$A, 0), R$5+1)+INDEX(ODC!$D:$AC, MATCH("Total Revenue ($mm)", ODC!$A:$A, 0), R$5+1)+IFERROR(INDEX('AI Stack'!$D:$AC, MATCH("Total Revenue ($mm)", 'AI Stack'!$A:$A, 0), R$5+1), 0)+INDEX('Lunar Mars'!$D:$AC, MATCH("Total Revenue ($mm)", 'Lunar Mars'!$A:$A, 0), R$5+1)</f>
        <v>10392.001176685106</v>
      </c>
      <c r="S8" s="15" cm="1">
        <f t="array" aca="1" ref="S8" ca="1">INDEX(Starlink!$D:$AC, MATCH("Total Revenue ($mm)", Starlink!$A:$A, 0), S$5+1)+INDEX('Customer Launch'!$D:$AC, MATCH("Total Revenue ($mm)", 'Customer Launch'!$A:$A, 0), S$5+1)+INDEX(ODC!$D:$AC, MATCH("Total Revenue ($mm)", ODC!$A:$A, 0), S$5+1)+IFERROR(INDEX('AI Stack'!$D:$AC, MATCH("Total Revenue ($mm)", 'AI Stack'!$A:$A, 0), S$5+1), 0)+INDEX('Lunar Mars'!$D:$AC, MATCH("Total Revenue ($mm)", 'Lunar Mars'!$A:$A, 0), S$5+1)</f>
        <v>8667.3649856770717</v>
      </c>
      <c r="T8" s="15" cm="1">
        <f t="array" aca="1" ref="T8" ca="1">INDEX(Starlink!$D:$AC, MATCH("Total Revenue ($mm)", Starlink!$A:$A, 0), T$5+1)+INDEX('Customer Launch'!$D:$AC, MATCH("Total Revenue ($mm)", 'Customer Launch'!$A:$A, 0), T$5+1)+INDEX(ODC!$D:$AC, MATCH("Total Revenue ($mm)", ODC!$A:$A, 0), T$5+1)+IFERROR(INDEX('AI Stack'!$D:$AC, MATCH("Total Revenue ($mm)", 'AI Stack'!$A:$A, 0), T$5+1), 0)+INDEX('Lunar Mars'!$D:$AC, MATCH("Total Revenue ($mm)", 'Lunar Mars'!$A:$A, 0), T$5+1)</f>
        <v>9032.7392676528561</v>
      </c>
      <c r="U8" s="15" cm="1">
        <f t="array" aca="1" ref="U8" ca="1">INDEX(Starlink!$D:$AC, MATCH("Total Revenue ($mm)", Starlink!$A:$A, 0), U$5+1)+INDEX('Customer Launch'!$D:$AC, MATCH("Total Revenue ($mm)", 'Customer Launch'!$A:$A, 0), U$5+1)+INDEX(ODC!$D:$AC, MATCH("Total Revenue ($mm)", ODC!$A:$A, 0), U$5+1)+IFERROR(INDEX('AI Stack'!$D:$AC, MATCH("Total Revenue ($mm)", 'AI Stack'!$A:$A, 0), U$5+1), 0)+INDEX('Lunar Mars'!$D:$AC, MATCH("Total Revenue ($mm)", 'Lunar Mars'!$A:$A, 0), U$5+1)</f>
        <v>11962.459835675038</v>
      </c>
      <c r="V8" s="15" cm="1">
        <f t="array" aca="1" ref="V8" ca="1">INDEX(Starlink!$D:$AC, MATCH("Total Revenue ($mm)", Starlink!$A:$A, 0), V$5+1)+INDEX('Customer Launch'!$D:$AC, MATCH("Total Revenue ($mm)", 'Customer Launch'!$A:$A, 0), V$5+1)+INDEX(ODC!$D:$AC, MATCH("Total Revenue ($mm)", ODC!$A:$A, 0), V$5+1)+IFERROR(INDEX('AI Stack'!$D:$AC, MATCH("Total Revenue ($mm)", 'AI Stack'!$A:$A, 0), V$5+1), 0)+INDEX('Lunar Mars'!$D:$AC, MATCH("Total Revenue ($mm)", 'Lunar Mars'!$A:$A, 0), V$5+1)</f>
        <v>9839.9437936860431</v>
      </c>
      <c r="W8" s="15" cm="1">
        <f t="array" aca="1" ref="W8" ca="1">INDEX(Starlink!$D:$AC, MATCH("Total Revenue ($mm)", Starlink!$A:$A, 0), W$5+1)+INDEX('Customer Launch'!$D:$AC, MATCH("Total Revenue ($mm)", 'Customer Launch'!$A:$A, 0), W$5+1)+INDEX(ODC!$D:$AC, MATCH("Total Revenue ($mm)", ODC!$A:$A, 0), W$5+1)+IFERROR(INDEX('AI Stack'!$D:$AC, MATCH("Total Revenue ($mm)", 'AI Stack'!$A:$A, 0), W$5+1), 0)+INDEX('Lunar Mars'!$D:$AC, MATCH("Total Revenue ($mm)", 'Lunar Mars'!$A:$A, 0), W$5+1)</f>
        <v>12140.847786438513</v>
      </c>
      <c r="X8" s="15" cm="1">
        <f t="array" aca="1" ref="X8" ca="1">INDEX(Starlink!$D:$AC, MATCH("Total Revenue ($mm)", Starlink!$A:$A, 0), X$5+1)+INDEX('Customer Launch'!$D:$AC, MATCH("Total Revenue ($mm)", 'Customer Launch'!$A:$A, 0), X$5+1)+INDEX(ODC!$D:$AC, MATCH("Total Revenue ($mm)", ODC!$A:$A, 0), X$5+1)+IFERROR(INDEX('AI Stack'!$D:$AC, MATCH("Total Revenue ($mm)", 'AI Stack'!$A:$A, 0), X$5+1), 0)+INDEX('Lunar Mars'!$D:$AC, MATCH("Total Revenue ($mm)", 'Lunar Mars'!$A:$A, 0), X$5+1)</f>
        <v>12352.930358734944</v>
      </c>
      <c r="Y8" s="15" cm="1">
        <f t="array" aca="1" ref="Y8" ca="1">INDEX(Starlink!$D:$AC, MATCH("Total Revenue ($mm)", Starlink!$A:$A, 0), Y$5+1)+INDEX('Customer Launch'!$D:$AC, MATCH("Total Revenue ($mm)", 'Customer Launch'!$A:$A, 0), Y$5+1)+INDEX(ODC!$D:$AC, MATCH("Total Revenue ($mm)", ODC!$A:$A, 0), Y$5+1)+IFERROR(INDEX('AI Stack'!$D:$AC, MATCH("Total Revenue ($mm)", 'AI Stack'!$A:$A, 0), Y$5+1), 0)+INDEX('Lunar Mars'!$D:$AC, MATCH("Total Revenue ($mm)", 'Lunar Mars'!$A:$A, 0), Y$5+1)</f>
        <v>11240.152870379648</v>
      </c>
      <c r="Z8" s="15" cm="1">
        <f t="array" aca="1" ref="Z8" ca="1">INDEX(Starlink!$D:$AC, MATCH("Total Revenue ($mm)", Starlink!$A:$A, 0), Z$5+1)+INDEX('Customer Launch'!$D:$AC, MATCH("Total Revenue ($mm)", 'Customer Launch'!$A:$A, 0), Z$5+1)+INDEX(ODC!$D:$AC, MATCH("Total Revenue ($mm)", ODC!$A:$A, 0), Z$5+1)+IFERROR(INDEX('AI Stack'!$D:$AC, MATCH("Total Revenue ($mm)", 'AI Stack'!$A:$A, 0), Z$5+1), 0)+INDEX('Lunar Mars'!$D:$AC, MATCH("Total Revenue ($mm)", 'Lunar Mars'!$A:$A, 0), Z$5+1)</f>
        <v>14645.563994239907</v>
      </c>
      <c r="AA8" s="15" cm="1">
        <f t="array" aca="1" ref="AA8" ca="1">INDEX(Starlink!$D:$AC, MATCH("Total Revenue ($mm)", Starlink!$A:$A, 0), AA$5+1)+INDEX('Customer Launch'!$D:$AC, MATCH("Total Revenue ($mm)", 'Customer Launch'!$A:$A, 0), AA$5+1)+INDEX(ODC!$D:$AC, MATCH("Total Revenue ($mm)", ODC!$A:$A, 0), AA$5+1)+IFERROR(INDEX('AI Stack'!$D:$AC, MATCH("Total Revenue ($mm)", 'AI Stack'!$A:$A, 0), AA$5+1), 0)+INDEX('Lunar Mars'!$D:$AC, MATCH("Total Revenue ($mm)", 'Lunar Mars'!$A:$A, 0), AA$5+1)</f>
        <v>12301.005196048776</v>
      </c>
      <c r="AB8" s="15" cm="1">
        <f t="array" aca="1" ref="AB8" ca="1">INDEX(Starlink!$D:$AC, MATCH("Total Revenue ($mm)", Starlink!$A:$A, 0), AB$5+1)+INDEX('Customer Launch'!$D:$AC, MATCH("Total Revenue ($mm)", 'Customer Launch'!$A:$A, 0), AB$5+1)+INDEX(ODC!$D:$AC, MATCH("Total Revenue ($mm)", ODC!$A:$A, 0), AB$5+1)+IFERROR(INDEX('AI Stack'!$D:$AC, MATCH("Total Revenue ($mm)", 'AI Stack'!$A:$A, 0), AB$5+1), 0)+INDEX('Lunar Mars'!$D:$AC, MATCH("Total Revenue ($mm)", 'Lunar Mars'!$A:$A, 0), AB$5+1)</f>
        <v>14136.733380527949</v>
      </c>
      <c r="AC8" s="15" cm="1">
        <f t="array" aca="1" ref="AC8" ca="1">INDEX(Starlink!$D:$AC, MATCH("Total Revenue ($mm)", Starlink!$A:$A, 0), AC$5+1)+INDEX('Customer Launch'!$D:$AC, MATCH("Total Revenue ($mm)", 'Customer Launch'!$A:$A, 0), AC$5+1)+INDEX(ODC!$D:$AC, MATCH("Total Revenue ($mm)", ODC!$A:$A, 0), AC$5+1)+IFERROR(INDEX('AI Stack'!$D:$AC, MATCH("Total Revenue ($mm)", 'AI Stack'!$A:$A, 0), AC$5+1), 0)+INDEX('Lunar Mars'!$D:$AC, MATCH("Total Revenue ($mm)", 'Lunar Mars'!$A:$A, 0), AC$5+1)</f>
        <v>16532.454821727057</v>
      </c>
    </row>
    <row r="10" spans="1:56" x14ac:dyDescent="0.2">
      <c r="A10" s="1" t="s">
        <v>1345</v>
      </c>
      <c r="C10" t="s">
        <v>1346</v>
      </c>
      <c r="D10" s="27">
        <f ca="1">D8-D42-D43-D44</f>
        <v>13855.06033033162</v>
      </c>
      <c r="E10" s="27">
        <f t="shared" ref="E10:AC10" ca="1" si="0">E8-E42-E43-E44</f>
        <v>12000.958526016657</v>
      </c>
      <c r="F10" s="27">
        <f t="shared" ca="1" si="0"/>
        <v>10605.811608617692</v>
      </c>
      <c r="G10" s="27">
        <f t="shared" ca="1" si="0"/>
        <v>9336.4732081369766</v>
      </c>
      <c r="H10" s="27">
        <f t="shared" ca="1" si="0"/>
        <v>8089.3703245101842</v>
      </c>
      <c r="I10" s="27">
        <f t="shared" ca="1" si="0"/>
        <v>8162.7852164131173</v>
      </c>
      <c r="J10" s="27">
        <f t="shared" ca="1" si="0"/>
        <v>8145.4298107552941</v>
      </c>
      <c r="K10" s="27">
        <f t="shared" ca="1" si="0"/>
        <v>8424.0823115506282</v>
      </c>
      <c r="L10" s="27">
        <f t="shared" ca="1" si="0"/>
        <v>7690.9479177682551</v>
      </c>
      <c r="M10" s="27">
        <f t="shared" ca="1" si="0"/>
        <v>8936.9656874057873</v>
      </c>
      <c r="N10" s="27">
        <f t="shared" ca="1" si="0"/>
        <v>7800.2453517403701</v>
      </c>
      <c r="O10" s="27">
        <f t="shared" ca="1" si="0"/>
        <v>7654.7401438142697</v>
      </c>
      <c r="P10" s="27">
        <f t="shared" ca="1" si="0"/>
        <v>9898.2419447553038</v>
      </c>
      <c r="Q10" s="27">
        <f t="shared" ca="1" si="0"/>
        <v>8006.5543097254895</v>
      </c>
      <c r="R10" s="27">
        <f t="shared" ca="1" si="0"/>
        <v>10392.001176685106</v>
      </c>
      <c r="S10" s="27">
        <f t="shared" ca="1" si="0"/>
        <v>8667.3649856770717</v>
      </c>
      <c r="T10" s="27">
        <f t="shared" ca="1" si="0"/>
        <v>9032.7392676528561</v>
      </c>
      <c r="U10" s="27">
        <f t="shared" ca="1" si="0"/>
        <v>11962.459835675038</v>
      </c>
      <c r="V10" s="27">
        <f t="shared" ca="1" si="0"/>
        <v>9839.9437936860431</v>
      </c>
      <c r="W10" s="27">
        <f t="shared" ca="1" si="0"/>
        <v>12140.847786438513</v>
      </c>
      <c r="X10" s="27">
        <f t="shared" ca="1" si="0"/>
        <v>12352.930358734944</v>
      </c>
      <c r="Y10" s="27">
        <f t="shared" ca="1" si="0"/>
        <v>11240.152870379648</v>
      </c>
      <c r="Z10" s="27">
        <f t="shared" ca="1" si="0"/>
        <v>14645.563994239907</v>
      </c>
      <c r="AA10" s="27">
        <f t="shared" ca="1" si="0"/>
        <v>12301.005196048776</v>
      </c>
      <c r="AB10" s="27">
        <f t="shared" ca="1" si="0"/>
        <v>14136.733380527949</v>
      </c>
      <c r="AC10" s="27">
        <f t="shared" ca="1" si="0"/>
        <v>16532.454821727057</v>
      </c>
    </row>
    <row r="12" spans="1:56" x14ac:dyDescent="0.2">
      <c r="A12" s="61" t="s">
        <v>1347</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row>
    <row r="13" spans="1:56" x14ac:dyDescent="0.2">
      <c r="A13" t="s">
        <v>1348</v>
      </c>
      <c r="C13" t="s">
        <v>1349</v>
      </c>
      <c r="D13" s="15" cm="1">
        <f t="array" aca="1" ref="D13" ca="1">(INDEX(Starlink!$D:$AC, MATCH("Total Revenue ($mm)", Starlink!$A:$A, 0), D$5+1)-INDEX(Starlink!$D:$AC, MATCH("Module EBITDA ($mm)", Starlink!$A:$A, 0), D$5+1))+(INDEX('Customer Launch'!$D:$AC, MATCH("Total Revenue ($mm)", 'Customer Launch'!$A:$A, 0), D$5+1)-INDEX('Customer Launch'!$D:$AC, MATCH("Module EBITDA ($mm)", 'Customer Launch'!$A:$A, 0), D$5+1))+(INDEX(ODC!$D:$AC, MATCH("Total Revenue ($mm)", ODC!$A:$A, 0), D$5+1)-INDEX(ODC!$D:$AC, MATCH("Module EBITDA ($mm)", ODC!$A:$A, 0), D$5+1))+(IFERROR(INDEX('AI Stack'!$D:$AC, MATCH("Total Revenue ($mm)", 'AI Stack'!$A:$A, 0), D$5+1), 0)-IFERROR(INDEX('AI Stack'!$D:$AC, MATCH("Module EBITDA ($mm)", 'AI Stack'!$A:$A, 0), D$5+1), 0))+(INDEX('Lunar Mars'!$D:$AC, MATCH("Total Revenue ($mm)", 'Lunar Mars'!$A:$A, 0), D$5+1)-INDEX('Lunar Mars'!$D:$AC, MATCH("Module EBITDA ($mm)", 'Lunar Mars'!$A:$A, 0), D$5+1))</f>
        <v>7477.5212734022116</v>
      </c>
      <c r="E13" s="15" cm="1">
        <f t="array" aca="1" ref="E13" ca="1">(INDEX(Starlink!$D:$AC, MATCH("Total Revenue ($mm)", Starlink!$A:$A, 0), E$5+1)-INDEX(Starlink!$D:$AC, MATCH("Module EBITDA ($mm)", Starlink!$A:$A, 0), E$5+1))+(INDEX('Customer Launch'!$D:$AC, MATCH("Total Revenue ($mm)", 'Customer Launch'!$A:$A, 0), E$5+1)-INDEX('Customer Launch'!$D:$AC, MATCH("Module EBITDA ($mm)", 'Customer Launch'!$A:$A, 0), E$5+1))+(INDEX(ODC!$D:$AC, MATCH("Total Revenue ($mm)", ODC!$A:$A, 0), E$5+1)-INDEX(ODC!$D:$AC, MATCH("Module EBITDA ($mm)", ODC!$A:$A, 0), E$5+1))+(IFERROR(INDEX('AI Stack'!$D:$AC, MATCH("Total Revenue ($mm)", 'AI Stack'!$A:$A, 0), E$5+1), 0)-IFERROR(INDEX('AI Stack'!$D:$AC, MATCH("Module EBITDA ($mm)", 'AI Stack'!$A:$A, 0), E$5+1), 0))+(INDEX('Lunar Mars'!$D:$AC, MATCH("Total Revenue ($mm)", 'Lunar Mars'!$A:$A, 0), E$5+1)-INDEX('Lunar Mars'!$D:$AC, MATCH("Module EBITDA ($mm)", 'Lunar Mars'!$A:$A, 0), E$5+1))</f>
        <v>2186.0508330411658</v>
      </c>
      <c r="F13" s="15" cm="1">
        <f t="array" aca="1" ref="F13" ca="1">(INDEX(Starlink!$D:$AC, MATCH("Total Revenue ($mm)", Starlink!$A:$A, 0), F$5+1)-INDEX(Starlink!$D:$AC, MATCH("Module EBITDA ($mm)", Starlink!$A:$A, 0), F$5+1))+(INDEX('Customer Launch'!$D:$AC, MATCH("Total Revenue ($mm)", 'Customer Launch'!$A:$A, 0), F$5+1)-INDEX('Customer Launch'!$D:$AC, MATCH("Module EBITDA ($mm)", 'Customer Launch'!$A:$A, 0), F$5+1))+(INDEX(ODC!$D:$AC, MATCH("Total Revenue ($mm)", ODC!$A:$A, 0), F$5+1)-INDEX(ODC!$D:$AC, MATCH("Module EBITDA ($mm)", ODC!$A:$A, 0), F$5+1))+(IFERROR(INDEX('AI Stack'!$D:$AC, MATCH("Total Revenue ($mm)", 'AI Stack'!$A:$A, 0), F$5+1), 0)-IFERROR(INDEX('AI Stack'!$D:$AC, MATCH("Module EBITDA ($mm)", 'AI Stack'!$A:$A, 0), F$5+1), 0))+(INDEX('Lunar Mars'!$D:$AC, MATCH("Total Revenue ($mm)", 'Lunar Mars'!$A:$A, 0), F$5+1)-INDEX('Lunar Mars'!$D:$AC, MATCH("Module EBITDA ($mm)", 'Lunar Mars'!$A:$A, 0), F$5+1))</f>
        <v>2001.1440266358727</v>
      </c>
      <c r="G13" s="15" cm="1">
        <f t="array" aca="1" ref="G13" ca="1">(INDEX(Starlink!$D:$AC, MATCH("Total Revenue ($mm)", Starlink!$A:$A, 0), G$5+1)-INDEX(Starlink!$D:$AC, MATCH("Module EBITDA ($mm)", Starlink!$A:$A, 0), G$5+1))+(INDEX('Customer Launch'!$D:$AC, MATCH("Total Revenue ($mm)", 'Customer Launch'!$A:$A, 0), G$5+1)-INDEX('Customer Launch'!$D:$AC, MATCH("Module EBITDA ($mm)", 'Customer Launch'!$A:$A, 0), G$5+1))+(INDEX(ODC!$D:$AC, MATCH("Total Revenue ($mm)", ODC!$A:$A, 0), G$5+1)-INDEX(ODC!$D:$AC, MATCH("Module EBITDA ($mm)", ODC!$A:$A, 0), G$5+1))+(IFERROR(INDEX('AI Stack'!$D:$AC, MATCH("Total Revenue ($mm)", 'AI Stack'!$A:$A, 0), G$5+1), 0)-IFERROR(INDEX('AI Stack'!$D:$AC, MATCH("Module EBITDA ($mm)", 'AI Stack'!$A:$A, 0), G$5+1), 0))+(INDEX('Lunar Mars'!$D:$AC, MATCH("Total Revenue ($mm)", 'Lunar Mars'!$A:$A, 0), G$5+1)-INDEX('Lunar Mars'!$D:$AC, MATCH("Module EBITDA ($mm)", 'Lunar Mars'!$A:$A, 0), G$5+1))</f>
        <v>1869.8609138524926</v>
      </c>
      <c r="H13" s="15" cm="1">
        <f t="array" aca="1" ref="H13" ca="1">(INDEX(Starlink!$D:$AC, MATCH("Total Revenue ($mm)", Starlink!$A:$A, 0), H$5+1)-INDEX(Starlink!$D:$AC, MATCH("Module EBITDA ($mm)", Starlink!$A:$A, 0), H$5+1))+(INDEX('Customer Launch'!$D:$AC, MATCH("Total Revenue ($mm)", 'Customer Launch'!$A:$A, 0), H$5+1)-INDEX('Customer Launch'!$D:$AC, MATCH("Module EBITDA ($mm)", 'Customer Launch'!$A:$A, 0), H$5+1))+(INDEX(ODC!$D:$AC, MATCH("Total Revenue ($mm)", ODC!$A:$A, 0), H$5+1)-INDEX(ODC!$D:$AC, MATCH("Module EBITDA ($mm)", ODC!$A:$A, 0), H$5+1))+(IFERROR(INDEX('AI Stack'!$D:$AC, MATCH("Total Revenue ($mm)", 'AI Stack'!$A:$A, 0), H$5+1), 0)-IFERROR(INDEX('AI Stack'!$D:$AC, MATCH("Module EBITDA ($mm)", 'AI Stack'!$A:$A, 0), H$5+1), 0))+(INDEX('Lunar Mars'!$D:$AC, MATCH("Total Revenue ($mm)", 'Lunar Mars'!$A:$A, 0), H$5+1)-INDEX('Lunar Mars'!$D:$AC, MATCH("Module EBITDA ($mm)", 'Lunar Mars'!$A:$A, 0), H$5+1))</f>
        <v>1801.2904811376634</v>
      </c>
      <c r="I13" s="15" cm="1">
        <f t="array" aca="1" ref="I13" ca="1">(INDEX(Starlink!$D:$AC, MATCH("Total Revenue ($mm)", Starlink!$A:$A, 0), I$5+1)-INDEX(Starlink!$D:$AC, MATCH("Module EBITDA ($mm)", Starlink!$A:$A, 0), I$5+1))+(INDEX('Customer Launch'!$D:$AC, MATCH("Total Revenue ($mm)", 'Customer Launch'!$A:$A, 0), I$5+1)-INDEX('Customer Launch'!$D:$AC, MATCH("Module EBITDA ($mm)", 'Customer Launch'!$A:$A, 0), I$5+1))+(INDEX(ODC!$D:$AC, MATCH("Total Revenue ($mm)", ODC!$A:$A, 0), I$5+1)-INDEX(ODC!$D:$AC, MATCH("Module EBITDA ($mm)", ODC!$A:$A, 0), I$5+1))+(IFERROR(INDEX('AI Stack'!$D:$AC, MATCH("Total Revenue ($mm)", 'AI Stack'!$A:$A, 0), I$5+1), 0)-IFERROR(INDEX('AI Stack'!$D:$AC, MATCH("Module EBITDA ($mm)", 'AI Stack'!$A:$A, 0), I$5+1), 0))+(INDEX('Lunar Mars'!$D:$AC, MATCH("Total Revenue ($mm)", 'Lunar Mars'!$A:$A, 0), I$5+1)-INDEX('Lunar Mars'!$D:$AC, MATCH("Module EBITDA ($mm)", 'Lunar Mars'!$A:$A, 0), I$5+1))</f>
        <v>2169.4287180951205</v>
      </c>
      <c r="J13" s="15" cm="1">
        <f t="array" aca="1" ref="J13" ca="1">(INDEX(Starlink!$D:$AC, MATCH("Total Revenue ($mm)", Starlink!$A:$A, 0), J$5+1)-INDEX(Starlink!$D:$AC, MATCH("Module EBITDA ($mm)", Starlink!$A:$A, 0), J$5+1))+(INDEX('Customer Launch'!$D:$AC, MATCH("Total Revenue ($mm)", 'Customer Launch'!$A:$A, 0), J$5+1)-INDEX('Customer Launch'!$D:$AC, MATCH("Module EBITDA ($mm)", 'Customer Launch'!$A:$A, 0), J$5+1))+(INDEX(ODC!$D:$AC, MATCH("Total Revenue ($mm)", ODC!$A:$A, 0), J$5+1)-INDEX(ODC!$D:$AC, MATCH("Module EBITDA ($mm)", ODC!$A:$A, 0), J$5+1))+(IFERROR(INDEX('AI Stack'!$D:$AC, MATCH("Total Revenue ($mm)", 'AI Stack'!$A:$A, 0), J$5+1), 0)-IFERROR(INDEX('AI Stack'!$D:$AC, MATCH("Module EBITDA ($mm)", 'AI Stack'!$A:$A, 0), J$5+1), 0))+(INDEX('Lunar Mars'!$D:$AC, MATCH("Total Revenue ($mm)", 'Lunar Mars'!$A:$A, 0), J$5+1)-INDEX('Lunar Mars'!$D:$AC, MATCH("Module EBITDA ($mm)", 'Lunar Mars'!$A:$A, 0), J$5+1))</f>
        <v>2356.4902017779341</v>
      </c>
      <c r="K13" s="15" cm="1">
        <f t="array" aca="1" ref="K13" ca="1">(INDEX(Starlink!$D:$AC, MATCH("Total Revenue ($mm)", Starlink!$A:$A, 0), K$5+1)-INDEX(Starlink!$D:$AC, MATCH("Module EBITDA ($mm)", Starlink!$A:$A, 0), K$5+1))+(INDEX('Customer Launch'!$D:$AC, MATCH("Total Revenue ($mm)", 'Customer Launch'!$A:$A, 0), K$5+1)-INDEX('Customer Launch'!$D:$AC, MATCH("Module EBITDA ($mm)", 'Customer Launch'!$A:$A, 0), K$5+1))+(INDEX(ODC!$D:$AC, MATCH("Total Revenue ($mm)", ODC!$A:$A, 0), K$5+1)-INDEX(ODC!$D:$AC, MATCH("Module EBITDA ($mm)", ODC!$A:$A, 0), K$5+1))+(IFERROR(INDEX('AI Stack'!$D:$AC, MATCH("Total Revenue ($mm)", 'AI Stack'!$A:$A, 0), K$5+1), 0)-IFERROR(INDEX('AI Stack'!$D:$AC, MATCH("Module EBITDA ($mm)", 'AI Stack'!$A:$A, 0), K$5+1), 0))+(INDEX('Lunar Mars'!$D:$AC, MATCH("Total Revenue ($mm)", 'Lunar Mars'!$A:$A, 0), K$5+1)-INDEX('Lunar Mars'!$D:$AC, MATCH("Module EBITDA ($mm)", 'Lunar Mars'!$A:$A, 0), K$5+1))</f>
        <v>2811.8219013592197</v>
      </c>
      <c r="L13" s="15" cm="1">
        <f t="array" aca="1" ref="L13" ca="1">(INDEX(Starlink!$D:$AC, MATCH("Total Revenue ($mm)", Starlink!$A:$A, 0), L$5+1)-INDEX(Starlink!$D:$AC, MATCH("Module EBITDA ($mm)", Starlink!$A:$A, 0), L$5+1))+(INDEX('Customer Launch'!$D:$AC, MATCH("Total Revenue ($mm)", 'Customer Launch'!$A:$A, 0), L$5+1)-INDEX('Customer Launch'!$D:$AC, MATCH("Module EBITDA ($mm)", 'Customer Launch'!$A:$A, 0), L$5+1))+(INDEX(ODC!$D:$AC, MATCH("Total Revenue ($mm)", ODC!$A:$A, 0), L$5+1)-INDEX(ODC!$D:$AC, MATCH("Module EBITDA ($mm)", ODC!$A:$A, 0), L$5+1))+(IFERROR(INDEX('AI Stack'!$D:$AC, MATCH("Total Revenue ($mm)", 'AI Stack'!$A:$A, 0), L$5+1), 0)-IFERROR(INDEX('AI Stack'!$D:$AC, MATCH("Module EBITDA ($mm)", 'AI Stack'!$A:$A, 0), L$5+1), 0))+(INDEX('Lunar Mars'!$D:$AC, MATCH("Total Revenue ($mm)", 'Lunar Mars'!$A:$A, 0), L$5+1)-INDEX('Lunar Mars'!$D:$AC, MATCH("Module EBITDA ($mm)", 'Lunar Mars'!$A:$A, 0), L$5+1))</f>
        <v>3181.5668113341549</v>
      </c>
      <c r="M13" s="15" cm="1">
        <f t="array" aca="1" ref="M13" ca="1">(INDEX(Starlink!$D:$AC, MATCH("Total Revenue ($mm)", Starlink!$A:$A, 0), M$5+1)-INDEX(Starlink!$D:$AC, MATCH("Module EBITDA ($mm)", Starlink!$A:$A, 0), M$5+1))+(INDEX('Customer Launch'!$D:$AC, MATCH("Total Revenue ($mm)", 'Customer Launch'!$A:$A, 0), M$5+1)-INDEX('Customer Launch'!$D:$AC, MATCH("Module EBITDA ($mm)", 'Customer Launch'!$A:$A, 0), M$5+1))+(INDEX(ODC!$D:$AC, MATCH("Total Revenue ($mm)", ODC!$A:$A, 0), M$5+1)-INDEX(ODC!$D:$AC, MATCH("Module EBITDA ($mm)", ODC!$A:$A, 0), M$5+1))+(IFERROR(INDEX('AI Stack'!$D:$AC, MATCH("Total Revenue ($mm)", 'AI Stack'!$A:$A, 0), M$5+1), 0)-IFERROR(INDEX('AI Stack'!$D:$AC, MATCH("Module EBITDA ($mm)", 'AI Stack'!$A:$A, 0), M$5+1), 0))+(INDEX('Lunar Mars'!$D:$AC, MATCH("Total Revenue ($mm)", 'Lunar Mars'!$A:$A, 0), M$5+1)-INDEX('Lunar Mars'!$D:$AC, MATCH("Module EBITDA ($mm)", 'Lunar Mars'!$A:$A, 0), M$5+1))</f>
        <v>3959.8821612318848</v>
      </c>
      <c r="N13" s="15" cm="1">
        <f t="array" aca="1" ref="N13" ca="1">(INDEX(Starlink!$D:$AC, MATCH("Total Revenue ($mm)", Starlink!$A:$A, 0), N$5+1)-INDEX(Starlink!$D:$AC, MATCH("Module EBITDA ($mm)", Starlink!$A:$A, 0), N$5+1))+(INDEX('Customer Launch'!$D:$AC, MATCH("Total Revenue ($mm)", 'Customer Launch'!$A:$A, 0), N$5+1)-INDEX('Customer Launch'!$D:$AC, MATCH("Module EBITDA ($mm)", 'Customer Launch'!$A:$A, 0), N$5+1))+(INDEX(ODC!$D:$AC, MATCH("Total Revenue ($mm)", ODC!$A:$A, 0), N$5+1)-INDEX(ODC!$D:$AC, MATCH("Module EBITDA ($mm)", ODC!$A:$A, 0), N$5+1))+(IFERROR(INDEX('AI Stack'!$D:$AC, MATCH("Total Revenue ($mm)", 'AI Stack'!$A:$A, 0), N$5+1), 0)-IFERROR(INDEX('AI Stack'!$D:$AC, MATCH("Module EBITDA ($mm)", 'AI Stack'!$A:$A, 0), N$5+1), 0))+(INDEX('Lunar Mars'!$D:$AC, MATCH("Total Revenue ($mm)", 'Lunar Mars'!$A:$A, 0), N$5+1)-INDEX('Lunar Mars'!$D:$AC, MATCH("Module EBITDA ($mm)", 'Lunar Mars'!$A:$A, 0), N$5+1))</f>
        <v>4275.2566707768665</v>
      </c>
      <c r="O13" s="15" cm="1">
        <f t="array" aca="1" ref="O13" ca="1">(INDEX(Starlink!$D:$AC, MATCH("Total Revenue ($mm)", Starlink!$A:$A, 0), O$5+1)-INDEX(Starlink!$D:$AC, MATCH("Module EBITDA ($mm)", Starlink!$A:$A, 0), O$5+1))+(INDEX('Customer Launch'!$D:$AC, MATCH("Total Revenue ($mm)", 'Customer Launch'!$A:$A, 0), O$5+1)-INDEX('Customer Launch'!$D:$AC, MATCH("Module EBITDA ($mm)", 'Customer Launch'!$A:$A, 0), O$5+1))+(INDEX(ODC!$D:$AC, MATCH("Total Revenue ($mm)", ODC!$A:$A, 0), O$5+1)-INDEX(ODC!$D:$AC, MATCH("Module EBITDA ($mm)", ODC!$A:$A, 0), O$5+1))+(IFERROR(INDEX('AI Stack'!$D:$AC, MATCH("Total Revenue ($mm)", 'AI Stack'!$A:$A, 0), O$5+1), 0)-IFERROR(INDEX('AI Stack'!$D:$AC, MATCH("Module EBITDA ($mm)", 'AI Stack'!$A:$A, 0), O$5+1), 0))+(INDEX('Lunar Mars'!$D:$AC, MATCH("Total Revenue ($mm)", 'Lunar Mars'!$A:$A, 0), O$5+1)-INDEX('Lunar Mars'!$D:$AC, MATCH("Module EBITDA ($mm)", 'Lunar Mars'!$A:$A, 0), O$5+1))</f>
        <v>4814.2157823286789</v>
      </c>
      <c r="P13" s="15" cm="1">
        <f t="array" aca="1" ref="P13" ca="1">(INDEX(Starlink!$D:$AC, MATCH("Total Revenue ($mm)", Starlink!$A:$A, 0), P$5+1)-INDEX(Starlink!$D:$AC, MATCH("Module EBITDA ($mm)", Starlink!$A:$A, 0), P$5+1))+(INDEX('Customer Launch'!$D:$AC, MATCH("Total Revenue ($mm)", 'Customer Launch'!$A:$A, 0), P$5+1)-INDEX('Customer Launch'!$D:$AC, MATCH("Module EBITDA ($mm)", 'Customer Launch'!$A:$A, 0), P$5+1))+(INDEX(ODC!$D:$AC, MATCH("Total Revenue ($mm)", ODC!$A:$A, 0), P$5+1)-INDEX(ODC!$D:$AC, MATCH("Module EBITDA ($mm)", ODC!$A:$A, 0), P$5+1))+(IFERROR(INDEX('AI Stack'!$D:$AC, MATCH("Total Revenue ($mm)", 'AI Stack'!$A:$A, 0), P$5+1), 0)-IFERROR(INDEX('AI Stack'!$D:$AC, MATCH("Module EBITDA ($mm)", 'AI Stack'!$A:$A, 0), P$5+1), 0))+(INDEX('Lunar Mars'!$D:$AC, MATCH("Total Revenue ($mm)", 'Lunar Mars'!$A:$A, 0), P$5+1)-INDEX('Lunar Mars'!$D:$AC, MATCH("Module EBITDA ($mm)", 'Lunar Mars'!$A:$A, 0), P$5+1))</f>
        <v>5922.04485707407</v>
      </c>
      <c r="Q13" s="15" cm="1">
        <f t="array" aca="1" ref="Q13" ca="1">(INDEX(Starlink!$D:$AC, MATCH("Total Revenue ($mm)", Starlink!$A:$A, 0), Q$5+1)-INDEX(Starlink!$D:$AC, MATCH("Module EBITDA ($mm)", Starlink!$A:$A, 0), Q$5+1))+(INDEX('Customer Launch'!$D:$AC, MATCH("Total Revenue ($mm)", 'Customer Launch'!$A:$A, 0), Q$5+1)-INDEX('Customer Launch'!$D:$AC, MATCH("Module EBITDA ($mm)", 'Customer Launch'!$A:$A, 0), Q$5+1))+(INDEX(ODC!$D:$AC, MATCH("Total Revenue ($mm)", ODC!$A:$A, 0), Q$5+1)-INDEX(ODC!$D:$AC, MATCH("Module EBITDA ($mm)", ODC!$A:$A, 0), Q$5+1))+(IFERROR(INDEX('AI Stack'!$D:$AC, MATCH("Total Revenue ($mm)", 'AI Stack'!$A:$A, 0), Q$5+1), 0)-IFERROR(INDEX('AI Stack'!$D:$AC, MATCH("Module EBITDA ($mm)", 'AI Stack'!$A:$A, 0), Q$5+1), 0))+(INDEX('Lunar Mars'!$D:$AC, MATCH("Total Revenue ($mm)", 'Lunar Mars'!$A:$A, 0), Q$5+1)-INDEX('Lunar Mars'!$D:$AC, MATCH("Module EBITDA ($mm)", 'Lunar Mars'!$A:$A, 0), Q$5+1))</f>
        <v>6140.6647439510398</v>
      </c>
      <c r="R13" s="15" cm="1">
        <f t="array" aca="1" ref="R13" ca="1">(INDEX(Starlink!$D:$AC, MATCH("Total Revenue ($mm)", Starlink!$A:$A, 0), R$5+1)-INDEX(Starlink!$D:$AC, MATCH("Module EBITDA ($mm)", Starlink!$A:$A, 0), R$5+1))+(INDEX('Customer Launch'!$D:$AC, MATCH("Total Revenue ($mm)", 'Customer Launch'!$A:$A, 0), R$5+1)-INDEX('Customer Launch'!$D:$AC, MATCH("Module EBITDA ($mm)", 'Customer Launch'!$A:$A, 0), R$5+1))+(INDEX(ODC!$D:$AC, MATCH("Total Revenue ($mm)", ODC!$A:$A, 0), R$5+1)-INDEX(ODC!$D:$AC, MATCH("Module EBITDA ($mm)", ODC!$A:$A, 0), R$5+1))+(IFERROR(INDEX('AI Stack'!$D:$AC, MATCH("Total Revenue ($mm)", 'AI Stack'!$A:$A, 0), R$5+1), 0)-IFERROR(INDEX('AI Stack'!$D:$AC, MATCH("Module EBITDA ($mm)", 'AI Stack'!$A:$A, 0), R$5+1), 0))+(INDEX('Lunar Mars'!$D:$AC, MATCH("Total Revenue ($mm)", 'Lunar Mars'!$A:$A, 0), R$5+1)-INDEX('Lunar Mars'!$D:$AC, MATCH("Module EBITDA ($mm)", 'Lunar Mars'!$A:$A, 0), R$5+1))</f>
        <v>7369.6535580580403</v>
      </c>
      <c r="S13" s="15" cm="1">
        <f t="array" aca="1" ref="S13" ca="1">(INDEX(Starlink!$D:$AC, MATCH("Total Revenue ($mm)", Starlink!$A:$A, 0), S$5+1)-INDEX(Starlink!$D:$AC, MATCH("Module EBITDA ($mm)", Starlink!$A:$A, 0), S$5+1))+(INDEX('Customer Launch'!$D:$AC, MATCH("Total Revenue ($mm)", 'Customer Launch'!$A:$A, 0), S$5+1)-INDEX('Customer Launch'!$D:$AC, MATCH("Module EBITDA ($mm)", 'Customer Launch'!$A:$A, 0), S$5+1))+(INDEX(ODC!$D:$AC, MATCH("Total Revenue ($mm)", ODC!$A:$A, 0), S$5+1)-INDEX(ODC!$D:$AC, MATCH("Module EBITDA ($mm)", ODC!$A:$A, 0), S$5+1))+(IFERROR(INDEX('AI Stack'!$D:$AC, MATCH("Total Revenue ($mm)", 'AI Stack'!$A:$A, 0), S$5+1), 0)-IFERROR(INDEX('AI Stack'!$D:$AC, MATCH("Module EBITDA ($mm)", 'AI Stack'!$A:$A, 0), S$5+1), 0))+(INDEX('Lunar Mars'!$D:$AC, MATCH("Total Revenue ($mm)", 'Lunar Mars'!$A:$A, 0), S$5+1)-INDEX('Lunar Mars'!$D:$AC, MATCH("Module EBITDA ($mm)", 'Lunar Mars'!$A:$A, 0), S$5+1))</f>
        <v>7678.1361166295537</v>
      </c>
      <c r="T13" s="15" cm="1">
        <f t="array" aca="1" ref="T13" ca="1">(INDEX(Starlink!$D:$AC, MATCH("Total Revenue ($mm)", Starlink!$A:$A, 0), T$5+1)-INDEX(Starlink!$D:$AC, MATCH("Module EBITDA ($mm)", Starlink!$A:$A, 0), T$5+1))+(INDEX('Customer Launch'!$D:$AC, MATCH("Total Revenue ($mm)", 'Customer Launch'!$A:$A, 0), T$5+1)-INDEX('Customer Launch'!$D:$AC, MATCH("Module EBITDA ($mm)", 'Customer Launch'!$A:$A, 0), T$5+1))+(INDEX(ODC!$D:$AC, MATCH("Total Revenue ($mm)", ODC!$A:$A, 0), T$5+1)-INDEX(ODC!$D:$AC, MATCH("Module EBITDA ($mm)", ODC!$A:$A, 0), T$5+1))+(IFERROR(INDEX('AI Stack'!$D:$AC, MATCH("Total Revenue ($mm)", 'AI Stack'!$A:$A, 0), T$5+1), 0)-IFERROR(INDEX('AI Stack'!$D:$AC, MATCH("Module EBITDA ($mm)", 'AI Stack'!$A:$A, 0), T$5+1), 0))+(INDEX('Lunar Mars'!$D:$AC, MATCH("Total Revenue ($mm)", 'Lunar Mars'!$A:$A, 0), T$5+1)-INDEX('Lunar Mars'!$D:$AC, MATCH("Module EBITDA ($mm)", 'Lunar Mars'!$A:$A, 0), T$5+1))</f>
        <v>8515.2056073149633</v>
      </c>
      <c r="U13" s="15" cm="1">
        <f t="array" aca="1" ref="U13" ca="1">(INDEX(Starlink!$D:$AC, MATCH("Total Revenue ($mm)", Starlink!$A:$A, 0), U$5+1)-INDEX(Starlink!$D:$AC, MATCH("Module EBITDA ($mm)", Starlink!$A:$A, 0), U$5+1))+(INDEX('Customer Launch'!$D:$AC, MATCH("Total Revenue ($mm)", 'Customer Launch'!$A:$A, 0), U$5+1)-INDEX('Customer Launch'!$D:$AC, MATCH("Module EBITDA ($mm)", 'Customer Launch'!$A:$A, 0), U$5+1))+(INDEX(ODC!$D:$AC, MATCH("Total Revenue ($mm)", ODC!$A:$A, 0), U$5+1)-INDEX(ODC!$D:$AC, MATCH("Module EBITDA ($mm)", ODC!$A:$A, 0), U$5+1))+(IFERROR(INDEX('AI Stack'!$D:$AC, MATCH("Total Revenue ($mm)", 'AI Stack'!$A:$A, 0), U$5+1), 0)-IFERROR(INDEX('AI Stack'!$D:$AC, MATCH("Module EBITDA ($mm)", 'AI Stack'!$A:$A, 0), U$5+1), 0))+(INDEX('Lunar Mars'!$D:$AC, MATCH("Total Revenue ($mm)", 'Lunar Mars'!$A:$A, 0), U$5+1)-INDEX('Lunar Mars'!$D:$AC, MATCH("Module EBITDA ($mm)", 'Lunar Mars'!$A:$A, 0), U$5+1))</f>
        <v>10042.497205017406</v>
      </c>
      <c r="V13" s="15" cm="1">
        <f t="array" aca="1" ref="V13" ca="1">(INDEX(Starlink!$D:$AC, MATCH("Total Revenue ($mm)", Starlink!$A:$A, 0), V$5+1)-INDEX(Starlink!$D:$AC, MATCH("Module EBITDA ($mm)", Starlink!$A:$A, 0), V$5+1))+(INDEX('Customer Launch'!$D:$AC, MATCH("Total Revenue ($mm)", 'Customer Launch'!$A:$A, 0), V$5+1)-INDEX('Customer Launch'!$D:$AC, MATCH("Module EBITDA ($mm)", 'Customer Launch'!$A:$A, 0), V$5+1))+(INDEX(ODC!$D:$AC, MATCH("Total Revenue ($mm)", ODC!$A:$A, 0), V$5+1)-INDEX(ODC!$D:$AC, MATCH("Module EBITDA ($mm)", ODC!$A:$A, 0), V$5+1))+(IFERROR(INDEX('AI Stack'!$D:$AC, MATCH("Total Revenue ($mm)", 'AI Stack'!$A:$A, 0), V$5+1), 0)-IFERROR(INDEX('AI Stack'!$D:$AC, MATCH("Module EBITDA ($mm)", 'AI Stack'!$A:$A, 0), V$5+1), 0))+(INDEX('Lunar Mars'!$D:$AC, MATCH("Total Revenue ($mm)", 'Lunar Mars'!$A:$A, 0), V$5+1)-INDEX('Lunar Mars'!$D:$AC, MATCH("Module EBITDA ($mm)", 'Lunar Mars'!$A:$A, 0), V$5+1))</f>
        <v>10349.42956829496</v>
      </c>
      <c r="W13" s="15" cm="1">
        <f t="array" aca="1" ref="W13" ca="1">(INDEX(Starlink!$D:$AC, MATCH("Total Revenue ($mm)", Starlink!$A:$A, 0), W$5+1)-INDEX(Starlink!$D:$AC, MATCH("Module EBITDA ($mm)", Starlink!$A:$A, 0), W$5+1))+(INDEX('Customer Launch'!$D:$AC, MATCH("Total Revenue ($mm)", 'Customer Launch'!$A:$A, 0), W$5+1)-INDEX('Customer Launch'!$D:$AC, MATCH("Module EBITDA ($mm)", 'Customer Launch'!$A:$A, 0), W$5+1))+(INDEX(ODC!$D:$AC, MATCH("Total Revenue ($mm)", ODC!$A:$A, 0), W$5+1)-INDEX(ODC!$D:$AC, MATCH("Module EBITDA ($mm)", ODC!$A:$A, 0), W$5+1))+(IFERROR(INDEX('AI Stack'!$D:$AC, MATCH("Total Revenue ($mm)", 'AI Stack'!$A:$A, 0), W$5+1), 0)-IFERROR(INDEX('AI Stack'!$D:$AC, MATCH("Module EBITDA ($mm)", 'AI Stack'!$A:$A, 0), W$5+1), 0))+(INDEX('Lunar Mars'!$D:$AC, MATCH("Total Revenue ($mm)", 'Lunar Mars'!$A:$A, 0), W$5+1)-INDEX('Lunar Mars'!$D:$AC, MATCH("Module EBITDA ($mm)", 'Lunar Mars'!$A:$A, 0), W$5+1))</f>
        <v>11840.76016213585</v>
      </c>
      <c r="X13" s="15" cm="1">
        <f t="array" aca="1" ref="X13" ca="1">(INDEX(Starlink!$D:$AC, MATCH("Total Revenue ($mm)", Starlink!$A:$A, 0), X$5+1)-INDEX(Starlink!$D:$AC, MATCH("Module EBITDA ($mm)", Starlink!$A:$A, 0), X$5+1))+(INDEX('Customer Launch'!$D:$AC, MATCH("Total Revenue ($mm)", 'Customer Launch'!$A:$A, 0), X$5+1)-INDEX('Customer Launch'!$D:$AC, MATCH("Module EBITDA ($mm)", 'Customer Launch'!$A:$A, 0), X$5+1))+(INDEX(ODC!$D:$AC, MATCH("Total Revenue ($mm)", ODC!$A:$A, 0), X$5+1)-INDEX(ODC!$D:$AC, MATCH("Module EBITDA ($mm)", ODC!$A:$A, 0), X$5+1))+(IFERROR(INDEX('AI Stack'!$D:$AC, MATCH("Total Revenue ($mm)", 'AI Stack'!$A:$A, 0), X$5+1), 0)-IFERROR(INDEX('AI Stack'!$D:$AC, MATCH("Module EBITDA ($mm)", 'AI Stack'!$A:$A, 0), X$5+1), 0))+(INDEX('Lunar Mars'!$D:$AC, MATCH("Total Revenue ($mm)", 'Lunar Mars'!$A:$A, 0), X$5+1)-INDEX('Lunar Mars'!$D:$AC, MATCH("Module EBITDA ($mm)", 'Lunar Mars'!$A:$A, 0), X$5+1))</f>
        <v>12857.516171739511</v>
      </c>
      <c r="Y13" s="15" cm="1">
        <f t="array" aca="1" ref="Y13" ca="1">(INDEX(Starlink!$D:$AC, MATCH("Total Revenue ($mm)", Starlink!$A:$A, 0), Y$5+1)-INDEX(Starlink!$D:$AC, MATCH("Module EBITDA ($mm)", Starlink!$A:$A, 0), Y$5+1))+(INDEX('Customer Launch'!$D:$AC, MATCH("Total Revenue ($mm)", 'Customer Launch'!$A:$A, 0), Y$5+1)-INDEX('Customer Launch'!$D:$AC, MATCH("Module EBITDA ($mm)", 'Customer Launch'!$A:$A, 0), Y$5+1))+(INDEX(ODC!$D:$AC, MATCH("Total Revenue ($mm)", ODC!$A:$A, 0), Y$5+1)-INDEX(ODC!$D:$AC, MATCH("Module EBITDA ($mm)", ODC!$A:$A, 0), Y$5+1))+(IFERROR(INDEX('AI Stack'!$D:$AC, MATCH("Total Revenue ($mm)", 'AI Stack'!$A:$A, 0), Y$5+1), 0)-IFERROR(INDEX('AI Stack'!$D:$AC, MATCH("Module EBITDA ($mm)", 'AI Stack'!$A:$A, 0), Y$5+1), 0))+(INDEX('Lunar Mars'!$D:$AC, MATCH("Total Revenue ($mm)", 'Lunar Mars'!$A:$A, 0), Y$5+1)-INDEX('Lunar Mars'!$D:$AC, MATCH("Module EBITDA ($mm)", 'Lunar Mars'!$A:$A, 0), Y$5+1))</f>
        <v>13572.170699964168</v>
      </c>
      <c r="Z13" s="15" cm="1">
        <f t="array" aca="1" ref="Z13" ca="1">(INDEX(Starlink!$D:$AC, MATCH("Total Revenue ($mm)", Starlink!$A:$A, 0), Z$5+1)-INDEX(Starlink!$D:$AC, MATCH("Module EBITDA ($mm)", Starlink!$A:$A, 0), Z$5+1))+(INDEX('Customer Launch'!$D:$AC, MATCH("Total Revenue ($mm)", 'Customer Launch'!$A:$A, 0), Z$5+1)-INDEX('Customer Launch'!$D:$AC, MATCH("Module EBITDA ($mm)", 'Customer Launch'!$A:$A, 0), Z$5+1))+(INDEX(ODC!$D:$AC, MATCH("Total Revenue ($mm)", ODC!$A:$A, 0), Z$5+1)-INDEX(ODC!$D:$AC, MATCH("Module EBITDA ($mm)", ODC!$A:$A, 0), Z$5+1))+(IFERROR(INDEX('AI Stack'!$D:$AC, MATCH("Total Revenue ($mm)", 'AI Stack'!$A:$A, 0), Z$5+1), 0)-IFERROR(INDEX('AI Stack'!$D:$AC, MATCH("Module EBITDA ($mm)", 'AI Stack'!$A:$A, 0), Z$5+1), 0))+(INDEX('Lunar Mars'!$D:$AC, MATCH("Total Revenue ($mm)", 'Lunar Mars'!$A:$A, 0), Z$5+1)-INDEX('Lunar Mars'!$D:$AC, MATCH("Module EBITDA ($mm)", 'Lunar Mars'!$A:$A, 0), Z$5+1))</f>
        <v>15602.798221695964</v>
      </c>
      <c r="AA13" s="15" cm="1">
        <f t="array" aca="1" ref="AA13" ca="1">(INDEX(Starlink!$D:$AC, MATCH("Total Revenue ($mm)", Starlink!$A:$A, 0), AA$5+1)-INDEX(Starlink!$D:$AC, MATCH("Module EBITDA ($mm)", Starlink!$A:$A, 0), AA$5+1))+(INDEX('Customer Launch'!$D:$AC, MATCH("Total Revenue ($mm)", 'Customer Launch'!$A:$A, 0), AA$5+1)-INDEX('Customer Launch'!$D:$AC, MATCH("Module EBITDA ($mm)", 'Customer Launch'!$A:$A, 0), AA$5+1))+(INDEX(ODC!$D:$AC, MATCH("Total Revenue ($mm)", ODC!$A:$A, 0), AA$5+1)-INDEX(ODC!$D:$AC, MATCH("Module EBITDA ($mm)", ODC!$A:$A, 0), AA$5+1))+(IFERROR(INDEX('AI Stack'!$D:$AC, MATCH("Total Revenue ($mm)", 'AI Stack'!$A:$A, 0), AA$5+1), 0)-IFERROR(INDEX('AI Stack'!$D:$AC, MATCH("Module EBITDA ($mm)", 'AI Stack'!$A:$A, 0), AA$5+1), 0))+(INDEX('Lunar Mars'!$D:$AC, MATCH("Total Revenue ($mm)", 'Lunar Mars'!$A:$A, 0), AA$5+1)-INDEX('Lunar Mars'!$D:$AC, MATCH("Module EBITDA ($mm)", 'Lunar Mars'!$A:$A, 0), AA$5+1))</f>
        <v>16092.659764732402</v>
      </c>
      <c r="AB13" s="15" cm="1">
        <f t="array" aca="1" ref="AB13" ca="1">(INDEX(Starlink!$D:$AC, MATCH("Total Revenue ($mm)", Starlink!$A:$A, 0), AB$5+1)-INDEX(Starlink!$D:$AC, MATCH("Module EBITDA ($mm)", Starlink!$A:$A, 0), AB$5+1))+(INDEX('Customer Launch'!$D:$AC, MATCH("Total Revenue ($mm)", 'Customer Launch'!$A:$A, 0), AB$5+1)-INDEX('Customer Launch'!$D:$AC, MATCH("Module EBITDA ($mm)", 'Customer Launch'!$A:$A, 0), AB$5+1))+(INDEX(ODC!$D:$AC, MATCH("Total Revenue ($mm)", ODC!$A:$A, 0), AB$5+1)-INDEX(ODC!$D:$AC, MATCH("Module EBITDA ($mm)", ODC!$A:$A, 0), AB$5+1))+(IFERROR(INDEX('AI Stack'!$D:$AC, MATCH("Total Revenue ($mm)", 'AI Stack'!$A:$A, 0), AB$5+1), 0)-IFERROR(INDEX('AI Stack'!$D:$AC, MATCH("Module EBITDA ($mm)", 'AI Stack'!$A:$A, 0), AB$5+1), 0))+(INDEX('Lunar Mars'!$D:$AC, MATCH("Total Revenue ($mm)", 'Lunar Mars'!$A:$A, 0), AB$5+1)-INDEX('Lunar Mars'!$D:$AC, MATCH("Module EBITDA ($mm)", 'Lunar Mars'!$A:$A, 0), AB$5+1))</f>
        <v>17857.71610771156</v>
      </c>
      <c r="AC13" s="15" cm="1">
        <f t="array" aca="1" ref="AC13" ca="1">(INDEX(Starlink!$D:$AC, MATCH("Total Revenue ($mm)", Starlink!$A:$A, 0), AC$5+1)-INDEX(Starlink!$D:$AC, MATCH("Module EBITDA ($mm)", Starlink!$A:$A, 0), AC$5+1))+(INDEX('Customer Launch'!$D:$AC, MATCH("Total Revenue ($mm)", 'Customer Launch'!$A:$A, 0), AC$5+1)-INDEX('Customer Launch'!$D:$AC, MATCH("Module EBITDA ($mm)", 'Customer Launch'!$A:$A, 0), AC$5+1))+(INDEX(ODC!$D:$AC, MATCH("Total Revenue ($mm)", ODC!$A:$A, 0), AC$5+1)-INDEX(ODC!$D:$AC, MATCH("Module EBITDA ($mm)", ODC!$A:$A, 0), AC$5+1))+(IFERROR(INDEX('AI Stack'!$D:$AC, MATCH("Total Revenue ($mm)", 'AI Stack'!$A:$A, 0), AC$5+1), 0)-IFERROR(INDEX('AI Stack'!$D:$AC, MATCH("Module EBITDA ($mm)", 'AI Stack'!$A:$A, 0), AC$5+1), 0))+(INDEX('Lunar Mars'!$D:$AC, MATCH("Total Revenue ($mm)", 'Lunar Mars'!$A:$A, 0), AC$5+1)-INDEX('Lunar Mars'!$D:$AC, MATCH("Module EBITDA ($mm)", 'Lunar Mars'!$A:$A, 0), AC$5+1))</f>
        <v>19965.141394719452</v>
      </c>
    </row>
    <row r="15" spans="1:56" x14ac:dyDescent="0.2">
      <c r="A15" t="s">
        <v>1350</v>
      </c>
      <c r="C15" t="s">
        <v>1351</v>
      </c>
      <c r="D15" s="15">
        <f ca="1">D13-D42-D43-D44</f>
        <v>5187.7712734022116</v>
      </c>
      <c r="E15" s="15">
        <f t="shared" ref="E15:AC15" ca="1" si="1">E13-E42-E43-E44</f>
        <v>2186.0508330411658</v>
      </c>
      <c r="F15" s="15">
        <f t="shared" ca="1" si="1"/>
        <v>2001.1440266358727</v>
      </c>
      <c r="G15" s="15">
        <f t="shared" ca="1" si="1"/>
        <v>1869.8609138524926</v>
      </c>
      <c r="H15" s="15">
        <f t="shared" ca="1" si="1"/>
        <v>1801.2904811376634</v>
      </c>
      <c r="I15" s="15">
        <f t="shared" ca="1" si="1"/>
        <v>2169.4287180951205</v>
      </c>
      <c r="J15" s="15">
        <f t="shared" ca="1" si="1"/>
        <v>2356.4902017779341</v>
      </c>
      <c r="K15" s="15">
        <f t="shared" ca="1" si="1"/>
        <v>2811.8219013592197</v>
      </c>
      <c r="L15" s="15">
        <f t="shared" ca="1" si="1"/>
        <v>3181.5668113341549</v>
      </c>
      <c r="M15" s="15">
        <f t="shared" ca="1" si="1"/>
        <v>3959.8821612318848</v>
      </c>
      <c r="N15" s="15">
        <f t="shared" ca="1" si="1"/>
        <v>4275.2566707768665</v>
      </c>
      <c r="O15" s="15">
        <f t="shared" ca="1" si="1"/>
        <v>4814.2157823286789</v>
      </c>
      <c r="P15" s="15">
        <f t="shared" ca="1" si="1"/>
        <v>5922.04485707407</v>
      </c>
      <c r="Q15" s="15">
        <f t="shared" ca="1" si="1"/>
        <v>6140.6647439510398</v>
      </c>
      <c r="R15" s="15">
        <f t="shared" ca="1" si="1"/>
        <v>7369.6535580580403</v>
      </c>
      <c r="S15" s="15">
        <f t="shared" ca="1" si="1"/>
        <v>7678.1361166295537</v>
      </c>
      <c r="T15" s="15">
        <f t="shared" ca="1" si="1"/>
        <v>8515.2056073149633</v>
      </c>
      <c r="U15" s="15">
        <f t="shared" ca="1" si="1"/>
        <v>10042.497205017406</v>
      </c>
      <c r="V15" s="15">
        <f t="shared" ca="1" si="1"/>
        <v>10349.42956829496</v>
      </c>
      <c r="W15" s="15">
        <f t="shared" ca="1" si="1"/>
        <v>11840.76016213585</v>
      </c>
      <c r="X15" s="15">
        <f t="shared" ca="1" si="1"/>
        <v>12857.516171739511</v>
      </c>
      <c r="Y15" s="15">
        <f t="shared" ca="1" si="1"/>
        <v>13572.170699964168</v>
      </c>
      <c r="Z15" s="15">
        <f t="shared" ca="1" si="1"/>
        <v>15602.798221695964</v>
      </c>
      <c r="AA15" s="15">
        <f t="shared" ca="1" si="1"/>
        <v>16092.659764732402</v>
      </c>
      <c r="AB15" s="15">
        <f t="shared" ca="1" si="1"/>
        <v>17857.71610771156</v>
      </c>
      <c r="AC15" s="15">
        <f t="shared" ca="1" si="1"/>
        <v>19965.141394719452</v>
      </c>
    </row>
    <row r="17" spans="1:56" x14ac:dyDescent="0.2">
      <c r="A17" s="61" t="s">
        <v>1352</v>
      </c>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row>
    <row r="18" spans="1:56" x14ac:dyDescent="0.2">
      <c r="A18" s="1" t="s">
        <v>1353</v>
      </c>
      <c r="C18" t="s">
        <v>1354</v>
      </c>
      <c r="D18" s="27">
        <f ca="1">D10-D15</f>
        <v>8667.2890569294086</v>
      </c>
      <c r="E18" s="27">
        <f t="shared" ref="E18:AC18" ca="1" si="2">E10-E15</f>
        <v>9814.907692975492</v>
      </c>
      <c r="F18" s="27">
        <f t="shared" ca="1" si="2"/>
        <v>8604.6675819818192</v>
      </c>
      <c r="G18" s="27">
        <f t="shared" ca="1" si="2"/>
        <v>7466.6122942844841</v>
      </c>
      <c r="H18" s="27">
        <f t="shared" ca="1" si="2"/>
        <v>6288.0798433725213</v>
      </c>
      <c r="I18" s="27">
        <f t="shared" ca="1" si="2"/>
        <v>5993.3564983179967</v>
      </c>
      <c r="J18" s="27">
        <f t="shared" ca="1" si="2"/>
        <v>5788.93960897736</v>
      </c>
      <c r="K18" s="27">
        <f t="shared" ca="1" si="2"/>
        <v>5612.2604101914085</v>
      </c>
      <c r="L18" s="27">
        <f t="shared" ca="1" si="2"/>
        <v>4509.3811064341007</v>
      </c>
      <c r="M18" s="27">
        <f t="shared" ca="1" si="2"/>
        <v>4977.083526173903</v>
      </c>
      <c r="N18" s="27">
        <f t="shared" ca="1" si="2"/>
        <v>3524.9886809635036</v>
      </c>
      <c r="O18" s="27">
        <f t="shared" ca="1" si="2"/>
        <v>2840.5243614855908</v>
      </c>
      <c r="P18" s="27">
        <f t="shared" ca="1" si="2"/>
        <v>3976.1970876812338</v>
      </c>
      <c r="Q18" s="27">
        <f t="shared" ca="1" si="2"/>
        <v>1865.8895657744497</v>
      </c>
      <c r="R18" s="27">
        <f t="shared" ca="1" si="2"/>
        <v>3022.3476186270655</v>
      </c>
      <c r="S18" s="27">
        <f t="shared" ca="1" si="2"/>
        <v>989.22886904751795</v>
      </c>
      <c r="T18" s="27">
        <f t="shared" ca="1" si="2"/>
        <v>517.5336603378928</v>
      </c>
      <c r="U18" s="27">
        <f t="shared" ca="1" si="2"/>
        <v>1919.962630657632</v>
      </c>
      <c r="V18" s="27">
        <f t="shared" ca="1" si="2"/>
        <v>-509.48577460891647</v>
      </c>
      <c r="W18" s="27">
        <f t="shared" ca="1" si="2"/>
        <v>300.08762430266324</v>
      </c>
      <c r="X18" s="27">
        <f t="shared" ca="1" si="2"/>
        <v>-504.58581300456717</v>
      </c>
      <c r="Y18" s="27">
        <f t="shared" ca="1" si="2"/>
        <v>-2332.0178295845199</v>
      </c>
      <c r="Z18" s="27">
        <f t="shared" ca="1" si="2"/>
        <v>-957.23422745605785</v>
      </c>
      <c r="AA18" s="27">
        <f t="shared" ca="1" si="2"/>
        <v>-3791.6545686836253</v>
      </c>
      <c r="AB18" s="27">
        <f t="shared" ca="1" si="2"/>
        <v>-3720.9827271836111</v>
      </c>
      <c r="AC18" s="27">
        <f t="shared" ca="1" si="2"/>
        <v>-3432.6865729923957</v>
      </c>
    </row>
    <row r="20" spans="1:56" x14ac:dyDescent="0.2">
      <c r="A20" s="61" t="s">
        <v>1355</v>
      </c>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row>
    <row r="21" spans="1:56" x14ac:dyDescent="0.2">
      <c r="A21" t="s">
        <v>1303</v>
      </c>
      <c r="C21" t="s">
        <v>1356</v>
      </c>
      <c r="D21" s="15" cm="1">
        <f t="array" aca="1" ref="D21" ca="1">INDEX(OpEx!$D:$AC, MATCH("Total OpEx ($mm)", OpEx!$A:$A, 0), D$5+1)</f>
        <v>4309.6782425077163</v>
      </c>
      <c r="E21" s="15" cm="1">
        <f t="array" aca="1" ref="E21" ca="1">INDEX(OpEx!$D:$AC, MATCH("Total OpEx ($mm)", OpEx!$A:$A, 0), E$5+1)</f>
        <v>3948.6143974918905</v>
      </c>
      <c r="F21" s="15" cm="1">
        <f t="array" aca="1" ref="F21" ca="1">INDEX(OpEx!$D:$AC, MATCH("Total OpEx ($mm)", OpEx!$A:$A, 0), F$5+1)</f>
        <v>3884.7615593593728</v>
      </c>
      <c r="G21" s="15" cm="1">
        <f t="array" aca="1" ref="G21" ca="1">INDEX(OpEx!$D:$AC, MATCH("Total OpEx ($mm)", OpEx!$A:$A, 0), G$5+1)</f>
        <v>3657.8935509055973</v>
      </c>
      <c r="H21" s="15" cm="1">
        <f t="array" aca="1" ref="H21" ca="1">INDEX(OpEx!$D:$AC, MATCH("Total OpEx ($mm)", OpEx!$A:$A, 0), H$5+1)</f>
        <v>3414.6506848881527</v>
      </c>
      <c r="I21" s="15" cm="1">
        <f t="array" aca="1" ref="I21" ca="1">INDEX(OpEx!$D:$AC, MATCH("Total OpEx ($mm)", OpEx!$A:$A, 0), I$5+1)</f>
        <v>3435.6385574750875</v>
      </c>
      <c r="J21" s="15" cm="1">
        <f t="array" aca="1" ref="J21" ca="1">INDEX(OpEx!$D:$AC, MATCH("Total OpEx ($mm)", OpEx!$A:$A, 0), J$5+1)</f>
        <v>3525.0708103214824</v>
      </c>
      <c r="K21" s="15" cm="1">
        <f t="array" aca="1" ref="K21" ca="1">INDEX(OpEx!$D:$AC, MATCH("Total OpEx ($mm)", OpEx!$A:$A, 0), K$5+1)</f>
        <v>3568.630272975643</v>
      </c>
      <c r="L21" s="15" cm="1">
        <f t="array" aca="1" ref="L21" ca="1">INDEX(OpEx!$D:$AC, MATCH("Total OpEx ($mm)", OpEx!$A:$A, 0), L$5+1)</f>
        <v>3695.4015944751495</v>
      </c>
      <c r="M21" s="15" cm="1">
        <f t="array" aca="1" ref="M21" ca="1">INDEX(OpEx!$D:$AC, MATCH("Total OpEx ($mm)", OpEx!$A:$A, 0), M$5+1)</f>
        <v>3679.2627442665967</v>
      </c>
      <c r="N21" s="15" cm="1">
        <f t="array" aca="1" ref="N21" ca="1">INDEX(OpEx!$D:$AC, MATCH("Total OpEx ($mm)", OpEx!$A:$A, 0), N$5+1)</f>
        <v>3744.0586098017861</v>
      </c>
      <c r="O21" s="15" cm="1">
        <f t="array" aca="1" ref="O21" ca="1">INDEX(OpEx!$D:$AC, MATCH("Total OpEx ($mm)", OpEx!$A:$A, 0), O$5+1)</f>
        <v>3729.36100836572</v>
      </c>
      <c r="P21" s="15" cm="1">
        <f t="array" aca="1" ref="P21" ca="1">INDEX(OpEx!$D:$AC, MATCH("Total OpEx ($mm)", OpEx!$A:$A, 0), P$5+1)</f>
        <v>3258.834246071915</v>
      </c>
      <c r="Q21" s="15" cm="1">
        <f t="array" aca="1" ref="Q21" ca="1">INDEX(OpEx!$D:$AC, MATCH("Total OpEx ($mm)", OpEx!$A:$A, 0), Q$5+1)</f>
        <v>3328.6176258402388</v>
      </c>
      <c r="R21" s="15" cm="1">
        <f t="array" aca="1" ref="R21" ca="1">INDEX(OpEx!$D:$AC, MATCH("Total OpEx ($mm)", OpEx!$A:$A, 0), R$5+1)</f>
        <v>2902.1815349322724</v>
      </c>
      <c r="S21" s="15" cm="1">
        <f t="array" aca="1" ref="S21" ca="1">INDEX(OpEx!$D:$AC, MATCH("Total OpEx ($mm)", OpEx!$A:$A, 0), S$5+1)</f>
        <v>2734.723287281513</v>
      </c>
      <c r="T21" s="15" cm="1">
        <f t="array" aca="1" ref="T21" ca="1">INDEX(OpEx!$D:$AC, MATCH("Total OpEx ($mm)", OpEx!$A:$A, 0), T$5+1)</f>
        <v>3001.6561140389367</v>
      </c>
      <c r="U21" s="15" cm="1">
        <f t="array" aca="1" ref="U21" ca="1">INDEX(OpEx!$D:$AC, MATCH("Total OpEx ($mm)", OpEx!$A:$A, 0), U$5+1)</f>
        <v>2647.6797529339797</v>
      </c>
      <c r="V21" s="15" cm="1">
        <f t="array" aca="1" ref="V21" ca="1">INDEX(OpEx!$D:$AC, MATCH("Total OpEx ($mm)", OpEx!$A:$A, 0), V$5+1)</f>
        <v>2845.6612215656069</v>
      </c>
      <c r="W21" s="15" cm="1">
        <f t="array" aca="1" ref="W21" ca="1">INDEX(OpEx!$D:$AC, MATCH("Total OpEx ($mm)", OpEx!$A:$A, 0), W$5+1)</f>
        <v>2782.2842395754028</v>
      </c>
      <c r="X21" s="15" cm="1">
        <f t="array" aca="1" ref="X21" ca="1">INDEX(OpEx!$D:$AC, MATCH("Total OpEx ($mm)", OpEx!$A:$A, 0), X$5+1)</f>
        <v>2550.7352282528391</v>
      </c>
      <c r="Y21" s="15" cm="1">
        <f t="array" aca="1" ref="Y21" ca="1">INDEX(OpEx!$D:$AC, MATCH("Total OpEx ($mm)", OpEx!$A:$A, 0), Y$5+1)</f>
        <v>2887.8584204544568</v>
      </c>
      <c r="Z21" s="15" cm="1">
        <f t="array" aca="1" ref="Z21" ca="1">INDEX(OpEx!$D:$AC, MATCH("Total OpEx ($mm)", OpEx!$A:$A, 0), Z$5+1)</f>
        <v>2504.8467970367437</v>
      </c>
      <c r="AA21" s="15" cm="1">
        <f t="array" aca="1" ref="AA21" ca="1">INDEX(OpEx!$D:$AC, MATCH("Total OpEx ($mm)", OpEx!$A:$A, 0), AA$5+1)</f>
        <v>2638.6144509159085</v>
      </c>
      <c r="AB21" s="15" cm="1">
        <f t="array" aca="1" ref="AB21" ca="1">INDEX(OpEx!$D:$AC, MATCH("Total OpEx ($mm)", OpEx!$A:$A, 0), AB$5+1)</f>
        <v>2857.1964570023119</v>
      </c>
      <c r="AC21" s="15" cm="1">
        <f t="array" aca="1" ref="AC21" ca="1">INDEX(OpEx!$D:$AC, MATCH("Total OpEx ($mm)", OpEx!$A:$A, 0), AC$5+1)</f>
        <v>2471.9799125310637</v>
      </c>
    </row>
    <row r="22" spans="1:56" x14ac:dyDescent="0.2">
      <c r="BD22" s="40"/>
    </row>
    <row r="23" spans="1:56" x14ac:dyDescent="0.2">
      <c r="A23" s="18" t="s">
        <v>1357</v>
      </c>
      <c r="C23" t="s">
        <v>1358</v>
      </c>
      <c r="D23" s="59" cm="1">
        <f t="array" aca="1" ref="D23" ca="1">INDEX(Starlink!$D:$AC, MATCH("Constellation D&amp;A ($mm)", Starlink!$A:$A, 0), D$5+1)</f>
        <v>706.65776000000005</v>
      </c>
      <c r="E23" s="59" cm="1">
        <f t="array" aca="1" ref="E23" ca="1">INDEX(Starlink!$D:$AC, MATCH("Constellation D&amp;A ($mm)", Starlink!$A:$A, 0), E$5+1)</f>
        <v>583.33294592000016</v>
      </c>
      <c r="F23" s="59" cm="1">
        <f t="array" aca="1" ref="F23" ca="1">INDEX(Starlink!$D:$AC, MATCH("Constellation D&amp;A ($mm)", Starlink!$A:$A, 0), F$5+1)</f>
        <v>461.78096234560002</v>
      </c>
      <c r="G23" s="59" cm="1">
        <f t="array" aca="1" ref="G23" ca="1">INDEX(Starlink!$D:$AC, MATCH("Constellation D&amp;A ($mm)", Starlink!$A:$A, 0), G$5+1)</f>
        <v>341.97543514809604</v>
      </c>
      <c r="H23" s="59" cm="1">
        <f t="array" aca="1" ref="H23" ca="1">INDEX(Starlink!$D:$AC, MATCH("Constellation D&amp;A ($mm)", Starlink!$A:$A, 0), H$5+1)</f>
        <v>223.89034039830756</v>
      </c>
      <c r="I23" s="59" cm="1">
        <f t="array" aca="1" ref="I23" ca="1">INDEX(Starlink!$D:$AC, MATCH("Constellation D&amp;A ($mm)", Starlink!$A:$A, 0), I$5+1)</f>
        <v>140</v>
      </c>
      <c r="J23" s="59" cm="1">
        <f t="array" aca="1" ref="J23" ca="1">INDEX(Starlink!$D:$AC, MATCH("Constellation D&amp;A ($mm)", Starlink!$A:$A, 0), J$5+1)</f>
        <v>140</v>
      </c>
      <c r="K23" s="59" cm="1">
        <f t="array" aca="1" ref="K23" ca="1">INDEX(Starlink!$D:$AC, MATCH("Constellation D&amp;A ($mm)", Starlink!$A:$A, 0), K$5+1)</f>
        <v>140</v>
      </c>
      <c r="L23" s="59" cm="1">
        <f t="array" aca="1" ref="L23" ca="1">INDEX(Starlink!$D:$AC, MATCH("Constellation D&amp;A ($mm)", Starlink!$A:$A, 0), L$5+1)</f>
        <v>140</v>
      </c>
      <c r="M23" s="59" cm="1">
        <f t="array" aca="1" ref="M23" ca="1">INDEX(Starlink!$D:$AC, MATCH("Constellation D&amp;A ($mm)", Starlink!$A:$A, 0), M$5+1)</f>
        <v>140</v>
      </c>
      <c r="N23" s="59" cm="1">
        <f t="array" aca="1" ref="N23" ca="1">INDEX(Starlink!$D:$AC, MATCH("Constellation D&amp;A ($mm)", Starlink!$A:$A, 0), N$5+1)</f>
        <v>140</v>
      </c>
      <c r="O23" s="59" cm="1">
        <f t="array" aca="1" ref="O23" ca="1">INDEX(Starlink!$D:$AC, MATCH("Constellation D&amp;A ($mm)", Starlink!$A:$A, 0), O$5+1)</f>
        <v>140</v>
      </c>
      <c r="P23" s="59" cm="1">
        <f t="array" aca="1" ref="P23" ca="1">INDEX(Starlink!$D:$AC, MATCH("Constellation D&amp;A ($mm)", Starlink!$A:$A, 0), P$5+1)</f>
        <v>140</v>
      </c>
      <c r="Q23" s="59" cm="1">
        <f t="array" aca="1" ref="Q23" ca="1">INDEX(Starlink!$D:$AC, MATCH("Constellation D&amp;A ($mm)", Starlink!$A:$A, 0), Q$5+1)</f>
        <v>140</v>
      </c>
      <c r="R23" s="59" cm="1">
        <f t="array" aca="1" ref="R23" ca="1">INDEX(Starlink!$D:$AC, MATCH("Constellation D&amp;A ($mm)", Starlink!$A:$A, 0), R$5+1)</f>
        <v>140</v>
      </c>
      <c r="S23" s="59" cm="1">
        <f t="array" aca="1" ref="S23" ca="1">INDEX(Starlink!$D:$AC, MATCH("Constellation D&amp;A ($mm)", Starlink!$A:$A, 0), S$5+1)</f>
        <v>140</v>
      </c>
      <c r="T23" s="59" cm="1">
        <f t="array" aca="1" ref="T23" ca="1">INDEX(Starlink!$D:$AC, MATCH("Constellation D&amp;A ($mm)", Starlink!$A:$A, 0), T$5+1)</f>
        <v>140</v>
      </c>
      <c r="U23" s="59" cm="1">
        <f t="array" aca="1" ref="U23" ca="1">INDEX(Starlink!$D:$AC, MATCH("Constellation D&amp;A ($mm)", Starlink!$A:$A, 0), U$5+1)</f>
        <v>140</v>
      </c>
      <c r="V23" s="59" cm="1">
        <f t="array" aca="1" ref="V23" ca="1">INDEX(Starlink!$D:$AC, MATCH("Constellation D&amp;A ($mm)", Starlink!$A:$A, 0), V$5+1)</f>
        <v>140</v>
      </c>
      <c r="W23" s="59" cm="1">
        <f t="array" aca="1" ref="W23" ca="1">INDEX(Starlink!$D:$AC, MATCH("Constellation D&amp;A ($mm)", Starlink!$A:$A, 0), W$5+1)</f>
        <v>140</v>
      </c>
      <c r="X23" s="59" cm="1">
        <f t="array" aca="1" ref="X23" ca="1">INDEX(Starlink!$D:$AC, MATCH("Constellation D&amp;A ($mm)", Starlink!$A:$A, 0), X$5+1)</f>
        <v>140</v>
      </c>
      <c r="Y23" s="59" cm="1">
        <f t="array" aca="1" ref="Y23" ca="1">INDEX(Starlink!$D:$AC, MATCH("Constellation D&amp;A ($mm)", Starlink!$A:$A, 0), Y$5+1)</f>
        <v>140</v>
      </c>
      <c r="Z23" s="59" cm="1">
        <f t="array" aca="1" ref="Z23" ca="1">INDEX(Starlink!$D:$AC, MATCH("Constellation D&amp;A ($mm)", Starlink!$A:$A, 0), Z$5+1)</f>
        <v>140</v>
      </c>
      <c r="AA23" s="59" cm="1">
        <f t="array" aca="1" ref="AA23" ca="1">INDEX(Starlink!$D:$AC, MATCH("Constellation D&amp;A ($mm)", Starlink!$A:$A, 0), AA$5+1)</f>
        <v>140</v>
      </c>
      <c r="AB23" s="59" cm="1">
        <f t="array" aca="1" ref="AB23" ca="1">INDEX(Starlink!$D:$AC, MATCH("Constellation D&amp;A ($mm)", Starlink!$A:$A, 0), AB$5+1)</f>
        <v>140</v>
      </c>
      <c r="AC23" s="59" cm="1">
        <f t="array" aca="1" ref="AC23" ca="1">INDEX(Starlink!$D:$AC, MATCH("Constellation D&amp;A ($mm)", Starlink!$A:$A, 0), AC$5+1)</f>
        <v>140</v>
      </c>
    </row>
    <row r="24" spans="1:56" x14ac:dyDescent="0.2">
      <c r="A24" s="18" t="s">
        <v>1359</v>
      </c>
      <c r="C24" t="s">
        <v>1360</v>
      </c>
      <c r="D24" s="59" cm="1">
        <f t="array" aca="1" ref="D24" ca="1">INDEX('Customer Launch'!$D:$AC, MATCH("Module D&amp;A ($mm) — informational (also in COGS rows 86 + 88)", 'Customer Launch'!$A:$A, 0), D$5+1)</f>
        <v>100.54799999999999</v>
      </c>
      <c r="E24" s="59" cm="1">
        <f t="array" aca="1" ref="E24" ca="1">INDEX('Customer Launch'!$D:$AC, MATCH("Module D&amp;A ($mm) — informational (also in COGS rows 86 + 88)", 'Customer Launch'!$A:$A, 0), E$5+1)</f>
        <v>24.305399999999999</v>
      </c>
      <c r="F24" s="59" cm="1">
        <f t="array" aca="1" ref="F24" ca="1">INDEX('Customer Launch'!$D:$AC, MATCH("Module D&amp;A ($mm) — informational (also in COGS rows 86 + 88)", 'Customer Launch'!$A:$A, 0), F$5+1)</f>
        <v>36.731885660151825</v>
      </c>
      <c r="G24" s="59" cm="1">
        <f t="array" aca="1" ref="G24" ca="1">INDEX('Customer Launch'!$D:$AC, MATCH("Module D&amp;A ($mm) — informational (also in COGS rows 86 + 88)", 'Customer Launch'!$A:$A, 0), G$5+1)</f>
        <v>40.218932452496041</v>
      </c>
      <c r="H24" s="59" cm="1">
        <f t="array" aca="1" ref="H24" ca="1">INDEX('Customer Launch'!$D:$AC, MATCH("Module D&amp;A ($mm) — informational (also in COGS rows 86 + 88)", 'Customer Launch'!$A:$A, 0), H$5+1)</f>
        <v>43.216305569055834</v>
      </c>
      <c r="I24" s="59" cm="1">
        <f t="array" aca="1" ref="I24" ca="1">INDEX('Customer Launch'!$D:$AC, MATCH("Module D&amp;A ($mm) — informational (also in COGS rows 86 + 88)", 'Customer Launch'!$A:$A, 0), I$5+1)</f>
        <v>51.158256993715916</v>
      </c>
      <c r="J24" s="59" cm="1">
        <f t="array" aca="1" ref="J24" ca="1">INDEX('Customer Launch'!$D:$AC, MATCH("Module D&amp;A ($mm) — informational (also in COGS rows 86 + 88)", 'Customer Launch'!$A:$A, 0), J$5+1)</f>
        <v>55.764063145771019</v>
      </c>
      <c r="K24" s="59" cm="1">
        <f t="array" aca="1" ref="K24" ca="1">INDEX('Customer Launch'!$D:$AC, MATCH("Module D&amp;A ($mm) — informational (also in COGS rows 86 + 88)", 'Customer Launch'!$A:$A, 0), K$5+1)</f>
        <v>53.954512020641403</v>
      </c>
      <c r="L24" s="59" cm="1">
        <f t="array" aca="1" ref="L24" ca="1">INDEX('Customer Launch'!$D:$AC, MATCH("Module D&amp;A ($mm) — informational (also in COGS rows 86 + 88)", 'Customer Launch'!$A:$A, 0), L$5+1)</f>
        <v>76.351242956243482</v>
      </c>
      <c r="M24" s="59" cm="1">
        <f t="array" aca="1" ref="M24" ca="1">INDEX('Customer Launch'!$D:$AC, MATCH("Module D&amp;A ($mm) — informational (also in COGS rows 86 + 88)", 'Customer Launch'!$A:$A, 0), M$5+1)</f>
        <v>54.18006461890004</v>
      </c>
      <c r="N24" s="59" cm="1">
        <f t="array" aca="1" ref="N24" ca="1">INDEX('Customer Launch'!$D:$AC, MATCH("Module D&amp;A ($mm) — informational (also in COGS rows 86 + 88)", 'Customer Launch'!$A:$A, 0), N$5+1)</f>
        <v>80.407709530856778</v>
      </c>
      <c r="O24" s="59" cm="1">
        <f t="array" aca="1" ref="O24" ca="1">INDEX('Customer Launch'!$D:$AC, MATCH("Module D&amp;A ($mm) — informational (also in COGS rows 86 + 88)", 'Customer Launch'!$A:$A, 0), O$5+1)</f>
        <v>85.915212364640098</v>
      </c>
      <c r="P24" s="59" cm="1">
        <f t="array" aca="1" ref="P24" ca="1">INDEX('Customer Launch'!$D:$AC, MATCH("Module D&amp;A ($mm) — informational (also in COGS rows 86 + 88)", 'Customer Launch'!$A:$A, 0), P$5+1)</f>
        <v>58.483191686277237</v>
      </c>
      <c r="Q24" s="59" cm="1">
        <f t="array" aca="1" ref="Q24" ca="1">INDEX('Customer Launch'!$D:$AC, MATCH("Module D&amp;A ($mm) — informational (also in COGS rows 86 + 88)", 'Customer Launch'!$A:$A, 0), Q$5+1)</f>
        <v>92.026579466345865</v>
      </c>
      <c r="R24" s="59" cm="1">
        <f t="array" aca="1" ref="R24" ca="1">INDEX('Customer Launch'!$D:$AC, MATCH("Module D&amp;A ($mm) — informational (also in COGS rows 86 + 88)", 'Customer Launch'!$A:$A, 0), R$5+1)</f>
        <v>65.180638443756237</v>
      </c>
      <c r="S24" s="59" cm="1">
        <f t="array" aca="1" ref="S24" ca="1">INDEX('Customer Launch'!$D:$AC, MATCH("Module D&amp;A ($mm) — informational (also in COGS rows 86 + 88)", 'Customer Launch'!$A:$A, 0), S$5+1)</f>
        <v>93.707967751130298</v>
      </c>
      <c r="T24" s="59" cm="1">
        <f t="array" aca="1" ref="T24" ca="1">INDEX('Customer Launch'!$D:$AC, MATCH("Module D&amp;A ($mm) — informational (also in COGS rows 86 + 88)", 'Customer Launch'!$A:$A, 0), T$5+1)</f>
        <v>95.983951518805739</v>
      </c>
      <c r="U24" s="59" cm="1">
        <f t="array" aca="1" ref="U24" ca="1">INDEX('Customer Launch'!$D:$AC, MATCH("Module D&amp;A ($mm) — informational (also in COGS rows 86 + 88)", 'Customer Launch'!$A:$A, 0), U$5+1)</f>
        <v>69.107892317308739</v>
      </c>
      <c r="V24" s="59" cm="1">
        <f t="array" aca="1" ref="V24" ca="1">INDEX('Customer Launch'!$D:$AC, MATCH("Module D&amp;A ($mm) — informational (also in COGS rows 86 + 88)", 'Customer Launch'!$A:$A, 0), V$5+1)</f>
        <v>101.69721048007115</v>
      </c>
      <c r="W24" s="59" cm="1">
        <f t="array" aca="1" ref="W24" ca="1">INDEX('Customer Launch'!$D:$AC, MATCH("Module D&amp;A ($mm) — informational (also in COGS rows 86 + 88)", 'Customer Launch'!$A:$A, 0), W$5+1)</f>
        <v>83.04189268283271</v>
      </c>
      <c r="X24" s="59" cm="1">
        <f t="array" aca="1" ref="X24" ca="1">INDEX('Customer Launch'!$D:$AC, MATCH("Module D&amp;A ($mm) — informational (also in COGS rows 86 + 88)", 'Customer Launch'!$A:$A, 0), X$5+1)</f>
        <v>90.125362448944799</v>
      </c>
      <c r="Y24" s="59" cm="1">
        <f t="array" aca="1" ref="Y24" ca="1">INDEX('Customer Launch'!$D:$AC, MATCH("Module D&amp;A ($mm) — informational (also in COGS rows 86 + 88)", 'Customer Launch'!$A:$A, 0), Y$5+1)</f>
        <v>112.47796047271625</v>
      </c>
      <c r="Z24" s="59" cm="1">
        <f t="array" aca="1" ref="Z24" ca="1">INDEX('Customer Launch'!$D:$AC, MATCH("Module D&amp;A ($mm) — informational (also in COGS rows 86 + 88)", 'Customer Launch'!$A:$A, 0), Z$5+1)</f>
        <v>84.864059670538239</v>
      </c>
      <c r="AA24" s="59" cm="1">
        <f t="array" aca="1" ref="AA24" ca="1">INDEX('Customer Launch'!$D:$AC, MATCH("Module D&amp;A ($mm) — informational (also in COGS rows 86 + 88)", 'Customer Launch'!$A:$A, 0), AA$5+1)</f>
        <v>120.34016147240224</v>
      </c>
      <c r="AB24" s="59" cm="1">
        <f t="array" aca="1" ref="AB24" ca="1">INDEX('Customer Launch'!$D:$AC, MATCH("Module D&amp;A ($mm) — informational (also in COGS rows 86 + 88)", 'Customer Launch'!$A:$A, 0), AB$5+1)</f>
        <v>110.09790126436981</v>
      </c>
      <c r="AC24" s="59" cm="1">
        <f t="array" aca="1" ref="AC24" ca="1">INDEX('Customer Launch'!$D:$AC, MATCH("Module D&amp;A ($mm) — informational (also in COGS rows 86 + 88)", 'Customer Launch'!$A:$A, 0), AC$5+1)</f>
        <v>97.840191065407936</v>
      </c>
    </row>
    <row r="25" spans="1:56" x14ac:dyDescent="0.2">
      <c r="A25" s="18" t="s">
        <v>1361</v>
      </c>
      <c r="C25" t="s">
        <v>1362</v>
      </c>
      <c r="D25" s="59" cm="1">
        <f t="array" aca="1" ref="D25" ca="1">INDEX(ODC!$D:$AC, MATCH("Annual sat D&amp;A ($mm/yr)", ODC!$A:$A, 0), D$5+1)</f>
        <v>0</v>
      </c>
      <c r="E25" s="59" cm="1">
        <f t="array" aca="1" ref="E25" ca="1">INDEX(ODC!$D:$AC, MATCH("Annual sat D&amp;A ($mm/yr)", ODC!$A:$A, 0), E$5+1)</f>
        <v>0</v>
      </c>
      <c r="F25" s="59" cm="1">
        <f t="array" aca="1" ref="F25" ca="1">INDEX(ODC!$D:$AC, MATCH("Annual sat D&amp;A ($mm/yr)", ODC!$A:$A, 0), F$5+1)</f>
        <v>0</v>
      </c>
      <c r="G25" s="59" cm="1">
        <f t="array" aca="1" ref="G25" ca="1">INDEX(ODC!$D:$AC, MATCH("Annual sat D&amp;A ($mm/yr)", ODC!$A:$A, 0), G$5+1)</f>
        <v>0</v>
      </c>
      <c r="H25" s="59" cm="1">
        <f t="array" aca="1" ref="H25" ca="1">INDEX(ODC!$D:$AC, MATCH("Annual sat D&amp;A ($mm/yr)", ODC!$A:$A, 0), H$5+1)</f>
        <v>0</v>
      </c>
      <c r="I25" s="59" cm="1">
        <f t="array" aca="1" ref="I25" ca="1">INDEX(ODC!$D:$AC, MATCH("Annual sat D&amp;A ($mm/yr)", ODC!$A:$A, 0), I$5+1)</f>
        <v>0</v>
      </c>
      <c r="J25" s="59" cm="1">
        <f t="array" aca="1" ref="J25" ca="1">INDEX(ODC!$D:$AC, MATCH("Annual sat D&amp;A ($mm/yr)", ODC!$A:$A, 0), J$5+1)</f>
        <v>0</v>
      </c>
      <c r="K25" s="59" cm="1">
        <f t="array" aca="1" ref="K25" ca="1">INDEX(ODC!$D:$AC, MATCH("Annual sat D&amp;A ($mm/yr)", ODC!$A:$A, 0), K$5+1)</f>
        <v>0</v>
      </c>
      <c r="L25" s="59" cm="1">
        <f t="array" aca="1" ref="L25" ca="1">INDEX(ODC!$D:$AC, MATCH("Annual sat D&amp;A ($mm/yr)", ODC!$A:$A, 0), L$5+1)</f>
        <v>0</v>
      </c>
      <c r="M25" s="59" cm="1">
        <f t="array" aca="1" ref="M25" ca="1">INDEX(ODC!$D:$AC, MATCH("Annual sat D&amp;A ($mm/yr)", ODC!$A:$A, 0), M$5+1)</f>
        <v>0</v>
      </c>
      <c r="N25" s="59" cm="1">
        <f t="array" aca="1" ref="N25" ca="1">INDEX(ODC!$D:$AC, MATCH("Annual sat D&amp;A ($mm/yr)", ODC!$A:$A, 0), N$5+1)</f>
        <v>0</v>
      </c>
      <c r="O25" s="59" cm="1">
        <f t="array" aca="1" ref="O25" ca="1">INDEX(ODC!$D:$AC, MATCH("Annual sat D&amp;A ($mm/yr)", ODC!$A:$A, 0), O$5+1)</f>
        <v>0</v>
      </c>
      <c r="P25" s="59" cm="1">
        <f t="array" aca="1" ref="P25" ca="1">INDEX(ODC!$D:$AC, MATCH("Annual sat D&amp;A ($mm/yr)", ODC!$A:$A, 0), P$5+1)</f>
        <v>0</v>
      </c>
      <c r="Q25" s="59" cm="1">
        <f t="array" aca="1" ref="Q25" ca="1">INDEX(ODC!$D:$AC, MATCH("Annual sat D&amp;A ($mm/yr)", ODC!$A:$A, 0), Q$5+1)</f>
        <v>0</v>
      </c>
      <c r="R25" s="59" cm="1">
        <f t="array" aca="1" ref="R25" ca="1">INDEX(ODC!$D:$AC, MATCH("Annual sat D&amp;A ($mm/yr)", ODC!$A:$A, 0), R$5+1)</f>
        <v>0</v>
      </c>
      <c r="S25" s="59" cm="1">
        <f t="array" aca="1" ref="S25" ca="1">INDEX(ODC!$D:$AC, MATCH("Annual sat D&amp;A ($mm/yr)", ODC!$A:$A, 0), S$5+1)</f>
        <v>0</v>
      </c>
      <c r="T25" s="59" cm="1">
        <f t="array" aca="1" ref="T25" ca="1">INDEX(ODC!$D:$AC, MATCH("Annual sat D&amp;A ($mm/yr)", ODC!$A:$A, 0), T$5+1)</f>
        <v>0</v>
      </c>
      <c r="U25" s="59" cm="1">
        <f t="array" aca="1" ref="U25" ca="1">INDEX(ODC!$D:$AC, MATCH("Annual sat D&amp;A ($mm/yr)", ODC!$A:$A, 0), U$5+1)</f>
        <v>0</v>
      </c>
      <c r="V25" s="59" cm="1">
        <f t="array" aca="1" ref="V25" ca="1">INDEX(ODC!$D:$AC, MATCH("Annual sat D&amp;A ($mm/yr)", ODC!$A:$A, 0), V$5+1)</f>
        <v>0</v>
      </c>
      <c r="W25" s="59" cm="1">
        <f t="array" aca="1" ref="W25" ca="1">INDEX(ODC!$D:$AC, MATCH("Annual sat D&amp;A ($mm/yr)", ODC!$A:$A, 0), W$5+1)</f>
        <v>0</v>
      </c>
      <c r="X25" s="59" cm="1">
        <f t="array" aca="1" ref="X25" ca="1">INDEX(ODC!$D:$AC, MATCH("Annual sat D&amp;A ($mm/yr)", ODC!$A:$A, 0), X$5+1)</f>
        <v>0</v>
      </c>
      <c r="Y25" s="59" cm="1">
        <f t="array" aca="1" ref="Y25" ca="1">INDEX(ODC!$D:$AC, MATCH("Annual sat D&amp;A ($mm/yr)", ODC!$A:$A, 0), Y$5+1)</f>
        <v>0</v>
      </c>
      <c r="Z25" s="59" cm="1">
        <f t="array" aca="1" ref="Z25" ca="1">INDEX(ODC!$D:$AC, MATCH("Annual sat D&amp;A ($mm/yr)", ODC!$A:$A, 0), Z$5+1)</f>
        <v>0</v>
      </c>
      <c r="AA25" s="59" cm="1">
        <f t="array" aca="1" ref="AA25" ca="1">INDEX(ODC!$D:$AC, MATCH("Annual sat D&amp;A ($mm/yr)", ODC!$A:$A, 0), AA$5+1)</f>
        <v>0</v>
      </c>
      <c r="AB25" s="59" cm="1">
        <f t="array" aca="1" ref="AB25" ca="1">INDEX(ODC!$D:$AC, MATCH("Annual sat D&amp;A ($mm/yr)", ODC!$A:$A, 0), AB$5+1)</f>
        <v>0</v>
      </c>
      <c r="AC25" s="59" cm="1">
        <f t="array" aca="1" ref="AC25" ca="1">INDEX(ODC!$D:$AC, MATCH("Annual sat D&amp;A ($mm/yr)", ODC!$A:$A, 0), AC$5+1)</f>
        <v>0</v>
      </c>
    </row>
    <row r="26" spans="1:56" x14ac:dyDescent="0.2">
      <c r="A26" s="62" t="s">
        <v>1363</v>
      </c>
      <c r="C26" t="s">
        <v>1364</v>
      </c>
      <c r="D26" s="27">
        <f ca="1">D18-D21</f>
        <v>4357.6108144216923</v>
      </c>
      <c r="E26" s="27">
        <f t="shared" ref="E26:AC26" ca="1" si="3">E18-E21</f>
        <v>5866.2932954836015</v>
      </c>
      <c r="F26" s="27">
        <f t="shared" ca="1" si="3"/>
        <v>4719.9060226224465</v>
      </c>
      <c r="G26" s="27">
        <f t="shared" ca="1" si="3"/>
        <v>3808.7187433788868</v>
      </c>
      <c r="H26" s="27">
        <f t="shared" ca="1" si="3"/>
        <v>2873.4291584843686</v>
      </c>
      <c r="I26" s="27">
        <f t="shared" ca="1" si="3"/>
        <v>2557.7179408429092</v>
      </c>
      <c r="J26" s="27">
        <f t="shared" ca="1" si="3"/>
        <v>2263.8687986558775</v>
      </c>
      <c r="K26" s="27">
        <f t="shared" ca="1" si="3"/>
        <v>2043.6301372157654</v>
      </c>
      <c r="L26" s="27">
        <f t="shared" ca="1" si="3"/>
        <v>813.97951195895121</v>
      </c>
      <c r="M26" s="27">
        <f t="shared" ca="1" si="3"/>
        <v>1297.8207819073064</v>
      </c>
      <c r="N26" s="27">
        <f t="shared" ca="1" si="3"/>
        <v>-219.06992883828252</v>
      </c>
      <c r="O26" s="27">
        <f t="shared" ca="1" si="3"/>
        <v>-888.83664688012914</v>
      </c>
      <c r="P26" s="27">
        <f t="shared" ca="1" si="3"/>
        <v>717.36284160931882</v>
      </c>
      <c r="Q26" s="27">
        <f t="shared" ca="1" si="3"/>
        <v>-1462.7280600657891</v>
      </c>
      <c r="R26" s="27">
        <f t="shared" ca="1" si="3"/>
        <v>120.16608369479309</v>
      </c>
      <c r="S26" s="27">
        <f t="shared" ca="1" si="3"/>
        <v>-1745.494418233995</v>
      </c>
      <c r="T26" s="27">
        <f t="shared" ca="1" si="3"/>
        <v>-2484.1224537010439</v>
      </c>
      <c r="U26" s="27">
        <f t="shared" ca="1" si="3"/>
        <v>-727.71712227634771</v>
      </c>
      <c r="V26" s="27">
        <f t="shared" ca="1" si="3"/>
        <v>-3355.1469961745233</v>
      </c>
      <c r="W26" s="27">
        <f t="shared" ca="1" si="3"/>
        <v>-2482.1966152727396</v>
      </c>
      <c r="X26" s="27">
        <f t="shared" ca="1" si="3"/>
        <v>-3055.3210412574063</v>
      </c>
      <c r="Y26" s="27">
        <f t="shared" ca="1" si="3"/>
        <v>-5219.8762500389767</v>
      </c>
      <c r="Z26" s="27">
        <f t="shared" ca="1" si="3"/>
        <v>-3462.0810244928016</v>
      </c>
      <c r="AA26" s="27">
        <f t="shared" ca="1" si="3"/>
        <v>-6430.2690195995337</v>
      </c>
      <c r="AB26" s="27">
        <f t="shared" ca="1" si="3"/>
        <v>-6578.1791841859231</v>
      </c>
      <c r="AC26" s="27">
        <f t="shared" ca="1" si="3"/>
        <v>-5904.6664855234594</v>
      </c>
    </row>
    <row r="28" spans="1:56" x14ac:dyDescent="0.2">
      <c r="A28" s="62" t="s">
        <v>1365</v>
      </c>
      <c r="C28" t="s">
        <v>1366</v>
      </c>
      <c r="D28" s="27" cm="1">
        <f t="array" aca="1" ref="D28" ca="1">D23+D24+D25+IFERROR(INDEX('Lunar Mars'!$D:$AC, MATCH("Lunar Mars Module D&amp;A ($mm)", 'Lunar Mars'!$A:$A, 0), D$5+1), 0)+INDEX(CapEx!$D:$AC, MATCH("Total Corporate D&amp;A ($mm)", CapEx!$A:$A, 0), D$5+1)+INDEX(CapEx!$D:$AC, MATCH("Annual spectrum amortization ($mm)", CapEx!$A:$A, 0), D$5+1)</f>
        <v>0</v>
      </c>
      <c r="E28" s="27" cm="1">
        <f t="array" ref="E28">E23+E24+E25+IFERROR(INDEX('Lunar Mars'!$D:$AC, MATCH("Lunar Mars Module D&amp;A ($mm)", 'Lunar Mars'!$A:$A, 0), E$5+1), 0)+INDEX(CapEx!$D:$AC, MATCH("Total Corporate D&amp;A ($mm)", CapEx!$A:$A, 0), E$5+1)+INDEX(CapEx!$D:$AC, MATCH("Annual spectrum amortization ($mm)", CapEx!$A:$A, 0), E$5+1)</f>
        <v>0</v>
      </c>
      <c r="F28" s="27" cm="1">
        <f t="array" ref="F28">F23+F24+F25+IFERROR(INDEX('Lunar Mars'!$D:$AC, MATCH("Lunar Mars Module D&amp;A ($mm)", 'Lunar Mars'!$A:$A, 0), F$5+1), 0)+INDEX(CapEx!$D:$AC, MATCH("Total Corporate D&amp;A ($mm)", CapEx!$A:$A, 0), F$5+1)+INDEX(CapEx!$D:$AC, MATCH("Annual spectrum amortization ($mm)", CapEx!$A:$A, 0), F$5+1)</f>
        <v>0</v>
      </c>
      <c r="G28" s="27" cm="1">
        <f t="array" ref="G28">G23+G24+G25+IFERROR(INDEX('Lunar Mars'!$D:$AC, MATCH("Lunar Mars Module D&amp;A ($mm)", 'Lunar Mars'!$A:$A, 0), G$5+1), 0)+INDEX(CapEx!$D:$AC, MATCH("Total Corporate D&amp;A ($mm)", CapEx!$A:$A, 0), G$5+1)+INDEX(CapEx!$D:$AC, MATCH("Annual spectrum amortization ($mm)", CapEx!$A:$A, 0), G$5+1)</f>
        <v>0</v>
      </c>
      <c r="H28" s="27" cm="1">
        <f t="array" ref="H28">H23+H24+H25+IFERROR(INDEX('Lunar Mars'!$D:$AC, MATCH("Lunar Mars Module D&amp;A ($mm)", 'Lunar Mars'!$A:$A, 0), H$5+1), 0)+INDEX(CapEx!$D:$AC, MATCH("Total Corporate D&amp;A ($mm)", CapEx!$A:$A, 0), H$5+1)+INDEX(CapEx!$D:$AC, MATCH("Annual spectrum amortization ($mm)", CapEx!$A:$A, 0), H$5+1)</f>
        <v>0</v>
      </c>
      <c r="I28" s="27" cm="1">
        <f t="array" ref="I28">I23+I24+I25+IFERROR(INDEX('Lunar Mars'!$D:$AC, MATCH("Lunar Mars Module D&amp;A ($mm)", 'Lunar Mars'!$A:$A, 0), I$5+1), 0)+INDEX(CapEx!$D:$AC, MATCH("Total Corporate D&amp;A ($mm)", CapEx!$A:$A, 0), I$5+1)+INDEX(CapEx!$D:$AC, MATCH("Annual spectrum amortization ($mm)", CapEx!$A:$A, 0), I$5+1)</f>
        <v>0</v>
      </c>
      <c r="J28" s="27" cm="1">
        <f t="array" ref="J28">J23+J24+J25+IFERROR(INDEX('Lunar Mars'!$D:$AC, MATCH("Lunar Mars Module D&amp;A ($mm)", 'Lunar Mars'!$A:$A, 0), J$5+1), 0)+INDEX(CapEx!$D:$AC, MATCH("Total Corporate D&amp;A ($mm)", CapEx!$A:$A, 0), J$5+1)+INDEX(CapEx!$D:$AC, MATCH("Annual spectrum amortization ($mm)", CapEx!$A:$A, 0), J$5+1)</f>
        <v>0</v>
      </c>
      <c r="K28" s="27" cm="1">
        <f t="array" ref="K28">K23+K24+K25+IFERROR(INDEX('Lunar Mars'!$D:$AC, MATCH("Lunar Mars Module D&amp;A ($mm)", 'Lunar Mars'!$A:$A, 0), K$5+1), 0)+INDEX(CapEx!$D:$AC, MATCH("Total Corporate D&amp;A ($mm)", CapEx!$A:$A, 0), K$5+1)+INDEX(CapEx!$D:$AC, MATCH("Annual spectrum amortization ($mm)", CapEx!$A:$A, 0), K$5+1)</f>
        <v>0</v>
      </c>
      <c r="L28" s="27" cm="1">
        <f t="array" ref="L28">L23+L24+L25+IFERROR(INDEX('Lunar Mars'!$D:$AC, MATCH("Lunar Mars Module D&amp;A ($mm)", 'Lunar Mars'!$A:$A, 0), L$5+1), 0)+INDEX(CapEx!$D:$AC, MATCH("Total Corporate D&amp;A ($mm)", CapEx!$A:$A, 0), L$5+1)+INDEX(CapEx!$D:$AC, MATCH("Annual spectrum amortization ($mm)", CapEx!$A:$A, 0), L$5+1)</f>
        <v>0</v>
      </c>
      <c r="M28" s="27" cm="1">
        <f t="array" ref="M28">M23+M24+M25+IFERROR(INDEX('Lunar Mars'!$D:$AC, MATCH("Lunar Mars Module D&amp;A ($mm)", 'Lunar Mars'!$A:$A, 0), M$5+1), 0)+INDEX(CapEx!$D:$AC, MATCH("Total Corporate D&amp;A ($mm)", CapEx!$A:$A, 0), M$5+1)+INDEX(CapEx!$D:$AC, MATCH("Annual spectrum amortization ($mm)", CapEx!$A:$A, 0), M$5+1)</f>
        <v>0</v>
      </c>
      <c r="N28" s="27" cm="1">
        <f t="array" ref="N28">N23+N24+N25+IFERROR(INDEX('Lunar Mars'!$D:$AC, MATCH("Lunar Mars Module D&amp;A ($mm)", 'Lunar Mars'!$A:$A, 0), N$5+1), 0)+INDEX(CapEx!$D:$AC, MATCH("Total Corporate D&amp;A ($mm)", CapEx!$A:$A, 0), N$5+1)+INDEX(CapEx!$D:$AC, MATCH("Annual spectrum amortization ($mm)", CapEx!$A:$A, 0), N$5+1)</f>
        <v>0</v>
      </c>
      <c r="O28" s="27" cm="1">
        <f t="array" ref="O28">O23+O24+O25+IFERROR(INDEX('Lunar Mars'!$D:$AC, MATCH("Lunar Mars Module D&amp;A ($mm)", 'Lunar Mars'!$A:$A, 0), O$5+1), 0)+INDEX(CapEx!$D:$AC, MATCH("Total Corporate D&amp;A ($mm)", CapEx!$A:$A, 0), O$5+1)+INDEX(CapEx!$D:$AC, MATCH("Annual spectrum amortization ($mm)", CapEx!$A:$A, 0), O$5+1)</f>
        <v>0</v>
      </c>
      <c r="P28" s="27" cm="1">
        <f t="array" ref="P28">P23+P24+P25+IFERROR(INDEX('Lunar Mars'!$D:$AC, MATCH("Lunar Mars Module D&amp;A ($mm)", 'Lunar Mars'!$A:$A, 0), P$5+1), 0)+INDEX(CapEx!$D:$AC, MATCH("Total Corporate D&amp;A ($mm)", CapEx!$A:$A, 0), P$5+1)+INDEX(CapEx!$D:$AC, MATCH("Annual spectrum amortization ($mm)", CapEx!$A:$A, 0), P$5+1)</f>
        <v>0</v>
      </c>
      <c r="Q28" s="27" cm="1">
        <f t="array" ref="Q28">Q23+Q24+Q25+IFERROR(INDEX('Lunar Mars'!$D:$AC, MATCH("Lunar Mars Module D&amp;A ($mm)", 'Lunar Mars'!$A:$A, 0), Q$5+1), 0)+INDEX(CapEx!$D:$AC, MATCH("Total Corporate D&amp;A ($mm)", CapEx!$A:$A, 0), Q$5+1)+INDEX(CapEx!$D:$AC, MATCH("Annual spectrum amortization ($mm)", CapEx!$A:$A, 0), Q$5+1)</f>
        <v>0</v>
      </c>
      <c r="R28" s="27" cm="1">
        <f t="array" ref="R28">R23+R24+R25+IFERROR(INDEX('Lunar Mars'!$D:$AC, MATCH("Lunar Mars Module D&amp;A ($mm)", 'Lunar Mars'!$A:$A, 0), R$5+1), 0)+INDEX(CapEx!$D:$AC, MATCH("Total Corporate D&amp;A ($mm)", CapEx!$A:$A, 0), R$5+1)+INDEX(CapEx!$D:$AC, MATCH("Annual spectrum amortization ($mm)", CapEx!$A:$A, 0), R$5+1)</f>
        <v>0</v>
      </c>
      <c r="S28" s="27" cm="1">
        <f t="array" ref="S28">S23+S24+S25+IFERROR(INDEX('Lunar Mars'!$D:$AC, MATCH("Lunar Mars Module D&amp;A ($mm)", 'Lunar Mars'!$A:$A, 0), S$5+1), 0)+INDEX(CapEx!$D:$AC, MATCH("Total Corporate D&amp;A ($mm)", CapEx!$A:$A, 0), S$5+1)+INDEX(CapEx!$D:$AC, MATCH("Annual spectrum amortization ($mm)", CapEx!$A:$A, 0), S$5+1)</f>
        <v>0</v>
      </c>
      <c r="T28" s="27" cm="1">
        <f t="array" ref="T28">T23+T24+T25+IFERROR(INDEX('Lunar Mars'!$D:$AC, MATCH("Lunar Mars Module D&amp;A ($mm)", 'Lunar Mars'!$A:$A, 0), T$5+1), 0)+INDEX(CapEx!$D:$AC, MATCH("Total Corporate D&amp;A ($mm)", CapEx!$A:$A, 0), T$5+1)+INDEX(CapEx!$D:$AC, MATCH("Annual spectrum amortization ($mm)", CapEx!$A:$A, 0), T$5+1)</f>
        <v>0</v>
      </c>
      <c r="U28" s="27" cm="1">
        <f t="array" ref="U28">U23+U24+U25+IFERROR(INDEX('Lunar Mars'!$D:$AC, MATCH("Lunar Mars Module D&amp;A ($mm)", 'Lunar Mars'!$A:$A, 0), U$5+1), 0)+INDEX(CapEx!$D:$AC, MATCH("Total Corporate D&amp;A ($mm)", CapEx!$A:$A, 0), U$5+1)+INDEX(CapEx!$D:$AC, MATCH("Annual spectrum amortization ($mm)", CapEx!$A:$A, 0), U$5+1)</f>
        <v>0</v>
      </c>
      <c r="V28" s="27" cm="1">
        <f t="array" ref="V28">V23+V24+V25+IFERROR(INDEX('Lunar Mars'!$D:$AC, MATCH("Lunar Mars Module D&amp;A ($mm)", 'Lunar Mars'!$A:$A, 0), V$5+1), 0)+INDEX(CapEx!$D:$AC, MATCH("Total Corporate D&amp;A ($mm)", CapEx!$A:$A, 0), V$5+1)+INDEX(CapEx!$D:$AC, MATCH("Annual spectrum amortization ($mm)", CapEx!$A:$A, 0), V$5+1)</f>
        <v>0</v>
      </c>
      <c r="W28" s="27" cm="1">
        <f t="array" ref="W28">W23+W24+W25+IFERROR(INDEX('Lunar Mars'!$D:$AC, MATCH("Lunar Mars Module D&amp;A ($mm)", 'Lunar Mars'!$A:$A, 0), W$5+1), 0)+INDEX(CapEx!$D:$AC, MATCH("Total Corporate D&amp;A ($mm)", CapEx!$A:$A, 0), W$5+1)+INDEX(CapEx!$D:$AC, MATCH("Annual spectrum amortization ($mm)", CapEx!$A:$A, 0), W$5+1)</f>
        <v>0</v>
      </c>
      <c r="X28" s="27" cm="1">
        <f t="array" ref="X28">X23+X24+X25+IFERROR(INDEX('Lunar Mars'!$D:$AC, MATCH("Lunar Mars Module D&amp;A ($mm)", 'Lunar Mars'!$A:$A, 0), X$5+1), 0)+INDEX(CapEx!$D:$AC, MATCH("Total Corporate D&amp;A ($mm)", CapEx!$A:$A, 0), X$5+1)+INDEX(CapEx!$D:$AC, MATCH("Annual spectrum amortization ($mm)", CapEx!$A:$A, 0), X$5+1)</f>
        <v>0</v>
      </c>
      <c r="Y28" s="27" cm="1">
        <f t="array" ref="Y28">Y23+Y24+Y25+IFERROR(INDEX('Lunar Mars'!$D:$AC, MATCH("Lunar Mars Module D&amp;A ($mm)", 'Lunar Mars'!$A:$A, 0), Y$5+1), 0)+INDEX(CapEx!$D:$AC, MATCH("Total Corporate D&amp;A ($mm)", CapEx!$A:$A, 0), Y$5+1)+INDEX(CapEx!$D:$AC, MATCH("Annual spectrum amortization ($mm)", CapEx!$A:$A, 0), Y$5+1)</f>
        <v>0</v>
      </c>
      <c r="Z28" s="27" cm="1">
        <f t="array" ref="Z28">Z23+Z24+Z25+IFERROR(INDEX('Lunar Mars'!$D:$AC, MATCH("Lunar Mars Module D&amp;A ($mm)", 'Lunar Mars'!$A:$A, 0), Z$5+1), 0)+INDEX(CapEx!$D:$AC, MATCH("Total Corporate D&amp;A ($mm)", CapEx!$A:$A, 0), Z$5+1)+INDEX(CapEx!$D:$AC, MATCH("Annual spectrum amortization ($mm)", CapEx!$A:$A, 0), Z$5+1)</f>
        <v>0</v>
      </c>
      <c r="AA28" s="27" cm="1">
        <f t="array" ref="AA28">AA23+AA24+AA25+IFERROR(INDEX('Lunar Mars'!$D:$AC, MATCH("Lunar Mars Module D&amp;A ($mm)", 'Lunar Mars'!$A:$A, 0), AA$5+1), 0)+INDEX(CapEx!$D:$AC, MATCH("Total Corporate D&amp;A ($mm)", CapEx!$A:$A, 0), AA$5+1)+INDEX(CapEx!$D:$AC, MATCH("Annual spectrum amortization ($mm)", CapEx!$A:$A, 0), AA$5+1)</f>
        <v>0</v>
      </c>
      <c r="AB28" s="27" cm="1">
        <f t="array" ref="AB28">AB23+AB24+AB25+IFERROR(INDEX('Lunar Mars'!$D:$AC, MATCH("Lunar Mars Module D&amp;A ($mm)", 'Lunar Mars'!$A:$A, 0), AB$5+1), 0)+INDEX(CapEx!$D:$AC, MATCH("Total Corporate D&amp;A ($mm)", CapEx!$A:$A, 0), AB$5+1)+INDEX(CapEx!$D:$AC, MATCH("Annual spectrum amortization ($mm)", CapEx!$A:$A, 0), AB$5+1)</f>
        <v>0</v>
      </c>
      <c r="AC28" s="27" cm="1">
        <f t="array" ref="AC28">AC23+AC24+AC25+IFERROR(INDEX('Lunar Mars'!$D:$AC, MATCH("Lunar Mars Module D&amp;A ($mm)", 'Lunar Mars'!$A:$A, 0), AC$5+1), 0)+INDEX(CapEx!$D:$AC, MATCH("Total Corporate D&amp;A ($mm)", CapEx!$A:$A, 0), AC$5+1)+INDEX(CapEx!$D:$AC, MATCH("Annual spectrum amortization ($mm)", CapEx!$A:$A, 0), AC$5+1)</f>
        <v>0</v>
      </c>
    </row>
    <row r="30" spans="1:56" x14ac:dyDescent="0.2">
      <c r="A30" s="1" t="s">
        <v>1367</v>
      </c>
      <c r="C30" t="s">
        <v>1368</v>
      </c>
      <c r="D30" s="27" cm="1">
        <f t="array" aca="1" ref="D30" ca="1">D26-INDEX(CapEx!$D:$AC, MATCH("Total Corporate D&amp;A ($mm)", CapEx!$A:$A, 0), D$5+1)-INDEX(CapEx!$D:$AC, MATCH("Annual spectrum amortization ($mm)", CapEx!$A:$A, 0), D$5+1)</f>
        <v>3903.967957278835</v>
      </c>
      <c r="E30" s="27" cm="1">
        <f t="array" aca="1" ref="E30" ca="1">E26-INDEX(CapEx!$D:$AC, MATCH("Total Corporate D&amp;A ($mm)", CapEx!$A:$A, 0), E$5+1)-INDEX(CapEx!$D:$AC, MATCH("Annual spectrum amortization ($mm)", CapEx!$A:$A, 0), E$5+1)</f>
        <v>4871.8647240550299</v>
      </c>
      <c r="F30" s="27" cm="1">
        <f t="array" aca="1" ref="F30" ca="1">F26-INDEX(CapEx!$D:$AC, MATCH("Total Corporate D&amp;A ($mm)", CapEx!$A:$A, 0), F$5+1)-INDEX(CapEx!$D:$AC, MATCH("Annual spectrum amortization ($mm)", CapEx!$A:$A, 0), F$5+1)</f>
        <v>3384.6917369081611</v>
      </c>
      <c r="G30" s="27" cm="1">
        <f t="array" aca="1" ref="G30" ca="1">G26-INDEX(CapEx!$D:$AC, MATCH("Total Corporate D&amp;A ($mm)", CapEx!$A:$A, 0), G$5+1)-INDEX(CapEx!$D:$AC, MATCH("Annual spectrum amortization ($mm)", CapEx!$A:$A, 0), G$5+1)</f>
        <v>2332.7187433788868</v>
      </c>
      <c r="H30" s="27" cm="1">
        <f t="array" aca="1" ref="H30" ca="1">H26-INDEX(CapEx!$D:$AC, MATCH("Total Corporate D&amp;A ($mm)", CapEx!$A:$A, 0), H$5+1)-INDEX(CapEx!$D:$AC, MATCH("Annual spectrum amortization ($mm)", CapEx!$A:$A, 0), H$5+1)</f>
        <v>1389.9767775319876</v>
      </c>
      <c r="I30" s="27" cm="1">
        <f t="array" aca="1" ref="I30" ca="1">I26-INDEX(CapEx!$D:$AC, MATCH("Total Corporate D&amp;A ($mm)", CapEx!$A:$A, 0), I$5+1)-INDEX(CapEx!$D:$AC, MATCH("Annual spectrum amortization ($mm)", CapEx!$A:$A, 0), I$5+1)</f>
        <v>1066.8131789381475</v>
      </c>
      <c r="J30" s="27" cm="1">
        <f t="array" aca="1" ref="J30" ca="1">J26-INDEX(CapEx!$D:$AC, MATCH("Total Corporate D&amp;A ($mm)", CapEx!$A:$A, 0), J$5+1)-INDEX(CapEx!$D:$AC, MATCH("Annual spectrum amortization ($mm)", CapEx!$A:$A, 0), J$5+1)</f>
        <v>765.51165579873464</v>
      </c>
      <c r="K30" s="27" cm="1">
        <f t="array" aca="1" ref="K30" ca="1">K26-INDEX(CapEx!$D:$AC, MATCH("Total Corporate D&amp;A ($mm)", CapEx!$A:$A, 0), K$5+1)-INDEX(CapEx!$D:$AC, MATCH("Annual spectrum amortization ($mm)", CapEx!$A:$A, 0), K$5+1)</f>
        <v>537.82061340624182</v>
      </c>
      <c r="L30" s="27" cm="1">
        <f t="array" aca="1" ref="L30" ca="1">L26-INDEX(CapEx!$D:$AC, MATCH("Total Corporate D&amp;A ($mm)", CapEx!$A:$A, 0), L$5+1)-INDEX(CapEx!$D:$AC, MATCH("Annual spectrum amortization ($mm)", CapEx!$A:$A, 0), L$5+1)</f>
        <v>-699.2823928029535</v>
      </c>
      <c r="M30" s="27" cm="1">
        <f t="array" aca="1" ref="M30" ca="1">M26-INDEX(CapEx!$D:$AC, MATCH("Total Corporate D&amp;A ($mm)", CapEx!$A:$A, 0), M$5+1)-INDEX(CapEx!$D:$AC, MATCH("Annual spectrum amortization ($mm)", CapEx!$A:$A, 0), M$5+1)</f>
        <v>-222.8935038069792</v>
      </c>
      <c r="N30" s="27" cm="1">
        <f t="array" aca="1" ref="N30" ca="1">N26-INDEX(CapEx!$D:$AC, MATCH("Total Corporate D&amp;A ($mm)", CapEx!$A:$A, 0), N$5+1)-INDEX(CapEx!$D:$AC, MATCH("Annual spectrum amortization ($mm)", CapEx!$A:$A, 0), N$5+1)</f>
        <v>-1747.236595504949</v>
      </c>
      <c r="O30" s="27" cm="1">
        <f t="array" aca="1" ref="O30" ca="1">O26-INDEX(CapEx!$D:$AC, MATCH("Total Corporate D&amp;A ($mm)", CapEx!$A:$A, 0), O$5+1)-INDEX(CapEx!$D:$AC, MATCH("Annual spectrum amortization ($mm)", CapEx!$A:$A, 0), O$5+1)</f>
        <v>-2424.4556944991764</v>
      </c>
      <c r="P30" s="27" cm="1">
        <f t="array" aca="1" ref="P30" ca="1">P26-INDEX(CapEx!$D:$AC, MATCH("Total Corporate D&amp;A ($mm)", CapEx!$A:$A, 0), P$5+1)-INDEX(CapEx!$D:$AC, MATCH("Annual spectrum amortization ($mm)", CapEx!$A:$A, 0), P$5+1)</f>
        <v>-825.70858696210962</v>
      </c>
      <c r="Q30" s="27" cm="1">
        <f t="array" aca="1" ref="Q30" ca="1">Q26-INDEX(CapEx!$D:$AC, MATCH("Total Corporate D&amp;A ($mm)", CapEx!$A:$A, 0), Q$5+1)-INDEX(CapEx!$D:$AC, MATCH("Annual spectrum amortization ($mm)", CapEx!$A:$A, 0), Q$5+1)</f>
        <v>-3013.2518695895988</v>
      </c>
      <c r="R30" s="27" cm="1">
        <f t="array" aca="1" ref="R30" ca="1">R26-INDEX(CapEx!$D:$AC, MATCH("Total Corporate D&amp;A ($mm)", CapEx!$A:$A, 0), R$5+1)-INDEX(CapEx!$D:$AC, MATCH("Annual spectrum amortization ($mm)", CapEx!$A:$A, 0), R$5+1)</f>
        <v>-1437.8101067813973</v>
      </c>
      <c r="S30" s="27" cm="1">
        <f t="array" aca="1" ref="S30" ca="1">S26-INDEX(CapEx!$D:$AC, MATCH("Total Corporate D&amp;A ($mm)", CapEx!$A:$A, 0), S$5+1)-INDEX(CapEx!$D:$AC, MATCH("Annual spectrum amortization ($mm)", CapEx!$A:$A, 0), S$5+1)</f>
        <v>-3310.9229896625666</v>
      </c>
      <c r="T30" s="27" cm="1">
        <f t="array" aca="1" ref="T30" ca="1">T26-INDEX(CapEx!$D:$AC, MATCH("Total Corporate D&amp;A ($mm)", CapEx!$A:$A, 0), T$5+1)-INDEX(CapEx!$D:$AC, MATCH("Annual spectrum amortization ($mm)", CapEx!$A:$A, 0), T$5+1)</f>
        <v>-4057.0034060819962</v>
      </c>
      <c r="U30" s="27" cm="1">
        <f t="array" aca="1" ref="U30" ca="1">U26-INDEX(CapEx!$D:$AC, MATCH("Total Corporate D&amp;A ($mm)", CapEx!$A:$A, 0), U$5+1)-INDEX(CapEx!$D:$AC, MATCH("Annual spectrum amortization ($mm)", CapEx!$A:$A, 0), U$5+1)</f>
        <v>-2308.0504556096812</v>
      </c>
      <c r="V30" s="27" cm="1">
        <f t="array" aca="1" ref="V30" ca="1">V26-INDEX(CapEx!$D:$AC, MATCH("Total Corporate D&amp;A ($mm)", CapEx!$A:$A, 0), V$5+1)-INDEX(CapEx!$D:$AC, MATCH("Annual spectrum amortization ($mm)", CapEx!$A:$A, 0), V$5+1)</f>
        <v>-4942.9327104602371</v>
      </c>
      <c r="W30" s="27" cm="1">
        <f t="array" aca="1" ref="W30" ca="1">W26-INDEX(CapEx!$D:$AC, MATCH("Total Corporate D&amp;A ($mm)", CapEx!$A:$A, 0), W$5+1)-INDEX(CapEx!$D:$AC, MATCH("Annual spectrum amortization ($mm)", CapEx!$A:$A, 0), W$5+1)</f>
        <v>-4077.4347105108345</v>
      </c>
      <c r="X30" s="27" cm="1">
        <f t="array" aca="1" ref="X30" ca="1">X26-INDEX(CapEx!$D:$AC, MATCH("Total Corporate D&amp;A ($mm)", CapEx!$A:$A, 0), X$5+1)-INDEX(CapEx!$D:$AC, MATCH("Annual spectrum amortization ($mm)", CapEx!$A:$A, 0), X$5+1)</f>
        <v>-4658.0115174478824</v>
      </c>
      <c r="Y30" s="27" cm="1">
        <f t="array" aca="1" ref="Y30" ca="1">Y26-INDEX(CapEx!$D:$AC, MATCH("Total Corporate D&amp;A ($mm)", CapEx!$A:$A, 0), Y$5+1)-INDEX(CapEx!$D:$AC, MATCH("Annual spectrum amortization ($mm)", CapEx!$A:$A, 0), Y$5+1)</f>
        <v>-6830.0191071818335</v>
      </c>
      <c r="Z30" s="27" cm="1">
        <f t="array" aca="1" ref="Z30" ca="1">Z26-INDEX(CapEx!$D:$AC, MATCH("Total Corporate D&amp;A ($mm)", CapEx!$A:$A, 0), Z$5+1)-INDEX(CapEx!$D:$AC, MATCH("Annual spectrum amortization ($mm)", CapEx!$A:$A, 0), Z$5+1)</f>
        <v>-5079.6762625880392</v>
      </c>
      <c r="AA30" s="27" cm="1">
        <f t="array" aca="1" ref="AA30" ca="1">AA26-INDEX(CapEx!$D:$AC, MATCH("Total Corporate D&amp;A ($mm)", CapEx!$A:$A, 0), AA$5+1)-INDEX(CapEx!$D:$AC, MATCH("Annual spectrum amortization ($mm)", CapEx!$A:$A, 0), AA$5+1)</f>
        <v>-8055.3166386471521</v>
      </c>
      <c r="AB30" s="27" cm="1">
        <f t="array" aca="1" ref="AB30" ca="1">AB26-INDEX(CapEx!$D:$AC, MATCH("Total Corporate D&amp;A ($mm)", CapEx!$A:$A, 0), AB$5+1)-INDEX(CapEx!$D:$AC, MATCH("Annual spectrum amortization ($mm)", CapEx!$A:$A, 0), AB$5+1)</f>
        <v>-8210.6791841859231</v>
      </c>
      <c r="AC30" s="27" cm="1">
        <f t="array" aca="1" ref="AC30" ca="1">AC26-INDEX(CapEx!$D:$AC, MATCH("Total Corporate D&amp;A ($mm)", CapEx!$A:$A, 0), AC$5+1)-INDEX(CapEx!$D:$AC, MATCH("Annual spectrum amortization ($mm)", CapEx!$A:$A, 0), AC$5+1)</f>
        <v>-7544.6188664758402</v>
      </c>
    </row>
    <row r="32" spans="1:56" x14ac:dyDescent="0.2">
      <c r="A32" s="1" t="s">
        <v>1369</v>
      </c>
      <c r="C32" t="s">
        <v>1370</v>
      </c>
      <c r="D32" s="56">
        <f ca="1">MAX(0, D30) * INDEX(Assumptions!$B:$B, MATCH("Tax rate (corporate, US federal + state blended)", Assumptions!$A:$A, 0))</f>
        <v>819.83327102855537</v>
      </c>
      <c r="E32" s="56">
        <f ca="1">MAX(0, E30) * INDEX(Assumptions!$B:$B, MATCH("Tax rate (corporate, US federal + state blended)", Assumptions!$A:$A, 0))</f>
        <v>1023.0915920515563</v>
      </c>
      <c r="F32" s="56">
        <f ca="1">MAX(0, F30) * INDEX(Assumptions!$B:$B, MATCH("Tax rate (corporate, US federal + state blended)", Assumptions!$A:$A, 0))</f>
        <v>710.78526475071385</v>
      </c>
      <c r="G32" s="56">
        <f ca="1">MAX(0, G30) * INDEX(Assumptions!$B:$B, MATCH("Tax rate (corporate, US federal + state blended)", Assumptions!$A:$A, 0))</f>
        <v>489.87093610956617</v>
      </c>
      <c r="H32" s="56">
        <f ca="1">MAX(0, H30) * INDEX(Assumptions!$B:$B, MATCH("Tax rate (corporate, US federal + state blended)", Assumptions!$A:$A, 0))</f>
        <v>291.89512328171742</v>
      </c>
      <c r="I32" s="56">
        <f ca="1">MAX(0, I30) * INDEX(Assumptions!$B:$B, MATCH("Tax rate (corporate, US federal + state blended)", Assumptions!$A:$A, 0))</f>
        <v>224.03076757701098</v>
      </c>
      <c r="J32" s="56">
        <f ca="1">MAX(0, J30) * INDEX(Assumptions!$B:$B, MATCH("Tax rate (corporate, US federal + state blended)", Assumptions!$A:$A, 0))</f>
        <v>160.75744771773427</v>
      </c>
      <c r="K32" s="56">
        <f ca="1">MAX(0, K30) * INDEX(Assumptions!$B:$B, MATCH("Tax rate (corporate, US federal + state blended)", Assumptions!$A:$A, 0))</f>
        <v>112.94232881531077</v>
      </c>
      <c r="L32" s="56">
        <f ca="1">MAX(0, L30) * INDEX(Assumptions!$B:$B, MATCH("Tax rate (corporate, US federal + state blended)", Assumptions!$A:$A, 0))</f>
        <v>0</v>
      </c>
      <c r="M32" s="56">
        <f ca="1">MAX(0, M30) * INDEX(Assumptions!$B:$B, MATCH("Tax rate (corporate, US federal + state blended)", Assumptions!$A:$A, 0))</f>
        <v>0</v>
      </c>
      <c r="N32" s="56">
        <f ca="1">MAX(0, N30) * INDEX(Assumptions!$B:$B, MATCH("Tax rate (corporate, US federal + state blended)", Assumptions!$A:$A, 0))</f>
        <v>0</v>
      </c>
      <c r="O32" s="56">
        <f ca="1">MAX(0, O30) * INDEX(Assumptions!$B:$B, MATCH("Tax rate (corporate, US federal + state blended)", Assumptions!$A:$A, 0))</f>
        <v>0</v>
      </c>
      <c r="P32" s="56">
        <f ca="1">MAX(0, P30) * INDEX(Assumptions!$B:$B, MATCH("Tax rate (corporate, US federal + state blended)", Assumptions!$A:$A, 0))</f>
        <v>0</v>
      </c>
      <c r="Q32" s="56">
        <f ca="1">MAX(0, Q30) * INDEX(Assumptions!$B:$B, MATCH("Tax rate (corporate, US federal + state blended)", Assumptions!$A:$A, 0))</f>
        <v>0</v>
      </c>
      <c r="R32" s="56">
        <f ca="1">MAX(0, R30) * INDEX(Assumptions!$B:$B, MATCH("Tax rate (corporate, US federal + state blended)", Assumptions!$A:$A, 0))</f>
        <v>0</v>
      </c>
      <c r="S32" s="56">
        <f ca="1">MAX(0, S30) * INDEX(Assumptions!$B:$B, MATCH("Tax rate (corporate, US federal + state blended)", Assumptions!$A:$A, 0))</f>
        <v>0</v>
      </c>
      <c r="T32" s="56">
        <f ca="1">MAX(0, T30) * INDEX(Assumptions!$B:$B, MATCH("Tax rate (corporate, US federal + state blended)", Assumptions!$A:$A, 0))</f>
        <v>0</v>
      </c>
      <c r="U32" s="56">
        <f ca="1">MAX(0, U30) * INDEX(Assumptions!$B:$B, MATCH("Tax rate (corporate, US federal + state blended)", Assumptions!$A:$A, 0))</f>
        <v>0</v>
      </c>
      <c r="V32" s="56">
        <f ca="1">MAX(0, V30) * INDEX(Assumptions!$B:$B, MATCH("Tax rate (corporate, US federal + state blended)", Assumptions!$A:$A, 0))</f>
        <v>0</v>
      </c>
      <c r="W32" s="56">
        <f ca="1">MAX(0, W30) * INDEX(Assumptions!$B:$B, MATCH("Tax rate (corporate, US federal + state blended)", Assumptions!$A:$A, 0))</f>
        <v>0</v>
      </c>
      <c r="X32" s="56">
        <f ca="1">MAX(0, X30) * INDEX(Assumptions!$B:$B, MATCH("Tax rate (corporate, US federal + state blended)", Assumptions!$A:$A, 0))</f>
        <v>0</v>
      </c>
      <c r="Y32" s="56">
        <f ca="1">MAX(0, Y30) * INDEX(Assumptions!$B:$B, MATCH("Tax rate (corporate, US federal + state blended)", Assumptions!$A:$A, 0))</f>
        <v>0</v>
      </c>
      <c r="Z32" s="56">
        <f ca="1">MAX(0, Z30) * INDEX(Assumptions!$B:$B, MATCH("Tax rate (corporate, US federal + state blended)", Assumptions!$A:$A, 0))</f>
        <v>0</v>
      </c>
      <c r="AA32" s="56">
        <f ca="1">MAX(0, AA30) * INDEX(Assumptions!$B:$B, MATCH("Tax rate (corporate, US federal + state blended)", Assumptions!$A:$A, 0))</f>
        <v>0</v>
      </c>
      <c r="AB32" s="56">
        <f ca="1">MAX(0, AB30) * INDEX(Assumptions!$B:$B, MATCH("Tax rate (corporate, US federal + state blended)", Assumptions!$A:$A, 0))</f>
        <v>0</v>
      </c>
      <c r="AC32" s="56">
        <f ca="1">MAX(0, AC30) * INDEX(Assumptions!$B:$B, MATCH("Tax rate (corporate, US federal + state blended)", Assumptions!$A:$A, 0))</f>
        <v>0</v>
      </c>
    </row>
    <row r="34" spans="1:29" x14ac:dyDescent="0.2">
      <c r="A34" s="1" t="s">
        <v>1371</v>
      </c>
      <c r="C34" t="s">
        <v>1372</v>
      </c>
      <c r="D34" s="56">
        <f ca="1">D30-D32</f>
        <v>3084.1346862502796</v>
      </c>
      <c r="E34" s="56">
        <f t="shared" ref="E34:AC34" ca="1" si="4">E30-E32</f>
        <v>3848.7731320034736</v>
      </c>
      <c r="F34" s="56">
        <f t="shared" ca="1" si="4"/>
        <v>2673.9064721574473</v>
      </c>
      <c r="G34" s="56">
        <f t="shared" ca="1" si="4"/>
        <v>1842.8478072693206</v>
      </c>
      <c r="H34" s="56">
        <f t="shared" ca="1" si="4"/>
        <v>1098.0816542502703</v>
      </c>
      <c r="I34" s="56">
        <f t="shared" ca="1" si="4"/>
        <v>842.78241136113661</v>
      </c>
      <c r="J34" s="56">
        <f t="shared" ca="1" si="4"/>
        <v>604.75420808100034</v>
      </c>
      <c r="K34" s="56">
        <f t="shared" ca="1" si="4"/>
        <v>424.87828459093106</v>
      </c>
      <c r="L34" s="56">
        <f t="shared" ca="1" si="4"/>
        <v>-699.2823928029535</v>
      </c>
      <c r="M34" s="56">
        <f t="shared" ca="1" si="4"/>
        <v>-222.8935038069792</v>
      </c>
      <c r="N34" s="56">
        <f t="shared" ca="1" si="4"/>
        <v>-1747.236595504949</v>
      </c>
      <c r="O34" s="56">
        <f t="shared" ca="1" si="4"/>
        <v>-2424.4556944991764</v>
      </c>
      <c r="P34" s="56">
        <f t="shared" ca="1" si="4"/>
        <v>-825.70858696210962</v>
      </c>
      <c r="Q34" s="56">
        <f t="shared" ca="1" si="4"/>
        <v>-3013.2518695895988</v>
      </c>
      <c r="R34" s="56">
        <f t="shared" ca="1" si="4"/>
        <v>-1437.8101067813973</v>
      </c>
      <c r="S34" s="56">
        <f t="shared" ca="1" si="4"/>
        <v>-3310.9229896625666</v>
      </c>
      <c r="T34" s="56">
        <f t="shared" ca="1" si="4"/>
        <v>-4057.0034060819962</v>
      </c>
      <c r="U34" s="56">
        <f t="shared" ca="1" si="4"/>
        <v>-2308.0504556096812</v>
      </c>
      <c r="V34" s="56">
        <f t="shared" ca="1" si="4"/>
        <v>-4942.9327104602371</v>
      </c>
      <c r="W34" s="56">
        <f t="shared" ca="1" si="4"/>
        <v>-4077.4347105108345</v>
      </c>
      <c r="X34" s="56">
        <f t="shared" ca="1" si="4"/>
        <v>-4658.0115174478824</v>
      </c>
      <c r="Y34" s="56">
        <f t="shared" ca="1" si="4"/>
        <v>-6830.0191071818335</v>
      </c>
      <c r="Z34" s="56">
        <f t="shared" ca="1" si="4"/>
        <v>-5079.6762625880392</v>
      </c>
      <c r="AA34" s="56">
        <f t="shared" ca="1" si="4"/>
        <v>-8055.3166386471521</v>
      </c>
      <c r="AB34" s="56">
        <f t="shared" ca="1" si="4"/>
        <v>-8210.6791841859231</v>
      </c>
      <c r="AC34" s="56">
        <f t="shared" ca="1" si="4"/>
        <v>-7544.6188664758402</v>
      </c>
    </row>
    <row r="36" spans="1:29" x14ac:dyDescent="0.2">
      <c r="A36" s="18" t="s">
        <v>1373</v>
      </c>
      <c r="C36" t="s">
        <v>1374</v>
      </c>
      <c r="D36" s="59" cm="1">
        <f t="array" aca="1" ref="D36" ca="1">D23+D24+D25+IFERROR(INDEX('Lunar Mars'!$D:$AC, MATCH("Lunar Mars Module D&amp;A ($mm)", 'Lunar Mars'!$A:$A, 0), D$5+1), 0)</f>
        <v>0</v>
      </c>
      <c r="E36" s="59" cm="1">
        <f t="array" ref="E36">E23+E24+E25+IFERROR(INDEX('Lunar Mars'!$D:$AC, MATCH("Lunar Mars Module D&amp;A ($mm)", 'Lunar Mars'!$A:$A, 0), E$5+1), 0)</f>
        <v>0</v>
      </c>
      <c r="F36" s="59" cm="1">
        <f t="array" ref="F36">F23+F24+F25+IFERROR(INDEX('Lunar Mars'!$D:$AC, MATCH("Lunar Mars Module D&amp;A ($mm)", 'Lunar Mars'!$A:$A, 0), F$5+1), 0)</f>
        <v>0</v>
      </c>
      <c r="G36" s="59" cm="1">
        <f t="array" ref="G36">G23+G24+G25+IFERROR(INDEX('Lunar Mars'!$D:$AC, MATCH("Lunar Mars Module D&amp;A ($mm)", 'Lunar Mars'!$A:$A, 0), G$5+1), 0)</f>
        <v>0</v>
      </c>
      <c r="H36" s="59" cm="1">
        <f t="array" ref="H36">H23+H24+H25+IFERROR(INDEX('Lunar Mars'!$D:$AC, MATCH("Lunar Mars Module D&amp;A ($mm)", 'Lunar Mars'!$A:$A, 0), H$5+1), 0)</f>
        <v>0</v>
      </c>
      <c r="I36" s="59" cm="1">
        <f t="array" ref="I36">I23+I24+I25+IFERROR(INDEX('Lunar Mars'!$D:$AC, MATCH("Lunar Mars Module D&amp;A ($mm)", 'Lunar Mars'!$A:$A, 0), I$5+1), 0)</f>
        <v>0</v>
      </c>
      <c r="J36" s="59" cm="1">
        <f t="array" ref="J36">J23+J24+J25+IFERROR(INDEX('Lunar Mars'!$D:$AC, MATCH("Lunar Mars Module D&amp;A ($mm)", 'Lunar Mars'!$A:$A, 0), J$5+1), 0)</f>
        <v>0</v>
      </c>
      <c r="K36" s="59" cm="1">
        <f t="array" ref="K36">K23+K24+K25+IFERROR(INDEX('Lunar Mars'!$D:$AC, MATCH("Lunar Mars Module D&amp;A ($mm)", 'Lunar Mars'!$A:$A, 0), K$5+1), 0)</f>
        <v>0</v>
      </c>
      <c r="L36" s="59" cm="1">
        <f t="array" ref="L36">L23+L24+L25+IFERROR(INDEX('Lunar Mars'!$D:$AC, MATCH("Lunar Mars Module D&amp;A ($mm)", 'Lunar Mars'!$A:$A, 0), L$5+1), 0)</f>
        <v>0</v>
      </c>
      <c r="M36" s="59" cm="1">
        <f t="array" ref="M36">M23+M24+M25+IFERROR(INDEX('Lunar Mars'!$D:$AC, MATCH("Lunar Mars Module D&amp;A ($mm)", 'Lunar Mars'!$A:$A, 0), M$5+1), 0)</f>
        <v>0</v>
      </c>
      <c r="N36" s="59" cm="1">
        <f t="array" ref="N36">N23+N24+N25+IFERROR(INDEX('Lunar Mars'!$D:$AC, MATCH("Lunar Mars Module D&amp;A ($mm)", 'Lunar Mars'!$A:$A, 0), N$5+1), 0)</f>
        <v>0</v>
      </c>
      <c r="O36" s="59" cm="1">
        <f t="array" ref="O36">O23+O24+O25+IFERROR(INDEX('Lunar Mars'!$D:$AC, MATCH("Lunar Mars Module D&amp;A ($mm)", 'Lunar Mars'!$A:$A, 0), O$5+1), 0)</f>
        <v>0</v>
      </c>
      <c r="P36" s="59" cm="1">
        <f t="array" ref="P36">P23+P24+P25+IFERROR(INDEX('Lunar Mars'!$D:$AC, MATCH("Lunar Mars Module D&amp;A ($mm)", 'Lunar Mars'!$A:$A, 0), P$5+1), 0)</f>
        <v>0</v>
      </c>
      <c r="Q36" s="59" cm="1">
        <f t="array" ref="Q36">Q23+Q24+Q25+IFERROR(INDEX('Lunar Mars'!$D:$AC, MATCH("Lunar Mars Module D&amp;A ($mm)", 'Lunar Mars'!$A:$A, 0), Q$5+1), 0)</f>
        <v>0</v>
      </c>
      <c r="R36" s="59" cm="1">
        <f t="array" ref="R36">R23+R24+R25+IFERROR(INDEX('Lunar Mars'!$D:$AC, MATCH("Lunar Mars Module D&amp;A ($mm)", 'Lunar Mars'!$A:$A, 0), R$5+1), 0)</f>
        <v>0</v>
      </c>
      <c r="S36" s="59" cm="1">
        <f t="array" ref="S36">S23+S24+S25+IFERROR(INDEX('Lunar Mars'!$D:$AC, MATCH("Lunar Mars Module D&amp;A ($mm)", 'Lunar Mars'!$A:$A, 0), S$5+1), 0)</f>
        <v>0</v>
      </c>
      <c r="T36" s="59" cm="1">
        <f t="array" ref="T36">T23+T24+T25+IFERROR(INDEX('Lunar Mars'!$D:$AC, MATCH("Lunar Mars Module D&amp;A ($mm)", 'Lunar Mars'!$A:$A, 0), T$5+1), 0)</f>
        <v>0</v>
      </c>
      <c r="U36" s="59" cm="1">
        <f t="array" ref="U36">U23+U24+U25+IFERROR(INDEX('Lunar Mars'!$D:$AC, MATCH("Lunar Mars Module D&amp;A ($mm)", 'Lunar Mars'!$A:$A, 0), U$5+1), 0)</f>
        <v>0</v>
      </c>
      <c r="V36" s="59" cm="1">
        <f t="array" ref="V36">V23+V24+V25+IFERROR(INDEX('Lunar Mars'!$D:$AC, MATCH("Lunar Mars Module D&amp;A ($mm)", 'Lunar Mars'!$A:$A, 0), V$5+1), 0)</f>
        <v>0</v>
      </c>
      <c r="W36" s="59" cm="1">
        <f t="array" ref="W36">W23+W24+W25+IFERROR(INDEX('Lunar Mars'!$D:$AC, MATCH("Lunar Mars Module D&amp;A ($mm)", 'Lunar Mars'!$A:$A, 0), W$5+1), 0)</f>
        <v>0</v>
      </c>
      <c r="X36" s="59" cm="1">
        <f t="array" ref="X36">X23+X24+X25+IFERROR(INDEX('Lunar Mars'!$D:$AC, MATCH("Lunar Mars Module D&amp;A ($mm)", 'Lunar Mars'!$A:$A, 0), X$5+1), 0)</f>
        <v>0</v>
      </c>
      <c r="Y36" s="59" cm="1">
        <f t="array" ref="Y36">Y23+Y24+Y25+IFERROR(INDEX('Lunar Mars'!$D:$AC, MATCH("Lunar Mars Module D&amp;A ($mm)", 'Lunar Mars'!$A:$A, 0), Y$5+1), 0)</f>
        <v>0</v>
      </c>
      <c r="Z36" s="59" cm="1">
        <f t="array" ref="Z36">Z23+Z24+Z25+IFERROR(INDEX('Lunar Mars'!$D:$AC, MATCH("Lunar Mars Module D&amp;A ($mm)", 'Lunar Mars'!$A:$A, 0), Z$5+1), 0)</f>
        <v>0</v>
      </c>
      <c r="AA36" s="59" cm="1">
        <f t="array" ref="AA36">AA23+AA24+AA25+IFERROR(INDEX('Lunar Mars'!$D:$AC, MATCH("Lunar Mars Module D&amp;A ($mm)", 'Lunar Mars'!$A:$A, 0), AA$5+1), 0)</f>
        <v>0</v>
      </c>
      <c r="AB36" s="59" cm="1">
        <f t="array" ref="AB36">AB23+AB24+AB25+IFERROR(INDEX('Lunar Mars'!$D:$AC, MATCH("Lunar Mars Module D&amp;A ($mm)", 'Lunar Mars'!$A:$A, 0), AB$5+1), 0)</f>
        <v>0</v>
      </c>
      <c r="AC36" s="59" cm="1">
        <f t="array" ref="AC36">AC23+AC24+AC25+IFERROR(INDEX('Lunar Mars'!$D:$AC, MATCH("Lunar Mars Module D&amp;A ($mm)", 'Lunar Mars'!$A:$A, 0), AC$5+1), 0)</f>
        <v>0</v>
      </c>
    </row>
    <row r="37" spans="1:29" x14ac:dyDescent="0.2">
      <c r="A37" s="18" t="s">
        <v>1375</v>
      </c>
      <c r="C37" t="s">
        <v>1376</v>
      </c>
      <c r="D37" s="59" cm="1">
        <f t="array" aca="1" ref="D37" ca="1">INDEX(CapEx!$D:$AC, MATCH("Total Corporate D&amp;A ($mm)", CapEx!$A:$A, 0), D$5+1)</f>
        <v>120.30952380952381</v>
      </c>
      <c r="E37" s="59" cm="1">
        <f t="array" aca="1" ref="E37" ca="1">INDEX(CapEx!$D:$AC, MATCH("Total Corporate D&amp;A ($mm)", CapEx!$A:$A, 0), E$5+1)</f>
        <v>127.76190476190476</v>
      </c>
      <c r="F37" s="59" cm="1">
        <f t="array" aca="1" ref="F37" ca="1">INDEX(CapEx!$D:$AC, MATCH("Total Corporate D&amp;A ($mm)", CapEx!$A:$A, 0), F$5+1)</f>
        <v>135.21428571428572</v>
      </c>
      <c r="G37" s="59" cm="1">
        <f t="array" aca="1" ref="G37" ca="1">INDEX(CapEx!$D:$AC, MATCH("Total Corporate D&amp;A ($mm)", CapEx!$A:$A, 0), G$5+1)</f>
        <v>142.66666666666666</v>
      </c>
      <c r="H37" s="59" cm="1">
        <f t="array" aca="1" ref="H37" ca="1">INDEX(CapEx!$D:$AC, MATCH("Total Corporate D&amp;A ($mm)", CapEx!$A:$A, 0), H$5+1)</f>
        <v>150.11904761904762</v>
      </c>
      <c r="I37" s="59" cm="1">
        <f t="array" aca="1" ref="I37" ca="1">INDEX(CapEx!$D:$AC, MATCH("Total Corporate D&amp;A ($mm)", CapEx!$A:$A, 0), I$5+1)</f>
        <v>157.57142857142856</v>
      </c>
      <c r="J37" s="59" cm="1">
        <f t="array" aca="1" ref="J37" ca="1">INDEX(CapEx!$D:$AC, MATCH("Total Corporate D&amp;A ($mm)", CapEx!$A:$A, 0), J$5+1)</f>
        <v>165.02380952380952</v>
      </c>
      <c r="K37" s="59" cm="1">
        <f t="array" aca="1" ref="K37" ca="1">INDEX(CapEx!$D:$AC, MATCH("Total Corporate D&amp;A ($mm)", CapEx!$A:$A, 0), K$5+1)</f>
        <v>172.47619047619048</v>
      </c>
      <c r="L37" s="59" cm="1">
        <f t="array" aca="1" ref="L37" ca="1">INDEX(CapEx!$D:$AC, MATCH("Total Corporate D&amp;A ($mm)", CapEx!$A:$A, 0), L$5+1)</f>
        <v>179.92857142857144</v>
      </c>
      <c r="M37" s="59" cm="1">
        <f t="array" aca="1" ref="M37" ca="1">INDEX(CapEx!$D:$AC, MATCH("Total Corporate D&amp;A ($mm)", CapEx!$A:$A, 0), M$5+1)</f>
        <v>187.38095238095238</v>
      </c>
      <c r="N37" s="59" cm="1">
        <f t="array" aca="1" ref="N37" ca="1">INDEX(CapEx!$D:$AC, MATCH("Total Corporate D&amp;A ($mm)", CapEx!$A:$A, 0), N$5+1)</f>
        <v>194.83333333333334</v>
      </c>
      <c r="O37" s="59" cm="1">
        <f t="array" aca="1" ref="O37" ca="1">INDEX(CapEx!$D:$AC, MATCH("Total Corporate D&amp;A ($mm)", CapEx!$A:$A, 0), O$5+1)</f>
        <v>202.28571428571428</v>
      </c>
      <c r="P37" s="59" cm="1">
        <f t="array" aca="1" ref="P37" ca="1">INDEX(CapEx!$D:$AC, MATCH("Total Corporate D&amp;A ($mm)", CapEx!$A:$A, 0), P$5+1)</f>
        <v>209.73809523809524</v>
      </c>
      <c r="Q37" s="59" cm="1">
        <f t="array" aca="1" ref="Q37" ca="1">INDEX(CapEx!$D:$AC, MATCH("Total Corporate D&amp;A ($mm)", CapEx!$A:$A, 0), Q$5+1)</f>
        <v>217.1904761904762</v>
      </c>
      <c r="R37" s="59" cm="1">
        <f t="array" aca="1" ref="R37" ca="1">INDEX(CapEx!$D:$AC, MATCH("Total Corporate D&amp;A ($mm)", CapEx!$A:$A, 0), R$5+1)</f>
        <v>224.64285714285714</v>
      </c>
      <c r="S37" s="59" cm="1">
        <f t="array" aca="1" ref="S37" ca="1">INDEX(CapEx!$D:$AC, MATCH("Total Corporate D&amp;A ($mm)", CapEx!$A:$A, 0), S$5+1)</f>
        <v>232.0952380952381</v>
      </c>
      <c r="T37" s="59" cm="1">
        <f t="array" aca="1" ref="T37" ca="1">INDEX(CapEx!$D:$AC, MATCH("Total Corporate D&amp;A ($mm)", CapEx!$A:$A, 0), T$5+1)</f>
        <v>239.54761904761904</v>
      </c>
      <c r="U37" s="59" cm="1">
        <f t="array" aca="1" ref="U37" ca="1">INDEX(CapEx!$D:$AC, MATCH("Total Corporate D&amp;A ($mm)", CapEx!$A:$A, 0), U$5+1)</f>
        <v>247</v>
      </c>
      <c r="V37" s="59" cm="1">
        <f t="array" aca="1" ref="V37" ca="1">INDEX(CapEx!$D:$AC, MATCH("Total Corporate D&amp;A ($mm)", CapEx!$A:$A, 0), V$5+1)</f>
        <v>254.45238095238096</v>
      </c>
      <c r="W37" s="59" cm="1">
        <f t="array" aca="1" ref="W37" ca="1">INDEX(CapEx!$D:$AC, MATCH("Total Corporate D&amp;A ($mm)", CapEx!$A:$A, 0), W$5+1)</f>
        <v>261.90476190476193</v>
      </c>
      <c r="X37" s="59" cm="1">
        <f t="array" aca="1" ref="X37" ca="1">INDEX(CapEx!$D:$AC, MATCH("Total Corporate D&amp;A ($mm)", CapEx!$A:$A, 0), X$5+1)</f>
        <v>269.35714285714289</v>
      </c>
      <c r="Y37" s="59" cm="1">
        <f t="array" aca="1" ref="Y37" ca="1">INDEX(CapEx!$D:$AC, MATCH("Total Corporate D&amp;A ($mm)", CapEx!$A:$A, 0), Y$5+1)</f>
        <v>276.8095238095238</v>
      </c>
      <c r="Z37" s="59" cm="1">
        <f t="array" aca="1" ref="Z37" ca="1">INDEX(CapEx!$D:$AC, MATCH("Total Corporate D&amp;A ($mm)", CapEx!$A:$A, 0), Z$5+1)</f>
        <v>284.26190476190476</v>
      </c>
      <c r="AA37" s="59" cm="1">
        <f t="array" aca="1" ref="AA37" ca="1">INDEX(CapEx!$D:$AC, MATCH("Total Corporate D&amp;A ($mm)", CapEx!$A:$A, 0), AA$5+1)</f>
        <v>291.71428571428572</v>
      </c>
      <c r="AB37" s="59" cm="1">
        <f t="array" aca="1" ref="AB37" ca="1">INDEX(CapEx!$D:$AC, MATCH("Total Corporate D&amp;A ($mm)", CapEx!$A:$A, 0), AB$5+1)</f>
        <v>299.16666666666669</v>
      </c>
      <c r="AC37" s="59" cm="1">
        <f t="array" aca="1" ref="AC37" ca="1">INDEX(CapEx!$D:$AC, MATCH("Total Corporate D&amp;A ($mm)", CapEx!$A:$A, 0), AC$5+1)</f>
        <v>306.61904761904759</v>
      </c>
    </row>
    <row r="38" spans="1:29" x14ac:dyDescent="0.2">
      <c r="A38" s="18" t="s">
        <v>1377</v>
      </c>
      <c r="C38" t="s">
        <v>1378</v>
      </c>
      <c r="D38" s="59" cm="1">
        <f t="array" aca="1" ref="D38" ca="1">INDEX(CapEx!$D:$AC, MATCH("Annual spectrum amortization ($mm)", CapEx!$A:$A, 0), D$5+1)</f>
        <v>333.33333333333331</v>
      </c>
      <c r="E38" s="59" cm="1">
        <f t="array" aca="1" ref="E38" ca="1">INDEX(CapEx!$D:$AC, MATCH("Annual spectrum amortization ($mm)", CapEx!$A:$A, 0), E$5+1)</f>
        <v>866.66666666666663</v>
      </c>
      <c r="F38" s="59" cm="1">
        <f t="array" aca="1" ref="F38" ca="1">INDEX(CapEx!$D:$AC, MATCH("Annual spectrum amortization ($mm)", CapEx!$A:$A, 0), F$5+1)</f>
        <v>1200</v>
      </c>
      <c r="G38" s="59" cm="1">
        <f t="array" aca="1" ref="G38" ca="1">INDEX(CapEx!$D:$AC, MATCH("Annual spectrum amortization ($mm)", CapEx!$A:$A, 0), G$5+1)</f>
        <v>1333.3333333333333</v>
      </c>
      <c r="H38" s="59" cm="1">
        <f t="array" aca="1" ref="H38" ca="1">INDEX(CapEx!$D:$AC, MATCH("Annual spectrum amortization ($mm)", CapEx!$A:$A, 0), H$5+1)</f>
        <v>1333.3333333333333</v>
      </c>
      <c r="I38" s="59" cm="1">
        <f t="array" aca="1" ref="I38" ca="1">INDEX(CapEx!$D:$AC, MATCH("Annual spectrum amortization ($mm)", CapEx!$A:$A, 0), I$5+1)</f>
        <v>1333.3333333333333</v>
      </c>
      <c r="J38" s="59" cm="1">
        <f t="array" aca="1" ref="J38" ca="1">INDEX(CapEx!$D:$AC, MATCH("Annual spectrum amortization ($mm)", CapEx!$A:$A, 0), J$5+1)</f>
        <v>1333.3333333333333</v>
      </c>
      <c r="K38" s="59" cm="1">
        <f t="array" aca="1" ref="K38" ca="1">INDEX(CapEx!$D:$AC, MATCH("Annual spectrum amortization ($mm)", CapEx!$A:$A, 0), K$5+1)</f>
        <v>1333.3333333333333</v>
      </c>
      <c r="L38" s="59" cm="1">
        <f t="array" aca="1" ref="L38" ca="1">INDEX(CapEx!$D:$AC, MATCH("Annual spectrum amortization ($mm)", CapEx!$A:$A, 0), L$5+1)</f>
        <v>1333.3333333333333</v>
      </c>
      <c r="M38" s="59" cm="1">
        <f t="array" aca="1" ref="M38" ca="1">INDEX(CapEx!$D:$AC, MATCH("Annual spectrum amortization ($mm)", CapEx!$A:$A, 0), M$5+1)</f>
        <v>1333.3333333333333</v>
      </c>
      <c r="N38" s="59" cm="1">
        <f t="array" aca="1" ref="N38" ca="1">INDEX(CapEx!$D:$AC, MATCH("Annual spectrum amortization ($mm)", CapEx!$A:$A, 0), N$5+1)</f>
        <v>1333.3333333333333</v>
      </c>
      <c r="O38" s="59" cm="1">
        <f t="array" aca="1" ref="O38" ca="1">INDEX(CapEx!$D:$AC, MATCH("Annual spectrum amortization ($mm)", CapEx!$A:$A, 0), O$5+1)</f>
        <v>1333.3333333333333</v>
      </c>
      <c r="P38" s="59" cm="1">
        <f t="array" aca="1" ref="P38" ca="1">INDEX(CapEx!$D:$AC, MATCH("Annual spectrum amortization ($mm)", CapEx!$A:$A, 0), P$5+1)</f>
        <v>1333.3333333333333</v>
      </c>
      <c r="Q38" s="59" cm="1">
        <f t="array" aca="1" ref="Q38" ca="1">INDEX(CapEx!$D:$AC, MATCH("Annual spectrum amortization ($mm)", CapEx!$A:$A, 0), Q$5+1)</f>
        <v>1333.3333333333333</v>
      </c>
      <c r="R38" s="59" cm="1">
        <f t="array" aca="1" ref="R38" ca="1">INDEX(CapEx!$D:$AC, MATCH("Annual spectrum amortization ($mm)", CapEx!$A:$A, 0), R$5+1)</f>
        <v>1333.3333333333333</v>
      </c>
      <c r="S38" s="59" cm="1">
        <f t="array" aca="1" ref="S38" ca="1">INDEX(CapEx!$D:$AC, MATCH("Annual spectrum amortization ($mm)", CapEx!$A:$A, 0), S$5+1)</f>
        <v>1333.3333333333333</v>
      </c>
      <c r="T38" s="59" cm="1">
        <f t="array" aca="1" ref="T38" ca="1">INDEX(CapEx!$D:$AC, MATCH("Annual spectrum amortization ($mm)", CapEx!$A:$A, 0), T$5+1)</f>
        <v>1333.3333333333333</v>
      </c>
      <c r="U38" s="59" cm="1">
        <f t="array" aca="1" ref="U38" ca="1">INDEX(CapEx!$D:$AC, MATCH("Annual spectrum amortization ($mm)", CapEx!$A:$A, 0), U$5+1)</f>
        <v>1333.3333333333333</v>
      </c>
      <c r="V38" s="59" cm="1">
        <f t="array" aca="1" ref="V38" ca="1">INDEX(CapEx!$D:$AC, MATCH("Annual spectrum amortization ($mm)", CapEx!$A:$A, 0), V$5+1)</f>
        <v>1333.3333333333333</v>
      </c>
      <c r="W38" s="59" cm="1">
        <f t="array" aca="1" ref="W38" ca="1">INDEX(CapEx!$D:$AC, MATCH("Annual spectrum amortization ($mm)", CapEx!$A:$A, 0), W$5+1)</f>
        <v>1333.3333333333333</v>
      </c>
      <c r="X38" s="59" cm="1">
        <f t="array" aca="1" ref="X38" ca="1">INDEX(CapEx!$D:$AC, MATCH("Annual spectrum amortization ($mm)", CapEx!$A:$A, 0), X$5+1)</f>
        <v>1333.3333333333333</v>
      </c>
      <c r="Y38" s="59" cm="1">
        <f t="array" aca="1" ref="Y38" ca="1">INDEX(CapEx!$D:$AC, MATCH("Annual spectrum amortization ($mm)", CapEx!$A:$A, 0), Y$5+1)</f>
        <v>1333.3333333333333</v>
      </c>
      <c r="Z38" s="59" cm="1">
        <f t="array" aca="1" ref="Z38" ca="1">INDEX(CapEx!$D:$AC, MATCH("Annual spectrum amortization ($mm)", CapEx!$A:$A, 0), Z$5+1)</f>
        <v>1333.3333333333333</v>
      </c>
      <c r="AA38" s="59" cm="1">
        <f t="array" aca="1" ref="AA38" ca="1">INDEX(CapEx!$D:$AC, MATCH("Annual spectrum amortization ($mm)", CapEx!$A:$A, 0), AA$5+1)</f>
        <v>1333.3333333333333</v>
      </c>
      <c r="AB38" s="59" cm="1">
        <f t="array" aca="1" ref="AB38" ca="1">INDEX(CapEx!$D:$AC, MATCH("Annual spectrum amortization ($mm)", CapEx!$A:$A, 0), AB$5+1)</f>
        <v>1333.3333333333333</v>
      </c>
      <c r="AC38" s="59" cm="1">
        <f t="array" aca="1" ref="AC38" ca="1">INDEX(CapEx!$D:$AC, MATCH("Annual spectrum amortization ($mm)", CapEx!$A:$A, 0), AC$5+1)</f>
        <v>1333.3333333333333</v>
      </c>
    </row>
    <row r="39" spans="1:29" x14ac:dyDescent="0.2">
      <c r="A39" s="62" t="s">
        <v>1379</v>
      </c>
      <c r="C39" t="s">
        <v>1380</v>
      </c>
      <c r="D39" s="56">
        <f ca="1">D36+D37+D38</f>
        <v>1260.8486171428572</v>
      </c>
      <c r="E39" s="56">
        <f t="shared" ref="E39:AC39" ca="1" si="5">E36+E37+E38</f>
        <v>1602.0669173485717</v>
      </c>
      <c r="F39" s="56">
        <f t="shared" ca="1" si="5"/>
        <v>1833.7271337200375</v>
      </c>
      <c r="G39" s="56">
        <f t="shared" ca="1" si="5"/>
        <v>1858.1943676005922</v>
      </c>
      <c r="H39" s="56">
        <f t="shared" ca="1" si="5"/>
        <v>1863.4057561767115</v>
      </c>
      <c r="I39" s="56">
        <f t="shared" ca="1" si="5"/>
        <v>1993.2609018324008</v>
      </c>
      <c r="J39" s="56">
        <f t="shared" ca="1" si="5"/>
        <v>2297.0186764802675</v>
      </c>
      <c r="K39" s="56">
        <f t="shared" ca="1" si="5"/>
        <v>2696.8931016050428</v>
      </c>
      <c r="L39" s="56">
        <f t="shared" ca="1" si="5"/>
        <v>3234.2888672887366</v>
      </c>
      <c r="M39" s="56">
        <f t="shared" ca="1" si="5"/>
        <v>3745.6724792280165</v>
      </c>
      <c r="N39" s="56">
        <f t="shared" ca="1" si="5"/>
        <v>4329.8109386402002</v>
      </c>
      <c r="O39" s="56">
        <f t="shared" ca="1" si="5"/>
        <v>4923.5389948808379</v>
      </c>
      <c r="P39" s="56">
        <f t="shared" ca="1" si="5"/>
        <v>5518.4665950523249</v>
      </c>
      <c r="Q39" s="56">
        <f t="shared" ca="1" si="5"/>
        <v>6210.7180621433872</v>
      </c>
      <c r="R39" s="56">
        <f t="shared" ca="1" si="5"/>
        <v>6880.8709385305228</v>
      </c>
      <c r="S39" s="56">
        <f t="shared" ca="1" si="5"/>
        <v>7646.3396041126953</v>
      </c>
      <c r="T39" s="56">
        <f t="shared" ca="1" si="5"/>
        <v>8426.8363017180654</v>
      </c>
      <c r="U39" s="56">
        <f t="shared" ca="1" si="5"/>
        <v>9224.3694039686216</v>
      </c>
      <c r="V39" s="56">
        <f t="shared" ca="1" si="5"/>
        <v>10132.589147801131</v>
      </c>
      <c r="W39" s="56">
        <f t="shared" ca="1" si="5"/>
        <v>11045.964987757467</v>
      </c>
      <c r="X39" s="56">
        <f t="shared" ca="1" si="5"/>
        <v>12046.828091996291</v>
      </c>
      <c r="Y39" s="56">
        <f t="shared" ca="1" si="5"/>
        <v>13130.245896986524</v>
      </c>
      <c r="Z39" s="56">
        <f t="shared" ca="1" si="5"/>
        <v>14236.730124561005</v>
      </c>
      <c r="AA39" s="56">
        <f t="shared" ca="1" si="5"/>
        <v>15485.314669810712</v>
      </c>
      <c r="AB39" s="56">
        <f t="shared" ca="1" si="5"/>
        <v>16773.418153695617</v>
      </c>
      <c r="AC39" s="56">
        <f t="shared" ca="1" si="5"/>
        <v>18218.611205121822</v>
      </c>
    </row>
    <row r="41" spans="1:29" x14ac:dyDescent="0.2">
      <c r="A41" s="63" t="s">
        <v>1381</v>
      </c>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row>
    <row r="42" spans="1:29" x14ac:dyDescent="0.2">
      <c r="A42" t="s">
        <v>1382</v>
      </c>
      <c r="C42" t="s">
        <v>1383</v>
      </c>
      <c r="D42" s="15" cm="1">
        <f t="array" aca="1" ref="D42" ca="1">INDEX('Customer Launch'!$D:$AC, MATCH("Customer Launch internal transfer revenue ($mm)", 'Customer Launch'!$A:$A, 0), D$5+1)</f>
        <v>2289.75</v>
      </c>
      <c r="E42" s="15" cm="1">
        <f t="array" aca="1" ref="E42" ca="1">INDEX('Customer Launch'!$D:$AC, MATCH("Customer Launch internal transfer revenue ($mm)", 'Customer Launch'!$A:$A, 0), E$5+1)</f>
        <v>0</v>
      </c>
      <c r="F42" s="15" cm="1">
        <f t="array" aca="1" ref="F42" ca="1">INDEX('Customer Launch'!$D:$AC, MATCH("Customer Launch internal transfer revenue ($mm)", 'Customer Launch'!$A:$A, 0), F$5+1)</f>
        <v>0</v>
      </c>
      <c r="G42" s="15" cm="1">
        <f t="array" aca="1" ref="G42" ca="1">INDEX('Customer Launch'!$D:$AC, MATCH("Customer Launch internal transfer revenue ($mm)", 'Customer Launch'!$A:$A, 0), G$5+1)</f>
        <v>0</v>
      </c>
      <c r="H42" s="15" cm="1">
        <f t="array" aca="1" ref="H42" ca="1">INDEX('Customer Launch'!$D:$AC, MATCH("Customer Launch internal transfer revenue ($mm)", 'Customer Launch'!$A:$A, 0), H$5+1)</f>
        <v>0</v>
      </c>
      <c r="I42" s="15" cm="1">
        <f t="array" aca="1" ref="I42" ca="1">INDEX('Customer Launch'!$D:$AC, MATCH("Customer Launch internal transfer revenue ($mm)", 'Customer Launch'!$A:$A, 0), I$5+1)</f>
        <v>0</v>
      </c>
      <c r="J42" s="15" cm="1">
        <f t="array" aca="1" ref="J42" ca="1">INDEX('Customer Launch'!$D:$AC, MATCH("Customer Launch internal transfer revenue ($mm)", 'Customer Launch'!$A:$A, 0), J$5+1)</f>
        <v>0</v>
      </c>
      <c r="K42" s="15" cm="1">
        <f t="array" aca="1" ref="K42" ca="1">INDEX('Customer Launch'!$D:$AC, MATCH("Customer Launch internal transfer revenue ($mm)", 'Customer Launch'!$A:$A, 0), K$5+1)</f>
        <v>0</v>
      </c>
      <c r="L42" s="15" cm="1">
        <f t="array" aca="1" ref="L42" ca="1">INDEX('Customer Launch'!$D:$AC, MATCH("Customer Launch internal transfer revenue ($mm)", 'Customer Launch'!$A:$A, 0), L$5+1)</f>
        <v>0</v>
      </c>
      <c r="M42" s="15" cm="1">
        <f t="array" aca="1" ref="M42" ca="1">INDEX('Customer Launch'!$D:$AC, MATCH("Customer Launch internal transfer revenue ($mm)", 'Customer Launch'!$A:$A, 0), M$5+1)</f>
        <v>0</v>
      </c>
      <c r="N42" s="15" cm="1">
        <f t="array" aca="1" ref="N42" ca="1">INDEX('Customer Launch'!$D:$AC, MATCH("Customer Launch internal transfer revenue ($mm)", 'Customer Launch'!$A:$A, 0), N$5+1)</f>
        <v>0</v>
      </c>
      <c r="O42" s="15" cm="1">
        <f t="array" aca="1" ref="O42" ca="1">INDEX('Customer Launch'!$D:$AC, MATCH("Customer Launch internal transfer revenue ($mm)", 'Customer Launch'!$A:$A, 0), O$5+1)</f>
        <v>0</v>
      </c>
      <c r="P42" s="15" cm="1">
        <f t="array" aca="1" ref="P42" ca="1">INDEX('Customer Launch'!$D:$AC, MATCH("Customer Launch internal transfer revenue ($mm)", 'Customer Launch'!$A:$A, 0), P$5+1)</f>
        <v>0</v>
      </c>
      <c r="Q42" s="15" cm="1">
        <f t="array" aca="1" ref="Q42" ca="1">INDEX('Customer Launch'!$D:$AC, MATCH("Customer Launch internal transfer revenue ($mm)", 'Customer Launch'!$A:$A, 0), Q$5+1)</f>
        <v>0</v>
      </c>
      <c r="R42" s="15" cm="1">
        <f t="array" aca="1" ref="R42" ca="1">INDEX('Customer Launch'!$D:$AC, MATCH("Customer Launch internal transfer revenue ($mm)", 'Customer Launch'!$A:$A, 0), R$5+1)</f>
        <v>0</v>
      </c>
      <c r="S42" s="15" cm="1">
        <f t="array" aca="1" ref="S42" ca="1">INDEX('Customer Launch'!$D:$AC, MATCH("Customer Launch internal transfer revenue ($mm)", 'Customer Launch'!$A:$A, 0), S$5+1)</f>
        <v>0</v>
      </c>
      <c r="T42" s="15" cm="1">
        <f t="array" aca="1" ref="T42" ca="1">INDEX('Customer Launch'!$D:$AC, MATCH("Customer Launch internal transfer revenue ($mm)", 'Customer Launch'!$A:$A, 0), T$5+1)</f>
        <v>0</v>
      </c>
      <c r="U42" s="15" cm="1">
        <f t="array" aca="1" ref="U42" ca="1">INDEX('Customer Launch'!$D:$AC, MATCH("Customer Launch internal transfer revenue ($mm)", 'Customer Launch'!$A:$A, 0), U$5+1)</f>
        <v>0</v>
      </c>
      <c r="V42" s="15" cm="1">
        <f t="array" aca="1" ref="V42" ca="1">INDEX('Customer Launch'!$D:$AC, MATCH("Customer Launch internal transfer revenue ($mm)", 'Customer Launch'!$A:$A, 0), V$5+1)</f>
        <v>0</v>
      </c>
      <c r="W42" s="15" cm="1">
        <f t="array" aca="1" ref="W42" ca="1">INDEX('Customer Launch'!$D:$AC, MATCH("Customer Launch internal transfer revenue ($mm)", 'Customer Launch'!$A:$A, 0), W$5+1)</f>
        <v>0</v>
      </c>
      <c r="X42" s="15" cm="1">
        <f t="array" aca="1" ref="X42" ca="1">INDEX('Customer Launch'!$D:$AC, MATCH("Customer Launch internal transfer revenue ($mm)", 'Customer Launch'!$A:$A, 0), X$5+1)</f>
        <v>0</v>
      </c>
      <c r="Y42" s="15" cm="1">
        <f t="array" aca="1" ref="Y42" ca="1">INDEX('Customer Launch'!$D:$AC, MATCH("Customer Launch internal transfer revenue ($mm)", 'Customer Launch'!$A:$A, 0), Y$5+1)</f>
        <v>0</v>
      </c>
      <c r="Z42" s="15" cm="1">
        <f t="array" aca="1" ref="Z42" ca="1">INDEX('Customer Launch'!$D:$AC, MATCH("Customer Launch internal transfer revenue ($mm)", 'Customer Launch'!$A:$A, 0), Z$5+1)</f>
        <v>0</v>
      </c>
      <c r="AA42" s="15" cm="1">
        <f t="array" aca="1" ref="AA42" ca="1">INDEX('Customer Launch'!$D:$AC, MATCH("Customer Launch internal transfer revenue ($mm)", 'Customer Launch'!$A:$A, 0), AA$5+1)</f>
        <v>0</v>
      </c>
      <c r="AB42" s="15" cm="1">
        <f t="array" aca="1" ref="AB42" ca="1">INDEX('Customer Launch'!$D:$AC, MATCH("Customer Launch internal transfer revenue ($mm)", 'Customer Launch'!$A:$A, 0), AB$5+1)</f>
        <v>0</v>
      </c>
      <c r="AC42" s="15" cm="1">
        <f t="array" aca="1" ref="AC42" ca="1">INDEX('Customer Launch'!$D:$AC, MATCH("Customer Launch internal transfer revenue ($mm)", 'Customer Launch'!$A:$A, 0), AC$5+1)</f>
        <v>0</v>
      </c>
    </row>
    <row r="43" spans="1:29" x14ac:dyDescent="0.2">
      <c r="A43" t="s">
        <v>1384</v>
      </c>
      <c r="C43" t="s">
        <v>1385</v>
      </c>
      <c r="D43" s="15" cm="1">
        <f t="array" aca="1" ref="D43" ca="1">IFERROR(INDEX(Starlink!$D:$AC, MATCH("Internal bandwidth revenue ($mm)", Starlink!$A:$A, 0), D$5+1), 0)</f>
        <v>0</v>
      </c>
      <c r="E43" s="15" cm="1">
        <f t="array" aca="1" ref="E43" ca="1">IFERROR(INDEX(Starlink!$D:$AC, MATCH("Internal bandwidth revenue ($mm)", Starlink!$A:$A, 0), E$5+1), 0)</f>
        <v>0</v>
      </c>
      <c r="F43" s="15" cm="1">
        <f t="array" aca="1" ref="F43" ca="1">IFERROR(INDEX(Starlink!$D:$AC, MATCH("Internal bandwidth revenue ($mm)", Starlink!$A:$A, 0), F$5+1), 0)</f>
        <v>0</v>
      </c>
      <c r="G43" s="15" cm="1">
        <f t="array" aca="1" ref="G43" ca="1">IFERROR(INDEX(Starlink!$D:$AC, MATCH("Internal bandwidth revenue ($mm)", Starlink!$A:$A, 0), G$5+1), 0)</f>
        <v>0</v>
      </c>
      <c r="H43" s="15" cm="1">
        <f t="array" aca="1" ref="H43" ca="1">IFERROR(INDEX(Starlink!$D:$AC, MATCH("Internal bandwidth revenue ($mm)", Starlink!$A:$A, 0), H$5+1), 0)</f>
        <v>0</v>
      </c>
      <c r="I43" s="15" cm="1">
        <f t="array" aca="1" ref="I43" ca="1">IFERROR(INDEX(Starlink!$D:$AC, MATCH("Internal bandwidth revenue ($mm)", Starlink!$A:$A, 0), I$5+1), 0)</f>
        <v>0</v>
      </c>
      <c r="J43" s="15" cm="1">
        <f t="array" aca="1" ref="J43" ca="1">IFERROR(INDEX(Starlink!$D:$AC, MATCH("Internal bandwidth revenue ($mm)", Starlink!$A:$A, 0), J$5+1), 0)</f>
        <v>0</v>
      </c>
      <c r="K43" s="15" cm="1">
        <f t="array" aca="1" ref="K43" ca="1">IFERROR(INDEX(Starlink!$D:$AC, MATCH("Internal bandwidth revenue ($mm)", Starlink!$A:$A, 0), K$5+1), 0)</f>
        <v>0</v>
      </c>
      <c r="L43" s="15" cm="1">
        <f t="array" aca="1" ref="L43" ca="1">IFERROR(INDEX(Starlink!$D:$AC, MATCH("Internal bandwidth revenue ($mm)", Starlink!$A:$A, 0), L$5+1), 0)</f>
        <v>0</v>
      </c>
      <c r="M43" s="15" cm="1">
        <f t="array" aca="1" ref="M43" ca="1">IFERROR(INDEX(Starlink!$D:$AC, MATCH("Internal bandwidth revenue ($mm)", Starlink!$A:$A, 0), M$5+1), 0)</f>
        <v>0</v>
      </c>
      <c r="N43" s="15" cm="1">
        <f t="array" aca="1" ref="N43" ca="1">IFERROR(INDEX(Starlink!$D:$AC, MATCH("Internal bandwidth revenue ($mm)", Starlink!$A:$A, 0), N$5+1), 0)</f>
        <v>0</v>
      </c>
      <c r="O43" s="15" cm="1">
        <f t="array" aca="1" ref="O43" ca="1">IFERROR(INDEX(Starlink!$D:$AC, MATCH("Internal bandwidth revenue ($mm)", Starlink!$A:$A, 0), O$5+1), 0)</f>
        <v>0</v>
      </c>
      <c r="P43" s="15" cm="1">
        <f t="array" aca="1" ref="P43" ca="1">IFERROR(INDEX(Starlink!$D:$AC, MATCH("Internal bandwidth revenue ($mm)", Starlink!$A:$A, 0), P$5+1), 0)</f>
        <v>0</v>
      </c>
      <c r="Q43" s="15" cm="1">
        <f t="array" aca="1" ref="Q43" ca="1">IFERROR(INDEX(Starlink!$D:$AC, MATCH("Internal bandwidth revenue ($mm)", Starlink!$A:$A, 0), Q$5+1), 0)</f>
        <v>0</v>
      </c>
      <c r="R43" s="15" cm="1">
        <f t="array" aca="1" ref="R43" ca="1">IFERROR(INDEX(Starlink!$D:$AC, MATCH("Internal bandwidth revenue ($mm)", Starlink!$A:$A, 0), R$5+1), 0)</f>
        <v>0</v>
      </c>
      <c r="S43" s="15" cm="1">
        <f t="array" aca="1" ref="S43" ca="1">IFERROR(INDEX(Starlink!$D:$AC, MATCH("Internal bandwidth revenue ($mm)", Starlink!$A:$A, 0), S$5+1), 0)</f>
        <v>0</v>
      </c>
      <c r="T43" s="15" cm="1">
        <f t="array" aca="1" ref="T43" ca="1">IFERROR(INDEX(Starlink!$D:$AC, MATCH("Internal bandwidth revenue ($mm)", Starlink!$A:$A, 0), T$5+1), 0)</f>
        <v>0</v>
      </c>
      <c r="U43" s="15" cm="1">
        <f t="array" aca="1" ref="U43" ca="1">IFERROR(INDEX(Starlink!$D:$AC, MATCH("Internal bandwidth revenue ($mm)", Starlink!$A:$A, 0), U$5+1), 0)</f>
        <v>0</v>
      </c>
      <c r="V43" s="15" cm="1">
        <f t="array" aca="1" ref="V43" ca="1">IFERROR(INDEX(Starlink!$D:$AC, MATCH("Internal bandwidth revenue ($mm)", Starlink!$A:$A, 0), V$5+1), 0)</f>
        <v>0</v>
      </c>
      <c r="W43" s="15" cm="1">
        <f t="array" aca="1" ref="W43" ca="1">IFERROR(INDEX(Starlink!$D:$AC, MATCH("Internal bandwidth revenue ($mm)", Starlink!$A:$A, 0), W$5+1), 0)</f>
        <v>0</v>
      </c>
      <c r="X43" s="15" cm="1">
        <f t="array" aca="1" ref="X43" ca="1">IFERROR(INDEX(Starlink!$D:$AC, MATCH("Internal bandwidth revenue ($mm)", Starlink!$A:$A, 0), X$5+1), 0)</f>
        <v>0</v>
      </c>
      <c r="Y43" s="15" cm="1">
        <f t="array" aca="1" ref="Y43" ca="1">IFERROR(INDEX(Starlink!$D:$AC, MATCH("Internal bandwidth revenue ($mm)", Starlink!$A:$A, 0), Y$5+1), 0)</f>
        <v>0</v>
      </c>
      <c r="Z43" s="15" cm="1">
        <f t="array" aca="1" ref="Z43" ca="1">IFERROR(INDEX(Starlink!$D:$AC, MATCH("Internal bandwidth revenue ($mm)", Starlink!$A:$A, 0), Z$5+1), 0)</f>
        <v>0</v>
      </c>
      <c r="AA43" s="15" cm="1">
        <f t="array" aca="1" ref="AA43" ca="1">IFERROR(INDEX(Starlink!$D:$AC, MATCH("Internal bandwidth revenue ($mm)", Starlink!$A:$A, 0), AA$5+1), 0)</f>
        <v>0</v>
      </c>
      <c r="AB43" s="15" cm="1">
        <f t="array" aca="1" ref="AB43" ca="1">IFERROR(INDEX(Starlink!$D:$AC, MATCH("Internal bandwidth revenue ($mm)", Starlink!$A:$A, 0), AB$5+1), 0)</f>
        <v>0</v>
      </c>
      <c r="AC43" s="15" cm="1">
        <f t="array" aca="1" ref="AC43" ca="1">IFERROR(INDEX(Starlink!$D:$AC, MATCH("Internal bandwidth revenue ($mm)", Starlink!$A:$A, 0), AC$5+1), 0)</f>
        <v>0</v>
      </c>
    </row>
    <row r="44" spans="1:29" x14ac:dyDescent="0.2">
      <c r="A44" t="s">
        <v>1386</v>
      </c>
      <c r="C44" t="s">
        <v>1387</v>
      </c>
      <c r="D44" s="15" cm="1">
        <f t="array" aca="1" ref="D44" ca="1">IFERROR(INDEX(ODC!$D:$AC, MATCH("Internal compute transfer revenue ($mm)", ODC!$A:$A, 0), D$5+1), 0)</f>
        <v>0</v>
      </c>
      <c r="E44" s="15" cm="1">
        <f t="array" aca="1" ref="E44" ca="1">IFERROR(INDEX(ODC!$D:$AC, MATCH("Internal compute transfer revenue ($mm)", ODC!$A:$A, 0), E$5+1), 0)</f>
        <v>0</v>
      </c>
      <c r="F44" s="15" cm="1">
        <f t="array" aca="1" ref="F44" ca="1">IFERROR(INDEX(ODC!$D:$AC, MATCH("Internal compute transfer revenue ($mm)", ODC!$A:$A, 0), F$5+1), 0)</f>
        <v>0</v>
      </c>
      <c r="G44" s="15" cm="1">
        <f t="array" aca="1" ref="G44" ca="1">IFERROR(INDEX(ODC!$D:$AC, MATCH("Internal compute transfer revenue ($mm)", ODC!$A:$A, 0), G$5+1), 0)</f>
        <v>0</v>
      </c>
      <c r="H44" s="15" cm="1">
        <f t="array" aca="1" ref="H44" ca="1">IFERROR(INDEX(ODC!$D:$AC, MATCH("Internal compute transfer revenue ($mm)", ODC!$A:$A, 0), H$5+1), 0)</f>
        <v>0</v>
      </c>
      <c r="I44" s="15" cm="1">
        <f t="array" aca="1" ref="I44" ca="1">IFERROR(INDEX(ODC!$D:$AC, MATCH("Internal compute transfer revenue ($mm)", ODC!$A:$A, 0), I$5+1), 0)</f>
        <v>0</v>
      </c>
      <c r="J44" s="15" cm="1">
        <f t="array" aca="1" ref="J44" ca="1">IFERROR(INDEX(ODC!$D:$AC, MATCH("Internal compute transfer revenue ($mm)", ODC!$A:$A, 0), J$5+1), 0)</f>
        <v>0</v>
      </c>
      <c r="K44" s="15" cm="1">
        <f t="array" aca="1" ref="K44" ca="1">IFERROR(INDEX(ODC!$D:$AC, MATCH("Internal compute transfer revenue ($mm)", ODC!$A:$A, 0), K$5+1), 0)</f>
        <v>0</v>
      </c>
      <c r="L44" s="15" cm="1">
        <f t="array" aca="1" ref="L44" ca="1">IFERROR(INDEX(ODC!$D:$AC, MATCH("Internal compute transfer revenue ($mm)", ODC!$A:$A, 0), L$5+1), 0)</f>
        <v>0</v>
      </c>
      <c r="M44" s="15" cm="1">
        <f t="array" aca="1" ref="M44" ca="1">IFERROR(INDEX(ODC!$D:$AC, MATCH("Internal compute transfer revenue ($mm)", ODC!$A:$A, 0), M$5+1), 0)</f>
        <v>0</v>
      </c>
      <c r="N44" s="15" cm="1">
        <f t="array" aca="1" ref="N44" ca="1">IFERROR(INDEX(ODC!$D:$AC, MATCH("Internal compute transfer revenue ($mm)", ODC!$A:$A, 0), N$5+1), 0)</f>
        <v>0</v>
      </c>
      <c r="O44" s="15" cm="1">
        <f t="array" aca="1" ref="O44" ca="1">IFERROR(INDEX(ODC!$D:$AC, MATCH("Internal compute transfer revenue ($mm)", ODC!$A:$A, 0), O$5+1), 0)</f>
        <v>0</v>
      </c>
      <c r="P44" s="15" cm="1">
        <f t="array" aca="1" ref="P44" ca="1">IFERROR(INDEX(ODC!$D:$AC, MATCH("Internal compute transfer revenue ($mm)", ODC!$A:$A, 0), P$5+1), 0)</f>
        <v>0</v>
      </c>
      <c r="Q44" s="15" cm="1">
        <f t="array" aca="1" ref="Q44" ca="1">IFERROR(INDEX(ODC!$D:$AC, MATCH("Internal compute transfer revenue ($mm)", ODC!$A:$A, 0), Q$5+1), 0)</f>
        <v>0</v>
      </c>
      <c r="R44" s="15" cm="1">
        <f t="array" aca="1" ref="R44" ca="1">IFERROR(INDEX(ODC!$D:$AC, MATCH("Internal compute transfer revenue ($mm)", ODC!$A:$A, 0), R$5+1), 0)</f>
        <v>0</v>
      </c>
      <c r="S44" s="15" cm="1">
        <f t="array" aca="1" ref="S44" ca="1">IFERROR(INDEX(ODC!$D:$AC, MATCH("Internal compute transfer revenue ($mm)", ODC!$A:$A, 0), S$5+1), 0)</f>
        <v>0</v>
      </c>
      <c r="T44" s="15" cm="1">
        <f t="array" aca="1" ref="T44" ca="1">IFERROR(INDEX(ODC!$D:$AC, MATCH("Internal compute transfer revenue ($mm)", ODC!$A:$A, 0), T$5+1), 0)</f>
        <v>0</v>
      </c>
      <c r="U44" s="15" cm="1">
        <f t="array" aca="1" ref="U44" ca="1">IFERROR(INDEX(ODC!$D:$AC, MATCH("Internal compute transfer revenue ($mm)", ODC!$A:$A, 0), U$5+1), 0)</f>
        <v>0</v>
      </c>
      <c r="V44" s="15" cm="1">
        <f t="array" aca="1" ref="V44" ca="1">IFERROR(INDEX(ODC!$D:$AC, MATCH("Internal compute transfer revenue ($mm)", ODC!$A:$A, 0), V$5+1), 0)</f>
        <v>0</v>
      </c>
      <c r="W44" s="15" cm="1">
        <f t="array" aca="1" ref="W44" ca="1">IFERROR(INDEX(ODC!$D:$AC, MATCH("Internal compute transfer revenue ($mm)", ODC!$A:$A, 0), W$5+1), 0)</f>
        <v>0</v>
      </c>
      <c r="X44" s="15" cm="1">
        <f t="array" aca="1" ref="X44" ca="1">IFERROR(INDEX(ODC!$D:$AC, MATCH("Internal compute transfer revenue ($mm)", ODC!$A:$A, 0), X$5+1), 0)</f>
        <v>0</v>
      </c>
      <c r="Y44" s="15" cm="1">
        <f t="array" aca="1" ref="Y44" ca="1">IFERROR(INDEX(ODC!$D:$AC, MATCH("Internal compute transfer revenue ($mm)", ODC!$A:$A, 0), Y$5+1), 0)</f>
        <v>0</v>
      </c>
      <c r="Z44" s="15" cm="1">
        <f t="array" aca="1" ref="Z44" ca="1">IFERROR(INDEX(ODC!$D:$AC, MATCH("Internal compute transfer revenue ($mm)", ODC!$A:$A, 0), Z$5+1), 0)</f>
        <v>0</v>
      </c>
      <c r="AA44" s="15" cm="1">
        <f t="array" aca="1" ref="AA44" ca="1">IFERROR(INDEX(ODC!$D:$AC, MATCH("Internal compute transfer revenue ($mm)", ODC!$A:$A, 0), AA$5+1), 0)</f>
        <v>0</v>
      </c>
      <c r="AB44" s="15" cm="1">
        <f t="array" aca="1" ref="AB44" ca="1">IFERROR(INDEX(ODC!$D:$AC, MATCH("Internal compute transfer revenue ($mm)", ODC!$A:$A, 0), AB$5+1), 0)</f>
        <v>0</v>
      </c>
      <c r="AC44" s="15" cm="1">
        <f t="array" aca="1" ref="AC44" ca="1">IFERROR(INDEX(ODC!$D:$AC, MATCH("Internal compute transfer revenue ($mm)", ODC!$A:$A, 0), AC$5+1), 0)</f>
        <v>0</v>
      </c>
    </row>
    <row r="46" spans="1:29" x14ac:dyDescent="0.2">
      <c r="A46" s="1" t="s">
        <v>1331</v>
      </c>
      <c r="C46" t="s">
        <v>1388</v>
      </c>
      <c r="D46" s="56" cm="1">
        <f t="array" aca="1" ref="D46" ca="1">INDEX(CapEx!$D:$AC, MATCH("Total Group CapEx ($mm)", CapEx!$A:$A, 0), D$5+1)</f>
        <v>6327.2744000000002</v>
      </c>
      <c r="E46" s="56" cm="1">
        <f t="array" aca="1" ref="E46" ca="1">INDEX(CapEx!$D:$AC, MATCH("Total Group CapEx ($mm)", CapEx!$A:$A, 0), E$5+1)</f>
        <v>8215.5190212176967</v>
      </c>
      <c r="F46" s="56" cm="1">
        <f t="array" aca="1" ref="F46" ca="1">INDEX(CapEx!$D:$AC, MATCH("Total Group CapEx ($mm)", CapEx!$A:$A, 0), F$5+1)</f>
        <v>5258.7660656875305</v>
      </c>
      <c r="G46" s="56" cm="1">
        <f t="array" aca="1" ref="G46" ca="1">INDEX(CapEx!$D:$AC, MATCH("Total Group CapEx ($mm)", CapEx!$A:$A, 0), G$5+1)</f>
        <v>3258.2412165360756</v>
      </c>
      <c r="H46" s="56" cm="1">
        <f t="array" aca="1" ref="H46" ca="1">INDEX(CapEx!$D:$AC, MATCH("Total Group CapEx ($mm)", CapEx!$A:$A, 0), H$5+1)</f>
        <v>1283.9524006029533</v>
      </c>
      <c r="I46" s="56" cm="1">
        <f t="array" aca="1" ref="I46" ca="1">INDEX(CapEx!$D:$AC, MATCH("Total Group CapEx ($mm)", CapEx!$A:$A, 0), I$5+1)</f>
        <v>1228.6478986517798</v>
      </c>
      <c r="J46" s="56" cm="1">
        <f t="array" aca="1" ref="J46" ca="1">INDEX(CapEx!$D:$AC, MATCH("Total Group CapEx ($mm)", CapEx!$A:$A, 0), J$5+1)</f>
        <v>1315.5741072505468</v>
      </c>
      <c r="K46" s="56" cm="1">
        <f t="array" aca="1" ref="K46" ca="1">INDEX(CapEx!$D:$AC, MATCH("Total Group CapEx ($mm)", CapEx!$A:$A, 0), K$5+1)</f>
        <v>1279.8404296692127</v>
      </c>
      <c r="L46" s="56" cm="1">
        <f t="array" aca="1" ref="L46" ca="1">INDEX(CapEx!$D:$AC, MATCH("Total Group CapEx ($mm)", CapEx!$A:$A, 0), L$5+1)</f>
        <v>1166.4381241489291</v>
      </c>
      <c r="M46" s="56" cm="1">
        <f t="array" aca="1" ref="M46" ca="1">INDEX(CapEx!$D:$AC, MATCH("Total Group CapEx ($mm)", CapEx!$A:$A, 0), M$5+1)</f>
        <v>1436.5585985234982</v>
      </c>
      <c r="N46" s="56" cm="1">
        <f t="array" aca="1" ref="N46" ca="1">INDEX(CapEx!$D:$AC, MATCH("Total Group CapEx ($mm)", CapEx!$A:$A, 0), N$5+1)</f>
        <v>1122.8678180784511</v>
      </c>
      <c r="O46" s="56" cm="1">
        <f t="array" aca="1" ref="O46" ca="1">INDEX(CapEx!$D:$AC, MATCH("Total Group CapEx ($mm)", CapEx!$A:$A, 0), O$5+1)</f>
        <v>1411.0655231050991</v>
      </c>
      <c r="P46" s="56" cm="1">
        <f t="array" aca="1" ref="P46" ca="1">INDEX(CapEx!$D:$AC, MATCH("Total Group CapEx ($mm)", CapEx!$A:$A, 0), P$5+1)</f>
        <v>1275.4355903166315</v>
      </c>
      <c r="Q46" s="56" cm="1">
        <f t="array" aca="1" ref="Q46" ca="1">INDEX(CapEx!$D:$AC, MATCH("Total Group CapEx ($mm)", CapEx!$A:$A, 0), Q$5+1)</f>
        <v>1129.6413468092014</v>
      </c>
      <c r="R46" s="56" cm="1">
        <f t="array" aca="1" ref="R46" ca="1">INDEX(CapEx!$D:$AC, MATCH("Total Group CapEx ($mm)", CapEx!$A:$A, 0), R$5+1)</f>
        <v>1476.3737558529697</v>
      </c>
      <c r="S46" s="56" cm="1">
        <f t="array" aca="1" ref="S46" ca="1">INDEX(CapEx!$D:$AC, MATCH("Total Group CapEx ($mm)", CapEx!$A:$A, 0), S$5+1)</f>
        <v>1119.4389669670404</v>
      </c>
      <c r="T46" s="56" cm="1">
        <f t="array" aca="1" ref="T46" ca="1">INDEX(CapEx!$D:$AC, MATCH("Total Group CapEx ($mm)", CapEx!$A:$A, 0), T$5+1)</f>
        <v>1313.2410789128489</v>
      </c>
      <c r="U46" s="56" cm="1">
        <f t="array" aca="1" ref="U46" ca="1">INDEX(CapEx!$D:$AC, MATCH("Total Group CapEx ($mm)", CapEx!$A:$A, 0), U$5+1)</f>
        <v>1413.9240540796341</v>
      </c>
      <c r="V46" s="56" cm="1">
        <f t="array" aca="1" ref="V46" ca="1">INDEX(CapEx!$D:$AC, MATCH("Total Group CapEx ($mm)", CapEx!$A:$A, 0), V$5+1)</f>
        <v>1128.2473154631241</v>
      </c>
      <c r="W46" s="56" cm="1">
        <f t="array" aca="1" ref="W46" ca="1">INDEX(CapEx!$D:$AC, MATCH("Total Group CapEx ($mm)", CapEx!$A:$A, 0), W$5+1)</f>
        <v>1541.6033178837565</v>
      </c>
      <c r="X46" s="56" cm="1">
        <f t="array" aca="1" ref="X46" ca="1">INDEX(CapEx!$D:$AC, MATCH("Total Group CapEx ($mm)", CapEx!$A:$A, 0), X$5+1)</f>
        <v>1119.2942847473601</v>
      </c>
      <c r="Y46" s="56" cm="1">
        <f t="array" aca="1" ref="Y46" ca="1">INDEX(CapEx!$D:$AC, MATCH("Total Group CapEx ($mm)", CapEx!$A:$A, 0), Y$5+1)</f>
        <v>1146.6754655379309</v>
      </c>
      <c r="Z46" s="56" cm="1">
        <f t="array" aca="1" ref="Z46" ca="1">INDEX(CapEx!$D:$AC, MATCH("Total Group CapEx ($mm)", CapEx!$A:$A, 0), Z$5+1)</f>
        <v>1567.0378097692326</v>
      </c>
      <c r="AA46" s="56" cm="1">
        <f t="array" aca="1" ref="AA46" ca="1">INDEX(CapEx!$D:$AC, MATCH("Total Group CapEx ($mm)", CapEx!$A:$A, 0), AA$5+1)</f>
        <v>1124.9681619210528</v>
      </c>
      <c r="AB46" s="56" cm="1">
        <f t="array" aca="1" ref="AB46" ca="1">INDEX(CapEx!$D:$AC, MATCH("Total Group CapEx ($mm)", CapEx!$A:$A, 0), AB$5+1)</f>
        <v>1243.2595113352406</v>
      </c>
      <c r="AC46" s="56" cm="1">
        <f t="array" aca="1" ref="AC46" ca="1">INDEX(CapEx!$D:$AC, MATCH("Total Group CapEx ($mm)", CapEx!$A:$A, 0), AC$5+1)</f>
        <v>1119.1984313819989</v>
      </c>
    </row>
    <row r="47" spans="1:29" x14ac:dyDescent="0.2">
      <c r="A47" s="1" t="s">
        <v>1389</v>
      </c>
      <c r="C47" t="s">
        <v>1390</v>
      </c>
      <c r="D47" s="56" cm="1">
        <f t="array" aca="1" ref="D47" ca="1">INDEX(Allocator!$D:$AC, MATCH("Mars/Moon strategic carve-out ($mm/yr)", Allocator!$A:$A, 0), D$5+1)</f>
        <v>1000</v>
      </c>
      <c r="E47" s="56" cm="1">
        <f t="array" aca="1" ref="E47" ca="1">INDEX(Allocator!$D:$AC, MATCH("Mars/Moon strategic carve-out ($mm/yr)", Allocator!$A:$A, 0), E$5+1)</f>
        <v>1000</v>
      </c>
      <c r="F47" s="56" cm="1">
        <f t="array" aca="1" ref="F47" ca="1">INDEX(Allocator!$D:$AC, MATCH("Mars/Moon strategic carve-out ($mm/yr)", Allocator!$A:$A, 0), F$5+1)</f>
        <v>1000</v>
      </c>
      <c r="G47" s="56" cm="1">
        <f t="array" aca="1" ref="G47" ca="1">INDEX(Allocator!$D:$AC, MATCH("Mars/Moon strategic carve-out ($mm/yr)", Allocator!$A:$A, 0), G$5+1)</f>
        <v>1000</v>
      </c>
      <c r="H47" s="56" cm="1">
        <f t="array" aca="1" ref="H47" ca="1">INDEX(Allocator!$D:$AC, MATCH("Mars/Moon strategic carve-out ($mm/yr)", Allocator!$A:$A, 0), H$5+1)</f>
        <v>1000</v>
      </c>
      <c r="I47" s="56" cm="1">
        <f t="array" aca="1" ref="I47" ca="1">INDEX(Allocator!$D:$AC, MATCH("Mars/Moon strategic carve-out ($mm/yr)", Allocator!$A:$A, 0), I$5+1)</f>
        <v>1000</v>
      </c>
      <c r="J47" s="56" cm="1">
        <f t="array" aca="1" ref="J47" ca="1">INDEX(Allocator!$D:$AC, MATCH("Mars/Moon strategic carve-out ($mm/yr)", Allocator!$A:$A, 0), J$5+1)</f>
        <v>1000</v>
      </c>
      <c r="K47" s="56" cm="1">
        <f t="array" aca="1" ref="K47" ca="1">INDEX(Allocator!$D:$AC, MATCH("Mars/Moon strategic carve-out ($mm/yr)", Allocator!$A:$A, 0), K$5+1)</f>
        <v>1000</v>
      </c>
      <c r="L47" s="56" cm="1">
        <f t="array" aca="1" ref="L47" ca="1">INDEX(Allocator!$D:$AC, MATCH("Mars/Moon strategic carve-out ($mm/yr)", Allocator!$A:$A, 0), L$5+1)</f>
        <v>1000</v>
      </c>
      <c r="M47" s="56" cm="1">
        <f t="array" aca="1" ref="M47" ca="1">INDEX(Allocator!$D:$AC, MATCH("Mars/Moon strategic carve-out ($mm/yr)", Allocator!$A:$A, 0), M$5+1)</f>
        <v>1000</v>
      </c>
      <c r="N47" s="56" cm="1">
        <f t="array" aca="1" ref="N47" ca="1">INDEX(Allocator!$D:$AC, MATCH("Mars/Moon strategic carve-out ($mm/yr)", Allocator!$A:$A, 0), N$5+1)</f>
        <v>1000</v>
      </c>
      <c r="O47" s="56" cm="1">
        <f t="array" aca="1" ref="O47" ca="1">INDEX(Allocator!$D:$AC, MATCH("Mars/Moon strategic carve-out ($mm/yr)", Allocator!$A:$A, 0), O$5+1)</f>
        <v>1000</v>
      </c>
      <c r="P47" s="56" cm="1">
        <f t="array" aca="1" ref="P47" ca="1">INDEX(Allocator!$D:$AC, MATCH("Mars/Moon strategic carve-out ($mm/yr)", Allocator!$A:$A, 0), P$5+1)</f>
        <v>1000</v>
      </c>
      <c r="Q47" s="56" cm="1">
        <f t="array" aca="1" ref="Q47" ca="1">INDEX(Allocator!$D:$AC, MATCH("Mars/Moon strategic carve-out ($mm/yr)", Allocator!$A:$A, 0), Q$5+1)</f>
        <v>1000</v>
      </c>
      <c r="R47" s="56" cm="1">
        <f t="array" aca="1" ref="R47" ca="1">INDEX(Allocator!$D:$AC, MATCH("Mars/Moon strategic carve-out ($mm/yr)", Allocator!$A:$A, 0), R$5+1)</f>
        <v>1000</v>
      </c>
      <c r="S47" s="56" cm="1">
        <f t="array" aca="1" ref="S47" ca="1">INDEX(Allocator!$D:$AC, MATCH("Mars/Moon strategic carve-out ($mm/yr)", Allocator!$A:$A, 0), S$5+1)</f>
        <v>1000</v>
      </c>
      <c r="T47" s="56" cm="1">
        <f t="array" aca="1" ref="T47" ca="1">INDEX(Allocator!$D:$AC, MATCH("Mars/Moon strategic carve-out ($mm/yr)", Allocator!$A:$A, 0), T$5+1)</f>
        <v>1000</v>
      </c>
      <c r="U47" s="56" cm="1">
        <f t="array" aca="1" ref="U47" ca="1">INDEX(Allocator!$D:$AC, MATCH("Mars/Moon strategic carve-out ($mm/yr)", Allocator!$A:$A, 0), U$5+1)</f>
        <v>1000</v>
      </c>
      <c r="V47" s="56" cm="1">
        <f t="array" aca="1" ref="V47" ca="1">INDEX(Allocator!$D:$AC, MATCH("Mars/Moon strategic carve-out ($mm/yr)", Allocator!$A:$A, 0), V$5+1)</f>
        <v>1000</v>
      </c>
      <c r="W47" s="56" cm="1">
        <f t="array" aca="1" ref="W47" ca="1">INDEX(Allocator!$D:$AC, MATCH("Mars/Moon strategic carve-out ($mm/yr)", Allocator!$A:$A, 0), W$5+1)</f>
        <v>1000</v>
      </c>
      <c r="X47" s="56" cm="1">
        <f t="array" aca="1" ref="X47" ca="1">INDEX(Allocator!$D:$AC, MATCH("Mars/Moon strategic carve-out ($mm/yr)", Allocator!$A:$A, 0), X$5+1)</f>
        <v>1000</v>
      </c>
      <c r="Y47" s="56" cm="1">
        <f t="array" aca="1" ref="Y47" ca="1">INDEX(Allocator!$D:$AC, MATCH("Mars/Moon strategic carve-out ($mm/yr)", Allocator!$A:$A, 0), Y$5+1)</f>
        <v>1000</v>
      </c>
      <c r="Z47" s="56" cm="1">
        <f t="array" aca="1" ref="Z47" ca="1">INDEX(Allocator!$D:$AC, MATCH("Mars/Moon strategic carve-out ($mm/yr)", Allocator!$A:$A, 0), Z$5+1)</f>
        <v>1000</v>
      </c>
      <c r="AA47" s="56" cm="1">
        <f t="array" aca="1" ref="AA47" ca="1">INDEX(Allocator!$D:$AC, MATCH("Mars/Moon strategic carve-out ($mm/yr)", Allocator!$A:$A, 0), AA$5+1)</f>
        <v>1000</v>
      </c>
      <c r="AB47" s="56" cm="1">
        <f t="array" aca="1" ref="AB47" ca="1">INDEX(Allocator!$D:$AC, MATCH("Mars/Moon strategic carve-out ($mm/yr)", Allocator!$A:$A, 0), AB$5+1)</f>
        <v>1000</v>
      </c>
      <c r="AC47" s="56" cm="1">
        <f t="array" aca="1" ref="AC47" ca="1">INDEX(Allocator!$D:$AC, MATCH("Mars/Moon strategic carve-out ($mm/yr)", Allocator!$A:$A, 0), AC$5+1)</f>
        <v>1180.8063198715245</v>
      </c>
    </row>
    <row r="50" spans="1:29" x14ac:dyDescent="0.2">
      <c r="A50" s="1" t="s">
        <v>1391</v>
      </c>
      <c r="C50" t="s">
        <v>1392</v>
      </c>
      <c r="D50" s="27">
        <f ca="1">D34+D39-D46-D47</f>
        <v>-2982.291096606863</v>
      </c>
      <c r="E50" s="27">
        <f t="shared" ref="E50:AC50" ca="1" si="6">E34+E39-E46-E47</f>
        <v>-3764.678971865651</v>
      </c>
      <c r="F50" s="27">
        <f t="shared" ca="1" si="6"/>
        <v>-1751.1324598100455</v>
      </c>
      <c r="G50" s="27">
        <f t="shared" ca="1" si="6"/>
        <v>-557.19904166616288</v>
      </c>
      <c r="H50" s="27">
        <f t="shared" ca="1" si="6"/>
        <v>677.53500982402875</v>
      </c>
      <c r="I50" s="27">
        <f t="shared" ca="1" si="6"/>
        <v>607.39541454175765</v>
      </c>
      <c r="J50" s="27">
        <f t="shared" ca="1" si="6"/>
        <v>586.19877731072097</v>
      </c>
      <c r="K50" s="27">
        <f t="shared" ca="1" si="6"/>
        <v>841.93095652676107</v>
      </c>
      <c r="L50" s="27">
        <f t="shared" ca="1" si="6"/>
        <v>368.56835033685411</v>
      </c>
      <c r="M50" s="27">
        <f t="shared" ca="1" si="6"/>
        <v>1086.2203768975387</v>
      </c>
      <c r="N50" s="27">
        <f t="shared" ca="1" si="6"/>
        <v>459.70652505680005</v>
      </c>
      <c r="O50" s="27">
        <f t="shared" ca="1" si="6"/>
        <v>88.017777276562356</v>
      </c>
      <c r="P50" s="27">
        <f t="shared" ca="1" si="6"/>
        <v>2417.3224177735838</v>
      </c>
      <c r="Q50" s="27">
        <f t="shared" ca="1" si="6"/>
        <v>1067.824845744587</v>
      </c>
      <c r="R50" s="27">
        <f t="shared" ca="1" si="6"/>
        <v>2966.6870758961563</v>
      </c>
      <c r="S50" s="27">
        <f t="shared" ca="1" si="6"/>
        <v>2215.9776474830883</v>
      </c>
      <c r="T50" s="27">
        <f t="shared" ca="1" si="6"/>
        <v>2056.5918167232203</v>
      </c>
      <c r="U50" s="27">
        <f t="shared" ca="1" si="6"/>
        <v>4502.3948942793068</v>
      </c>
      <c r="V50" s="27">
        <f t="shared" ca="1" si="6"/>
        <v>3061.4091218777694</v>
      </c>
      <c r="W50" s="27">
        <f t="shared" ca="1" si="6"/>
        <v>4426.926959362876</v>
      </c>
      <c r="X50" s="27">
        <f t="shared" ca="1" si="6"/>
        <v>5269.5222898010488</v>
      </c>
      <c r="Y50" s="27">
        <f t="shared" ca="1" si="6"/>
        <v>4153.5513242667594</v>
      </c>
      <c r="Z50" s="27">
        <f t="shared" ca="1" si="6"/>
        <v>6590.016052203734</v>
      </c>
      <c r="AA50" s="27">
        <f t="shared" ca="1" si="6"/>
        <v>5305.0298692425076</v>
      </c>
      <c r="AB50" s="27">
        <f t="shared" ca="1" si="6"/>
        <v>6319.4794581744527</v>
      </c>
      <c r="AC50" s="27">
        <f t="shared" ca="1" si="6"/>
        <v>8373.9875873924575</v>
      </c>
    </row>
    <row r="99" spans="1:29" x14ac:dyDescent="0.2">
      <c r="A99" s="18" t="s">
        <v>631</v>
      </c>
      <c r="C99" t="s">
        <v>1393</v>
      </c>
      <c r="D99" s="15">
        <f ca="1">D10-(D8-D42-D43-D44)</f>
        <v>0</v>
      </c>
      <c r="E99" s="15">
        <f t="shared" ref="E99:AC99" ca="1" si="7">E10-(E8-E42-E43-E44)</f>
        <v>0</v>
      </c>
      <c r="F99" s="15">
        <f t="shared" ca="1" si="7"/>
        <v>0</v>
      </c>
      <c r="G99" s="15">
        <f t="shared" ca="1" si="7"/>
        <v>0</v>
      </c>
      <c r="H99" s="15">
        <f t="shared" ca="1" si="7"/>
        <v>0</v>
      </c>
      <c r="I99" s="15">
        <f t="shared" ca="1" si="7"/>
        <v>0</v>
      </c>
      <c r="J99" s="15">
        <f t="shared" ca="1" si="7"/>
        <v>0</v>
      </c>
      <c r="K99" s="15">
        <f t="shared" ca="1" si="7"/>
        <v>0</v>
      </c>
      <c r="L99" s="15">
        <f t="shared" ca="1" si="7"/>
        <v>0</v>
      </c>
      <c r="M99" s="15">
        <f t="shared" ca="1" si="7"/>
        <v>0</v>
      </c>
      <c r="N99" s="15">
        <f t="shared" ca="1" si="7"/>
        <v>0</v>
      </c>
      <c r="O99" s="15">
        <f t="shared" ca="1" si="7"/>
        <v>0</v>
      </c>
      <c r="P99" s="15">
        <f t="shared" ca="1" si="7"/>
        <v>0</v>
      </c>
      <c r="Q99" s="15">
        <f t="shared" ca="1" si="7"/>
        <v>0</v>
      </c>
      <c r="R99" s="15">
        <f t="shared" ca="1" si="7"/>
        <v>0</v>
      </c>
      <c r="S99" s="15">
        <f t="shared" ca="1" si="7"/>
        <v>0</v>
      </c>
      <c r="T99" s="15">
        <f t="shared" ca="1" si="7"/>
        <v>0</v>
      </c>
      <c r="U99" s="15">
        <f t="shared" ca="1" si="7"/>
        <v>0</v>
      </c>
      <c r="V99" s="15">
        <f t="shared" ca="1" si="7"/>
        <v>0</v>
      </c>
      <c r="W99" s="15">
        <f t="shared" ca="1" si="7"/>
        <v>0</v>
      </c>
      <c r="X99" s="15">
        <f t="shared" ca="1" si="7"/>
        <v>0</v>
      </c>
      <c r="Y99" s="15">
        <f t="shared" ca="1" si="7"/>
        <v>0</v>
      </c>
      <c r="Z99" s="15">
        <f t="shared" ca="1" si="7"/>
        <v>0</v>
      </c>
      <c r="AA99" s="15">
        <f t="shared" ca="1" si="7"/>
        <v>0</v>
      </c>
      <c r="AB99" s="15">
        <f t="shared" ca="1" si="7"/>
        <v>0</v>
      </c>
      <c r="AC99" s="15">
        <f t="shared" ca="1" si="7"/>
        <v>0</v>
      </c>
    </row>
    <row r="100" spans="1:29" x14ac:dyDescent="0.2">
      <c r="A100" s="18" t="s">
        <v>632</v>
      </c>
      <c r="C100" t="s">
        <v>1394</v>
      </c>
      <c r="D100" s="15" cm="1">
        <f t="array" aca="1" ref="D100" ca="1">D18-(INDEX(Starlink!$D:$AC, MATCH("Module EBITDA ($mm)", Starlink!$A:$A, 0), D$5+1)+INDEX('Customer Launch'!$D:$AC, MATCH("Module EBITDA ($mm)", 'Customer Launch'!$A:$A, 0), D$5+1)+INDEX(ODC!$D:$AC, MATCH("Module EBITDA ($mm)", ODC!$A:$A, 0), D$5+1)+IFERROR(INDEX('AI Stack'!$D:$AC, MATCH("Module EBITDA ($mm)", 'AI Stack'!$A:$A, 0), D$5+1), 0)+INDEX('Lunar Mars'!$D:$AC, MATCH("Module EBITDA ($mm)", 'Lunar Mars'!$A:$A, 0), D$5+1))</f>
        <v>0</v>
      </c>
      <c r="E100" s="15" cm="1">
        <f t="array" aca="1" ref="E100" ca="1">E18-(INDEX(Starlink!$D:$AC, MATCH("Module EBITDA ($mm)", Starlink!$A:$A, 0), E$5+1)+INDEX('Customer Launch'!$D:$AC, MATCH("Module EBITDA ($mm)", 'Customer Launch'!$A:$A, 0), E$5+1)+INDEX(ODC!$D:$AC, MATCH("Module EBITDA ($mm)", ODC!$A:$A, 0), E$5+1)+IFERROR(INDEX('AI Stack'!$D:$AC, MATCH("Module EBITDA ($mm)", 'AI Stack'!$A:$A, 0), E$5+1), 0)+INDEX('Lunar Mars'!$D:$AC, MATCH("Module EBITDA ($mm)", 'Lunar Mars'!$A:$A, 0), E$5+1))</f>
        <v>0</v>
      </c>
      <c r="F100" s="15" cm="1">
        <f t="array" aca="1" ref="F100" ca="1">F18-(INDEX(Starlink!$D:$AC, MATCH("Module EBITDA ($mm)", Starlink!$A:$A, 0), F$5+1)+INDEX('Customer Launch'!$D:$AC, MATCH("Module EBITDA ($mm)", 'Customer Launch'!$A:$A, 0), F$5+1)+INDEX(ODC!$D:$AC, MATCH("Module EBITDA ($mm)", ODC!$A:$A, 0), F$5+1)+IFERROR(INDEX('AI Stack'!$D:$AC, MATCH("Module EBITDA ($mm)", 'AI Stack'!$A:$A, 0), F$5+1), 0)+INDEX('Lunar Mars'!$D:$AC, MATCH("Module EBITDA ($mm)", 'Lunar Mars'!$A:$A, 0), F$5+1))</f>
        <v>0</v>
      </c>
      <c r="G100" s="15" cm="1">
        <f t="array" aca="1" ref="G100" ca="1">G18-(INDEX(Starlink!$D:$AC, MATCH("Module EBITDA ($mm)", Starlink!$A:$A, 0), G$5+1)+INDEX('Customer Launch'!$D:$AC, MATCH("Module EBITDA ($mm)", 'Customer Launch'!$A:$A, 0), G$5+1)+INDEX(ODC!$D:$AC, MATCH("Module EBITDA ($mm)", ODC!$A:$A, 0), G$5+1)+IFERROR(INDEX('AI Stack'!$D:$AC, MATCH("Module EBITDA ($mm)", 'AI Stack'!$A:$A, 0), G$5+1), 0)+INDEX('Lunar Mars'!$D:$AC, MATCH("Module EBITDA ($mm)", 'Lunar Mars'!$A:$A, 0), G$5+1))</f>
        <v>0</v>
      </c>
      <c r="H100" s="15" cm="1">
        <f t="array" aca="1" ref="H100" ca="1">H18-(INDEX(Starlink!$D:$AC, MATCH("Module EBITDA ($mm)", Starlink!$A:$A, 0), H$5+1)+INDEX('Customer Launch'!$D:$AC, MATCH("Module EBITDA ($mm)", 'Customer Launch'!$A:$A, 0), H$5+1)+INDEX(ODC!$D:$AC, MATCH("Module EBITDA ($mm)", ODC!$A:$A, 0), H$5+1)+IFERROR(INDEX('AI Stack'!$D:$AC, MATCH("Module EBITDA ($mm)", 'AI Stack'!$A:$A, 0), H$5+1), 0)+INDEX('Lunar Mars'!$D:$AC, MATCH("Module EBITDA ($mm)", 'Lunar Mars'!$A:$A, 0), H$5+1))</f>
        <v>0</v>
      </c>
      <c r="I100" s="15" cm="1">
        <f t="array" aca="1" ref="I100" ca="1">I18-(INDEX(Starlink!$D:$AC, MATCH("Module EBITDA ($mm)", Starlink!$A:$A, 0), I$5+1)+INDEX('Customer Launch'!$D:$AC, MATCH("Module EBITDA ($mm)", 'Customer Launch'!$A:$A, 0), I$5+1)+INDEX(ODC!$D:$AC, MATCH("Module EBITDA ($mm)", ODC!$A:$A, 0), I$5+1)+IFERROR(INDEX('AI Stack'!$D:$AC, MATCH("Module EBITDA ($mm)", 'AI Stack'!$A:$A, 0), I$5+1), 0)+INDEX('Lunar Mars'!$D:$AC, MATCH("Module EBITDA ($mm)", 'Lunar Mars'!$A:$A, 0), I$5+1))</f>
        <v>0</v>
      </c>
      <c r="J100" s="15" cm="1">
        <f t="array" aca="1" ref="J100" ca="1">J18-(INDEX(Starlink!$D:$AC, MATCH("Module EBITDA ($mm)", Starlink!$A:$A, 0), J$5+1)+INDEX('Customer Launch'!$D:$AC, MATCH("Module EBITDA ($mm)", 'Customer Launch'!$A:$A, 0), J$5+1)+INDEX(ODC!$D:$AC, MATCH("Module EBITDA ($mm)", ODC!$A:$A, 0), J$5+1)+IFERROR(INDEX('AI Stack'!$D:$AC, MATCH("Module EBITDA ($mm)", 'AI Stack'!$A:$A, 0), J$5+1), 0)+INDEX('Lunar Mars'!$D:$AC, MATCH("Module EBITDA ($mm)", 'Lunar Mars'!$A:$A, 0), J$5+1))</f>
        <v>0</v>
      </c>
      <c r="K100" s="15" cm="1">
        <f t="array" aca="1" ref="K100" ca="1">K18-(INDEX(Starlink!$D:$AC, MATCH("Module EBITDA ($mm)", Starlink!$A:$A, 0), K$5+1)+INDEX('Customer Launch'!$D:$AC, MATCH("Module EBITDA ($mm)", 'Customer Launch'!$A:$A, 0), K$5+1)+INDEX(ODC!$D:$AC, MATCH("Module EBITDA ($mm)", ODC!$A:$A, 0), K$5+1)+IFERROR(INDEX('AI Stack'!$D:$AC, MATCH("Module EBITDA ($mm)", 'AI Stack'!$A:$A, 0), K$5+1), 0)+INDEX('Lunar Mars'!$D:$AC, MATCH("Module EBITDA ($mm)", 'Lunar Mars'!$A:$A, 0), K$5+1))</f>
        <v>0</v>
      </c>
      <c r="L100" s="15" cm="1">
        <f t="array" aca="1" ref="L100" ca="1">L18-(INDEX(Starlink!$D:$AC, MATCH("Module EBITDA ($mm)", Starlink!$A:$A, 0), L$5+1)+INDEX('Customer Launch'!$D:$AC, MATCH("Module EBITDA ($mm)", 'Customer Launch'!$A:$A, 0), L$5+1)+INDEX(ODC!$D:$AC, MATCH("Module EBITDA ($mm)", ODC!$A:$A, 0), L$5+1)+IFERROR(INDEX('AI Stack'!$D:$AC, MATCH("Module EBITDA ($mm)", 'AI Stack'!$A:$A, 0), L$5+1), 0)+INDEX('Lunar Mars'!$D:$AC, MATCH("Module EBITDA ($mm)", 'Lunar Mars'!$A:$A, 0), L$5+1))</f>
        <v>0</v>
      </c>
      <c r="M100" s="15" cm="1">
        <f t="array" aca="1" ref="M100" ca="1">M18-(INDEX(Starlink!$D:$AC, MATCH("Module EBITDA ($mm)", Starlink!$A:$A, 0), M$5+1)+INDEX('Customer Launch'!$D:$AC, MATCH("Module EBITDA ($mm)", 'Customer Launch'!$A:$A, 0), M$5+1)+INDEX(ODC!$D:$AC, MATCH("Module EBITDA ($mm)", ODC!$A:$A, 0), M$5+1)+IFERROR(INDEX('AI Stack'!$D:$AC, MATCH("Module EBITDA ($mm)", 'AI Stack'!$A:$A, 0), M$5+1), 0)+INDEX('Lunar Mars'!$D:$AC, MATCH("Module EBITDA ($mm)", 'Lunar Mars'!$A:$A, 0), M$5+1))</f>
        <v>0</v>
      </c>
      <c r="N100" s="15" cm="1">
        <f t="array" aca="1" ref="N100" ca="1">N18-(INDEX(Starlink!$D:$AC, MATCH("Module EBITDA ($mm)", Starlink!$A:$A, 0), N$5+1)+INDEX('Customer Launch'!$D:$AC, MATCH("Module EBITDA ($mm)", 'Customer Launch'!$A:$A, 0), N$5+1)+INDEX(ODC!$D:$AC, MATCH("Module EBITDA ($mm)", ODC!$A:$A, 0), N$5+1)+IFERROR(INDEX('AI Stack'!$D:$AC, MATCH("Module EBITDA ($mm)", 'AI Stack'!$A:$A, 0), N$5+1), 0)+INDEX('Lunar Mars'!$D:$AC, MATCH("Module EBITDA ($mm)", 'Lunar Mars'!$A:$A, 0), N$5+1))</f>
        <v>0</v>
      </c>
      <c r="O100" s="15" cm="1">
        <f t="array" aca="1" ref="O100" ca="1">O18-(INDEX(Starlink!$D:$AC, MATCH("Module EBITDA ($mm)", Starlink!$A:$A, 0), O$5+1)+INDEX('Customer Launch'!$D:$AC, MATCH("Module EBITDA ($mm)", 'Customer Launch'!$A:$A, 0), O$5+1)+INDEX(ODC!$D:$AC, MATCH("Module EBITDA ($mm)", ODC!$A:$A, 0), O$5+1)+IFERROR(INDEX('AI Stack'!$D:$AC, MATCH("Module EBITDA ($mm)", 'AI Stack'!$A:$A, 0), O$5+1), 0)+INDEX('Lunar Mars'!$D:$AC, MATCH("Module EBITDA ($mm)", 'Lunar Mars'!$A:$A, 0), O$5+1))</f>
        <v>0</v>
      </c>
      <c r="P100" s="15" cm="1">
        <f t="array" aca="1" ref="P100" ca="1">P18-(INDEX(Starlink!$D:$AC, MATCH("Module EBITDA ($mm)", Starlink!$A:$A, 0), P$5+1)+INDEX('Customer Launch'!$D:$AC, MATCH("Module EBITDA ($mm)", 'Customer Launch'!$A:$A, 0), P$5+1)+INDEX(ODC!$D:$AC, MATCH("Module EBITDA ($mm)", ODC!$A:$A, 0), P$5+1)+IFERROR(INDEX('AI Stack'!$D:$AC, MATCH("Module EBITDA ($mm)", 'AI Stack'!$A:$A, 0), P$5+1), 0)+INDEX('Lunar Mars'!$D:$AC, MATCH("Module EBITDA ($mm)", 'Lunar Mars'!$A:$A, 0), P$5+1))</f>
        <v>0</v>
      </c>
      <c r="Q100" s="15" cm="1">
        <f t="array" aca="1" ref="Q100" ca="1">Q18-(INDEX(Starlink!$D:$AC, MATCH("Module EBITDA ($mm)", Starlink!$A:$A, 0), Q$5+1)+INDEX('Customer Launch'!$D:$AC, MATCH("Module EBITDA ($mm)", 'Customer Launch'!$A:$A, 0), Q$5+1)+INDEX(ODC!$D:$AC, MATCH("Module EBITDA ($mm)", ODC!$A:$A, 0), Q$5+1)+IFERROR(INDEX('AI Stack'!$D:$AC, MATCH("Module EBITDA ($mm)", 'AI Stack'!$A:$A, 0), Q$5+1), 0)+INDEX('Lunar Mars'!$D:$AC, MATCH("Module EBITDA ($mm)", 'Lunar Mars'!$A:$A, 0), Q$5+1))</f>
        <v>0</v>
      </c>
      <c r="R100" s="15" cm="1">
        <f t="array" aca="1" ref="R100" ca="1">R18-(INDEX(Starlink!$D:$AC, MATCH("Module EBITDA ($mm)", Starlink!$A:$A, 0), R$5+1)+INDEX('Customer Launch'!$D:$AC, MATCH("Module EBITDA ($mm)", 'Customer Launch'!$A:$A, 0), R$5+1)+INDEX(ODC!$D:$AC, MATCH("Module EBITDA ($mm)", ODC!$A:$A, 0), R$5+1)+IFERROR(INDEX('AI Stack'!$D:$AC, MATCH("Module EBITDA ($mm)", 'AI Stack'!$A:$A, 0), R$5+1), 0)+INDEX('Lunar Mars'!$D:$AC, MATCH("Module EBITDA ($mm)", 'Lunar Mars'!$A:$A, 0), R$5+1))</f>
        <v>0</v>
      </c>
      <c r="S100" s="15" cm="1">
        <f t="array" aca="1" ref="S100" ca="1">S18-(INDEX(Starlink!$D:$AC, MATCH("Module EBITDA ($mm)", Starlink!$A:$A, 0), S$5+1)+INDEX('Customer Launch'!$D:$AC, MATCH("Module EBITDA ($mm)", 'Customer Launch'!$A:$A, 0), S$5+1)+INDEX(ODC!$D:$AC, MATCH("Module EBITDA ($mm)", ODC!$A:$A, 0), S$5+1)+IFERROR(INDEX('AI Stack'!$D:$AC, MATCH("Module EBITDA ($mm)", 'AI Stack'!$A:$A, 0), S$5+1), 0)+INDEX('Lunar Mars'!$D:$AC, MATCH("Module EBITDA ($mm)", 'Lunar Mars'!$A:$A, 0), S$5+1))</f>
        <v>0</v>
      </c>
      <c r="T100" s="15" cm="1">
        <f t="array" aca="1" ref="T100" ca="1">T18-(INDEX(Starlink!$D:$AC, MATCH("Module EBITDA ($mm)", Starlink!$A:$A, 0), T$5+1)+INDEX('Customer Launch'!$D:$AC, MATCH("Module EBITDA ($mm)", 'Customer Launch'!$A:$A, 0), T$5+1)+INDEX(ODC!$D:$AC, MATCH("Module EBITDA ($mm)", ODC!$A:$A, 0), T$5+1)+IFERROR(INDEX('AI Stack'!$D:$AC, MATCH("Module EBITDA ($mm)", 'AI Stack'!$A:$A, 0), T$5+1), 0)+INDEX('Lunar Mars'!$D:$AC, MATCH("Module EBITDA ($mm)", 'Lunar Mars'!$A:$A, 0), T$5+1))</f>
        <v>9.0949470177292824E-13</v>
      </c>
      <c r="U100" s="15" cm="1">
        <f t="array" aca="1" ref="U100" ca="1">U18-(INDEX(Starlink!$D:$AC, MATCH("Module EBITDA ($mm)", Starlink!$A:$A, 0), U$5+1)+INDEX('Customer Launch'!$D:$AC, MATCH("Module EBITDA ($mm)", 'Customer Launch'!$A:$A, 0), U$5+1)+INDEX(ODC!$D:$AC, MATCH("Module EBITDA ($mm)", ODC!$A:$A, 0), U$5+1)+IFERROR(INDEX('AI Stack'!$D:$AC, MATCH("Module EBITDA ($mm)", 'AI Stack'!$A:$A, 0), U$5+1), 0)+INDEX('Lunar Mars'!$D:$AC, MATCH("Module EBITDA ($mm)", 'Lunar Mars'!$A:$A, 0), U$5+1))</f>
        <v>0</v>
      </c>
      <c r="V100" s="15" cm="1">
        <f t="array" aca="1" ref="V100" ca="1">V18-(INDEX(Starlink!$D:$AC, MATCH("Module EBITDA ($mm)", Starlink!$A:$A, 0), V$5+1)+INDEX('Customer Launch'!$D:$AC, MATCH("Module EBITDA ($mm)", 'Customer Launch'!$A:$A, 0), V$5+1)+INDEX(ODC!$D:$AC, MATCH("Module EBITDA ($mm)", ODC!$A:$A, 0), V$5+1)+IFERROR(INDEX('AI Stack'!$D:$AC, MATCH("Module EBITDA ($mm)", 'AI Stack'!$A:$A, 0), V$5+1), 0)+INDEX('Lunar Mars'!$D:$AC, MATCH("Module EBITDA ($mm)", 'Lunar Mars'!$A:$A, 0), V$5+1))</f>
        <v>0</v>
      </c>
      <c r="W100" s="15" cm="1">
        <f t="array" aca="1" ref="W100" ca="1">W18-(INDEX(Starlink!$D:$AC, MATCH("Module EBITDA ($mm)", Starlink!$A:$A, 0), W$5+1)+INDEX('Customer Launch'!$D:$AC, MATCH("Module EBITDA ($mm)", 'Customer Launch'!$A:$A, 0), W$5+1)+INDEX(ODC!$D:$AC, MATCH("Module EBITDA ($mm)", ODC!$A:$A, 0), W$5+1)+IFERROR(INDEX('AI Stack'!$D:$AC, MATCH("Module EBITDA ($mm)", 'AI Stack'!$A:$A, 0), W$5+1), 0)+INDEX('Lunar Mars'!$D:$AC, MATCH("Module EBITDA ($mm)", 'Lunar Mars'!$A:$A, 0), W$5+1))</f>
        <v>0</v>
      </c>
      <c r="X100" s="15" cm="1">
        <f t="array" aca="1" ref="X100" ca="1">X18-(INDEX(Starlink!$D:$AC, MATCH("Module EBITDA ($mm)", Starlink!$A:$A, 0), X$5+1)+INDEX('Customer Launch'!$D:$AC, MATCH("Module EBITDA ($mm)", 'Customer Launch'!$A:$A, 0), X$5+1)+INDEX(ODC!$D:$AC, MATCH("Module EBITDA ($mm)", ODC!$A:$A, 0), X$5+1)+IFERROR(INDEX('AI Stack'!$D:$AC, MATCH("Module EBITDA ($mm)", 'AI Stack'!$A:$A, 0), X$5+1), 0)+INDEX('Lunar Mars'!$D:$AC, MATCH("Module EBITDA ($mm)", 'Lunar Mars'!$A:$A, 0), X$5+1))</f>
        <v>0</v>
      </c>
      <c r="Y100" s="15" cm="1">
        <f t="array" aca="1" ref="Y100" ca="1">Y18-(INDEX(Starlink!$D:$AC, MATCH("Module EBITDA ($mm)", Starlink!$A:$A, 0), Y$5+1)+INDEX('Customer Launch'!$D:$AC, MATCH("Module EBITDA ($mm)", 'Customer Launch'!$A:$A, 0), Y$5+1)+INDEX(ODC!$D:$AC, MATCH("Module EBITDA ($mm)", ODC!$A:$A, 0), Y$5+1)+IFERROR(INDEX('AI Stack'!$D:$AC, MATCH("Module EBITDA ($mm)", 'AI Stack'!$A:$A, 0), Y$5+1), 0)+INDEX('Lunar Mars'!$D:$AC, MATCH("Module EBITDA ($mm)", 'Lunar Mars'!$A:$A, 0), Y$5+1))</f>
        <v>0</v>
      </c>
      <c r="Z100" s="15" cm="1">
        <f t="array" aca="1" ref="Z100" ca="1">Z18-(INDEX(Starlink!$D:$AC, MATCH("Module EBITDA ($mm)", Starlink!$A:$A, 0), Z$5+1)+INDEX('Customer Launch'!$D:$AC, MATCH("Module EBITDA ($mm)", 'Customer Launch'!$A:$A, 0), Z$5+1)+INDEX(ODC!$D:$AC, MATCH("Module EBITDA ($mm)", ODC!$A:$A, 0), Z$5+1)+IFERROR(INDEX('AI Stack'!$D:$AC, MATCH("Module EBITDA ($mm)", 'AI Stack'!$A:$A, 0), Z$5+1), 0)+INDEX('Lunar Mars'!$D:$AC, MATCH("Module EBITDA ($mm)", 'Lunar Mars'!$A:$A, 0), Z$5+1))</f>
        <v>1.8189894035458565E-12</v>
      </c>
      <c r="AA100" s="15" cm="1">
        <f t="array" aca="1" ref="AA100" ca="1">AA18-(INDEX(Starlink!$D:$AC, MATCH("Module EBITDA ($mm)", Starlink!$A:$A, 0), AA$5+1)+INDEX('Customer Launch'!$D:$AC, MATCH("Module EBITDA ($mm)", 'Customer Launch'!$A:$A, 0), AA$5+1)+INDEX(ODC!$D:$AC, MATCH("Module EBITDA ($mm)", ODC!$A:$A, 0), AA$5+1)+IFERROR(INDEX('AI Stack'!$D:$AC, MATCH("Module EBITDA ($mm)", 'AI Stack'!$A:$A, 0), AA$5+1), 0)+INDEX('Lunar Mars'!$D:$AC, MATCH("Module EBITDA ($mm)", 'Lunar Mars'!$A:$A, 0), AA$5+1))</f>
        <v>0</v>
      </c>
      <c r="AB100" s="15" cm="1">
        <f t="array" aca="1" ref="AB100" ca="1">AB18-(INDEX(Starlink!$D:$AC, MATCH("Module EBITDA ($mm)", Starlink!$A:$A, 0), AB$5+1)+INDEX('Customer Launch'!$D:$AC, MATCH("Module EBITDA ($mm)", 'Customer Launch'!$A:$A, 0), AB$5+1)+INDEX(ODC!$D:$AC, MATCH("Module EBITDA ($mm)", ODC!$A:$A, 0), AB$5+1)+IFERROR(INDEX('AI Stack'!$D:$AC, MATCH("Module EBITDA ($mm)", 'AI Stack'!$A:$A, 0), AB$5+1), 0)+INDEX('Lunar Mars'!$D:$AC, MATCH("Module EBITDA ($mm)", 'Lunar Mars'!$A:$A, 0), AB$5+1))</f>
        <v>0</v>
      </c>
      <c r="AC100" s="15" cm="1">
        <f t="array" aca="1" ref="AC100" ca="1">AC18-(INDEX(Starlink!$D:$AC, MATCH("Module EBITDA ($mm)", Starlink!$A:$A, 0), AC$5+1)+INDEX('Customer Launch'!$D:$AC, MATCH("Module EBITDA ($mm)", 'Customer Launch'!$A:$A, 0), AC$5+1)+INDEX(ODC!$D:$AC, MATCH("Module EBITDA ($mm)", ODC!$A:$A, 0), AC$5+1)+IFERROR(INDEX('AI Stack'!$D:$AC, MATCH("Module EBITDA ($mm)", 'AI Stack'!$A:$A, 0), AC$5+1), 0)+INDEX('Lunar Mars'!$D:$AC, MATCH("Module EBITDA ($mm)", 'Lunar Mars'!$A:$A, 0), AC$5+1))</f>
        <v>0</v>
      </c>
    </row>
    <row r="101" spans="1:29" x14ac:dyDescent="0.2">
      <c r="A101" s="18" t="s">
        <v>633</v>
      </c>
      <c r="C101" t="s">
        <v>1395</v>
      </c>
      <c r="D101" s="15" cm="1">
        <f t="array" aca="1" ref="D101" ca="1">INDEX(CapEx!$D:$AC, MATCH("Total Module CapEx ($mm)", CapEx!$A:$A, 0), D$5+1)-(INDEX(Starlink!$D:$AC, MATCH("Module CapEx ($mm)", Starlink!$A:$A, 0), D$5+1)+INDEX('Customer Launch'!$D:$AC, MATCH("Module CapEx ($mm)", 'Customer Launch'!$A:$A, 0), D$5+1)+INDEX(ODC!$D:$AC, MATCH("Module CapEx ($mm)", ODC!$A:$A, 0), D$5+1)+IFERROR(INDEX('AI Stack'!$D:$AC, MATCH("Module CapEx ($mm)", 'AI Stack'!$A:$A, 0), D$5+1), 0)+INDEX('Lunar Mars'!$D:$AC, MATCH("Module CapEx ($mm)", 'Lunar Mars'!$A:$A, 0), D$5+1))</f>
        <v>0</v>
      </c>
      <c r="E101" s="15" cm="1">
        <f t="array" aca="1" ref="E101" ca="1">INDEX(CapEx!$D:$AC, MATCH("Total Module CapEx ($mm)", CapEx!$A:$A, 0), E$5+1)-(INDEX(Starlink!$D:$AC, MATCH("Module CapEx ($mm)", Starlink!$A:$A, 0), E$5+1)+INDEX('Customer Launch'!$D:$AC, MATCH("Module CapEx ($mm)", 'Customer Launch'!$A:$A, 0), E$5+1)+INDEX(ODC!$D:$AC, MATCH("Module CapEx ($mm)", ODC!$A:$A, 0), E$5+1)+IFERROR(INDEX('AI Stack'!$D:$AC, MATCH("Module CapEx ($mm)", 'AI Stack'!$A:$A, 0), E$5+1), 0)+INDEX('Lunar Mars'!$D:$AC, MATCH("Module CapEx ($mm)", 'Lunar Mars'!$A:$A, 0), E$5+1))</f>
        <v>0</v>
      </c>
      <c r="F101" s="15" cm="1">
        <f t="array" aca="1" ref="F101" ca="1">INDEX(CapEx!$D:$AC, MATCH("Total Module CapEx ($mm)", CapEx!$A:$A, 0), F$5+1)-(INDEX(Starlink!$D:$AC, MATCH("Module CapEx ($mm)", Starlink!$A:$A, 0), F$5+1)+INDEX('Customer Launch'!$D:$AC, MATCH("Module CapEx ($mm)", 'Customer Launch'!$A:$A, 0), F$5+1)+INDEX(ODC!$D:$AC, MATCH("Module CapEx ($mm)", ODC!$A:$A, 0), F$5+1)+IFERROR(INDEX('AI Stack'!$D:$AC, MATCH("Module CapEx ($mm)", 'AI Stack'!$A:$A, 0), F$5+1), 0)+INDEX('Lunar Mars'!$D:$AC, MATCH("Module CapEx ($mm)", 'Lunar Mars'!$A:$A, 0), F$5+1))</f>
        <v>-1.1042396214548944E-2</v>
      </c>
      <c r="G101" s="15" cm="1">
        <f t="array" aca="1" ref="G101" ca="1">INDEX(CapEx!$D:$AC, MATCH("Total Module CapEx ($mm)", CapEx!$A:$A, 0), G$5+1)-(INDEX(Starlink!$D:$AC, MATCH("Module CapEx ($mm)", Starlink!$A:$A, 0), G$5+1)+INDEX('Customer Launch'!$D:$AC, MATCH("Module CapEx ($mm)", 'Customer Launch'!$A:$A, 0), G$5+1)+INDEX(ODC!$D:$AC, MATCH("Module CapEx ($mm)", ODC!$A:$A, 0), G$5+1)+IFERROR(INDEX('AI Stack'!$D:$AC, MATCH("Module CapEx ($mm)", 'AI Stack'!$A:$A, 0), G$5+1), 0)+INDEX('Lunar Mars'!$D:$AC, MATCH("Module CapEx ($mm)", 'Lunar Mars'!$A:$A, 0), G$5+1))</f>
        <v>6.1491876179388782E-2</v>
      </c>
      <c r="H101" s="15" cm="1">
        <f t="array" aca="1" ref="H101" ca="1">INDEX(CapEx!$D:$AC, MATCH("Total Module CapEx ($mm)", CapEx!$A:$A, 0), H$5+1)-(INDEX(Starlink!$D:$AC, MATCH("Module CapEx ($mm)", Starlink!$A:$A, 0), H$5+1)+INDEX('Customer Launch'!$D:$AC, MATCH("Module CapEx ($mm)", 'Customer Launch'!$A:$A, 0), H$5+1)+INDEX(ODC!$D:$AC, MATCH("Module CapEx ($mm)", ODC!$A:$A, 0), H$5+1)+IFERROR(INDEX('AI Stack'!$D:$AC, MATCH("Module CapEx ($mm)", 'AI Stack'!$A:$A, 0), H$5+1), 0)+INDEX('Lunar Mars'!$D:$AC, MATCH("Module CapEx ($mm)", 'Lunar Mars'!$A:$A, 0), H$5+1))</f>
        <v>-0.16613018245163858</v>
      </c>
      <c r="I101" s="15" cm="1">
        <f t="array" aca="1" ref="I101" ca="1">INDEX(CapEx!$D:$AC, MATCH("Total Module CapEx ($mm)", CapEx!$A:$A, 0), I$5+1)-(INDEX(Starlink!$D:$AC, MATCH("Module CapEx ($mm)", Starlink!$A:$A, 0), I$5+1)+INDEX('Customer Launch'!$D:$AC, MATCH("Module CapEx ($mm)", 'Customer Launch'!$A:$A, 0), I$5+1)+INDEX(ODC!$D:$AC, MATCH("Module CapEx ($mm)", ODC!$A:$A, 0), I$5+1)+IFERROR(INDEX('AI Stack'!$D:$AC, MATCH("Module CapEx ($mm)", 'AI Stack'!$A:$A, 0), I$5+1), 0)+INDEX('Lunar Mars'!$D:$AC, MATCH("Module CapEx ($mm)", 'Lunar Mars'!$A:$A, 0), I$5+1))</f>
        <v>0.12418458963247758</v>
      </c>
      <c r="J101" s="15" cm="1">
        <f t="array" aca="1" ref="J101" ca="1">INDEX(CapEx!$D:$AC, MATCH("Total Module CapEx ($mm)", CapEx!$A:$A, 0), J$5+1)-(INDEX(Starlink!$D:$AC, MATCH("Module CapEx ($mm)", Starlink!$A:$A, 0), J$5+1)+INDEX('Customer Launch'!$D:$AC, MATCH("Module CapEx ($mm)", 'Customer Launch'!$A:$A, 0), J$5+1)+INDEX(ODC!$D:$AC, MATCH("Module CapEx ($mm)", ODC!$A:$A, 0), J$5+1)+IFERROR(INDEX('AI Stack'!$D:$AC, MATCH("Module CapEx ($mm)", 'AI Stack'!$A:$A, 0), J$5+1), 0)+INDEX('Lunar Mars'!$D:$AC, MATCH("Module CapEx ($mm)", 'Lunar Mars'!$A:$A, 0), J$5+1))</f>
        <v>0.63417873115974999</v>
      </c>
      <c r="K101" s="15" cm="1">
        <f t="array" aca="1" ref="K101" ca="1">INDEX(CapEx!$D:$AC, MATCH("Total Module CapEx ($mm)", CapEx!$A:$A, 0), K$5+1)-(INDEX(Starlink!$D:$AC, MATCH("Module CapEx ($mm)", Starlink!$A:$A, 0), K$5+1)+INDEX('Customer Launch'!$D:$AC, MATCH("Module CapEx ($mm)", 'Customer Launch'!$A:$A, 0), K$5+1)+INDEX(ODC!$D:$AC, MATCH("Module CapEx ($mm)", ODC!$A:$A, 0), K$5+1)+IFERROR(INDEX('AI Stack'!$D:$AC, MATCH("Module CapEx ($mm)", 'AI Stack'!$A:$A, 0), K$5+1), 0)+INDEX('Lunar Mars'!$D:$AC, MATCH("Module CapEx ($mm)", 'Lunar Mars'!$A:$A, 0), K$5+1))</f>
        <v>-2.5463516963803841</v>
      </c>
      <c r="L101" s="15" cm="1">
        <f t="array" aca="1" ref="L101" ca="1">INDEX(CapEx!$D:$AC, MATCH("Total Module CapEx ($mm)", CapEx!$A:$A, 0), L$5+1)-(INDEX(Starlink!$D:$AC, MATCH("Module CapEx ($mm)", Starlink!$A:$A, 0), L$5+1)+INDEX('Customer Launch'!$D:$AC, MATCH("Module CapEx ($mm)", 'Customer Launch'!$A:$A, 0), L$5+1)+INDEX(ODC!$D:$AC, MATCH("Module CapEx ($mm)", ODC!$A:$A, 0), L$5+1)+IFERROR(INDEX('AI Stack'!$D:$AC, MATCH("Module CapEx ($mm)", 'AI Stack'!$A:$A, 0), L$5+1), 0)+INDEX('Lunar Mars'!$D:$AC, MATCH("Module CapEx ($mm)", 'Lunar Mars'!$A:$A, 0), L$5+1))</f>
        <v>4.9014486980469201</v>
      </c>
      <c r="M101" s="15" cm="1">
        <f t="array" aca="1" ref="M101" ca="1">INDEX(CapEx!$D:$AC, MATCH("Total Module CapEx ($mm)", CapEx!$A:$A, 0), M$5+1)-(INDEX(Starlink!$D:$AC, MATCH("Module CapEx ($mm)", Starlink!$A:$A, 0), M$5+1)+INDEX('Customer Launch'!$D:$AC, MATCH("Module CapEx ($mm)", 'Customer Launch'!$A:$A, 0), M$5+1)+INDEX(ODC!$D:$AC, MATCH("Module CapEx ($mm)", ODC!$A:$A, 0), M$5+1)+IFERROR(INDEX('AI Stack'!$D:$AC, MATCH("Module CapEx ($mm)", 'AI Stack'!$A:$A, 0), M$5+1), 0)+INDEX('Lunar Mars'!$D:$AC, MATCH("Module CapEx ($mm)", 'Lunar Mars'!$A:$A, 0), M$5+1))</f>
        <v>-4.8103800752269308</v>
      </c>
      <c r="N101" s="15" cm="1">
        <f t="array" aca="1" ref="N101" ca="1">INDEX(CapEx!$D:$AC, MATCH("Total Module CapEx ($mm)", CapEx!$A:$A, 0), N$5+1)-(INDEX(Starlink!$D:$AC, MATCH("Module CapEx ($mm)", Starlink!$A:$A, 0), N$5+1)+INDEX('Customer Launch'!$D:$AC, MATCH("Module CapEx ($mm)", 'Customer Launch'!$A:$A, 0), N$5+1)+INDEX(ODC!$D:$AC, MATCH("Module CapEx ($mm)", ODC!$A:$A, 0), N$5+1)+IFERROR(INDEX('AI Stack'!$D:$AC, MATCH("Module CapEx ($mm)", 'AI Stack'!$A:$A, 0), N$5+1), 0)+INDEX('Lunar Mars'!$D:$AC, MATCH("Module CapEx ($mm)", 'Lunar Mars'!$A:$A, 0), N$5+1))</f>
        <v>-0.28360694691059507</v>
      </c>
      <c r="O101" s="15" cm="1">
        <f t="array" aca="1" ref="O101" ca="1">INDEX(CapEx!$D:$AC, MATCH("Total Module CapEx ($mm)", CapEx!$A:$A, 0), O$5+1)-(INDEX(Starlink!$D:$AC, MATCH("Module CapEx ($mm)", Starlink!$A:$A, 0), O$5+1)+INDEX('Customer Launch'!$D:$AC, MATCH("Module CapEx ($mm)", 'Customer Launch'!$A:$A, 0), O$5+1)+INDEX(ODC!$D:$AC, MATCH("Module CapEx ($mm)", ODC!$A:$A, 0), O$5+1)+IFERROR(INDEX('AI Stack'!$D:$AC, MATCH("Module CapEx ($mm)", 'AI Stack'!$A:$A, 0), O$5+1), 0)+INDEX('Lunar Mars'!$D:$AC, MATCH("Module CapEx ($mm)", 'Lunar Mars'!$A:$A, 0), O$5+1))</f>
        <v>9.5180682725452925</v>
      </c>
      <c r="P101" s="15" cm="1">
        <f t="array" aca="1" ref="P101" ca="1">INDEX(CapEx!$D:$AC, MATCH("Total Module CapEx ($mm)", CapEx!$A:$A, 0), P$5+1)-(INDEX(Starlink!$D:$AC, MATCH("Module CapEx ($mm)", Starlink!$A:$A, 0), P$5+1)+INDEX('Customer Launch'!$D:$AC, MATCH("Module CapEx ($mm)", 'Customer Launch'!$A:$A, 0), P$5+1)+INDEX(ODC!$D:$AC, MATCH("Module CapEx ($mm)", ODC!$A:$A, 0), P$5+1)+IFERROR(INDEX('AI Stack'!$D:$AC, MATCH("Module CapEx ($mm)", 'AI Stack'!$A:$A, 0), P$5+1), 0)+INDEX('Lunar Mars'!$D:$AC, MATCH("Module CapEx ($mm)", 'Lunar Mars'!$A:$A, 0), P$5+1))</f>
        <v>-10.950659872490519</v>
      </c>
      <c r="Q101" s="15" cm="1">
        <f t="array" aca="1" ref="Q101" ca="1">INDEX(CapEx!$D:$AC, MATCH("Total Module CapEx ($mm)", CapEx!$A:$A, 0), Q$5+1)-(INDEX(Starlink!$D:$AC, MATCH("Module CapEx ($mm)", Starlink!$A:$A, 0), Q$5+1)+INDEX('Customer Launch'!$D:$AC, MATCH("Module CapEx ($mm)", 'Customer Launch'!$A:$A, 0), Q$5+1)+INDEX(ODC!$D:$AC, MATCH("Module CapEx ($mm)", ODC!$A:$A, 0), Q$5+1)+IFERROR(INDEX('AI Stack'!$D:$AC, MATCH("Module CapEx ($mm)", 'AI Stack'!$A:$A, 0), Q$5+1), 0)+INDEX('Lunar Mars'!$D:$AC, MATCH("Module CapEx ($mm)", 'Lunar Mars'!$A:$A, 0), Q$5+1))</f>
        <v>10.027263843081641</v>
      </c>
      <c r="R101" s="15" cm="1">
        <f t="array" aca="1" ref="R101" ca="1">INDEX(CapEx!$D:$AC, MATCH("Total Module CapEx ($mm)", CapEx!$A:$A, 0), R$5+1)-(INDEX(Starlink!$D:$AC, MATCH("Module CapEx ($mm)", Starlink!$A:$A, 0), R$5+1)+INDEX('Customer Launch'!$D:$AC, MATCH("Module CapEx ($mm)", 'Customer Launch'!$A:$A, 0), R$5+1)+INDEX(ODC!$D:$AC, MATCH("Module CapEx ($mm)", ODC!$A:$A, 0), R$5+1)+IFERROR(INDEX('AI Stack'!$D:$AC, MATCH("Module CapEx ($mm)", 'AI Stack'!$A:$A, 0), R$5+1), 0)+INDEX('Lunar Mars'!$D:$AC, MATCH("Module CapEx ($mm)", 'Lunar Mars'!$A:$A, 0), R$5+1))</f>
        <v>-10.151457090596182</v>
      </c>
      <c r="S101" s="15" cm="1">
        <f t="array" aca="1" ref="S101" ca="1">INDEX(CapEx!$D:$AC, MATCH("Total Module CapEx ($mm)", CapEx!$A:$A, 0), S$5+1)-(INDEX(Starlink!$D:$AC, MATCH("Module CapEx ($mm)", Starlink!$A:$A, 0), S$5+1)+INDEX('Customer Launch'!$D:$AC, MATCH("Module CapEx ($mm)", 'Customer Launch'!$A:$A, 0), S$5+1)+INDEX(ODC!$D:$AC, MATCH("Module CapEx ($mm)", ODC!$A:$A, 0), S$5+1)+IFERROR(INDEX('AI Stack'!$D:$AC, MATCH("Module CapEx ($mm)", 'AI Stack'!$A:$A, 0), S$5+1), 0)+INDEX('Lunar Mars'!$D:$AC, MATCH("Module CapEx ($mm)", 'Lunar Mars'!$A:$A, 0), S$5+1))</f>
        <v>7.0575833947259525E-3</v>
      </c>
      <c r="T101" s="15" cm="1">
        <f t="array" aca="1" ref="T101" ca="1">INDEX(CapEx!$D:$AC, MATCH("Total Module CapEx ($mm)", CapEx!$A:$A, 0), T$5+1)-(INDEX(Starlink!$D:$AC, MATCH("Module CapEx ($mm)", Starlink!$A:$A, 0), T$5+1)+INDEX('Customer Launch'!$D:$AC, MATCH("Module CapEx ($mm)", 'Customer Launch'!$A:$A, 0), T$5+1)+INDEX(ODC!$D:$AC, MATCH("Module CapEx ($mm)", ODC!$A:$A, 0), T$5+1)+IFERROR(INDEX('AI Stack'!$D:$AC, MATCH("Module CapEx ($mm)", 'AI Stack'!$A:$A, 0), T$5+1), 0)+INDEX('Lunar Mars'!$D:$AC, MATCH("Module CapEx ($mm)", 'Lunar Mars'!$A:$A, 0), T$5+1))</f>
        <v>12.301959172542183</v>
      </c>
      <c r="U101" s="15" cm="1">
        <f t="array" aca="1" ref="U101" ca="1">INDEX(CapEx!$D:$AC, MATCH("Total Module CapEx ($mm)", CapEx!$A:$A, 0), U$5+1)-(INDEX(Starlink!$D:$AC, MATCH("Module CapEx ($mm)", Starlink!$A:$A, 0), U$5+1)+INDEX('Customer Launch'!$D:$AC, MATCH("Module CapEx ($mm)", 'Customer Launch'!$A:$A, 0), U$5+1)+INDEX(ODC!$D:$AC, MATCH("Module CapEx ($mm)", ODC!$A:$A, 0), U$5+1)+IFERROR(INDEX('AI Stack'!$D:$AC, MATCH("Module CapEx ($mm)", 'AI Stack'!$A:$A, 0), U$5+1), 0)+INDEX('Lunar Mars'!$D:$AC, MATCH("Module CapEx ($mm)", 'Lunar Mars'!$A:$A, 0), U$5+1))</f>
        <v>-12.659777421725607</v>
      </c>
      <c r="V101" s="15" cm="1">
        <f t="array" aca="1" ref="V101" ca="1">INDEX(CapEx!$D:$AC, MATCH("Total Module CapEx ($mm)", CapEx!$A:$A, 0), V$5+1)-(INDEX(Starlink!$D:$AC, MATCH("Module CapEx ($mm)", Starlink!$A:$A, 0), V$5+1)+INDEX('Customer Launch'!$D:$AC, MATCH("Module CapEx ($mm)", 'Customer Launch'!$A:$A, 0), V$5+1)+INDEX(ODC!$D:$AC, MATCH("Module CapEx ($mm)", ODC!$A:$A, 0), V$5+1)+IFERROR(INDEX('AI Stack'!$D:$AC, MATCH("Module CapEx ($mm)", 'AI Stack'!$A:$A, 0), V$5+1), 0)+INDEX('Lunar Mars'!$D:$AC, MATCH("Module CapEx ($mm)", 'Lunar Mars'!$A:$A, 0), V$5+1))</f>
        <v>8.9451198107608434</v>
      </c>
      <c r="W101" s="15" cm="1">
        <f t="array" aca="1" ref="W101" ca="1">INDEX(CapEx!$D:$AC, MATCH("Total Module CapEx ($mm)", CapEx!$A:$A, 0), W$5+1)-(INDEX(Starlink!$D:$AC, MATCH("Module CapEx ($mm)", Starlink!$A:$A, 0), W$5+1)+INDEX('Customer Launch'!$D:$AC, MATCH("Module CapEx ($mm)", 'Customer Launch'!$A:$A, 0), W$5+1)+INDEX(ODC!$D:$AC, MATCH("Module CapEx ($mm)", ODC!$A:$A, 0), W$5+1)+IFERROR(INDEX('AI Stack'!$D:$AC, MATCH("Module CapEx ($mm)", 'AI Stack'!$A:$A, 0), W$5+1), 0)+INDEX('Lunar Mars'!$D:$AC, MATCH("Module CapEx ($mm)", 'Lunar Mars'!$A:$A, 0), W$5+1))</f>
        <v>-1.5156146833402317</v>
      </c>
      <c r="X101" s="15" cm="1">
        <f t="array" aca="1" ref="X101" ca="1">INDEX(CapEx!$D:$AC, MATCH("Total Module CapEx ($mm)", CapEx!$A:$A, 0), X$5+1)-(INDEX(Starlink!$D:$AC, MATCH("Module CapEx ($mm)", Starlink!$A:$A, 0), X$5+1)+INDEX('Customer Launch'!$D:$AC, MATCH("Module CapEx ($mm)", 'Customer Launch'!$A:$A, 0), X$5+1)+INDEX(ODC!$D:$AC, MATCH("Module CapEx ($mm)", ODC!$A:$A, 0), X$5+1)+IFERROR(INDEX('AI Stack'!$D:$AC, MATCH("Module CapEx ($mm)", 'AI Stack'!$A:$A, 0), X$5+1), 0)+INDEX('Lunar Mars'!$D:$AC, MATCH("Module CapEx ($mm)", 'Lunar Mars'!$A:$A, 0), X$5+1))</f>
        <v>-8.0002658844447296</v>
      </c>
      <c r="Y101" s="15" cm="1">
        <f t="array" aca="1" ref="Y101" ca="1">INDEX(CapEx!$D:$AC, MATCH("Total Module CapEx ($mm)", CapEx!$A:$A, 0), Y$5+1)-(INDEX(Starlink!$D:$AC, MATCH("Module CapEx ($mm)", Starlink!$A:$A, 0), Y$5+1)+INDEX('Customer Launch'!$D:$AC, MATCH("Module CapEx ($mm)", 'Customer Launch'!$A:$A, 0), Y$5+1)+INDEX(ODC!$D:$AC, MATCH("Module CapEx ($mm)", ODC!$A:$A, 0), Y$5+1)+IFERROR(INDEX('AI Stack'!$D:$AC, MATCH("Module CapEx ($mm)", 'AI Stack'!$A:$A, 0), Y$5+1), 0)+INDEX('Lunar Mars'!$D:$AC, MATCH("Module CapEx ($mm)", 'Lunar Mars'!$A:$A, 0), Y$5+1))</f>
        <v>13.924859272791423</v>
      </c>
      <c r="Z101" s="15" cm="1">
        <f t="array" aca="1" ref="Z101" ca="1">INDEX(CapEx!$D:$AC, MATCH("Total Module CapEx ($mm)", CapEx!$A:$A, 0), Z$5+1)-(INDEX(Starlink!$D:$AC, MATCH("Module CapEx ($mm)", Starlink!$A:$A, 0), Z$5+1)+INDEX('Customer Launch'!$D:$AC, MATCH("Module CapEx ($mm)", 'Customer Launch'!$A:$A, 0), Z$5+1)+INDEX(ODC!$D:$AC, MATCH("Module CapEx ($mm)", ODC!$A:$A, 0), Z$5+1)+IFERROR(INDEX('AI Stack'!$D:$AC, MATCH("Module CapEx ($mm)", 'AI Stack'!$A:$A, 0), Z$5+1), 0)+INDEX('Lunar Mars'!$D:$AC, MATCH("Module CapEx ($mm)", 'Lunar Mars'!$A:$A, 0), Z$5+1))</f>
        <v>-14.448595920127673</v>
      </c>
      <c r="AA101" s="15" cm="1">
        <f t="array" aca="1" ref="AA101" ca="1">INDEX(CapEx!$D:$AC, MATCH("Total Module CapEx ($mm)", CapEx!$A:$A, 0), AA$5+1)-(INDEX(Starlink!$D:$AC, MATCH("Module CapEx ($mm)", Starlink!$A:$A, 0), AA$5+1)+INDEX('Customer Launch'!$D:$AC, MATCH("Module CapEx ($mm)", 'Customer Launch'!$A:$A, 0), AA$5+1)+INDEX(ODC!$D:$AC, MATCH("Module CapEx ($mm)", ODC!$A:$A, 0), AA$5+1)+IFERROR(INDEX('AI Stack'!$D:$AC, MATCH("Module CapEx ($mm)", 'AI Stack'!$A:$A, 0), AA$5+1), 0)+INDEX('Lunar Mars'!$D:$AC, MATCH("Module CapEx ($mm)", 'Lunar Mars'!$A:$A, 0), AA$5+1))</f>
        <v>5.7932146172278181</v>
      </c>
      <c r="AB101" s="15" cm="1">
        <f t="array" aca="1" ref="AB101" ca="1">INDEX(CapEx!$D:$AC, MATCH("Total Module CapEx ($mm)", CapEx!$A:$A, 0), AB$5+1)-(INDEX(Starlink!$D:$AC, MATCH("Module CapEx ($mm)", Starlink!$A:$A, 0), AB$5+1)+INDEX('Customer Launch'!$D:$AC, MATCH("Module CapEx ($mm)", 'Customer Launch'!$A:$A, 0), AB$5+1)+INDEX(ODC!$D:$AC, MATCH("Module CapEx ($mm)", ODC!$A:$A, 0), AB$5+1)+IFERROR(INDEX('AI Stack'!$D:$AC, MATCH("Module CapEx ($mm)", 'AI Stack'!$A:$A, 0), AB$5+1), 0)+INDEX('Lunar Mars'!$D:$AC, MATCH("Module CapEx ($mm)", 'Lunar Mars'!$A:$A, 0), AB$5+1))</f>
        <v>8.3459121638272791</v>
      </c>
      <c r="AC101" s="15" cm="1">
        <f t="array" aca="1" ref="AC101" ca="1">INDEX(CapEx!$D:$AC, MATCH("Total Module CapEx ($mm)", CapEx!$A:$A, 0), AC$5+1)-(INDEX(Starlink!$D:$AC, MATCH("Module CapEx ($mm)", Starlink!$A:$A, 0), AC$5+1)+INDEX('Customer Launch'!$D:$AC, MATCH("Module CapEx ($mm)", 'Customer Launch'!$A:$A, 0), AC$5+1)+INDEX(ODC!$D:$AC, MATCH("Module CapEx ($mm)", ODC!$A:$A, 0), AC$5+1)+IFERROR(INDEX('AI Stack'!$D:$AC, MATCH("Module CapEx ($mm)", 'AI Stack'!$A:$A, 0), AC$5+1), 0)+INDEX('Lunar Mars'!$D:$AC, MATCH("Module CapEx ($mm)", 'Lunar Mars'!$A:$A, 0), AC$5+1))</f>
        <v>-15.136315122640667</v>
      </c>
    </row>
    <row r="102" spans="1:29" x14ac:dyDescent="0.2">
      <c r="A102" s="18" t="s">
        <v>634</v>
      </c>
      <c r="C102" t="s">
        <v>1401</v>
      </c>
      <c r="D102" s="15">
        <f ca="1">D50-(D34+D39-D46-D47)</f>
        <v>0</v>
      </c>
      <c r="E102" s="15">
        <f t="shared" ref="E102:AC102" ca="1" si="8">E50-(E34+E39-E46-E47)</f>
        <v>0</v>
      </c>
      <c r="F102" s="15">
        <f t="shared" ca="1" si="8"/>
        <v>0</v>
      </c>
      <c r="G102" s="15">
        <f t="shared" ca="1" si="8"/>
        <v>0</v>
      </c>
      <c r="H102" s="15">
        <f t="shared" ca="1" si="8"/>
        <v>0</v>
      </c>
      <c r="I102" s="15">
        <f t="shared" ca="1" si="8"/>
        <v>0</v>
      </c>
      <c r="J102" s="15">
        <f t="shared" ca="1" si="8"/>
        <v>0</v>
      </c>
      <c r="K102" s="15">
        <f t="shared" ca="1" si="8"/>
        <v>0</v>
      </c>
      <c r="L102" s="15">
        <f t="shared" ca="1" si="8"/>
        <v>0</v>
      </c>
      <c r="M102" s="15">
        <f t="shared" ca="1" si="8"/>
        <v>0</v>
      </c>
      <c r="N102" s="15">
        <f t="shared" ca="1" si="8"/>
        <v>0</v>
      </c>
      <c r="O102" s="15">
        <f t="shared" ca="1" si="8"/>
        <v>0</v>
      </c>
      <c r="P102" s="15">
        <f t="shared" ca="1" si="8"/>
        <v>0</v>
      </c>
      <c r="Q102" s="15">
        <f t="shared" ca="1" si="8"/>
        <v>0</v>
      </c>
      <c r="R102" s="15">
        <f t="shared" ca="1" si="8"/>
        <v>0</v>
      </c>
      <c r="S102" s="15">
        <f t="shared" ca="1" si="8"/>
        <v>0</v>
      </c>
      <c r="T102" s="15">
        <f t="shared" ca="1" si="8"/>
        <v>0</v>
      </c>
      <c r="U102" s="15">
        <f t="shared" ca="1" si="8"/>
        <v>0</v>
      </c>
      <c r="V102" s="15">
        <f t="shared" ca="1" si="8"/>
        <v>0</v>
      </c>
      <c r="W102" s="15">
        <f t="shared" ca="1" si="8"/>
        <v>0</v>
      </c>
      <c r="X102" s="15">
        <f t="shared" ca="1" si="8"/>
        <v>0</v>
      </c>
      <c r="Y102" s="15">
        <f t="shared" ca="1" si="8"/>
        <v>0</v>
      </c>
      <c r="Z102" s="15">
        <f t="shared" ca="1" si="8"/>
        <v>0</v>
      </c>
      <c r="AA102" s="15">
        <f t="shared" ca="1" si="8"/>
        <v>0</v>
      </c>
      <c r="AB102" s="15">
        <f t="shared" ca="1" si="8"/>
        <v>0</v>
      </c>
      <c r="AC102" s="15">
        <f t="shared" ca="1" si="8"/>
        <v>0</v>
      </c>
    </row>
    <row r="103" spans="1:29" x14ac:dyDescent="0.2">
      <c r="A103" s="18" t="s">
        <v>635</v>
      </c>
      <c r="C103" t="s">
        <v>1396</v>
      </c>
      <c r="D103" s="15" cm="1">
        <f t="array" aca="1" ref="D103" ca="1">D28-(D23+D24+D25+IFERROR(INDEX('Lunar Mars'!$D:$AC, MATCH("BV depreciation — Lunar ($mm/yr)", 'Lunar Mars'!$A:$A, 0), D$5+1), 0)+IFERROR(INDEX('Lunar Mars'!$D:$AC, MATCH("BV depreciation — Mars ($mm/yr)", 'Lunar Mars'!$A:$A, 0), D$5+1), 0)+INDEX(CapEx!$D:$AC, MATCH("Total Corporate D&amp;A ($mm)", CapEx!$A:$A, 0), D$5+1)+INDEX(CapEx!$D:$AC, MATCH("Annual spectrum amortization ($mm)", CapEx!$A:$A, 0), D$5+1))</f>
        <v>0</v>
      </c>
      <c r="E103" s="15" cm="1">
        <f t="array" aca="1" ref="E103" ca="1">E28-(E23+E24+E25+IFERROR(INDEX('Lunar Mars'!$D:$AC, MATCH("BV depreciation — Lunar ($mm/yr)", 'Lunar Mars'!$A:$A, 0), E$5+1), 0)+IFERROR(INDEX('Lunar Mars'!$D:$AC, MATCH("BV depreciation — Mars ($mm/yr)", 'Lunar Mars'!$A:$A, 0), E$5+1), 0)+INDEX(CapEx!$D:$AC, MATCH("Total Corporate D&amp;A ($mm)", CapEx!$A:$A, 0), E$5+1)+INDEX(CapEx!$D:$AC, MATCH("Annual spectrum amortization ($mm)", CapEx!$A:$A, 0), E$5+1))</f>
        <v>0</v>
      </c>
      <c r="F103" s="15" cm="1">
        <f t="array" aca="1" ref="F103" ca="1">F28-(F23+F24+F25+IFERROR(INDEX('Lunar Mars'!$D:$AC, MATCH("BV depreciation — Lunar ($mm/yr)", 'Lunar Mars'!$A:$A, 0), F$5+1), 0)+IFERROR(INDEX('Lunar Mars'!$D:$AC, MATCH("BV depreciation — Mars ($mm/yr)", 'Lunar Mars'!$A:$A, 0), F$5+1), 0)+INDEX(CapEx!$D:$AC, MATCH("Total Corporate D&amp;A ($mm)", CapEx!$A:$A, 0), F$5+1)+INDEX(CapEx!$D:$AC, MATCH("Annual spectrum amortization ($mm)", CapEx!$A:$A, 0), F$5+1))</f>
        <v>0</v>
      </c>
      <c r="G103" s="15" cm="1">
        <f t="array" aca="1" ref="G103" ca="1">G28-(G23+G24+G25+IFERROR(INDEX('Lunar Mars'!$D:$AC, MATCH("BV depreciation — Lunar ($mm/yr)", 'Lunar Mars'!$A:$A, 0), G$5+1), 0)+IFERROR(INDEX('Lunar Mars'!$D:$AC, MATCH("BV depreciation — Mars ($mm/yr)", 'Lunar Mars'!$A:$A, 0), G$5+1), 0)+INDEX(CapEx!$D:$AC, MATCH("Total Corporate D&amp;A ($mm)", CapEx!$A:$A, 0), G$5+1)+INDEX(CapEx!$D:$AC, MATCH("Annual spectrum amortization ($mm)", CapEx!$A:$A, 0), G$5+1))</f>
        <v>0</v>
      </c>
      <c r="H103" s="15" cm="1">
        <f t="array" aca="1" ref="H103" ca="1">H28-(H23+H24+H25+IFERROR(INDEX('Lunar Mars'!$D:$AC, MATCH("BV depreciation — Lunar ($mm/yr)", 'Lunar Mars'!$A:$A, 0), H$5+1), 0)+IFERROR(INDEX('Lunar Mars'!$D:$AC, MATCH("BV depreciation — Mars ($mm/yr)", 'Lunar Mars'!$A:$A, 0), H$5+1), 0)+INDEX(CapEx!$D:$AC, MATCH("Total Corporate D&amp;A ($mm)", CapEx!$A:$A, 0), H$5+1)+INDEX(CapEx!$D:$AC, MATCH("Annual spectrum amortization ($mm)", CapEx!$A:$A, 0), H$5+1))</f>
        <v>0</v>
      </c>
      <c r="I103" s="15" cm="1">
        <f t="array" aca="1" ref="I103" ca="1">I28-(I23+I24+I25+IFERROR(INDEX('Lunar Mars'!$D:$AC, MATCH("BV depreciation — Lunar ($mm/yr)", 'Lunar Mars'!$A:$A, 0), I$5+1), 0)+IFERROR(INDEX('Lunar Mars'!$D:$AC, MATCH("BV depreciation — Mars ($mm/yr)", 'Lunar Mars'!$A:$A, 0), I$5+1), 0)+INDEX(CapEx!$D:$AC, MATCH("Total Corporate D&amp;A ($mm)", CapEx!$A:$A, 0), I$5+1)+INDEX(CapEx!$D:$AC, MATCH("Annual spectrum amortization ($mm)", CapEx!$A:$A, 0), I$5+1))</f>
        <v>0</v>
      </c>
      <c r="J103" s="15" cm="1">
        <f t="array" aca="1" ref="J103" ca="1">J28-(J23+J24+J25+IFERROR(INDEX('Lunar Mars'!$D:$AC, MATCH("BV depreciation — Lunar ($mm/yr)", 'Lunar Mars'!$A:$A, 0), J$5+1), 0)+IFERROR(INDEX('Lunar Mars'!$D:$AC, MATCH("BV depreciation — Mars ($mm/yr)", 'Lunar Mars'!$A:$A, 0), J$5+1), 0)+INDEX(CapEx!$D:$AC, MATCH("Total Corporate D&amp;A ($mm)", CapEx!$A:$A, 0), J$5+1)+INDEX(CapEx!$D:$AC, MATCH("Annual spectrum amortization ($mm)", CapEx!$A:$A, 0), J$5+1))</f>
        <v>0</v>
      </c>
      <c r="K103" s="15" cm="1">
        <f t="array" aca="1" ref="K103" ca="1">K28-(K23+K24+K25+IFERROR(INDEX('Lunar Mars'!$D:$AC, MATCH("BV depreciation — Lunar ($mm/yr)", 'Lunar Mars'!$A:$A, 0), K$5+1), 0)+IFERROR(INDEX('Lunar Mars'!$D:$AC, MATCH("BV depreciation — Mars ($mm/yr)", 'Lunar Mars'!$A:$A, 0), K$5+1), 0)+INDEX(CapEx!$D:$AC, MATCH("Total Corporate D&amp;A ($mm)", CapEx!$A:$A, 0), K$5+1)+INDEX(CapEx!$D:$AC, MATCH("Annual spectrum amortization ($mm)", CapEx!$A:$A, 0), K$5+1))</f>
        <v>0</v>
      </c>
      <c r="L103" s="15" cm="1">
        <f t="array" aca="1" ref="L103" ca="1">L28-(L23+L24+L25+IFERROR(INDEX('Lunar Mars'!$D:$AC, MATCH("BV depreciation — Lunar ($mm/yr)", 'Lunar Mars'!$A:$A, 0), L$5+1), 0)+IFERROR(INDEX('Lunar Mars'!$D:$AC, MATCH("BV depreciation — Mars ($mm/yr)", 'Lunar Mars'!$A:$A, 0), L$5+1), 0)+INDEX(CapEx!$D:$AC, MATCH("Total Corporate D&amp;A ($mm)", CapEx!$A:$A, 0), L$5+1)+INDEX(CapEx!$D:$AC, MATCH("Annual spectrum amortization ($mm)", CapEx!$A:$A, 0), L$5+1))</f>
        <v>0</v>
      </c>
      <c r="M103" s="15" cm="1">
        <f t="array" aca="1" ref="M103" ca="1">M28-(M23+M24+M25+IFERROR(INDEX('Lunar Mars'!$D:$AC, MATCH("BV depreciation — Lunar ($mm/yr)", 'Lunar Mars'!$A:$A, 0), M$5+1), 0)+IFERROR(INDEX('Lunar Mars'!$D:$AC, MATCH("BV depreciation — Mars ($mm/yr)", 'Lunar Mars'!$A:$A, 0), M$5+1), 0)+INDEX(CapEx!$D:$AC, MATCH("Total Corporate D&amp;A ($mm)", CapEx!$A:$A, 0), M$5+1)+INDEX(CapEx!$D:$AC, MATCH("Annual spectrum amortization ($mm)", CapEx!$A:$A, 0), M$5+1))</f>
        <v>0</v>
      </c>
      <c r="N103" s="15" cm="1">
        <f t="array" aca="1" ref="N103" ca="1">N28-(N23+N24+N25+IFERROR(INDEX('Lunar Mars'!$D:$AC, MATCH("BV depreciation — Lunar ($mm/yr)", 'Lunar Mars'!$A:$A, 0), N$5+1), 0)+IFERROR(INDEX('Lunar Mars'!$D:$AC, MATCH("BV depreciation — Mars ($mm/yr)", 'Lunar Mars'!$A:$A, 0), N$5+1), 0)+INDEX(CapEx!$D:$AC, MATCH("Total Corporate D&amp;A ($mm)", CapEx!$A:$A, 0), N$5+1)+INDEX(CapEx!$D:$AC, MATCH("Annual spectrum amortization ($mm)", CapEx!$A:$A, 0), N$5+1))</f>
        <v>0</v>
      </c>
      <c r="O103" s="15" cm="1">
        <f t="array" aca="1" ref="O103" ca="1">O28-(O23+O24+O25+IFERROR(INDEX('Lunar Mars'!$D:$AC, MATCH("BV depreciation — Lunar ($mm/yr)", 'Lunar Mars'!$A:$A, 0), O$5+1), 0)+IFERROR(INDEX('Lunar Mars'!$D:$AC, MATCH("BV depreciation — Mars ($mm/yr)", 'Lunar Mars'!$A:$A, 0), O$5+1), 0)+INDEX(CapEx!$D:$AC, MATCH("Total Corporate D&amp;A ($mm)", CapEx!$A:$A, 0), O$5+1)+INDEX(CapEx!$D:$AC, MATCH("Annual spectrum amortization ($mm)", CapEx!$A:$A, 0), O$5+1))</f>
        <v>0</v>
      </c>
      <c r="P103" s="15" cm="1">
        <f t="array" aca="1" ref="P103" ca="1">P28-(P23+P24+P25+IFERROR(INDEX('Lunar Mars'!$D:$AC, MATCH("BV depreciation — Lunar ($mm/yr)", 'Lunar Mars'!$A:$A, 0), P$5+1), 0)+IFERROR(INDEX('Lunar Mars'!$D:$AC, MATCH("BV depreciation — Mars ($mm/yr)", 'Lunar Mars'!$A:$A, 0), P$5+1), 0)+INDEX(CapEx!$D:$AC, MATCH("Total Corporate D&amp;A ($mm)", CapEx!$A:$A, 0), P$5+1)+INDEX(CapEx!$D:$AC, MATCH("Annual spectrum amortization ($mm)", CapEx!$A:$A, 0), P$5+1))</f>
        <v>0</v>
      </c>
      <c r="Q103" s="15" cm="1">
        <f t="array" aca="1" ref="Q103" ca="1">Q28-(Q23+Q24+Q25+IFERROR(INDEX('Lunar Mars'!$D:$AC, MATCH("BV depreciation — Lunar ($mm/yr)", 'Lunar Mars'!$A:$A, 0), Q$5+1), 0)+IFERROR(INDEX('Lunar Mars'!$D:$AC, MATCH("BV depreciation — Mars ($mm/yr)", 'Lunar Mars'!$A:$A, 0), Q$5+1), 0)+INDEX(CapEx!$D:$AC, MATCH("Total Corporate D&amp;A ($mm)", CapEx!$A:$A, 0), Q$5+1)+INDEX(CapEx!$D:$AC, MATCH("Annual spectrum amortization ($mm)", CapEx!$A:$A, 0), Q$5+1))</f>
        <v>0</v>
      </c>
      <c r="R103" s="15" cm="1">
        <f t="array" aca="1" ref="R103" ca="1">R28-(R23+R24+R25+IFERROR(INDEX('Lunar Mars'!$D:$AC, MATCH("BV depreciation — Lunar ($mm/yr)", 'Lunar Mars'!$A:$A, 0), R$5+1), 0)+IFERROR(INDEX('Lunar Mars'!$D:$AC, MATCH("BV depreciation — Mars ($mm/yr)", 'Lunar Mars'!$A:$A, 0), R$5+1), 0)+INDEX(CapEx!$D:$AC, MATCH("Total Corporate D&amp;A ($mm)", CapEx!$A:$A, 0), R$5+1)+INDEX(CapEx!$D:$AC, MATCH("Annual spectrum amortization ($mm)", CapEx!$A:$A, 0), R$5+1))</f>
        <v>0</v>
      </c>
      <c r="S103" s="15" cm="1">
        <f t="array" aca="1" ref="S103" ca="1">S28-(S23+S24+S25+IFERROR(INDEX('Lunar Mars'!$D:$AC, MATCH("BV depreciation — Lunar ($mm/yr)", 'Lunar Mars'!$A:$A, 0), S$5+1), 0)+IFERROR(INDEX('Lunar Mars'!$D:$AC, MATCH("BV depreciation — Mars ($mm/yr)", 'Lunar Mars'!$A:$A, 0), S$5+1), 0)+INDEX(CapEx!$D:$AC, MATCH("Total Corporate D&amp;A ($mm)", CapEx!$A:$A, 0), S$5+1)+INDEX(CapEx!$D:$AC, MATCH("Annual spectrum amortization ($mm)", CapEx!$A:$A, 0), S$5+1))</f>
        <v>0</v>
      </c>
      <c r="T103" s="15" cm="1">
        <f t="array" aca="1" ref="T103" ca="1">T28-(T23+T24+T25+IFERROR(INDEX('Lunar Mars'!$D:$AC, MATCH("BV depreciation — Lunar ($mm/yr)", 'Lunar Mars'!$A:$A, 0), T$5+1), 0)+IFERROR(INDEX('Lunar Mars'!$D:$AC, MATCH("BV depreciation — Mars ($mm/yr)", 'Lunar Mars'!$A:$A, 0), T$5+1), 0)+INDEX(CapEx!$D:$AC, MATCH("Total Corporate D&amp;A ($mm)", CapEx!$A:$A, 0), T$5+1)+INDEX(CapEx!$D:$AC, MATCH("Annual spectrum amortization ($mm)", CapEx!$A:$A, 0), T$5+1))</f>
        <v>0</v>
      </c>
      <c r="U103" s="15" cm="1">
        <f t="array" aca="1" ref="U103" ca="1">U28-(U23+U24+U25+IFERROR(INDEX('Lunar Mars'!$D:$AC, MATCH("BV depreciation — Lunar ($mm/yr)", 'Lunar Mars'!$A:$A, 0), U$5+1), 0)+IFERROR(INDEX('Lunar Mars'!$D:$AC, MATCH("BV depreciation — Mars ($mm/yr)", 'Lunar Mars'!$A:$A, 0), U$5+1), 0)+INDEX(CapEx!$D:$AC, MATCH("Total Corporate D&amp;A ($mm)", CapEx!$A:$A, 0), U$5+1)+INDEX(CapEx!$D:$AC, MATCH("Annual spectrum amortization ($mm)", CapEx!$A:$A, 0), U$5+1))</f>
        <v>0</v>
      </c>
      <c r="V103" s="15" cm="1">
        <f t="array" aca="1" ref="V103" ca="1">V28-(V23+V24+V25+IFERROR(INDEX('Lunar Mars'!$D:$AC, MATCH("BV depreciation — Lunar ($mm/yr)", 'Lunar Mars'!$A:$A, 0), V$5+1), 0)+IFERROR(INDEX('Lunar Mars'!$D:$AC, MATCH("BV depreciation — Mars ($mm/yr)", 'Lunar Mars'!$A:$A, 0), V$5+1), 0)+INDEX(CapEx!$D:$AC, MATCH("Total Corporate D&amp;A ($mm)", CapEx!$A:$A, 0), V$5+1)+INDEX(CapEx!$D:$AC, MATCH("Annual spectrum amortization ($mm)", CapEx!$A:$A, 0), V$5+1))</f>
        <v>0</v>
      </c>
      <c r="W103" s="15" cm="1">
        <f t="array" aca="1" ref="W103" ca="1">W28-(W23+W24+W25+IFERROR(INDEX('Lunar Mars'!$D:$AC, MATCH("BV depreciation — Lunar ($mm/yr)", 'Lunar Mars'!$A:$A, 0), W$5+1), 0)+IFERROR(INDEX('Lunar Mars'!$D:$AC, MATCH("BV depreciation — Mars ($mm/yr)", 'Lunar Mars'!$A:$A, 0), W$5+1), 0)+INDEX(CapEx!$D:$AC, MATCH("Total Corporate D&amp;A ($mm)", CapEx!$A:$A, 0), W$5+1)+INDEX(CapEx!$D:$AC, MATCH("Annual spectrum amortization ($mm)", CapEx!$A:$A, 0), W$5+1))</f>
        <v>0</v>
      </c>
      <c r="X103" s="15" cm="1">
        <f t="array" aca="1" ref="X103" ca="1">X28-(X23+X24+X25+IFERROR(INDEX('Lunar Mars'!$D:$AC, MATCH("BV depreciation — Lunar ($mm/yr)", 'Lunar Mars'!$A:$A, 0), X$5+1), 0)+IFERROR(INDEX('Lunar Mars'!$D:$AC, MATCH("BV depreciation — Mars ($mm/yr)", 'Lunar Mars'!$A:$A, 0), X$5+1), 0)+INDEX(CapEx!$D:$AC, MATCH("Total Corporate D&amp;A ($mm)", CapEx!$A:$A, 0), X$5+1)+INDEX(CapEx!$D:$AC, MATCH("Annual spectrum amortization ($mm)", CapEx!$A:$A, 0), X$5+1))</f>
        <v>0</v>
      </c>
      <c r="Y103" s="15" cm="1">
        <f t="array" aca="1" ref="Y103" ca="1">Y28-(Y23+Y24+Y25+IFERROR(INDEX('Lunar Mars'!$D:$AC, MATCH("BV depreciation — Lunar ($mm/yr)", 'Lunar Mars'!$A:$A, 0), Y$5+1), 0)+IFERROR(INDEX('Lunar Mars'!$D:$AC, MATCH("BV depreciation — Mars ($mm/yr)", 'Lunar Mars'!$A:$A, 0), Y$5+1), 0)+INDEX(CapEx!$D:$AC, MATCH("Total Corporate D&amp;A ($mm)", CapEx!$A:$A, 0), Y$5+1)+INDEX(CapEx!$D:$AC, MATCH("Annual spectrum amortization ($mm)", CapEx!$A:$A, 0), Y$5+1))</f>
        <v>0</v>
      </c>
      <c r="Z103" s="15" cm="1">
        <f t="array" aca="1" ref="Z103" ca="1">Z28-(Z23+Z24+Z25+IFERROR(INDEX('Lunar Mars'!$D:$AC, MATCH("BV depreciation — Lunar ($mm/yr)", 'Lunar Mars'!$A:$A, 0), Z$5+1), 0)+IFERROR(INDEX('Lunar Mars'!$D:$AC, MATCH("BV depreciation — Mars ($mm/yr)", 'Lunar Mars'!$A:$A, 0), Z$5+1), 0)+INDEX(CapEx!$D:$AC, MATCH("Total Corporate D&amp;A ($mm)", CapEx!$A:$A, 0), Z$5+1)+INDEX(CapEx!$D:$AC, MATCH("Annual spectrum amortization ($mm)", CapEx!$A:$A, 0), Z$5+1))</f>
        <v>0</v>
      </c>
      <c r="AA103" s="15" cm="1">
        <f t="array" aca="1" ref="AA103" ca="1">AA28-(AA23+AA24+AA25+IFERROR(INDEX('Lunar Mars'!$D:$AC, MATCH("BV depreciation — Lunar ($mm/yr)", 'Lunar Mars'!$A:$A, 0), AA$5+1), 0)+IFERROR(INDEX('Lunar Mars'!$D:$AC, MATCH("BV depreciation — Mars ($mm/yr)", 'Lunar Mars'!$A:$A, 0), AA$5+1), 0)+INDEX(CapEx!$D:$AC, MATCH("Total Corporate D&amp;A ($mm)", CapEx!$A:$A, 0), AA$5+1)+INDEX(CapEx!$D:$AC, MATCH("Annual spectrum amortization ($mm)", CapEx!$A:$A, 0), AA$5+1))</f>
        <v>0</v>
      </c>
      <c r="AB103" s="15" cm="1">
        <f t="array" aca="1" ref="AB103" ca="1">AB28-(AB23+AB24+AB25+IFERROR(INDEX('Lunar Mars'!$D:$AC, MATCH("BV depreciation — Lunar ($mm/yr)", 'Lunar Mars'!$A:$A, 0), AB$5+1), 0)+IFERROR(INDEX('Lunar Mars'!$D:$AC, MATCH("BV depreciation — Mars ($mm/yr)", 'Lunar Mars'!$A:$A, 0), AB$5+1), 0)+INDEX(CapEx!$D:$AC, MATCH("Total Corporate D&amp;A ($mm)", CapEx!$A:$A, 0), AB$5+1)+INDEX(CapEx!$D:$AC, MATCH("Annual spectrum amortization ($mm)", CapEx!$A:$A, 0), AB$5+1))</f>
        <v>0</v>
      </c>
      <c r="AC103" s="15" cm="1">
        <f t="array" aca="1" ref="AC103" ca="1">AC28-(AC23+AC24+AC25+IFERROR(INDEX('Lunar Mars'!$D:$AC, MATCH("BV depreciation — Lunar ($mm/yr)", 'Lunar Mars'!$A:$A, 0), AC$5+1), 0)+IFERROR(INDEX('Lunar Mars'!$D:$AC, MATCH("BV depreciation — Mars ($mm/yr)", 'Lunar Mars'!$A:$A, 0), AC$5+1), 0)+INDEX(CapEx!$D:$AC, MATCH("Total Corporate D&amp;A ($mm)", CapEx!$A:$A, 0), AC$5+1)+INDEX(CapEx!$D:$AC, MATCH("Annual spectrum amortization ($mm)", CapEx!$A:$A, 0), AC$5+1))</f>
        <v>0</v>
      </c>
    </row>
    <row r="104" spans="1:29" x14ac:dyDescent="0.2">
      <c r="A104" s="18" t="s">
        <v>636</v>
      </c>
      <c r="C104" t="s">
        <v>1397</v>
      </c>
      <c r="D104" s="15" cm="1">
        <f t="array" aca="1" ref="D104" ca="1">D30-(D26-D28+(D23+D24+D25+IFERROR(INDEX('Lunar Mars'!$D:$AC, MATCH("BV depreciation — Lunar ($mm/yr)", 'Lunar Mars'!$A:$A, 0), D$5+1), 0)+IFERROR(INDEX('Lunar Mars'!$D:$AC, MATCH("BV depreciation — Mars ($mm/yr)", 'Lunar Mars'!$A:$A, 0), D$5+1), 0)))</f>
        <v>0</v>
      </c>
      <c r="E104" s="15" cm="1">
        <f t="array" aca="1" ref="E104" ca="1">E30-(E26-E28+(E23+E24+E25+IFERROR(INDEX('Lunar Mars'!$D:$AC, MATCH("BV depreciation — Lunar ($mm/yr)", 'Lunar Mars'!$A:$A, 0), E$5+1), 0)+IFERROR(INDEX('Lunar Mars'!$D:$AC, MATCH("BV depreciation — Mars ($mm/yr)", 'Lunar Mars'!$A:$A, 0), E$5+1), 0)))</f>
        <v>0</v>
      </c>
      <c r="F104" s="15" cm="1">
        <f t="array" aca="1" ref="F104" ca="1">F30-(F26-F28+(F23+F24+F25+IFERROR(INDEX('Lunar Mars'!$D:$AC, MATCH("BV depreciation — Lunar ($mm/yr)", 'Lunar Mars'!$A:$A, 0), F$5+1), 0)+IFERROR(INDEX('Lunar Mars'!$D:$AC, MATCH("BV depreciation — Mars ($mm/yr)", 'Lunar Mars'!$A:$A, 0), F$5+1), 0)))</f>
        <v>0</v>
      </c>
      <c r="G104" s="15" cm="1">
        <f t="array" aca="1" ref="G104" ca="1">G30-(G26-G28+(G23+G24+G25+IFERROR(INDEX('Lunar Mars'!$D:$AC, MATCH("BV depreciation — Lunar ($mm/yr)", 'Lunar Mars'!$A:$A, 0), G$5+1), 0)+IFERROR(INDEX('Lunar Mars'!$D:$AC, MATCH("BV depreciation — Mars ($mm/yr)", 'Lunar Mars'!$A:$A, 0), G$5+1), 0)))</f>
        <v>0</v>
      </c>
      <c r="H104" s="15" cm="1">
        <f t="array" aca="1" ref="H104" ca="1">H30-(H26-H28+(H23+H24+H25+IFERROR(INDEX('Lunar Mars'!$D:$AC, MATCH("BV depreciation — Lunar ($mm/yr)", 'Lunar Mars'!$A:$A, 0), H$5+1), 0)+IFERROR(INDEX('Lunar Mars'!$D:$AC, MATCH("BV depreciation — Mars ($mm/yr)", 'Lunar Mars'!$A:$A, 0), H$5+1), 0)))</f>
        <v>0</v>
      </c>
      <c r="I104" s="15" cm="1">
        <f t="array" aca="1" ref="I104" ca="1">I30-(I26-I28+(I23+I24+I25+IFERROR(INDEX('Lunar Mars'!$D:$AC, MATCH("BV depreciation — Lunar ($mm/yr)", 'Lunar Mars'!$A:$A, 0), I$5+1), 0)+IFERROR(INDEX('Lunar Mars'!$D:$AC, MATCH("BV depreciation — Mars ($mm/yr)", 'Lunar Mars'!$A:$A, 0), I$5+1), 0)))</f>
        <v>0</v>
      </c>
      <c r="J104" s="15" cm="1">
        <f t="array" aca="1" ref="J104" ca="1">J30-(J26-J28+(J23+J24+J25+IFERROR(INDEX('Lunar Mars'!$D:$AC, MATCH("BV depreciation — Lunar ($mm/yr)", 'Lunar Mars'!$A:$A, 0), J$5+1), 0)+IFERROR(INDEX('Lunar Mars'!$D:$AC, MATCH("BV depreciation — Mars ($mm/yr)", 'Lunar Mars'!$A:$A, 0), J$5+1), 0)))</f>
        <v>0</v>
      </c>
      <c r="K104" s="15" cm="1">
        <f t="array" aca="1" ref="K104" ca="1">K30-(K26-K28+(K23+K24+K25+IFERROR(INDEX('Lunar Mars'!$D:$AC, MATCH("BV depreciation — Lunar ($mm/yr)", 'Lunar Mars'!$A:$A, 0), K$5+1), 0)+IFERROR(INDEX('Lunar Mars'!$D:$AC, MATCH("BV depreciation — Mars ($mm/yr)", 'Lunar Mars'!$A:$A, 0), K$5+1), 0)))</f>
        <v>0</v>
      </c>
      <c r="L104" s="15" cm="1">
        <f t="array" aca="1" ref="L104" ca="1">L30-(L26-L28+(L23+L24+L25+IFERROR(INDEX('Lunar Mars'!$D:$AC, MATCH("BV depreciation — Lunar ($mm/yr)", 'Lunar Mars'!$A:$A, 0), L$5+1), 0)+IFERROR(INDEX('Lunar Mars'!$D:$AC, MATCH("BV depreciation — Mars ($mm/yr)", 'Lunar Mars'!$A:$A, 0), L$5+1), 0)))</f>
        <v>0</v>
      </c>
      <c r="M104" s="15" cm="1">
        <f t="array" aca="1" ref="M104" ca="1">M30-(M26-M28+(M23+M24+M25+IFERROR(INDEX('Lunar Mars'!$D:$AC, MATCH("BV depreciation — Lunar ($mm/yr)", 'Lunar Mars'!$A:$A, 0), M$5+1), 0)+IFERROR(INDEX('Lunar Mars'!$D:$AC, MATCH("BV depreciation — Mars ($mm/yr)", 'Lunar Mars'!$A:$A, 0), M$5+1), 0)))</f>
        <v>2.2737367544323206E-13</v>
      </c>
      <c r="N104" s="15" cm="1">
        <f t="array" aca="1" ref="N104" ca="1">N30-(N26-N28+(N23+N24+N25+IFERROR(INDEX('Lunar Mars'!$D:$AC, MATCH("BV depreciation — Lunar ($mm/yr)", 'Lunar Mars'!$A:$A, 0), N$5+1), 0)+IFERROR(INDEX('Lunar Mars'!$D:$AC, MATCH("BV depreciation — Mars ($mm/yr)", 'Lunar Mars'!$A:$A, 0), N$5+1), 0)))</f>
        <v>0</v>
      </c>
      <c r="O104" s="15" cm="1">
        <f t="array" aca="1" ref="O104" ca="1">O30-(O26-O28+(O23+O24+O25+IFERROR(INDEX('Lunar Mars'!$D:$AC, MATCH("BV depreciation — Lunar ($mm/yr)", 'Lunar Mars'!$A:$A, 0), O$5+1), 0)+IFERROR(INDEX('Lunar Mars'!$D:$AC, MATCH("BV depreciation — Mars ($mm/yr)", 'Lunar Mars'!$A:$A, 0), O$5+1), 0)))</f>
        <v>0</v>
      </c>
      <c r="P104" s="15" cm="1">
        <f t="array" aca="1" ref="P104" ca="1">P30-(P26-P28+(P23+P24+P25+IFERROR(INDEX('Lunar Mars'!$D:$AC, MATCH("BV depreciation — Lunar ($mm/yr)", 'Lunar Mars'!$A:$A, 0), P$5+1), 0)+IFERROR(INDEX('Lunar Mars'!$D:$AC, MATCH("BV depreciation — Mars ($mm/yr)", 'Lunar Mars'!$A:$A, 0), P$5+1), 0)))</f>
        <v>0</v>
      </c>
      <c r="Q104" s="15" cm="1">
        <f t="array" aca="1" ref="Q104" ca="1">Q30-(Q26-Q28+(Q23+Q24+Q25+IFERROR(INDEX('Lunar Mars'!$D:$AC, MATCH("BV depreciation — Lunar ($mm/yr)", 'Lunar Mars'!$A:$A, 0), Q$5+1), 0)+IFERROR(INDEX('Lunar Mars'!$D:$AC, MATCH("BV depreciation — Mars ($mm/yr)", 'Lunar Mars'!$A:$A, 0), Q$5+1), 0)))</f>
        <v>0</v>
      </c>
      <c r="R104" s="15" cm="1">
        <f t="array" aca="1" ref="R104" ca="1">R30-(R26-R28+(R23+R24+R25+IFERROR(INDEX('Lunar Mars'!$D:$AC, MATCH("BV depreciation — Lunar ($mm/yr)", 'Lunar Mars'!$A:$A, 0), R$5+1), 0)+IFERROR(INDEX('Lunar Mars'!$D:$AC, MATCH("BV depreciation — Mars ($mm/yr)", 'Lunar Mars'!$A:$A, 0), R$5+1), 0)))</f>
        <v>0</v>
      </c>
      <c r="S104" s="15" cm="1">
        <f t="array" aca="1" ref="S104" ca="1">S30-(S26-S28+(S23+S24+S25+IFERROR(INDEX('Lunar Mars'!$D:$AC, MATCH("BV depreciation — Lunar ($mm/yr)", 'Lunar Mars'!$A:$A, 0), S$5+1), 0)+IFERROR(INDEX('Lunar Mars'!$D:$AC, MATCH("BV depreciation — Mars ($mm/yr)", 'Lunar Mars'!$A:$A, 0), S$5+1), 0)))</f>
        <v>0</v>
      </c>
      <c r="T104" s="15" cm="1">
        <f t="array" aca="1" ref="T104" ca="1">T30-(T26-T28+(T23+T24+T25+IFERROR(INDEX('Lunar Mars'!$D:$AC, MATCH("BV depreciation — Lunar ($mm/yr)", 'Lunar Mars'!$A:$A, 0), T$5+1), 0)+IFERROR(INDEX('Lunar Mars'!$D:$AC, MATCH("BV depreciation — Mars ($mm/yr)", 'Lunar Mars'!$A:$A, 0), T$5+1), 0)))</f>
        <v>0</v>
      </c>
      <c r="U104" s="15" cm="1">
        <f t="array" aca="1" ref="U104" ca="1">U30-(U26-U28+(U23+U24+U25+IFERROR(INDEX('Lunar Mars'!$D:$AC, MATCH("BV depreciation — Lunar ($mm/yr)", 'Lunar Mars'!$A:$A, 0), U$5+1), 0)+IFERROR(INDEX('Lunar Mars'!$D:$AC, MATCH("BV depreciation — Mars ($mm/yr)", 'Lunar Mars'!$A:$A, 0), U$5+1), 0)))</f>
        <v>0</v>
      </c>
      <c r="V104" s="15" cm="1">
        <f t="array" aca="1" ref="V104" ca="1">V30-(V26-V28+(V23+V24+V25+IFERROR(INDEX('Lunar Mars'!$D:$AC, MATCH("BV depreciation — Lunar ($mm/yr)", 'Lunar Mars'!$A:$A, 0), V$5+1), 0)+IFERROR(INDEX('Lunar Mars'!$D:$AC, MATCH("BV depreciation — Mars ($mm/yr)", 'Lunar Mars'!$A:$A, 0), V$5+1), 0)))</f>
        <v>0</v>
      </c>
      <c r="W104" s="15" cm="1">
        <f t="array" aca="1" ref="W104" ca="1">W30-(W26-W28+(W23+W24+W25+IFERROR(INDEX('Lunar Mars'!$D:$AC, MATCH("BV depreciation — Lunar ($mm/yr)", 'Lunar Mars'!$A:$A, 0), W$5+1), 0)+IFERROR(INDEX('Lunar Mars'!$D:$AC, MATCH("BV depreciation — Mars ($mm/yr)", 'Lunar Mars'!$A:$A, 0), W$5+1), 0)))</f>
        <v>0</v>
      </c>
      <c r="X104" s="15" cm="1">
        <f t="array" aca="1" ref="X104" ca="1">X30-(X26-X28+(X23+X24+X25+IFERROR(INDEX('Lunar Mars'!$D:$AC, MATCH("BV depreciation — Lunar ($mm/yr)", 'Lunar Mars'!$A:$A, 0), X$5+1), 0)+IFERROR(INDEX('Lunar Mars'!$D:$AC, MATCH("BV depreciation — Mars ($mm/yr)", 'Lunar Mars'!$A:$A, 0), X$5+1), 0)))</f>
        <v>0</v>
      </c>
      <c r="Y104" s="15" cm="1">
        <f t="array" aca="1" ref="Y104" ca="1">Y30-(Y26-Y28+(Y23+Y24+Y25+IFERROR(INDEX('Lunar Mars'!$D:$AC, MATCH("BV depreciation — Lunar ($mm/yr)", 'Lunar Mars'!$A:$A, 0), Y$5+1), 0)+IFERROR(INDEX('Lunar Mars'!$D:$AC, MATCH("BV depreciation — Mars ($mm/yr)", 'Lunar Mars'!$A:$A, 0), Y$5+1), 0)))</f>
        <v>0</v>
      </c>
      <c r="Z104" s="15" cm="1">
        <f t="array" aca="1" ref="Z104" ca="1">Z30-(Z26-Z28+(Z23+Z24+Z25+IFERROR(INDEX('Lunar Mars'!$D:$AC, MATCH("BV depreciation — Lunar ($mm/yr)", 'Lunar Mars'!$A:$A, 0), Z$5+1), 0)+IFERROR(INDEX('Lunar Mars'!$D:$AC, MATCH("BV depreciation — Mars ($mm/yr)", 'Lunar Mars'!$A:$A, 0), Z$5+1), 0)))</f>
        <v>0</v>
      </c>
      <c r="AA104" s="15" cm="1">
        <f t="array" aca="1" ref="AA104" ca="1">AA30-(AA26-AA28+(AA23+AA24+AA25+IFERROR(INDEX('Lunar Mars'!$D:$AC, MATCH("BV depreciation — Lunar ($mm/yr)", 'Lunar Mars'!$A:$A, 0), AA$5+1), 0)+IFERROR(INDEX('Lunar Mars'!$D:$AC, MATCH("BV depreciation — Mars ($mm/yr)", 'Lunar Mars'!$A:$A, 0), AA$5+1), 0)))</f>
        <v>0</v>
      </c>
      <c r="AB104" s="15" cm="1">
        <f t="array" aca="1" ref="AB104" ca="1">AB30-(AB26-AB28+(AB23+AB24+AB25+IFERROR(INDEX('Lunar Mars'!$D:$AC, MATCH("BV depreciation — Lunar ($mm/yr)", 'Lunar Mars'!$A:$A, 0), AB$5+1), 0)+IFERROR(INDEX('Lunar Mars'!$D:$AC, MATCH("BV depreciation — Mars ($mm/yr)", 'Lunar Mars'!$A:$A, 0), AB$5+1), 0)))</f>
        <v>0</v>
      </c>
      <c r="AC104" s="15" cm="1">
        <f t="array" aca="1" ref="AC104" ca="1">AC30-(AC26-AC28+(AC23+AC24+AC25+IFERROR(INDEX('Lunar Mars'!$D:$AC, MATCH("BV depreciation — Lunar ($mm/yr)", 'Lunar Mars'!$A:$A, 0), AC$5+1), 0)+IFERROR(INDEX('Lunar Mars'!$D:$AC, MATCH("BV depreciation — Mars ($mm/yr)", 'Lunar Mars'!$A:$A, 0), AC$5+1), 0)))</f>
        <v>0</v>
      </c>
    </row>
    <row r="105" spans="1:29" x14ac:dyDescent="0.2">
      <c r="A105" s="18" t="s">
        <v>637</v>
      </c>
      <c r="C105" t="s">
        <v>1398</v>
      </c>
      <c r="D105" s="15" cm="1">
        <f t="array" aca="1" ref="D105" ca="1">D42-(IFERROR(INDEX(Starlink!$D:$AC, MATCH("Launch services cost ($mm) — internal at-cost from Customer Launch", Starlink!$A:$A, 0), D$5+1), 0)+IFERROR(INDEX(ODC!$D:$AC, MATCH("COGS — Launch services cost ($mm)", ODC!$A:$A, 0), D$5+1), 0)+IFERROR(INDEX('AI Stack'!$D:$AC, MATCH("Launch services cost ($mm)", 'AI Stack'!$A:$A, 0), D$5+1), 0))</f>
        <v>0</v>
      </c>
      <c r="E105" s="15" cm="1">
        <f t="array" aca="1" ref="E105" ca="1">E42-(IFERROR(INDEX(Starlink!$D:$AC, MATCH("Launch services cost ($mm) — internal at-cost from Customer Launch", Starlink!$A:$A, 0), E$5+1), 0)+IFERROR(INDEX(ODC!$D:$AC, MATCH("COGS — Launch services cost ($mm)", ODC!$A:$A, 0), E$5+1), 0)+IFERROR(INDEX('AI Stack'!$D:$AC, MATCH("Launch services cost ($mm)", 'AI Stack'!$A:$A, 0), E$5+1), 0))</f>
        <v>0</v>
      </c>
      <c r="F105" s="15" cm="1">
        <f t="array" aca="1" ref="F105" ca="1">F42-(IFERROR(INDEX(Starlink!$D:$AC, MATCH("Launch services cost ($mm) — internal at-cost from Customer Launch", Starlink!$A:$A, 0), F$5+1), 0)+IFERROR(INDEX(ODC!$D:$AC, MATCH("COGS — Launch services cost ($mm)", ODC!$A:$A, 0), F$5+1), 0)+IFERROR(INDEX('AI Stack'!$D:$AC, MATCH("Launch services cost ($mm)", 'AI Stack'!$A:$A, 0), F$5+1), 0))</f>
        <v>0</v>
      </c>
      <c r="G105" s="15" cm="1">
        <f t="array" aca="1" ref="G105" ca="1">G42-(IFERROR(INDEX(Starlink!$D:$AC, MATCH("Launch services cost ($mm) — internal at-cost from Customer Launch", Starlink!$A:$A, 0), G$5+1), 0)+IFERROR(INDEX(ODC!$D:$AC, MATCH("COGS — Launch services cost ($mm)", ODC!$A:$A, 0), G$5+1), 0)+IFERROR(INDEX('AI Stack'!$D:$AC, MATCH("Launch services cost ($mm)", 'AI Stack'!$A:$A, 0), G$5+1), 0))</f>
        <v>0</v>
      </c>
      <c r="H105" s="15" cm="1">
        <f t="array" aca="1" ref="H105" ca="1">H42-(IFERROR(INDEX(Starlink!$D:$AC, MATCH("Launch services cost ($mm) — internal at-cost from Customer Launch", Starlink!$A:$A, 0), H$5+1), 0)+IFERROR(INDEX(ODC!$D:$AC, MATCH("COGS — Launch services cost ($mm)", ODC!$A:$A, 0), H$5+1), 0)+IFERROR(INDEX('AI Stack'!$D:$AC, MATCH("Launch services cost ($mm)", 'AI Stack'!$A:$A, 0), H$5+1), 0))</f>
        <v>0</v>
      </c>
      <c r="I105" s="15" cm="1">
        <f t="array" aca="1" ref="I105" ca="1">I42-(IFERROR(INDEX(Starlink!$D:$AC, MATCH("Launch services cost ($mm) — internal at-cost from Customer Launch", Starlink!$A:$A, 0), I$5+1), 0)+IFERROR(INDEX(ODC!$D:$AC, MATCH("COGS — Launch services cost ($mm)", ODC!$A:$A, 0), I$5+1), 0)+IFERROR(INDEX('AI Stack'!$D:$AC, MATCH("Launch services cost ($mm)", 'AI Stack'!$A:$A, 0), I$5+1), 0))</f>
        <v>0</v>
      </c>
      <c r="J105" s="15" cm="1">
        <f t="array" aca="1" ref="J105" ca="1">J42-(IFERROR(INDEX(Starlink!$D:$AC, MATCH("Launch services cost ($mm) — internal at-cost from Customer Launch", Starlink!$A:$A, 0), J$5+1), 0)+IFERROR(INDEX(ODC!$D:$AC, MATCH("COGS — Launch services cost ($mm)", ODC!$A:$A, 0), J$5+1), 0)+IFERROR(INDEX('AI Stack'!$D:$AC, MATCH("Launch services cost ($mm)", 'AI Stack'!$A:$A, 0), J$5+1), 0))</f>
        <v>0</v>
      </c>
      <c r="K105" s="15" cm="1">
        <f t="array" aca="1" ref="K105" ca="1">K42-(IFERROR(INDEX(Starlink!$D:$AC, MATCH("Launch services cost ($mm) — internal at-cost from Customer Launch", Starlink!$A:$A, 0), K$5+1), 0)+IFERROR(INDEX(ODC!$D:$AC, MATCH("COGS — Launch services cost ($mm)", ODC!$A:$A, 0), K$5+1), 0)+IFERROR(INDEX('AI Stack'!$D:$AC, MATCH("Launch services cost ($mm)", 'AI Stack'!$A:$A, 0), K$5+1), 0))</f>
        <v>0</v>
      </c>
      <c r="L105" s="15" cm="1">
        <f t="array" aca="1" ref="L105" ca="1">L42-(IFERROR(INDEX(Starlink!$D:$AC, MATCH("Launch services cost ($mm) — internal at-cost from Customer Launch", Starlink!$A:$A, 0), L$5+1), 0)+IFERROR(INDEX(ODC!$D:$AC, MATCH("COGS — Launch services cost ($mm)", ODC!$A:$A, 0), L$5+1), 0)+IFERROR(INDEX('AI Stack'!$D:$AC, MATCH("Launch services cost ($mm)", 'AI Stack'!$A:$A, 0), L$5+1), 0))</f>
        <v>0</v>
      </c>
      <c r="M105" s="15" cm="1">
        <f t="array" aca="1" ref="M105" ca="1">M42-(IFERROR(INDEX(Starlink!$D:$AC, MATCH("Launch services cost ($mm) — internal at-cost from Customer Launch", Starlink!$A:$A, 0), M$5+1), 0)+IFERROR(INDEX(ODC!$D:$AC, MATCH("COGS — Launch services cost ($mm)", ODC!$A:$A, 0), M$5+1), 0)+IFERROR(INDEX('AI Stack'!$D:$AC, MATCH("Launch services cost ($mm)", 'AI Stack'!$A:$A, 0), M$5+1), 0))</f>
        <v>0</v>
      </c>
      <c r="N105" s="15" cm="1">
        <f t="array" aca="1" ref="N105" ca="1">N42-(IFERROR(INDEX(Starlink!$D:$AC, MATCH("Launch services cost ($mm) — internal at-cost from Customer Launch", Starlink!$A:$A, 0), N$5+1), 0)+IFERROR(INDEX(ODC!$D:$AC, MATCH("COGS — Launch services cost ($mm)", ODC!$A:$A, 0), N$5+1), 0)+IFERROR(INDEX('AI Stack'!$D:$AC, MATCH("Launch services cost ($mm)", 'AI Stack'!$A:$A, 0), N$5+1), 0))</f>
        <v>0</v>
      </c>
      <c r="O105" s="15" cm="1">
        <f t="array" aca="1" ref="O105" ca="1">O42-(IFERROR(INDEX(Starlink!$D:$AC, MATCH("Launch services cost ($mm) — internal at-cost from Customer Launch", Starlink!$A:$A, 0), O$5+1), 0)+IFERROR(INDEX(ODC!$D:$AC, MATCH("COGS — Launch services cost ($mm)", ODC!$A:$A, 0), O$5+1), 0)+IFERROR(INDEX('AI Stack'!$D:$AC, MATCH("Launch services cost ($mm)", 'AI Stack'!$A:$A, 0), O$5+1), 0))</f>
        <v>0</v>
      </c>
      <c r="P105" s="15" cm="1">
        <f t="array" aca="1" ref="P105" ca="1">P42-(IFERROR(INDEX(Starlink!$D:$AC, MATCH("Launch services cost ($mm) — internal at-cost from Customer Launch", Starlink!$A:$A, 0), P$5+1), 0)+IFERROR(INDEX(ODC!$D:$AC, MATCH("COGS — Launch services cost ($mm)", ODC!$A:$A, 0), P$5+1), 0)+IFERROR(INDEX('AI Stack'!$D:$AC, MATCH("Launch services cost ($mm)", 'AI Stack'!$A:$A, 0), P$5+1), 0))</f>
        <v>0</v>
      </c>
      <c r="Q105" s="15" cm="1">
        <f t="array" aca="1" ref="Q105" ca="1">Q42-(IFERROR(INDEX(Starlink!$D:$AC, MATCH("Launch services cost ($mm) — internal at-cost from Customer Launch", Starlink!$A:$A, 0), Q$5+1), 0)+IFERROR(INDEX(ODC!$D:$AC, MATCH("COGS — Launch services cost ($mm)", ODC!$A:$A, 0), Q$5+1), 0)+IFERROR(INDEX('AI Stack'!$D:$AC, MATCH("Launch services cost ($mm)", 'AI Stack'!$A:$A, 0), Q$5+1), 0))</f>
        <v>0</v>
      </c>
      <c r="R105" s="15" cm="1">
        <f t="array" aca="1" ref="R105" ca="1">R42-(IFERROR(INDEX(Starlink!$D:$AC, MATCH("Launch services cost ($mm) — internal at-cost from Customer Launch", Starlink!$A:$A, 0), R$5+1), 0)+IFERROR(INDEX(ODC!$D:$AC, MATCH("COGS — Launch services cost ($mm)", ODC!$A:$A, 0), R$5+1), 0)+IFERROR(INDEX('AI Stack'!$D:$AC, MATCH("Launch services cost ($mm)", 'AI Stack'!$A:$A, 0), R$5+1), 0))</f>
        <v>0</v>
      </c>
      <c r="S105" s="15" cm="1">
        <f t="array" aca="1" ref="S105" ca="1">S42-(IFERROR(INDEX(Starlink!$D:$AC, MATCH("Launch services cost ($mm) — internal at-cost from Customer Launch", Starlink!$A:$A, 0), S$5+1), 0)+IFERROR(INDEX(ODC!$D:$AC, MATCH("COGS — Launch services cost ($mm)", ODC!$A:$A, 0), S$5+1), 0)+IFERROR(INDEX('AI Stack'!$D:$AC, MATCH("Launch services cost ($mm)", 'AI Stack'!$A:$A, 0), S$5+1), 0))</f>
        <v>0</v>
      </c>
      <c r="T105" s="15" cm="1">
        <f t="array" aca="1" ref="T105" ca="1">T42-(IFERROR(INDEX(Starlink!$D:$AC, MATCH("Launch services cost ($mm) — internal at-cost from Customer Launch", Starlink!$A:$A, 0), T$5+1), 0)+IFERROR(INDEX(ODC!$D:$AC, MATCH("COGS — Launch services cost ($mm)", ODC!$A:$A, 0), T$5+1), 0)+IFERROR(INDEX('AI Stack'!$D:$AC, MATCH("Launch services cost ($mm)", 'AI Stack'!$A:$A, 0), T$5+1), 0))</f>
        <v>0</v>
      </c>
      <c r="U105" s="15" cm="1">
        <f t="array" aca="1" ref="U105" ca="1">U42-(IFERROR(INDEX(Starlink!$D:$AC, MATCH("Launch services cost ($mm) — internal at-cost from Customer Launch", Starlink!$A:$A, 0), U$5+1), 0)+IFERROR(INDEX(ODC!$D:$AC, MATCH("COGS — Launch services cost ($mm)", ODC!$A:$A, 0), U$5+1), 0)+IFERROR(INDEX('AI Stack'!$D:$AC, MATCH("Launch services cost ($mm)", 'AI Stack'!$A:$A, 0), U$5+1), 0))</f>
        <v>0</v>
      </c>
      <c r="V105" s="15" cm="1">
        <f t="array" aca="1" ref="V105" ca="1">V42-(IFERROR(INDEX(Starlink!$D:$AC, MATCH("Launch services cost ($mm) — internal at-cost from Customer Launch", Starlink!$A:$A, 0), V$5+1), 0)+IFERROR(INDEX(ODC!$D:$AC, MATCH("COGS — Launch services cost ($mm)", ODC!$A:$A, 0), V$5+1), 0)+IFERROR(INDEX('AI Stack'!$D:$AC, MATCH("Launch services cost ($mm)", 'AI Stack'!$A:$A, 0), V$5+1), 0))</f>
        <v>0</v>
      </c>
      <c r="W105" s="15" cm="1">
        <f t="array" aca="1" ref="W105" ca="1">W42-(IFERROR(INDEX(Starlink!$D:$AC, MATCH("Launch services cost ($mm) — internal at-cost from Customer Launch", Starlink!$A:$A, 0), W$5+1), 0)+IFERROR(INDEX(ODC!$D:$AC, MATCH("COGS — Launch services cost ($mm)", ODC!$A:$A, 0), W$5+1), 0)+IFERROR(INDEX('AI Stack'!$D:$AC, MATCH("Launch services cost ($mm)", 'AI Stack'!$A:$A, 0), W$5+1), 0))</f>
        <v>0</v>
      </c>
      <c r="X105" s="15" cm="1">
        <f t="array" aca="1" ref="X105" ca="1">X42-(IFERROR(INDEX(Starlink!$D:$AC, MATCH("Launch services cost ($mm) — internal at-cost from Customer Launch", Starlink!$A:$A, 0), X$5+1), 0)+IFERROR(INDEX(ODC!$D:$AC, MATCH("COGS — Launch services cost ($mm)", ODC!$A:$A, 0), X$5+1), 0)+IFERROR(INDEX('AI Stack'!$D:$AC, MATCH("Launch services cost ($mm)", 'AI Stack'!$A:$A, 0), X$5+1), 0))</f>
        <v>0</v>
      </c>
      <c r="Y105" s="15" cm="1">
        <f t="array" aca="1" ref="Y105" ca="1">Y42-(IFERROR(INDEX(Starlink!$D:$AC, MATCH("Launch services cost ($mm) — internal at-cost from Customer Launch", Starlink!$A:$A, 0), Y$5+1), 0)+IFERROR(INDEX(ODC!$D:$AC, MATCH("COGS — Launch services cost ($mm)", ODC!$A:$A, 0), Y$5+1), 0)+IFERROR(INDEX('AI Stack'!$D:$AC, MATCH("Launch services cost ($mm)", 'AI Stack'!$A:$A, 0), Y$5+1), 0))</f>
        <v>0</v>
      </c>
      <c r="Z105" s="15" cm="1">
        <f t="array" aca="1" ref="Z105" ca="1">Z42-(IFERROR(INDEX(Starlink!$D:$AC, MATCH("Launch services cost ($mm) — internal at-cost from Customer Launch", Starlink!$A:$A, 0), Z$5+1), 0)+IFERROR(INDEX(ODC!$D:$AC, MATCH("COGS — Launch services cost ($mm)", ODC!$A:$A, 0), Z$5+1), 0)+IFERROR(INDEX('AI Stack'!$D:$AC, MATCH("Launch services cost ($mm)", 'AI Stack'!$A:$A, 0), Z$5+1), 0))</f>
        <v>0</v>
      </c>
      <c r="AA105" s="15" cm="1">
        <f t="array" aca="1" ref="AA105" ca="1">AA42-(IFERROR(INDEX(Starlink!$D:$AC, MATCH("Launch services cost ($mm) — internal at-cost from Customer Launch", Starlink!$A:$A, 0), AA$5+1), 0)+IFERROR(INDEX(ODC!$D:$AC, MATCH("COGS — Launch services cost ($mm)", ODC!$A:$A, 0), AA$5+1), 0)+IFERROR(INDEX('AI Stack'!$D:$AC, MATCH("Launch services cost ($mm)", 'AI Stack'!$A:$A, 0), AA$5+1), 0))</f>
        <v>0</v>
      </c>
      <c r="AB105" s="15" cm="1">
        <f t="array" aca="1" ref="AB105" ca="1">AB42-(IFERROR(INDEX(Starlink!$D:$AC, MATCH("Launch services cost ($mm) — internal at-cost from Customer Launch", Starlink!$A:$A, 0), AB$5+1), 0)+IFERROR(INDEX(ODC!$D:$AC, MATCH("COGS — Launch services cost ($mm)", ODC!$A:$A, 0), AB$5+1), 0)+IFERROR(INDEX('AI Stack'!$D:$AC, MATCH("Launch services cost ($mm)", 'AI Stack'!$A:$A, 0), AB$5+1), 0))</f>
        <v>0</v>
      </c>
      <c r="AC105" s="15" cm="1">
        <f t="array" aca="1" ref="AC105" ca="1">AC42-(IFERROR(INDEX(Starlink!$D:$AC, MATCH("Launch services cost ($mm) — internal at-cost from Customer Launch", Starlink!$A:$A, 0), AC$5+1), 0)+IFERROR(INDEX(ODC!$D:$AC, MATCH("COGS — Launch services cost ($mm)", ODC!$A:$A, 0), AC$5+1), 0)+IFERROR(INDEX('AI Stack'!$D:$AC, MATCH("Launch services cost ($mm)", 'AI Stack'!$A:$A, 0), AC$5+1), 0))</f>
        <v>0</v>
      </c>
    </row>
    <row r="106" spans="1:29" x14ac:dyDescent="0.2">
      <c r="A106" s="18" t="s">
        <v>638</v>
      </c>
      <c r="C106" t="s">
        <v>1399</v>
      </c>
      <c r="D106" s="15" cm="1">
        <f t="array" aca="1" ref="D106" ca="1">D43-IFERROR(INDEX(ODC!$D:$AC, MATCH("Bandwidth services cost ($mm)", ODC!$A:$A, 0), D$5+1), 0)</f>
        <v>0</v>
      </c>
      <c r="E106" s="15" cm="1">
        <f t="array" aca="1" ref="E106" ca="1">E43-IFERROR(INDEX(ODC!$D:$AC, MATCH("Bandwidth services cost ($mm)", ODC!$A:$A, 0), E$5+1), 0)</f>
        <v>0</v>
      </c>
      <c r="F106" s="15" cm="1">
        <f t="array" aca="1" ref="F106" ca="1">F43-IFERROR(INDEX(ODC!$D:$AC, MATCH("Bandwidth services cost ($mm)", ODC!$A:$A, 0), F$5+1), 0)</f>
        <v>0</v>
      </c>
      <c r="G106" s="15" cm="1">
        <f t="array" aca="1" ref="G106" ca="1">G43-IFERROR(INDEX(ODC!$D:$AC, MATCH("Bandwidth services cost ($mm)", ODC!$A:$A, 0), G$5+1), 0)</f>
        <v>0</v>
      </c>
      <c r="H106" s="15" cm="1">
        <f t="array" aca="1" ref="H106" ca="1">H43-IFERROR(INDEX(ODC!$D:$AC, MATCH("Bandwidth services cost ($mm)", ODC!$A:$A, 0), H$5+1), 0)</f>
        <v>0</v>
      </c>
      <c r="I106" s="15" cm="1">
        <f t="array" aca="1" ref="I106" ca="1">I43-IFERROR(INDEX(ODC!$D:$AC, MATCH("Bandwidth services cost ($mm)", ODC!$A:$A, 0), I$5+1), 0)</f>
        <v>0</v>
      </c>
      <c r="J106" s="15" cm="1">
        <f t="array" aca="1" ref="J106" ca="1">J43-IFERROR(INDEX(ODC!$D:$AC, MATCH("Bandwidth services cost ($mm)", ODC!$A:$A, 0), J$5+1), 0)</f>
        <v>0</v>
      </c>
      <c r="K106" s="15" cm="1">
        <f t="array" aca="1" ref="K106" ca="1">K43-IFERROR(INDEX(ODC!$D:$AC, MATCH("Bandwidth services cost ($mm)", ODC!$A:$A, 0), K$5+1), 0)</f>
        <v>0</v>
      </c>
      <c r="L106" s="15" cm="1">
        <f t="array" aca="1" ref="L106" ca="1">L43-IFERROR(INDEX(ODC!$D:$AC, MATCH("Bandwidth services cost ($mm)", ODC!$A:$A, 0), L$5+1), 0)</f>
        <v>0</v>
      </c>
      <c r="M106" s="15" cm="1">
        <f t="array" aca="1" ref="M106" ca="1">M43-IFERROR(INDEX(ODC!$D:$AC, MATCH("Bandwidth services cost ($mm)", ODC!$A:$A, 0), M$5+1), 0)</f>
        <v>0</v>
      </c>
      <c r="N106" s="15" cm="1">
        <f t="array" aca="1" ref="N106" ca="1">N43-IFERROR(INDEX(ODC!$D:$AC, MATCH("Bandwidth services cost ($mm)", ODC!$A:$A, 0), N$5+1), 0)</f>
        <v>0</v>
      </c>
      <c r="O106" s="15" cm="1">
        <f t="array" aca="1" ref="O106" ca="1">O43-IFERROR(INDEX(ODC!$D:$AC, MATCH("Bandwidth services cost ($mm)", ODC!$A:$A, 0), O$5+1), 0)</f>
        <v>0</v>
      </c>
      <c r="P106" s="15" cm="1">
        <f t="array" aca="1" ref="P106" ca="1">P43-IFERROR(INDEX(ODC!$D:$AC, MATCH("Bandwidth services cost ($mm)", ODC!$A:$A, 0), P$5+1), 0)</f>
        <v>0</v>
      </c>
      <c r="Q106" s="15" cm="1">
        <f t="array" aca="1" ref="Q106" ca="1">Q43-IFERROR(INDEX(ODC!$D:$AC, MATCH("Bandwidth services cost ($mm)", ODC!$A:$A, 0), Q$5+1), 0)</f>
        <v>0</v>
      </c>
      <c r="R106" s="15" cm="1">
        <f t="array" aca="1" ref="R106" ca="1">R43-IFERROR(INDEX(ODC!$D:$AC, MATCH("Bandwidth services cost ($mm)", ODC!$A:$A, 0), R$5+1), 0)</f>
        <v>0</v>
      </c>
      <c r="S106" s="15" cm="1">
        <f t="array" aca="1" ref="S106" ca="1">S43-IFERROR(INDEX(ODC!$D:$AC, MATCH("Bandwidth services cost ($mm)", ODC!$A:$A, 0), S$5+1), 0)</f>
        <v>0</v>
      </c>
      <c r="T106" s="15" cm="1">
        <f t="array" aca="1" ref="T106" ca="1">T43-IFERROR(INDEX(ODC!$D:$AC, MATCH("Bandwidth services cost ($mm)", ODC!$A:$A, 0), T$5+1), 0)</f>
        <v>0</v>
      </c>
      <c r="U106" s="15" cm="1">
        <f t="array" aca="1" ref="U106" ca="1">U43-IFERROR(INDEX(ODC!$D:$AC, MATCH("Bandwidth services cost ($mm)", ODC!$A:$A, 0), U$5+1), 0)</f>
        <v>0</v>
      </c>
      <c r="V106" s="15" cm="1">
        <f t="array" aca="1" ref="V106" ca="1">V43-IFERROR(INDEX(ODC!$D:$AC, MATCH("Bandwidth services cost ($mm)", ODC!$A:$A, 0), V$5+1), 0)</f>
        <v>0</v>
      </c>
      <c r="W106" s="15" cm="1">
        <f t="array" aca="1" ref="W106" ca="1">W43-IFERROR(INDEX(ODC!$D:$AC, MATCH("Bandwidth services cost ($mm)", ODC!$A:$A, 0), W$5+1), 0)</f>
        <v>0</v>
      </c>
      <c r="X106" s="15" cm="1">
        <f t="array" aca="1" ref="X106" ca="1">X43-IFERROR(INDEX(ODC!$D:$AC, MATCH("Bandwidth services cost ($mm)", ODC!$A:$A, 0), X$5+1), 0)</f>
        <v>0</v>
      </c>
      <c r="Y106" s="15" cm="1">
        <f t="array" aca="1" ref="Y106" ca="1">Y43-IFERROR(INDEX(ODC!$D:$AC, MATCH("Bandwidth services cost ($mm)", ODC!$A:$A, 0), Y$5+1), 0)</f>
        <v>0</v>
      </c>
      <c r="Z106" s="15" cm="1">
        <f t="array" aca="1" ref="Z106" ca="1">Z43-IFERROR(INDEX(ODC!$D:$AC, MATCH("Bandwidth services cost ($mm)", ODC!$A:$A, 0), Z$5+1), 0)</f>
        <v>0</v>
      </c>
      <c r="AA106" s="15" cm="1">
        <f t="array" aca="1" ref="AA106" ca="1">AA43-IFERROR(INDEX(ODC!$D:$AC, MATCH("Bandwidth services cost ($mm)", ODC!$A:$A, 0), AA$5+1), 0)</f>
        <v>0</v>
      </c>
      <c r="AB106" s="15" cm="1">
        <f t="array" aca="1" ref="AB106" ca="1">AB43-IFERROR(INDEX(ODC!$D:$AC, MATCH("Bandwidth services cost ($mm)", ODC!$A:$A, 0), AB$5+1), 0)</f>
        <v>0</v>
      </c>
      <c r="AC106" s="15" cm="1">
        <f t="array" aca="1" ref="AC106" ca="1">AC43-IFERROR(INDEX(ODC!$D:$AC, MATCH("Bandwidth services cost ($mm)", ODC!$A:$A, 0), AC$5+1), 0)</f>
        <v>0</v>
      </c>
    </row>
    <row r="107" spans="1:29" x14ac:dyDescent="0.2">
      <c r="A107" s="18" t="s">
        <v>639</v>
      </c>
      <c r="C107" t="s">
        <v>1400</v>
      </c>
      <c r="D107" s="15" cm="1">
        <f t="array" aca="1" ref="D107" ca="1">D44-IFERROR(INDEX('AI Stack'!$D:$AC, MATCH("Internal compute cost from ODC ($mm)", 'AI Stack'!$A:$A, 0), D$5+1), 0)</f>
        <v>0</v>
      </c>
      <c r="E107" s="15" cm="1">
        <f t="array" aca="1" ref="E107" ca="1">E44-IFERROR(INDEX('AI Stack'!$D:$AC, MATCH("Internal compute cost from ODC ($mm)", 'AI Stack'!$A:$A, 0), E$5+1), 0)</f>
        <v>0</v>
      </c>
      <c r="F107" s="15" cm="1">
        <f t="array" aca="1" ref="F107" ca="1">F44-IFERROR(INDEX('AI Stack'!$D:$AC, MATCH("Internal compute cost from ODC ($mm)", 'AI Stack'!$A:$A, 0), F$5+1), 0)</f>
        <v>0</v>
      </c>
      <c r="G107" s="15" cm="1">
        <f t="array" aca="1" ref="G107" ca="1">G44-IFERROR(INDEX('AI Stack'!$D:$AC, MATCH("Internal compute cost from ODC ($mm)", 'AI Stack'!$A:$A, 0), G$5+1), 0)</f>
        <v>0</v>
      </c>
      <c r="H107" s="15" cm="1">
        <f t="array" aca="1" ref="H107" ca="1">H44-IFERROR(INDEX('AI Stack'!$D:$AC, MATCH("Internal compute cost from ODC ($mm)", 'AI Stack'!$A:$A, 0), H$5+1), 0)</f>
        <v>0</v>
      </c>
      <c r="I107" s="15" cm="1">
        <f t="array" aca="1" ref="I107" ca="1">I44-IFERROR(INDEX('AI Stack'!$D:$AC, MATCH("Internal compute cost from ODC ($mm)", 'AI Stack'!$A:$A, 0), I$5+1), 0)</f>
        <v>0</v>
      </c>
      <c r="J107" s="15" cm="1">
        <f t="array" aca="1" ref="J107" ca="1">J44-IFERROR(INDEX('AI Stack'!$D:$AC, MATCH("Internal compute cost from ODC ($mm)", 'AI Stack'!$A:$A, 0), J$5+1), 0)</f>
        <v>0</v>
      </c>
      <c r="K107" s="15" cm="1">
        <f t="array" aca="1" ref="K107" ca="1">K44-IFERROR(INDEX('AI Stack'!$D:$AC, MATCH("Internal compute cost from ODC ($mm)", 'AI Stack'!$A:$A, 0), K$5+1), 0)</f>
        <v>0</v>
      </c>
      <c r="L107" s="15" cm="1">
        <f t="array" aca="1" ref="L107" ca="1">L44-IFERROR(INDEX('AI Stack'!$D:$AC, MATCH("Internal compute cost from ODC ($mm)", 'AI Stack'!$A:$A, 0), L$5+1), 0)</f>
        <v>0</v>
      </c>
      <c r="M107" s="15" cm="1">
        <f t="array" aca="1" ref="M107" ca="1">M44-IFERROR(INDEX('AI Stack'!$D:$AC, MATCH("Internal compute cost from ODC ($mm)", 'AI Stack'!$A:$A, 0), M$5+1), 0)</f>
        <v>0</v>
      </c>
      <c r="N107" s="15" cm="1">
        <f t="array" aca="1" ref="N107" ca="1">N44-IFERROR(INDEX('AI Stack'!$D:$AC, MATCH("Internal compute cost from ODC ($mm)", 'AI Stack'!$A:$A, 0), N$5+1), 0)</f>
        <v>0</v>
      </c>
      <c r="O107" s="15" cm="1">
        <f t="array" aca="1" ref="O107" ca="1">O44-IFERROR(INDEX('AI Stack'!$D:$AC, MATCH("Internal compute cost from ODC ($mm)", 'AI Stack'!$A:$A, 0), O$5+1), 0)</f>
        <v>0</v>
      </c>
      <c r="P107" s="15" cm="1">
        <f t="array" aca="1" ref="P107" ca="1">P44-IFERROR(INDEX('AI Stack'!$D:$AC, MATCH("Internal compute cost from ODC ($mm)", 'AI Stack'!$A:$A, 0), P$5+1), 0)</f>
        <v>0</v>
      </c>
      <c r="Q107" s="15" cm="1">
        <f t="array" aca="1" ref="Q107" ca="1">Q44-IFERROR(INDEX('AI Stack'!$D:$AC, MATCH("Internal compute cost from ODC ($mm)", 'AI Stack'!$A:$A, 0), Q$5+1), 0)</f>
        <v>0</v>
      </c>
      <c r="R107" s="15" cm="1">
        <f t="array" aca="1" ref="R107" ca="1">R44-IFERROR(INDEX('AI Stack'!$D:$AC, MATCH("Internal compute cost from ODC ($mm)", 'AI Stack'!$A:$A, 0), R$5+1), 0)</f>
        <v>0</v>
      </c>
      <c r="S107" s="15" cm="1">
        <f t="array" aca="1" ref="S107" ca="1">S44-IFERROR(INDEX('AI Stack'!$D:$AC, MATCH("Internal compute cost from ODC ($mm)", 'AI Stack'!$A:$A, 0), S$5+1), 0)</f>
        <v>0</v>
      </c>
      <c r="T107" s="15" cm="1">
        <f t="array" aca="1" ref="T107" ca="1">T44-IFERROR(INDEX('AI Stack'!$D:$AC, MATCH("Internal compute cost from ODC ($mm)", 'AI Stack'!$A:$A, 0), T$5+1), 0)</f>
        <v>0</v>
      </c>
      <c r="U107" s="15" cm="1">
        <f t="array" aca="1" ref="U107" ca="1">U44-IFERROR(INDEX('AI Stack'!$D:$AC, MATCH("Internal compute cost from ODC ($mm)", 'AI Stack'!$A:$A, 0), U$5+1), 0)</f>
        <v>0</v>
      </c>
      <c r="V107" s="15" cm="1">
        <f t="array" aca="1" ref="V107" ca="1">V44-IFERROR(INDEX('AI Stack'!$D:$AC, MATCH("Internal compute cost from ODC ($mm)", 'AI Stack'!$A:$A, 0), V$5+1), 0)</f>
        <v>0</v>
      </c>
      <c r="W107" s="15" cm="1">
        <f t="array" aca="1" ref="W107" ca="1">W44-IFERROR(INDEX('AI Stack'!$D:$AC, MATCH("Internal compute cost from ODC ($mm)", 'AI Stack'!$A:$A, 0), W$5+1), 0)</f>
        <v>0</v>
      </c>
      <c r="X107" s="15" cm="1">
        <f t="array" aca="1" ref="X107" ca="1">X44-IFERROR(INDEX('AI Stack'!$D:$AC, MATCH("Internal compute cost from ODC ($mm)", 'AI Stack'!$A:$A, 0), X$5+1), 0)</f>
        <v>0</v>
      </c>
      <c r="Y107" s="15" cm="1">
        <f t="array" aca="1" ref="Y107" ca="1">Y44-IFERROR(INDEX('AI Stack'!$D:$AC, MATCH("Internal compute cost from ODC ($mm)", 'AI Stack'!$A:$A, 0), Y$5+1), 0)</f>
        <v>0</v>
      </c>
      <c r="Z107" s="15" cm="1">
        <f t="array" aca="1" ref="Z107" ca="1">Z44-IFERROR(INDEX('AI Stack'!$D:$AC, MATCH("Internal compute cost from ODC ($mm)", 'AI Stack'!$A:$A, 0), Z$5+1), 0)</f>
        <v>0</v>
      </c>
      <c r="AA107" s="15" cm="1">
        <f t="array" aca="1" ref="AA107" ca="1">AA44-IFERROR(INDEX('AI Stack'!$D:$AC, MATCH("Internal compute cost from ODC ($mm)", 'AI Stack'!$A:$A, 0), AA$5+1), 0)</f>
        <v>0</v>
      </c>
      <c r="AB107" s="15" cm="1">
        <f t="array" aca="1" ref="AB107" ca="1">AB44-IFERROR(INDEX('AI Stack'!$D:$AC, MATCH("Internal compute cost from ODC ($mm)", 'AI Stack'!$A:$A, 0), AB$5+1), 0)</f>
        <v>0</v>
      </c>
      <c r="AC107" s="15" cm="1">
        <f t="array" aca="1" ref="AC107" ca="1">AC44-IFERROR(INDEX('AI Stack'!$D:$AC, MATCH("Internal compute cost from ODC ($mm)", 'AI Stack'!$A:$A, 0), AC$5+1), 0)</f>
        <v>0</v>
      </c>
    </row>
    <row r="108" spans="1:29" x14ac:dyDescent="0.2">
      <c r="A108" s="18" t="s">
        <v>640</v>
      </c>
      <c r="C108" t="s">
        <v>641</v>
      </c>
      <c r="D108" s="69" t="str">
        <f ca="1">IF(AND(ABS(D99)&lt;1,ABS(D100)&lt;1,ABS(D101)&lt;1,ABS(D102)&lt;1,ABS(D103)&lt;1,ABS(D104)&lt;1,ABS(D105)&lt;1,ABS(D106)&lt;1,ABS(D107)&lt;1,ABS(D109)&lt;1),"OK","CHECK")</f>
        <v>OK</v>
      </c>
      <c r="E108" s="69" t="str">
        <f t="shared" ref="E108:AC108" ca="1" si="9">IF(AND(ABS(E99)&lt;1,ABS(E100)&lt;1,ABS(E101)&lt;1,ABS(E102)&lt;1,ABS(E103)&lt;1,ABS(E104)&lt;1,ABS(E105)&lt;1,ABS(E106)&lt;1,ABS(E107)&lt;1,ABS(E109)&lt;1),"OK","CHECK")</f>
        <v>OK</v>
      </c>
      <c r="F108" s="69" t="str">
        <f t="shared" ca="1" si="9"/>
        <v>OK</v>
      </c>
      <c r="G108" s="69" t="str">
        <f t="shared" ca="1" si="9"/>
        <v>CHECK</v>
      </c>
      <c r="H108" s="69" t="str">
        <f t="shared" ca="1" si="9"/>
        <v>CHECK</v>
      </c>
      <c r="I108" s="69" t="str">
        <f t="shared" ca="1" si="9"/>
        <v>CHECK</v>
      </c>
      <c r="J108" s="69" t="str">
        <f t="shared" ca="1" si="9"/>
        <v>CHECK</v>
      </c>
      <c r="K108" s="69" t="str">
        <f t="shared" ca="1" si="9"/>
        <v>CHECK</v>
      </c>
      <c r="L108" s="69" t="str">
        <f t="shared" ca="1" si="9"/>
        <v>CHECK</v>
      </c>
      <c r="M108" s="69" t="str">
        <f t="shared" ca="1" si="9"/>
        <v>CHECK</v>
      </c>
      <c r="N108" s="69" t="str">
        <f t="shared" ca="1" si="9"/>
        <v>CHECK</v>
      </c>
      <c r="O108" s="69" t="str">
        <f t="shared" ca="1" si="9"/>
        <v>CHECK</v>
      </c>
      <c r="P108" s="69" t="str">
        <f t="shared" ca="1" si="9"/>
        <v>CHECK</v>
      </c>
      <c r="Q108" s="69" t="str">
        <f t="shared" ca="1" si="9"/>
        <v>CHECK</v>
      </c>
      <c r="R108" s="69" t="str">
        <f t="shared" ca="1" si="9"/>
        <v>CHECK</v>
      </c>
      <c r="S108" s="69" t="str">
        <f t="shared" ca="1" si="9"/>
        <v>CHECK</v>
      </c>
      <c r="T108" s="69" t="str">
        <f t="shared" ca="1" si="9"/>
        <v>CHECK</v>
      </c>
      <c r="U108" s="69" t="str">
        <f t="shared" ca="1" si="9"/>
        <v>CHECK</v>
      </c>
      <c r="V108" s="69" t="str">
        <f t="shared" ca="1" si="9"/>
        <v>CHECK</v>
      </c>
      <c r="W108" s="69" t="str">
        <f t="shared" ca="1" si="9"/>
        <v>CHECK</v>
      </c>
      <c r="X108" s="69" t="str">
        <f t="shared" ca="1" si="9"/>
        <v>CHECK</v>
      </c>
      <c r="Y108" s="69" t="str">
        <f t="shared" ca="1" si="9"/>
        <v>CHECK</v>
      </c>
      <c r="Z108" s="69" t="str">
        <f t="shared" ca="1" si="9"/>
        <v>CHECK</v>
      </c>
      <c r="AA108" s="69" t="str">
        <f t="shared" ca="1" si="9"/>
        <v>CHECK</v>
      </c>
      <c r="AB108" s="69" t="str">
        <f t="shared" ca="1" si="9"/>
        <v>CHECK</v>
      </c>
      <c r="AC108" s="69" t="str">
        <f t="shared" ca="1" si="9"/>
        <v>CHECK</v>
      </c>
    </row>
    <row r="109" spans="1:29" x14ac:dyDescent="0.2">
      <c r="A109" s="18" t="s">
        <v>1502</v>
      </c>
      <c r="C109" t="s">
        <v>1404</v>
      </c>
      <c r="D109" s="67" cm="1">
        <f t="array" aca="1" ref="D109" ca="1">IFERROR(INDEX(Assumptions!$B:$B, MATCH("Starting cash position EoY 2024 ($mm)", Assumptions!$A:$A, 0)) + SUM(Allocator!$D$9:INDEX(Allocator!$D$9:$AC$9, D$5+1)) + SUM($D$50:D50) - (IFERROR(INDEX(Allocator!$D:$AC, MATCH("Cash BoY ($mm)", Allocator!$A:$A, 0), D$5+1), 0) + D50), 0)</f>
        <v>0</v>
      </c>
      <c r="E109" s="67" cm="1">
        <f t="array" aca="1" ref="E109" ca="1">IFERROR(INDEX(Assumptions!$B:$B, MATCH("Starting cash position EoY 2024 ($mm)", Assumptions!$A:$A, 0)) + SUM(Allocator!$D$9:INDEX(Allocator!$D$9:$AC$9, E$5+1)) + SUM($D$50:E50) - (IFERROR(INDEX(Allocator!$D:$AC, MATCH("Cash BoY ($mm)", Allocator!$A:$A, 0), E$5+1), 0) + E50), 0)</f>
        <v>0.14523336444017332</v>
      </c>
      <c r="F109" s="67" cm="1">
        <f t="array" aca="1" ref="F109" ca="1">IFERROR(INDEX(Assumptions!$B:$B, MATCH("Starting cash position EoY 2024 ($mm)", Assumptions!$A:$A, 0)) + SUM(Allocator!$D$9:INDEX(Allocator!$D$9:$AC$9, F$5+1)) + SUM($D$50:F50) - (IFERROR(INDEX(Allocator!$D:$AC, MATCH("Cash BoY ($mm)", Allocator!$A:$A, 0), F$5+1), 0) + F50), 0)</f>
        <v>-0.5212461679475382</v>
      </c>
      <c r="G109" s="67" cm="1">
        <f t="array" aca="1" ref="G109" ca="1">IFERROR(INDEX(Assumptions!$B:$B, MATCH("Starting cash position EoY 2024 ($mm)", Assumptions!$A:$A, 0)) + SUM(Allocator!$D$9:INDEX(Allocator!$D$9:$AC$9, G$5+1)) + SUM($D$50:G50) - (IFERROR(INDEX(Allocator!$D:$AC, MATCH("Cash BoY ($mm)", Allocator!$A:$A, 0), G$5+1), 0) + G50), 0)</f>
        <v>0.44756191382475663</v>
      </c>
      <c r="H109" s="67" cm="1">
        <f t="array" aca="1" ref="H109" ca="1">IFERROR(INDEX(Assumptions!$B:$B, MATCH("Starting cash position EoY 2024 ($mm)", Assumptions!$A:$A, 0)) + SUM(Allocator!$D$9:INDEX(Allocator!$D$9:$AC$9, H$5+1)) + SUM($D$50:H50) - (IFERROR(INDEX(Allocator!$D:$AC, MATCH("Cash BoY ($mm)", Allocator!$A:$A, 0), H$5+1), 0) + H50), 0)</f>
        <v>3.3964326523855561</v>
      </c>
      <c r="I109" s="67" cm="1">
        <f t="array" aca="1" ref="I109" ca="1">IFERROR(INDEX(Assumptions!$B:$B, MATCH("Starting cash position EoY 2024 ($mm)", Assumptions!$A:$A, 0)) + SUM(Allocator!$D$9:INDEX(Allocator!$D$9:$AC$9, I$5+1)) + SUM($D$50:I50) - (IFERROR(INDEX(Allocator!$D:$AC, MATCH("Cash BoY ($mm)", Allocator!$A:$A, 0), I$5+1), 0) + I50), 0)</f>
        <v>-12.569256700408005</v>
      </c>
      <c r="J109" s="67" cm="1">
        <f t="array" aca="1" ref="J109" ca="1">IFERROR(INDEX(Assumptions!$B:$B, MATCH("Starting cash position EoY 2024 ($mm)", Assumptions!$A:$A, 0)) + SUM(Allocator!$D$9:INDEX(Allocator!$D$9:$AC$9, J$5+1)) + SUM($D$50:J50) - (IFERROR(INDEX(Allocator!$D:$AC, MATCH("Cash BoY ($mm)", Allocator!$A:$A, 0), J$5+1), 0) + J50), 0)</f>
        <v>42.140710664090875</v>
      </c>
      <c r="K109" s="67" cm="1">
        <f t="array" aca="1" ref="K109" ca="1">IFERROR(INDEX(Assumptions!$B:$B, MATCH("Starting cash position EoY 2024 ($mm)", Assumptions!$A:$A, 0)) + SUM(Allocator!$D$9:INDEX(Allocator!$D$9:$AC$9, K$5+1)) + SUM($D$50:K50) - (IFERROR(INDEX(Allocator!$D:$AC, MATCH("Cash BoY ($mm)", Allocator!$A:$A, 0), K$5+1), 0) + K50), 0)</f>
        <v>-103.70754381232837</v>
      </c>
      <c r="L109" s="67" cm="1">
        <f t="array" aca="1" ref="L109" ca="1">IFERROR(INDEX(Assumptions!$B:$B, MATCH("Starting cash position EoY 2024 ($mm)", Assumptions!$A:$A, 0)) + SUM(Allocator!$D$9:INDEX(Allocator!$D$9:$AC$9, L$5+1)) + SUM($D$50:L50) - (IFERROR(INDEX(Allocator!$D:$AC, MATCH("Cash BoY ($mm)", Allocator!$A:$A, 0), L$5+1), 0) + L50), 0)</f>
        <v>179.85217826514054</v>
      </c>
      <c r="M109" s="67" cm="1">
        <f t="array" aca="1" ref="M109" ca="1">IFERROR(INDEX(Assumptions!$B:$B, MATCH("Starting cash position EoY 2024 ($mm)", Assumptions!$A:$A, 0)) + SUM(Allocator!$D$9:INDEX(Allocator!$D$9:$AC$9, M$5+1)) + SUM($D$50:M50) - (IFERROR(INDEX(Allocator!$D:$AC, MATCH("Cash BoY ($mm)", Allocator!$A:$A, 0), M$5+1), 0) + M50), 0)</f>
        <v>-360.66492873032621</v>
      </c>
      <c r="N109" s="67" cm="1">
        <f t="array" aca="1" ref="N109" ca="1">IFERROR(INDEX(Assumptions!$B:$B, MATCH("Starting cash position EoY 2024 ($mm)", Assumptions!$A:$A, 0)) + SUM(Allocator!$D$9:INDEX(Allocator!$D$9:$AC$9, N$5+1)) + SUM($D$50:N50) - (IFERROR(INDEX(Allocator!$D:$AC, MATCH("Cash BoY ($mm)", Allocator!$A:$A, 0), N$5+1), 0) + N50), 0)</f>
        <v>60.253826404677966</v>
      </c>
      <c r="O109" s="67" cm="1">
        <f t="array" aca="1" ref="O109" ca="1">IFERROR(INDEX(Assumptions!$B:$B, MATCH("Starting cash position EoY 2024 ($mm)", Assumptions!$A:$A, 0)) + SUM(Allocator!$D$9:INDEX(Allocator!$D$9:$AC$9, O$5+1)) + SUM($D$50:O50) - (IFERROR(INDEX(Allocator!$D:$AC, MATCH("Cash BoY ($mm)", Allocator!$A:$A, 0), O$5+1), 0) + O50), 0)</f>
        <v>547.90014337273169</v>
      </c>
      <c r="P109" s="67" cm="1">
        <f t="array" aca="1" ref="P109" ca="1">IFERROR(INDEX(Assumptions!$B:$B, MATCH("Starting cash position EoY 2024 ($mm)", Assumptions!$A:$A, 0)) + SUM(Allocator!$D$9:INDEX(Allocator!$D$9:$AC$9, P$5+1)) + SUM($D$50:P50) - (IFERROR(INDEX(Allocator!$D:$AC, MATCH("Cash BoY ($mm)", Allocator!$A:$A, 0), P$5+1), 0) + P50), 0)</f>
        <v>-1290.0803428944855</v>
      </c>
      <c r="Q109" s="67" cm="1">
        <f t="array" aca="1" ref="Q109" ca="1">IFERROR(INDEX(Assumptions!$B:$B, MATCH("Starting cash position EoY 2024 ($mm)", Assumptions!$A:$A, 0)) + SUM(Allocator!$D$9:INDEX(Allocator!$D$9:$AC$9, Q$5+1)) + SUM($D$50:Q50) - (IFERROR(INDEX(Allocator!$D:$AC, MATCH("Cash BoY ($mm)", Allocator!$A:$A, 0), Q$5+1), 0) + Q50), 0)</f>
        <v>480.99712423835444</v>
      </c>
      <c r="R109" s="67" cm="1">
        <f t="array" aca="1" ref="R109" ca="1">IFERROR(INDEX(Assumptions!$B:$B, MATCH("Starting cash position EoY 2024 ($mm)", Assumptions!$A:$A, 0)) + SUM(Allocator!$D$9:INDEX(Allocator!$D$9:$AC$9, R$5+1)) + SUM($D$50:R50) - (IFERROR(INDEX(Allocator!$D:$AC, MATCH("Cash BoY ($mm)", Allocator!$A:$A, 0), R$5+1), 0) + R50), 0)</f>
        <v>-911.84554611356725</v>
      </c>
      <c r="S109" s="67" cm="1">
        <f t="array" aca="1" ref="S109" ca="1">IFERROR(INDEX(Assumptions!$B:$B, MATCH("Starting cash position EoY 2024 ($mm)", Assumptions!$A:$A, 0)) + SUM(Allocator!$D$9:INDEX(Allocator!$D$9:$AC$9, S$5+1)) + SUM($D$50:S50) - (IFERROR(INDEX(Allocator!$D:$AC, MATCH("Cash BoY ($mm)", Allocator!$A:$A, 0), S$5+1), 0) + S50), 0)</f>
        <v>255.97767637326615</v>
      </c>
      <c r="T109" s="67" cm="1">
        <f t="array" aca="1" ref="T109" ca="1">IFERROR(INDEX(Assumptions!$B:$B, MATCH("Starting cash position EoY 2024 ($mm)", Assumptions!$A:$A, 0)) + SUM(Allocator!$D$9:INDEX(Allocator!$D$9:$AC$9, T$5+1)) + SUM($D$50:T50) - (IFERROR(INDEX(Allocator!$D:$AC, MATCH("Cash BoY ($mm)", Allocator!$A:$A, 0), T$5+1), 0) + T50), 0)</f>
        <v>748.30631577515305</v>
      </c>
      <c r="U109" s="67" cm="1">
        <f t="array" aca="1" ref="U109" ca="1">IFERROR(INDEX(Assumptions!$B:$B, MATCH("Starting cash position EoY 2024 ($mm)", Assumptions!$A:$A, 0)) + SUM(Allocator!$D$9:INDEX(Allocator!$D$9:$AC$9, U$5+1)) + SUM($D$50:U50) - (IFERROR(INDEX(Allocator!$D:$AC, MATCH("Cash BoY ($mm)", Allocator!$A:$A, 0), U$5+1), 0) + U50), 0)</f>
        <v>-1299.8991542630392</v>
      </c>
      <c r="V109" s="67" cm="1">
        <f t="array" aca="1" ref="V109" ca="1">IFERROR(INDEX(Assumptions!$B:$B, MATCH("Starting cash position EoY 2024 ($mm)", Assumptions!$A:$A, 0)) + SUM(Allocator!$D$9:INDEX(Allocator!$D$9:$AC$9, V$5+1)) + SUM($D$50:V50) - (IFERROR(INDEX(Allocator!$D:$AC, MATCH("Cash BoY ($mm)", Allocator!$A:$A, 0), V$5+1), 0) + V50), 0)</f>
        <v>502.90928552956757</v>
      </c>
      <c r="W109" s="67" cm="1">
        <f t="array" aca="1" ref="W109" ca="1">IFERROR(INDEX(Assumptions!$B:$B, MATCH("Starting cash position EoY 2024 ($mm)", Assumptions!$A:$A, 0)) + SUM(Allocator!$D$9:INDEX(Allocator!$D$9:$AC$9, W$5+1)) + SUM($D$50:W50) - (IFERROR(INDEX(Allocator!$D:$AC, MATCH("Cash BoY ($mm)", Allocator!$A:$A, 0), W$5+1), 0) + W50), 0)</f>
        <v>-444.59892763871176</v>
      </c>
      <c r="X109" s="67" cm="1">
        <f t="array" aca="1" ref="X109" ca="1">IFERROR(INDEX(Assumptions!$B:$B, MATCH("Starting cash position EoY 2024 ($mm)", Assumptions!$A:$A, 0)) + SUM(Allocator!$D$9:INDEX(Allocator!$D$9:$AC$9, X$5+1)) + SUM($D$50:X50) - (IFERROR(INDEX(Allocator!$D:$AC, MATCH("Cash BoY ($mm)", Allocator!$A:$A, 0), X$5+1), 0) + X50), 0)</f>
        <v>-845.6085268160241</v>
      </c>
      <c r="Y109" s="67" cm="1">
        <f t="array" aca="1" ref="Y109" ca="1">IFERROR(INDEX(Assumptions!$B:$B, MATCH("Starting cash position EoY 2024 ($mm)", Assumptions!$A:$A, 0)) + SUM(Allocator!$D$9:INDEX(Allocator!$D$9:$AC$9, Y$5+1)) + SUM($D$50:Y50) - (IFERROR(INDEX(Allocator!$D:$AC, MATCH("Cash BoY ($mm)", Allocator!$A:$A, 0), Y$5+1), 0) + Y50), 0)</f>
        <v>683.24619768638513</v>
      </c>
      <c r="Z109" s="67" cm="1">
        <f t="array" aca="1" ref="Z109" ca="1">IFERROR(INDEX(Assumptions!$B:$B, MATCH("Starting cash position EoY 2024 ($mm)", Assumptions!$A:$A, 0)) + SUM(Allocator!$D$9:INDEX(Allocator!$D$9:$AC$9, Z$5+1)) + SUM($D$50:Z50) - (IFERROR(INDEX(Allocator!$D:$AC, MATCH("Cash BoY ($mm)", Allocator!$A:$A, 0), Z$5+1), 0) + Z50), 0)</f>
        <v>-1266.7201732492103</v>
      </c>
      <c r="AA109" s="67" cm="1">
        <f t="array" aca="1" ref="AA109" ca="1">IFERROR(INDEX(Assumptions!$B:$B, MATCH("Starting cash position EoY 2024 ($mm)", Assumptions!$A:$A, 0)) + SUM(Allocator!$D$9:INDEX(Allocator!$D$9:$AC$9, AA$5+1)) + SUM($D$50:AA50) - (IFERROR(INDEX(Allocator!$D:$AC, MATCH("Cash BoY ($mm)", Allocator!$A:$A, 0), AA$5+1), 0) + AA50), 0)</f>
        <v>474.84764999746403</v>
      </c>
      <c r="AB109" s="67" cm="1">
        <f t="array" aca="1" ref="AB109" ca="1">IFERROR(INDEX(Assumptions!$B:$B, MATCH("Starting cash position EoY 2024 ($mm)", Assumptions!$A:$A, 0)) + SUM(Allocator!$D$9:INDEX(Allocator!$D$9:$AC$9, AB$5+1)) + SUM($D$50:AB50) - (IFERROR(INDEX(Allocator!$D:$AC, MATCH("Cash BoY ($mm)", Allocator!$A:$A, 0), AB$5+1), 0) + AB50), 0)</f>
        <v>382.72651304633473</v>
      </c>
      <c r="AC109" s="67" cm="1">
        <f t="array" aca="1" ref="AC109" ca="1">IFERROR(INDEX(Assumptions!$B:$B, MATCH("Starting cash position EoY 2024 ($mm)", Assumptions!$A:$A, 0)) + SUM(Allocator!$D$9:INDEX(Allocator!$D$9:$AC$9, AC$5+1)) + SUM($D$50:AC50) - (IFERROR(INDEX(Allocator!$D:$AC, MATCH("Cash BoY ($mm)", Allocator!$A:$A, 0), AC$5+1), 0) + AC50), 0)</f>
        <v>-1169.8361612560402</v>
      </c>
    </row>
    <row r="110" spans="1:29" x14ac:dyDescent="0.2">
      <c r="A110" s="18" t="s">
        <v>1402</v>
      </c>
      <c r="C110" t="s">
        <v>1403</v>
      </c>
      <c r="D110" s="57" cm="1">
        <f t="array" aca="1" ref="D110" ca="1">D50-((INDEX(Starlink!$D:$AC, MATCH("Module FCF ($mm)", Starlink!$A:$A, 0), D$5+1)+INDEX('Customer Launch'!$D:$AC, MATCH("Module FCF ($mm)", 'Customer Launch'!$A:$A, 0), D$5+1)+INDEX(ODC!$D:$AC, MATCH("Module FCF ($mm)", ODC!$A:$A, 0), D$5+1)+IFERROR(INDEX('AI Stack'!$D:$AC, MATCH("Module FCF ($mm)", 'AI Stack'!$A:$A, 0), D$5+1), 0)+INDEX('Lunar Mars'!$D:$AC, MATCH("Module FCF ($mm)", 'Lunar Mars'!$A:$A, 0), D$5+1))+D37+D38-D21-D32-(D46-INDEX(CapEx!$D:$AC, MATCH("Total Module CapEx ($mm)", CapEx!$A:$A, 0), D$5+1))-D47)</f>
        <v>-453.6428571428537</v>
      </c>
      <c r="E110" s="57" cm="1">
        <f t="array" aca="1" ref="E110" ca="1">E50-((INDEX(Starlink!$D:$AC, MATCH("Module FCF ($mm)", Starlink!$A:$A, 0), E$5+1)+INDEX('Customer Launch'!$D:$AC, MATCH("Module FCF ($mm)", 'Customer Launch'!$A:$A, 0), E$5+1)+INDEX(ODC!$D:$AC, MATCH("Module FCF ($mm)", ODC!$A:$A, 0), E$5+1)+IFERROR(INDEX('AI Stack'!$D:$AC, MATCH("Module FCF ($mm)", 'AI Stack'!$A:$A, 0), E$5+1), 0)+INDEX('Lunar Mars'!$D:$AC, MATCH("Module FCF ($mm)", 'Lunar Mars'!$A:$A, 0), E$5+1))+E37+E38-E21-E32-(E46-INDEX(CapEx!$D:$AC, MATCH("Total Module CapEx ($mm)", CapEx!$A:$A, 0), E$5+1))-E47)</f>
        <v>-994.42857142856883</v>
      </c>
      <c r="F110" s="57" cm="1">
        <f t="array" aca="1" ref="F110" ca="1">F50-((INDEX(Starlink!$D:$AC, MATCH("Module FCF ($mm)", Starlink!$A:$A, 0), F$5+1)+INDEX('Customer Launch'!$D:$AC, MATCH("Module FCF ($mm)", 'Customer Launch'!$A:$A, 0), F$5+1)+INDEX(ODC!$D:$AC, MATCH("Module FCF ($mm)", ODC!$A:$A, 0), F$5+1)+IFERROR(INDEX('AI Stack'!$D:$AC, MATCH("Module FCF ($mm)", 'AI Stack'!$A:$A, 0), F$5+1), 0)+INDEX('Lunar Mars'!$D:$AC, MATCH("Module FCF ($mm)", 'Lunar Mars'!$A:$A, 0), F$5+1))+F37+F38-F21-F32-(F46-INDEX(CapEx!$D:$AC, MATCH("Total Module CapEx ($mm)", CapEx!$A:$A, 0), F$5+1))-F47)</f>
        <v>-1335.2032433180702</v>
      </c>
      <c r="G110" s="57" cm="1">
        <f t="array" aca="1" ref="G110" ca="1">G50-((INDEX(Starlink!$D:$AC, MATCH("Module FCF ($mm)", Starlink!$A:$A, 0), G$5+1)+INDEX('Customer Launch'!$D:$AC, MATCH("Module FCF ($mm)", 'Customer Launch'!$A:$A, 0), G$5+1)+INDEX(ODC!$D:$AC, MATCH("Module FCF ($mm)", ODC!$A:$A, 0), G$5+1)+IFERROR(INDEX('AI Stack'!$D:$AC, MATCH("Module FCF ($mm)", 'AI Stack'!$A:$A, 0), G$5+1), 0)+INDEX('Lunar Mars'!$D:$AC, MATCH("Module FCF ($mm)", 'Lunar Mars'!$A:$A, 0), G$5+1))+G37+G38-G21-G32-(G46-INDEX(CapEx!$D:$AC, MATCH("Total Module CapEx ($mm)", CapEx!$A:$A, 0), G$5+1))-G47)</f>
        <v>-1476.0614918761803</v>
      </c>
      <c r="H110" s="57" cm="1">
        <f t="array" aca="1" ref="H110" ca="1">H50-((INDEX(Starlink!$D:$AC, MATCH("Module FCF ($mm)", Starlink!$A:$A, 0), H$5+1)+INDEX('Customer Launch'!$D:$AC, MATCH("Module FCF ($mm)", 'Customer Launch'!$A:$A, 0), H$5+1)+INDEX(ODC!$D:$AC, MATCH("Module FCF ($mm)", ODC!$A:$A, 0), H$5+1)+IFERROR(INDEX('AI Stack'!$D:$AC, MATCH("Module FCF ($mm)", 'AI Stack'!$A:$A, 0), H$5+1), 0)+INDEX('Lunar Mars'!$D:$AC, MATCH("Module FCF ($mm)", 'Lunar Mars'!$A:$A, 0), H$5+1))+H37+H38-H21-H32-(H46-INDEX(CapEx!$D:$AC, MATCH("Total Module CapEx ($mm)", CapEx!$A:$A, 0), H$5+1))-H47)</f>
        <v>-1483.2862507699278</v>
      </c>
      <c r="I110" s="57" cm="1">
        <f t="array" aca="1" ref="I110" ca="1">I50-((INDEX(Starlink!$D:$AC, MATCH("Module FCF ($mm)", Starlink!$A:$A, 0), I$5+1)+INDEX('Customer Launch'!$D:$AC, MATCH("Module FCF ($mm)", 'Customer Launch'!$A:$A, 0), I$5+1)+INDEX(ODC!$D:$AC, MATCH("Module FCF ($mm)", ODC!$A:$A, 0), I$5+1)+IFERROR(INDEX('AI Stack'!$D:$AC, MATCH("Module FCF ($mm)", 'AI Stack'!$A:$A, 0), I$5+1), 0)+INDEX('Lunar Mars'!$D:$AC, MATCH("Module FCF ($mm)", 'Lunar Mars'!$A:$A, 0), I$5+1))+I37+I38-I21-I32-(I46-INDEX(CapEx!$D:$AC, MATCH("Total Module CapEx ($mm)", CapEx!$A:$A, 0), I$5+1))-I47)</f>
        <v>-1491.0289464943942</v>
      </c>
      <c r="J110" s="57" cm="1">
        <f t="array" aca="1" ref="J110" ca="1">J50-((INDEX(Starlink!$D:$AC, MATCH("Module FCF ($mm)", Starlink!$A:$A, 0), J$5+1)+INDEX('Customer Launch'!$D:$AC, MATCH("Module FCF ($mm)", 'Customer Launch'!$A:$A, 0), J$5+1)+INDEX(ODC!$D:$AC, MATCH("Module FCF ($mm)", ODC!$A:$A, 0), J$5+1)+IFERROR(INDEX('AI Stack'!$D:$AC, MATCH("Module FCF ($mm)", 'AI Stack'!$A:$A, 0), J$5+1), 0)+INDEX('Lunar Mars'!$D:$AC, MATCH("Module FCF ($mm)", 'Lunar Mars'!$A:$A, 0), J$5+1))+J37+J38-J21-J32-(J46-INDEX(CapEx!$D:$AC, MATCH("Total Module CapEx ($mm)", CapEx!$A:$A, 0), J$5+1))-J47)</f>
        <v>-1498.9913215883028</v>
      </c>
      <c r="K110" s="57" cm="1">
        <f t="array" aca="1" ref="K110" ca="1">K50-((INDEX(Starlink!$D:$AC, MATCH("Module FCF ($mm)", Starlink!$A:$A, 0), K$5+1)+INDEX('Customer Launch'!$D:$AC, MATCH("Module FCF ($mm)", 'Customer Launch'!$A:$A, 0), K$5+1)+INDEX(ODC!$D:$AC, MATCH("Module FCF ($mm)", ODC!$A:$A, 0), K$5+1)+IFERROR(INDEX('AI Stack'!$D:$AC, MATCH("Module FCF ($mm)", 'AI Stack'!$A:$A, 0), K$5+1), 0)+INDEX('Lunar Mars'!$D:$AC, MATCH("Module FCF ($mm)", 'Lunar Mars'!$A:$A, 0), K$5+1))+K37+K38-K21-K32-(K46-INDEX(CapEx!$D:$AC, MATCH("Total Module CapEx ($mm)", CapEx!$A:$A, 0), K$5+1))-K47)</f>
        <v>-1503.263172113144</v>
      </c>
      <c r="L110" s="57" cm="1">
        <f t="array" aca="1" ref="L110" ca="1">L50-((INDEX(Starlink!$D:$AC, MATCH("Module FCF ($mm)", Starlink!$A:$A, 0), L$5+1)+INDEX('Customer Launch'!$D:$AC, MATCH("Module FCF ($mm)", 'Customer Launch'!$A:$A, 0), L$5+1)+INDEX(ODC!$D:$AC, MATCH("Module FCF ($mm)", ODC!$A:$A, 0), L$5+1)+IFERROR(INDEX('AI Stack'!$D:$AC, MATCH("Module FCF ($mm)", 'AI Stack'!$A:$A, 0), L$5+1), 0)+INDEX('Lunar Mars'!$D:$AC, MATCH("Module FCF ($mm)", 'Lunar Mars'!$A:$A, 0), L$5+1))+L37+L38-L21-L32-(L46-INDEX(CapEx!$D:$AC, MATCH("Total Module CapEx ($mm)", CapEx!$A:$A, 0), L$5+1))-L47)</f>
        <v>-1518.1633534599523</v>
      </c>
      <c r="M110" s="57" cm="1">
        <f t="array" aca="1" ref="M110" ca="1">M50-((INDEX(Starlink!$D:$AC, MATCH("Module FCF ($mm)", Starlink!$A:$A, 0), M$5+1)+INDEX('Customer Launch'!$D:$AC, MATCH("Module FCF ($mm)", 'Customer Launch'!$A:$A, 0), M$5+1)+INDEX(ODC!$D:$AC, MATCH("Module FCF ($mm)", ODC!$A:$A, 0), M$5+1)+IFERROR(INDEX('AI Stack'!$D:$AC, MATCH("Module FCF ($mm)", 'AI Stack'!$A:$A, 0), M$5+1), 0)+INDEX('Lunar Mars'!$D:$AC, MATCH("Module FCF ($mm)", 'Lunar Mars'!$A:$A, 0), M$5+1))+M37+M38-M21-M32-(M46-INDEX(CapEx!$D:$AC, MATCH("Total Module CapEx ($mm)", CapEx!$A:$A, 0), M$5+1))-M47)</f>
        <v>-1515.9039056390575</v>
      </c>
      <c r="N110" s="57" cm="1">
        <f t="array" aca="1" ref="N110" ca="1">N50-((INDEX(Starlink!$D:$AC, MATCH("Module FCF ($mm)", Starlink!$A:$A, 0), N$5+1)+INDEX('Customer Launch'!$D:$AC, MATCH("Module FCF ($mm)", 'Customer Launch'!$A:$A, 0), N$5+1)+INDEX(ODC!$D:$AC, MATCH("Module FCF ($mm)", ODC!$A:$A, 0), N$5+1)+IFERROR(INDEX('AI Stack'!$D:$AC, MATCH("Module FCF ($mm)", 'AI Stack'!$A:$A, 0), N$5+1), 0)+INDEX('Lunar Mars'!$D:$AC, MATCH("Module FCF ($mm)", 'Lunar Mars'!$A:$A, 0), N$5+1))+N37+N38-N21-N32-(N46-INDEX(CapEx!$D:$AC, MATCH("Total Module CapEx ($mm)", CapEx!$A:$A, 0), N$5+1))-N47)</f>
        <v>-1527.8830597197546</v>
      </c>
      <c r="O110" s="57" cm="1">
        <f t="array" aca="1" ref="O110" ca="1">O50-((INDEX(Starlink!$D:$AC, MATCH("Module FCF ($mm)", Starlink!$A:$A, 0), O$5+1)+INDEX('Customer Launch'!$D:$AC, MATCH("Module FCF ($mm)", 'Customer Launch'!$A:$A, 0), O$5+1)+INDEX(ODC!$D:$AC, MATCH("Module FCF ($mm)", ODC!$A:$A, 0), O$5+1)+IFERROR(INDEX('AI Stack'!$D:$AC, MATCH("Module FCF ($mm)", 'AI Stack'!$A:$A, 0), O$5+1), 0)+INDEX('Lunar Mars'!$D:$AC, MATCH("Module FCF ($mm)", 'Lunar Mars'!$A:$A, 0), O$5+1))+O37+O38-O21-O32-(O46-INDEX(CapEx!$D:$AC, MATCH("Total Module CapEx ($mm)", CapEx!$A:$A, 0), O$5+1))-O47)</f>
        <v>-1545.1371158915931</v>
      </c>
      <c r="P110" s="57" cm="1">
        <f t="array" aca="1" ref="P110" ca="1">P50-((INDEX(Starlink!$D:$AC, MATCH("Module FCF ($mm)", Starlink!$A:$A, 0), P$5+1)+INDEX('Customer Launch'!$D:$AC, MATCH("Module FCF ($mm)", 'Customer Launch'!$A:$A, 0), P$5+1)+INDEX(ODC!$D:$AC, MATCH("Module FCF ($mm)", ODC!$A:$A, 0), P$5+1)+IFERROR(INDEX('AI Stack'!$D:$AC, MATCH("Module FCF ($mm)", 'AI Stack'!$A:$A, 0), P$5+1), 0)+INDEX('Lunar Mars'!$D:$AC, MATCH("Module FCF ($mm)", 'Lunar Mars'!$A:$A, 0), P$5+1))+P37+P38-P21-P32-(P46-INDEX(CapEx!$D:$AC, MATCH("Total Module CapEx ($mm)", CapEx!$A:$A, 0), P$5+1))-P47)</f>
        <v>-1532.1207686989383</v>
      </c>
      <c r="Q110" s="57" cm="1">
        <f t="array" aca="1" ref="Q110" ca="1">Q50-((INDEX(Starlink!$D:$AC, MATCH("Module FCF ($mm)", Starlink!$A:$A, 0), Q$5+1)+INDEX('Customer Launch'!$D:$AC, MATCH("Module FCF ($mm)", 'Customer Launch'!$A:$A, 0), Q$5+1)+INDEX(ODC!$D:$AC, MATCH("Module FCF ($mm)", ODC!$A:$A, 0), Q$5+1)+IFERROR(INDEX('AI Stack'!$D:$AC, MATCH("Module FCF ($mm)", 'AI Stack'!$A:$A, 0), Q$5+1), 0)+INDEX('Lunar Mars'!$D:$AC, MATCH("Module FCF ($mm)", 'Lunar Mars'!$A:$A, 0), Q$5+1))+Q37+Q38-Q21-Q32-(Q46-INDEX(CapEx!$D:$AC, MATCH("Total Module CapEx ($mm)", CapEx!$A:$A, 0), Q$5+1))-Q47)</f>
        <v>-1560.5510733668912</v>
      </c>
      <c r="R110" s="57" cm="1">
        <f t="array" aca="1" ref="R110" ca="1">R50-((INDEX(Starlink!$D:$AC, MATCH("Module FCF ($mm)", Starlink!$A:$A, 0), R$5+1)+INDEX('Customer Launch'!$D:$AC, MATCH("Module FCF ($mm)", 'Customer Launch'!$A:$A, 0), R$5+1)+INDEX(ODC!$D:$AC, MATCH("Module FCF ($mm)", ODC!$A:$A, 0), R$5+1)+IFERROR(INDEX('AI Stack'!$D:$AC, MATCH("Module FCF ($mm)", 'AI Stack'!$A:$A, 0), R$5+1), 0)+INDEX('Lunar Mars'!$D:$AC, MATCH("Module FCF ($mm)", 'Lunar Mars'!$A:$A, 0), R$5+1))+R37+R38-R21-R32-(R46-INDEX(CapEx!$D:$AC, MATCH("Total Module CapEx ($mm)", CapEx!$A:$A, 0), R$5+1))-R47)</f>
        <v>-1547.8247333855957</v>
      </c>
      <c r="S110" s="57" cm="1">
        <f t="array" aca="1" ref="S110" ca="1">S50-((INDEX(Starlink!$D:$AC, MATCH("Module FCF ($mm)", Starlink!$A:$A, 0), S$5+1)+INDEX('Customer Launch'!$D:$AC, MATCH("Module FCF ($mm)", 'Customer Launch'!$A:$A, 0), S$5+1)+INDEX(ODC!$D:$AC, MATCH("Module FCF ($mm)", ODC!$A:$A, 0), S$5+1)+IFERROR(INDEX('AI Stack'!$D:$AC, MATCH("Module FCF ($mm)", 'AI Stack'!$A:$A, 0), S$5+1), 0)+INDEX('Lunar Mars'!$D:$AC, MATCH("Module FCF ($mm)", 'Lunar Mars'!$A:$A, 0), S$5+1))+S37+S38-S21-S32-(S46-INDEX(CapEx!$D:$AC, MATCH("Total Module CapEx ($mm)", CapEx!$A:$A, 0), S$5+1))-S47)</f>
        <v>-1565.4356290119663</v>
      </c>
      <c r="T110" s="57" cm="1">
        <f t="array" aca="1" ref="T110" ca="1">T50-((INDEX(Starlink!$D:$AC, MATCH("Module FCF ($mm)", Starlink!$A:$A, 0), T$5+1)+INDEX('Customer Launch'!$D:$AC, MATCH("Module FCF ($mm)", 'Customer Launch'!$A:$A, 0), T$5+1)+INDEX(ODC!$D:$AC, MATCH("Module FCF ($mm)", ODC!$A:$A, 0), T$5+1)+IFERROR(INDEX('AI Stack'!$D:$AC, MATCH("Module FCF ($mm)", 'AI Stack'!$A:$A, 0), T$5+1), 0)+INDEX('Lunar Mars'!$D:$AC, MATCH("Module FCF ($mm)", 'Lunar Mars'!$A:$A, 0), T$5+1))+T37+T38-T21-T32-(T46-INDEX(CapEx!$D:$AC, MATCH("Total Module CapEx ($mm)", CapEx!$A:$A, 0), T$5+1))-T47)</f>
        <v>-1585.1829115534938</v>
      </c>
      <c r="U110" s="57" cm="1">
        <f t="array" aca="1" ref="U110" ca="1">U50-((INDEX(Starlink!$D:$AC, MATCH("Module FCF ($mm)", Starlink!$A:$A, 0), U$5+1)+INDEX('Customer Launch'!$D:$AC, MATCH("Module FCF ($mm)", 'Customer Launch'!$A:$A, 0), U$5+1)+INDEX(ODC!$D:$AC, MATCH("Module FCF ($mm)", ODC!$A:$A, 0), U$5+1)+IFERROR(INDEX('AI Stack'!$D:$AC, MATCH("Module FCF ($mm)", 'AI Stack'!$A:$A, 0), U$5+1), 0)+INDEX('Lunar Mars'!$D:$AC, MATCH("Module FCF ($mm)", 'Lunar Mars'!$A:$A, 0), U$5+1))+U37+U38-U21-U32-(U46-INDEX(CapEx!$D:$AC, MATCH("Total Module CapEx ($mm)", CapEx!$A:$A, 0), U$5+1))-U47)</f>
        <v>-1567.6735559116069</v>
      </c>
      <c r="V110" s="57" cm="1">
        <f t="array" aca="1" ref="V110" ca="1">V50-((INDEX(Starlink!$D:$AC, MATCH("Module FCF ($mm)", Starlink!$A:$A, 0), V$5+1)+INDEX('Customer Launch'!$D:$AC, MATCH("Module FCF ($mm)", 'Customer Launch'!$A:$A, 0), V$5+1)+INDEX(ODC!$D:$AC, MATCH("Module FCF ($mm)", ODC!$A:$A, 0), V$5+1)+IFERROR(INDEX('AI Stack'!$D:$AC, MATCH("Module FCF ($mm)", 'AI Stack'!$A:$A, 0), V$5+1), 0)+INDEX('Lunar Mars'!$D:$AC, MATCH("Module FCF ($mm)", 'Lunar Mars'!$A:$A, 0), V$5+1))+V37+V38-V21-V32-(V46-INDEX(CapEx!$D:$AC, MATCH("Total Module CapEx ($mm)", CapEx!$A:$A, 0), V$5+1))-V47)</f>
        <v>-1596.7308340964719</v>
      </c>
      <c r="W110" s="57" cm="1">
        <f t="array" aca="1" ref="W110" ca="1">W50-((INDEX(Starlink!$D:$AC, MATCH("Module FCF ($mm)", Starlink!$A:$A, 0), W$5+1)+INDEX('Customer Launch'!$D:$AC, MATCH("Module FCF ($mm)", 'Customer Launch'!$A:$A, 0), W$5+1)+INDEX(ODC!$D:$AC, MATCH("Module FCF ($mm)", ODC!$A:$A, 0), W$5+1)+IFERROR(INDEX('AI Stack'!$D:$AC, MATCH("Module FCF ($mm)", 'AI Stack'!$A:$A, 0), W$5+1), 0)+INDEX('Lunar Mars'!$D:$AC, MATCH("Module FCF ($mm)", 'Lunar Mars'!$A:$A, 0), W$5+1))+W37+W38-W21-W32-(W46-INDEX(CapEx!$D:$AC, MATCH("Total Module CapEx ($mm)", CapEx!$A:$A, 0), W$5+1))-W47)</f>
        <v>-1593.7224805547548</v>
      </c>
      <c r="X110" s="57" cm="1">
        <f t="array" aca="1" ref="X110" ca="1">X50-((INDEX(Starlink!$D:$AC, MATCH("Module FCF ($mm)", Starlink!$A:$A, 0), X$5+1)+INDEX('Customer Launch'!$D:$AC, MATCH("Module FCF ($mm)", 'Customer Launch'!$A:$A, 0), X$5+1)+INDEX(ODC!$D:$AC, MATCH("Module FCF ($mm)", ODC!$A:$A, 0), X$5+1)+IFERROR(INDEX('AI Stack'!$D:$AC, MATCH("Module FCF ($mm)", 'AI Stack'!$A:$A, 0), X$5+1), 0)+INDEX('Lunar Mars'!$D:$AC, MATCH("Module FCF ($mm)", 'Lunar Mars'!$A:$A, 0), X$5+1))+X37+X38-X21-X32-(X46-INDEX(CapEx!$D:$AC, MATCH("Total Module CapEx ($mm)", CapEx!$A:$A, 0), X$5+1))-X47)</f>
        <v>-1594.6902103060311</v>
      </c>
      <c r="Y110" s="57" cm="1">
        <f t="array" aca="1" ref="Y110" ca="1">Y50-((INDEX(Starlink!$D:$AC, MATCH("Module FCF ($mm)", Starlink!$A:$A, 0), Y$5+1)+INDEX('Customer Launch'!$D:$AC, MATCH("Module FCF ($mm)", 'Customer Launch'!$A:$A, 0), Y$5+1)+INDEX(ODC!$D:$AC, MATCH("Module FCF ($mm)", ODC!$A:$A, 0), Y$5+1)+IFERROR(INDEX('AI Stack'!$D:$AC, MATCH("Module FCF ($mm)", 'AI Stack'!$A:$A, 0), Y$5+1), 0)+INDEX('Lunar Mars'!$D:$AC, MATCH("Module FCF ($mm)", 'Lunar Mars'!$A:$A, 0), Y$5+1))+Y37+Y38-Y21-Y32-(Y46-INDEX(CapEx!$D:$AC, MATCH("Total Module CapEx ($mm)", CapEx!$A:$A, 0), Y$5+1))-Y47)</f>
        <v>-1624.0677164156477</v>
      </c>
      <c r="Z110" s="57" cm="1">
        <f t="array" aca="1" ref="Z110" ca="1">Z50-((INDEX(Starlink!$D:$AC, MATCH("Module FCF ($mm)", Starlink!$A:$A, 0), Z$5+1)+INDEX('Customer Launch'!$D:$AC, MATCH("Module FCF ($mm)", 'Customer Launch'!$A:$A, 0), Z$5+1)+INDEX(ODC!$D:$AC, MATCH("Module FCF ($mm)", ODC!$A:$A, 0), Z$5+1)+IFERROR(INDEX('AI Stack'!$D:$AC, MATCH("Module FCF ($mm)", 'AI Stack'!$A:$A, 0), Z$5+1), 0)+INDEX('Lunar Mars'!$D:$AC, MATCH("Module FCF ($mm)", 'Lunar Mars'!$A:$A, 0), Z$5+1))+Z37+Z38-Z21-Z32-(Z46-INDEX(CapEx!$D:$AC, MATCH("Total Module CapEx ($mm)", CapEx!$A:$A, 0), Z$5+1))-Z47)</f>
        <v>-1603.1466421751074</v>
      </c>
      <c r="AA110" s="57" cm="1">
        <f t="array" aca="1" ref="AA110" ca="1">AA50-((INDEX(Starlink!$D:$AC, MATCH("Module FCF ($mm)", Starlink!$A:$A, 0), AA$5+1)+INDEX('Customer Launch'!$D:$AC, MATCH("Module FCF ($mm)", 'Customer Launch'!$A:$A, 0), AA$5+1)+INDEX(ODC!$D:$AC, MATCH("Module FCF ($mm)", ODC!$A:$A, 0), AA$5+1)+IFERROR(INDEX('AI Stack'!$D:$AC, MATCH("Module FCF ($mm)", 'AI Stack'!$A:$A, 0), AA$5+1), 0)+INDEX('Lunar Mars'!$D:$AC, MATCH("Module FCF ($mm)", 'Lunar Mars'!$A:$A, 0), AA$5+1))+AA37+AA38-AA21-AA32-(AA46-INDEX(CapEx!$D:$AC, MATCH("Total Module CapEx ($mm)", CapEx!$A:$A, 0), AA$5+1))-AA47)</f>
        <v>-1630.8408336648454</v>
      </c>
      <c r="AB110" s="57" cm="1">
        <f t="array" aca="1" ref="AB110" ca="1">AB50-((INDEX(Starlink!$D:$AC, MATCH("Module FCF ($mm)", Starlink!$A:$A, 0), AB$5+1)+INDEX('Customer Launch'!$D:$AC, MATCH("Module FCF ($mm)", 'Customer Launch'!$A:$A, 0), AB$5+1)+INDEX(ODC!$D:$AC, MATCH("Module FCF ($mm)", ODC!$A:$A, 0), AB$5+1)+IFERROR(INDEX('AI Stack'!$D:$AC, MATCH("Module FCF ($mm)", 'AI Stack'!$A:$A, 0), AB$5+1), 0)+INDEX('Lunar Mars'!$D:$AC, MATCH("Module FCF ($mm)", 'Lunar Mars'!$A:$A, 0), AB$5+1))+AB37+AB38-AB21-AB32-(AB46-INDEX(CapEx!$D:$AC, MATCH("Total Module CapEx ($mm)", CapEx!$A:$A, 0), AB$5+1))-AB47)</f>
        <v>-1640.8459121638289</v>
      </c>
      <c r="AC110" s="57" cm="1">
        <f t="array" aca="1" ref="AC110" ca="1">AC50-((INDEX(Starlink!$D:$AC, MATCH("Module FCF ($mm)", Starlink!$A:$A, 0), AC$5+1)+INDEX('Customer Launch'!$D:$AC, MATCH("Module FCF ($mm)", 'Customer Launch'!$A:$A, 0), AC$5+1)+INDEX(ODC!$D:$AC, MATCH("Module FCF ($mm)", ODC!$A:$A, 0), AC$5+1)+IFERROR(INDEX('AI Stack'!$D:$AC, MATCH("Module FCF ($mm)", 'AI Stack'!$A:$A, 0), AC$5+1), 0)+INDEX('Lunar Mars'!$D:$AC, MATCH("Module FCF ($mm)", 'Lunar Mars'!$A:$A, 0), AC$5+1))+AC37+AC38-AC21-AC32-(AC46-INDEX(CapEx!$D:$AC, MATCH("Total Module CapEx ($mm)", CapEx!$A:$A, 0), AC$5+1))-AC47)</f>
        <v>-1624.8160658297475</v>
      </c>
    </row>
    <row r="111" spans="1:29" x14ac:dyDescent="0.2">
      <c r="A111" s="64" t="s">
        <v>1405</v>
      </c>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spans="1:29" x14ac:dyDescent="0.2">
      <c r="A112" s="18" t="s">
        <v>1406</v>
      </c>
      <c r="C112" s="18" t="s">
        <v>1407</v>
      </c>
      <c r="D112" s="57">
        <f>14650</f>
        <v>14650</v>
      </c>
    </row>
    <row r="113" spans="1:29" x14ac:dyDescent="0.2">
      <c r="A113" s="18" t="s">
        <v>1408</v>
      </c>
      <c r="C113" s="18" t="s">
        <v>1409</v>
      </c>
      <c r="D113" s="46">
        <f ca="1">IFERROR((D10-$D$112)/$D$112, 0)</f>
        <v>-5.4262093492722173E-2</v>
      </c>
      <c r="E113" s="17">
        <f t="shared" ref="E113:AC113" ca="1" si="10">IFERROR((E10-$D$112)/$D$112, 0)</f>
        <v>-0.18082194361661044</v>
      </c>
      <c r="F113" s="17">
        <f t="shared" ca="1" si="10"/>
        <v>-0.2760538151114203</v>
      </c>
      <c r="G113" s="17">
        <f t="shared" ca="1" si="10"/>
        <v>-0.36269807452989922</v>
      </c>
      <c r="H113" s="17">
        <f t="shared" ca="1" si="10"/>
        <v>-0.44782455122797377</v>
      </c>
      <c r="I113" s="17">
        <f t="shared" ca="1" si="10"/>
        <v>-0.44281329580797835</v>
      </c>
      <c r="J113" s="17">
        <f t="shared" ca="1" si="10"/>
        <v>-0.44399796513615741</v>
      </c>
      <c r="K113" s="17">
        <f t="shared" ca="1" si="10"/>
        <v>-0.42497731661770455</v>
      </c>
      <c r="L113" s="17">
        <f t="shared" ca="1" si="10"/>
        <v>-0.4750206199475594</v>
      </c>
      <c r="M113" s="17">
        <f t="shared" ca="1" si="10"/>
        <v>-0.38996821246376878</v>
      </c>
      <c r="N113" s="17">
        <f t="shared" ca="1" si="10"/>
        <v>-0.46756004424980407</v>
      </c>
      <c r="O113" s="17">
        <f t="shared" ca="1" si="10"/>
        <v>-0.47749214035397475</v>
      </c>
      <c r="P113" s="17">
        <f t="shared" ca="1" si="10"/>
        <v>-0.32435208568223184</v>
      </c>
      <c r="Q113" s="17">
        <f t="shared" ca="1" si="10"/>
        <v>-0.4534775215204444</v>
      </c>
      <c r="R113" s="17">
        <f t="shared" ca="1" si="10"/>
        <v>-0.29064838384402009</v>
      </c>
      <c r="S113" s="17">
        <f t="shared" ca="1" si="10"/>
        <v>-0.40837099073876643</v>
      </c>
      <c r="T113" s="17">
        <f t="shared" ca="1" si="10"/>
        <v>-0.3834307667131156</v>
      </c>
      <c r="U113" s="17">
        <f t="shared" ca="1" si="10"/>
        <v>-0.18344984056825683</v>
      </c>
      <c r="V113" s="17">
        <f t="shared" ca="1" si="10"/>
        <v>-0.32833148165965576</v>
      </c>
      <c r="W113" s="17">
        <f t="shared" ca="1" si="10"/>
        <v>-0.17127318863900934</v>
      </c>
      <c r="X113" s="17">
        <f t="shared" ca="1" si="10"/>
        <v>-0.15679656254368982</v>
      </c>
      <c r="Y113" s="17">
        <f t="shared" ca="1" si="10"/>
        <v>-0.23275407028125267</v>
      </c>
      <c r="Z113" s="17">
        <f t="shared" ca="1" si="10"/>
        <v>-3.0279902799272313E-4</v>
      </c>
      <c r="AA113" s="17">
        <f t="shared" ca="1" si="10"/>
        <v>-0.16034094224923029</v>
      </c>
      <c r="AB113" s="17">
        <f t="shared" ca="1" si="10"/>
        <v>-3.5035264127785078E-2</v>
      </c>
      <c r="AC113" s="17">
        <f t="shared" ca="1" si="10"/>
        <v>0.12849520967420183</v>
      </c>
    </row>
    <row r="114" spans="1:29" x14ac:dyDescent="0.2">
      <c r="A114" s="18" t="s">
        <v>1410</v>
      </c>
      <c r="C114" s="18" t="s">
        <v>1411</v>
      </c>
      <c r="D114" s="57">
        <f>9463</f>
        <v>9463</v>
      </c>
    </row>
    <row r="115" spans="1:29" x14ac:dyDescent="0.2">
      <c r="A115" s="18" t="s">
        <v>1412</v>
      </c>
      <c r="C115" s="18" t="s">
        <v>1413</v>
      </c>
      <c r="D115" s="46">
        <f ca="1">IFERROR((D18-$D$114)/$D$114, 0)</f>
        <v>-8.4086541590467231E-2</v>
      </c>
      <c r="E115" s="17">
        <f t="shared" ref="E115:AC115" ca="1" si="11">IFERROR((E18-$D$114)/$D$114, 0)</f>
        <v>3.7187751556112432E-2</v>
      </c>
      <c r="F115" s="17">
        <f t="shared" ca="1" si="11"/>
        <v>-9.070404924634691E-2</v>
      </c>
      <c r="G115" s="17">
        <f t="shared" ca="1" si="11"/>
        <v>-0.21096773810794842</v>
      </c>
      <c r="H115" s="17">
        <f t="shared" ca="1" si="11"/>
        <v>-0.3355088403917868</v>
      </c>
      <c r="I115" s="17">
        <f t="shared" ca="1" si="11"/>
        <v>-0.36665365123977633</v>
      </c>
      <c r="J115" s="17">
        <f t="shared" ca="1" si="11"/>
        <v>-0.38825535147655499</v>
      </c>
      <c r="K115" s="17">
        <f t="shared" ca="1" si="11"/>
        <v>-0.40692587866517926</v>
      </c>
      <c r="L115" s="17">
        <f t="shared" ca="1" si="11"/>
        <v>-0.52347235480988052</v>
      </c>
      <c r="M115" s="17">
        <f t="shared" ca="1" si="11"/>
        <v>-0.47404802640030613</v>
      </c>
      <c r="N115" s="17">
        <f t="shared" ca="1" si="11"/>
        <v>-0.6274977617073334</v>
      </c>
      <c r="O115" s="17">
        <f t="shared" ca="1" si="11"/>
        <v>-0.69982834603343647</v>
      </c>
      <c r="P115" s="17">
        <f t="shared" ca="1" si="11"/>
        <v>-0.57981643372279046</v>
      </c>
      <c r="Q115" s="17">
        <f t="shared" ca="1" si="11"/>
        <v>-0.80282261800967458</v>
      </c>
      <c r="R115" s="17">
        <f t="shared" ca="1" si="11"/>
        <v>-0.68061422185067466</v>
      </c>
      <c r="S115" s="17">
        <f t="shared" ca="1" si="11"/>
        <v>-0.8954635032180579</v>
      </c>
      <c r="T115" s="17">
        <f t="shared" ca="1" si="11"/>
        <v>-0.94530976853662763</v>
      </c>
      <c r="U115" s="17">
        <f t="shared" ca="1" si="11"/>
        <v>-0.7971084613063899</v>
      </c>
      <c r="V115" s="17">
        <f t="shared" ca="1" si="11"/>
        <v>-1.0538397732863698</v>
      </c>
      <c r="W115" s="17">
        <f t="shared" ca="1" si="11"/>
        <v>-0.96828832037380708</v>
      </c>
      <c r="X115" s="17">
        <f t="shared" ca="1" si="11"/>
        <v>-1.0533219711512805</v>
      </c>
      <c r="Y115" s="17">
        <f t="shared" ca="1" si="11"/>
        <v>-1.2464353618920554</v>
      </c>
      <c r="Z115" s="17">
        <f t="shared" ca="1" si="11"/>
        <v>-1.1011554715688532</v>
      </c>
      <c r="AA115" s="17">
        <f t="shared" ca="1" si="11"/>
        <v>-1.4006820848233779</v>
      </c>
      <c r="AB115" s="17">
        <f t="shared" ca="1" si="11"/>
        <v>-1.3932138568301395</v>
      </c>
      <c r="AC115" s="17">
        <f t="shared" ca="1" si="11"/>
        <v>-1.3627482376616713</v>
      </c>
    </row>
    <row r="116" spans="1:29" x14ac:dyDescent="0.2">
      <c r="A116" s="18" t="s">
        <v>1414</v>
      </c>
      <c r="C116" s="18" t="s">
        <v>1415</v>
      </c>
      <c r="D116" s="57">
        <f>4904</f>
        <v>4904</v>
      </c>
    </row>
    <row r="117" spans="1:29" x14ac:dyDescent="0.2">
      <c r="A117" s="18" t="s">
        <v>1416</v>
      </c>
      <c r="C117" s="18" t="s">
        <v>1417</v>
      </c>
      <c r="D117" s="46">
        <f ca="1">IFERROR((D26-$D$116)/$D$116, 0)</f>
        <v>-0.11141704436751787</v>
      </c>
      <c r="E117" s="17">
        <f t="shared" ref="E117:AC117" ca="1" si="12">IFERROR((E26-$D$116)/$D$116, 0)</f>
        <v>0.19622620217854841</v>
      </c>
      <c r="F117" s="17">
        <f t="shared" ca="1" si="12"/>
        <v>-3.7539554930169972E-2</v>
      </c>
      <c r="G117" s="17">
        <f t="shared" ca="1" si="12"/>
        <v>-0.22334446505324496</v>
      </c>
      <c r="H117" s="17">
        <f t="shared" ca="1" si="12"/>
        <v>-0.4140642009615888</v>
      </c>
      <c r="I117" s="17">
        <f t="shared" ca="1" si="12"/>
        <v>-0.47844250798472487</v>
      </c>
      <c r="J117" s="17">
        <f t="shared" ca="1" si="12"/>
        <v>-0.53836280614684395</v>
      </c>
      <c r="K117" s="17">
        <f t="shared" ca="1" si="12"/>
        <v>-0.58327281051880797</v>
      </c>
      <c r="L117" s="17">
        <f t="shared" ca="1" si="12"/>
        <v>-0.83401722839336234</v>
      </c>
      <c r="M117" s="17">
        <f t="shared" ca="1" si="12"/>
        <v>-0.73535465295528013</v>
      </c>
      <c r="N117" s="17">
        <f t="shared" ca="1" si="12"/>
        <v>-1.0446716820632713</v>
      </c>
      <c r="O117" s="17">
        <f t="shared" ca="1" si="12"/>
        <v>-1.1812472770962743</v>
      </c>
      <c r="P117" s="17">
        <f t="shared" ca="1" si="12"/>
        <v>-0.85371883327705567</v>
      </c>
      <c r="Q117" s="17">
        <f t="shared" ca="1" si="12"/>
        <v>-1.2982724429171673</v>
      </c>
      <c r="R117" s="17">
        <f t="shared" ca="1" si="12"/>
        <v>-0.97549631246027868</v>
      </c>
      <c r="S117" s="17">
        <f t="shared" ca="1" si="12"/>
        <v>-1.3559327932777314</v>
      </c>
      <c r="T117" s="17">
        <f t="shared" ca="1" si="12"/>
        <v>-1.5065502556486632</v>
      </c>
      <c r="U117" s="17">
        <f t="shared" ca="1" si="12"/>
        <v>-1.1483925616387334</v>
      </c>
      <c r="V117" s="17">
        <f t="shared" ca="1" si="12"/>
        <v>-1.6841653744238427</v>
      </c>
      <c r="W117" s="17">
        <f t="shared" ca="1" si="12"/>
        <v>-1.506157547975681</v>
      </c>
      <c r="X117" s="17">
        <f t="shared" ca="1" si="12"/>
        <v>-1.6230263134701073</v>
      </c>
      <c r="Y117" s="17">
        <f t="shared" ca="1" si="12"/>
        <v>-2.0644119596327442</v>
      </c>
      <c r="Z117" s="17">
        <f t="shared" ca="1" si="12"/>
        <v>-1.7059708451249596</v>
      </c>
      <c r="AA117" s="17">
        <f t="shared" ca="1" si="12"/>
        <v>-2.3112294085643423</v>
      </c>
      <c r="AB117" s="17">
        <f t="shared" ca="1" si="12"/>
        <v>-2.341390535111322</v>
      </c>
      <c r="AC117" s="17">
        <f t="shared" ca="1" si="12"/>
        <v>-2.2040510777984217</v>
      </c>
    </row>
    <row r="118" spans="1:29" x14ac:dyDescent="0.2">
      <c r="A118" s="18" t="s">
        <v>1418</v>
      </c>
      <c r="C118" s="18" t="s">
        <v>1419</v>
      </c>
      <c r="D118" s="57">
        <f>1261</f>
        <v>1261</v>
      </c>
    </row>
    <row r="119" spans="1:29" x14ac:dyDescent="0.2">
      <c r="A119" s="18" t="s">
        <v>1420</v>
      </c>
      <c r="C119" s="18" t="s">
        <v>1421</v>
      </c>
      <c r="D119" s="46">
        <f ca="1">IFERROR((D28-$D$118)/$D$118, 0)</f>
        <v>-1.2004984706013865E-4</v>
      </c>
      <c r="E119" s="17">
        <f t="shared" ref="E119:AC119" ca="1" si="13">IFERROR((E28-$D$118)/$D$118, 0)</f>
        <v>0.27047336823835977</v>
      </c>
      <c r="F119" s="17">
        <f t="shared" ca="1" si="13"/>
        <v>0.45418488003175062</v>
      </c>
      <c r="G119" s="17">
        <f t="shared" ca="1" si="13"/>
        <v>0.47358792038111985</v>
      </c>
      <c r="H119" s="17">
        <f t="shared" ca="1" si="13"/>
        <v>0.47772066310603611</v>
      </c>
      <c r="I119" s="17">
        <f t="shared" ca="1" si="13"/>
        <v>0.58069857401459224</v>
      </c>
      <c r="J119" s="17">
        <f t="shared" ca="1" si="13"/>
        <v>0.82158499324366963</v>
      </c>
      <c r="K119" s="17">
        <f t="shared" ca="1" si="13"/>
        <v>1.1386939743101054</v>
      </c>
      <c r="L119" s="17">
        <f t="shared" ca="1" si="13"/>
        <v>1.5648603229886888</v>
      </c>
      <c r="M119" s="17">
        <f t="shared" ca="1" si="13"/>
        <v>1.9703984767866904</v>
      </c>
      <c r="N119" s="17">
        <f t="shared" ca="1" si="13"/>
        <v>2.4336327824268045</v>
      </c>
      <c r="O119" s="17">
        <f t="shared" ca="1" si="13"/>
        <v>2.9044718436802839</v>
      </c>
      <c r="P119" s="17">
        <f t="shared" ca="1" si="13"/>
        <v>3.3762621689550554</v>
      </c>
      <c r="Q119" s="17">
        <f t="shared" ca="1" si="13"/>
        <v>3.9252324045546292</v>
      </c>
      <c r="R119" s="17">
        <f t="shared" ca="1" si="13"/>
        <v>4.4566779845602875</v>
      </c>
      <c r="S119" s="17">
        <f t="shared" ca="1" si="13"/>
        <v>5.0637110262590763</v>
      </c>
      <c r="T119" s="17">
        <f t="shared" ca="1" si="13"/>
        <v>5.6826616191261419</v>
      </c>
      <c r="U119" s="17">
        <f t="shared" ca="1" si="13"/>
        <v>6.3151224456531496</v>
      </c>
      <c r="V119" s="17">
        <f t="shared" ca="1" si="13"/>
        <v>7.0353601489303177</v>
      </c>
      <c r="W119" s="17">
        <f t="shared" ca="1" si="13"/>
        <v>7.7596867468338351</v>
      </c>
      <c r="X119" s="17">
        <f t="shared" ca="1" si="13"/>
        <v>8.5533926185537599</v>
      </c>
      <c r="Y119" s="17">
        <f t="shared" ca="1" si="13"/>
        <v>9.4125661355959753</v>
      </c>
      <c r="Z119" s="17">
        <f t="shared" ca="1" si="13"/>
        <v>10.290031819636008</v>
      </c>
      <c r="AA119" s="17">
        <f t="shared" ca="1" si="13"/>
        <v>11.280186098184545</v>
      </c>
      <c r="AB119" s="17">
        <f t="shared" ca="1" si="13"/>
        <v>12.301679741233638</v>
      </c>
      <c r="AC119" s="17">
        <f t="shared" ca="1" si="13"/>
        <v>13.447748774878526</v>
      </c>
    </row>
    <row r="120" spans="1:29" x14ac:dyDescent="0.2">
      <c r="A120" s="18" t="s">
        <v>1422</v>
      </c>
      <c r="C120" s="18" t="s">
        <v>1423</v>
      </c>
      <c r="D120" s="57">
        <f>-2569</f>
        <v>-2569</v>
      </c>
    </row>
    <row r="121" spans="1:29" x14ac:dyDescent="0.2">
      <c r="A121" s="18" t="s">
        <v>1424</v>
      </c>
      <c r="C121" s="18" t="s">
        <v>1425</v>
      </c>
      <c r="D121" s="46">
        <f ca="1">IFERROR((D50-$D$120)/$D$120, 0)</f>
        <v>0.16087625403147646</v>
      </c>
      <c r="E121" s="17">
        <f t="shared" ref="E121:AC121" ca="1" si="14">IFERROR((E50-$D$120)/$D$120, 0)</f>
        <v>0.46542583568145229</v>
      </c>
      <c r="F121" s="17">
        <f t="shared" ca="1" si="14"/>
        <v>-0.31836027255350507</v>
      </c>
      <c r="G121" s="17">
        <f t="shared" ca="1" si="14"/>
        <v>-0.78310664006766728</v>
      </c>
      <c r="H121" s="17">
        <f t="shared" ca="1" si="14"/>
        <v>-1.2637349201339154</v>
      </c>
      <c r="I121" s="17">
        <f t="shared" ca="1" si="14"/>
        <v>-1.2364326253568538</v>
      </c>
      <c r="J121" s="17">
        <f t="shared" ca="1" si="14"/>
        <v>-1.2281816961116081</v>
      </c>
      <c r="K121" s="17">
        <f t="shared" ca="1" si="14"/>
        <v>-1.3277271142572056</v>
      </c>
      <c r="L121" s="17">
        <f t="shared" ca="1" si="14"/>
        <v>-1.1434676334514808</v>
      </c>
      <c r="M121" s="17">
        <f t="shared" ca="1" si="14"/>
        <v>-1.4228183639149625</v>
      </c>
      <c r="N121" s="17">
        <f t="shared" ca="1" si="14"/>
        <v>-1.1789437621863761</v>
      </c>
      <c r="O121" s="17">
        <f t="shared" ca="1" si="14"/>
        <v>-1.034261493684921</v>
      </c>
      <c r="P121" s="17">
        <f t="shared" ca="1" si="14"/>
        <v>-1.9409585121734463</v>
      </c>
      <c r="Q121" s="17">
        <f t="shared" ca="1" si="14"/>
        <v>-1.4156577834739537</v>
      </c>
      <c r="R121" s="17">
        <f t="shared" ca="1" si="14"/>
        <v>-2.1548022872308898</v>
      </c>
      <c r="S121" s="17">
        <f t="shared" ca="1" si="14"/>
        <v>-1.862583747560564</v>
      </c>
      <c r="T121" s="17">
        <f t="shared" ca="1" si="14"/>
        <v>-1.8005417737342235</v>
      </c>
      <c r="U121" s="17">
        <f t="shared" ca="1" si="14"/>
        <v>-2.7525865684232413</v>
      </c>
      <c r="V121" s="17">
        <f t="shared" ca="1" si="14"/>
        <v>-2.1916734612213973</v>
      </c>
      <c r="W121" s="17">
        <f t="shared" ca="1" si="14"/>
        <v>-2.7232101827025597</v>
      </c>
      <c r="X121" s="17">
        <f t="shared" ca="1" si="14"/>
        <v>-3.0511959088365312</v>
      </c>
      <c r="Y121" s="17">
        <f t="shared" ca="1" si="14"/>
        <v>-2.6167969343194861</v>
      </c>
      <c r="Z121" s="17">
        <f t="shared" ca="1" si="14"/>
        <v>-3.5652067155327885</v>
      </c>
      <c r="AA121" s="17">
        <f t="shared" ca="1" si="14"/>
        <v>-3.0650174656451958</v>
      </c>
      <c r="AB121" s="17">
        <f t="shared" ca="1" si="14"/>
        <v>-3.4598985823956614</v>
      </c>
      <c r="AC121" s="17">
        <f t="shared" ca="1" si="14"/>
        <v>-4.2596292671827394</v>
      </c>
    </row>
    <row r="122" spans="1:29" x14ac:dyDescent="0.2">
      <c r="A122" s="18" t="s">
        <v>1426</v>
      </c>
      <c r="C122" s="18" t="s">
        <v>1427</v>
      </c>
      <c r="D122" s="57">
        <f>8690</f>
        <v>8690</v>
      </c>
    </row>
    <row r="123" spans="1:29" x14ac:dyDescent="0.2">
      <c r="A123" s="18" t="s">
        <v>1428</v>
      </c>
      <c r="C123" s="18" t="s">
        <v>1427</v>
      </c>
      <c r="D123" s="57">
        <f>3670</f>
        <v>3670</v>
      </c>
    </row>
    <row r="124" spans="1:29" x14ac:dyDescent="0.2">
      <c r="A124" s="18" t="s">
        <v>1429</v>
      </c>
      <c r="C124" s="18" t="s">
        <v>1430</v>
      </c>
      <c r="D124" s="57">
        <f ca="1">D21</f>
        <v>4309.6782425077163</v>
      </c>
    </row>
    <row r="125" spans="1:29" x14ac:dyDescent="0.2">
      <c r="A125" s="18" t="s">
        <v>1431</v>
      </c>
      <c r="C125" s="18" t="s">
        <v>1432</v>
      </c>
      <c r="D125" s="57">
        <f ca="1">D46</f>
        <v>6327.2744000000002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D480-6CB1-1F4C-A4C8-A28A791AB4C1}">
  <dimension ref="A4:AC60"/>
  <sheetViews>
    <sheetView workbookViewId="0">
      <selection activeCell="R32" sqref="R32"/>
    </sheetView>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29" x14ac:dyDescent="0.2">
      <c r="A6" s="19" t="s">
        <v>627</v>
      </c>
    </row>
    <row r="10" spans="1:29" x14ac:dyDescent="0.2">
      <c r="A10" s="4" t="s">
        <v>1271</v>
      </c>
    </row>
    <row r="11" spans="1:29" x14ac:dyDescent="0.2">
      <c r="A11" t="s">
        <v>1272</v>
      </c>
      <c r="D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0)))^D$5), MAX(INDEX(Assumptions!$B:$B, MATCH("Starlink R&amp;D — end-state % (floor)", Assumptions!$A:$A, 0)), INDEX(Assumptions!$B:$B, MATCH("Starlink R&amp;D — start % of (Starlink + Starshield) rev", Assumptions!$A:$A, 0))*(1+INDEX(Assumptions!$B:$B, MATCH("Starlink R&amp;D — CAGR (taper)", Assumptions!$A:$A, 0)))^D$5))</f>
        <v>0.08</v>
      </c>
      <c r="E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0)))^E$5), MAX(INDEX(Assumptions!$B:$B, MATCH("Starlink R&amp;D — end-state % (floor)", Assumptions!$A:$A, 0)), INDEX(Assumptions!$B:$B, MATCH("Starlink R&amp;D — start % of (Starlink + Starshield) rev", Assumptions!$A:$A, 0))*(1+INDEX(Assumptions!$B:$B, MATCH("Starlink R&amp;D — CAGR (taper)", Assumptions!$A:$A, 0)))^E$5))</f>
        <v>7.2000000000000008E-2</v>
      </c>
      <c r="F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0)))^F$5), MAX(INDEX(Assumptions!$B:$B, MATCH("Starlink R&amp;D — end-state % (floor)", Assumptions!$A:$A, 0)), INDEX(Assumptions!$B:$B, MATCH("Starlink R&amp;D — start % of (Starlink + Starshield) rev", Assumptions!$A:$A, 0))*(1+INDEX(Assumptions!$B:$B, MATCH("Starlink R&amp;D — CAGR (taper)", Assumptions!$A:$A, 0)))^F$5))</f>
        <v>6.480000000000001E-2</v>
      </c>
      <c r="G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0)))^G$5), MAX(INDEX(Assumptions!$B:$B, MATCH("Starlink R&amp;D — end-state % (floor)", Assumptions!$A:$A, 0)), INDEX(Assumptions!$B:$B, MATCH("Starlink R&amp;D — start % of (Starlink + Starshield) rev", Assumptions!$A:$A, 0))*(1+INDEX(Assumptions!$B:$B, MATCH("Starlink R&amp;D — CAGR (taper)", Assumptions!$A:$A, 0)))^G$5))</f>
        <v>5.8320000000000011E-2</v>
      </c>
      <c r="H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0)))^H$5), MAX(INDEX(Assumptions!$B:$B, MATCH("Starlink R&amp;D — end-state % (floor)", Assumptions!$A:$A, 0)), INDEX(Assumptions!$B:$B, MATCH("Starlink R&amp;D — start % of (Starlink + Starshield) rev", Assumptions!$A:$A, 0))*(1+INDEX(Assumptions!$B:$B, MATCH("Starlink R&amp;D — CAGR (taper)", Assumptions!$A:$A, 0)))^H$5))</f>
        <v>5.2488000000000014E-2</v>
      </c>
      <c r="I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0)))^I$5), MAX(INDEX(Assumptions!$B:$B, MATCH("Starlink R&amp;D — end-state % (floor)", Assumptions!$A:$A, 0)), INDEX(Assumptions!$B:$B, MATCH("Starlink R&amp;D — start % of (Starlink + Starshield) rev", Assumptions!$A:$A, 0))*(1+INDEX(Assumptions!$B:$B, MATCH("Starlink R&amp;D — CAGR (taper)", Assumptions!$A:$A, 0)))^I$5))</f>
        <v>4.7239200000000016E-2</v>
      </c>
      <c r="J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0)))^J$5), MAX(INDEX(Assumptions!$B:$B, MATCH("Starlink R&amp;D — end-state % (floor)", Assumptions!$A:$A, 0)), INDEX(Assumptions!$B:$B, MATCH("Starlink R&amp;D — start % of (Starlink + Starshield) rev", Assumptions!$A:$A, 0))*(1+INDEX(Assumptions!$B:$B, MATCH("Starlink R&amp;D — CAGR (taper)", Assumptions!$A:$A, 0)))^J$5))</f>
        <v>4.2515280000000016E-2</v>
      </c>
      <c r="K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0)))^K$5), MAX(INDEX(Assumptions!$B:$B, MATCH("Starlink R&amp;D — end-state % (floor)", Assumptions!$A:$A, 0)), INDEX(Assumptions!$B:$B, MATCH("Starlink R&amp;D — start % of (Starlink + Starshield) rev", Assumptions!$A:$A, 0))*(1+INDEX(Assumptions!$B:$B, MATCH("Starlink R&amp;D — CAGR (taper)", Assumptions!$A:$A, 0)))^K$5))</f>
        <v>3.8263752000000012E-2</v>
      </c>
      <c r="L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0)))^L$5), MAX(INDEX(Assumptions!$B:$B, MATCH("Starlink R&amp;D — end-state % (floor)", Assumptions!$A:$A, 0)), INDEX(Assumptions!$B:$B, MATCH("Starlink R&amp;D — start % of (Starlink + Starshield) rev", Assumptions!$A:$A, 0))*(1+INDEX(Assumptions!$B:$B, MATCH("Starlink R&amp;D — CAGR (taper)", Assumptions!$A:$A, 0)))^L$5))</f>
        <v>3.4437376800000016E-2</v>
      </c>
      <c r="M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0)))^M$5), MAX(INDEX(Assumptions!$B:$B, MATCH("Starlink R&amp;D — end-state % (floor)", Assumptions!$A:$A, 0)), INDEX(Assumptions!$B:$B, MATCH("Starlink R&amp;D — start % of (Starlink + Starshield) rev", Assumptions!$A:$A, 0))*(1+INDEX(Assumptions!$B:$B, MATCH("Starlink R&amp;D — CAGR (taper)", Assumptions!$A:$A, 0)))^M$5))</f>
        <v>3.0993639120000013E-2</v>
      </c>
      <c r="N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0)))^N$5), MAX(INDEX(Assumptions!$B:$B, MATCH("Starlink R&amp;D — end-state % (floor)", Assumptions!$A:$A, 0)), INDEX(Assumptions!$B:$B, MATCH("Starlink R&amp;D — start % of (Starlink + Starshield) rev", Assumptions!$A:$A, 0))*(1+INDEX(Assumptions!$B:$B, MATCH("Starlink R&amp;D — CAGR (taper)", Assumptions!$A:$A, 0)))^N$5))</f>
        <v>0.03</v>
      </c>
      <c r="O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0)))^O$5), MAX(INDEX(Assumptions!$B:$B, MATCH("Starlink R&amp;D — end-state % (floor)", Assumptions!$A:$A, 0)), INDEX(Assumptions!$B:$B, MATCH("Starlink R&amp;D — start % of (Starlink + Starshield) rev", Assumptions!$A:$A, 0))*(1+INDEX(Assumptions!$B:$B, MATCH("Starlink R&amp;D — CAGR (taper)", Assumptions!$A:$A, 0)))^O$5))</f>
        <v>0.03</v>
      </c>
      <c r="P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0)))^P$5), MAX(INDEX(Assumptions!$B:$B, MATCH("Starlink R&amp;D — end-state % (floor)", Assumptions!$A:$A, 0)), INDEX(Assumptions!$B:$B, MATCH("Starlink R&amp;D — start % of (Starlink + Starshield) rev", Assumptions!$A:$A, 0))*(1+INDEX(Assumptions!$B:$B, MATCH("Starlink R&amp;D — CAGR (taper)", Assumptions!$A:$A, 0)))^P$5))</f>
        <v>0.03</v>
      </c>
      <c r="Q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0)))^Q$5), MAX(INDEX(Assumptions!$B:$B, MATCH("Starlink R&amp;D — end-state % (floor)", Assumptions!$A:$A, 0)), INDEX(Assumptions!$B:$B, MATCH("Starlink R&amp;D — start % of (Starlink + Starshield) rev", Assumptions!$A:$A, 0))*(1+INDEX(Assumptions!$B:$B, MATCH("Starlink R&amp;D — CAGR (taper)", Assumptions!$A:$A, 0)))^Q$5))</f>
        <v>0.03</v>
      </c>
      <c r="R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0)))^R$5), MAX(INDEX(Assumptions!$B:$B, MATCH("Starlink R&amp;D — end-state % (floor)", Assumptions!$A:$A, 0)), INDEX(Assumptions!$B:$B, MATCH("Starlink R&amp;D — start % of (Starlink + Starshield) rev", Assumptions!$A:$A, 0))*(1+INDEX(Assumptions!$B:$B, MATCH("Starlink R&amp;D — CAGR (taper)", Assumptions!$A:$A, 0)))^R$5))</f>
        <v>0.03</v>
      </c>
      <c r="S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0)))^S$5), MAX(INDEX(Assumptions!$B:$B, MATCH("Starlink R&amp;D — end-state % (floor)", Assumptions!$A:$A, 0)), INDEX(Assumptions!$B:$B, MATCH("Starlink R&amp;D — start % of (Starlink + Starshield) rev", Assumptions!$A:$A, 0))*(1+INDEX(Assumptions!$B:$B, MATCH("Starlink R&amp;D — CAGR (taper)", Assumptions!$A:$A, 0)))^S$5))</f>
        <v>0.03</v>
      </c>
      <c r="T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0)))^T$5), MAX(INDEX(Assumptions!$B:$B, MATCH("Starlink R&amp;D — end-state % (floor)", Assumptions!$A:$A, 0)), INDEX(Assumptions!$B:$B, MATCH("Starlink R&amp;D — start % of (Starlink + Starshield) rev", Assumptions!$A:$A, 0))*(1+INDEX(Assumptions!$B:$B, MATCH("Starlink R&amp;D — CAGR (taper)", Assumptions!$A:$A, 0)))^T$5))</f>
        <v>0.03</v>
      </c>
      <c r="U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0)))^U$5), MAX(INDEX(Assumptions!$B:$B, MATCH("Starlink R&amp;D — end-state % (floor)", Assumptions!$A:$A, 0)), INDEX(Assumptions!$B:$B, MATCH("Starlink R&amp;D — start % of (Starlink + Starshield) rev", Assumptions!$A:$A, 0))*(1+INDEX(Assumptions!$B:$B, MATCH("Starlink R&amp;D — CAGR (taper)", Assumptions!$A:$A, 0)))^U$5))</f>
        <v>0.03</v>
      </c>
      <c r="V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0)))^V$5), MAX(INDEX(Assumptions!$B:$B, MATCH("Starlink R&amp;D — end-state % (floor)", Assumptions!$A:$A, 0)), INDEX(Assumptions!$B:$B, MATCH("Starlink R&amp;D — start % of (Starlink + Starshield) rev", Assumptions!$A:$A, 0))*(1+INDEX(Assumptions!$B:$B, MATCH("Starlink R&amp;D — CAGR (taper)", Assumptions!$A:$A, 0)))^V$5))</f>
        <v>0.03</v>
      </c>
      <c r="W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0)))^W$5), MAX(INDEX(Assumptions!$B:$B, MATCH("Starlink R&amp;D — end-state % (floor)", Assumptions!$A:$A, 0)), INDEX(Assumptions!$B:$B, MATCH("Starlink R&amp;D — start % of (Starlink + Starshield) rev", Assumptions!$A:$A, 0))*(1+INDEX(Assumptions!$B:$B, MATCH("Starlink R&amp;D — CAGR (taper)", Assumptions!$A:$A, 0)))^W$5))</f>
        <v>0.03</v>
      </c>
      <c r="X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0)))^X$5), MAX(INDEX(Assumptions!$B:$B, MATCH("Starlink R&amp;D — end-state % (floor)", Assumptions!$A:$A, 0)), INDEX(Assumptions!$B:$B, MATCH("Starlink R&amp;D — start % of (Starlink + Starshield) rev", Assumptions!$A:$A, 0))*(1+INDEX(Assumptions!$B:$B, MATCH("Starlink R&amp;D — CAGR (taper)", Assumptions!$A:$A, 0)))^X$5))</f>
        <v>0.03</v>
      </c>
      <c r="Y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0)))^Y$5), MAX(INDEX(Assumptions!$B:$B, MATCH("Starlink R&amp;D — end-state % (floor)", Assumptions!$A:$A, 0)), INDEX(Assumptions!$B:$B, MATCH("Starlink R&amp;D — start % of (Starlink + Starshield) rev", Assumptions!$A:$A, 0))*(1+INDEX(Assumptions!$B:$B, MATCH("Starlink R&amp;D — CAGR (taper)", Assumptions!$A:$A, 0)))^Y$5))</f>
        <v>0.03</v>
      </c>
      <c r="Z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0)))^Z$5), MAX(INDEX(Assumptions!$B:$B, MATCH("Starlink R&amp;D — end-state % (floor)", Assumptions!$A:$A, 0)), INDEX(Assumptions!$B:$B, MATCH("Starlink R&amp;D — start % of (Starlink + Starshield) rev", Assumptions!$A:$A, 0))*(1+INDEX(Assumptions!$B:$B, MATCH("Starlink R&amp;D — CAGR (taper)", Assumptions!$A:$A, 0)))^Z$5))</f>
        <v>0.03</v>
      </c>
      <c r="AA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0)))^AA$5), MAX(INDEX(Assumptions!$B:$B, MATCH("Starlink R&amp;D — end-state % (floor)", Assumptions!$A:$A, 0)), INDEX(Assumptions!$B:$B, MATCH("Starlink R&amp;D — start % of (Starlink + Starshield) rev", Assumptions!$A:$A, 0))*(1+INDEX(Assumptions!$B:$B, MATCH("Starlink R&amp;D — CAGR (taper)", Assumptions!$A:$A, 0)))^AA$5))</f>
        <v>0.03</v>
      </c>
      <c r="AB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0)))^AB$5), MAX(INDEX(Assumptions!$B:$B, MATCH("Starlink R&amp;D — end-state % (floor)", Assumptions!$A:$A, 0)), INDEX(Assumptions!$B:$B, MATCH("Starlink R&amp;D — start % of (Starlink + Starshield) rev", Assumptions!$A:$A, 0))*(1+INDEX(Assumptions!$B:$B, MATCH("Starlink R&amp;D — CAGR (taper)", Assumptions!$A:$A, 0)))^AB$5))</f>
        <v>0.03</v>
      </c>
      <c r="AC11" s="17">
        <f>IF(INDEX(Assumptions!$B:$B, MATCH("Starlink R&amp;D — CAGR (taper)", Assumptions!$A:$A, 0))&gt;=0, MIN(INDEX(Assumptions!$B:$B, MATCH("Starlink R&amp;D — end-state % (floor)", Assumptions!$A:$A, 0)), INDEX(Assumptions!$B:$B, MATCH("Starlink R&amp;D — start % of (Starlink + Starshield) rev", Assumptions!$A:$A, 0))*(1+INDEX(Assumptions!$B:$B, MATCH("Starlink R&amp;D — CAGR (taper)", Assumptions!$A:$A, 0)))^AC$5), MAX(INDEX(Assumptions!$B:$B, MATCH("Starlink R&amp;D — end-state % (floor)", Assumptions!$A:$A, 0)), INDEX(Assumptions!$B:$B, MATCH("Starlink R&amp;D — start % of (Starlink + Starshield) rev", Assumptions!$A:$A, 0))*(1+INDEX(Assumptions!$B:$B, MATCH("Starlink R&amp;D — CAGR (taper)", Assumptions!$A:$A, 0)))^AC$5))</f>
        <v>0.03</v>
      </c>
    </row>
    <row r="12" spans="1:29" x14ac:dyDescent="0.2">
      <c r="A12" t="s">
        <v>1273</v>
      </c>
      <c r="D12" s="15" cm="1">
        <f t="array" aca="1" ref="D12" ca="1">INDEX(Starlink!$D:$AC, MATCH("Total Revenue ($mm)", Starlink!$A:$A, 0), D$5+1)</f>
        <v>9572.6803303316192</v>
      </c>
      <c r="E12" s="15" cm="1">
        <f t="array" aca="1" ref="E12" ca="1">INDEX(Starlink!$D:$AC, MATCH("Total Revenue ($mm)", Starlink!$A:$A, 0), E$5+1)</f>
        <v>7639.3544960166564</v>
      </c>
      <c r="F12" s="15" cm="1">
        <f t="array" aca="1" ref="F12" ca="1">INDEX(Starlink!$D:$AC, MATCH("Total Revenue ($mm)", Starlink!$A:$A, 0), F$5+1)</f>
        <v>6247.6016011400634</v>
      </c>
      <c r="G12" s="15" cm="1">
        <f t="array" aca="1" ref="G12" ca="1">INDEX(Starlink!$D:$AC, MATCH("Total Revenue ($mm)", Starlink!$A:$A, 0), G$5+1)</f>
        <v>4998.2239826085251</v>
      </c>
      <c r="H12" s="15" cm="1">
        <f t="array" aca="1" ref="H12" ca="1">INDEX(Starlink!$D:$AC, MATCH("Total Revenue ($mm)", Starlink!$A:$A, 0), H$5+1)</f>
        <v>3800.4769713583314</v>
      </c>
      <c r="I12" s="15" cm="1">
        <f t="array" aca="1" ref="I12" ca="1">INDEX(Starlink!$D:$AC, MATCH("Total Revenue ($mm)", Starlink!$A:$A, 0), I$5+1)</f>
        <v>4039.9779800941096</v>
      </c>
      <c r="J12" s="15" cm="1">
        <f t="array" aca="1" ref="J12" ca="1">INDEX(Starlink!$D:$AC, MATCH("Total Revenue ($mm)", Starlink!$A:$A, 0), J$5+1)</f>
        <v>4161.4324721750536</v>
      </c>
      <c r="K12" s="15" cm="1">
        <f t="array" aca="1" ref="K12" ca="1">INDEX(Starlink!$D:$AC, MATCH("Total Revenue ($mm)", Starlink!$A:$A, 0), K$5+1)</f>
        <v>4393.4323324988145</v>
      </c>
      <c r="L12" s="15" cm="1">
        <f t="array" aca="1" ref="L12" ca="1">INDEX(Starlink!$D:$AC, MATCH("Total Revenue ($mm)", Starlink!$A:$A, 0), L$5+1)</f>
        <v>4638.3661850356211</v>
      </c>
      <c r="M12" s="15" cm="1">
        <f t="array" aca="1" ref="M12" ca="1">INDEX(Starlink!$D:$AC, MATCH("Total Revenue ($mm)", Starlink!$A:$A, 0), M$5+1)</f>
        <v>4896.9550998513569</v>
      </c>
      <c r="N12" s="15" cm="1">
        <f t="array" aca="1" ref="N12" ca="1">INDEX(Starlink!$D:$AC, MATCH("Total Revenue ($mm)", Starlink!$A:$A, 0), N$5+1)</f>
        <v>5169.960346668071</v>
      </c>
      <c r="O12" s="15" cm="1">
        <f t="array" aca="1" ref="O12" ca="1">INDEX(Starlink!$D:$AC, MATCH("Total Revenue ($mm)", Starlink!$A:$A, 0), O$5+1)</f>
        <v>5458.1856359948151</v>
      </c>
      <c r="P12" s="15" cm="1">
        <f t="array" aca="1" ref="P12" ca="1">INDEX(Starlink!$D:$AC, MATCH("Total Revenue ($mm)", Starlink!$A:$A, 0), P$5+1)</f>
        <v>5762.4794852015239</v>
      </c>
      <c r="Q12" s="15" cm="1">
        <f t="array" aca="1" ref="Q12" ca="1">INDEX(Starlink!$D:$AC, MATCH("Total Revenue ($mm)", Starlink!$A:$A, 0), Q$5+1)</f>
        <v>6083.7377165015077</v>
      </c>
      <c r="R12" s="15" cm="1">
        <f t="array" aca="1" ref="R12" ca="1">INDEX(Starlink!$D:$AC, MATCH("Total Revenue ($mm)", Starlink!$A:$A, 0), R$5+1)</f>
        <v>6422.9060941964681</v>
      </c>
      <c r="S12" s="15" cm="1">
        <f t="array" aca="1" ref="S12" ca="1">INDEX(Starlink!$D:$AC, MATCH("Total Revenue ($mm)", Starlink!$A:$A, 0), S$5+1)</f>
        <v>6780.9831089479248</v>
      </c>
      <c r="T12" s="15" cm="1">
        <f t="array" aca="1" ref="T12" ca="1">INDEX(Starlink!$D:$AC, MATCH("Total Revenue ($mm)", Starlink!$A:$A, 0), T$5+1)</f>
        <v>7159.0229172717682</v>
      </c>
      <c r="U12" s="15" cm="1">
        <f t="array" aca="1" ref="U12" ca="1">INDEX(Starlink!$D:$AC, MATCH("Total Revenue ($mm)", Starlink!$A:$A, 0), U$5+1)</f>
        <v>7558.1384449096686</v>
      </c>
      <c r="V12" s="15" cm="1">
        <f t="array" aca="1" ref="V12" ca="1">INDEX(Starlink!$D:$AC, MATCH("Total Revenue ($mm)", Starlink!$A:$A, 0), V$5+1)</f>
        <v>7979.5046632133826</v>
      </c>
      <c r="W12" s="15" cm="1">
        <f t="array" aca="1" ref="W12" ca="1">INDEX(Starlink!$D:$AC, MATCH("Total Revenue ($mm)", Starlink!$A:$A, 0), W$5+1)</f>
        <v>8424.3620481875296</v>
      </c>
      <c r="X12" s="15" cm="1">
        <f t="array" aca="1" ref="X12" ca="1">INDEX(Starlink!$D:$AC, MATCH("Total Revenue ($mm)", Starlink!$A:$A, 0), X$5+1)</f>
        <v>8894.0202323739832</v>
      </c>
      <c r="Y12" s="15" cm="1">
        <f t="array" aca="1" ref="Y12" ca="1">INDEX(Starlink!$D:$AC, MATCH("Total Revenue ($mm)", Starlink!$A:$A, 0), Y$5+1)</f>
        <v>9389.8618603288269</v>
      </c>
      <c r="Z12" s="15" cm="1">
        <f t="array" aca="1" ref="Z12" ca="1">INDEX(Starlink!$D:$AC, MATCH("Total Revenue ($mm)", Starlink!$A:$A, 0), Z$5+1)</f>
        <v>9913.3466590421631</v>
      </c>
      <c r="AA12" s="15" cm="1">
        <f t="array" aca="1" ref="AA12" ca="1">INDEX(Starlink!$D:$AC, MATCH("Total Revenue ($mm)", Starlink!$A:$A, 0), AA$5+1)</f>
        <v>10466.015735283763</v>
      </c>
      <c r="AB12" s="15" cm="1">
        <f t="array" aca="1" ref="AB12" ca="1">INDEX(Starlink!$D:$AC, MATCH("Total Revenue ($mm)", Starlink!$A:$A, 0), AB$5+1)</f>
        <v>11049.496112525832</v>
      </c>
      <c r="AC12" s="15" cm="1">
        <f t="array" aca="1" ref="AC12" ca="1">INDEX(Starlink!$D:$AC, MATCH("Total Revenue ($mm)", Starlink!$A:$A, 0), AC$5+1)</f>
        <v>11665.505520799143</v>
      </c>
    </row>
    <row r="13" spans="1:29" x14ac:dyDescent="0.2">
      <c r="A13" t="s">
        <v>1274</v>
      </c>
      <c r="D13" s="40">
        <f ca="1">D11*D12</f>
        <v>765.81442642652951</v>
      </c>
      <c r="E13" s="40">
        <f t="shared" ref="E13:AC13" ca="1" si="0">E11*E12</f>
        <v>550.03352371319932</v>
      </c>
      <c r="F13" s="40">
        <f t="shared" ca="1" si="0"/>
        <v>404.84458375387618</v>
      </c>
      <c r="G13" s="40">
        <f t="shared" ca="1" si="0"/>
        <v>291.49642266572926</v>
      </c>
      <c r="H13" s="40">
        <f t="shared" ca="1" si="0"/>
        <v>199.47943527265616</v>
      </c>
      <c r="I13" s="40">
        <f t="shared" ca="1" si="0"/>
        <v>190.84532779726172</v>
      </c>
      <c r="J13" s="40">
        <f t="shared" ca="1" si="0"/>
        <v>176.92446675561467</v>
      </c>
      <c r="K13" s="40">
        <f t="shared" ca="1" si="0"/>
        <v>168.10920519951623</v>
      </c>
      <c r="L13" s="40">
        <f t="shared" ca="1" si="0"/>
        <v>159.73316405045028</v>
      </c>
      <c r="M13" s="40">
        <f t="shared" ca="1" si="0"/>
        <v>151.77445915163659</v>
      </c>
      <c r="N13" s="40">
        <f t="shared" ca="1" si="0"/>
        <v>155.09881040004211</v>
      </c>
      <c r="O13" s="40">
        <f t="shared" ca="1" si="0"/>
        <v>163.74556907984444</v>
      </c>
      <c r="P13" s="40">
        <f t="shared" ca="1" si="0"/>
        <v>172.8743845560457</v>
      </c>
      <c r="Q13" s="40">
        <f t="shared" ca="1" si="0"/>
        <v>182.51213149504522</v>
      </c>
      <c r="R13" s="40">
        <f t="shared" ca="1" si="0"/>
        <v>192.68718282589404</v>
      </c>
      <c r="S13" s="40">
        <f t="shared" ca="1" si="0"/>
        <v>203.42949326843774</v>
      </c>
      <c r="T13" s="40">
        <f t="shared" ca="1" si="0"/>
        <v>214.77068751815304</v>
      </c>
      <c r="U13" s="40">
        <f t="shared" ca="1" si="0"/>
        <v>226.74415334729005</v>
      </c>
      <c r="V13" s="40">
        <f t="shared" ca="1" si="0"/>
        <v>239.38513989640148</v>
      </c>
      <c r="W13" s="40">
        <f t="shared" ca="1" si="0"/>
        <v>252.73086144562589</v>
      </c>
      <c r="X13" s="40">
        <f t="shared" ca="1" si="0"/>
        <v>266.82060697121949</v>
      </c>
      <c r="Y13" s="40">
        <f t="shared" ca="1" si="0"/>
        <v>281.69585580986478</v>
      </c>
      <c r="Z13" s="40">
        <f t="shared" ca="1" si="0"/>
        <v>297.40039977126486</v>
      </c>
      <c r="AA13" s="40">
        <f t="shared" ca="1" si="0"/>
        <v>313.98047205851287</v>
      </c>
      <c r="AB13" s="40">
        <f t="shared" ca="1" si="0"/>
        <v>331.48488337577498</v>
      </c>
      <c r="AC13" s="40">
        <f t="shared" ca="1" si="0"/>
        <v>349.96516562397426</v>
      </c>
    </row>
    <row r="17" spans="1:29" x14ac:dyDescent="0.2">
      <c r="A17" t="s">
        <v>1275</v>
      </c>
      <c r="D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0)))^D$5), MAX(INDEX(Assumptions!$B:$B, MATCH("Customer Launch R&amp;D — end-state % (floor)", Assumptions!$A:$A, 0)), INDEX(Assumptions!$B:$B, MATCH("Customer Launch R&amp;D — start % of external rev", Assumptions!$A:$A, 0))*(1+INDEX(Assumptions!$B:$B, MATCH("Customer Launch R&amp;D — CAGR (taper)", Assumptions!$A:$A, 0)))^D$5))</f>
        <v>0.25</v>
      </c>
      <c r="E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0)))^E$5), MAX(INDEX(Assumptions!$B:$B, MATCH("Customer Launch R&amp;D — end-state % (floor)", Assumptions!$A:$A, 0)), INDEX(Assumptions!$B:$B, MATCH("Customer Launch R&amp;D — start % of external rev", Assumptions!$A:$A, 0))*(1+INDEX(Assumptions!$B:$B, MATCH("Customer Launch R&amp;D — CAGR (taper)", Assumptions!$A:$A, 0)))^E$5))</f>
        <v>0.2</v>
      </c>
      <c r="F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0)))^F$5), MAX(INDEX(Assumptions!$B:$B, MATCH("Customer Launch R&amp;D — end-state % (floor)", Assumptions!$A:$A, 0)), INDEX(Assumptions!$B:$B, MATCH("Customer Launch R&amp;D — start % of external rev", Assumptions!$A:$A, 0))*(1+INDEX(Assumptions!$B:$B, MATCH("Customer Launch R&amp;D — CAGR (taper)", Assumptions!$A:$A, 0)))^F$5))</f>
        <v>0.16000000000000003</v>
      </c>
      <c r="G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0)))^G$5), MAX(INDEX(Assumptions!$B:$B, MATCH("Customer Launch R&amp;D — end-state % (floor)", Assumptions!$A:$A, 0)), INDEX(Assumptions!$B:$B, MATCH("Customer Launch R&amp;D — start % of external rev", Assumptions!$A:$A, 0))*(1+INDEX(Assumptions!$B:$B, MATCH("Customer Launch R&amp;D — CAGR (taper)", Assumptions!$A:$A, 0)))^G$5))</f>
        <v>0.12800000000000003</v>
      </c>
      <c r="H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0)))^H$5), MAX(INDEX(Assumptions!$B:$B, MATCH("Customer Launch R&amp;D — end-state % (floor)", Assumptions!$A:$A, 0)), INDEX(Assumptions!$B:$B, MATCH("Customer Launch R&amp;D — start % of external rev", Assumptions!$A:$A, 0))*(1+INDEX(Assumptions!$B:$B, MATCH("Customer Launch R&amp;D — CAGR (taper)", Assumptions!$A:$A, 0)))^H$5))</f>
        <v>0.10240000000000005</v>
      </c>
      <c r="I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0)))^I$5), MAX(INDEX(Assumptions!$B:$B, MATCH("Customer Launch R&amp;D — end-state % (floor)", Assumptions!$A:$A, 0)), INDEX(Assumptions!$B:$B, MATCH("Customer Launch R&amp;D — start % of external rev", Assumptions!$A:$A, 0))*(1+INDEX(Assumptions!$B:$B, MATCH("Customer Launch R&amp;D — CAGR (taper)", Assumptions!$A:$A, 0)))^I$5))</f>
        <v>8.1920000000000048E-2</v>
      </c>
      <c r="J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0)))^J$5), MAX(INDEX(Assumptions!$B:$B, MATCH("Customer Launch R&amp;D — end-state % (floor)", Assumptions!$A:$A, 0)), INDEX(Assumptions!$B:$B, MATCH("Customer Launch R&amp;D — start % of external rev", Assumptions!$A:$A, 0))*(1+INDEX(Assumptions!$B:$B, MATCH("Customer Launch R&amp;D — CAGR (taper)", Assumptions!$A:$A, 0)))^J$5))</f>
        <v>6.5536000000000039E-2</v>
      </c>
      <c r="K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0)))^K$5), MAX(INDEX(Assumptions!$B:$B, MATCH("Customer Launch R&amp;D — end-state % (floor)", Assumptions!$A:$A, 0)), INDEX(Assumptions!$B:$B, MATCH("Customer Launch R&amp;D — start % of external rev", Assumptions!$A:$A, 0))*(1+INDEX(Assumptions!$B:$B, MATCH("Customer Launch R&amp;D — CAGR (taper)", Assumptions!$A:$A, 0)))^K$5))</f>
        <v>5.2428800000000039E-2</v>
      </c>
      <c r="L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0)))^L$5), MAX(INDEX(Assumptions!$B:$B, MATCH("Customer Launch R&amp;D — end-state % (floor)", Assumptions!$A:$A, 0)), INDEX(Assumptions!$B:$B, MATCH("Customer Launch R&amp;D — start % of external rev", Assumptions!$A:$A, 0))*(1+INDEX(Assumptions!$B:$B, MATCH("Customer Launch R&amp;D — CAGR (taper)", Assumptions!$A:$A, 0)))^L$5))</f>
        <v>4.1943040000000036E-2</v>
      </c>
      <c r="M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0)))^M$5), MAX(INDEX(Assumptions!$B:$B, MATCH("Customer Launch R&amp;D — end-state % (floor)", Assumptions!$A:$A, 0)), INDEX(Assumptions!$B:$B, MATCH("Customer Launch R&amp;D — start % of external rev", Assumptions!$A:$A, 0))*(1+INDEX(Assumptions!$B:$B, MATCH("Customer Launch R&amp;D — CAGR (taper)", Assumptions!$A:$A, 0)))^M$5))</f>
        <v>0.04</v>
      </c>
      <c r="N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0)))^N$5), MAX(INDEX(Assumptions!$B:$B, MATCH("Customer Launch R&amp;D — end-state % (floor)", Assumptions!$A:$A, 0)), INDEX(Assumptions!$B:$B, MATCH("Customer Launch R&amp;D — start % of external rev", Assumptions!$A:$A, 0))*(1+INDEX(Assumptions!$B:$B, MATCH("Customer Launch R&amp;D — CAGR (taper)", Assumptions!$A:$A, 0)))^N$5))</f>
        <v>0.04</v>
      </c>
      <c r="O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0)))^O$5), MAX(INDEX(Assumptions!$B:$B, MATCH("Customer Launch R&amp;D — end-state % (floor)", Assumptions!$A:$A, 0)), INDEX(Assumptions!$B:$B, MATCH("Customer Launch R&amp;D — start % of external rev", Assumptions!$A:$A, 0))*(1+INDEX(Assumptions!$B:$B, MATCH("Customer Launch R&amp;D — CAGR (taper)", Assumptions!$A:$A, 0)))^O$5))</f>
        <v>0.04</v>
      </c>
      <c r="P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0)))^P$5), MAX(INDEX(Assumptions!$B:$B, MATCH("Customer Launch R&amp;D — end-state % (floor)", Assumptions!$A:$A, 0)), INDEX(Assumptions!$B:$B, MATCH("Customer Launch R&amp;D — start % of external rev", Assumptions!$A:$A, 0))*(1+INDEX(Assumptions!$B:$B, MATCH("Customer Launch R&amp;D — CAGR (taper)", Assumptions!$A:$A, 0)))^P$5))</f>
        <v>0.04</v>
      </c>
      <c r="Q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0)))^Q$5), MAX(INDEX(Assumptions!$B:$B, MATCH("Customer Launch R&amp;D — end-state % (floor)", Assumptions!$A:$A, 0)), INDEX(Assumptions!$B:$B, MATCH("Customer Launch R&amp;D — start % of external rev", Assumptions!$A:$A, 0))*(1+INDEX(Assumptions!$B:$B, MATCH("Customer Launch R&amp;D — CAGR (taper)", Assumptions!$A:$A, 0)))^Q$5))</f>
        <v>0.04</v>
      </c>
      <c r="R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0)))^R$5), MAX(INDEX(Assumptions!$B:$B, MATCH("Customer Launch R&amp;D — end-state % (floor)", Assumptions!$A:$A, 0)), INDEX(Assumptions!$B:$B, MATCH("Customer Launch R&amp;D — start % of external rev", Assumptions!$A:$A, 0))*(1+INDEX(Assumptions!$B:$B, MATCH("Customer Launch R&amp;D — CAGR (taper)", Assumptions!$A:$A, 0)))^R$5))</f>
        <v>0.04</v>
      </c>
      <c r="S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0)))^S$5), MAX(INDEX(Assumptions!$B:$B, MATCH("Customer Launch R&amp;D — end-state % (floor)", Assumptions!$A:$A, 0)), INDEX(Assumptions!$B:$B, MATCH("Customer Launch R&amp;D — start % of external rev", Assumptions!$A:$A, 0))*(1+INDEX(Assumptions!$B:$B, MATCH("Customer Launch R&amp;D — CAGR (taper)", Assumptions!$A:$A, 0)))^S$5))</f>
        <v>0.04</v>
      </c>
      <c r="T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0)))^T$5), MAX(INDEX(Assumptions!$B:$B, MATCH("Customer Launch R&amp;D — end-state % (floor)", Assumptions!$A:$A, 0)), INDEX(Assumptions!$B:$B, MATCH("Customer Launch R&amp;D — start % of external rev", Assumptions!$A:$A, 0))*(1+INDEX(Assumptions!$B:$B, MATCH("Customer Launch R&amp;D — CAGR (taper)", Assumptions!$A:$A, 0)))^T$5))</f>
        <v>0.04</v>
      </c>
      <c r="U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0)))^U$5), MAX(INDEX(Assumptions!$B:$B, MATCH("Customer Launch R&amp;D — end-state % (floor)", Assumptions!$A:$A, 0)), INDEX(Assumptions!$B:$B, MATCH("Customer Launch R&amp;D — start % of external rev", Assumptions!$A:$A, 0))*(1+INDEX(Assumptions!$B:$B, MATCH("Customer Launch R&amp;D — CAGR (taper)", Assumptions!$A:$A, 0)))^U$5))</f>
        <v>0.04</v>
      </c>
      <c r="V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0)))^V$5), MAX(INDEX(Assumptions!$B:$B, MATCH("Customer Launch R&amp;D — end-state % (floor)", Assumptions!$A:$A, 0)), INDEX(Assumptions!$B:$B, MATCH("Customer Launch R&amp;D — start % of external rev", Assumptions!$A:$A, 0))*(1+INDEX(Assumptions!$B:$B, MATCH("Customer Launch R&amp;D — CAGR (taper)", Assumptions!$A:$A, 0)))^V$5))</f>
        <v>0.04</v>
      </c>
      <c r="W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0)))^W$5), MAX(INDEX(Assumptions!$B:$B, MATCH("Customer Launch R&amp;D — end-state % (floor)", Assumptions!$A:$A, 0)), INDEX(Assumptions!$B:$B, MATCH("Customer Launch R&amp;D — start % of external rev", Assumptions!$A:$A, 0))*(1+INDEX(Assumptions!$B:$B, MATCH("Customer Launch R&amp;D — CAGR (taper)", Assumptions!$A:$A, 0)))^W$5))</f>
        <v>0.04</v>
      </c>
      <c r="X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0)))^X$5), MAX(INDEX(Assumptions!$B:$B, MATCH("Customer Launch R&amp;D — end-state % (floor)", Assumptions!$A:$A, 0)), INDEX(Assumptions!$B:$B, MATCH("Customer Launch R&amp;D — start % of external rev", Assumptions!$A:$A, 0))*(1+INDEX(Assumptions!$B:$B, MATCH("Customer Launch R&amp;D — CAGR (taper)", Assumptions!$A:$A, 0)))^X$5))</f>
        <v>0.04</v>
      </c>
      <c r="Y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0)))^Y$5), MAX(INDEX(Assumptions!$B:$B, MATCH("Customer Launch R&amp;D — end-state % (floor)", Assumptions!$A:$A, 0)), INDEX(Assumptions!$B:$B, MATCH("Customer Launch R&amp;D — start % of external rev", Assumptions!$A:$A, 0))*(1+INDEX(Assumptions!$B:$B, MATCH("Customer Launch R&amp;D — CAGR (taper)", Assumptions!$A:$A, 0)))^Y$5))</f>
        <v>0.04</v>
      </c>
      <c r="Z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0)))^Z$5), MAX(INDEX(Assumptions!$B:$B, MATCH("Customer Launch R&amp;D — end-state % (floor)", Assumptions!$A:$A, 0)), INDEX(Assumptions!$B:$B, MATCH("Customer Launch R&amp;D — start % of external rev", Assumptions!$A:$A, 0))*(1+INDEX(Assumptions!$B:$B, MATCH("Customer Launch R&amp;D — CAGR (taper)", Assumptions!$A:$A, 0)))^Z$5))</f>
        <v>0.04</v>
      </c>
      <c r="AA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0)))^AA$5), MAX(INDEX(Assumptions!$B:$B, MATCH("Customer Launch R&amp;D — end-state % (floor)", Assumptions!$A:$A, 0)), INDEX(Assumptions!$B:$B, MATCH("Customer Launch R&amp;D — start % of external rev", Assumptions!$A:$A, 0))*(1+INDEX(Assumptions!$B:$B, MATCH("Customer Launch R&amp;D — CAGR (taper)", Assumptions!$A:$A, 0)))^AA$5))</f>
        <v>0.04</v>
      </c>
      <c r="AB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0)))^AB$5), MAX(INDEX(Assumptions!$B:$B, MATCH("Customer Launch R&amp;D — end-state % (floor)", Assumptions!$A:$A, 0)), INDEX(Assumptions!$B:$B, MATCH("Customer Launch R&amp;D — start % of external rev", Assumptions!$A:$A, 0))*(1+INDEX(Assumptions!$B:$B, MATCH("Customer Launch R&amp;D — CAGR (taper)", Assumptions!$A:$A, 0)))^AB$5))</f>
        <v>0.04</v>
      </c>
      <c r="AC17" s="17">
        <f>IF(INDEX(Assumptions!$B:$B, MATCH("Customer Launch R&amp;D — CAGR (taper)", Assumptions!$A:$A, 0))&gt;=0, MIN(INDEX(Assumptions!$B:$B, MATCH("Customer Launch R&amp;D — end-state % (floor)", Assumptions!$A:$A, 0)), INDEX(Assumptions!$B:$B, MATCH("Customer Launch R&amp;D — start % of external rev", Assumptions!$A:$A, 0))*(1+INDEX(Assumptions!$B:$B, MATCH("Customer Launch R&amp;D — CAGR (taper)", Assumptions!$A:$A, 0)))^AC$5), MAX(INDEX(Assumptions!$B:$B, MATCH("Customer Launch R&amp;D — end-state % (floor)", Assumptions!$A:$A, 0)), INDEX(Assumptions!$B:$B, MATCH("Customer Launch R&amp;D — start % of external rev", Assumptions!$A:$A, 0))*(1+INDEX(Assumptions!$B:$B, MATCH("Customer Launch R&amp;D — CAGR (taper)", Assumptions!$A:$A, 0)))^AC$5))</f>
        <v>0.04</v>
      </c>
    </row>
    <row r="18" spans="1:29" x14ac:dyDescent="0.2">
      <c r="A18" t="s">
        <v>1276</v>
      </c>
      <c r="D18" s="15" cm="1">
        <f t="array" aca="1" ref="D18" ca="1">IFERROR(INDEX('Customer Launch'!$D:$AC, MATCH("Total Revenue ($mm)", 'Customer Launch'!$A:$A, 0), D$5+1) - INDEX('Customer Launch'!$D:$AC, MATCH("Customer Launch internal transfer revenue ($mm)", 'Customer Launch'!$A:$A, 0), D$5+1), INDEX('Customer Launch'!$D:$AC, MATCH("Total Revenue ($mm)", 'Customer Launch'!$A:$A, 0), D$5+1))</f>
        <v>4282.38</v>
      </c>
      <c r="E18" s="15" cm="1">
        <f t="array" aca="1" ref="E18" ca="1">IFERROR(INDEX('Customer Launch'!$D:$AC, MATCH("Total Revenue ($mm)", 'Customer Launch'!$A:$A, 0), E$5+1) - INDEX('Customer Launch'!$D:$AC, MATCH("Customer Launch internal transfer revenue ($mm)", 'Customer Launch'!$A:$A, 0), E$5+1), INDEX('Customer Launch'!$D:$AC, MATCH("Total Revenue ($mm)", 'Customer Launch'!$A:$A, 0), E$5+1))</f>
        <v>4361.6040300000004</v>
      </c>
      <c r="F18" s="15" cm="1">
        <f t="array" aca="1" ref="F18" ca="1">IFERROR(INDEX('Customer Launch'!$D:$AC, MATCH("Total Revenue ($mm)", 'Customer Launch'!$A:$A, 0), F$5+1) - INDEX('Customer Launch'!$D:$AC, MATCH("Customer Launch internal transfer revenue ($mm)", 'Customer Launch'!$A:$A, 0), F$5+1), INDEX('Customer Launch'!$D:$AC, MATCH("Total Revenue ($mm)", 'Customer Launch'!$A:$A, 0), F$5+1))</f>
        <v>4358.210007477629</v>
      </c>
      <c r="G18" s="15" cm="1">
        <f t="array" aca="1" ref="G18" ca="1">IFERROR(INDEX('Customer Launch'!$D:$AC, MATCH("Total Revenue ($mm)", 'Customer Launch'!$A:$A, 0), G$5+1) - INDEX('Customer Launch'!$D:$AC, MATCH("Customer Launch internal transfer revenue ($mm)", 'Customer Launch'!$A:$A, 0), G$5+1), INDEX('Customer Launch'!$D:$AC, MATCH("Total Revenue ($mm)", 'Customer Launch'!$A:$A, 0), G$5+1))</f>
        <v>4338.2492255284515</v>
      </c>
      <c r="H18" s="15" cm="1">
        <f t="array" aca="1" ref="H18" ca="1">IFERROR(INDEX('Customer Launch'!$D:$AC, MATCH("Total Revenue ($mm)", 'Customer Launch'!$A:$A, 0), H$5+1) - INDEX('Customer Launch'!$D:$AC, MATCH("Customer Launch internal transfer revenue ($mm)", 'Customer Launch'!$A:$A, 0), H$5+1), INDEX('Customer Launch'!$D:$AC, MATCH("Total Revenue ($mm)", 'Customer Launch'!$A:$A, 0), H$5+1))</f>
        <v>4288.8933531518524</v>
      </c>
      <c r="I18" s="15" cm="1">
        <f t="array" aca="1" ref="I18" ca="1">IFERROR(INDEX('Customer Launch'!$D:$AC, MATCH("Total Revenue ($mm)", 'Customer Launch'!$A:$A, 0), I$5+1) - INDEX('Customer Launch'!$D:$AC, MATCH("Customer Launch internal transfer revenue ($mm)", 'Customer Launch'!$A:$A, 0), I$5+1), INDEX('Customer Launch'!$D:$AC, MATCH("Total Revenue ($mm)", 'Customer Launch'!$A:$A, 0), I$5+1))</f>
        <v>4122.8072363190076</v>
      </c>
      <c r="J18" s="15" cm="1">
        <f t="array" aca="1" ref="J18" ca="1">IFERROR(INDEX('Customer Launch'!$D:$AC, MATCH("Total Revenue ($mm)", 'Customer Launch'!$A:$A, 0), J$5+1) - INDEX('Customer Launch'!$D:$AC, MATCH("Customer Launch internal transfer revenue ($mm)", 'Customer Launch'!$A:$A, 0), J$5+1), INDEX('Customer Launch'!$D:$AC, MATCH("Total Revenue ($mm)", 'Customer Launch'!$A:$A, 0), J$5+1))</f>
        <v>3983.9973385802405</v>
      </c>
      <c r="K18" s="15" cm="1">
        <f t="array" aca="1" ref="K18" ca="1">IFERROR(INDEX('Customer Launch'!$D:$AC, MATCH("Total Revenue ($mm)", 'Customer Launch'!$A:$A, 0), K$5+1) - INDEX('Customer Launch'!$D:$AC, MATCH("Customer Launch internal transfer revenue ($mm)", 'Customer Launch'!$A:$A, 0), K$5+1), INDEX('Customer Launch'!$D:$AC, MATCH("Total Revenue ($mm)", 'Customer Launch'!$A:$A, 0), K$5+1))</f>
        <v>4030.6499790518137</v>
      </c>
      <c r="L18" s="15" cm="1">
        <f t="array" aca="1" ref="L18" ca="1">IFERROR(INDEX('Customer Launch'!$D:$AC, MATCH("Total Revenue ($mm)", 'Customer Launch'!$A:$A, 0), L$5+1) - INDEX('Customer Launch'!$D:$AC, MATCH("Customer Launch internal transfer revenue ($mm)", 'Customer Launch'!$A:$A, 0), L$5+1), INDEX('Customer Launch'!$D:$AC, MATCH("Total Revenue ($mm)", 'Customer Launch'!$A:$A, 0), L$5+1))</f>
        <v>3052.5817327326345</v>
      </c>
      <c r="M18" s="15" cm="1">
        <f t="array" aca="1" ref="M18" ca="1">IFERROR(INDEX('Customer Launch'!$D:$AC, MATCH("Total Revenue ($mm)", 'Customer Launch'!$A:$A, 0), M$5+1) - INDEX('Customer Launch'!$D:$AC, MATCH("Customer Launch internal transfer revenue ($mm)", 'Customer Launch'!$A:$A, 0), M$5+1), INDEX('Customer Launch'!$D:$AC, MATCH("Total Revenue ($mm)", 'Customer Launch'!$A:$A, 0), M$5+1))</f>
        <v>4040.0105875544295</v>
      </c>
      <c r="N18" s="15" cm="1">
        <f t="array" aca="1" ref="N18" ca="1">IFERROR(INDEX('Customer Launch'!$D:$AC, MATCH("Total Revenue ($mm)", 'Customer Launch'!$A:$A, 0), N$5+1) - INDEX('Customer Launch'!$D:$AC, MATCH("Customer Launch internal transfer revenue ($mm)", 'Customer Launch'!$A:$A, 0), N$5+1), INDEX('Customer Launch'!$D:$AC, MATCH("Total Revenue ($mm)", 'Customer Launch'!$A:$A, 0), N$5+1))</f>
        <v>2630.2850050722991</v>
      </c>
      <c r="O18" s="15" cm="1">
        <f t="array" aca="1" ref="O18" ca="1">IFERROR(INDEX('Customer Launch'!$D:$AC, MATCH("Total Revenue ($mm)", 'Customer Launch'!$A:$A, 0), O$5+1) - INDEX('Customer Launch'!$D:$AC, MATCH("Customer Launch internal transfer revenue ($mm)", 'Customer Launch'!$A:$A, 0), O$5+1), INDEX('Customer Launch'!$D:$AC, MATCH("Total Revenue ($mm)", 'Customer Launch'!$A:$A, 0), O$5+1))</f>
        <v>2196.554507819455</v>
      </c>
      <c r="P18" s="15" cm="1">
        <f t="array" aca="1" ref="P18" ca="1">IFERROR(INDEX('Customer Launch'!$D:$AC, MATCH("Total Revenue ($mm)", 'Customer Launch'!$A:$A, 0), P$5+1) - INDEX('Customer Launch'!$D:$AC, MATCH("Customer Launch internal transfer revenue ($mm)", 'Customer Launch'!$A:$A, 0), P$5+1), INDEX('Customer Launch'!$D:$AC, MATCH("Total Revenue ($mm)", 'Customer Launch'!$A:$A, 0), P$5+1))</f>
        <v>4135.76245955378</v>
      </c>
      <c r="Q18" s="15" cm="1">
        <f t="array" aca="1" ref="Q18" ca="1">IFERROR(INDEX('Customer Launch'!$D:$AC, MATCH("Total Revenue ($mm)", 'Customer Launch'!$A:$A, 0), Q$5+1) - INDEX('Customer Launch'!$D:$AC, MATCH("Customer Launch internal transfer revenue ($mm)", 'Customer Launch'!$A:$A, 0), Q$5+1), INDEX('Customer Launch'!$D:$AC, MATCH("Total Revenue ($mm)", 'Customer Launch'!$A:$A, 0), Q$5+1))</f>
        <v>1922.816593223982</v>
      </c>
      <c r="R18" s="15" cm="1">
        <f t="array" aca="1" ref="R18" ca="1">IFERROR(INDEX('Customer Launch'!$D:$AC, MATCH("Total Revenue ($mm)", 'Customer Launch'!$A:$A, 0), R$5+1) - INDEX('Customer Launch'!$D:$AC, MATCH("Customer Launch internal transfer revenue ($mm)", 'Customer Launch'!$A:$A, 0), R$5+1), INDEX('Customer Launch'!$D:$AC, MATCH("Total Revenue ($mm)", 'Customer Launch'!$A:$A, 0), R$5+1))</f>
        <v>3969.0950824886386</v>
      </c>
      <c r="S18" s="15" cm="1">
        <f t="array" aca="1" ref="S18" ca="1">IFERROR(INDEX('Customer Launch'!$D:$AC, MATCH("Total Revenue ($mm)", 'Customer Launch'!$A:$A, 0), S$5+1) - INDEX('Customer Launch'!$D:$AC, MATCH("Customer Launch internal transfer revenue ($mm)", 'Customer Launch'!$A:$A, 0), S$5+1), INDEX('Customer Launch'!$D:$AC, MATCH("Total Revenue ($mm)", 'Customer Launch'!$A:$A, 0), S$5+1))</f>
        <v>1886.3818767291466</v>
      </c>
      <c r="T18" s="15" cm="1">
        <f t="array" aca="1" ref="T18" ca="1">IFERROR(INDEX('Customer Launch'!$D:$AC, MATCH("Total Revenue ($mm)", 'Customer Launch'!$A:$A, 0), T$5+1) - INDEX('Customer Launch'!$D:$AC, MATCH("Customer Launch internal transfer revenue ($mm)", 'Customer Launch'!$A:$A, 0), T$5+1), INDEX('Customer Launch'!$D:$AC, MATCH("Total Revenue ($mm)", 'Customer Launch'!$A:$A, 0), T$5+1))</f>
        <v>1873.7163503810875</v>
      </c>
      <c r="U18" s="15" cm="1">
        <f t="array" aca="1" ref="U18" ca="1">IFERROR(INDEX('Customer Launch'!$D:$AC, MATCH("Total Revenue ($mm)", 'Customer Launch'!$A:$A, 0), U$5+1) - INDEX('Customer Launch'!$D:$AC, MATCH("Customer Launch internal transfer revenue ($mm)", 'Customer Launch'!$A:$A, 0), U$5+1), INDEX('Customer Launch'!$D:$AC, MATCH("Total Revenue ($mm)", 'Customer Launch'!$A:$A, 0), U$5+1))</f>
        <v>4404.321390765369</v>
      </c>
      <c r="V18" s="15" cm="1">
        <f t="array" aca="1" ref="V18" ca="1">IFERROR(INDEX('Customer Launch'!$D:$AC, MATCH("Total Revenue ($mm)", 'Customer Launch'!$A:$A, 0), V$5+1) - INDEX('Customer Launch'!$D:$AC, MATCH("Customer Launch internal transfer revenue ($mm)", 'Customer Launch'!$A:$A, 0), V$5+1), INDEX('Customer Launch'!$D:$AC, MATCH("Total Revenue ($mm)", 'Customer Launch'!$A:$A, 0), V$5+1))</f>
        <v>1860.4391304726603</v>
      </c>
      <c r="W18" s="15" cm="1">
        <f t="array" aca="1" ref="W18" ca="1">IFERROR(INDEX('Customer Launch'!$D:$AC, MATCH("Total Revenue ($mm)", 'Customer Launch'!$A:$A, 0), W$5+1) - INDEX('Customer Launch'!$D:$AC, MATCH("Customer Launch internal transfer revenue ($mm)", 'Customer Launch'!$A:$A, 0), W$5+1), INDEX('Customer Launch'!$D:$AC, MATCH("Total Revenue ($mm)", 'Customer Launch'!$A:$A, 0), W$5+1))</f>
        <v>3716.4857382509845</v>
      </c>
      <c r="X18" s="15" cm="1">
        <f t="array" aca="1" ref="X18" ca="1">IFERROR(INDEX('Customer Launch'!$D:$AC, MATCH("Total Revenue ($mm)", 'Customer Launch'!$A:$A, 0), X$5+1) - INDEX('Customer Launch'!$D:$AC, MATCH("Customer Launch internal transfer revenue ($mm)", 'Customer Launch'!$A:$A, 0), X$5+1), INDEX('Customer Launch'!$D:$AC, MATCH("Total Revenue ($mm)", 'Customer Launch'!$A:$A, 0), X$5+1))</f>
        <v>3458.9101263609605</v>
      </c>
      <c r="Y18" s="15" cm="1">
        <f t="array" aca="1" ref="Y18" ca="1">IFERROR(INDEX('Customer Launch'!$D:$AC, MATCH("Total Revenue ($mm)", 'Customer Launch'!$A:$A, 0), Y$5+1) - INDEX('Customer Launch'!$D:$AC, MATCH("Customer Launch internal transfer revenue ($mm)", 'Customer Launch'!$A:$A, 0), Y$5+1), INDEX('Customer Launch'!$D:$AC, MATCH("Total Revenue ($mm)", 'Customer Launch'!$A:$A, 0), Y$5+1))</f>
        <v>1850.2910100508213</v>
      </c>
      <c r="Z18" s="15" cm="1">
        <f t="array" aca="1" ref="Z18" ca="1">IFERROR(INDEX('Customer Launch'!$D:$AC, MATCH("Total Revenue ($mm)", 'Customer Launch'!$A:$A, 0), Z$5+1) - INDEX('Customer Launch'!$D:$AC, MATCH("Customer Launch internal transfer revenue ($mm)", 'Customer Launch'!$A:$A, 0), Z$5+1), INDEX('Customer Launch'!$D:$AC, MATCH("Total Revenue ($mm)", 'Customer Launch'!$A:$A, 0), Z$5+1))</f>
        <v>4732.2173351977435</v>
      </c>
      <c r="AA18" s="15" cm="1">
        <f t="array" aca="1" ref="AA18" ca="1">IFERROR(INDEX('Customer Launch'!$D:$AC, MATCH("Total Revenue ($mm)", 'Customer Launch'!$A:$A, 0), AA$5+1) - INDEX('Customer Launch'!$D:$AC, MATCH("Customer Launch internal transfer revenue ($mm)", 'Customer Launch'!$A:$A, 0), AA$5+1), INDEX('Customer Launch'!$D:$AC, MATCH("Total Revenue ($mm)", 'Customer Launch'!$A:$A, 0), AA$5+1))</f>
        <v>1834.9894607650131</v>
      </c>
      <c r="AB18" s="15" cm="1">
        <f t="array" aca="1" ref="AB18" ca="1">IFERROR(INDEX('Customer Launch'!$D:$AC, MATCH("Total Revenue ($mm)", 'Customer Launch'!$A:$A, 0), AB$5+1) - INDEX('Customer Launch'!$D:$AC, MATCH("Customer Launch internal transfer revenue ($mm)", 'Customer Launch'!$A:$A, 0), AB$5+1), INDEX('Customer Launch'!$D:$AC, MATCH("Total Revenue ($mm)", 'Customer Launch'!$A:$A, 0), AB$5+1))</f>
        <v>3087.2372680021163</v>
      </c>
      <c r="AC18" s="15" cm="1">
        <f t="array" aca="1" ref="AC18" ca="1">IFERROR(INDEX('Customer Launch'!$D:$AC, MATCH("Total Revenue ($mm)", 'Customer Launch'!$A:$A, 0), AC$5+1) - INDEX('Customer Launch'!$D:$AC, MATCH("Customer Launch internal transfer revenue ($mm)", 'Customer Launch'!$A:$A, 0), AC$5+1), INDEX('Customer Launch'!$D:$AC, MATCH("Total Revenue ($mm)", 'Customer Launch'!$A:$A, 0), AC$5+1))</f>
        <v>4866.9493009279158</v>
      </c>
    </row>
    <row r="19" spans="1:29" x14ac:dyDescent="0.2">
      <c r="A19" t="s">
        <v>1277</v>
      </c>
      <c r="D19" s="40">
        <f ca="1">D17*D18</f>
        <v>1070.595</v>
      </c>
      <c r="E19" s="40">
        <f t="shared" ref="E19:AC19" ca="1" si="1">E17*E18</f>
        <v>872.32080600000018</v>
      </c>
      <c r="F19" s="40">
        <f t="shared" ca="1" si="1"/>
        <v>697.31360119642079</v>
      </c>
      <c r="G19" s="40">
        <f t="shared" ca="1" si="1"/>
        <v>555.29590086764188</v>
      </c>
      <c r="H19" s="40">
        <f t="shared" ca="1" si="1"/>
        <v>439.18267936274987</v>
      </c>
      <c r="I19" s="40">
        <f t="shared" ca="1" si="1"/>
        <v>337.7403687992533</v>
      </c>
      <c r="J19" s="40">
        <f t="shared" ca="1" si="1"/>
        <v>261.09524958119482</v>
      </c>
      <c r="K19" s="40">
        <f t="shared" ca="1" si="1"/>
        <v>211.32214162171189</v>
      </c>
      <c r="L19" s="40">
        <f t="shared" ca="1" si="1"/>
        <v>128.03455771927432</v>
      </c>
      <c r="M19" s="40">
        <f t="shared" ca="1" si="1"/>
        <v>161.60042350217719</v>
      </c>
      <c r="N19" s="40">
        <f t="shared" ca="1" si="1"/>
        <v>105.21140020289197</v>
      </c>
      <c r="O19" s="40">
        <f t="shared" ca="1" si="1"/>
        <v>87.862180312778207</v>
      </c>
      <c r="P19" s="40">
        <f t="shared" ca="1" si="1"/>
        <v>165.4304983821512</v>
      </c>
      <c r="Q19" s="40">
        <f t="shared" ca="1" si="1"/>
        <v>76.912663728959274</v>
      </c>
      <c r="R19" s="40">
        <f t="shared" ca="1" si="1"/>
        <v>158.76380329954554</v>
      </c>
      <c r="S19" s="40">
        <f t="shared" ca="1" si="1"/>
        <v>75.455275069165864</v>
      </c>
      <c r="T19" s="40">
        <f t="shared" ca="1" si="1"/>
        <v>74.948654015243505</v>
      </c>
      <c r="U19" s="40">
        <f t="shared" ca="1" si="1"/>
        <v>176.17285563061475</v>
      </c>
      <c r="V19" s="40">
        <f t="shared" ca="1" si="1"/>
        <v>74.417565218906418</v>
      </c>
      <c r="W19" s="40">
        <f t="shared" ca="1" si="1"/>
        <v>148.65942953003938</v>
      </c>
      <c r="X19" s="40">
        <f t="shared" ca="1" si="1"/>
        <v>138.35640505443843</v>
      </c>
      <c r="Y19" s="40">
        <f t="shared" ca="1" si="1"/>
        <v>74.011640402032853</v>
      </c>
      <c r="Z19" s="40">
        <f t="shared" ca="1" si="1"/>
        <v>189.28869340790973</v>
      </c>
      <c r="AA19" s="40">
        <f t="shared" ca="1" si="1"/>
        <v>73.399578430600528</v>
      </c>
      <c r="AB19" s="40">
        <f t="shared" ca="1" si="1"/>
        <v>123.48949072008465</v>
      </c>
      <c r="AC19" s="40">
        <f t="shared" ca="1" si="1"/>
        <v>194.67797203711663</v>
      </c>
    </row>
    <row r="23" spans="1:29" x14ac:dyDescent="0.2">
      <c r="A23" t="s">
        <v>1278</v>
      </c>
      <c r="D23" s="17">
        <f>IF(INDEX(Assumptions!$B:$B, MATCH("ODC R&amp;D — CAGR (taper)", Assumptions!$A:$A, 0))&gt;=0, MIN(INDEX(Assumptions!$B:$B, MATCH("ODC R&amp;D — end-state % (floor)", Assumptions!$A:$A, 0)), INDEX(Assumptions!$B:$B, MATCH("ODC R&amp;D — start % of ODC rev", Assumptions!$A:$A, 0))*(1+INDEX(Assumptions!$B:$B, MATCH("ODC R&amp;D — CAGR (taper)", Assumptions!$A:$A, 0)))^D$5), MAX(INDEX(Assumptions!$B:$B, MATCH("ODC R&amp;D — end-state % (floor)", Assumptions!$A:$A, 0)), INDEX(Assumptions!$B:$B, MATCH("ODC R&amp;D — start % of ODC rev", Assumptions!$A:$A, 0))*(1+INDEX(Assumptions!$B:$B, MATCH("ODC R&amp;D — CAGR (taper)", Assumptions!$A:$A, 0)))^D$5))</f>
        <v>0.3</v>
      </c>
      <c r="E23" s="17">
        <f>IF(INDEX(Assumptions!$B:$B, MATCH("ODC R&amp;D — CAGR (taper)", Assumptions!$A:$A, 0))&gt;=0, MIN(INDEX(Assumptions!$B:$B, MATCH("ODC R&amp;D — end-state % (floor)", Assumptions!$A:$A, 0)), INDEX(Assumptions!$B:$B, MATCH("ODC R&amp;D — start % of ODC rev", Assumptions!$A:$A, 0))*(1+INDEX(Assumptions!$B:$B, MATCH("ODC R&amp;D — CAGR (taper)", Assumptions!$A:$A, 0)))^E$5), MAX(INDEX(Assumptions!$B:$B, MATCH("ODC R&amp;D — end-state % (floor)", Assumptions!$A:$A, 0)), INDEX(Assumptions!$B:$B, MATCH("ODC R&amp;D — start % of ODC rev", Assumptions!$A:$A, 0))*(1+INDEX(Assumptions!$B:$B, MATCH("ODC R&amp;D — CAGR (taper)", Assumptions!$A:$A, 0)))^E$5))</f>
        <v>0.255</v>
      </c>
      <c r="F23" s="17">
        <f>IF(INDEX(Assumptions!$B:$B, MATCH("ODC R&amp;D — CAGR (taper)", Assumptions!$A:$A, 0))&gt;=0, MIN(INDEX(Assumptions!$B:$B, MATCH("ODC R&amp;D — end-state % (floor)", Assumptions!$A:$A, 0)), INDEX(Assumptions!$B:$B, MATCH("ODC R&amp;D — start % of ODC rev", Assumptions!$A:$A, 0))*(1+INDEX(Assumptions!$B:$B, MATCH("ODC R&amp;D — CAGR (taper)", Assumptions!$A:$A, 0)))^F$5), MAX(INDEX(Assumptions!$B:$B, MATCH("ODC R&amp;D — end-state % (floor)", Assumptions!$A:$A, 0)), INDEX(Assumptions!$B:$B, MATCH("ODC R&amp;D — start % of ODC rev", Assumptions!$A:$A, 0))*(1+INDEX(Assumptions!$B:$B, MATCH("ODC R&amp;D — CAGR (taper)", Assumptions!$A:$A, 0)))^F$5))</f>
        <v>0.21674999999999997</v>
      </c>
      <c r="G23" s="17">
        <f>IF(INDEX(Assumptions!$B:$B, MATCH("ODC R&amp;D — CAGR (taper)", Assumptions!$A:$A, 0))&gt;=0, MIN(INDEX(Assumptions!$B:$B, MATCH("ODC R&amp;D — end-state % (floor)", Assumptions!$A:$A, 0)), INDEX(Assumptions!$B:$B, MATCH("ODC R&amp;D — start % of ODC rev", Assumptions!$A:$A, 0))*(1+INDEX(Assumptions!$B:$B, MATCH("ODC R&amp;D — CAGR (taper)", Assumptions!$A:$A, 0)))^G$5), MAX(INDEX(Assumptions!$B:$B, MATCH("ODC R&amp;D — end-state % (floor)", Assumptions!$A:$A, 0)), INDEX(Assumptions!$B:$B, MATCH("ODC R&amp;D — start % of ODC rev", Assumptions!$A:$A, 0))*(1+INDEX(Assumptions!$B:$B, MATCH("ODC R&amp;D — CAGR (taper)", Assumptions!$A:$A, 0)))^G$5))</f>
        <v>0.18423749999999997</v>
      </c>
      <c r="H23" s="17">
        <f>IF(INDEX(Assumptions!$B:$B, MATCH("ODC R&amp;D — CAGR (taper)", Assumptions!$A:$A, 0))&gt;=0, MIN(INDEX(Assumptions!$B:$B, MATCH("ODC R&amp;D — end-state % (floor)", Assumptions!$A:$A, 0)), INDEX(Assumptions!$B:$B, MATCH("ODC R&amp;D — start % of ODC rev", Assumptions!$A:$A, 0))*(1+INDEX(Assumptions!$B:$B, MATCH("ODC R&amp;D — CAGR (taper)", Assumptions!$A:$A, 0)))^H$5), MAX(INDEX(Assumptions!$B:$B, MATCH("ODC R&amp;D — end-state % (floor)", Assumptions!$A:$A, 0)), INDEX(Assumptions!$B:$B, MATCH("ODC R&amp;D — start % of ODC rev", Assumptions!$A:$A, 0))*(1+INDEX(Assumptions!$B:$B, MATCH("ODC R&amp;D — CAGR (taper)", Assumptions!$A:$A, 0)))^H$5))</f>
        <v>0.15660187499999997</v>
      </c>
      <c r="I23" s="17">
        <f>IF(INDEX(Assumptions!$B:$B, MATCH("ODC R&amp;D — CAGR (taper)", Assumptions!$A:$A, 0))&gt;=0, MIN(INDEX(Assumptions!$B:$B, MATCH("ODC R&amp;D — end-state % (floor)", Assumptions!$A:$A, 0)), INDEX(Assumptions!$B:$B, MATCH("ODC R&amp;D — start % of ODC rev", Assumptions!$A:$A, 0))*(1+INDEX(Assumptions!$B:$B, MATCH("ODC R&amp;D — CAGR (taper)", Assumptions!$A:$A, 0)))^I$5), MAX(INDEX(Assumptions!$B:$B, MATCH("ODC R&amp;D — end-state % (floor)", Assumptions!$A:$A, 0)), INDEX(Assumptions!$B:$B, MATCH("ODC R&amp;D — start % of ODC rev", Assumptions!$A:$A, 0))*(1+INDEX(Assumptions!$B:$B, MATCH("ODC R&amp;D — CAGR (taper)", Assumptions!$A:$A, 0)))^I$5))</f>
        <v>0.13311159374999995</v>
      </c>
      <c r="J23" s="17">
        <f>IF(INDEX(Assumptions!$B:$B, MATCH("ODC R&amp;D — CAGR (taper)", Assumptions!$A:$A, 0))&gt;=0, MIN(INDEX(Assumptions!$B:$B, MATCH("ODC R&amp;D — end-state % (floor)", Assumptions!$A:$A, 0)), INDEX(Assumptions!$B:$B, MATCH("ODC R&amp;D — start % of ODC rev", Assumptions!$A:$A, 0))*(1+INDEX(Assumptions!$B:$B, MATCH("ODC R&amp;D — CAGR (taper)", Assumptions!$A:$A, 0)))^J$5), MAX(INDEX(Assumptions!$B:$B, MATCH("ODC R&amp;D — end-state % (floor)", Assumptions!$A:$A, 0)), INDEX(Assumptions!$B:$B, MATCH("ODC R&amp;D — start % of ODC rev", Assumptions!$A:$A, 0))*(1+INDEX(Assumptions!$B:$B, MATCH("ODC R&amp;D — CAGR (taper)", Assumptions!$A:$A, 0)))^J$5))</f>
        <v>0.11314485468749996</v>
      </c>
      <c r="K23" s="17">
        <f>IF(INDEX(Assumptions!$B:$B, MATCH("ODC R&amp;D — CAGR (taper)", Assumptions!$A:$A, 0))&gt;=0, MIN(INDEX(Assumptions!$B:$B, MATCH("ODC R&amp;D — end-state % (floor)", Assumptions!$A:$A, 0)), INDEX(Assumptions!$B:$B, MATCH("ODC R&amp;D — start % of ODC rev", Assumptions!$A:$A, 0))*(1+INDEX(Assumptions!$B:$B, MATCH("ODC R&amp;D — CAGR (taper)", Assumptions!$A:$A, 0)))^K$5), MAX(INDEX(Assumptions!$B:$B, MATCH("ODC R&amp;D — end-state % (floor)", Assumptions!$A:$A, 0)), INDEX(Assumptions!$B:$B, MATCH("ODC R&amp;D — start % of ODC rev", Assumptions!$A:$A, 0))*(1+INDEX(Assumptions!$B:$B, MATCH("ODC R&amp;D — CAGR (taper)", Assumptions!$A:$A, 0)))^K$5))</f>
        <v>9.6173126484374954E-2</v>
      </c>
      <c r="L23" s="17">
        <f>IF(INDEX(Assumptions!$B:$B, MATCH("ODC R&amp;D — CAGR (taper)", Assumptions!$A:$A, 0))&gt;=0, MIN(INDEX(Assumptions!$B:$B, MATCH("ODC R&amp;D — end-state % (floor)", Assumptions!$A:$A, 0)), INDEX(Assumptions!$B:$B, MATCH("ODC R&amp;D — start % of ODC rev", Assumptions!$A:$A, 0))*(1+INDEX(Assumptions!$B:$B, MATCH("ODC R&amp;D — CAGR (taper)", Assumptions!$A:$A, 0)))^L$5), MAX(INDEX(Assumptions!$B:$B, MATCH("ODC R&amp;D — end-state % (floor)", Assumptions!$A:$A, 0)), INDEX(Assumptions!$B:$B, MATCH("ODC R&amp;D — start % of ODC rev", Assumptions!$A:$A, 0))*(1+INDEX(Assumptions!$B:$B, MATCH("ODC R&amp;D — CAGR (taper)", Assumptions!$A:$A, 0)))^L$5))</f>
        <v>8.1747157511718724E-2</v>
      </c>
      <c r="M23" s="17">
        <f>IF(INDEX(Assumptions!$B:$B, MATCH("ODC R&amp;D — CAGR (taper)", Assumptions!$A:$A, 0))&gt;=0, MIN(INDEX(Assumptions!$B:$B, MATCH("ODC R&amp;D — end-state % (floor)", Assumptions!$A:$A, 0)), INDEX(Assumptions!$B:$B, MATCH("ODC R&amp;D — start % of ODC rev", Assumptions!$A:$A, 0))*(1+INDEX(Assumptions!$B:$B, MATCH("ODC R&amp;D — CAGR (taper)", Assumptions!$A:$A, 0)))^M$5), MAX(INDEX(Assumptions!$B:$B, MATCH("ODC R&amp;D — end-state % (floor)", Assumptions!$A:$A, 0)), INDEX(Assumptions!$B:$B, MATCH("ODC R&amp;D — start % of ODC rev", Assumptions!$A:$A, 0))*(1+INDEX(Assumptions!$B:$B, MATCH("ODC R&amp;D — CAGR (taper)", Assumptions!$A:$A, 0)))^M$5))</f>
        <v>0.08</v>
      </c>
      <c r="N23" s="17">
        <f>IF(INDEX(Assumptions!$B:$B, MATCH("ODC R&amp;D — CAGR (taper)", Assumptions!$A:$A, 0))&gt;=0, MIN(INDEX(Assumptions!$B:$B, MATCH("ODC R&amp;D — end-state % (floor)", Assumptions!$A:$A, 0)), INDEX(Assumptions!$B:$B, MATCH("ODC R&amp;D — start % of ODC rev", Assumptions!$A:$A, 0))*(1+INDEX(Assumptions!$B:$B, MATCH("ODC R&amp;D — CAGR (taper)", Assumptions!$A:$A, 0)))^N$5), MAX(INDEX(Assumptions!$B:$B, MATCH("ODC R&amp;D — end-state % (floor)", Assumptions!$A:$A, 0)), INDEX(Assumptions!$B:$B, MATCH("ODC R&amp;D — start % of ODC rev", Assumptions!$A:$A, 0))*(1+INDEX(Assumptions!$B:$B, MATCH("ODC R&amp;D — CAGR (taper)", Assumptions!$A:$A, 0)))^N$5))</f>
        <v>0.08</v>
      </c>
      <c r="O23" s="17">
        <f>IF(INDEX(Assumptions!$B:$B, MATCH("ODC R&amp;D — CAGR (taper)", Assumptions!$A:$A, 0))&gt;=0, MIN(INDEX(Assumptions!$B:$B, MATCH("ODC R&amp;D — end-state % (floor)", Assumptions!$A:$A, 0)), INDEX(Assumptions!$B:$B, MATCH("ODC R&amp;D — start % of ODC rev", Assumptions!$A:$A, 0))*(1+INDEX(Assumptions!$B:$B, MATCH("ODC R&amp;D — CAGR (taper)", Assumptions!$A:$A, 0)))^O$5), MAX(INDEX(Assumptions!$B:$B, MATCH("ODC R&amp;D — end-state % (floor)", Assumptions!$A:$A, 0)), INDEX(Assumptions!$B:$B, MATCH("ODC R&amp;D — start % of ODC rev", Assumptions!$A:$A, 0))*(1+INDEX(Assumptions!$B:$B, MATCH("ODC R&amp;D — CAGR (taper)", Assumptions!$A:$A, 0)))^O$5))</f>
        <v>0.08</v>
      </c>
      <c r="P23" s="17">
        <f>IF(INDEX(Assumptions!$B:$B, MATCH("ODC R&amp;D — CAGR (taper)", Assumptions!$A:$A, 0))&gt;=0, MIN(INDEX(Assumptions!$B:$B, MATCH("ODC R&amp;D — end-state % (floor)", Assumptions!$A:$A, 0)), INDEX(Assumptions!$B:$B, MATCH("ODC R&amp;D — start % of ODC rev", Assumptions!$A:$A, 0))*(1+INDEX(Assumptions!$B:$B, MATCH("ODC R&amp;D — CAGR (taper)", Assumptions!$A:$A, 0)))^P$5), MAX(INDEX(Assumptions!$B:$B, MATCH("ODC R&amp;D — end-state % (floor)", Assumptions!$A:$A, 0)), INDEX(Assumptions!$B:$B, MATCH("ODC R&amp;D — start % of ODC rev", Assumptions!$A:$A, 0))*(1+INDEX(Assumptions!$B:$B, MATCH("ODC R&amp;D — CAGR (taper)", Assumptions!$A:$A, 0)))^P$5))</f>
        <v>0.08</v>
      </c>
      <c r="Q23" s="17">
        <f>IF(INDEX(Assumptions!$B:$B, MATCH("ODC R&amp;D — CAGR (taper)", Assumptions!$A:$A, 0))&gt;=0, MIN(INDEX(Assumptions!$B:$B, MATCH("ODC R&amp;D — end-state % (floor)", Assumptions!$A:$A, 0)), INDEX(Assumptions!$B:$B, MATCH("ODC R&amp;D — start % of ODC rev", Assumptions!$A:$A, 0))*(1+INDEX(Assumptions!$B:$B, MATCH("ODC R&amp;D — CAGR (taper)", Assumptions!$A:$A, 0)))^Q$5), MAX(INDEX(Assumptions!$B:$B, MATCH("ODC R&amp;D — end-state % (floor)", Assumptions!$A:$A, 0)), INDEX(Assumptions!$B:$B, MATCH("ODC R&amp;D — start % of ODC rev", Assumptions!$A:$A, 0))*(1+INDEX(Assumptions!$B:$B, MATCH("ODC R&amp;D — CAGR (taper)", Assumptions!$A:$A, 0)))^Q$5))</f>
        <v>0.08</v>
      </c>
      <c r="R23" s="17">
        <f>IF(INDEX(Assumptions!$B:$B, MATCH("ODC R&amp;D — CAGR (taper)", Assumptions!$A:$A, 0))&gt;=0, MIN(INDEX(Assumptions!$B:$B, MATCH("ODC R&amp;D — end-state % (floor)", Assumptions!$A:$A, 0)), INDEX(Assumptions!$B:$B, MATCH("ODC R&amp;D — start % of ODC rev", Assumptions!$A:$A, 0))*(1+INDEX(Assumptions!$B:$B, MATCH("ODC R&amp;D — CAGR (taper)", Assumptions!$A:$A, 0)))^R$5), MAX(INDEX(Assumptions!$B:$B, MATCH("ODC R&amp;D — end-state % (floor)", Assumptions!$A:$A, 0)), INDEX(Assumptions!$B:$B, MATCH("ODC R&amp;D — start % of ODC rev", Assumptions!$A:$A, 0))*(1+INDEX(Assumptions!$B:$B, MATCH("ODC R&amp;D — CAGR (taper)", Assumptions!$A:$A, 0)))^R$5))</f>
        <v>0.08</v>
      </c>
      <c r="S23" s="17">
        <f>IF(INDEX(Assumptions!$B:$B, MATCH("ODC R&amp;D — CAGR (taper)", Assumptions!$A:$A, 0))&gt;=0, MIN(INDEX(Assumptions!$B:$B, MATCH("ODC R&amp;D — end-state % (floor)", Assumptions!$A:$A, 0)), INDEX(Assumptions!$B:$B, MATCH("ODC R&amp;D — start % of ODC rev", Assumptions!$A:$A, 0))*(1+INDEX(Assumptions!$B:$B, MATCH("ODC R&amp;D — CAGR (taper)", Assumptions!$A:$A, 0)))^S$5), MAX(INDEX(Assumptions!$B:$B, MATCH("ODC R&amp;D — end-state % (floor)", Assumptions!$A:$A, 0)), INDEX(Assumptions!$B:$B, MATCH("ODC R&amp;D — start % of ODC rev", Assumptions!$A:$A, 0))*(1+INDEX(Assumptions!$B:$B, MATCH("ODC R&amp;D — CAGR (taper)", Assumptions!$A:$A, 0)))^S$5))</f>
        <v>0.08</v>
      </c>
      <c r="T23" s="17">
        <f>IF(INDEX(Assumptions!$B:$B, MATCH("ODC R&amp;D — CAGR (taper)", Assumptions!$A:$A, 0))&gt;=0, MIN(INDEX(Assumptions!$B:$B, MATCH("ODC R&amp;D — end-state % (floor)", Assumptions!$A:$A, 0)), INDEX(Assumptions!$B:$B, MATCH("ODC R&amp;D — start % of ODC rev", Assumptions!$A:$A, 0))*(1+INDEX(Assumptions!$B:$B, MATCH("ODC R&amp;D — CAGR (taper)", Assumptions!$A:$A, 0)))^T$5), MAX(INDEX(Assumptions!$B:$B, MATCH("ODC R&amp;D — end-state % (floor)", Assumptions!$A:$A, 0)), INDEX(Assumptions!$B:$B, MATCH("ODC R&amp;D — start % of ODC rev", Assumptions!$A:$A, 0))*(1+INDEX(Assumptions!$B:$B, MATCH("ODC R&amp;D — CAGR (taper)", Assumptions!$A:$A, 0)))^T$5))</f>
        <v>0.08</v>
      </c>
      <c r="U23" s="17">
        <f>IF(INDEX(Assumptions!$B:$B, MATCH("ODC R&amp;D — CAGR (taper)", Assumptions!$A:$A, 0))&gt;=0, MIN(INDEX(Assumptions!$B:$B, MATCH("ODC R&amp;D — end-state % (floor)", Assumptions!$A:$A, 0)), INDEX(Assumptions!$B:$B, MATCH("ODC R&amp;D — start % of ODC rev", Assumptions!$A:$A, 0))*(1+INDEX(Assumptions!$B:$B, MATCH("ODC R&amp;D — CAGR (taper)", Assumptions!$A:$A, 0)))^U$5), MAX(INDEX(Assumptions!$B:$B, MATCH("ODC R&amp;D — end-state % (floor)", Assumptions!$A:$A, 0)), INDEX(Assumptions!$B:$B, MATCH("ODC R&amp;D — start % of ODC rev", Assumptions!$A:$A, 0))*(1+INDEX(Assumptions!$B:$B, MATCH("ODC R&amp;D — CAGR (taper)", Assumptions!$A:$A, 0)))^U$5))</f>
        <v>0.08</v>
      </c>
      <c r="V23" s="17">
        <f>IF(INDEX(Assumptions!$B:$B, MATCH("ODC R&amp;D — CAGR (taper)", Assumptions!$A:$A, 0))&gt;=0, MIN(INDEX(Assumptions!$B:$B, MATCH("ODC R&amp;D — end-state % (floor)", Assumptions!$A:$A, 0)), INDEX(Assumptions!$B:$B, MATCH("ODC R&amp;D — start % of ODC rev", Assumptions!$A:$A, 0))*(1+INDEX(Assumptions!$B:$B, MATCH("ODC R&amp;D — CAGR (taper)", Assumptions!$A:$A, 0)))^V$5), MAX(INDEX(Assumptions!$B:$B, MATCH("ODC R&amp;D — end-state % (floor)", Assumptions!$A:$A, 0)), INDEX(Assumptions!$B:$B, MATCH("ODC R&amp;D — start % of ODC rev", Assumptions!$A:$A, 0))*(1+INDEX(Assumptions!$B:$B, MATCH("ODC R&amp;D — CAGR (taper)", Assumptions!$A:$A, 0)))^V$5))</f>
        <v>0.08</v>
      </c>
      <c r="W23" s="17">
        <f>IF(INDEX(Assumptions!$B:$B, MATCH("ODC R&amp;D — CAGR (taper)", Assumptions!$A:$A, 0))&gt;=0, MIN(INDEX(Assumptions!$B:$B, MATCH("ODC R&amp;D — end-state % (floor)", Assumptions!$A:$A, 0)), INDEX(Assumptions!$B:$B, MATCH("ODC R&amp;D — start % of ODC rev", Assumptions!$A:$A, 0))*(1+INDEX(Assumptions!$B:$B, MATCH("ODC R&amp;D — CAGR (taper)", Assumptions!$A:$A, 0)))^W$5), MAX(INDEX(Assumptions!$B:$B, MATCH("ODC R&amp;D — end-state % (floor)", Assumptions!$A:$A, 0)), INDEX(Assumptions!$B:$B, MATCH("ODC R&amp;D — start % of ODC rev", Assumptions!$A:$A, 0))*(1+INDEX(Assumptions!$B:$B, MATCH("ODC R&amp;D — CAGR (taper)", Assumptions!$A:$A, 0)))^W$5))</f>
        <v>0.08</v>
      </c>
      <c r="X23" s="17">
        <f>IF(INDEX(Assumptions!$B:$B, MATCH("ODC R&amp;D — CAGR (taper)", Assumptions!$A:$A, 0))&gt;=0, MIN(INDEX(Assumptions!$B:$B, MATCH("ODC R&amp;D — end-state % (floor)", Assumptions!$A:$A, 0)), INDEX(Assumptions!$B:$B, MATCH("ODC R&amp;D — start % of ODC rev", Assumptions!$A:$A, 0))*(1+INDEX(Assumptions!$B:$B, MATCH("ODC R&amp;D — CAGR (taper)", Assumptions!$A:$A, 0)))^X$5), MAX(INDEX(Assumptions!$B:$B, MATCH("ODC R&amp;D — end-state % (floor)", Assumptions!$A:$A, 0)), INDEX(Assumptions!$B:$B, MATCH("ODC R&amp;D — start % of ODC rev", Assumptions!$A:$A, 0))*(1+INDEX(Assumptions!$B:$B, MATCH("ODC R&amp;D — CAGR (taper)", Assumptions!$A:$A, 0)))^X$5))</f>
        <v>0.08</v>
      </c>
      <c r="Y23" s="17">
        <f>IF(INDEX(Assumptions!$B:$B, MATCH("ODC R&amp;D — CAGR (taper)", Assumptions!$A:$A, 0))&gt;=0, MIN(INDEX(Assumptions!$B:$B, MATCH("ODC R&amp;D — end-state % (floor)", Assumptions!$A:$A, 0)), INDEX(Assumptions!$B:$B, MATCH("ODC R&amp;D — start % of ODC rev", Assumptions!$A:$A, 0))*(1+INDEX(Assumptions!$B:$B, MATCH("ODC R&amp;D — CAGR (taper)", Assumptions!$A:$A, 0)))^Y$5), MAX(INDEX(Assumptions!$B:$B, MATCH("ODC R&amp;D — end-state % (floor)", Assumptions!$A:$A, 0)), INDEX(Assumptions!$B:$B, MATCH("ODC R&amp;D — start % of ODC rev", Assumptions!$A:$A, 0))*(1+INDEX(Assumptions!$B:$B, MATCH("ODC R&amp;D — CAGR (taper)", Assumptions!$A:$A, 0)))^Y$5))</f>
        <v>0.08</v>
      </c>
      <c r="Z23" s="17">
        <f>IF(INDEX(Assumptions!$B:$B, MATCH("ODC R&amp;D — CAGR (taper)", Assumptions!$A:$A, 0))&gt;=0, MIN(INDEX(Assumptions!$B:$B, MATCH("ODC R&amp;D — end-state % (floor)", Assumptions!$A:$A, 0)), INDEX(Assumptions!$B:$B, MATCH("ODC R&amp;D — start % of ODC rev", Assumptions!$A:$A, 0))*(1+INDEX(Assumptions!$B:$B, MATCH("ODC R&amp;D — CAGR (taper)", Assumptions!$A:$A, 0)))^Z$5), MAX(INDEX(Assumptions!$B:$B, MATCH("ODC R&amp;D — end-state % (floor)", Assumptions!$A:$A, 0)), INDEX(Assumptions!$B:$B, MATCH("ODC R&amp;D — start % of ODC rev", Assumptions!$A:$A, 0))*(1+INDEX(Assumptions!$B:$B, MATCH("ODC R&amp;D — CAGR (taper)", Assumptions!$A:$A, 0)))^Z$5))</f>
        <v>0.08</v>
      </c>
      <c r="AA23" s="17">
        <f>IF(INDEX(Assumptions!$B:$B, MATCH("ODC R&amp;D — CAGR (taper)", Assumptions!$A:$A, 0))&gt;=0, MIN(INDEX(Assumptions!$B:$B, MATCH("ODC R&amp;D — end-state % (floor)", Assumptions!$A:$A, 0)), INDEX(Assumptions!$B:$B, MATCH("ODC R&amp;D — start % of ODC rev", Assumptions!$A:$A, 0))*(1+INDEX(Assumptions!$B:$B, MATCH("ODC R&amp;D — CAGR (taper)", Assumptions!$A:$A, 0)))^AA$5), MAX(INDEX(Assumptions!$B:$B, MATCH("ODC R&amp;D — end-state % (floor)", Assumptions!$A:$A, 0)), INDEX(Assumptions!$B:$B, MATCH("ODC R&amp;D — start % of ODC rev", Assumptions!$A:$A, 0))*(1+INDEX(Assumptions!$B:$B, MATCH("ODC R&amp;D — CAGR (taper)", Assumptions!$A:$A, 0)))^AA$5))</f>
        <v>0.08</v>
      </c>
      <c r="AB23" s="17">
        <f>IF(INDEX(Assumptions!$B:$B, MATCH("ODC R&amp;D — CAGR (taper)", Assumptions!$A:$A, 0))&gt;=0, MIN(INDEX(Assumptions!$B:$B, MATCH("ODC R&amp;D — end-state % (floor)", Assumptions!$A:$A, 0)), INDEX(Assumptions!$B:$B, MATCH("ODC R&amp;D — start % of ODC rev", Assumptions!$A:$A, 0))*(1+INDEX(Assumptions!$B:$B, MATCH("ODC R&amp;D — CAGR (taper)", Assumptions!$A:$A, 0)))^AB$5), MAX(INDEX(Assumptions!$B:$B, MATCH("ODC R&amp;D — end-state % (floor)", Assumptions!$A:$A, 0)), INDEX(Assumptions!$B:$B, MATCH("ODC R&amp;D — start % of ODC rev", Assumptions!$A:$A, 0))*(1+INDEX(Assumptions!$B:$B, MATCH("ODC R&amp;D — CAGR (taper)", Assumptions!$A:$A, 0)))^AB$5))</f>
        <v>0.08</v>
      </c>
      <c r="AC23" s="17">
        <f>IF(INDEX(Assumptions!$B:$B, MATCH("ODC R&amp;D — CAGR (taper)", Assumptions!$A:$A, 0))&gt;=0, MIN(INDEX(Assumptions!$B:$B, MATCH("ODC R&amp;D — end-state % (floor)", Assumptions!$A:$A, 0)), INDEX(Assumptions!$B:$B, MATCH("ODC R&amp;D — start % of ODC rev", Assumptions!$A:$A, 0))*(1+INDEX(Assumptions!$B:$B, MATCH("ODC R&amp;D — CAGR (taper)", Assumptions!$A:$A, 0)))^AC$5), MAX(INDEX(Assumptions!$B:$B, MATCH("ODC R&amp;D — end-state % (floor)", Assumptions!$A:$A, 0)), INDEX(Assumptions!$B:$B, MATCH("ODC R&amp;D — start % of ODC rev", Assumptions!$A:$A, 0))*(1+INDEX(Assumptions!$B:$B, MATCH("ODC R&amp;D — CAGR (taper)", Assumptions!$A:$A, 0)))^AC$5))</f>
        <v>0.08</v>
      </c>
    </row>
    <row r="24" spans="1:29" x14ac:dyDescent="0.2">
      <c r="A24" t="s">
        <v>1279</v>
      </c>
      <c r="D24" s="15" cm="1">
        <f t="array" aca="1" ref="D24" ca="1">INDEX(ODC!$D:$AC, MATCH("Total Revenue ($mm)", ODC!$A:$A, 0), D$5+1)</f>
        <v>0</v>
      </c>
      <c r="E24" s="15" cm="1">
        <f t="array" aca="1" ref="E24" ca="1">INDEX(ODC!$D:$AC, MATCH("Total Revenue ($mm)", ODC!$A:$A, 0), E$5+1)</f>
        <v>0</v>
      </c>
      <c r="F24" s="15" cm="1">
        <f t="array" aca="1" ref="F24" ca="1">INDEX(ODC!$D:$AC, MATCH("Total Revenue ($mm)", ODC!$A:$A, 0), F$5+1)</f>
        <v>0</v>
      </c>
      <c r="G24" s="15" cm="1">
        <f t="array" aca="1" ref="G24" ca="1">INDEX(ODC!$D:$AC, MATCH("Total Revenue ($mm)", ODC!$A:$A, 0), G$5+1)</f>
        <v>0</v>
      </c>
      <c r="H24" s="15" cm="1">
        <f t="array" aca="1" ref="H24" ca="1">INDEX(ODC!$D:$AC, MATCH("Total Revenue ($mm)", ODC!$A:$A, 0), H$5+1)</f>
        <v>0</v>
      </c>
      <c r="I24" s="15" cm="1">
        <f t="array" aca="1" ref="I24" ca="1">INDEX(ODC!$D:$AC, MATCH("Total Revenue ($mm)", ODC!$A:$A, 0), I$5+1)</f>
        <v>0</v>
      </c>
      <c r="J24" s="15" cm="1">
        <f t="array" aca="1" ref="J24" ca="1">INDEX(ODC!$D:$AC, MATCH("Total Revenue ($mm)", ODC!$A:$A, 0), J$5+1)</f>
        <v>0</v>
      </c>
      <c r="K24" s="15" cm="1">
        <f t="array" aca="1" ref="K24" ca="1">INDEX(ODC!$D:$AC, MATCH("Total Revenue ($mm)", ODC!$A:$A, 0), K$5+1)</f>
        <v>0</v>
      </c>
      <c r="L24" s="15" cm="1">
        <f t="array" aca="1" ref="L24" ca="1">INDEX(ODC!$D:$AC, MATCH("Total Revenue ($mm)", ODC!$A:$A, 0), L$5+1)</f>
        <v>0</v>
      </c>
      <c r="M24" s="15" cm="1">
        <f t="array" aca="1" ref="M24" ca="1">INDEX(ODC!$D:$AC, MATCH("Total Revenue ($mm)", ODC!$A:$A, 0), M$5+1)</f>
        <v>0</v>
      </c>
      <c r="N24" s="15" cm="1">
        <f t="array" aca="1" ref="N24" ca="1">INDEX(ODC!$D:$AC, MATCH("Total Revenue ($mm)", ODC!$A:$A, 0), N$5+1)</f>
        <v>0</v>
      </c>
      <c r="O24" s="15" cm="1">
        <f t="array" aca="1" ref="O24" ca="1">INDEX(ODC!$D:$AC, MATCH("Total Revenue ($mm)", ODC!$A:$A, 0), O$5+1)</f>
        <v>0</v>
      </c>
      <c r="P24" s="15" cm="1">
        <f t="array" aca="1" ref="P24" ca="1">INDEX(ODC!$D:$AC, MATCH("Total Revenue ($mm)", ODC!$A:$A, 0), P$5+1)</f>
        <v>0</v>
      </c>
      <c r="Q24" s="15" cm="1">
        <f t="array" aca="1" ref="Q24" ca="1">INDEX(ODC!$D:$AC, MATCH("Total Revenue ($mm)", ODC!$A:$A, 0), Q$5+1)</f>
        <v>0</v>
      </c>
      <c r="R24" s="15" cm="1">
        <f t="array" aca="1" ref="R24" ca="1">INDEX(ODC!$D:$AC, MATCH("Total Revenue ($mm)", ODC!$A:$A, 0), R$5+1)</f>
        <v>0</v>
      </c>
      <c r="S24" s="15" cm="1">
        <f t="array" aca="1" ref="S24" ca="1">INDEX(ODC!$D:$AC, MATCH("Total Revenue ($mm)", ODC!$A:$A, 0), S$5+1)</f>
        <v>0</v>
      </c>
      <c r="T24" s="15" cm="1">
        <f t="array" aca="1" ref="T24" ca="1">INDEX(ODC!$D:$AC, MATCH("Total Revenue ($mm)", ODC!$A:$A, 0), T$5+1)</f>
        <v>0</v>
      </c>
      <c r="U24" s="15" cm="1">
        <f t="array" aca="1" ref="U24" ca="1">INDEX(ODC!$D:$AC, MATCH("Total Revenue ($mm)", ODC!$A:$A, 0), U$5+1)</f>
        <v>0</v>
      </c>
      <c r="V24" s="15" cm="1">
        <f t="array" aca="1" ref="V24" ca="1">INDEX(ODC!$D:$AC, MATCH("Total Revenue ($mm)", ODC!$A:$A, 0), V$5+1)</f>
        <v>0</v>
      </c>
      <c r="W24" s="15" cm="1">
        <f t="array" aca="1" ref="W24" ca="1">INDEX(ODC!$D:$AC, MATCH("Total Revenue ($mm)", ODC!$A:$A, 0), W$5+1)</f>
        <v>0</v>
      </c>
      <c r="X24" s="15" cm="1">
        <f t="array" aca="1" ref="X24" ca="1">INDEX(ODC!$D:$AC, MATCH("Total Revenue ($mm)", ODC!$A:$A, 0), X$5+1)</f>
        <v>0</v>
      </c>
      <c r="Y24" s="15" cm="1">
        <f t="array" aca="1" ref="Y24" ca="1">INDEX(ODC!$D:$AC, MATCH("Total Revenue ($mm)", ODC!$A:$A, 0), Y$5+1)</f>
        <v>0</v>
      </c>
      <c r="Z24" s="15" cm="1">
        <f t="array" aca="1" ref="Z24" ca="1">INDEX(ODC!$D:$AC, MATCH("Total Revenue ($mm)", ODC!$A:$A, 0), Z$5+1)</f>
        <v>0</v>
      </c>
      <c r="AA24" s="15" cm="1">
        <f t="array" aca="1" ref="AA24" ca="1">INDEX(ODC!$D:$AC, MATCH("Total Revenue ($mm)", ODC!$A:$A, 0), AA$5+1)</f>
        <v>0</v>
      </c>
      <c r="AB24" s="15" cm="1">
        <f t="array" aca="1" ref="AB24" ca="1">INDEX(ODC!$D:$AC, MATCH("Total Revenue ($mm)", ODC!$A:$A, 0), AB$5+1)</f>
        <v>0</v>
      </c>
      <c r="AC24" s="15" cm="1">
        <f t="array" aca="1" ref="AC24" ca="1">INDEX(ODC!$D:$AC, MATCH("Total Revenue ($mm)", ODC!$A:$A, 0), AC$5+1)</f>
        <v>0</v>
      </c>
    </row>
    <row r="25" spans="1:29" x14ac:dyDescent="0.2">
      <c r="A25" t="s">
        <v>1280</v>
      </c>
      <c r="D25" s="15" cm="1">
        <f t="array" ref="D25">INDEX(Assumptions!$D:$AC, MATCH("ODC R&amp;D $-profile ($mm/yr) — year-row", Assumptions!$A:$A, 0), D$5+1)</f>
        <v>200</v>
      </c>
      <c r="E25" s="15" cm="1">
        <f t="array" ref="E25">INDEX(Assumptions!$D:$AC, MATCH("ODC R&amp;D $-profile ($mm/yr) — year-row", Assumptions!$A:$A, 0), E$5+1)</f>
        <v>300</v>
      </c>
      <c r="F25" s="15" cm="1">
        <f t="array" ref="F25">INDEX(Assumptions!$D:$AC, MATCH("ODC R&amp;D $-profile ($mm/yr) — year-row", Assumptions!$A:$A, 0), F$5+1)</f>
        <v>500</v>
      </c>
      <c r="G25" s="15" cm="1">
        <f t="array" ref="G25">INDEX(Assumptions!$D:$AC, MATCH("ODC R&amp;D $-profile ($mm/yr) — year-row", Assumptions!$A:$A, 0), G$5+1)</f>
        <v>450</v>
      </c>
      <c r="H25" s="15" cm="1">
        <f t="array" ref="H25">INDEX(Assumptions!$D:$AC, MATCH("ODC R&amp;D $-profile ($mm/yr) — year-row", Assumptions!$A:$A, 0), H$5+1)</f>
        <v>400</v>
      </c>
      <c r="I25" s="15" cm="1">
        <f t="array" ref="I25">INDEX(Assumptions!$D:$AC, MATCH("ODC R&amp;D $-profile ($mm/yr) — year-row", Assumptions!$A:$A, 0), I$5+1)</f>
        <v>350</v>
      </c>
      <c r="J25" s="15" cm="1">
        <f t="array" ref="J25">INDEX(Assumptions!$D:$AC, MATCH("ODC R&amp;D $-profile ($mm/yr) — year-row", Assumptions!$A:$A, 0), J$5+1)</f>
        <v>300</v>
      </c>
      <c r="K25" s="15" cm="1">
        <f t="array" ref="K25">INDEX(Assumptions!$D:$AC, MATCH("ODC R&amp;D $-profile ($mm/yr) — year-row", Assumptions!$A:$A, 0), K$5+1)</f>
        <v>250</v>
      </c>
      <c r="L25" s="15" cm="1">
        <f t="array" ref="L25">INDEX(Assumptions!$D:$AC, MATCH("ODC R&amp;D $-profile ($mm/yr) — year-row", Assumptions!$A:$A, 0), L$5+1)</f>
        <v>200</v>
      </c>
      <c r="M25" s="15" cm="1">
        <f t="array" ref="M25">INDEX(Assumptions!$D:$AC, MATCH("ODC R&amp;D $-profile ($mm/yr) — year-row", Assumptions!$A:$A, 0), M$5+1)</f>
        <v>150</v>
      </c>
      <c r="N25" s="15" cm="1">
        <f t="array" ref="N25">INDEX(Assumptions!$D:$AC, MATCH("ODC R&amp;D $-profile ($mm/yr) — year-row", Assumptions!$A:$A, 0), N$5+1)</f>
        <v>100</v>
      </c>
      <c r="O25" s="15" cm="1">
        <f t="array" ref="O25">INDEX(Assumptions!$D:$AC, MATCH("ODC R&amp;D $-profile ($mm/yr) — year-row", Assumptions!$A:$A, 0), O$5+1)</f>
        <v>75</v>
      </c>
      <c r="P25" s="15" cm="1">
        <f t="array" ref="P25">INDEX(Assumptions!$D:$AC, MATCH("ODC R&amp;D $-profile ($mm/yr) — year-row", Assumptions!$A:$A, 0), P$5+1)</f>
        <v>50</v>
      </c>
      <c r="Q25" s="15" cm="1">
        <f t="array" ref="Q25">INDEX(Assumptions!$D:$AC, MATCH("ODC R&amp;D $-profile ($mm/yr) — year-row", Assumptions!$A:$A, 0), Q$5+1)</f>
        <v>35</v>
      </c>
      <c r="R25" s="15" cm="1">
        <f t="array" ref="R25">INDEX(Assumptions!$D:$AC, MATCH("ODC R&amp;D $-profile ($mm/yr) — year-row", Assumptions!$A:$A, 0), R$5+1)</f>
        <v>25</v>
      </c>
      <c r="S25" s="15" cm="1">
        <f t="array" ref="S25">INDEX(Assumptions!$D:$AC, MATCH("ODC R&amp;D $-profile ($mm/yr) — year-row", Assumptions!$A:$A, 0), S$5+1)</f>
        <v>20</v>
      </c>
      <c r="T25" s="15" cm="1">
        <f t="array" ref="T25">INDEX(Assumptions!$D:$AC, MATCH("ODC R&amp;D $-profile ($mm/yr) — year-row", Assumptions!$A:$A, 0), T$5+1)</f>
        <v>15</v>
      </c>
      <c r="U25" s="15" cm="1">
        <f t="array" ref="U25">INDEX(Assumptions!$D:$AC, MATCH("ODC R&amp;D $-profile ($mm/yr) — year-row", Assumptions!$A:$A, 0), U$5+1)</f>
        <v>12</v>
      </c>
      <c r="V25" s="15" cm="1">
        <f t="array" ref="V25">INDEX(Assumptions!$D:$AC, MATCH("ODC R&amp;D $-profile ($mm/yr) — year-row", Assumptions!$A:$A, 0), V$5+1)</f>
        <v>10</v>
      </c>
      <c r="W25" s="15" cm="1">
        <f t="array" ref="W25">INDEX(Assumptions!$D:$AC, MATCH("ODC R&amp;D $-profile ($mm/yr) — year-row", Assumptions!$A:$A, 0), W$5+1)</f>
        <v>8</v>
      </c>
      <c r="X25" s="15" cm="1">
        <f t="array" ref="X25">INDEX(Assumptions!$D:$AC, MATCH("ODC R&amp;D $-profile ($mm/yr) — year-row", Assumptions!$A:$A, 0), X$5+1)</f>
        <v>6</v>
      </c>
      <c r="Y25" s="15" cm="1">
        <f t="array" ref="Y25">INDEX(Assumptions!$D:$AC, MATCH("ODC R&amp;D $-profile ($mm/yr) — year-row", Assumptions!$A:$A, 0), Y$5+1)</f>
        <v>5</v>
      </c>
      <c r="Z25" s="15" cm="1">
        <f t="array" ref="Z25">INDEX(Assumptions!$D:$AC, MATCH("ODC R&amp;D $-profile ($mm/yr) — year-row", Assumptions!$A:$A, 0), Z$5+1)</f>
        <v>4</v>
      </c>
      <c r="AA25" s="15" cm="1">
        <f t="array" ref="AA25">INDEX(Assumptions!$D:$AC, MATCH("ODC R&amp;D $-profile ($mm/yr) — year-row", Assumptions!$A:$A, 0), AA$5+1)</f>
        <v>3</v>
      </c>
      <c r="AB25" s="15" cm="1">
        <f t="array" ref="AB25">INDEX(Assumptions!$D:$AC, MATCH("ODC R&amp;D $-profile ($mm/yr) — year-row", Assumptions!$A:$A, 0), AB$5+1)</f>
        <v>2</v>
      </c>
      <c r="AC25" s="15" cm="1">
        <f t="array" ref="AC25">INDEX(Assumptions!$D:$AC, MATCH("ODC R&amp;D $-profile ($mm/yr) — year-row", Assumptions!$A:$A, 0), AC$5+1)</f>
        <v>1</v>
      </c>
    </row>
    <row r="26" spans="1:29" x14ac:dyDescent="0.2">
      <c r="A26" t="s">
        <v>1281</v>
      </c>
      <c r="D26" s="40">
        <f ca="1">MAX(D25, D23*D24)</f>
        <v>200</v>
      </c>
      <c r="E26" s="40">
        <f t="shared" ref="E26:AC26" ca="1" si="2">MAX(E25, E23*E24)</f>
        <v>300</v>
      </c>
      <c r="F26" s="40">
        <f t="shared" ca="1" si="2"/>
        <v>500</v>
      </c>
      <c r="G26" s="40">
        <f t="shared" ca="1" si="2"/>
        <v>450</v>
      </c>
      <c r="H26" s="40">
        <f t="shared" ca="1" si="2"/>
        <v>400</v>
      </c>
      <c r="I26" s="40">
        <f t="shared" ca="1" si="2"/>
        <v>350</v>
      </c>
      <c r="J26" s="40">
        <f t="shared" ca="1" si="2"/>
        <v>300</v>
      </c>
      <c r="K26" s="40">
        <f t="shared" ca="1" si="2"/>
        <v>250</v>
      </c>
      <c r="L26" s="40">
        <f t="shared" ca="1" si="2"/>
        <v>200</v>
      </c>
      <c r="M26" s="40">
        <f t="shared" ca="1" si="2"/>
        <v>150</v>
      </c>
      <c r="N26" s="40">
        <f t="shared" ca="1" si="2"/>
        <v>100</v>
      </c>
      <c r="O26" s="40">
        <f t="shared" ca="1" si="2"/>
        <v>75</v>
      </c>
      <c r="P26" s="40">
        <f t="shared" ca="1" si="2"/>
        <v>50</v>
      </c>
      <c r="Q26" s="40">
        <f t="shared" ca="1" si="2"/>
        <v>35</v>
      </c>
      <c r="R26" s="40">
        <f t="shared" ca="1" si="2"/>
        <v>25</v>
      </c>
      <c r="S26" s="40">
        <f t="shared" ca="1" si="2"/>
        <v>20</v>
      </c>
      <c r="T26" s="40">
        <f t="shared" ca="1" si="2"/>
        <v>15</v>
      </c>
      <c r="U26" s="40">
        <f t="shared" ca="1" si="2"/>
        <v>12</v>
      </c>
      <c r="V26" s="40">
        <f t="shared" ca="1" si="2"/>
        <v>10</v>
      </c>
      <c r="W26" s="40">
        <f t="shared" ca="1" si="2"/>
        <v>8</v>
      </c>
      <c r="X26" s="40">
        <f t="shared" ca="1" si="2"/>
        <v>6</v>
      </c>
      <c r="Y26" s="40">
        <f t="shared" ca="1" si="2"/>
        <v>5</v>
      </c>
      <c r="Z26" s="40">
        <f t="shared" ca="1" si="2"/>
        <v>4</v>
      </c>
      <c r="AA26" s="40">
        <f t="shared" ca="1" si="2"/>
        <v>3</v>
      </c>
      <c r="AB26" s="40">
        <f t="shared" ca="1" si="2"/>
        <v>2</v>
      </c>
      <c r="AC26" s="40">
        <f t="shared" ca="1" si="2"/>
        <v>1</v>
      </c>
    </row>
    <row r="29" spans="1:29" x14ac:dyDescent="0.2">
      <c r="A29" t="s">
        <v>1282</v>
      </c>
      <c r="D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0)))^D$5), MAX(INDEX(Assumptions!$B:$B, MATCH("AI Stack R&amp;D — end-state % (floor)", Assumptions!$A:$A, 0)), INDEX(Assumptions!$B:$B, MATCH("AI Stack R&amp;D — start % of AI Stack rev", Assumptions!$A:$A, 0))*(1+INDEX(Assumptions!$B:$B, MATCH("AI Stack R&amp;D — CAGR (taper)", Assumptions!$A:$A, 0)))^D$5))</f>
        <v>0.15</v>
      </c>
      <c r="E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0)))^E$5), MAX(INDEX(Assumptions!$B:$B, MATCH("AI Stack R&amp;D — end-state % (floor)", Assumptions!$A:$A, 0)), INDEX(Assumptions!$B:$B, MATCH("AI Stack R&amp;D — start % of AI Stack rev", Assumptions!$A:$A, 0))*(1+INDEX(Assumptions!$B:$B, MATCH("AI Stack R&amp;D — CAGR (taper)", Assumptions!$A:$A, 0)))^E$5))</f>
        <v>0.13500000000000001</v>
      </c>
      <c r="F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0)))^F$5), MAX(INDEX(Assumptions!$B:$B, MATCH("AI Stack R&amp;D — end-state % (floor)", Assumptions!$A:$A, 0)), INDEX(Assumptions!$B:$B, MATCH("AI Stack R&amp;D — start % of AI Stack rev", Assumptions!$A:$A, 0))*(1+INDEX(Assumptions!$B:$B, MATCH("AI Stack R&amp;D — CAGR (taper)", Assumptions!$A:$A, 0)))^F$5))</f>
        <v>0.1215</v>
      </c>
      <c r="G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0)))^G$5), MAX(INDEX(Assumptions!$B:$B, MATCH("AI Stack R&amp;D — end-state % (floor)", Assumptions!$A:$A, 0)), INDEX(Assumptions!$B:$B, MATCH("AI Stack R&amp;D — start % of AI Stack rev", Assumptions!$A:$A, 0))*(1+INDEX(Assumptions!$B:$B, MATCH("AI Stack R&amp;D — CAGR (taper)", Assumptions!$A:$A, 0)))^G$5))</f>
        <v>0.10935000000000002</v>
      </c>
      <c r="H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0)))^H$5), MAX(INDEX(Assumptions!$B:$B, MATCH("AI Stack R&amp;D — end-state % (floor)", Assumptions!$A:$A, 0)), INDEX(Assumptions!$B:$B, MATCH("AI Stack R&amp;D — start % of AI Stack rev", Assumptions!$A:$A, 0))*(1+INDEX(Assumptions!$B:$B, MATCH("AI Stack R&amp;D — CAGR (taper)", Assumptions!$A:$A, 0)))^H$5))</f>
        <v>9.8415000000000016E-2</v>
      </c>
      <c r="I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0)))^I$5), MAX(INDEX(Assumptions!$B:$B, MATCH("AI Stack R&amp;D — end-state % (floor)", Assumptions!$A:$A, 0)), INDEX(Assumptions!$B:$B, MATCH("AI Stack R&amp;D — start % of AI Stack rev", Assumptions!$A:$A, 0))*(1+INDEX(Assumptions!$B:$B, MATCH("AI Stack R&amp;D — CAGR (taper)", Assumptions!$A:$A, 0)))^I$5))</f>
        <v>8.8573500000000027E-2</v>
      </c>
      <c r="J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0)))^J$5), MAX(INDEX(Assumptions!$B:$B, MATCH("AI Stack R&amp;D — end-state % (floor)", Assumptions!$A:$A, 0)), INDEX(Assumptions!$B:$B, MATCH("AI Stack R&amp;D — start % of AI Stack rev", Assumptions!$A:$A, 0))*(1+INDEX(Assumptions!$B:$B, MATCH("AI Stack R&amp;D — CAGR (taper)", Assumptions!$A:$A, 0)))^J$5))</f>
        <v>7.9716150000000027E-2</v>
      </c>
      <c r="K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0)))^K$5), MAX(INDEX(Assumptions!$B:$B, MATCH("AI Stack R&amp;D — end-state % (floor)", Assumptions!$A:$A, 0)), INDEX(Assumptions!$B:$B, MATCH("AI Stack R&amp;D — start % of AI Stack rev", Assumptions!$A:$A, 0))*(1+INDEX(Assumptions!$B:$B, MATCH("AI Stack R&amp;D — CAGR (taper)", Assumptions!$A:$A, 0)))^K$5))</f>
        <v>7.1744535000000012E-2</v>
      </c>
      <c r="L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0)))^L$5), MAX(INDEX(Assumptions!$B:$B, MATCH("AI Stack R&amp;D — end-state % (floor)", Assumptions!$A:$A, 0)), INDEX(Assumptions!$B:$B, MATCH("AI Stack R&amp;D — start % of AI Stack rev", Assumptions!$A:$A, 0))*(1+INDEX(Assumptions!$B:$B, MATCH("AI Stack R&amp;D — CAGR (taper)", Assumptions!$A:$A, 0)))^L$5))</f>
        <v>6.4570081500000015E-2</v>
      </c>
      <c r="M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0)))^M$5), MAX(INDEX(Assumptions!$B:$B, MATCH("AI Stack R&amp;D — end-state % (floor)", Assumptions!$A:$A, 0)), INDEX(Assumptions!$B:$B, MATCH("AI Stack R&amp;D — start % of AI Stack rev", Assumptions!$A:$A, 0))*(1+INDEX(Assumptions!$B:$B, MATCH("AI Stack R&amp;D — CAGR (taper)", Assumptions!$A:$A, 0)))^M$5))</f>
        <v>5.8113073350000016E-2</v>
      </c>
      <c r="N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0)))^N$5), MAX(INDEX(Assumptions!$B:$B, MATCH("AI Stack R&amp;D — end-state % (floor)", Assumptions!$A:$A, 0)), INDEX(Assumptions!$B:$B, MATCH("AI Stack R&amp;D — start % of AI Stack rev", Assumptions!$A:$A, 0))*(1+INDEX(Assumptions!$B:$B, MATCH("AI Stack R&amp;D — CAGR (taper)", Assumptions!$A:$A, 0)))^N$5))</f>
        <v>5.2301766015000022E-2</v>
      </c>
      <c r="O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0)))^O$5), MAX(INDEX(Assumptions!$B:$B, MATCH("AI Stack R&amp;D — end-state % (floor)", Assumptions!$A:$A, 0)), INDEX(Assumptions!$B:$B, MATCH("AI Stack R&amp;D — start % of AI Stack rev", Assumptions!$A:$A, 0))*(1+INDEX(Assumptions!$B:$B, MATCH("AI Stack R&amp;D — CAGR (taper)", Assumptions!$A:$A, 0)))^O$5))</f>
        <v>0.05</v>
      </c>
      <c r="P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0)))^P$5), MAX(INDEX(Assumptions!$B:$B, MATCH("AI Stack R&amp;D — end-state % (floor)", Assumptions!$A:$A, 0)), INDEX(Assumptions!$B:$B, MATCH("AI Stack R&amp;D — start % of AI Stack rev", Assumptions!$A:$A, 0))*(1+INDEX(Assumptions!$B:$B, MATCH("AI Stack R&amp;D — CAGR (taper)", Assumptions!$A:$A, 0)))^P$5))</f>
        <v>0.05</v>
      </c>
      <c r="Q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0)))^Q$5), MAX(INDEX(Assumptions!$B:$B, MATCH("AI Stack R&amp;D — end-state % (floor)", Assumptions!$A:$A, 0)), INDEX(Assumptions!$B:$B, MATCH("AI Stack R&amp;D — start % of AI Stack rev", Assumptions!$A:$A, 0))*(1+INDEX(Assumptions!$B:$B, MATCH("AI Stack R&amp;D — CAGR (taper)", Assumptions!$A:$A, 0)))^Q$5))</f>
        <v>0.05</v>
      </c>
      <c r="R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0)))^R$5), MAX(INDEX(Assumptions!$B:$B, MATCH("AI Stack R&amp;D — end-state % (floor)", Assumptions!$A:$A, 0)), INDEX(Assumptions!$B:$B, MATCH("AI Stack R&amp;D — start % of AI Stack rev", Assumptions!$A:$A, 0))*(1+INDEX(Assumptions!$B:$B, MATCH("AI Stack R&amp;D — CAGR (taper)", Assumptions!$A:$A, 0)))^R$5))</f>
        <v>0.05</v>
      </c>
      <c r="S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0)))^S$5), MAX(INDEX(Assumptions!$B:$B, MATCH("AI Stack R&amp;D — end-state % (floor)", Assumptions!$A:$A, 0)), INDEX(Assumptions!$B:$B, MATCH("AI Stack R&amp;D — start % of AI Stack rev", Assumptions!$A:$A, 0))*(1+INDEX(Assumptions!$B:$B, MATCH("AI Stack R&amp;D — CAGR (taper)", Assumptions!$A:$A, 0)))^S$5))</f>
        <v>0.05</v>
      </c>
      <c r="T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0)))^T$5), MAX(INDEX(Assumptions!$B:$B, MATCH("AI Stack R&amp;D — end-state % (floor)", Assumptions!$A:$A, 0)), INDEX(Assumptions!$B:$B, MATCH("AI Stack R&amp;D — start % of AI Stack rev", Assumptions!$A:$A, 0))*(1+INDEX(Assumptions!$B:$B, MATCH("AI Stack R&amp;D — CAGR (taper)", Assumptions!$A:$A, 0)))^T$5))</f>
        <v>0.05</v>
      </c>
      <c r="U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0)))^U$5), MAX(INDEX(Assumptions!$B:$B, MATCH("AI Stack R&amp;D — end-state % (floor)", Assumptions!$A:$A, 0)), INDEX(Assumptions!$B:$B, MATCH("AI Stack R&amp;D — start % of AI Stack rev", Assumptions!$A:$A, 0))*(1+INDEX(Assumptions!$B:$B, MATCH("AI Stack R&amp;D — CAGR (taper)", Assumptions!$A:$A, 0)))^U$5))</f>
        <v>0.05</v>
      </c>
      <c r="V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0)))^V$5), MAX(INDEX(Assumptions!$B:$B, MATCH("AI Stack R&amp;D — end-state % (floor)", Assumptions!$A:$A, 0)), INDEX(Assumptions!$B:$B, MATCH("AI Stack R&amp;D — start % of AI Stack rev", Assumptions!$A:$A, 0))*(1+INDEX(Assumptions!$B:$B, MATCH("AI Stack R&amp;D — CAGR (taper)", Assumptions!$A:$A, 0)))^V$5))</f>
        <v>0.05</v>
      </c>
      <c r="W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0)))^W$5), MAX(INDEX(Assumptions!$B:$B, MATCH("AI Stack R&amp;D — end-state % (floor)", Assumptions!$A:$A, 0)), INDEX(Assumptions!$B:$B, MATCH("AI Stack R&amp;D — start % of AI Stack rev", Assumptions!$A:$A, 0))*(1+INDEX(Assumptions!$B:$B, MATCH("AI Stack R&amp;D — CAGR (taper)", Assumptions!$A:$A, 0)))^W$5))</f>
        <v>0.05</v>
      </c>
      <c r="X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0)))^X$5), MAX(INDEX(Assumptions!$B:$B, MATCH("AI Stack R&amp;D — end-state % (floor)", Assumptions!$A:$A, 0)), INDEX(Assumptions!$B:$B, MATCH("AI Stack R&amp;D — start % of AI Stack rev", Assumptions!$A:$A, 0))*(1+INDEX(Assumptions!$B:$B, MATCH("AI Stack R&amp;D — CAGR (taper)", Assumptions!$A:$A, 0)))^X$5))</f>
        <v>0.05</v>
      </c>
      <c r="Y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0)))^Y$5), MAX(INDEX(Assumptions!$B:$B, MATCH("AI Stack R&amp;D — end-state % (floor)", Assumptions!$A:$A, 0)), INDEX(Assumptions!$B:$B, MATCH("AI Stack R&amp;D — start % of AI Stack rev", Assumptions!$A:$A, 0))*(1+INDEX(Assumptions!$B:$B, MATCH("AI Stack R&amp;D — CAGR (taper)", Assumptions!$A:$A, 0)))^Y$5))</f>
        <v>0.05</v>
      </c>
      <c r="Z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0)))^Z$5), MAX(INDEX(Assumptions!$B:$B, MATCH("AI Stack R&amp;D — end-state % (floor)", Assumptions!$A:$A, 0)), INDEX(Assumptions!$B:$B, MATCH("AI Stack R&amp;D — start % of AI Stack rev", Assumptions!$A:$A, 0))*(1+INDEX(Assumptions!$B:$B, MATCH("AI Stack R&amp;D — CAGR (taper)", Assumptions!$A:$A, 0)))^Z$5))</f>
        <v>0.05</v>
      </c>
      <c r="AA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0)))^AA$5), MAX(INDEX(Assumptions!$B:$B, MATCH("AI Stack R&amp;D — end-state % (floor)", Assumptions!$A:$A, 0)), INDEX(Assumptions!$B:$B, MATCH("AI Stack R&amp;D — start % of AI Stack rev", Assumptions!$A:$A, 0))*(1+INDEX(Assumptions!$B:$B, MATCH("AI Stack R&amp;D — CAGR (taper)", Assumptions!$A:$A, 0)))^AA$5))</f>
        <v>0.05</v>
      </c>
      <c r="AB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0)))^AB$5), MAX(INDEX(Assumptions!$B:$B, MATCH("AI Stack R&amp;D — end-state % (floor)", Assumptions!$A:$A, 0)), INDEX(Assumptions!$B:$B, MATCH("AI Stack R&amp;D — start % of AI Stack rev", Assumptions!$A:$A, 0))*(1+INDEX(Assumptions!$B:$B, MATCH("AI Stack R&amp;D — CAGR (taper)", Assumptions!$A:$A, 0)))^AB$5))</f>
        <v>0.05</v>
      </c>
      <c r="AC29" s="17">
        <f>IF(INDEX(Assumptions!$B:$B, MATCH("AI Stack R&amp;D — CAGR (taper)", Assumptions!$A:$A, 0))&gt;=0, MIN(INDEX(Assumptions!$B:$B, MATCH("AI Stack R&amp;D — end-state % (floor)", Assumptions!$A:$A, 0)), INDEX(Assumptions!$B:$B, MATCH("AI Stack R&amp;D — start % of AI Stack rev", Assumptions!$A:$A, 0))*(1+INDEX(Assumptions!$B:$B, MATCH("AI Stack R&amp;D — CAGR (taper)", Assumptions!$A:$A, 0)))^AC$5), MAX(INDEX(Assumptions!$B:$B, MATCH("AI Stack R&amp;D — end-state % (floor)", Assumptions!$A:$A, 0)), INDEX(Assumptions!$B:$B, MATCH("AI Stack R&amp;D — start % of AI Stack rev", Assumptions!$A:$A, 0))*(1+INDEX(Assumptions!$B:$B, MATCH("AI Stack R&amp;D — CAGR (taper)", Assumptions!$A:$A, 0)))^AC$5))</f>
        <v>0.05</v>
      </c>
    </row>
    <row r="30" spans="1:29" x14ac:dyDescent="0.2">
      <c r="A30" t="s">
        <v>1283</v>
      </c>
      <c r="D30" s="15" cm="1">
        <f t="array" aca="1" ref="D30" ca="1">IFERROR(INDEX('AI Stack'!$D:$AC, MATCH("Total Revenue ($mm)", 'AI Stack'!$A:$A, 0), D$5+1), 0)</f>
        <v>0</v>
      </c>
      <c r="E30" s="15" cm="1">
        <f t="array" aca="1" ref="E30" ca="1">IFERROR(INDEX('AI Stack'!$D:$AC, MATCH("Total Revenue ($mm)", 'AI Stack'!$A:$A, 0), E$5+1), 0)</f>
        <v>0</v>
      </c>
      <c r="F30" s="15" cm="1">
        <f t="array" aca="1" ref="F30" ca="1">IFERROR(INDEX('AI Stack'!$D:$AC, MATCH("Total Revenue ($mm)", 'AI Stack'!$A:$A, 0), F$5+1), 0)</f>
        <v>0</v>
      </c>
      <c r="G30" s="15" cm="1">
        <f t="array" aca="1" ref="G30" ca="1">IFERROR(INDEX('AI Stack'!$D:$AC, MATCH("Total Revenue ($mm)", 'AI Stack'!$A:$A, 0), G$5+1), 0)</f>
        <v>0</v>
      </c>
      <c r="H30" s="15" cm="1">
        <f t="array" aca="1" ref="H30" ca="1">IFERROR(INDEX('AI Stack'!$D:$AC, MATCH("Total Revenue ($mm)", 'AI Stack'!$A:$A, 0), H$5+1), 0)</f>
        <v>0</v>
      </c>
      <c r="I30" s="15" cm="1">
        <f t="array" aca="1" ref="I30" ca="1">IFERROR(INDEX('AI Stack'!$D:$AC, MATCH("Total Revenue ($mm)", 'AI Stack'!$A:$A, 0), I$5+1), 0)</f>
        <v>0</v>
      </c>
      <c r="J30" s="15" cm="1">
        <f t="array" aca="1" ref="J30" ca="1">IFERROR(INDEX('AI Stack'!$D:$AC, MATCH("Total Revenue ($mm)", 'AI Stack'!$A:$A, 0), J$5+1), 0)</f>
        <v>0</v>
      </c>
      <c r="K30" s="15" cm="1">
        <f t="array" aca="1" ref="K30" ca="1">IFERROR(INDEX('AI Stack'!$D:$AC, MATCH("Total Revenue ($mm)", 'AI Stack'!$A:$A, 0), K$5+1), 0)</f>
        <v>0</v>
      </c>
      <c r="L30" s="15" cm="1">
        <f t="array" aca="1" ref="L30" ca="1">IFERROR(INDEX('AI Stack'!$D:$AC, MATCH("Total Revenue ($mm)", 'AI Stack'!$A:$A, 0), L$5+1), 0)</f>
        <v>0</v>
      </c>
      <c r="M30" s="15" cm="1">
        <f t="array" aca="1" ref="M30" ca="1">IFERROR(INDEX('AI Stack'!$D:$AC, MATCH("Total Revenue ($mm)", 'AI Stack'!$A:$A, 0), M$5+1), 0)</f>
        <v>0</v>
      </c>
      <c r="N30" s="15" cm="1">
        <f t="array" aca="1" ref="N30" ca="1">IFERROR(INDEX('AI Stack'!$D:$AC, MATCH("Total Revenue ($mm)", 'AI Stack'!$A:$A, 0), N$5+1), 0)</f>
        <v>0</v>
      </c>
      <c r="O30" s="15" cm="1">
        <f t="array" aca="1" ref="O30" ca="1">IFERROR(INDEX('AI Stack'!$D:$AC, MATCH("Total Revenue ($mm)", 'AI Stack'!$A:$A, 0), O$5+1), 0)</f>
        <v>0</v>
      </c>
      <c r="P30" s="15" cm="1">
        <f t="array" aca="1" ref="P30" ca="1">IFERROR(INDEX('AI Stack'!$D:$AC, MATCH("Total Revenue ($mm)", 'AI Stack'!$A:$A, 0), P$5+1), 0)</f>
        <v>0</v>
      </c>
      <c r="Q30" s="15" cm="1">
        <f t="array" aca="1" ref="Q30" ca="1">IFERROR(INDEX('AI Stack'!$D:$AC, MATCH("Total Revenue ($mm)", 'AI Stack'!$A:$A, 0), Q$5+1), 0)</f>
        <v>0</v>
      </c>
      <c r="R30" s="15" cm="1">
        <f t="array" aca="1" ref="R30" ca="1">IFERROR(INDEX('AI Stack'!$D:$AC, MATCH("Total Revenue ($mm)", 'AI Stack'!$A:$A, 0), R$5+1), 0)</f>
        <v>0</v>
      </c>
      <c r="S30" s="15" cm="1">
        <f t="array" aca="1" ref="S30" ca="1">IFERROR(INDEX('AI Stack'!$D:$AC, MATCH("Total Revenue ($mm)", 'AI Stack'!$A:$A, 0), S$5+1), 0)</f>
        <v>0</v>
      </c>
      <c r="T30" s="15" cm="1">
        <f t="array" aca="1" ref="T30" ca="1">IFERROR(INDEX('AI Stack'!$D:$AC, MATCH("Total Revenue ($mm)", 'AI Stack'!$A:$A, 0), T$5+1), 0)</f>
        <v>0</v>
      </c>
      <c r="U30" s="15" cm="1">
        <f t="array" aca="1" ref="U30" ca="1">IFERROR(INDEX('AI Stack'!$D:$AC, MATCH("Total Revenue ($mm)", 'AI Stack'!$A:$A, 0), U$5+1), 0)</f>
        <v>0</v>
      </c>
      <c r="V30" s="15" cm="1">
        <f t="array" aca="1" ref="V30" ca="1">IFERROR(INDEX('AI Stack'!$D:$AC, MATCH("Total Revenue ($mm)", 'AI Stack'!$A:$A, 0), V$5+1), 0)</f>
        <v>0</v>
      </c>
      <c r="W30" s="15" cm="1">
        <f t="array" aca="1" ref="W30" ca="1">IFERROR(INDEX('AI Stack'!$D:$AC, MATCH("Total Revenue ($mm)", 'AI Stack'!$A:$A, 0), W$5+1), 0)</f>
        <v>0</v>
      </c>
      <c r="X30" s="15" cm="1">
        <f t="array" aca="1" ref="X30" ca="1">IFERROR(INDEX('AI Stack'!$D:$AC, MATCH("Total Revenue ($mm)", 'AI Stack'!$A:$A, 0), X$5+1), 0)</f>
        <v>0</v>
      </c>
      <c r="Y30" s="15" cm="1">
        <f t="array" aca="1" ref="Y30" ca="1">IFERROR(INDEX('AI Stack'!$D:$AC, MATCH("Total Revenue ($mm)", 'AI Stack'!$A:$A, 0), Y$5+1), 0)</f>
        <v>0</v>
      </c>
      <c r="Z30" s="15" cm="1">
        <f t="array" aca="1" ref="Z30" ca="1">IFERROR(INDEX('AI Stack'!$D:$AC, MATCH("Total Revenue ($mm)", 'AI Stack'!$A:$A, 0), Z$5+1), 0)</f>
        <v>0</v>
      </c>
      <c r="AA30" s="15" cm="1">
        <f t="array" aca="1" ref="AA30" ca="1">IFERROR(INDEX('AI Stack'!$D:$AC, MATCH("Total Revenue ($mm)", 'AI Stack'!$A:$A, 0), AA$5+1), 0)</f>
        <v>0</v>
      </c>
      <c r="AB30" s="15" cm="1">
        <f t="array" aca="1" ref="AB30" ca="1">IFERROR(INDEX('AI Stack'!$D:$AC, MATCH("Total Revenue ($mm)", 'AI Stack'!$A:$A, 0), AB$5+1), 0)</f>
        <v>0</v>
      </c>
      <c r="AC30" s="15" cm="1">
        <f t="array" aca="1" ref="AC30" ca="1">IFERROR(INDEX('AI Stack'!$D:$AC, MATCH("Total Revenue ($mm)", 'AI Stack'!$A:$A, 0), AC$5+1), 0)</f>
        <v>0</v>
      </c>
    </row>
    <row r="31" spans="1:29" x14ac:dyDescent="0.2">
      <c r="A31" t="s">
        <v>1284</v>
      </c>
      <c r="D31" s="15" cm="1">
        <f t="array" ref="D31">INDEX(Assumptions!$D:$AC, MATCH("AI Stack R&amp;D $-profile ($mm/yr) — year-row", Assumptions!$A:$A, 0), D$5+1)</f>
        <v>50</v>
      </c>
      <c r="E31" s="15" cm="1">
        <f t="array" ref="E31">INDEX(Assumptions!$D:$AC, MATCH("AI Stack R&amp;D $-profile ($mm/yr) — year-row", Assumptions!$A:$A, 0), E$5+1)</f>
        <v>100</v>
      </c>
      <c r="F31" s="15" cm="1">
        <f t="array" ref="F31">INDEX(Assumptions!$D:$AC, MATCH("AI Stack R&amp;D $-profile ($mm/yr) — year-row", Assumptions!$A:$A, 0), F$5+1)</f>
        <v>200</v>
      </c>
      <c r="G31" s="15" cm="1">
        <f t="array" ref="G31">INDEX(Assumptions!$D:$AC, MATCH("AI Stack R&amp;D $-profile ($mm/yr) — year-row", Assumptions!$A:$A, 0), G$5+1)</f>
        <v>300</v>
      </c>
      <c r="H31" s="15" cm="1">
        <f t="array" ref="H31">INDEX(Assumptions!$D:$AC, MATCH("AI Stack R&amp;D $-profile ($mm/yr) — year-row", Assumptions!$A:$A, 0), H$5+1)</f>
        <v>275</v>
      </c>
      <c r="I31" s="15" cm="1">
        <f t="array" ref="I31">INDEX(Assumptions!$D:$AC, MATCH("AI Stack R&amp;D $-profile ($mm/yr) — year-row", Assumptions!$A:$A, 0), I$5+1)</f>
        <v>250</v>
      </c>
      <c r="J31" s="15" cm="1">
        <f t="array" ref="J31">INDEX(Assumptions!$D:$AC, MATCH("AI Stack R&amp;D $-profile ($mm/yr) — year-row", Assumptions!$A:$A, 0), J$5+1)</f>
        <v>225</v>
      </c>
      <c r="K31" s="15" cm="1">
        <f t="array" ref="K31">INDEX(Assumptions!$D:$AC, MATCH("AI Stack R&amp;D $-profile ($mm/yr) — year-row", Assumptions!$A:$A, 0), K$5+1)</f>
        <v>200</v>
      </c>
      <c r="L31" s="15" cm="1">
        <f t="array" ref="L31">INDEX(Assumptions!$D:$AC, MATCH("AI Stack R&amp;D $-profile ($mm/yr) — year-row", Assumptions!$A:$A, 0), L$5+1)</f>
        <v>175</v>
      </c>
      <c r="M31" s="15" cm="1">
        <f t="array" ref="M31">INDEX(Assumptions!$D:$AC, MATCH("AI Stack R&amp;D $-profile ($mm/yr) — year-row", Assumptions!$A:$A, 0), M$5+1)</f>
        <v>150</v>
      </c>
      <c r="N31" s="15" cm="1">
        <f t="array" ref="N31">INDEX(Assumptions!$D:$AC, MATCH("AI Stack R&amp;D $-profile ($mm/yr) — year-row", Assumptions!$A:$A, 0), N$5+1)</f>
        <v>125</v>
      </c>
      <c r="O31" s="15" cm="1">
        <f t="array" ref="O31">INDEX(Assumptions!$D:$AC, MATCH("AI Stack R&amp;D $-profile ($mm/yr) — year-row", Assumptions!$A:$A, 0), O$5+1)</f>
        <v>100</v>
      </c>
      <c r="P31" s="15" cm="1">
        <f t="array" ref="P31">INDEX(Assumptions!$D:$AC, MATCH("AI Stack R&amp;D $-profile ($mm/yr) — year-row", Assumptions!$A:$A, 0), P$5+1)</f>
        <v>80</v>
      </c>
      <c r="Q31" s="15" cm="1">
        <f t="array" ref="Q31">INDEX(Assumptions!$D:$AC, MATCH("AI Stack R&amp;D $-profile ($mm/yr) — year-row", Assumptions!$A:$A, 0), Q$5+1)</f>
        <v>65</v>
      </c>
      <c r="R31" s="15" cm="1">
        <f t="array" ref="R31">INDEX(Assumptions!$D:$AC, MATCH("AI Stack R&amp;D $-profile ($mm/yr) — year-row", Assumptions!$A:$A, 0), R$5+1)</f>
        <v>50</v>
      </c>
      <c r="S31" s="15" cm="1">
        <f t="array" ref="S31">INDEX(Assumptions!$D:$AC, MATCH("AI Stack R&amp;D $-profile ($mm/yr) — year-row", Assumptions!$A:$A, 0), S$5+1)</f>
        <v>40</v>
      </c>
      <c r="T31" s="15" cm="1">
        <f t="array" ref="T31">INDEX(Assumptions!$D:$AC, MATCH("AI Stack R&amp;D $-profile ($mm/yr) — year-row", Assumptions!$A:$A, 0), T$5+1)</f>
        <v>30</v>
      </c>
      <c r="U31" s="15" cm="1">
        <f t="array" ref="U31">INDEX(Assumptions!$D:$AC, MATCH("AI Stack R&amp;D $-profile ($mm/yr) — year-row", Assumptions!$A:$A, 0), U$5+1)</f>
        <v>25</v>
      </c>
      <c r="V31" s="15" cm="1">
        <f t="array" ref="V31">INDEX(Assumptions!$D:$AC, MATCH("AI Stack R&amp;D $-profile ($mm/yr) — year-row", Assumptions!$A:$A, 0), V$5+1)</f>
        <v>20</v>
      </c>
      <c r="W31" s="15" cm="1">
        <f t="array" ref="W31">INDEX(Assumptions!$D:$AC, MATCH("AI Stack R&amp;D $-profile ($mm/yr) — year-row", Assumptions!$A:$A, 0), W$5+1)</f>
        <v>15</v>
      </c>
      <c r="X31" s="15" cm="1">
        <f t="array" ref="X31">INDEX(Assumptions!$D:$AC, MATCH("AI Stack R&amp;D $-profile ($mm/yr) — year-row", Assumptions!$A:$A, 0), X$5+1)</f>
        <v>12</v>
      </c>
      <c r="Y31" s="15" cm="1">
        <f t="array" ref="Y31">INDEX(Assumptions!$D:$AC, MATCH("AI Stack R&amp;D $-profile ($mm/yr) — year-row", Assumptions!$A:$A, 0), Y$5+1)</f>
        <v>10</v>
      </c>
      <c r="Z31" s="15" cm="1">
        <f t="array" ref="Z31">INDEX(Assumptions!$D:$AC, MATCH("AI Stack R&amp;D $-profile ($mm/yr) — year-row", Assumptions!$A:$A, 0), Z$5+1)</f>
        <v>8</v>
      </c>
      <c r="AA31" s="15" cm="1">
        <f t="array" ref="AA31">INDEX(Assumptions!$D:$AC, MATCH("AI Stack R&amp;D $-profile ($mm/yr) — year-row", Assumptions!$A:$A, 0), AA$5+1)</f>
        <v>6</v>
      </c>
      <c r="AB31" s="15" cm="1">
        <f t="array" ref="AB31">INDEX(Assumptions!$D:$AC, MATCH("AI Stack R&amp;D $-profile ($mm/yr) — year-row", Assumptions!$A:$A, 0), AB$5+1)</f>
        <v>5</v>
      </c>
      <c r="AC31" s="15" cm="1">
        <f t="array" ref="AC31">INDEX(Assumptions!$D:$AC, MATCH("AI Stack R&amp;D $-profile ($mm/yr) — year-row", Assumptions!$A:$A, 0), AC$5+1)</f>
        <v>4</v>
      </c>
    </row>
    <row r="32" spans="1:29" x14ac:dyDescent="0.2">
      <c r="A32" t="s">
        <v>1285</v>
      </c>
      <c r="D32" s="40">
        <f ca="1">MAX(D31, D29*D30)</f>
        <v>50</v>
      </c>
      <c r="E32" s="40">
        <f t="shared" ref="E32:AC32" ca="1" si="3">MAX(E31, E29*E30)</f>
        <v>100</v>
      </c>
      <c r="F32" s="40">
        <f t="shared" ca="1" si="3"/>
        <v>200</v>
      </c>
      <c r="G32" s="40">
        <f t="shared" ca="1" si="3"/>
        <v>300</v>
      </c>
      <c r="H32" s="40">
        <f t="shared" ca="1" si="3"/>
        <v>275</v>
      </c>
      <c r="I32" s="40">
        <f t="shared" ca="1" si="3"/>
        <v>250</v>
      </c>
      <c r="J32" s="40">
        <f t="shared" ca="1" si="3"/>
        <v>225</v>
      </c>
      <c r="K32" s="40">
        <f t="shared" ca="1" si="3"/>
        <v>200</v>
      </c>
      <c r="L32" s="40">
        <f t="shared" ca="1" si="3"/>
        <v>175</v>
      </c>
      <c r="M32" s="40">
        <f t="shared" ca="1" si="3"/>
        <v>150</v>
      </c>
      <c r="N32" s="40">
        <f t="shared" ca="1" si="3"/>
        <v>125</v>
      </c>
      <c r="O32" s="40">
        <f t="shared" ca="1" si="3"/>
        <v>100</v>
      </c>
      <c r="P32" s="40">
        <f t="shared" ca="1" si="3"/>
        <v>80</v>
      </c>
      <c r="Q32" s="40">
        <f t="shared" ca="1" si="3"/>
        <v>65</v>
      </c>
      <c r="R32" s="40">
        <f t="shared" ca="1" si="3"/>
        <v>50</v>
      </c>
      <c r="S32" s="40">
        <f t="shared" ca="1" si="3"/>
        <v>40</v>
      </c>
      <c r="T32" s="40">
        <f t="shared" ca="1" si="3"/>
        <v>30</v>
      </c>
      <c r="U32" s="40">
        <f t="shared" ca="1" si="3"/>
        <v>25</v>
      </c>
      <c r="V32" s="40">
        <f t="shared" ca="1" si="3"/>
        <v>20</v>
      </c>
      <c r="W32" s="40">
        <f t="shared" ca="1" si="3"/>
        <v>15</v>
      </c>
      <c r="X32" s="40">
        <f t="shared" ca="1" si="3"/>
        <v>12</v>
      </c>
      <c r="Y32" s="40">
        <f t="shared" ca="1" si="3"/>
        <v>10</v>
      </c>
      <c r="Z32" s="40">
        <f t="shared" ca="1" si="3"/>
        <v>8</v>
      </c>
      <c r="AA32" s="40">
        <f t="shared" ca="1" si="3"/>
        <v>6</v>
      </c>
      <c r="AB32" s="40">
        <f t="shared" ca="1" si="3"/>
        <v>5</v>
      </c>
      <c r="AC32" s="40">
        <f t="shared" ca="1" si="3"/>
        <v>4</v>
      </c>
    </row>
    <row r="35" spans="1:29" x14ac:dyDescent="0.2">
      <c r="A35" t="s">
        <v>1286</v>
      </c>
      <c r="D35" s="15" cm="1">
        <f t="array" ref="D35">INDEX(Assumptions!$D:$AC, MATCH("R&amp;D — Moon/Mars ($mm/yr) — year-row", Assumptions!$A:$A, 0), D$5+1)</f>
        <v>700</v>
      </c>
      <c r="E35" s="15" cm="1">
        <f t="array" ref="E35">INDEX(Assumptions!$D:$AC, MATCH("R&amp;D — Moon/Mars ($mm/yr) — year-row", Assumptions!$A:$A, 0), E$5+1)</f>
        <v>833.33299999999997</v>
      </c>
      <c r="F35" s="15" cm="1">
        <f t="array" ref="F35">INDEX(Assumptions!$D:$AC, MATCH("R&amp;D — Moon/Mars ($mm/yr) — year-row", Assumptions!$A:$A, 0), F$5+1)</f>
        <v>966.66700000000003</v>
      </c>
      <c r="G35" s="15" cm="1">
        <f t="array" ref="G35">INDEX(Assumptions!$D:$AC, MATCH("R&amp;D — Moon/Mars ($mm/yr) — year-row", Assumptions!$A:$A, 0), G$5+1)</f>
        <v>1100</v>
      </c>
      <c r="H35" s="15" cm="1">
        <f t="array" ref="H35">INDEX(Assumptions!$D:$AC, MATCH("R&amp;D — Moon/Mars ($mm/yr) — year-row", Assumptions!$A:$A, 0), H$5+1)</f>
        <v>1300</v>
      </c>
      <c r="I35" s="15" cm="1">
        <f t="array" ref="I35">INDEX(Assumptions!$D:$AC, MATCH("R&amp;D — Moon/Mars ($mm/yr) — year-row", Assumptions!$A:$A, 0), I$5+1)</f>
        <v>1500</v>
      </c>
      <c r="J35" s="15" cm="1">
        <f t="array" ref="J35">INDEX(Assumptions!$D:$AC, MATCH("R&amp;D — Moon/Mars ($mm/yr) — year-row", Assumptions!$A:$A, 0), J$5+1)</f>
        <v>1750</v>
      </c>
      <c r="K35" s="15" cm="1">
        <f t="array" ref="K35">INDEX(Assumptions!$D:$AC, MATCH("R&amp;D — Moon/Mars ($mm/yr) — year-row", Assumptions!$A:$A, 0), K$5+1)</f>
        <v>2000</v>
      </c>
      <c r="L35" s="15" cm="1">
        <f t="array" ref="L35">INDEX(Assumptions!$D:$AC, MATCH("R&amp;D — Moon/Mars ($mm/yr) — year-row", Assumptions!$A:$A, 0), L$5+1)</f>
        <v>2166.67</v>
      </c>
      <c r="M35" s="15" cm="1">
        <f t="array" ref="M35">INDEX(Assumptions!$D:$AC, MATCH("R&amp;D — Moon/Mars ($mm/yr) — year-row", Assumptions!$A:$A, 0), M$5+1)</f>
        <v>2333.33</v>
      </c>
      <c r="N35" s="15" cm="1">
        <f t="array" ref="N35">INDEX(Assumptions!$D:$AC, MATCH("R&amp;D — Moon/Mars ($mm/yr) — year-row", Assumptions!$A:$A, 0), N$5+1)</f>
        <v>2500</v>
      </c>
      <c r="O35" s="15" cm="1">
        <f t="array" ref="O35">INDEX(Assumptions!$D:$AC, MATCH("R&amp;D — Moon/Mars ($mm/yr) — year-row", Assumptions!$A:$A, 0), O$5+1)</f>
        <v>2300</v>
      </c>
      <c r="P35" s="15" cm="1">
        <f t="array" ref="P35">INDEX(Assumptions!$D:$AC, MATCH("R&amp;D — Moon/Mars ($mm/yr) — year-row", Assumptions!$A:$A, 0), P$5+1)</f>
        <v>2100</v>
      </c>
      <c r="Q35" s="15" cm="1">
        <f t="array" ref="Q35">INDEX(Assumptions!$D:$AC, MATCH("R&amp;D — Moon/Mars ($mm/yr) — year-row", Assumptions!$A:$A, 0), Q$5+1)</f>
        <v>1900</v>
      </c>
      <c r="R35" s="15" cm="1">
        <f t="array" ref="R35">INDEX(Assumptions!$D:$AC, MATCH("R&amp;D — Moon/Mars ($mm/yr) — year-row", Assumptions!$A:$A, 0), R$5+1)</f>
        <v>1700</v>
      </c>
      <c r="S35" s="15" cm="1">
        <f t="array" ref="S35">INDEX(Assumptions!$D:$AC, MATCH("R&amp;D — Moon/Mars ($mm/yr) — year-row", Assumptions!$A:$A, 0), S$5+1)</f>
        <v>1500</v>
      </c>
      <c r="T35" s="15" cm="1">
        <f t="array" ref="T35">INDEX(Assumptions!$D:$AC, MATCH("R&amp;D — Moon/Mars ($mm/yr) — year-row", Assumptions!$A:$A, 0), T$5+1)</f>
        <v>1410</v>
      </c>
      <c r="U35" s="15" cm="1">
        <f t="array" ref="U35">INDEX(Assumptions!$D:$AC, MATCH("R&amp;D — Moon/Mars ($mm/yr) — year-row", Assumptions!$A:$A, 0), U$5+1)</f>
        <v>1320</v>
      </c>
      <c r="V35" s="15" cm="1">
        <f t="array" ref="V35">INDEX(Assumptions!$D:$AC, MATCH("R&amp;D — Moon/Mars ($mm/yr) — year-row", Assumptions!$A:$A, 0), V$5+1)</f>
        <v>1230</v>
      </c>
      <c r="W35" s="15" cm="1">
        <f t="array" ref="W35">INDEX(Assumptions!$D:$AC, MATCH("R&amp;D — Moon/Mars ($mm/yr) — year-row", Assumptions!$A:$A, 0), W$5+1)</f>
        <v>1140</v>
      </c>
      <c r="X35" s="15" cm="1">
        <f t="array" ref="X35">INDEX(Assumptions!$D:$AC, MATCH("R&amp;D — Moon/Mars ($mm/yr) — year-row", Assumptions!$A:$A, 0), X$5+1)</f>
        <v>1050</v>
      </c>
      <c r="Y35" s="15" cm="1">
        <f t="array" ref="Y35">INDEX(Assumptions!$D:$AC, MATCH("R&amp;D — Moon/Mars ($mm/yr) — year-row", Assumptions!$A:$A, 0), Y$5+1)</f>
        <v>960</v>
      </c>
      <c r="Z35" s="15" cm="1">
        <f t="array" ref="Z35">INDEX(Assumptions!$D:$AC, MATCH("R&amp;D — Moon/Mars ($mm/yr) — year-row", Assumptions!$A:$A, 0), Z$5+1)</f>
        <v>870</v>
      </c>
      <c r="AA35" s="15" cm="1">
        <f t="array" ref="AA35">INDEX(Assumptions!$D:$AC, MATCH("R&amp;D — Moon/Mars ($mm/yr) — year-row", Assumptions!$A:$A, 0), AA$5+1)</f>
        <v>780</v>
      </c>
      <c r="AB35" s="15" cm="1">
        <f t="array" ref="AB35">INDEX(Assumptions!$D:$AC, MATCH("R&amp;D — Moon/Mars ($mm/yr) — year-row", Assumptions!$A:$A, 0), AB$5+1)</f>
        <v>690</v>
      </c>
      <c r="AC35" s="15" cm="1">
        <f t="array" ref="AC35">INDEX(Assumptions!$D:$AC, MATCH("R&amp;D — Moon/Mars ($mm/yr) — year-row", Assumptions!$A:$A, 0), AC$5+1)</f>
        <v>600</v>
      </c>
    </row>
    <row r="39" spans="1:29" x14ac:dyDescent="0.2">
      <c r="A39" s="1" t="s">
        <v>1287</v>
      </c>
      <c r="D39" s="56">
        <f ca="1">D13+D19+D26+D32+D35</f>
        <v>2786.4094264265295</v>
      </c>
      <c r="E39" s="56">
        <f t="shared" ref="E39:AC39" ca="1" si="4">E13+E19+E26+E32+E35</f>
        <v>2655.6873297131997</v>
      </c>
      <c r="F39" s="56">
        <f t="shared" ca="1" si="4"/>
        <v>2768.8251849502972</v>
      </c>
      <c r="G39" s="56">
        <f t="shared" ca="1" si="4"/>
        <v>2696.792323533371</v>
      </c>
      <c r="H39" s="56">
        <f t="shared" ca="1" si="4"/>
        <v>2613.6621146354059</v>
      </c>
      <c r="I39" s="56">
        <f t="shared" ca="1" si="4"/>
        <v>2628.5856965965149</v>
      </c>
      <c r="J39" s="56">
        <f t="shared" ca="1" si="4"/>
        <v>2713.0197163368093</v>
      </c>
      <c r="K39" s="56">
        <f t="shared" ca="1" si="4"/>
        <v>2829.4313468212281</v>
      </c>
      <c r="L39" s="56">
        <f t="shared" ca="1" si="4"/>
        <v>2829.4377217697247</v>
      </c>
      <c r="M39" s="56">
        <f t="shared" ca="1" si="4"/>
        <v>2946.7048826538139</v>
      </c>
      <c r="N39" s="56">
        <f t="shared" ca="1" si="4"/>
        <v>2985.3102106029341</v>
      </c>
      <c r="O39" s="56">
        <f t="shared" ca="1" si="4"/>
        <v>2726.6077493926227</v>
      </c>
      <c r="P39" s="56">
        <f t="shared" ca="1" si="4"/>
        <v>2568.3048829381969</v>
      </c>
      <c r="Q39" s="56">
        <f t="shared" ca="1" si="4"/>
        <v>2259.4247952240044</v>
      </c>
      <c r="R39" s="56">
        <f t="shared" ca="1" si="4"/>
        <v>2126.4509861254396</v>
      </c>
      <c r="S39" s="56">
        <f t="shared" ca="1" si="4"/>
        <v>1838.8847683376036</v>
      </c>
      <c r="T39" s="56">
        <f t="shared" ca="1" si="4"/>
        <v>1744.7193415333966</v>
      </c>
      <c r="U39" s="56">
        <f t="shared" ca="1" si="4"/>
        <v>1759.9170089779047</v>
      </c>
      <c r="V39" s="56">
        <f t="shared" ca="1" si="4"/>
        <v>1573.8027051153078</v>
      </c>
      <c r="W39" s="56">
        <f t="shared" ca="1" si="4"/>
        <v>1564.3902909756653</v>
      </c>
      <c r="X39" s="56">
        <f t="shared" ca="1" si="4"/>
        <v>1473.1770120256579</v>
      </c>
      <c r="Y39" s="56">
        <f t="shared" ca="1" si="4"/>
        <v>1330.7074962118977</v>
      </c>
      <c r="Z39" s="56">
        <f t="shared" ca="1" si="4"/>
        <v>1368.6890931791745</v>
      </c>
      <c r="AA39" s="56">
        <f t="shared" ca="1" si="4"/>
        <v>1176.3800504891133</v>
      </c>
      <c r="AB39" s="56">
        <f t="shared" ca="1" si="4"/>
        <v>1151.9743740958597</v>
      </c>
      <c r="AC39" s="56">
        <f t="shared" ca="1" si="4"/>
        <v>1149.6431376610908</v>
      </c>
    </row>
    <row r="41" spans="1:29" x14ac:dyDescent="0.2">
      <c r="A41" s="4" t="s">
        <v>1294</v>
      </c>
    </row>
    <row r="42" spans="1:29" x14ac:dyDescent="0.2">
      <c r="A42" t="s">
        <v>1295</v>
      </c>
      <c r="D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0)))^D$5), MAX(INDEX(Assumptions!$B:$B, MATCH("Sales &amp; Marketing — end-state % (floor)", Assumptions!$A:$A, 0)), INDEX(Assumptions!$B:$B, MATCH("Sales &amp; Marketing — start % of (Starlink+Starshield+Customer Launch ext) rev", Assumptions!$A:$A, 0))*(1+INDEX(Assumptions!$B:$B, MATCH("Sales &amp; Marketing — CAGR (taper)", Assumptions!$A:$A, 0)))^D$5))</f>
        <v>0.04</v>
      </c>
      <c r="E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0)))^E$5), MAX(INDEX(Assumptions!$B:$B, MATCH("Sales &amp; Marketing — end-state % (floor)", Assumptions!$A:$A, 0)), INDEX(Assumptions!$B:$B, MATCH("Sales &amp; Marketing — start % of (Starlink+Starshield+Customer Launch ext) rev", Assumptions!$A:$A, 0))*(1+INDEX(Assumptions!$B:$B, MATCH("Sales &amp; Marketing — CAGR (taper)", Assumptions!$A:$A, 0)))^E$5))</f>
        <v>3.6799999999999999E-2</v>
      </c>
      <c r="F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0)))^F$5), MAX(INDEX(Assumptions!$B:$B, MATCH("Sales &amp; Marketing — end-state % (floor)", Assumptions!$A:$A, 0)), INDEX(Assumptions!$B:$B, MATCH("Sales &amp; Marketing — start % of (Starlink+Starshield+Customer Launch ext) rev", Assumptions!$A:$A, 0))*(1+INDEX(Assumptions!$B:$B, MATCH("Sales &amp; Marketing — CAGR (taper)", Assumptions!$A:$A, 0)))^F$5))</f>
        <v>3.3856000000000004E-2</v>
      </c>
      <c r="G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0)))^G$5), MAX(INDEX(Assumptions!$B:$B, MATCH("Sales &amp; Marketing — end-state % (floor)", Assumptions!$A:$A, 0)), INDEX(Assumptions!$B:$B, MATCH("Sales &amp; Marketing — start % of (Starlink+Starshield+Customer Launch ext) rev", Assumptions!$A:$A, 0))*(1+INDEX(Assumptions!$B:$B, MATCH("Sales &amp; Marketing — CAGR (taper)", Assumptions!$A:$A, 0)))^G$5))</f>
        <v>3.1147520000000001E-2</v>
      </c>
      <c r="H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0)))^H$5), MAX(INDEX(Assumptions!$B:$B, MATCH("Sales &amp; Marketing — end-state % (floor)", Assumptions!$A:$A, 0)), INDEX(Assumptions!$B:$B, MATCH("Sales &amp; Marketing — start % of (Starlink+Starshield+Customer Launch ext) rev", Assumptions!$A:$A, 0))*(1+INDEX(Assumptions!$B:$B, MATCH("Sales &amp; Marketing — CAGR (taper)", Assumptions!$A:$A, 0)))^H$5))</f>
        <v>2.8655718400000002E-2</v>
      </c>
      <c r="I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0)))^I$5), MAX(INDEX(Assumptions!$B:$B, MATCH("Sales &amp; Marketing — end-state % (floor)", Assumptions!$A:$A, 0)), INDEX(Assumptions!$B:$B, MATCH("Sales &amp; Marketing — start % of (Starlink+Starshield+Customer Launch ext) rev", Assumptions!$A:$A, 0))*(1+INDEX(Assumptions!$B:$B, MATCH("Sales &amp; Marketing — CAGR (taper)", Assumptions!$A:$A, 0)))^I$5))</f>
        <v>2.6363260928000006E-2</v>
      </c>
      <c r="J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0)))^J$5), MAX(INDEX(Assumptions!$B:$B, MATCH("Sales &amp; Marketing — end-state % (floor)", Assumptions!$A:$A, 0)), INDEX(Assumptions!$B:$B, MATCH("Sales &amp; Marketing — start % of (Starlink+Starshield+Customer Launch ext) rev", Assumptions!$A:$A, 0))*(1+INDEX(Assumptions!$B:$B, MATCH("Sales &amp; Marketing — CAGR (taper)", Assumptions!$A:$A, 0)))^J$5))</f>
        <v>2.4254200053760003E-2</v>
      </c>
      <c r="K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0)))^K$5), MAX(INDEX(Assumptions!$B:$B, MATCH("Sales &amp; Marketing — end-state % (floor)", Assumptions!$A:$A, 0)), INDEX(Assumptions!$B:$B, MATCH("Sales &amp; Marketing — start % of (Starlink+Starshield+Customer Launch ext) rev", Assumptions!$A:$A, 0))*(1+INDEX(Assumptions!$B:$B, MATCH("Sales &amp; Marketing — CAGR (taper)", Assumptions!$A:$A, 0)))^K$5))</f>
        <v>2.2313864049459203E-2</v>
      </c>
      <c r="L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0)))^L$5), MAX(INDEX(Assumptions!$B:$B, MATCH("Sales &amp; Marketing — end-state % (floor)", Assumptions!$A:$A, 0)), INDEX(Assumptions!$B:$B, MATCH("Sales &amp; Marketing — start % of (Starlink+Starshield+Customer Launch ext) rev", Assumptions!$A:$A, 0))*(1+INDEX(Assumptions!$B:$B, MATCH("Sales &amp; Marketing — CAGR (taper)", Assumptions!$A:$A, 0)))^L$5))</f>
        <v>2.052875492550247E-2</v>
      </c>
      <c r="M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0)))^M$5), MAX(INDEX(Assumptions!$B:$B, MATCH("Sales &amp; Marketing — end-state % (floor)", Assumptions!$A:$A, 0)), INDEX(Assumptions!$B:$B, MATCH("Sales &amp; Marketing — start % of (Starlink+Starshield+Customer Launch ext) rev", Assumptions!$A:$A, 0))*(1+INDEX(Assumptions!$B:$B, MATCH("Sales &amp; Marketing — CAGR (taper)", Assumptions!$A:$A, 0)))^M$5))</f>
        <v>0.02</v>
      </c>
      <c r="N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0)))^N$5), MAX(INDEX(Assumptions!$B:$B, MATCH("Sales &amp; Marketing — end-state % (floor)", Assumptions!$A:$A, 0)), INDEX(Assumptions!$B:$B, MATCH("Sales &amp; Marketing — start % of (Starlink+Starshield+Customer Launch ext) rev", Assumptions!$A:$A, 0))*(1+INDEX(Assumptions!$B:$B, MATCH("Sales &amp; Marketing — CAGR (taper)", Assumptions!$A:$A, 0)))^N$5))</f>
        <v>0.02</v>
      </c>
      <c r="O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0)))^O$5), MAX(INDEX(Assumptions!$B:$B, MATCH("Sales &amp; Marketing — end-state % (floor)", Assumptions!$A:$A, 0)), INDEX(Assumptions!$B:$B, MATCH("Sales &amp; Marketing — start % of (Starlink+Starshield+Customer Launch ext) rev", Assumptions!$A:$A, 0))*(1+INDEX(Assumptions!$B:$B, MATCH("Sales &amp; Marketing — CAGR (taper)", Assumptions!$A:$A, 0)))^O$5))</f>
        <v>0.02</v>
      </c>
      <c r="P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0)))^P$5), MAX(INDEX(Assumptions!$B:$B, MATCH("Sales &amp; Marketing — end-state % (floor)", Assumptions!$A:$A, 0)), INDEX(Assumptions!$B:$B, MATCH("Sales &amp; Marketing — start % of (Starlink+Starshield+Customer Launch ext) rev", Assumptions!$A:$A, 0))*(1+INDEX(Assumptions!$B:$B, MATCH("Sales &amp; Marketing — CAGR (taper)", Assumptions!$A:$A, 0)))^P$5))</f>
        <v>0.02</v>
      </c>
      <c r="Q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0)))^Q$5), MAX(INDEX(Assumptions!$B:$B, MATCH("Sales &amp; Marketing — end-state % (floor)", Assumptions!$A:$A, 0)), INDEX(Assumptions!$B:$B, MATCH("Sales &amp; Marketing — start % of (Starlink+Starshield+Customer Launch ext) rev", Assumptions!$A:$A, 0))*(1+INDEX(Assumptions!$B:$B, MATCH("Sales &amp; Marketing — CAGR (taper)", Assumptions!$A:$A, 0)))^Q$5))</f>
        <v>0.02</v>
      </c>
      <c r="R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0)))^R$5), MAX(INDEX(Assumptions!$B:$B, MATCH("Sales &amp; Marketing — end-state % (floor)", Assumptions!$A:$A, 0)), INDEX(Assumptions!$B:$B, MATCH("Sales &amp; Marketing — start % of (Starlink+Starshield+Customer Launch ext) rev", Assumptions!$A:$A, 0))*(1+INDEX(Assumptions!$B:$B, MATCH("Sales &amp; Marketing — CAGR (taper)", Assumptions!$A:$A, 0)))^R$5))</f>
        <v>0.02</v>
      </c>
      <c r="S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0)))^S$5), MAX(INDEX(Assumptions!$B:$B, MATCH("Sales &amp; Marketing — end-state % (floor)", Assumptions!$A:$A, 0)), INDEX(Assumptions!$B:$B, MATCH("Sales &amp; Marketing — start % of (Starlink+Starshield+Customer Launch ext) rev", Assumptions!$A:$A, 0))*(1+INDEX(Assumptions!$B:$B, MATCH("Sales &amp; Marketing — CAGR (taper)", Assumptions!$A:$A, 0)))^S$5))</f>
        <v>0.02</v>
      </c>
      <c r="T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0)))^T$5), MAX(INDEX(Assumptions!$B:$B, MATCH("Sales &amp; Marketing — end-state % (floor)", Assumptions!$A:$A, 0)), INDEX(Assumptions!$B:$B, MATCH("Sales &amp; Marketing — start % of (Starlink+Starshield+Customer Launch ext) rev", Assumptions!$A:$A, 0))*(1+INDEX(Assumptions!$B:$B, MATCH("Sales &amp; Marketing — CAGR (taper)", Assumptions!$A:$A, 0)))^T$5))</f>
        <v>0.02</v>
      </c>
      <c r="U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0)))^U$5), MAX(INDEX(Assumptions!$B:$B, MATCH("Sales &amp; Marketing — end-state % (floor)", Assumptions!$A:$A, 0)), INDEX(Assumptions!$B:$B, MATCH("Sales &amp; Marketing — start % of (Starlink+Starshield+Customer Launch ext) rev", Assumptions!$A:$A, 0))*(1+INDEX(Assumptions!$B:$B, MATCH("Sales &amp; Marketing — CAGR (taper)", Assumptions!$A:$A, 0)))^U$5))</f>
        <v>0.02</v>
      </c>
      <c r="V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0)))^V$5), MAX(INDEX(Assumptions!$B:$B, MATCH("Sales &amp; Marketing — end-state % (floor)", Assumptions!$A:$A, 0)), INDEX(Assumptions!$B:$B, MATCH("Sales &amp; Marketing — start % of (Starlink+Starshield+Customer Launch ext) rev", Assumptions!$A:$A, 0))*(1+INDEX(Assumptions!$B:$B, MATCH("Sales &amp; Marketing — CAGR (taper)", Assumptions!$A:$A, 0)))^V$5))</f>
        <v>0.02</v>
      </c>
      <c r="W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0)))^W$5), MAX(INDEX(Assumptions!$B:$B, MATCH("Sales &amp; Marketing — end-state % (floor)", Assumptions!$A:$A, 0)), INDEX(Assumptions!$B:$B, MATCH("Sales &amp; Marketing — start % of (Starlink+Starshield+Customer Launch ext) rev", Assumptions!$A:$A, 0))*(1+INDEX(Assumptions!$B:$B, MATCH("Sales &amp; Marketing — CAGR (taper)", Assumptions!$A:$A, 0)))^W$5))</f>
        <v>0.02</v>
      </c>
      <c r="X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0)))^X$5), MAX(INDEX(Assumptions!$B:$B, MATCH("Sales &amp; Marketing — end-state % (floor)", Assumptions!$A:$A, 0)), INDEX(Assumptions!$B:$B, MATCH("Sales &amp; Marketing — start % of (Starlink+Starshield+Customer Launch ext) rev", Assumptions!$A:$A, 0))*(1+INDEX(Assumptions!$B:$B, MATCH("Sales &amp; Marketing — CAGR (taper)", Assumptions!$A:$A, 0)))^X$5))</f>
        <v>0.02</v>
      </c>
      <c r="Y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0)))^Y$5), MAX(INDEX(Assumptions!$B:$B, MATCH("Sales &amp; Marketing — end-state % (floor)", Assumptions!$A:$A, 0)), INDEX(Assumptions!$B:$B, MATCH("Sales &amp; Marketing — start % of (Starlink+Starshield+Customer Launch ext) rev", Assumptions!$A:$A, 0))*(1+INDEX(Assumptions!$B:$B, MATCH("Sales &amp; Marketing — CAGR (taper)", Assumptions!$A:$A, 0)))^Y$5))</f>
        <v>0.02</v>
      </c>
      <c r="Z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0)))^Z$5), MAX(INDEX(Assumptions!$B:$B, MATCH("Sales &amp; Marketing — end-state % (floor)", Assumptions!$A:$A, 0)), INDEX(Assumptions!$B:$B, MATCH("Sales &amp; Marketing — start % of (Starlink+Starshield+Customer Launch ext) rev", Assumptions!$A:$A, 0))*(1+INDEX(Assumptions!$B:$B, MATCH("Sales &amp; Marketing — CAGR (taper)", Assumptions!$A:$A, 0)))^Z$5))</f>
        <v>0.02</v>
      </c>
      <c r="AA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0)))^AA$5), MAX(INDEX(Assumptions!$B:$B, MATCH("Sales &amp; Marketing — end-state % (floor)", Assumptions!$A:$A, 0)), INDEX(Assumptions!$B:$B, MATCH("Sales &amp; Marketing — start % of (Starlink+Starshield+Customer Launch ext) rev", Assumptions!$A:$A, 0))*(1+INDEX(Assumptions!$B:$B, MATCH("Sales &amp; Marketing — CAGR (taper)", Assumptions!$A:$A, 0)))^AA$5))</f>
        <v>0.02</v>
      </c>
      <c r="AB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0)))^AB$5), MAX(INDEX(Assumptions!$B:$B, MATCH("Sales &amp; Marketing — end-state % (floor)", Assumptions!$A:$A, 0)), INDEX(Assumptions!$B:$B, MATCH("Sales &amp; Marketing — start % of (Starlink+Starshield+Customer Launch ext) rev", Assumptions!$A:$A, 0))*(1+INDEX(Assumptions!$B:$B, MATCH("Sales &amp; Marketing — CAGR (taper)", Assumptions!$A:$A, 0)))^AB$5))</f>
        <v>0.02</v>
      </c>
      <c r="AC42" s="17">
        <f>IF(INDEX(Assumptions!$B:$B, MATCH("Sales &amp; Marketing — CAGR (taper)", Assumptions!$A:$A, 0))&gt;=0, MIN(INDEX(Assumptions!$B:$B, MATCH("Sales &amp; Marketing — end-state % (floor)", Assumptions!$A:$A, 0)), INDEX(Assumptions!$B:$B, MATCH("Sales &amp; Marketing — start % of (Starlink+Starshield+Customer Launch ext) rev", Assumptions!$A:$A, 0))*(1+INDEX(Assumptions!$B:$B, MATCH("Sales &amp; Marketing — CAGR (taper)", Assumptions!$A:$A, 0)))^AC$5), MAX(INDEX(Assumptions!$B:$B, MATCH("Sales &amp; Marketing — end-state % (floor)", Assumptions!$A:$A, 0)), INDEX(Assumptions!$B:$B, MATCH("Sales &amp; Marketing — start % of (Starlink+Starshield+Customer Launch ext) rev", Assumptions!$A:$A, 0))*(1+INDEX(Assumptions!$B:$B, MATCH("Sales &amp; Marketing — CAGR (taper)", Assumptions!$A:$A, 0)))^AC$5))</f>
        <v>0.02</v>
      </c>
    </row>
    <row r="43" spans="1:29" x14ac:dyDescent="0.2">
      <c r="A43" t="s">
        <v>1296</v>
      </c>
      <c r="D43" s="15" cm="1">
        <f t="array" aca="1" ref="D43" ca="1">D12+D18+IFERROR(INDEX('AI Stack'!$D:$AC, MATCH("Total Revenue ($mm)", 'AI Stack'!$A:$A, 0), D$5+1), 0)</f>
        <v>13855.06033033162</v>
      </c>
      <c r="E43" s="15" cm="1">
        <f t="array" aca="1" ref="E43" ca="1">E12+E18+IFERROR(INDEX('AI Stack'!$D:$AC, MATCH("Total Revenue ($mm)", 'AI Stack'!$A:$A, 0), E$5+1), 0)</f>
        <v>12000.958526016657</v>
      </c>
      <c r="F43" s="15" cm="1">
        <f t="array" aca="1" ref="F43" ca="1">F12+F18+IFERROR(INDEX('AI Stack'!$D:$AC, MATCH("Total Revenue ($mm)", 'AI Stack'!$A:$A, 0), F$5+1), 0)</f>
        <v>10605.811608617692</v>
      </c>
      <c r="G43" s="15" cm="1">
        <f t="array" aca="1" ref="G43" ca="1">G12+G18+IFERROR(INDEX('AI Stack'!$D:$AC, MATCH("Total Revenue ($mm)", 'AI Stack'!$A:$A, 0), G$5+1), 0)</f>
        <v>9336.4732081369766</v>
      </c>
      <c r="H43" s="15" cm="1">
        <f t="array" aca="1" ref="H43" ca="1">H12+H18+IFERROR(INDEX('AI Stack'!$D:$AC, MATCH("Total Revenue ($mm)", 'AI Stack'!$A:$A, 0), H$5+1), 0)</f>
        <v>8089.3703245101842</v>
      </c>
      <c r="I43" s="15" cm="1">
        <f t="array" aca="1" ref="I43" ca="1">I12+I18+IFERROR(INDEX('AI Stack'!$D:$AC, MATCH("Total Revenue ($mm)", 'AI Stack'!$A:$A, 0), I$5+1), 0)</f>
        <v>8162.7852164131173</v>
      </c>
      <c r="J43" s="15" cm="1">
        <f t="array" aca="1" ref="J43" ca="1">J12+J18+IFERROR(INDEX('AI Stack'!$D:$AC, MATCH("Total Revenue ($mm)", 'AI Stack'!$A:$A, 0), J$5+1), 0)</f>
        <v>8145.4298107552941</v>
      </c>
      <c r="K43" s="15" cm="1">
        <f t="array" aca="1" ref="K43" ca="1">K12+K18+IFERROR(INDEX('AI Stack'!$D:$AC, MATCH("Total Revenue ($mm)", 'AI Stack'!$A:$A, 0), K$5+1), 0)</f>
        <v>8424.0823115506282</v>
      </c>
      <c r="L43" s="15" cm="1">
        <f t="array" aca="1" ref="L43" ca="1">L12+L18+IFERROR(INDEX('AI Stack'!$D:$AC, MATCH("Total Revenue ($mm)", 'AI Stack'!$A:$A, 0), L$5+1), 0)</f>
        <v>7690.9479177682551</v>
      </c>
      <c r="M43" s="15" cm="1">
        <f t="array" aca="1" ref="M43" ca="1">M12+M18+IFERROR(INDEX('AI Stack'!$D:$AC, MATCH("Total Revenue ($mm)", 'AI Stack'!$A:$A, 0), M$5+1), 0)</f>
        <v>8936.9656874057873</v>
      </c>
      <c r="N43" s="15" cm="1">
        <f t="array" aca="1" ref="N43" ca="1">N12+N18+IFERROR(INDEX('AI Stack'!$D:$AC, MATCH("Total Revenue ($mm)", 'AI Stack'!$A:$A, 0), N$5+1), 0)</f>
        <v>7800.2453517403701</v>
      </c>
      <c r="O43" s="15" cm="1">
        <f t="array" aca="1" ref="O43" ca="1">O12+O18+IFERROR(INDEX('AI Stack'!$D:$AC, MATCH("Total Revenue ($mm)", 'AI Stack'!$A:$A, 0), O$5+1), 0)</f>
        <v>7654.7401438142697</v>
      </c>
      <c r="P43" s="15" cm="1">
        <f t="array" aca="1" ref="P43" ca="1">P12+P18+IFERROR(INDEX('AI Stack'!$D:$AC, MATCH("Total Revenue ($mm)", 'AI Stack'!$A:$A, 0), P$5+1), 0)</f>
        <v>9898.2419447553038</v>
      </c>
      <c r="Q43" s="15" cm="1">
        <f t="array" aca="1" ref="Q43" ca="1">Q12+Q18+IFERROR(INDEX('AI Stack'!$D:$AC, MATCH("Total Revenue ($mm)", 'AI Stack'!$A:$A, 0), Q$5+1), 0)</f>
        <v>8006.5543097254895</v>
      </c>
      <c r="R43" s="15" cm="1">
        <f t="array" aca="1" ref="R43" ca="1">R12+R18+IFERROR(INDEX('AI Stack'!$D:$AC, MATCH("Total Revenue ($mm)", 'AI Stack'!$A:$A, 0), R$5+1), 0)</f>
        <v>10392.001176685106</v>
      </c>
      <c r="S43" s="15" cm="1">
        <f t="array" aca="1" ref="S43" ca="1">S12+S18+IFERROR(INDEX('AI Stack'!$D:$AC, MATCH("Total Revenue ($mm)", 'AI Stack'!$A:$A, 0), S$5+1), 0)</f>
        <v>8667.3649856770717</v>
      </c>
      <c r="T43" s="15" cm="1">
        <f t="array" aca="1" ref="T43" ca="1">T12+T18+IFERROR(INDEX('AI Stack'!$D:$AC, MATCH("Total Revenue ($mm)", 'AI Stack'!$A:$A, 0), T$5+1), 0)</f>
        <v>9032.7392676528561</v>
      </c>
      <c r="U43" s="15" cm="1">
        <f t="array" aca="1" ref="U43" ca="1">U12+U18+IFERROR(INDEX('AI Stack'!$D:$AC, MATCH("Total Revenue ($mm)", 'AI Stack'!$A:$A, 0), U$5+1), 0)</f>
        <v>11962.459835675038</v>
      </c>
      <c r="V43" s="15" cm="1">
        <f t="array" aca="1" ref="V43" ca="1">V12+V18+IFERROR(INDEX('AI Stack'!$D:$AC, MATCH("Total Revenue ($mm)", 'AI Stack'!$A:$A, 0), V$5+1), 0)</f>
        <v>9839.9437936860431</v>
      </c>
      <c r="W43" s="15" cm="1">
        <f t="array" aca="1" ref="W43" ca="1">W12+W18+IFERROR(INDEX('AI Stack'!$D:$AC, MATCH("Total Revenue ($mm)", 'AI Stack'!$A:$A, 0), W$5+1), 0)</f>
        <v>12140.847786438513</v>
      </c>
      <c r="X43" s="15" cm="1">
        <f t="array" aca="1" ref="X43" ca="1">X12+X18+IFERROR(INDEX('AI Stack'!$D:$AC, MATCH("Total Revenue ($mm)", 'AI Stack'!$A:$A, 0), X$5+1), 0)</f>
        <v>12352.930358734944</v>
      </c>
      <c r="Y43" s="15" cm="1">
        <f t="array" aca="1" ref="Y43" ca="1">Y12+Y18+IFERROR(INDEX('AI Stack'!$D:$AC, MATCH("Total Revenue ($mm)", 'AI Stack'!$A:$A, 0), Y$5+1), 0)</f>
        <v>11240.152870379648</v>
      </c>
      <c r="Z43" s="15" cm="1">
        <f t="array" aca="1" ref="Z43" ca="1">Z12+Z18+IFERROR(INDEX('AI Stack'!$D:$AC, MATCH("Total Revenue ($mm)", 'AI Stack'!$A:$A, 0), Z$5+1), 0)</f>
        <v>14645.563994239907</v>
      </c>
      <c r="AA43" s="15" cm="1">
        <f t="array" aca="1" ref="AA43" ca="1">AA12+AA18+IFERROR(INDEX('AI Stack'!$D:$AC, MATCH("Total Revenue ($mm)", 'AI Stack'!$A:$A, 0), AA$5+1), 0)</f>
        <v>12301.005196048776</v>
      </c>
      <c r="AB43" s="15" cm="1">
        <f t="array" aca="1" ref="AB43" ca="1">AB12+AB18+IFERROR(INDEX('AI Stack'!$D:$AC, MATCH("Total Revenue ($mm)", 'AI Stack'!$A:$A, 0), AB$5+1), 0)</f>
        <v>14136.733380527949</v>
      </c>
      <c r="AC43" s="15" cm="1">
        <f t="array" aca="1" ref="AC43" ca="1">AC12+AC18+IFERROR(INDEX('AI Stack'!$D:$AC, MATCH("Total Revenue ($mm)", 'AI Stack'!$A:$A, 0), AC$5+1), 0)</f>
        <v>16532.454821727057</v>
      </c>
    </row>
    <row r="44" spans="1:29" x14ac:dyDescent="0.2">
      <c r="A44" t="s">
        <v>1297</v>
      </c>
      <c r="D44" s="40">
        <f ca="1">D42*D43</f>
        <v>554.20241321326478</v>
      </c>
      <c r="E44" s="40">
        <f t="shared" ref="E44:AC44" ca="1" si="5">E42*E43</f>
        <v>441.63527375741296</v>
      </c>
      <c r="F44" s="40">
        <f t="shared" ca="1" si="5"/>
        <v>359.07035782136063</v>
      </c>
      <c r="G44" s="40">
        <f t="shared" ca="1" si="5"/>
        <v>290.80798597991065</v>
      </c>
      <c r="H44" s="40">
        <f t="shared" ca="1" si="5"/>
        <v>231.80671805248048</v>
      </c>
      <c r="I44" s="40">
        <f t="shared" ca="1" si="5"/>
        <v>215.19763655952002</v>
      </c>
      <c r="J44" s="40">
        <f t="shared" ca="1" si="5"/>
        <v>197.56088415391937</v>
      </c>
      <c r="K44" s="40">
        <f t="shared" ca="1" si="5"/>
        <v>187.97382744139475</v>
      </c>
      <c r="L44" s="40">
        <f t="shared" ca="1" si="5"/>
        <v>157.88558494866803</v>
      </c>
      <c r="M44" s="40">
        <f t="shared" ca="1" si="5"/>
        <v>178.73931374811576</v>
      </c>
      <c r="N44" s="40">
        <f t="shared" ca="1" si="5"/>
        <v>156.00490703480742</v>
      </c>
      <c r="O44" s="40">
        <f t="shared" ca="1" si="5"/>
        <v>153.0948028762854</v>
      </c>
      <c r="P44" s="40">
        <f t="shared" ca="1" si="5"/>
        <v>197.96483889510608</v>
      </c>
      <c r="Q44" s="40">
        <f t="shared" ca="1" si="5"/>
        <v>160.13108619450981</v>
      </c>
      <c r="R44" s="40">
        <f t="shared" ca="1" si="5"/>
        <v>207.84002353370212</v>
      </c>
      <c r="S44" s="40">
        <f t="shared" ca="1" si="5"/>
        <v>173.34729971354145</v>
      </c>
      <c r="T44" s="40">
        <f t="shared" ca="1" si="5"/>
        <v>180.65478535305712</v>
      </c>
      <c r="U44" s="40">
        <f t="shared" ca="1" si="5"/>
        <v>239.24919671350077</v>
      </c>
      <c r="V44" s="40">
        <f t="shared" ca="1" si="5"/>
        <v>196.79887587372087</v>
      </c>
      <c r="W44" s="40">
        <f t="shared" ca="1" si="5"/>
        <v>242.81695572877027</v>
      </c>
      <c r="X44" s="40">
        <f t="shared" ca="1" si="5"/>
        <v>247.05860717469889</v>
      </c>
      <c r="Y44" s="40">
        <f t="shared" ca="1" si="5"/>
        <v>224.80305740759297</v>
      </c>
      <c r="Z44" s="40">
        <f t="shared" ca="1" si="5"/>
        <v>292.91127988479815</v>
      </c>
      <c r="AA44" s="40">
        <f t="shared" ca="1" si="5"/>
        <v>246.02010392097554</v>
      </c>
      <c r="AB44" s="40">
        <f t="shared" ca="1" si="5"/>
        <v>282.73466761055897</v>
      </c>
      <c r="AC44" s="40">
        <f t="shared" ca="1" si="5"/>
        <v>330.64909643454115</v>
      </c>
    </row>
    <row r="45" spans="1:29" x14ac:dyDescent="0.2">
      <c r="A45" t="s">
        <v>1298</v>
      </c>
      <c r="D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0)))^D$5), MAX(INDEX(Assumptions!$B:$B, MATCH("General &amp; Administrative — end-state % (ceiling)", Assumptions!$A:$A, 0)), INDEX(Assumptions!$B:$B, MATCH("General &amp; Administrative — start % of group rev", Assumptions!$A:$A, 0))*(1+INDEX(Assumptions!$B:$B, MATCH("General &amp; Administrative — CAGR (drift)", Assumptions!$A:$A, 0)))^D$5))</f>
        <v>0.05</v>
      </c>
      <c r="E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0)))^E$5), MAX(INDEX(Assumptions!$B:$B, MATCH("General &amp; Administrative — end-state % (ceiling)", Assumptions!$A:$A, 0)), INDEX(Assumptions!$B:$B, MATCH("General &amp; Administrative — start % of group rev", Assumptions!$A:$A, 0))*(1+INDEX(Assumptions!$B:$B, MATCH("General &amp; Administrative — CAGR (drift)", Assumptions!$A:$A, 0)))^E$5))</f>
        <v>5.0500000000000003E-2</v>
      </c>
      <c r="F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0)))^F$5), MAX(INDEX(Assumptions!$B:$B, MATCH("General &amp; Administrative — end-state % (ceiling)", Assumptions!$A:$A, 0)), INDEX(Assumptions!$B:$B, MATCH("General &amp; Administrative — start % of group rev", Assumptions!$A:$A, 0))*(1+INDEX(Assumptions!$B:$B, MATCH("General &amp; Administrative — CAGR (drift)", Assumptions!$A:$A, 0)))^F$5))</f>
        <v>5.1005000000000002E-2</v>
      </c>
      <c r="G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0)))^G$5), MAX(INDEX(Assumptions!$B:$B, MATCH("General &amp; Administrative — end-state % (ceiling)", Assumptions!$A:$A, 0)), INDEX(Assumptions!$B:$B, MATCH("General &amp; Administrative — start % of group rev", Assumptions!$A:$A, 0))*(1+INDEX(Assumptions!$B:$B, MATCH("General &amp; Administrative — CAGR (drift)", Assumptions!$A:$A, 0)))^G$5))</f>
        <v>5.151505E-2</v>
      </c>
      <c r="H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0)))^H$5), MAX(INDEX(Assumptions!$B:$B, MATCH("General &amp; Administrative — end-state % (ceiling)", Assumptions!$A:$A, 0)), INDEX(Assumptions!$B:$B, MATCH("General &amp; Administrative — start % of group rev", Assumptions!$A:$A, 0))*(1+INDEX(Assumptions!$B:$B, MATCH("General &amp; Administrative — CAGR (drift)", Assumptions!$A:$A, 0)))^H$5))</f>
        <v>5.2030200500000005E-2</v>
      </c>
      <c r="I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0)))^I$5), MAX(INDEX(Assumptions!$B:$B, MATCH("General &amp; Administrative — end-state % (ceiling)", Assumptions!$A:$A, 0)), INDEX(Assumptions!$B:$B, MATCH("General &amp; Administrative — start % of group rev", Assumptions!$A:$A, 0))*(1+INDEX(Assumptions!$B:$B, MATCH("General &amp; Administrative — CAGR (drift)", Assumptions!$A:$A, 0)))^I$5))</f>
        <v>5.2550502504999999E-2</v>
      </c>
      <c r="J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0)))^J$5), MAX(INDEX(Assumptions!$B:$B, MATCH("General &amp; Administrative — end-state % (ceiling)", Assumptions!$A:$A, 0)), INDEX(Assumptions!$B:$B, MATCH("General &amp; Administrative — start % of group rev", Assumptions!$A:$A, 0))*(1+INDEX(Assumptions!$B:$B, MATCH("General &amp; Administrative — CAGR (drift)", Assumptions!$A:$A, 0)))^J$5))</f>
        <v>5.3076007530050012E-2</v>
      </c>
      <c r="K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0)))^K$5), MAX(INDEX(Assumptions!$B:$B, MATCH("General &amp; Administrative — end-state % (ceiling)", Assumptions!$A:$A, 0)), INDEX(Assumptions!$B:$B, MATCH("General &amp; Administrative — start % of group rev", Assumptions!$A:$A, 0))*(1+INDEX(Assumptions!$B:$B, MATCH("General &amp; Administrative — CAGR (drift)", Assumptions!$A:$A, 0)))^K$5))</f>
        <v>5.3606767605350492E-2</v>
      </c>
      <c r="L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0)))^L$5), MAX(INDEX(Assumptions!$B:$B, MATCH("General &amp; Administrative — end-state % (ceiling)", Assumptions!$A:$A, 0)), INDEX(Assumptions!$B:$B, MATCH("General &amp; Administrative — start % of group rev", Assumptions!$A:$A, 0))*(1+INDEX(Assumptions!$B:$B, MATCH("General &amp; Administrative — CAGR (drift)", Assumptions!$A:$A, 0)))^L$5))</f>
        <v>5.4142835281404011E-2</v>
      </c>
      <c r="M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0)))^M$5), MAX(INDEX(Assumptions!$B:$B, MATCH("General &amp; Administrative — end-state % (ceiling)", Assumptions!$A:$A, 0)), INDEX(Assumptions!$B:$B, MATCH("General &amp; Administrative — start % of group rev", Assumptions!$A:$A, 0))*(1+INDEX(Assumptions!$B:$B, MATCH("General &amp; Administrative — CAGR (drift)", Assumptions!$A:$A, 0)))^M$5))</f>
        <v>5.4684263634218057E-2</v>
      </c>
      <c r="N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0)))^N$5), MAX(INDEX(Assumptions!$B:$B, MATCH("General &amp; Administrative — end-state % (ceiling)", Assumptions!$A:$A, 0)), INDEX(Assumptions!$B:$B, MATCH("General &amp; Administrative — start % of group rev", Assumptions!$A:$A, 0))*(1+INDEX(Assumptions!$B:$B, MATCH("General &amp; Administrative — CAGR (drift)", Assumptions!$A:$A, 0)))^N$5))</f>
        <v>5.5231106270560243E-2</v>
      </c>
      <c r="O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0)))^O$5), MAX(INDEX(Assumptions!$B:$B, MATCH("General &amp; Administrative — end-state % (ceiling)", Assumptions!$A:$A, 0)), INDEX(Assumptions!$B:$B, MATCH("General &amp; Administrative — start % of group rev", Assumptions!$A:$A, 0))*(1+INDEX(Assumptions!$B:$B, MATCH("General &amp; Administrative — CAGR (drift)", Assumptions!$A:$A, 0)))^O$5))</f>
        <v>5.5783417333265833E-2</v>
      </c>
      <c r="P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0)))^P$5), MAX(INDEX(Assumptions!$B:$B, MATCH("General &amp; Administrative — end-state % (ceiling)", Assumptions!$A:$A, 0)), INDEX(Assumptions!$B:$B, MATCH("General &amp; Administrative — start % of group rev", Assumptions!$A:$A, 0))*(1+INDEX(Assumptions!$B:$B, MATCH("General &amp; Administrative — CAGR (drift)", Assumptions!$A:$A, 0)))^P$5))</f>
        <v>5.6341251506598494E-2</v>
      </c>
      <c r="Q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0)))^Q$5), MAX(INDEX(Assumptions!$B:$B, MATCH("General &amp; Administrative — end-state % (ceiling)", Assumptions!$A:$A, 0)), INDEX(Assumptions!$B:$B, MATCH("General &amp; Administrative — start % of group rev", Assumptions!$A:$A, 0))*(1+INDEX(Assumptions!$B:$B, MATCH("General &amp; Administrative — CAGR (drift)", Assumptions!$A:$A, 0)))^Q$5))</f>
        <v>5.6904664021664476E-2</v>
      </c>
      <c r="R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0)))^R$5), MAX(INDEX(Assumptions!$B:$B, MATCH("General &amp; Administrative — end-state % (ceiling)", Assumptions!$A:$A, 0)), INDEX(Assumptions!$B:$B, MATCH("General &amp; Administrative — start % of group rev", Assumptions!$A:$A, 0))*(1+INDEX(Assumptions!$B:$B, MATCH("General &amp; Administrative — CAGR (drift)", Assumptions!$A:$A, 0)))^R$5))</f>
        <v>5.7473710661881131E-2</v>
      </c>
      <c r="S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0)))^S$5), MAX(INDEX(Assumptions!$B:$B, MATCH("General &amp; Administrative — end-state % (ceiling)", Assumptions!$A:$A, 0)), INDEX(Assumptions!$B:$B, MATCH("General &amp; Administrative — start % of group rev", Assumptions!$A:$A, 0))*(1+INDEX(Assumptions!$B:$B, MATCH("General &amp; Administrative — CAGR (drift)", Assumptions!$A:$A, 0)))^S$5))</f>
        <v>5.8048447768499926E-2</v>
      </c>
      <c r="T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0)))^T$5), MAX(INDEX(Assumptions!$B:$B, MATCH("General &amp; Administrative — end-state % (ceiling)", Assumptions!$A:$A, 0)), INDEX(Assumptions!$B:$B, MATCH("General &amp; Administrative — start % of group rev", Assumptions!$A:$A, 0))*(1+INDEX(Assumptions!$B:$B, MATCH("General &amp; Administrative — CAGR (drift)", Assumptions!$A:$A, 0)))^T$5))</f>
        <v>5.8628932246184942E-2</v>
      </c>
      <c r="U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0)))^U$5), MAX(INDEX(Assumptions!$B:$B, MATCH("General &amp; Administrative — end-state % (ceiling)", Assumptions!$A:$A, 0)), INDEX(Assumptions!$B:$B, MATCH("General &amp; Administrative — start % of group rev", Assumptions!$A:$A, 0))*(1+INDEX(Assumptions!$B:$B, MATCH("General &amp; Administrative — CAGR (drift)", Assumptions!$A:$A, 0)))^U$5))</f>
        <v>5.9215221568646795E-2</v>
      </c>
      <c r="V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0)))^V$5), MAX(INDEX(Assumptions!$B:$B, MATCH("General &amp; Administrative — end-state % (ceiling)", Assumptions!$A:$A, 0)), INDEX(Assumptions!$B:$B, MATCH("General &amp; Administrative — start % of group rev", Assumptions!$A:$A, 0))*(1+INDEX(Assumptions!$B:$B, MATCH("General &amp; Administrative — CAGR (drift)", Assumptions!$A:$A, 0)))^V$5))</f>
        <v>5.9807373784333262E-2</v>
      </c>
      <c r="W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0)))^W$5), MAX(INDEX(Assumptions!$B:$B, MATCH("General &amp; Administrative — end-state % (ceiling)", Assumptions!$A:$A, 0)), INDEX(Assumptions!$B:$B, MATCH("General &amp; Administrative — start % of group rev", Assumptions!$A:$A, 0))*(1+INDEX(Assumptions!$B:$B, MATCH("General &amp; Administrative — CAGR (drift)", Assumptions!$A:$A, 0)))^W$5))</f>
        <v>0.06</v>
      </c>
      <c r="X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0)))^X$5), MAX(INDEX(Assumptions!$B:$B, MATCH("General &amp; Administrative — end-state % (ceiling)", Assumptions!$A:$A, 0)), INDEX(Assumptions!$B:$B, MATCH("General &amp; Administrative — start % of group rev", Assumptions!$A:$A, 0))*(1+INDEX(Assumptions!$B:$B, MATCH("General &amp; Administrative — CAGR (drift)", Assumptions!$A:$A, 0)))^X$5))</f>
        <v>0.06</v>
      </c>
      <c r="Y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0)))^Y$5), MAX(INDEX(Assumptions!$B:$B, MATCH("General &amp; Administrative — end-state % (ceiling)", Assumptions!$A:$A, 0)), INDEX(Assumptions!$B:$B, MATCH("General &amp; Administrative — start % of group rev", Assumptions!$A:$A, 0))*(1+INDEX(Assumptions!$B:$B, MATCH("General &amp; Administrative — CAGR (drift)", Assumptions!$A:$A, 0)))^Y$5))</f>
        <v>0.06</v>
      </c>
      <c r="Z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0)))^Z$5), MAX(INDEX(Assumptions!$B:$B, MATCH("General &amp; Administrative — end-state % (ceiling)", Assumptions!$A:$A, 0)), INDEX(Assumptions!$B:$B, MATCH("General &amp; Administrative — start % of group rev", Assumptions!$A:$A, 0))*(1+INDEX(Assumptions!$B:$B, MATCH("General &amp; Administrative — CAGR (drift)", Assumptions!$A:$A, 0)))^Z$5))</f>
        <v>0.06</v>
      </c>
      <c r="AA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0)))^AA$5), MAX(INDEX(Assumptions!$B:$B, MATCH("General &amp; Administrative — end-state % (ceiling)", Assumptions!$A:$A, 0)), INDEX(Assumptions!$B:$B, MATCH("General &amp; Administrative — start % of group rev", Assumptions!$A:$A, 0))*(1+INDEX(Assumptions!$B:$B, MATCH("General &amp; Administrative — CAGR (drift)", Assumptions!$A:$A, 0)))^AA$5))</f>
        <v>0.06</v>
      </c>
      <c r="AB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0)))^AB$5), MAX(INDEX(Assumptions!$B:$B, MATCH("General &amp; Administrative — end-state % (ceiling)", Assumptions!$A:$A, 0)), INDEX(Assumptions!$B:$B, MATCH("General &amp; Administrative — start % of group rev", Assumptions!$A:$A, 0))*(1+INDEX(Assumptions!$B:$B, MATCH("General &amp; Administrative — CAGR (drift)", Assumptions!$A:$A, 0)))^AB$5))</f>
        <v>0.06</v>
      </c>
      <c r="AC45" s="17">
        <f>IF(INDEX(Assumptions!$B:$B, MATCH("General &amp; Administrative — CAGR (drift)", Assumptions!$A:$A, 0))&gt;=0, MIN(INDEX(Assumptions!$B:$B, MATCH("General &amp; Administrative — end-state % (ceiling)", Assumptions!$A:$A, 0)), INDEX(Assumptions!$B:$B, MATCH("General &amp; Administrative — start % of group rev", Assumptions!$A:$A, 0))*(1+INDEX(Assumptions!$B:$B, MATCH("General &amp; Administrative — CAGR (drift)", Assumptions!$A:$A, 0)))^AC$5), MAX(INDEX(Assumptions!$B:$B, MATCH("General &amp; Administrative — end-state % (ceiling)", Assumptions!$A:$A, 0)), INDEX(Assumptions!$B:$B, MATCH("General &amp; Administrative — start % of group rev", Assumptions!$A:$A, 0))*(1+INDEX(Assumptions!$B:$B, MATCH("General &amp; Administrative — CAGR (drift)", Assumptions!$A:$A, 0)))^AC$5))</f>
        <v>0.06</v>
      </c>
    </row>
    <row r="46" spans="1:29" x14ac:dyDescent="0.2">
      <c r="A46" t="s">
        <v>1433</v>
      </c>
      <c r="C46" t="s">
        <v>1434</v>
      </c>
      <c r="D46" s="15" cm="1">
        <f t="array" aca="1" ref="D46" ca="1">INDEX('Group P&amp;L'!$D:$AC, MATCH("GROUP REVENUE NET OF ELIMS ($mm)", 'Group P&amp;L'!$A:$A, 0), D$5+1)</f>
        <v>13855.06033033162</v>
      </c>
      <c r="E46" s="15" cm="1">
        <f t="array" aca="1" ref="E46" ca="1">INDEX('Group P&amp;L'!$D:$AC, MATCH("GROUP REVENUE NET OF ELIMS ($mm)", 'Group P&amp;L'!$A:$A, 0), E$5+1)</f>
        <v>12000.958526016657</v>
      </c>
      <c r="F46" s="15" cm="1">
        <f t="array" aca="1" ref="F46" ca="1">INDEX('Group P&amp;L'!$D:$AC, MATCH("GROUP REVENUE NET OF ELIMS ($mm)", 'Group P&amp;L'!$A:$A, 0), F$5+1)</f>
        <v>10605.811608617692</v>
      </c>
      <c r="G46" s="15" cm="1">
        <f t="array" aca="1" ref="G46" ca="1">INDEX('Group P&amp;L'!$D:$AC, MATCH("GROUP REVENUE NET OF ELIMS ($mm)", 'Group P&amp;L'!$A:$A, 0), G$5+1)</f>
        <v>9336.4732081369766</v>
      </c>
      <c r="H46" s="15" cm="1">
        <f t="array" aca="1" ref="H46" ca="1">INDEX('Group P&amp;L'!$D:$AC, MATCH("GROUP REVENUE NET OF ELIMS ($mm)", 'Group P&amp;L'!$A:$A, 0), H$5+1)</f>
        <v>8089.3703245101842</v>
      </c>
      <c r="I46" s="15" cm="1">
        <f t="array" aca="1" ref="I46" ca="1">INDEX('Group P&amp;L'!$D:$AC, MATCH("GROUP REVENUE NET OF ELIMS ($mm)", 'Group P&amp;L'!$A:$A, 0), I$5+1)</f>
        <v>8162.7852164131173</v>
      </c>
      <c r="J46" s="15" cm="1">
        <f t="array" aca="1" ref="J46" ca="1">INDEX('Group P&amp;L'!$D:$AC, MATCH("GROUP REVENUE NET OF ELIMS ($mm)", 'Group P&amp;L'!$A:$A, 0), J$5+1)</f>
        <v>8145.4298107552941</v>
      </c>
      <c r="K46" s="15" cm="1">
        <f t="array" aca="1" ref="K46" ca="1">INDEX('Group P&amp;L'!$D:$AC, MATCH("GROUP REVENUE NET OF ELIMS ($mm)", 'Group P&amp;L'!$A:$A, 0), K$5+1)</f>
        <v>8424.0823115506282</v>
      </c>
      <c r="L46" s="15" cm="1">
        <f t="array" aca="1" ref="L46" ca="1">INDEX('Group P&amp;L'!$D:$AC, MATCH("GROUP REVENUE NET OF ELIMS ($mm)", 'Group P&amp;L'!$A:$A, 0), L$5+1)</f>
        <v>7690.9479177682551</v>
      </c>
      <c r="M46" s="15" cm="1">
        <f t="array" aca="1" ref="M46" ca="1">INDEX('Group P&amp;L'!$D:$AC, MATCH("GROUP REVENUE NET OF ELIMS ($mm)", 'Group P&amp;L'!$A:$A, 0), M$5+1)</f>
        <v>8936.9656874057873</v>
      </c>
      <c r="N46" s="15" cm="1">
        <f t="array" aca="1" ref="N46" ca="1">INDEX('Group P&amp;L'!$D:$AC, MATCH("GROUP REVENUE NET OF ELIMS ($mm)", 'Group P&amp;L'!$A:$A, 0), N$5+1)</f>
        <v>7800.2453517403701</v>
      </c>
      <c r="O46" s="15" cm="1">
        <f t="array" aca="1" ref="O46" ca="1">INDEX('Group P&amp;L'!$D:$AC, MATCH("GROUP REVENUE NET OF ELIMS ($mm)", 'Group P&amp;L'!$A:$A, 0), O$5+1)</f>
        <v>7654.7401438142697</v>
      </c>
      <c r="P46" s="15" cm="1">
        <f t="array" aca="1" ref="P46" ca="1">INDEX('Group P&amp;L'!$D:$AC, MATCH("GROUP REVENUE NET OF ELIMS ($mm)", 'Group P&amp;L'!$A:$A, 0), P$5+1)</f>
        <v>9898.2419447553038</v>
      </c>
      <c r="Q46" s="15" cm="1">
        <f t="array" aca="1" ref="Q46" ca="1">INDEX('Group P&amp;L'!$D:$AC, MATCH("GROUP REVENUE NET OF ELIMS ($mm)", 'Group P&amp;L'!$A:$A, 0), Q$5+1)</f>
        <v>8006.5543097254895</v>
      </c>
      <c r="R46" s="15" cm="1">
        <f t="array" aca="1" ref="R46" ca="1">INDEX('Group P&amp;L'!$D:$AC, MATCH("GROUP REVENUE NET OF ELIMS ($mm)", 'Group P&amp;L'!$A:$A, 0), R$5+1)</f>
        <v>10392.001176685106</v>
      </c>
      <c r="S46" s="15" cm="1">
        <f t="array" aca="1" ref="S46" ca="1">INDEX('Group P&amp;L'!$D:$AC, MATCH("GROUP REVENUE NET OF ELIMS ($mm)", 'Group P&amp;L'!$A:$A, 0), S$5+1)</f>
        <v>8667.3649856770717</v>
      </c>
      <c r="T46" s="15" cm="1">
        <f t="array" aca="1" ref="T46" ca="1">INDEX('Group P&amp;L'!$D:$AC, MATCH("GROUP REVENUE NET OF ELIMS ($mm)", 'Group P&amp;L'!$A:$A, 0), T$5+1)</f>
        <v>9032.7392676528561</v>
      </c>
      <c r="U46" s="15" cm="1">
        <f t="array" aca="1" ref="U46" ca="1">INDEX('Group P&amp;L'!$D:$AC, MATCH("GROUP REVENUE NET OF ELIMS ($mm)", 'Group P&amp;L'!$A:$A, 0), U$5+1)</f>
        <v>11962.459835675038</v>
      </c>
      <c r="V46" s="15" cm="1">
        <f t="array" aca="1" ref="V46" ca="1">INDEX('Group P&amp;L'!$D:$AC, MATCH("GROUP REVENUE NET OF ELIMS ($mm)", 'Group P&amp;L'!$A:$A, 0), V$5+1)</f>
        <v>9839.9437936860431</v>
      </c>
      <c r="W46" s="15" cm="1">
        <f t="array" aca="1" ref="W46" ca="1">INDEX('Group P&amp;L'!$D:$AC, MATCH("GROUP REVENUE NET OF ELIMS ($mm)", 'Group P&amp;L'!$A:$A, 0), W$5+1)</f>
        <v>12140.847786438513</v>
      </c>
      <c r="X46" s="15" cm="1">
        <f t="array" aca="1" ref="X46" ca="1">INDEX('Group P&amp;L'!$D:$AC, MATCH("GROUP REVENUE NET OF ELIMS ($mm)", 'Group P&amp;L'!$A:$A, 0), X$5+1)</f>
        <v>12352.930358734944</v>
      </c>
      <c r="Y46" s="15" cm="1">
        <f t="array" aca="1" ref="Y46" ca="1">INDEX('Group P&amp;L'!$D:$AC, MATCH("GROUP REVENUE NET OF ELIMS ($mm)", 'Group P&amp;L'!$A:$A, 0), Y$5+1)</f>
        <v>11240.152870379648</v>
      </c>
      <c r="Z46" s="15" cm="1">
        <f t="array" aca="1" ref="Z46" ca="1">INDEX('Group P&amp;L'!$D:$AC, MATCH("GROUP REVENUE NET OF ELIMS ($mm)", 'Group P&amp;L'!$A:$A, 0), Z$5+1)</f>
        <v>14645.563994239907</v>
      </c>
      <c r="AA46" s="15" cm="1">
        <f t="array" aca="1" ref="AA46" ca="1">INDEX('Group P&amp;L'!$D:$AC, MATCH("GROUP REVENUE NET OF ELIMS ($mm)", 'Group P&amp;L'!$A:$A, 0), AA$5+1)</f>
        <v>12301.005196048776</v>
      </c>
      <c r="AB46" s="15" cm="1">
        <f t="array" aca="1" ref="AB46" ca="1">INDEX('Group P&amp;L'!$D:$AC, MATCH("GROUP REVENUE NET OF ELIMS ($mm)", 'Group P&amp;L'!$A:$A, 0), AB$5+1)</f>
        <v>14136.733380527949</v>
      </c>
      <c r="AC46" s="15" cm="1">
        <f t="array" aca="1" ref="AC46" ca="1">INDEX('Group P&amp;L'!$D:$AC, MATCH("GROUP REVENUE NET OF ELIMS ($mm)", 'Group P&amp;L'!$A:$A, 0), AC$5+1)</f>
        <v>16532.454821727057</v>
      </c>
    </row>
    <row r="47" spans="1:29" x14ac:dyDescent="0.2">
      <c r="A47" t="s">
        <v>1299</v>
      </c>
      <c r="D47" s="40">
        <f ca="1">D45*D46</f>
        <v>692.75301651658106</v>
      </c>
      <c r="E47" s="40">
        <f t="shared" ref="E47:AC47" ca="1" si="6">E45*E46</f>
        <v>606.04840556384124</v>
      </c>
      <c r="F47" s="40">
        <f t="shared" ca="1" si="6"/>
        <v>540.94942109754538</v>
      </c>
      <c r="G47" s="40">
        <f t="shared" ca="1" si="6"/>
        <v>480.96888414083674</v>
      </c>
      <c r="H47" s="40">
        <f t="shared" ca="1" si="6"/>
        <v>420.89155990301498</v>
      </c>
      <c r="I47" s="40">
        <f t="shared" ca="1" si="6"/>
        <v>428.95846496289448</v>
      </c>
      <c r="J47" s="40">
        <f t="shared" ca="1" si="6"/>
        <v>432.32689397114183</v>
      </c>
      <c r="K47" s="40">
        <f t="shared" ca="1" si="6"/>
        <v>451.58782276363831</v>
      </c>
      <c r="L47" s="40">
        <f t="shared" ca="1" si="6"/>
        <v>416.40972626958381</v>
      </c>
      <c r="M47" s="40">
        <f t="shared" ca="1" si="6"/>
        <v>488.71138774005885</v>
      </c>
      <c r="N47" s="40">
        <f t="shared" ca="1" si="6"/>
        <v>430.81617995841594</v>
      </c>
      <c r="O47" s="40">
        <f t="shared" ca="1" si="6"/>
        <v>427.00756402009472</v>
      </c>
      <c r="P47" s="40">
        <f t="shared" ca="1" si="6"/>
        <v>557.67933888262121</v>
      </c>
      <c r="Q47" s="40">
        <f t="shared" ca="1" si="6"/>
        <v>455.6102829661387</v>
      </c>
      <c r="R47" s="40">
        <f t="shared" ca="1" si="6"/>
        <v>597.266868826728</v>
      </c>
      <c r="S47" s="40">
        <f t="shared" ca="1" si="6"/>
        <v>503.12708366160064</v>
      </c>
      <c r="T47" s="40">
        <f t="shared" ca="1" si="6"/>
        <v>529.5798585206735</v>
      </c>
      <c r="U47" s="40">
        <f t="shared" ca="1" si="6"/>
        <v>708.35970967553544</v>
      </c>
      <c r="V47" s="40">
        <f t="shared" ca="1" si="6"/>
        <v>588.50119648581142</v>
      </c>
      <c r="W47" s="40">
        <f t="shared" ca="1" si="6"/>
        <v>728.4508671863108</v>
      </c>
      <c r="X47" s="40">
        <f t="shared" ca="1" si="6"/>
        <v>741.17582152409659</v>
      </c>
      <c r="Y47" s="40">
        <f t="shared" ca="1" si="6"/>
        <v>674.40917222277892</v>
      </c>
      <c r="Z47" s="40">
        <f t="shared" ca="1" si="6"/>
        <v>878.73383965439439</v>
      </c>
      <c r="AA47" s="40">
        <f t="shared" ca="1" si="6"/>
        <v>738.06031176292652</v>
      </c>
      <c r="AB47" s="40">
        <f t="shared" ca="1" si="6"/>
        <v>848.20400283167692</v>
      </c>
      <c r="AC47" s="40">
        <f t="shared" ca="1" si="6"/>
        <v>991.94728930362339</v>
      </c>
    </row>
    <row r="48" spans="1:29" x14ac:dyDescent="0.2">
      <c r="A48" t="s">
        <v>1300</v>
      </c>
      <c r="D48" s="40" cm="1">
        <f t="array" aca="1" ref="D48" ca="1">INDEX(Assumptions!$B:$B, MATCH("Customer Service — flat % of Starlink subscription rev", Assumptions!$A:$A, 0)) * (INDEX(Starlink!$D:$AC, MATCH("BB Revenue ($mm)", Starlink!$A:$A, 0), D$5+1) + INDEX(Starlink!$D:$AC, MATCH("DTC Revenue ($mm)", Starlink!$A:$A, 0), D$5+1))</f>
        <v>137.7627830480244</v>
      </c>
      <c r="E48" s="40" cm="1">
        <f t="array" aca="1" ref="E48" ca="1">INDEX(Assumptions!$B:$B, MATCH("Customer Service — flat % of Starlink subscription rev", Assumptions!$A:$A, 0)) * (INDEX(Starlink!$D:$AC, MATCH("BB Revenue ($mm)", Starlink!$A:$A, 0), E$5+1) + INDEX(Starlink!$D:$AC, MATCH("DTC Revenue ($mm)", Starlink!$A:$A, 0), E$5+1))</f>
        <v>125.23380319726991</v>
      </c>
      <c r="F48" s="40" cm="1">
        <f t="array" aca="1" ref="F48" ca="1">INDEX(Assumptions!$B:$B, MATCH("Customer Service — flat % of Starlink subscription rev", Assumptions!$A:$A, 0)) * (INDEX(Starlink!$D:$AC, MATCH("BB Revenue ($mm)", Starlink!$A:$A, 0), F$5+1) + INDEX(Starlink!$D:$AC, MATCH("DTC Revenue ($mm)", Starlink!$A:$A, 0), F$5+1))</f>
        <v>110.4213346323196</v>
      </c>
      <c r="G48" s="40" cm="1">
        <f t="array" aca="1" ref="G48" ca="1">INDEX(Assumptions!$B:$B, MATCH("Customer Service — flat % of Starlink subscription rev", Assumptions!$A:$A, 0)) * (INDEX(Starlink!$D:$AC, MATCH("BB Revenue ($mm)", Starlink!$A:$A, 0), G$5+1) + INDEX(Starlink!$D:$AC, MATCH("DTC Revenue ($mm)", Starlink!$A:$A, 0), G$5+1))</f>
        <v>93.245834083739169</v>
      </c>
      <c r="H48" s="40" cm="1">
        <f t="array" aca="1" ref="H48" ca="1">INDEX(Assumptions!$B:$B, MATCH("Customer Service — flat % of Starlink subscription rev", Assumptions!$A:$A, 0)) * (INDEX(Starlink!$D:$AC, MATCH("BB Revenue ($mm)", Starlink!$A:$A, 0), H$5+1) + INDEX(Starlink!$D:$AC, MATCH("DTC Revenue ($mm)", Starlink!$A:$A, 0), H$5+1))</f>
        <v>73.812068839288699</v>
      </c>
      <c r="I48" s="40" cm="1">
        <f t="array" aca="1" ref="I48" ca="1">INDEX(Assumptions!$B:$B, MATCH("Customer Service — flat % of Starlink subscription rev", Assumptions!$A:$A, 0)) * (INDEX(Starlink!$D:$AC, MATCH("BB Revenue ($mm)", Starlink!$A:$A, 0), I$5+1) + INDEX(Starlink!$D:$AC, MATCH("DTC Revenue ($mm)", Starlink!$A:$A, 0), I$5+1))</f>
        <v>77.025923030567355</v>
      </c>
      <c r="J48" s="40" cm="1">
        <f t="array" aca="1" ref="J48" ca="1">INDEX(Assumptions!$B:$B, MATCH("Customer Service — flat % of Starlink subscription rev", Assumptions!$A:$A, 0)) * (INDEX(Starlink!$D:$AC, MATCH("BB Revenue ($mm)", Starlink!$A:$A, 0), J$5+1) + INDEX(Starlink!$D:$AC, MATCH("DTC Revenue ($mm)", Starlink!$A:$A, 0), J$5+1))</f>
        <v>81.320118239521477</v>
      </c>
      <c r="K48" s="40" cm="1">
        <f t="array" aca="1" ref="K48" ca="1">INDEX(Assumptions!$B:$B, MATCH("Customer Service — flat % of Starlink subscription rev", Assumptions!$A:$A, 0)) * (INDEX(Starlink!$D:$AC, MATCH("BB Revenue ($mm)", Starlink!$A:$A, 0), K$5+1) + INDEX(Starlink!$D:$AC, MATCH("DTC Revenue ($mm)", Starlink!$A:$A, 0), K$5+1))</f>
        <v>85.853714831374802</v>
      </c>
      <c r="L48" s="40" cm="1">
        <f t="array" aca="1" ref="L48" ca="1">INDEX(Assumptions!$B:$B, MATCH("Customer Service — flat % of Starlink subscription rev", Assumptions!$A:$A, 0)) * (INDEX(Starlink!$D:$AC, MATCH("BB Revenue ($mm)", Starlink!$A:$A, 0), L$5+1) + INDEX(Starlink!$D:$AC, MATCH("DTC Revenue ($mm)", Starlink!$A:$A, 0), L$5+1))</f>
        <v>90.640059433223925</v>
      </c>
      <c r="M48" s="40" cm="1">
        <f t="array" aca="1" ref="M48" ca="1">INDEX(Assumptions!$B:$B, MATCH("Customer Service — flat % of Starlink subscription rev", Assumptions!$A:$A, 0)) * (INDEX(Starlink!$D:$AC, MATCH("BB Revenue ($mm)", Starlink!$A:$A, 0), M$5+1) + INDEX(Starlink!$D:$AC, MATCH("DTC Revenue ($mm)", Starlink!$A:$A, 0), M$5+1))</f>
        <v>95.693242746626154</v>
      </c>
      <c r="N48" s="40" cm="1">
        <f t="array" aca="1" ref="N48" ca="1">INDEX(Assumptions!$B:$B, MATCH("Customer Service — flat % of Starlink subscription rev", Assumptions!$A:$A, 0)) * (INDEX(Starlink!$D:$AC, MATCH("BB Revenue ($mm)", Starlink!$A:$A, 0), N$5+1) + INDEX(Starlink!$D:$AC, MATCH("DTC Revenue ($mm)", Starlink!$A:$A, 0), N$5+1))</f>
        <v>101.02814102975057</v>
      </c>
      <c r="O48" s="40" cm="1">
        <f t="array" aca="1" ref="O48" ca="1">INDEX(Assumptions!$B:$B, MATCH("Customer Service — flat % of Starlink subscription rev", Assumptions!$A:$A, 0)) * (INDEX(Starlink!$D:$AC, MATCH("BB Revenue ($mm)", Starlink!$A:$A, 0), O$5+1) + INDEX(Starlink!$D:$AC, MATCH("DTC Revenue ($mm)", Starlink!$A:$A, 0), O$5+1))</f>
        <v>106.66045989215917</v>
      </c>
      <c r="P48" s="40" cm="1">
        <f t="array" aca="1" ref="P48" ca="1">INDEX(Assumptions!$B:$B, MATCH("Customer Service — flat % of Starlink subscription rev", Assumptions!$A:$A, 0)) * (INDEX(Starlink!$D:$AC, MATCH("BB Revenue ($mm)", Starlink!$A:$A, 0), P$5+1) + INDEX(Starlink!$D:$AC, MATCH("DTC Revenue ($mm)", Starlink!$A:$A, 0), P$5+1))</f>
        <v>112.606780531147</v>
      </c>
      <c r="Q48" s="40" cm="1">
        <f t="array" aca="1" ref="Q48" ca="1">INDEX(Assumptions!$B:$B, MATCH("Customer Service — flat % of Starlink subscription rev", Assumptions!$A:$A, 0)) * (INDEX(Starlink!$D:$AC, MATCH("BB Revenue ($mm)", Starlink!$A:$A, 0), Q$5+1) + INDEX(Starlink!$D:$AC, MATCH("DTC Revenue ($mm)", Starlink!$A:$A, 0), Q$5+1))</f>
        <v>118.88460854575843</v>
      </c>
      <c r="R48" s="40" cm="1">
        <f t="array" aca="1" ref="R48" ca="1">INDEX(Assumptions!$B:$B, MATCH("Customer Service — flat % of Starlink subscription rev", Assumptions!$A:$A, 0)) * (INDEX(Starlink!$D:$AC, MATCH("BB Revenue ($mm)", Starlink!$A:$A, 0), R$5+1) + INDEX(Starlink!$D:$AC, MATCH("DTC Revenue ($mm)", Starlink!$A:$A, 0), R$5+1))</f>
        <v>125.51242547218446</v>
      </c>
      <c r="S48" s="40" cm="1">
        <f t="array" aca="1" ref="S48" ca="1">INDEX(Assumptions!$B:$B, MATCH("Customer Service — flat % of Starlink subscription rev", Assumptions!$A:$A, 0)) * (INDEX(Starlink!$D:$AC, MATCH("BB Revenue ($mm)", Starlink!$A:$A, 0), S$5+1) + INDEX(Starlink!$D:$AC, MATCH("DTC Revenue ($mm)", Starlink!$A:$A, 0), S$5+1))</f>
        <v>132.50974319225878</v>
      </c>
      <c r="T48" s="40" cm="1">
        <f t="array" aca="1" ref="T48" ca="1">INDEX(Assumptions!$B:$B, MATCH("Customer Service — flat % of Starlink subscription rev", Assumptions!$A:$A, 0)) * (INDEX(Starlink!$D:$AC, MATCH("BB Revenue ($mm)", Starlink!$A:$A, 0), T$5+1) + INDEX(Starlink!$D:$AC, MATCH("DTC Revenue ($mm)", Starlink!$A:$A, 0), T$5+1))</f>
        <v>139.8971613752272</v>
      </c>
      <c r="U48" s="40" cm="1">
        <f t="array" aca="1" ref="U48" ca="1">INDEX(Assumptions!$B:$B, MATCH("Customer Service — flat % of Starlink subscription rev", Assumptions!$A:$A, 0)) * (INDEX(Starlink!$D:$AC, MATCH("BB Revenue ($mm)", Starlink!$A:$A, 0), U$5+1) + INDEX(Starlink!$D:$AC, MATCH("DTC Revenue ($mm)", Starlink!$A:$A, 0), U$5+1))</f>
        <v>147.69642812189608</v>
      </c>
      <c r="V48" s="40" cm="1">
        <f t="array" aca="1" ref="V48" ca="1">INDEX(Assumptions!$B:$B, MATCH("Customer Service — flat % of Starlink subscription rev", Assumptions!$A:$A, 0)) * (INDEX(Starlink!$D:$AC, MATCH("BB Revenue ($mm)", Starlink!$A:$A, 0), V$5+1) + INDEX(Starlink!$D:$AC, MATCH("DTC Revenue ($mm)", Starlink!$A:$A, 0), V$5+1))</f>
        <v>155.9305039896918</v>
      </c>
      <c r="W48" s="40" cm="1">
        <f t="array" aca="1" ref="W48" ca="1">INDEX(Assumptions!$B:$B, MATCH("Customer Service — flat % of Starlink subscription rev", Assumptions!$A:$A, 0)) * (INDEX(Starlink!$D:$AC, MATCH("BB Revenue ($mm)", Starlink!$A:$A, 0), W$5+1) + INDEX(Starlink!$D:$AC, MATCH("DTC Revenue ($mm)", Starlink!$A:$A, 0), W$5+1))</f>
        <v>164.62362958711711</v>
      </c>
      <c r="X48" s="40" cm="1">
        <f t="array" aca="1" ref="X48" ca="1">INDEX(Assumptions!$B:$B, MATCH("Customer Service — flat % of Starlink subscription rev", Assumptions!$A:$A, 0)) * (INDEX(Starlink!$D:$AC, MATCH("BB Revenue ($mm)", Starlink!$A:$A, 0), X$5+1) + INDEX(Starlink!$D:$AC, MATCH("DTC Revenue ($mm)", Starlink!$A:$A, 0), X$5+1))</f>
        <v>173.80139693659888</v>
      </c>
      <c r="Y48" s="40" cm="1">
        <f t="array" aca="1" ref="Y48" ca="1">INDEX(Assumptions!$B:$B, MATCH("Customer Service — flat % of Starlink subscription rev", Assumptions!$A:$A, 0)) * (INDEX(Starlink!$D:$AC, MATCH("BB Revenue ($mm)", Starlink!$A:$A, 0), Y$5+1) + INDEX(Starlink!$D:$AC, MATCH("DTC Revenue ($mm)", Starlink!$A:$A, 0), Y$5+1))</f>
        <v>183.49082481581419</v>
      </c>
      <c r="Z48" s="40" cm="1">
        <f t="array" aca="1" ref="Z48" ca="1">INDEX(Assumptions!$B:$B, MATCH("Customer Service — flat % of Starlink subscription rev", Assumptions!$A:$A, 0)) * (INDEX(Starlink!$D:$AC, MATCH("BB Revenue ($mm)", Starlink!$A:$A, 0), Z$5+1) + INDEX(Starlink!$D:$AC, MATCH("DTC Revenue ($mm)", Starlink!$A:$A, 0), Z$5+1))</f>
        <v>193.72043829929586</v>
      </c>
      <c r="AA48" s="40" cm="1">
        <f t="array" aca="1" ref="AA48" ca="1">INDEX(Assumptions!$B:$B, MATCH("Customer Service — flat % of Starlink subscription rev", Assumptions!$A:$A, 0)) * (INDEX(Starlink!$D:$AC, MATCH("BB Revenue ($mm)", Starlink!$A:$A, 0), AA$5+1) + INDEX(Starlink!$D:$AC, MATCH("DTC Revenue ($mm)", Starlink!$A:$A, 0), AA$5+1))</f>
        <v>204.52035273448161</v>
      </c>
      <c r="AB48" s="40" cm="1">
        <f t="array" aca="1" ref="AB48" ca="1">INDEX(Assumptions!$B:$B, MATCH("Customer Service — flat % of Starlink subscription rev", Assumptions!$A:$A, 0)) * (INDEX(Starlink!$D:$AC, MATCH("BB Revenue ($mm)", Starlink!$A:$A, 0), AB$5+1) + INDEX(Starlink!$D:$AC, MATCH("DTC Revenue ($mm)", Starlink!$A:$A, 0), AB$5+1))</f>
        <v>215.92236239942895</v>
      </c>
      <c r="AC48" s="40" cm="1">
        <f t="array" aca="1" ref="AC48" ca="1">INDEX(Assumptions!$B:$B, MATCH("Customer Service — flat % of Starlink subscription rev", Assumptions!$A:$A, 0)) * (INDEX(Starlink!$D:$AC, MATCH("BB Revenue ($mm)", Starlink!$A:$A, 0), AC$5+1) + INDEX(Starlink!$D:$AC, MATCH("DTC Revenue ($mm)", Starlink!$A:$A, 0), AC$5+1))</f>
        <v>227.96003410319705</v>
      </c>
    </row>
    <row r="49" spans="1:29" x14ac:dyDescent="0.2">
      <c r="A49" t="s">
        <v>1435</v>
      </c>
      <c r="C49" t="s">
        <v>1436</v>
      </c>
      <c r="D49" s="40" cm="1">
        <f t="array" aca="1" ref="D49" ca="1">INDEX(Assumptions!$B:$B, MATCH("Other corporate operating — flat % of group rev", Assumptions!$A:$A, 0)) * INDEX('Group P&amp;L'!$D:$AC, MATCH("GROUP REVENUE NET OF ELIMS ($mm)", 'Group P&amp;L'!$A:$A, 0), D$5+1)</f>
        <v>138.55060330331619</v>
      </c>
      <c r="E49" s="40" cm="1">
        <f t="array" aca="1" ref="E49" ca="1">INDEX(Assumptions!$B:$B, MATCH("Other corporate operating — flat % of group rev", Assumptions!$A:$A, 0)) * INDEX('Group P&amp;L'!$D:$AC, MATCH("GROUP REVENUE NET OF ELIMS ($mm)", 'Group P&amp;L'!$A:$A, 0), E$5+1)</f>
        <v>120.00958526016657</v>
      </c>
      <c r="F49" s="40" cm="1">
        <f t="array" aca="1" ref="F49" ca="1">INDEX(Assumptions!$B:$B, MATCH("Other corporate operating — flat % of group rev", Assumptions!$A:$A, 0)) * INDEX('Group P&amp;L'!$D:$AC, MATCH("GROUP REVENUE NET OF ELIMS ($mm)", 'Group P&amp;L'!$A:$A, 0), F$5+1)</f>
        <v>106.05811608617692</v>
      </c>
      <c r="G49" s="40" cm="1">
        <f t="array" aca="1" ref="G49" ca="1">INDEX(Assumptions!$B:$B, MATCH("Other corporate operating — flat % of group rev", Assumptions!$A:$A, 0)) * INDEX('Group P&amp;L'!$D:$AC, MATCH("GROUP REVENUE NET OF ELIMS ($mm)", 'Group P&amp;L'!$A:$A, 0), G$5+1)</f>
        <v>93.364732081369766</v>
      </c>
      <c r="H49" s="40" cm="1">
        <f t="array" aca="1" ref="H49" ca="1">INDEX(Assumptions!$B:$B, MATCH("Other corporate operating — flat % of group rev", Assumptions!$A:$A, 0)) * INDEX('Group P&amp;L'!$D:$AC, MATCH("GROUP REVENUE NET OF ELIMS ($mm)", 'Group P&amp;L'!$A:$A, 0), H$5+1)</f>
        <v>80.893703245101847</v>
      </c>
      <c r="I49" s="40" cm="1">
        <f t="array" aca="1" ref="I49" ca="1">INDEX(Assumptions!$B:$B, MATCH("Other corporate operating — flat % of group rev", Assumptions!$A:$A, 0)) * INDEX('Group P&amp;L'!$D:$AC, MATCH("GROUP REVENUE NET OF ELIMS ($mm)", 'Group P&amp;L'!$A:$A, 0), I$5+1)</f>
        <v>81.62785216413117</v>
      </c>
      <c r="J49" s="40" cm="1">
        <f t="array" aca="1" ref="J49" ca="1">INDEX(Assumptions!$B:$B, MATCH("Other corporate operating — flat % of group rev", Assumptions!$A:$A, 0)) * INDEX('Group P&amp;L'!$D:$AC, MATCH("GROUP REVENUE NET OF ELIMS ($mm)", 'Group P&amp;L'!$A:$A, 0), J$5+1)</f>
        <v>81.454298107552944</v>
      </c>
      <c r="K49" s="40" cm="1">
        <f t="array" aca="1" ref="K49" ca="1">INDEX(Assumptions!$B:$B, MATCH("Other corporate operating — flat % of group rev", Assumptions!$A:$A, 0)) * INDEX('Group P&amp;L'!$D:$AC, MATCH("GROUP REVENUE NET OF ELIMS ($mm)", 'Group P&amp;L'!$A:$A, 0), K$5+1)</f>
        <v>84.240823115506288</v>
      </c>
      <c r="L49" s="40" cm="1">
        <f t="array" aca="1" ref="L49" ca="1">INDEX(Assumptions!$B:$B, MATCH("Other corporate operating — flat % of group rev", Assumptions!$A:$A, 0)) * INDEX('Group P&amp;L'!$D:$AC, MATCH("GROUP REVENUE NET OF ELIMS ($mm)", 'Group P&amp;L'!$A:$A, 0), L$5+1)</f>
        <v>76.909479177682556</v>
      </c>
      <c r="M49" s="40" cm="1">
        <f t="array" aca="1" ref="M49" ca="1">INDEX(Assumptions!$B:$B, MATCH("Other corporate operating — flat % of group rev", Assumptions!$A:$A, 0)) * INDEX('Group P&amp;L'!$D:$AC, MATCH("GROUP REVENUE NET OF ELIMS ($mm)", 'Group P&amp;L'!$A:$A, 0), M$5+1)</f>
        <v>89.369656874057881</v>
      </c>
      <c r="N49" s="40" cm="1">
        <f t="array" aca="1" ref="N49" ca="1">INDEX(Assumptions!$B:$B, MATCH("Other corporate operating — flat % of group rev", Assumptions!$A:$A, 0)) * INDEX('Group P&amp;L'!$D:$AC, MATCH("GROUP REVENUE NET OF ELIMS ($mm)", 'Group P&amp;L'!$A:$A, 0), N$5+1)</f>
        <v>78.002453517403708</v>
      </c>
      <c r="O49" s="40" cm="1">
        <f t="array" aca="1" ref="O49" ca="1">INDEX(Assumptions!$B:$B, MATCH("Other corporate operating — flat % of group rev", Assumptions!$A:$A, 0)) * INDEX('Group P&amp;L'!$D:$AC, MATCH("GROUP REVENUE NET OF ELIMS ($mm)", 'Group P&amp;L'!$A:$A, 0), O$5+1)</f>
        <v>76.5474014381427</v>
      </c>
      <c r="P49" s="40" cm="1">
        <f t="array" aca="1" ref="P49" ca="1">INDEX(Assumptions!$B:$B, MATCH("Other corporate operating — flat % of group rev", Assumptions!$A:$A, 0)) * INDEX('Group P&amp;L'!$D:$AC, MATCH("GROUP REVENUE NET OF ELIMS ($mm)", 'Group P&amp;L'!$A:$A, 0), P$5+1)</f>
        <v>98.982419447553042</v>
      </c>
      <c r="Q49" s="40" cm="1">
        <f t="array" aca="1" ref="Q49" ca="1">INDEX(Assumptions!$B:$B, MATCH("Other corporate operating — flat % of group rev", Assumptions!$A:$A, 0)) * INDEX('Group P&amp;L'!$D:$AC, MATCH("GROUP REVENUE NET OF ELIMS ($mm)", 'Group P&amp;L'!$A:$A, 0), Q$5+1)</f>
        <v>80.065543097254903</v>
      </c>
      <c r="R49" s="40" cm="1">
        <f t="array" aca="1" ref="R49" ca="1">INDEX(Assumptions!$B:$B, MATCH("Other corporate operating — flat % of group rev", Assumptions!$A:$A, 0)) * INDEX('Group P&amp;L'!$D:$AC, MATCH("GROUP REVENUE NET OF ELIMS ($mm)", 'Group P&amp;L'!$A:$A, 0), R$5+1)</f>
        <v>103.92001176685106</v>
      </c>
      <c r="S49" s="40" cm="1">
        <f t="array" aca="1" ref="S49" ca="1">INDEX(Assumptions!$B:$B, MATCH("Other corporate operating — flat % of group rev", Assumptions!$A:$A, 0)) * INDEX('Group P&amp;L'!$D:$AC, MATCH("GROUP REVENUE NET OF ELIMS ($mm)", 'Group P&amp;L'!$A:$A, 0), S$5+1)</f>
        <v>86.673649856770723</v>
      </c>
      <c r="T49" s="40" cm="1">
        <f t="array" aca="1" ref="T49" ca="1">INDEX(Assumptions!$B:$B, MATCH("Other corporate operating — flat % of group rev", Assumptions!$A:$A, 0)) * INDEX('Group P&amp;L'!$D:$AC, MATCH("GROUP REVENUE NET OF ELIMS ($mm)", 'Group P&amp;L'!$A:$A, 0), T$5+1)</f>
        <v>90.327392676528561</v>
      </c>
      <c r="U49" s="40" cm="1">
        <f t="array" aca="1" ref="U49" ca="1">INDEX(Assumptions!$B:$B, MATCH("Other corporate operating — flat % of group rev", Assumptions!$A:$A, 0)) * INDEX('Group P&amp;L'!$D:$AC, MATCH("GROUP REVENUE NET OF ELIMS ($mm)", 'Group P&amp;L'!$A:$A, 0), U$5+1)</f>
        <v>119.62459835675038</v>
      </c>
      <c r="V49" s="40" cm="1">
        <f t="array" aca="1" ref="V49" ca="1">INDEX(Assumptions!$B:$B, MATCH("Other corporate operating — flat % of group rev", Assumptions!$A:$A, 0)) * INDEX('Group P&amp;L'!$D:$AC, MATCH("GROUP REVENUE NET OF ELIMS ($mm)", 'Group P&amp;L'!$A:$A, 0), V$5+1)</f>
        <v>98.399437936860437</v>
      </c>
      <c r="W49" s="40" cm="1">
        <f t="array" aca="1" ref="W49" ca="1">INDEX(Assumptions!$B:$B, MATCH("Other corporate operating — flat % of group rev", Assumptions!$A:$A, 0)) * INDEX('Group P&amp;L'!$D:$AC, MATCH("GROUP REVENUE NET OF ELIMS ($mm)", 'Group P&amp;L'!$A:$A, 0), W$5+1)</f>
        <v>121.40847786438513</v>
      </c>
      <c r="X49" s="40" cm="1">
        <f t="array" aca="1" ref="X49" ca="1">INDEX(Assumptions!$B:$B, MATCH("Other corporate operating — flat % of group rev", Assumptions!$A:$A, 0)) * INDEX('Group P&amp;L'!$D:$AC, MATCH("GROUP REVENUE NET OF ELIMS ($mm)", 'Group P&amp;L'!$A:$A, 0), X$5+1)</f>
        <v>123.52930358734945</v>
      </c>
      <c r="Y49" s="40" cm="1">
        <f t="array" aca="1" ref="Y49" ca="1">INDEX(Assumptions!$B:$B, MATCH("Other corporate operating — flat % of group rev", Assumptions!$A:$A, 0)) * INDEX('Group P&amp;L'!$D:$AC, MATCH("GROUP REVENUE NET OF ELIMS ($mm)", 'Group P&amp;L'!$A:$A, 0), Y$5+1)</f>
        <v>112.40152870379649</v>
      </c>
      <c r="Z49" s="40" cm="1">
        <f t="array" aca="1" ref="Z49" ca="1">INDEX(Assumptions!$B:$B, MATCH("Other corporate operating — flat % of group rev", Assumptions!$A:$A, 0)) * INDEX('Group P&amp;L'!$D:$AC, MATCH("GROUP REVENUE NET OF ELIMS ($mm)", 'Group P&amp;L'!$A:$A, 0), Z$5+1)</f>
        <v>146.45563994239907</v>
      </c>
      <c r="AA49" s="40" cm="1">
        <f t="array" aca="1" ref="AA49" ca="1">INDEX(Assumptions!$B:$B, MATCH("Other corporate operating — flat % of group rev", Assumptions!$A:$A, 0)) * INDEX('Group P&amp;L'!$D:$AC, MATCH("GROUP REVENUE NET OF ELIMS ($mm)", 'Group P&amp;L'!$A:$A, 0), AA$5+1)</f>
        <v>123.01005196048777</v>
      </c>
      <c r="AB49" s="40" cm="1">
        <f t="array" aca="1" ref="AB49" ca="1">INDEX(Assumptions!$B:$B, MATCH("Other corporate operating — flat % of group rev", Assumptions!$A:$A, 0)) * INDEX('Group P&amp;L'!$D:$AC, MATCH("GROUP REVENUE NET OF ELIMS ($mm)", 'Group P&amp;L'!$A:$A, 0), AB$5+1)</f>
        <v>141.36733380527949</v>
      </c>
      <c r="AC49" s="40" cm="1">
        <f t="array" aca="1" ref="AC49" ca="1">INDEX(Assumptions!$B:$B, MATCH("Other corporate operating — flat % of group rev", Assumptions!$A:$A, 0)) * INDEX('Group P&amp;L'!$D:$AC, MATCH("GROUP REVENUE NET OF ELIMS ($mm)", 'Group P&amp;L'!$A:$A, 0), AC$5+1)</f>
        <v>165.32454821727057</v>
      </c>
    </row>
    <row r="50" spans="1:29" x14ac:dyDescent="0.2">
      <c r="A50" s="1" t="s">
        <v>1301</v>
      </c>
      <c r="D50" s="56">
        <f ca="1">D44+D47+D48+D49</f>
        <v>1523.2688160811865</v>
      </c>
      <c r="E50" s="56">
        <f t="shared" ref="E50:AC50" ca="1" si="7">E44+E47+E48+E49</f>
        <v>1292.9270677786908</v>
      </c>
      <c r="F50" s="56">
        <f t="shared" ca="1" si="7"/>
        <v>1116.4992296374025</v>
      </c>
      <c r="G50" s="56">
        <f t="shared" ca="1" si="7"/>
        <v>958.38743628585632</v>
      </c>
      <c r="H50" s="56">
        <f t="shared" ca="1" si="7"/>
        <v>807.40405003988599</v>
      </c>
      <c r="I50" s="56">
        <f t="shared" ca="1" si="7"/>
        <v>802.80987671711296</v>
      </c>
      <c r="J50" s="56">
        <f t="shared" ca="1" si="7"/>
        <v>792.66219447213564</v>
      </c>
      <c r="K50" s="56">
        <f t="shared" ca="1" si="7"/>
        <v>809.65618815191408</v>
      </c>
      <c r="L50" s="56">
        <f t="shared" ca="1" si="7"/>
        <v>741.84484982915831</v>
      </c>
      <c r="M50" s="56">
        <f t="shared" ca="1" si="7"/>
        <v>852.51360110885878</v>
      </c>
      <c r="N50" s="56">
        <f t="shared" ca="1" si="7"/>
        <v>765.85168154037774</v>
      </c>
      <c r="O50" s="56">
        <f t="shared" ca="1" si="7"/>
        <v>763.31022822668206</v>
      </c>
      <c r="P50" s="56">
        <f t="shared" ca="1" si="7"/>
        <v>967.23337775642733</v>
      </c>
      <c r="Q50" s="56">
        <f t="shared" ca="1" si="7"/>
        <v>814.69152080366177</v>
      </c>
      <c r="R50" s="56">
        <f t="shared" ca="1" si="7"/>
        <v>1034.5393295994656</v>
      </c>
      <c r="S50" s="56">
        <f t="shared" ca="1" si="7"/>
        <v>895.65777642417152</v>
      </c>
      <c r="T50" s="56">
        <f t="shared" ca="1" si="7"/>
        <v>940.45919792548636</v>
      </c>
      <c r="U50" s="56">
        <f t="shared" ca="1" si="7"/>
        <v>1214.9299328676825</v>
      </c>
      <c r="V50" s="56">
        <f t="shared" ca="1" si="7"/>
        <v>1039.6300142860846</v>
      </c>
      <c r="W50" s="56">
        <f t="shared" ca="1" si="7"/>
        <v>1257.2999303665833</v>
      </c>
      <c r="X50" s="56">
        <f t="shared" ca="1" si="7"/>
        <v>1285.5651292227437</v>
      </c>
      <c r="Y50" s="56">
        <f t="shared" ca="1" si="7"/>
        <v>1195.1045831499825</v>
      </c>
      <c r="Z50" s="56">
        <f t="shared" ca="1" si="7"/>
        <v>1511.8211977808876</v>
      </c>
      <c r="AA50" s="56">
        <f t="shared" ca="1" si="7"/>
        <v>1311.6108203788715</v>
      </c>
      <c r="AB50" s="56">
        <f t="shared" ca="1" si="7"/>
        <v>1488.2283666469443</v>
      </c>
      <c r="AC50" s="56">
        <f t="shared" ca="1" si="7"/>
        <v>1715.8809680586323</v>
      </c>
    </row>
    <row r="52" spans="1:29" x14ac:dyDescent="0.2">
      <c r="A52" s="4" t="s">
        <v>1302</v>
      </c>
    </row>
    <row r="53" spans="1:29" x14ac:dyDescent="0.2">
      <c r="A53" s="1" t="s">
        <v>1303</v>
      </c>
      <c r="D53" s="58">
        <f ca="1">D39+D50</f>
        <v>4309.6782425077163</v>
      </c>
      <c r="E53" s="58">
        <f t="shared" ref="E53:AC53" ca="1" si="8">E39+E50</f>
        <v>3948.6143974918905</v>
      </c>
      <c r="F53" s="58">
        <f t="shared" ca="1" si="8"/>
        <v>3885.3244145876997</v>
      </c>
      <c r="G53" s="58">
        <f t="shared" ca="1" si="8"/>
        <v>3655.1797598192275</v>
      </c>
      <c r="H53" s="58">
        <f t="shared" ca="1" si="8"/>
        <v>3421.0661646752919</v>
      </c>
      <c r="I53" s="58">
        <f t="shared" ca="1" si="8"/>
        <v>3431.3955733136281</v>
      </c>
      <c r="J53" s="58">
        <f t="shared" ca="1" si="8"/>
        <v>3505.6819108089448</v>
      </c>
      <c r="K53" s="58">
        <f t="shared" ca="1" si="8"/>
        <v>3639.0875349731423</v>
      </c>
      <c r="L53" s="58">
        <f t="shared" ca="1" si="8"/>
        <v>3571.2825715988829</v>
      </c>
      <c r="M53" s="58">
        <f t="shared" ca="1" si="8"/>
        <v>3799.2184837626728</v>
      </c>
      <c r="N53" s="58">
        <f t="shared" ca="1" si="8"/>
        <v>3751.1618921433119</v>
      </c>
      <c r="O53" s="58">
        <f t="shared" ca="1" si="8"/>
        <v>3489.917977619305</v>
      </c>
      <c r="P53" s="58">
        <f t="shared" ca="1" si="8"/>
        <v>3535.5382606946241</v>
      </c>
      <c r="Q53" s="58">
        <f t="shared" ca="1" si="8"/>
        <v>3074.116316027666</v>
      </c>
      <c r="R53" s="58">
        <f t="shared" ca="1" si="8"/>
        <v>3160.9903157249055</v>
      </c>
      <c r="S53" s="58">
        <f t="shared" ca="1" si="8"/>
        <v>2734.5425447617754</v>
      </c>
      <c r="T53" s="58">
        <f t="shared" ca="1" si="8"/>
        <v>2685.1785394588828</v>
      </c>
      <c r="U53" s="58">
        <f t="shared" ca="1" si="8"/>
        <v>2974.846941845587</v>
      </c>
      <c r="V53" s="58">
        <f t="shared" ca="1" si="8"/>
        <v>2613.4327194013922</v>
      </c>
      <c r="W53" s="58">
        <f t="shared" ca="1" si="8"/>
        <v>2821.6902213422486</v>
      </c>
      <c r="X53" s="58">
        <f t="shared" ca="1" si="8"/>
        <v>2758.7421412484018</v>
      </c>
      <c r="Y53" s="58">
        <f t="shared" ca="1" si="8"/>
        <v>2525.81207936188</v>
      </c>
      <c r="Z53" s="58">
        <f t="shared" ca="1" si="8"/>
        <v>2880.5102909600619</v>
      </c>
      <c r="AA53" s="58">
        <f t="shared" ca="1" si="8"/>
        <v>2487.990870867985</v>
      </c>
      <c r="AB53" s="58">
        <f t="shared" ca="1" si="8"/>
        <v>2640.2027407428041</v>
      </c>
      <c r="AC53" s="58">
        <f t="shared" ca="1" si="8"/>
        <v>2865.5241057197231</v>
      </c>
    </row>
    <row r="55" spans="1:29" x14ac:dyDescent="0.2">
      <c r="A55" s="4" t="s">
        <v>1288</v>
      </c>
    </row>
    <row r="56" spans="1:29" x14ac:dyDescent="0.2">
      <c r="A56" s="18" t="s">
        <v>1289</v>
      </c>
      <c r="D56" s="57">
        <f ca="1">D18</f>
        <v>4282.38</v>
      </c>
      <c r="E56" s="57">
        <f t="shared" ref="E56:AC56" ca="1" si="9">E18</f>
        <v>4361.6040300000004</v>
      </c>
      <c r="F56" s="57">
        <f t="shared" ca="1" si="9"/>
        <v>4358.210007477629</v>
      </c>
      <c r="G56" s="57">
        <f t="shared" ca="1" si="9"/>
        <v>4338.2492255284515</v>
      </c>
      <c r="H56" s="57">
        <f t="shared" ca="1" si="9"/>
        <v>4288.8933531518524</v>
      </c>
      <c r="I56" s="57">
        <f t="shared" ca="1" si="9"/>
        <v>4122.8072363190076</v>
      </c>
      <c r="J56" s="57">
        <f t="shared" ca="1" si="9"/>
        <v>3983.9973385802405</v>
      </c>
      <c r="K56" s="57">
        <f t="shared" ca="1" si="9"/>
        <v>4030.6499790518137</v>
      </c>
      <c r="L56" s="57">
        <f t="shared" ca="1" si="9"/>
        <v>3052.5817327326345</v>
      </c>
      <c r="M56" s="57">
        <f t="shared" ca="1" si="9"/>
        <v>4040.0105875544295</v>
      </c>
      <c r="N56" s="57">
        <f t="shared" ca="1" si="9"/>
        <v>2630.2850050722991</v>
      </c>
      <c r="O56" s="57">
        <f t="shared" ca="1" si="9"/>
        <v>2196.554507819455</v>
      </c>
      <c r="P56" s="57">
        <f t="shared" ca="1" si="9"/>
        <v>4135.76245955378</v>
      </c>
      <c r="Q56" s="57">
        <f t="shared" ca="1" si="9"/>
        <v>1922.816593223982</v>
      </c>
      <c r="R56" s="57">
        <f t="shared" ca="1" si="9"/>
        <v>3969.0950824886386</v>
      </c>
      <c r="S56" s="57">
        <f t="shared" ca="1" si="9"/>
        <v>1886.3818767291466</v>
      </c>
      <c r="T56" s="57">
        <f t="shared" ca="1" si="9"/>
        <v>1873.7163503810875</v>
      </c>
      <c r="U56" s="57">
        <f t="shared" ca="1" si="9"/>
        <v>4404.321390765369</v>
      </c>
      <c r="V56" s="57">
        <f t="shared" ca="1" si="9"/>
        <v>1860.4391304726603</v>
      </c>
      <c r="W56" s="57">
        <f t="shared" ca="1" si="9"/>
        <v>3716.4857382509845</v>
      </c>
      <c r="X56" s="57">
        <f t="shared" ca="1" si="9"/>
        <v>3458.9101263609605</v>
      </c>
      <c r="Y56" s="57">
        <f t="shared" ca="1" si="9"/>
        <v>1850.2910100508213</v>
      </c>
      <c r="Z56" s="57">
        <f t="shared" ca="1" si="9"/>
        <v>4732.2173351977435</v>
      </c>
      <c r="AA56" s="57">
        <f t="shared" ca="1" si="9"/>
        <v>1834.9894607650131</v>
      </c>
      <c r="AB56" s="57">
        <f t="shared" ca="1" si="9"/>
        <v>3087.2372680021163</v>
      </c>
      <c r="AC56" s="57">
        <f t="shared" ca="1" si="9"/>
        <v>4866.9493009279158</v>
      </c>
    </row>
    <row r="57" spans="1:29" x14ac:dyDescent="0.2">
      <c r="A57" s="18" t="s">
        <v>1290</v>
      </c>
      <c r="D57" s="57" cm="1">
        <f t="array" aca="1" ref="D57" ca="1">D12+INDEX('Customer Launch'!$D:$AC, MATCH("Total Revenue ($mm)", 'Customer Launch'!$A:$A, 0), D$5+1)+INDEX(ODC!$D:$AC, MATCH("Total Revenue ($mm)", ODC!$A:$A, 0), D$5+1)+IFERROR(INDEX('AI Stack'!$D:$AC, MATCH("Total Revenue ($mm)", 'AI Stack'!$A:$A, 0), D$5+1), 0)+INDEX('Lunar Mars'!$D:$AC, MATCH("Total Revenue ($mm)", 'Lunar Mars'!$A:$A, 0), D$5+1)-INDEX('Customer Launch'!$D:$AC, MATCH("Customer Launch internal transfer revenue ($mm)", 'Customer Launch'!$A:$A, 0), D$5+1)</f>
        <v>13855.06033033162</v>
      </c>
      <c r="E57" s="57" cm="1">
        <f t="array" aca="1" ref="E57" ca="1">E12+INDEX('Customer Launch'!$D:$AC, MATCH("Total Revenue ($mm)", 'Customer Launch'!$A:$A, 0), E$5+1)+INDEX(ODC!$D:$AC, MATCH("Total Revenue ($mm)", ODC!$A:$A, 0), E$5+1)+IFERROR(INDEX('AI Stack'!$D:$AC, MATCH("Total Revenue ($mm)", 'AI Stack'!$A:$A, 0), E$5+1), 0)+INDEX('Lunar Mars'!$D:$AC, MATCH("Total Revenue ($mm)", 'Lunar Mars'!$A:$A, 0), E$5+1)-INDEX('Customer Launch'!$D:$AC, MATCH("Customer Launch internal transfer revenue ($mm)", 'Customer Launch'!$A:$A, 0), E$5+1)</f>
        <v>12000.958526016657</v>
      </c>
      <c r="F57" s="57" cm="1">
        <f t="array" aca="1" ref="F57" ca="1">F12+INDEX('Customer Launch'!$D:$AC, MATCH("Total Revenue ($mm)", 'Customer Launch'!$A:$A, 0), F$5+1)+INDEX(ODC!$D:$AC, MATCH("Total Revenue ($mm)", ODC!$A:$A, 0), F$5+1)+IFERROR(INDEX('AI Stack'!$D:$AC, MATCH("Total Revenue ($mm)", 'AI Stack'!$A:$A, 0), F$5+1), 0)+INDEX('Lunar Mars'!$D:$AC, MATCH("Total Revenue ($mm)", 'Lunar Mars'!$A:$A, 0), F$5+1)-INDEX('Customer Launch'!$D:$AC, MATCH("Customer Launch internal transfer revenue ($mm)", 'Customer Launch'!$A:$A, 0), F$5+1)</f>
        <v>10605.811608617692</v>
      </c>
      <c r="G57" s="57" cm="1">
        <f t="array" aca="1" ref="G57" ca="1">G12+INDEX('Customer Launch'!$D:$AC, MATCH("Total Revenue ($mm)", 'Customer Launch'!$A:$A, 0), G$5+1)+INDEX(ODC!$D:$AC, MATCH("Total Revenue ($mm)", ODC!$A:$A, 0), G$5+1)+IFERROR(INDEX('AI Stack'!$D:$AC, MATCH("Total Revenue ($mm)", 'AI Stack'!$A:$A, 0), G$5+1), 0)+INDEX('Lunar Mars'!$D:$AC, MATCH("Total Revenue ($mm)", 'Lunar Mars'!$A:$A, 0), G$5+1)-INDEX('Customer Launch'!$D:$AC, MATCH("Customer Launch internal transfer revenue ($mm)", 'Customer Launch'!$A:$A, 0), G$5+1)</f>
        <v>9336.4732081369766</v>
      </c>
      <c r="H57" s="57" cm="1">
        <f t="array" aca="1" ref="H57" ca="1">H12+INDEX('Customer Launch'!$D:$AC, MATCH("Total Revenue ($mm)", 'Customer Launch'!$A:$A, 0), H$5+1)+INDEX(ODC!$D:$AC, MATCH("Total Revenue ($mm)", ODC!$A:$A, 0), H$5+1)+IFERROR(INDEX('AI Stack'!$D:$AC, MATCH("Total Revenue ($mm)", 'AI Stack'!$A:$A, 0), H$5+1), 0)+INDEX('Lunar Mars'!$D:$AC, MATCH("Total Revenue ($mm)", 'Lunar Mars'!$A:$A, 0), H$5+1)-INDEX('Customer Launch'!$D:$AC, MATCH("Customer Launch internal transfer revenue ($mm)", 'Customer Launch'!$A:$A, 0), H$5+1)</f>
        <v>8089.3703245101842</v>
      </c>
      <c r="I57" s="57" cm="1">
        <f t="array" aca="1" ref="I57" ca="1">I12+INDEX('Customer Launch'!$D:$AC, MATCH("Total Revenue ($mm)", 'Customer Launch'!$A:$A, 0), I$5+1)+INDEX(ODC!$D:$AC, MATCH("Total Revenue ($mm)", ODC!$A:$A, 0), I$5+1)+IFERROR(INDEX('AI Stack'!$D:$AC, MATCH("Total Revenue ($mm)", 'AI Stack'!$A:$A, 0), I$5+1), 0)+INDEX('Lunar Mars'!$D:$AC, MATCH("Total Revenue ($mm)", 'Lunar Mars'!$A:$A, 0), I$5+1)-INDEX('Customer Launch'!$D:$AC, MATCH("Customer Launch internal transfer revenue ($mm)", 'Customer Launch'!$A:$A, 0), I$5+1)</f>
        <v>8162.7852164131173</v>
      </c>
      <c r="J57" s="57" cm="1">
        <f t="array" aca="1" ref="J57" ca="1">J12+INDEX('Customer Launch'!$D:$AC, MATCH("Total Revenue ($mm)", 'Customer Launch'!$A:$A, 0), J$5+1)+INDEX(ODC!$D:$AC, MATCH("Total Revenue ($mm)", ODC!$A:$A, 0), J$5+1)+IFERROR(INDEX('AI Stack'!$D:$AC, MATCH("Total Revenue ($mm)", 'AI Stack'!$A:$A, 0), J$5+1), 0)+INDEX('Lunar Mars'!$D:$AC, MATCH("Total Revenue ($mm)", 'Lunar Mars'!$A:$A, 0), J$5+1)-INDEX('Customer Launch'!$D:$AC, MATCH("Customer Launch internal transfer revenue ($mm)", 'Customer Launch'!$A:$A, 0), J$5+1)</f>
        <v>8145.4298107552941</v>
      </c>
      <c r="K57" s="57" cm="1">
        <f t="array" aca="1" ref="K57" ca="1">K12+INDEX('Customer Launch'!$D:$AC, MATCH("Total Revenue ($mm)", 'Customer Launch'!$A:$A, 0), K$5+1)+INDEX(ODC!$D:$AC, MATCH("Total Revenue ($mm)", ODC!$A:$A, 0), K$5+1)+IFERROR(INDEX('AI Stack'!$D:$AC, MATCH("Total Revenue ($mm)", 'AI Stack'!$A:$A, 0), K$5+1), 0)+INDEX('Lunar Mars'!$D:$AC, MATCH("Total Revenue ($mm)", 'Lunar Mars'!$A:$A, 0), K$5+1)-INDEX('Customer Launch'!$D:$AC, MATCH("Customer Launch internal transfer revenue ($mm)", 'Customer Launch'!$A:$A, 0), K$5+1)</f>
        <v>8424.0823115506282</v>
      </c>
      <c r="L57" s="57" cm="1">
        <f t="array" aca="1" ref="L57" ca="1">L12+INDEX('Customer Launch'!$D:$AC, MATCH("Total Revenue ($mm)", 'Customer Launch'!$A:$A, 0), L$5+1)+INDEX(ODC!$D:$AC, MATCH("Total Revenue ($mm)", ODC!$A:$A, 0), L$5+1)+IFERROR(INDEX('AI Stack'!$D:$AC, MATCH("Total Revenue ($mm)", 'AI Stack'!$A:$A, 0), L$5+1), 0)+INDEX('Lunar Mars'!$D:$AC, MATCH("Total Revenue ($mm)", 'Lunar Mars'!$A:$A, 0), L$5+1)-INDEX('Customer Launch'!$D:$AC, MATCH("Customer Launch internal transfer revenue ($mm)", 'Customer Launch'!$A:$A, 0), L$5+1)</f>
        <v>7690.9479177682551</v>
      </c>
      <c r="M57" s="57" cm="1">
        <f t="array" aca="1" ref="M57" ca="1">M12+INDEX('Customer Launch'!$D:$AC, MATCH("Total Revenue ($mm)", 'Customer Launch'!$A:$A, 0), M$5+1)+INDEX(ODC!$D:$AC, MATCH("Total Revenue ($mm)", ODC!$A:$A, 0), M$5+1)+IFERROR(INDEX('AI Stack'!$D:$AC, MATCH("Total Revenue ($mm)", 'AI Stack'!$A:$A, 0), M$5+1), 0)+INDEX('Lunar Mars'!$D:$AC, MATCH("Total Revenue ($mm)", 'Lunar Mars'!$A:$A, 0), M$5+1)-INDEX('Customer Launch'!$D:$AC, MATCH("Customer Launch internal transfer revenue ($mm)", 'Customer Launch'!$A:$A, 0), M$5+1)</f>
        <v>8936.9656874057873</v>
      </c>
      <c r="N57" s="57" cm="1">
        <f t="array" aca="1" ref="N57" ca="1">N12+INDEX('Customer Launch'!$D:$AC, MATCH("Total Revenue ($mm)", 'Customer Launch'!$A:$A, 0), N$5+1)+INDEX(ODC!$D:$AC, MATCH("Total Revenue ($mm)", ODC!$A:$A, 0), N$5+1)+IFERROR(INDEX('AI Stack'!$D:$AC, MATCH("Total Revenue ($mm)", 'AI Stack'!$A:$A, 0), N$5+1), 0)+INDEX('Lunar Mars'!$D:$AC, MATCH("Total Revenue ($mm)", 'Lunar Mars'!$A:$A, 0), N$5+1)-INDEX('Customer Launch'!$D:$AC, MATCH("Customer Launch internal transfer revenue ($mm)", 'Customer Launch'!$A:$A, 0), N$5+1)</f>
        <v>7800.2453517403701</v>
      </c>
      <c r="O57" s="57" cm="1">
        <f t="array" aca="1" ref="O57" ca="1">O12+INDEX('Customer Launch'!$D:$AC, MATCH("Total Revenue ($mm)", 'Customer Launch'!$A:$A, 0), O$5+1)+INDEX(ODC!$D:$AC, MATCH("Total Revenue ($mm)", ODC!$A:$A, 0), O$5+1)+IFERROR(INDEX('AI Stack'!$D:$AC, MATCH("Total Revenue ($mm)", 'AI Stack'!$A:$A, 0), O$5+1), 0)+INDEX('Lunar Mars'!$D:$AC, MATCH("Total Revenue ($mm)", 'Lunar Mars'!$A:$A, 0), O$5+1)-INDEX('Customer Launch'!$D:$AC, MATCH("Customer Launch internal transfer revenue ($mm)", 'Customer Launch'!$A:$A, 0), O$5+1)</f>
        <v>7654.7401438142697</v>
      </c>
      <c r="P57" s="57" cm="1">
        <f t="array" aca="1" ref="P57" ca="1">P12+INDEX('Customer Launch'!$D:$AC, MATCH("Total Revenue ($mm)", 'Customer Launch'!$A:$A, 0), P$5+1)+INDEX(ODC!$D:$AC, MATCH("Total Revenue ($mm)", ODC!$A:$A, 0), P$5+1)+IFERROR(INDEX('AI Stack'!$D:$AC, MATCH("Total Revenue ($mm)", 'AI Stack'!$A:$A, 0), P$5+1), 0)+INDEX('Lunar Mars'!$D:$AC, MATCH("Total Revenue ($mm)", 'Lunar Mars'!$A:$A, 0), P$5+1)-INDEX('Customer Launch'!$D:$AC, MATCH("Customer Launch internal transfer revenue ($mm)", 'Customer Launch'!$A:$A, 0), P$5+1)</f>
        <v>9898.2419447553038</v>
      </c>
      <c r="Q57" s="57" cm="1">
        <f t="array" aca="1" ref="Q57" ca="1">Q12+INDEX('Customer Launch'!$D:$AC, MATCH("Total Revenue ($mm)", 'Customer Launch'!$A:$A, 0), Q$5+1)+INDEX(ODC!$D:$AC, MATCH("Total Revenue ($mm)", ODC!$A:$A, 0), Q$5+1)+IFERROR(INDEX('AI Stack'!$D:$AC, MATCH("Total Revenue ($mm)", 'AI Stack'!$A:$A, 0), Q$5+1), 0)+INDEX('Lunar Mars'!$D:$AC, MATCH("Total Revenue ($mm)", 'Lunar Mars'!$A:$A, 0), Q$5+1)-INDEX('Customer Launch'!$D:$AC, MATCH("Customer Launch internal transfer revenue ($mm)", 'Customer Launch'!$A:$A, 0), Q$5+1)</f>
        <v>8006.5543097254895</v>
      </c>
      <c r="R57" s="57" cm="1">
        <f t="array" aca="1" ref="R57" ca="1">R12+INDEX('Customer Launch'!$D:$AC, MATCH("Total Revenue ($mm)", 'Customer Launch'!$A:$A, 0), R$5+1)+INDEX(ODC!$D:$AC, MATCH("Total Revenue ($mm)", ODC!$A:$A, 0), R$5+1)+IFERROR(INDEX('AI Stack'!$D:$AC, MATCH("Total Revenue ($mm)", 'AI Stack'!$A:$A, 0), R$5+1), 0)+INDEX('Lunar Mars'!$D:$AC, MATCH("Total Revenue ($mm)", 'Lunar Mars'!$A:$A, 0), R$5+1)-INDEX('Customer Launch'!$D:$AC, MATCH("Customer Launch internal transfer revenue ($mm)", 'Customer Launch'!$A:$A, 0), R$5+1)</f>
        <v>10392.001176685106</v>
      </c>
      <c r="S57" s="57" cm="1">
        <f t="array" aca="1" ref="S57" ca="1">S12+INDEX('Customer Launch'!$D:$AC, MATCH("Total Revenue ($mm)", 'Customer Launch'!$A:$A, 0), S$5+1)+INDEX(ODC!$D:$AC, MATCH("Total Revenue ($mm)", ODC!$A:$A, 0), S$5+1)+IFERROR(INDEX('AI Stack'!$D:$AC, MATCH("Total Revenue ($mm)", 'AI Stack'!$A:$A, 0), S$5+1), 0)+INDEX('Lunar Mars'!$D:$AC, MATCH("Total Revenue ($mm)", 'Lunar Mars'!$A:$A, 0), S$5+1)-INDEX('Customer Launch'!$D:$AC, MATCH("Customer Launch internal transfer revenue ($mm)", 'Customer Launch'!$A:$A, 0), S$5+1)</f>
        <v>8667.3649856770717</v>
      </c>
      <c r="T57" s="57" cm="1">
        <f t="array" aca="1" ref="T57" ca="1">T12+INDEX('Customer Launch'!$D:$AC, MATCH("Total Revenue ($mm)", 'Customer Launch'!$A:$A, 0), T$5+1)+INDEX(ODC!$D:$AC, MATCH("Total Revenue ($mm)", ODC!$A:$A, 0), T$5+1)+IFERROR(INDEX('AI Stack'!$D:$AC, MATCH("Total Revenue ($mm)", 'AI Stack'!$A:$A, 0), T$5+1), 0)+INDEX('Lunar Mars'!$D:$AC, MATCH("Total Revenue ($mm)", 'Lunar Mars'!$A:$A, 0), T$5+1)-INDEX('Customer Launch'!$D:$AC, MATCH("Customer Launch internal transfer revenue ($mm)", 'Customer Launch'!$A:$A, 0), T$5+1)</f>
        <v>9032.7392676528561</v>
      </c>
      <c r="U57" s="57" cm="1">
        <f t="array" aca="1" ref="U57" ca="1">U12+INDEX('Customer Launch'!$D:$AC, MATCH("Total Revenue ($mm)", 'Customer Launch'!$A:$A, 0), U$5+1)+INDEX(ODC!$D:$AC, MATCH("Total Revenue ($mm)", ODC!$A:$A, 0), U$5+1)+IFERROR(INDEX('AI Stack'!$D:$AC, MATCH("Total Revenue ($mm)", 'AI Stack'!$A:$A, 0), U$5+1), 0)+INDEX('Lunar Mars'!$D:$AC, MATCH("Total Revenue ($mm)", 'Lunar Mars'!$A:$A, 0), U$5+1)-INDEX('Customer Launch'!$D:$AC, MATCH("Customer Launch internal transfer revenue ($mm)", 'Customer Launch'!$A:$A, 0), U$5+1)</f>
        <v>11962.459835675038</v>
      </c>
      <c r="V57" s="57" cm="1">
        <f t="array" aca="1" ref="V57" ca="1">V12+INDEX('Customer Launch'!$D:$AC, MATCH("Total Revenue ($mm)", 'Customer Launch'!$A:$A, 0), V$5+1)+INDEX(ODC!$D:$AC, MATCH("Total Revenue ($mm)", ODC!$A:$A, 0), V$5+1)+IFERROR(INDEX('AI Stack'!$D:$AC, MATCH("Total Revenue ($mm)", 'AI Stack'!$A:$A, 0), V$5+1), 0)+INDEX('Lunar Mars'!$D:$AC, MATCH("Total Revenue ($mm)", 'Lunar Mars'!$A:$A, 0), V$5+1)-INDEX('Customer Launch'!$D:$AC, MATCH("Customer Launch internal transfer revenue ($mm)", 'Customer Launch'!$A:$A, 0), V$5+1)</f>
        <v>9839.9437936860431</v>
      </c>
      <c r="W57" s="57" cm="1">
        <f t="array" aca="1" ref="W57" ca="1">W12+INDEX('Customer Launch'!$D:$AC, MATCH("Total Revenue ($mm)", 'Customer Launch'!$A:$A, 0), W$5+1)+INDEX(ODC!$D:$AC, MATCH("Total Revenue ($mm)", ODC!$A:$A, 0), W$5+1)+IFERROR(INDEX('AI Stack'!$D:$AC, MATCH("Total Revenue ($mm)", 'AI Stack'!$A:$A, 0), W$5+1), 0)+INDEX('Lunar Mars'!$D:$AC, MATCH("Total Revenue ($mm)", 'Lunar Mars'!$A:$A, 0), W$5+1)-INDEX('Customer Launch'!$D:$AC, MATCH("Customer Launch internal transfer revenue ($mm)", 'Customer Launch'!$A:$A, 0), W$5+1)</f>
        <v>12140.847786438513</v>
      </c>
      <c r="X57" s="57" cm="1">
        <f t="array" aca="1" ref="X57" ca="1">X12+INDEX('Customer Launch'!$D:$AC, MATCH("Total Revenue ($mm)", 'Customer Launch'!$A:$A, 0), X$5+1)+INDEX(ODC!$D:$AC, MATCH("Total Revenue ($mm)", ODC!$A:$A, 0), X$5+1)+IFERROR(INDEX('AI Stack'!$D:$AC, MATCH("Total Revenue ($mm)", 'AI Stack'!$A:$A, 0), X$5+1), 0)+INDEX('Lunar Mars'!$D:$AC, MATCH("Total Revenue ($mm)", 'Lunar Mars'!$A:$A, 0), X$5+1)-INDEX('Customer Launch'!$D:$AC, MATCH("Customer Launch internal transfer revenue ($mm)", 'Customer Launch'!$A:$A, 0), X$5+1)</f>
        <v>12352.930358734944</v>
      </c>
      <c r="Y57" s="57" cm="1">
        <f t="array" aca="1" ref="Y57" ca="1">Y12+INDEX('Customer Launch'!$D:$AC, MATCH("Total Revenue ($mm)", 'Customer Launch'!$A:$A, 0), Y$5+1)+INDEX(ODC!$D:$AC, MATCH("Total Revenue ($mm)", ODC!$A:$A, 0), Y$5+1)+IFERROR(INDEX('AI Stack'!$D:$AC, MATCH("Total Revenue ($mm)", 'AI Stack'!$A:$A, 0), Y$5+1), 0)+INDEX('Lunar Mars'!$D:$AC, MATCH("Total Revenue ($mm)", 'Lunar Mars'!$A:$A, 0), Y$5+1)-INDEX('Customer Launch'!$D:$AC, MATCH("Customer Launch internal transfer revenue ($mm)", 'Customer Launch'!$A:$A, 0), Y$5+1)</f>
        <v>11240.152870379648</v>
      </c>
      <c r="Z57" s="57" cm="1">
        <f t="array" aca="1" ref="Z57" ca="1">Z12+INDEX('Customer Launch'!$D:$AC, MATCH("Total Revenue ($mm)", 'Customer Launch'!$A:$A, 0), Z$5+1)+INDEX(ODC!$D:$AC, MATCH("Total Revenue ($mm)", ODC!$A:$A, 0), Z$5+1)+IFERROR(INDEX('AI Stack'!$D:$AC, MATCH("Total Revenue ($mm)", 'AI Stack'!$A:$A, 0), Z$5+1), 0)+INDEX('Lunar Mars'!$D:$AC, MATCH("Total Revenue ($mm)", 'Lunar Mars'!$A:$A, 0), Z$5+1)-INDEX('Customer Launch'!$D:$AC, MATCH("Customer Launch internal transfer revenue ($mm)", 'Customer Launch'!$A:$A, 0), Z$5+1)</f>
        <v>14645.563994239907</v>
      </c>
      <c r="AA57" s="57" cm="1">
        <f t="array" aca="1" ref="AA57" ca="1">AA12+INDEX('Customer Launch'!$D:$AC, MATCH("Total Revenue ($mm)", 'Customer Launch'!$A:$A, 0), AA$5+1)+INDEX(ODC!$D:$AC, MATCH("Total Revenue ($mm)", ODC!$A:$A, 0), AA$5+1)+IFERROR(INDEX('AI Stack'!$D:$AC, MATCH("Total Revenue ($mm)", 'AI Stack'!$A:$A, 0), AA$5+1), 0)+INDEX('Lunar Mars'!$D:$AC, MATCH("Total Revenue ($mm)", 'Lunar Mars'!$A:$A, 0), AA$5+1)-INDEX('Customer Launch'!$D:$AC, MATCH("Customer Launch internal transfer revenue ($mm)", 'Customer Launch'!$A:$A, 0), AA$5+1)</f>
        <v>12301.005196048776</v>
      </c>
      <c r="AB57" s="57" cm="1">
        <f t="array" aca="1" ref="AB57" ca="1">AB12+INDEX('Customer Launch'!$D:$AC, MATCH("Total Revenue ($mm)", 'Customer Launch'!$A:$A, 0), AB$5+1)+INDEX(ODC!$D:$AC, MATCH("Total Revenue ($mm)", ODC!$A:$A, 0), AB$5+1)+IFERROR(INDEX('AI Stack'!$D:$AC, MATCH("Total Revenue ($mm)", 'AI Stack'!$A:$A, 0), AB$5+1), 0)+INDEX('Lunar Mars'!$D:$AC, MATCH("Total Revenue ($mm)", 'Lunar Mars'!$A:$A, 0), AB$5+1)-INDEX('Customer Launch'!$D:$AC, MATCH("Customer Launch internal transfer revenue ($mm)", 'Customer Launch'!$A:$A, 0), AB$5+1)</f>
        <v>14136.733380527949</v>
      </c>
      <c r="AC57" s="57" cm="1">
        <f t="array" aca="1" ref="AC57" ca="1">AC12+INDEX('Customer Launch'!$D:$AC, MATCH("Total Revenue ($mm)", 'Customer Launch'!$A:$A, 0), AC$5+1)+INDEX(ODC!$D:$AC, MATCH("Total Revenue ($mm)", ODC!$A:$A, 0), AC$5+1)+IFERROR(INDEX('AI Stack'!$D:$AC, MATCH("Total Revenue ($mm)", 'AI Stack'!$A:$A, 0), AC$5+1), 0)+INDEX('Lunar Mars'!$D:$AC, MATCH("Total Revenue ($mm)", 'Lunar Mars'!$A:$A, 0), AC$5+1)-INDEX('Customer Launch'!$D:$AC, MATCH("Customer Launch internal transfer revenue ($mm)", 'Customer Launch'!$A:$A, 0), AC$5+1)</f>
        <v>16532.454821727057</v>
      </c>
    </row>
    <row r="58" spans="1:29" x14ac:dyDescent="0.2">
      <c r="A58" s="18" t="s">
        <v>1291</v>
      </c>
      <c r="D58" s="57">
        <v>2853</v>
      </c>
    </row>
    <row r="59" spans="1:29" x14ac:dyDescent="0.2">
      <c r="A59" s="18" t="s">
        <v>1292</v>
      </c>
      <c r="D59" s="57">
        <v>4476</v>
      </c>
    </row>
    <row r="60" spans="1:29" x14ac:dyDescent="0.2">
      <c r="A60" s="18" t="s">
        <v>1293</v>
      </c>
      <c r="D60" s="46">
        <f ca="1">IFERROR((D53-D59)/D59, 0)</f>
        <v>-3.7158569591663033E-2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65482-61BA-A146-AAFA-5BF06985E220}">
  <dimension ref="A4:AC47"/>
  <sheetViews>
    <sheetView workbookViewId="0"/>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29" x14ac:dyDescent="0.2">
      <c r="A6" s="19" t="s">
        <v>628</v>
      </c>
    </row>
    <row r="10" spans="1:29" x14ac:dyDescent="0.2">
      <c r="A10" s="4" t="s">
        <v>1304</v>
      </c>
    </row>
    <row r="11" spans="1:29" x14ac:dyDescent="0.2">
      <c r="A11" t="s">
        <v>1305</v>
      </c>
      <c r="D11" s="40" cm="1">
        <f t="array" aca="1" ref="D11" ca="1">IFERROR(INDEX('Customer Launch'!$D:$AC, MATCH("Module CapEx ($mm)", 'Customer Launch'!$A:$A, 0), D$5+1), 0)</f>
        <v>32.86065</v>
      </c>
      <c r="E11" s="40" cm="1">
        <f t="array" aca="1" ref="E11" ca="1">IFERROR(INDEX('Customer Launch'!$D:$AC, MATCH("Module CapEx ($mm)", 'Customer Launch'!$A:$A, 0), E$5+1), 0)</f>
        <v>21.808020150000001</v>
      </c>
      <c r="F11" s="40" cm="1">
        <f t="array" aca="1" ref="F11" ca="1">IFERROR(INDEX('Customer Launch'!$D:$AC, MATCH("Module CapEx ($mm)", 'Customer Launch'!$A:$A, 0), F$5+1), 0)</f>
        <v>21.780007641173597</v>
      </c>
      <c r="G11" s="40" cm="1">
        <f t="array" aca="1" ref="G11" ca="1">IFERROR(INDEX('Customer Launch'!$D:$AC, MATCH("Module CapEx ($mm)", 'Customer Launch'!$A:$A, 0), G$5+1), 0)</f>
        <v>21.752738003821573</v>
      </c>
      <c r="H11" s="40" cm="1">
        <f t="array" aca="1" ref="H11" ca="1">IFERROR(INDEX('Customer Launch'!$D:$AC, MATCH("Module CapEx ($mm)", 'Customer Launch'!$A:$A, 0), H$5+1), 0)</f>
        <v>21.278336583307627</v>
      </c>
      <c r="I11" s="40" cm="1">
        <f t="array" aca="1" ref="I11" ca="1">IFERROR(INDEX('Customer Launch'!$D:$AC, MATCH("Module CapEx ($mm)", 'Customer Launch'!$A:$A, 0), I$5+1), 0)</f>
        <v>20.738220771227518</v>
      </c>
      <c r="J11" s="40" cm="1">
        <f t="array" aca="1" ref="J11" ca="1">IFERROR(INDEX('Customer Launch'!$D:$AC, MATCH("Module CapEx ($mm)", 'Customer Launch'!$A:$A, 0), J$5+1), 0)</f>
        <v>20.554165424060848</v>
      </c>
      <c r="K11" s="40" cm="1">
        <f t="array" aca="1" ref="K11" ca="1">IFERROR(INDEX('Customer Launch'!$D:$AC, MATCH("Module CapEx ($mm)", 'Customer Launch'!$A:$A, 0), K$5+1), 0)</f>
        <v>17.606898198878618</v>
      </c>
      <c r="L11" s="40" cm="1">
        <f t="array" aca="1" ref="L11" ca="1">IFERROR(INDEX('Customer Launch'!$D:$AC, MATCH("Module CapEx ($mm)", 'Customer Launch'!$A:$A, 0), L$5+1), 0)</f>
        <v>20.164357361710092</v>
      </c>
      <c r="M11" s="40" cm="1">
        <f t="array" aca="1" ref="M11" ca="1">IFERROR(INDEX('Customer Launch'!$D:$AC, MATCH("Module CapEx ($mm)", 'Customer Launch'!$A:$A, 0), M$5+1), 0)</f>
        <v>15.389672862545268</v>
      </c>
      <c r="N11" s="40" cm="1">
        <f t="array" aca="1" ref="N11" ca="1">IFERROR(INDEX('Customer Launch'!$D:$AC, MATCH("Module CapEx ($mm)", 'Customer Launch'!$A:$A, 0), N$5+1), 0)</f>
        <v>12.867818078450918</v>
      </c>
      <c r="O11" s="40" cm="1">
        <f t="array" aca="1" ref="O11" ca="1">IFERROR(INDEX('Customer Launch'!$D:$AC, MATCH("Module CapEx ($mm)", 'Customer Launch'!$A:$A, 0), O$5+1), 0)</f>
        <v>20.500840811642526</v>
      </c>
      <c r="P11" s="40" cm="1">
        <f t="array" aca="1" ref="P11" ca="1">IFERROR(INDEX('Customer Launch'!$D:$AC, MATCH("Module CapEx ($mm)", 'Customer Launch'!$A:$A, 0), P$5+1), 0)</f>
        <v>9.728152425278326</v>
      </c>
      <c r="Q11" s="40" cm="1">
        <f t="array" aca="1" ref="Q11" ca="1">IFERROR(INDEX('Customer Launch'!$D:$AC, MATCH("Module CapEx ($mm)", 'Customer Launch'!$A:$A, 0), Q$5+1), 0)</f>
        <v>19.641346809201558</v>
      </c>
      <c r="R11" s="40" cm="1">
        <f t="array" aca="1" ref="R11" ca="1">IFERROR(INDEX('Customer Launch'!$D:$AC, MATCH("Module CapEx ($mm)", 'Customer Launch'!$A:$A, 0), R$5+1), 0)</f>
        <v>9.6940183218469755</v>
      </c>
      <c r="S11" s="40" cm="1">
        <f t="array" aca="1" ref="S11" ca="1">IFERROR(INDEX('Customer Launch'!$D:$AC, MATCH("Module CapEx ($mm)", 'Customer Launch'!$A:$A, 0), S$5+1), 0)</f>
        <v>9.4389669670404555</v>
      </c>
      <c r="T11" s="40" cm="1">
        <f t="array" aca="1" ref="T11" ca="1">IFERROR(INDEX('Customer Launch'!$D:$AC, MATCH("Module CapEx ($mm)", 'Customer Launch'!$A:$A, 0), T$5+1), 0)</f>
        <v>21.670540924447689</v>
      </c>
      <c r="U11" s="40" cm="1">
        <f t="array" aca="1" ref="U11" ca="1">IFERROR(INDEX('Customer Launch'!$D:$AC, MATCH("Module CapEx ($mm)", 'Customer Launch'!$A:$A, 0), U$5+1), 0)</f>
        <v>9.3618295321011438</v>
      </c>
      <c r="V11" s="40" cm="1">
        <f t="array" aca="1" ref="V11" ca="1">IFERROR(INDEX('Customer Launch'!$D:$AC, MATCH("Module CapEx ($mm)", 'Customer Launch'!$A:$A, 0), V$5+1), 0)</f>
        <v>18.247315463124096</v>
      </c>
      <c r="W11" s="40" cm="1">
        <f t="array" aca="1" ref="W11" ca="1">IFERROR(INDEX('Customer Launch'!$D:$AC, MATCH("Module CapEx ($mm)", 'Customer Launch'!$A:$A, 0), W$5+1), 0)</f>
        <v>17.066814007914708</v>
      </c>
      <c r="X11" s="40" cm="1">
        <f t="array" aca="1" ref="X11" ca="1">IFERROR(INDEX('Customer Launch'!$D:$AC, MATCH("Module CapEx ($mm)", 'Customer Launch'!$A:$A, 0), X$5+1), 0)</f>
        <v>9.2942847473600985</v>
      </c>
      <c r="Y11" s="40" cm="1">
        <f t="array" aca="1" ref="Y11" ca="1">IFERROR(INDEX('Customer Launch'!$D:$AC, MATCH("Module CapEx ($mm)", 'Customer Launch'!$A:$A, 0), Y$5+1), 0)</f>
        <v>23.176314323045514</v>
      </c>
      <c r="Z11" s="40" cm="1">
        <f t="array" aca="1" ref="Z11" ca="1">IFERROR(INDEX('Customer Launch'!$D:$AC, MATCH("Module CapEx ($mm)", 'Customer Launch'!$A:$A, 0), Z$5+1), 0)</f>
        <v>9.2124907558610865</v>
      </c>
      <c r="AA11" s="40" cm="1">
        <f t="array" aca="1" ref="AA11" ca="1">IFERROR(INDEX('Customer Launch'!$D:$AC, MATCH("Module CapEx ($mm)", 'Customer Launch'!$A:$A, 0), AA$5+1), 0)</f>
        <v>14.968161921052891</v>
      </c>
      <c r="AB11" s="40" cm="1">
        <f t="array" aca="1" ref="AB11" ca="1">IFERROR(INDEX('Customer Launch'!$D:$AC, MATCH("Module CapEx ($mm)", 'Customer Launch'!$A:$A, 0), AB$5+1), 0)</f>
        <v>23.782098503837815</v>
      </c>
      <c r="AC11" s="40" cm="1">
        <f t="array" aca="1" ref="AC11" ca="1">IFERROR(INDEX('Customer Launch'!$D:$AC, MATCH("Module CapEx ($mm)", 'Customer Launch'!$A:$A, 0), AC$5+1), 0)</f>
        <v>9.1984313819988142</v>
      </c>
    </row>
    <row r="12" spans="1:29" x14ac:dyDescent="0.2">
      <c r="A12" t="s">
        <v>1306</v>
      </c>
      <c r="D12" s="40" cm="1">
        <f t="array" aca="1" ref="D12" ca="1">IFERROR(INDEX(Starlink!$D:$AC, MATCH("Module CapEx ($mm)", Starlink!$A:$A, 0), D$5+1), 0)</f>
        <v>1184.4137500000002</v>
      </c>
      <c r="E12" s="40" cm="1">
        <f t="array" aca="1" ref="E12" ca="1">IFERROR(INDEX(Starlink!$D:$AC, MATCH("Module CapEx ($mm)", Starlink!$A:$A, 0), E$5+1), 0)</f>
        <v>0</v>
      </c>
      <c r="F12" s="40" cm="1">
        <f t="array" aca="1" ref="F12" ca="1">IFERROR(INDEX(Starlink!$D:$AC, MATCH("Module CapEx ($mm)", Starlink!$A:$A, 0), F$5+1), 0)</f>
        <v>0</v>
      </c>
      <c r="G12" s="40" cm="1">
        <f t="array" aca="1" ref="G12" ca="1">IFERROR(INDEX(Starlink!$D:$AC, MATCH("Module CapEx ($mm)", Starlink!$A:$A, 0), G$5+1), 0)</f>
        <v>0</v>
      </c>
      <c r="H12" s="40" cm="1">
        <f t="array" aca="1" ref="H12" ca="1">IFERROR(INDEX(Starlink!$D:$AC, MATCH("Module CapEx ($mm)", Starlink!$A:$A, 0), H$5+1), 0)</f>
        <v>0</v>
      </c>
      <c r="I12" s="40" cm="1">
        <f t="array" aca="1" ref="I12" ca="1">IFERROR(INDEX(Starlink!$D:$AC, MATCH("Module CapEx ($mm)", Starlink!$A:$A, 0), I$5+1), 0)</f>
        <v>0</v>
      </c>
      <c r="J12" s="40" cm="1">
        <f t="array" aca="1" ref="J12" ca="1">IFERROR(INDEX(Starlink!$D:$AC, MATCH("Module CapEx ($mm)", Starlink!$A:$A, 0), J$5+1), 0)</f>
        <v>0</v>
      </c>
      <c r="K12" s="40" cm="1">
        <f t="array" aca="1" ref="K12" ca="1">IFERROR(INDEX(Starlink!$D:$AC, MATCH("Module CapEx ($mm)", Starlink!$A:$A, 0), K$5+1), 0)</f>
        <v>0</v>
      </c>
      <c r="L12" s="40" cm="1">
        <f t="array" aca="1" ref="L12" ca="1">IFERROR(INDEX(Starlink!$D:$AC, MATCH("Module CapEx ($mm)", Starlink!$A:$A, 0), L$5+1), 0)</f>
        <v>0</v>
      </c>
      <c r="M12" s="40" cm="1">
        <f t="array" aca="1" ref="M12" ca="1">IFERROR(INDEX(Starlink!$D:$AC, MATCH("Module CapEx ($mm)", Starlink!$A:$A, 0), M$5+1), 0)</f>
        <v>0</v>
      </c>
      <c r="N12" s="40" cm="1">
        <f t="array" aca="1" ref="N12" ca="1">IFERROR(INDEX(Starlink!$D:$AC, MATCH("Module CapEx ($mm)", Starlink!$A:$A, 0), N$5+1), 0)</f>
        <v>0</v>
      </c>
      <c r="O12" s="40" cm="1">
        <f t="array" aca="1" ref="O12" ca="1">IFERROR(INDEX(Starlink!$D:$AC, MATCH("Module CapEx ($mm)", Starlink!$A:$A, 0), O$5+1), 0)</f>
        <v>0</v>
      </c>
      <c r="P12" s="40" cm="1">
        <f t="array" aca="1" ref="P12" ca="1">IFERROR(INDEX(Starlink!$D:$AC, MATCH("Module CapEx ($mm)", Starlink!$A:$A, 0), P$5+1), 0)</f>
        <v>0</v>
      </c>
      <c r="Q12" s="40" cm="1">
        <f t="array" aca="1" ref="Q12" ca="1">IFERROR(INDEX(Starlink!$D:$AC, MATCH("Module CapEx ($mm)", Starlink!$A:$A, 0), Q$5+1), 0)</f>
        <v>0</v>
      </c>
      <c r="R12" s="40" cm="1">
        <f t="array" aca="1" ref="R12" ca="1">IFERROR(INDEX(Starlink!$D:$AC, MATCH("Module CapEx ($mm)", Starlink!$A:$A, 0), R$5+1), 0)</f>
        <v>0</v>
      </c>
      <c r="S12" s="40" cm="1">
        <f t="array" aca="1" ref="S12" ca="1">IFERROR(INDEX(Starlink!$D:$AC, MATCH("Module CapEx ($mm)", Starlink!$A:$A, 0), S$5+1), 0)</f>
        <v>0</v>
      </c>
      <c r="T12" s="40" cm="1">
        <f t="array" aca="1" ref="T12" ca="1">IFERROR(INDEX(Starlink!$D:$AC, MATCH("Module CapEx ($mm)", Starlink!$A:$A, 0), T$5+1), 0)</f>
        <v>0</v>
      </c>
      <c r="U12" s="40" cm="1">
        <f t="array" aca="1" ref="U12" ca="1">IFERROR(INDEX(Starlink!$D:$AC, MATCH("Module CapEx ($mm)", Starlink!$A:$A, 0), U$5+1), 0)</f>
        <v>0</v>
      </c>
      <c r="V12" s="40" cm="1">
        <f t="array" aca="1" ref="V12" ca="1">IFERROR(INDEX(Starlink!$D:$AC, MATCH("Module CapEx ($mm)", Starlink!$A:$A, 0), V$5+1), 0)</f>
        <v>0</v>
      </c>
      <c r="W12" s="40" cm="1">
        <f t="array" aca="1" ref="W12" ca="1">IFERROR(INDEX(Starlink!$D:$AC, MATCH("Module CapEx ($mm)", Starlink!$A:$A, 0), W$5+1), 0)</f>
        <v>0</v>
      </c>
      <c r="X12" s="40" cm="1">
        <f t="array" aca="1" ref="X12" ca="1">IFERROR(INDEX(Starlink!$D:$AC, MATCH("Module CapEx ($mm)", Starlink!$A:$A, 0), X$5+1), 0)</f>
        <v>0</v>
      </c>
      <c r="Y12" s="40" cm="1">
        <f t="array" aca="1" ref="Y12" ca="1">IFERROR(INDEX(Starlink!$D:$AC, MATCH("Module CapEx ($mm)", Starlink!$A:$A, 0), Y$5+1), 0)</f>
        <v>0</v>
      </c>
      <c r="Z12" s="40" cm="1">
        <f t="array" aca="1" ref="Z12" ca="1">IFERROR(INDEX(Starlink!$D:$AC, MATCH("Module CapEx ($mm)", Starlink!$A:$A, 0), Z$5+1), 0)</f>
        <v>0</v>
      </c>
      <c r="AA12" s="40" cm="1">
        <f t="array" aca="1" ref="AA12" ca="1">IFERROR(INDEX(Starlink!$D:$AC, MATCH("Module CapEx ($mm)", Starlink!$A:$A, 0), AA$5+1), 0)</f>
        <v>0</v>
      </c>
      <c r="AB12" s="40" cm="1">
        <f t="array" aca="1" ref="AB12" ca="1">IFERROR(INDEX(Starlink!$D:$AC, MATCH("Module CapEx ($mm)", Starlink!$A:$A, 0), AB$5+1), 0)</f>
        <v>0</v>
      </c>
      <c r="AC12" s="40" cm="1">
        <f t="array" aca="1" ref="AC12" ca="1">IFERROR(INDEX(Starlink!$D:$AC, MATCH("Module CapEx ($mm)", Starlink!$A:$A, 0), AC$5+1), 0)</f>
        <v>0</v>
      </c>
    </row>
    <row r="13" spans="1:29" x14ac:dyDescent="0.2">
      <c r="A13" t="s">
        <v>1307</v>
      </c>
      <c r="D13" s="40" cm="1">
        <f t="array" aca="1" ref="D13" ca="1">IFERROR(INDEX(ODC!$D:$AC, MATCH("Module CapEx ($mm)", ODC!$A:$A, 0), D$5+1), 0)</f>
        <v>0</v>
      </c>
      <c r="E13" s="40" cm="1">
        <f t="array" aca="1" ref="E13" ca="1">IFERROR(INDEX(ODC!$D:$AC, MATCH("Module CapEx ($mm)", ODC!$A:$A, 0), E$5+1), 0)</f>
        <v>0</v>
      </c>
      <c r="F13" s="40" cm="1">
        <f t="array" aca="1" ref="F13" ca="1">IFERROR(INDEX(ODC!$D:$AC, MATCH("Module CapEx ($mm)", ODC!$A:$A, 0), F$5+1), 0)</f>
        <v>0</v>
      </c>
      <c r="G13" s="40" cm="1">
        <f t="array" aca="1" ref="G13" ca="1">IFERROR(INDEX(ODC!$D:$AC, MATCH("Module CapEx ($mm)", ODC!$A:$A, 0), G$5+1), 0)</f>
        <v>0</v>
      </c>
      <c r="H13" s="40" cm="1">
        <f t="array" aca="1" ref="H13" ca="1">IFERROR(INDEX(ODC!$D:$AC, MATCH("Module CapEx ($mm)", ODC!$A:$A, 0), H$5+1), 0)</f>
        <v>0</v>
      </c>
      <c r="I13" s="40" cm="1">
        <f t="array" aca="1" ref="I13" ca="1">IFERROR(INDEX(ODC!$D:$AC, MATCH("Module CapEx ($mm)", ODC!$A:$A, 0), I$5+1), 0)</f>
        <v>0</v>
      </c>
      <c r="J13" s="40" cm="1">
        <f t="array" aca="1" ref="J13" ca="1">IFERROR(INDEX(ODC!$D:$AC, MATCH("Module CapEx ($mm)", ODC!$A:$A, 0), J$5+1), 0)</f>
        <v>0</v>
      </c>
      <c r="K13" s="40" cm="1">
        <f t="array" aca="1" ref="K13" ca="1">IFERROR(INDEX(ODC!$D:$AC, MATCH("Module CapEx ($mm)", ODC!$A:$A, 0), K$5+1), 0)</f>
        <v>0</v>
      </c>
      <c r="L13" s="40" cm="1">
        <f t="array" aca="1" ref="L13" ca="1">IFERROR(INDEX(ODC!$D:$AC, MATCH("Module CapEx ($mm)", ODC!$A:$A, 0), L$5+1), 0)</f>
        <v>0</v>
      </c>
      <c r="M13" s="40" cm="1">
        <f t="array" aca="1" ref="M13" ca="1">IFERROR(INDEX(ODC!$D:$AC, MATCH("Module CapEx ($mm)", ODC!$A:$A, 0), M$5+1), 0)</f>
        <v>0</v>
      </c>
      <c r="N13" s="40" cm="1">
        <f t="array" aca="1" ref="N13" ca="1">IFERROR(INDEX(ODC!$D:$AC, MATCH("Module CapEx ($mm)", ODC!$A:$A, 0), N$5+1), 0)</f>
        <v>0</v>
      </c>
      <c r="O13" s="40" cm="1">
        <f t="array" aca="1" ref="O13" ca="1">IFERROR(INDEX(ODC!$D:$AC, MATCH("Module CapEx ($mm)", ODC!$A:$A, 0), O$5+1), 0)</f>
        <v>0</v>
      </c>
      <c r="P13" s="40" cm="1">
        <f t="array" aca="1" ref="P13" ca="1">IFERROR(INDEX(ODC!$D:$AC, MATCH("Module CapEx ($mm)", ODC!$A:$A, 0), P$5+1), 0)</f>
        <v>0</v>
      </c>
      <c r="Q13" s="40" cm="1">
        <f t="array" aca="1" ref="Q13" ca="1">IFERROR(INDEX(ODC!$D:$AC, MATCH("Module CapEx ($mm)", ODC!$A:$A, 0), Q$5+1), 0)</f>
        <v>0</v>
      </c>
      <c r="R13" s="40" cm="1">
        <f t="array" aca="1" ref="R13" ca="1">IFERROR(INDEX(ODC!$D:$AC, MATCH("Module CapEx ($mm)", ODC!$A:$A, 0), R$5+1), 0)</f>
        <v>0</v>
      </c>
      <c r="S13" s="40" cm="1">
        <f t="array" aca="1" ref="S13" ca="1">IFERROR(INDEX(ODC!$D:$AC, MATCH("Module CapEx ($mm)", ODC!$A:$A, 0), S$5+1), 0)</f>
        <v>0</v>
      </c>
      <c r="T13" s="40" cm="1">
        <f t="array" aca="1" ref="T13" ca="1">IFERROR(INDEX(ODC!$D:$AC, MATCH("Module CapEx ($mm)", ODC!$A:$A, 0), T$5+1), 0)</f>
        <v>0</v>
      </c>
      <c r="U13" s="40" cm="1">
        <f t="array" aca="1" ref="U13" ca="1">IFERROR(INDEX(ODC!$D:$AC, MATCH("Module CapEx ($mm)", ODC!$A:$A, 0), U$5+1), 0)</f>
        <v>0</v>
      </c>
      <c r="V13" s="40" cm="1">
        <f t="array" aca="1" ref="V13" ca="1">IFERROR(INDEX(ODC!$D:$AC, MATCH("Module CapEx ($mm)", ODC!$A:$A, 0), V$5+1), 0)</f>
        <v>0</v>
      </c>
      <c r="W13" s="40" cm="1">
        <f t="array" aca="1" ref="W13" ca="1">IFERROR(INDEX(ODC!$D:$AC, MATCH("Module CapEx ($mm)", ODC!$A:$A, 0), W$5+1), 0)</f>
        <v>0</v>
      </c>
      <c r="X13" s="40" cm="1">
        <f t="array" aca="1" ref="X13" ca="1">IFERROR(INDEX(ODC!$D:$AC, MATCH("Module CapEx ($mm)", ODC!$A:$A, 0), X$5+1), 0)</f>
        <v>0</v>
      </c>
      <c r="Y13" s="40" cm="1">
        <f t="array" aca="1" ref="Y13" ca="1">IFERROR(INDEX(ODC!$D:$AC, MATCH("Module CapEx ($mm)", ODC!$A:$A, 0), Y$5+1), 0)</f>
        <v>0</v>
      </c>
      <c r="Z13" s="40" cm="1">
        <f t="array" aca="1" ref="Z13" ca="1">IFERROR(INDEX(ODC!$D:$AC, MATCH("Module CapEx ($mm)", ODC!$A:$A, 0), Z$5+1), 0)</f>
        <v>0</v>
      </c>
      <c r="AA13" s="40" cm="1">
        <f t="array" aca="1" ref="AA13" ca="1">IFERROR(INDEX(ODC!$D:$AC, MATCH("Module CapEx ($mm)", ODC!$A:$A, 0), AA$5+1), 0)</f>
        <v>0</v>
      </c>
      <c r="AB13" s="40" cm="1">
        <f t="array" aca="1" ref="AB13" ca="1">IFERROR(INDEX(ODC!$D:$AC, MATCH("Module CapEx ($mm)", ODC!$A:$A, 0), AB$5+1), 0)</f>
        <v>0</v>
      </c>
      <c r="AC13" s="40" cm="1">
        <f t="array" aca="1" ref="AC13" ca="1">IFERROR(INDEX(ODC!$D:$AC, MATCH("Module CapEx ($mm)", ODC!$A:$A, 0), AC$5+1), 0)</f>
        <v>0</v>
      </c>
    </row>
    <row r="14" spans="1:29" x14ac:dyDescent="0.2">
      <c r="A14" t="s">
        <v>1308</v>
      </c>
      <c r="D14" s="40" cm="1">
        <f t="array" aca="1" ref="D14" ca="1">IFERROR(INDEX('AI Stack'!$D:$AC, MATCH("Module CapEx ($mm)", 'AI Stack'!$A:$A, 0), D$5+1), 0)</f>
        <v>0</v>
      </c>
      <c r="E14" s="40" cm="1">
        <f t="array" aca="1" ref="E14" ca="1">IFERROR(INDEX('AI Stack'!$D:$AC, MATCH("Module CapEx ($mm)", 'AI Stack'!$A:$A, 0), E$5+1), 0)</f>
        <v>0</v>
      </c>
      <c r="F14" s="40" cm="1">
        <f t="array" aca="1" ref="F14" ca="1">IFERROR(INDEX('AI Stack'!$D:$AC, MATCH("Module CapEx ($mm)", 'AI Stack'!$A:$A, 0), F$5+1), 0)</f>
        <v>0</v>
      </c>
      <c r="G14" s="40" cm="1">
        <f t="array" aca="1" ref="G14" ca="1">IFERROR(INDEX('AI Stack'!$D:$AC, MATCH("Module CapEx ($mm)", 'AI Stack'!$A:$A, 0), G$5+1), 0)</f>
        <v>0</v>
      </c>
      <c r="H14" s="40" cm="1">
        <f t="array" aca="1" ref="H14" ca="1">IFERROR(INDEX('AI Stack'!$D:$AC, MATCH("Module CapEx ($mm)", 'AI Stack'!$A:$A, 0), H$5+1), 0)</f>
        <v>0</v>
      </c>
      <c r="I14" s="40" cm="1">
        <f t="array" aca="1" ref="I14" ca="1">IFERROR(INDEX('AI Stack'!$D:$AC, MATCH("Module CapEx ($mm)", 'AI Stack'!$A:$A, 0), I$5+1), 0)</f>
        <v>0</v>
      </c>
      <c r="J14" s="40" cm="1">
        <f t="array" aca="1" ref="J14" ca="1">IFERROR(INDEX('AI Stack'!$D:$AC, MATCH("Module CapEx ($mm)", 'AI Stack'!$A:$A, 0), J$5+1), 0)</f>
        <v>0</v>
      </c>
      <c r="K14" s="40" cm="1">
        <f t="array" aca="1" ref="K14" ca="1">IFERROR(INDEX('AI Stack'!$D:$AC, MATCH("Module CapEx ($mm)", 'AI Stack'!$A:$A, 0), K$5+1), 0)</f>
        <v>0</v>
      </c>
      <c r="L14" s="40" cm="1">
        <f t="array" aca="1" ref="L14" ca="1">IFERROR(INDEX('AI Stack'!$D:$AC, MATCH("Module CapEx ($mm)", 'AI Stack'!$A:$A, 0), L$5+1), 0)</f>
        <v>0</v>
      </c>
      <c r="M14" s="40" cm="1">
        <f t="array" aca="1" ref="M14" ca="1">IFERROR(INDEX('AI Stack'!$D:$AC, MATCH("Module CapEx ($mm)", 'AI Stack'!$A:$A, 0), M$5+1), 0)</f>
        <v>0</v>
      </c>
      <c r="N14" s="40" cm="1">
        <f t="array" aca="1" ref="N14" ca="1">IFERROR(INDEX('AI Stack'!$D:$AC, MATCH("Module CapEx ($mm)", 'AI Stack'!$A:$A, 0), N$5+1), 0)</f>
        <v>0</v>
      </c>
      <c r="O14" s="40" cm="1">
        <f t="array" aca="1" ref="O14" ca="1">IFERROR(INDEX('AI Stack'!$D:$AC, MATCH("Module CapEx ($mm)", 'AI Stack'!$A:$A, 0), O$5+1), 0)</f>
        <v>0</v>
      </c>
      <c r="P14" s="40" cm="1">
        <f t="array" aca="1" ref="P14" ca="1">IFERROR(INDEX('AI Stack'!$D:$AC, MATCH("Module CapEx ($mm)", 'AI Stack'!$A:$A, 0), P$5+1), 0)</f>
        <v>0</v>
      </c>
      <c r="Q14" s="40" cm="1">
        <f t="array" aca="1" ref="Q14" ca="1">IFERROR(INDEX('AI Stack'!$D:$AC, MATCH("Module CapEx ($mm)", 'AI Stack'!$A:$A, 0), Q$5+1), 0)</f>
        <v>0</v>
      </c>
      <c r="R14" s="40" cm="1">
        <f t="array" aca="1" ref="R14" ca="1">IFERROR(INDEX('AI Stack'!$D:$AC, MATCH("Module CapEx ($mm)", 'AI Stack'!$A:$A, 0), R$5+1), 0)</f>
        <v>0</v>
      </c>
      <c r="S14" s="40" cm="1">
        <f t="array" aca="1" ref="S14" ca="1">IFERROR(INDEX('AI Stack'!$D:$AC, MATCH("Module CapEx ($mm)", 'AI Stack'!$A:$A, 0), S$5+1), 0)</f>
        <v>0</v>
      </c>
      <c r="T14" s="40" cm="1">
        <f t="array" aca="1" ref="T14" ca="1">IFERROR(INDEX('AI Stack'!$D:$AC, MATCH("Module CapEx ($mm)", 'AI Stack'!$A:$A, 0), T$5+1), 0)</f>
        <v>0</v>
      </c>
      <c r="U14" s="40" cm="1">
        <f t="array" aca="1" ref="U14" ca="1">IFERROR(INDEX('AI Stack'!$D:$AC, MATCH("Module CapEx ($mm)", 'AI Stack'!$A:$A, 0), U$5+1), 0)</f>
        <v>0</v>
      </c>
      <c r="V14" s="40" cm="1">
        <f t="array" aca="1" ref="V14" ca="1">IFERROR(INDEX('AI Stack'!$D:$AC, MATCH("Module CapEx ($mm)", 'AI Stack'!$A:$A, 0), V$5+1), 0)</f>
        <v>0</v>
      </c>
      <c r="W14" s="40" cm="1">
        <f t="array" aca="1" ref="W14" ca="1">IFERROR(INDEX('AI Stack'!$D:$AC, MATCH("Module CapEx ($mm)", 'AI Stack'!$A:$A, 0), W$5+1), 0)</f>
        <v>0</v>
      </c>
      <c r="X14" s="40" cm="1">
        <f t="array" aca="1" ref="X14" ca="1">IFERROR(INDEX('AI Stack'!$D:$AC, MATCH("Module CapEx ($mm)", 'AI Stack'!$A:$A, 0), X$5+1), 0)</f>
        <v>0</v>
      </c>
      <c r="Y14" s="40" cm="1">
        <f t="array" aca="1" ref="Y14" ca="1">IFERROR(INDEX('AI Stack'!$D:$AC, MATCH("Module CapEx ($mm)", 'AI Stack'!$A:$A, 0), Y$5+1), 0)</f>
        <v>0</v>
      </c>
      <c r="Z14" s="40" cm="1">
        <f t="array" aca="1" ref="Z14" ca="1">IFERROR(INDEX('AI Stack'!$D:$AC, MATCH("Module CapEx ($mm)", 'AI Stack'!$A:$A, 0), Z$5+1), 0)</f>
        <v>0</v>
      </c>
      <c r="AA14" s="40" cm="1">
        <f t="array" aca="1" ref="AA14" ca="1">IFERROR(INDEX('AI Stack'!$D:$AC, MATCH("Module CapEx ($mm)", 'AI Stack'!$A:$A, 0), AA$5+1), 0)</f>
        <v>0</v>
      </c>
      <c r="AB14" s="40" cm="1">
        <f t="array" aca="1" ref="AB14" ca="1">IFERROR(INDEX('AI Stack'!$D:$AC, MATCH("Module CapEx ($mm)", 'AI Stack'!$A:$A, 0), AB$5+1), 0)</f>
        <v>0</v>
      </c>
      <c r="AC14" s="40" cm="1">
        <f t="array" aca="1" ref="AC14" ca="1">IFERROR(INDEX('AI Stack'!$D:$AC, MATCH("Module CapEx ($mm)", 'AI Stack'!$A:$A, 0), AC$5+1), 0)</f>
        <v>0</v>
      </c>
    </row>
    <row r="15" spans="1:29" x14ac:dyDescent="0.2">
      <c r="A15" t="s">
        <v>1309</v>
      </c>
      <c r="D15" s="40" cm="1">
        <f t="array" aca="1" ref="D15" ca="1">IFERROR(INDEX('Lunar Mars'!$D:$AC, MATCH("Module CapEx ($mm)", 'Lunar Mars'!$A:$A, 0), D$5+1), 0)</f>
        <v>0</v>
      </c>
      <c r="E15" s="40" cm="1">
        <f t="array" aca="1" ref="E15" ca="1">IFERROR(INDEX('Lunar Mars'!$D:$AC, MATCH("Module CapEx ($mm)", 'Lunar Mars'!$A:$A, 0), E$5+1), 0)</f>
        <v>0</v>
      </c>
      <c r="F15" s="40" cm="1">
        <f t="array" aca="1" ref="F15" ca="1">IFERROR(INDEX('Lunar Mars'!$D:$AC, MATCH("Module CapEx ($mm)", 'Lunar Mars'!$A:$A, 0), F$5+1), 0)</f>
        <v>0</v>
      </c>
      <c r="G15" s="40" cm="1">
        <f t="array" aca="1" ref="G15" ca="1">IFERROR(INDEX('Lunar Mars'!$D:$AC, MATCH("Module CapEx ($mm)", 'Lunar Mars'!$A:$A, 0), G$5+1), 0)</f>
        <v>1000</v>
      </c>
      <c r="H15" s="40" cm="1">
        <f t="array" aca="1" ref="H15" ca="1">IFERROR(INDEX('Lunar Mars'!$D:$AC, MATCH("Module CapEx ($mm)", 'Lunar Mars'!$A:$A, 0), H$5+1), 0)</f>
        <v>1000</v>
      </c>
      <c r="I15" s="40" cm="1">
        <f t="array" aca="1" ref="I15" ca="1">IFERROR(INDEX('Lunar Mars'!$D:$AC, MATCH("Module CapEx ($mm)", 'Lunar Mars'!$A:$A, 0), I$5+1), 0)</f>
        <v>1000</v>
      </c>
      <c r="J15" s="40" cm="1">
        <f t="array" aca="1" ref="J15" ca="1">IFERROR(INDEX('Lunar Mars'!$D:$AC, MATCH("Module CapEx ($mm)", 'Lunar Mars'!$A:$A, 0), J$5+1), 0)</f>
        <v>1000</v>
      </c>
      <c r="K15" s="40" cm="1">
        <f t="array" aca="1" ref="K15" ca="1">IFERROR(INDEX('Lunar Mars'!$D:$AC, MATCH("Module CapEx ($mm)", 'Lunar Mars'!$A:$A, 0), K$5+1), 0)</f>
        <v>1000</v>
      </c>
      <c r="L15" s="40" cm="1">
        <f t="array" aca="1" ref="L15" ca="1">IFERROR(INDEX('Lunar Mars'!$D:$AC, MATCH("Module CapEx ($mm)", 'Lunar Mars'!$A:$A, 0), L$5+1), 0)</f>
        <v>1000</v>
      </c>
      <c r="M15" s="40" cm="1">
        <f t="array" aca="1" ref="M15" ca="1">IFERROR(INDEX('Lunar Mars'!$D:$AC, MATCH("Module CapEx ($mm)", 'Lunar Mars'!$A:$A, 0), M$5+1), 0)</f>
        <v>1000</v>
      </c>
      <c r="N15" s="40" cm="1">
        <f t="array" aca="1" ref="N15" ca="1">IFERROR(INDEX('Lunar Mars'!$D:$AC, MATCH("Module CapEx ($mm)", 'Lunar Mars'!$A:$A, 0), N$5+1), 0)</f>
        <v>1000.0000000000002</v>
      </c>
      <c r="O15" s="40" cm="1">
        <f t="array" aca="1" ref="O15" ca="1">IFERROR(INDEX('Lunar Mars'!$D:$AC, MATCH("Module CapEx ($mm)", 'Lunar Mars'!$A:$A, 0), O$5+1), 0)</f>
        <v>1000.0000000000002</v>
      </c>
      <c r="P15" s="40" cm="1">
        <f t="array" aca="1" ref="P15" ca="1">IFERROR(INDEX('Lunar Mars'!$D:$AC, MATCH("Module CapEx ($mm)", 'Lunar Mars'!$A:$A, 0), P$5+1), 0)</f>
        <v>1000</v>
      </c>
      <c r="Q15" s="40" cm="1">
        <f t="array" aca="1" ref="Q15" ca="1">IFERROR(INDEX('Lunar Mars'!$D:$AC, MATCH("Module CapEx ($mm)", 'Lunar Mars'!$A:$A, 0), Q$5+1), 0)</f>
        <v>1000</v>
      </c>
      <c r="R15" s="40" cm="1">
        <f t="array" aca="1" ref="R15" ca="1">IFERROR(INDEX('Lunar Mars'!$D:$AC, MATCH("Module CapEx ($mm)", 'Lunar Mars'!$A:$A, 0), R$5+1), 0)</f>
        <v>1000</v>
      </c>
      <c r="S15" s="40" cm="1">
        <f t="array" aca="1" ref="S15" ca="1">IFERROR(INDEX('Lunar Mars'!$D:$AC, MATCH("Module CapEx ($mm)", 'Lunar Mars'!$A:$A, 0), S$5+1), 0)</f>
        <v>1000</v>
      </c>
      <c r="T15" s="40" cm="1">
        <f t="array" aca="1" ref="T15" ca="1">IFERROR(INDEX('Lunar Mars'!$D:$AC, MATCH("Module CapEx ($mm)", 'Lunar Mars'!$A:$A, 0), T$5+1), 0)</f>
        <v>1000</v>
      </c>
      <c r="U15" s="40" cm="1">
        <f t="array" aca="1" ref="U15" ca="1">IFERROR(INDEX('Lunar Mars'!$D:$AC, MATCH("Module CapEx ($mm)", 'Lunar Mars'!$A:$A, 0), U$5+1), 0)</f>
        <v>1000.0000000000002</v>
      </c>
      <c r="V15" s="40" cm="1">
        <f t="array" aca="1" ref="V15" ca="1">IFERROR(INDEX('Lunar Mars'!$D:$AC, MATCH("Module CapEx ($mm)", 'Lunar Mars'!$A:$A, 0), V$5+1), 0)</f>
        <v>1000</v>
      </c>
      <c r="W15" s="40" cm="1">
        <f t="array" aca="1" ref="W15" ca="1">IFERROR(INDEX('Lunar Mars'!$D:$AC, MATCH("Module CapEx ($mm)", 'Lunar Mars'!$A:$A, 0), W$5+1), 0)</f>
        <v>1000.0000000000002</v>
      </c>
      <c r="X15" s="40" cm="1">
        <f t="array" aca="1" ref="X15" ca="1">IFERROR(INDEX('Lunar Mars'!$D:$AC, MATCH("Module CapEx ($mm)", 'Lunar Mars'!$A:$A, 0), X$5+1), 0)</f>
        <v>1000</v>
      </c>
      <c r="Y15" s="40" cm="1">
        <f t="array" aca="1" ref="Y15" ca="1">IFERROR(INDEX('Lunar Mars'!$D:$AC, MATCH("Module CapEx ($mm)", 'Lunar Mars'!$A:$A, 0), Y$5+1), 0)</f>
        <v>1000</v>
      </c>
      <c r="Z15" s="40" cm="1">
        <f t="array" aca="1" ref="Z15" ca="1">IFERROR(INDEX('Lunar Mars'!$D:$AC, MATCH("Module CapEx ($mm)", 'Lunar Mars'!$A:$A, 0), Z$5+1), 0)</f>
        <v>1000</v>
      </c>
      <c r="AA15" s="40" cm="1">
        <f t="array" aca="1" ref="AA15" ca="1">IFERROR(INDEX('Lunar Mars'!$D:$AC, MATCH("Module CapEx ($mm)", 'Lunar Mars'!$A:$A, 0), AA$5+1), 0)</f>
        <v>1000</v>
      </c>
      <c r="AB15" s="40" cm="1">
        <f t="array" aca="1" ref="AB15" ca="1">IFERROR(INDEX('Lunar Mars'!$D:$AC, MATCH("Module CapEx ($mm)", 'Lunar Mars'!$A:$A, 0), AB$5+1), 0)</f>
        <v>1109.4774128314027</v>
      </c>
      <c r="AC15" s="40" cm="1">
        <f t="array" aca="1" ref="AC15" ca="1">IFERROR(INDEX('Lunar Mars'!$D:$AC, MATCH("Module CapEx ($mm)", 'Lunar Mars'!$A:$A, 0), AC$5+1), 0)</f>
        <v>1000.0000000000002</v>
      </c>
    </row>
    <row r="17" spans="1:29" x14ac:dyDescent="0.2">
      <c r="A17" s="1" t="s">
        <v>1310</v>
      </c>
      <c r="D17" s="56">
        <f ca="1">SUM(D11:D15)</f>
        <v>1217.2744000000002</v>
      </c>
      <c r="E17" s="56">
        <f t="shared" ref="E17:AC17" ca="1" si="0">SUM(E11:E15)</f>
        <v>21.808020150000001</v>
      </c>
      <c r="F17" s="56">
        <f t="shared" ca="1" si="0"/>
        <v>21.780007641173597</v>
      </c>
      <c r="G17" s="56">
        <f t="shared" ca="1" si="0"/>
        <v>1021.7527380038216</v>
      </c>
      <c r="H17" s="56">
        <f t="shared" ca="1" si="0"/>
        <v>1021.2783365833076</v>
      </c>
      <c r="I17" s="56">
        <f t="shared" ca="1" si="0"/>
        <v>1020.7382207712275</v>
      </c>
      <c r="J17" s="56">
        <f t="shared" ca="1" si="0"/>
        <v>1020.5541654240609</v>
      </c>
      <c r="K17" s="56">
        <f t="shared" ca="1" si="0"/>
        <v>1017.6068981988786</v>
      </c>
      <c r="L17" s="56">
        <f t="shared" ca="1" si="0"/>
        <v>1020.1643573617101</v>
      </c>
      <c r="M17" s="56">
        <f t="shared" ca="1" si="0"/>
        <v>1015.3896728625452</v>
      </c>
      <c r="N17" s="56">
        <f t="shared" ca="1" si="0"/>
        <v>1012.8678180784511</v>
      </c>
      <c r="O17" s="56">
        <f t="shared" ca="1" si="0"/>
        <v>1020.5008408116428</v>
      </c>
      <c r="P17" s="56">
        <f t="shared" ca="1" si="0"/>
        <v>1009.7281524252784</v>
      </c>
      <c r="Q17" s="56">
        <f t="shared" ca="1" si="0"/>
        <v>1019.6413468092015</v>
      </c>
      <c r="R17" s="56">
        <f t="shared" ca="1" si="0"/>
        <v>1009.694018321847</v>
      </c>
      <c r="S17" s="56">
        <f t="shared" ca="1" si="0"/>
        <v>1009.4389669670404</v>
      </c>
      <c r="T17" s="56">
        <f t="shared" ca="1" si="0"/>
        <v>1021.6705409244477</v>
      </c>
      <c r="U17" s="56">
        <f t="shared" ca="1" si="0"/>
        <v>1009.3618295321014</v>
      </c>
      <c r="V17" s="56">
        <f t="shared" ca="1" si="0"/>
        <v>1018.2473154631241</v>
      </c>
      <c r="W17" s="56">
        <f t="shared" ca="1" si="0"/>
        <v>1017.0668140079149</v>
      </c>
      <c r="X17" s="56">
        <f t="shared" ca="1" si="0"/>
        <v>1009.2942847473601</v>
      </c>
      <c r="Y17" s="56">
        <f t="shared" ca="1" si="0"/>
        <v>1023.1763143230455</v>
      </c>
      <c r="Z17" s="56">
        <f t="shared" ca="1" si="0"/>
        <v>1009.212490755861</v>
      </c>
      <c r="AA17" s="56">
        <f t="shared" ca="1" si="0"/>
        <v>1014.9681619210529</v>
      </c>
      <c r="AB17" s="56">
        <f t="shared" ca="1" si="0"/>
        <v>1133.2595113352406</v>
      </c>
      <c r="AC17" s="56">
        <f t="shared" ca="1" si="0"/>
        <v>1009.1984313819991</v>
      </c>
    </row>
    <row r="19" spans="1:29" x14ac:dyDescent="0.2">
      <c r="A19" s="4" t="s">
        <v>1311</v>
      </c>
    </row>
    <row r="20" spans="1:29" x14ac:dyDescent="0.2">
      <c r="A20" t="s">
        <v>1312</v>
      </c>
      <c r="D20" s="40">
        <f>INDEX(Assumptions!$B:$B, MATCH("HQ buildings CapEx ($mm/yr, flat)", Assumptions!$A:$A, 0))</f>
        <v>50</v>
      </c>
      <c r="E20" s="40">
        <f>INDEX(Assumptions!$B:$B, MATCH("HQ buildings CapEx ($mm/yr, flat)", Assumptions!$A:$A, 0))</f>
        <v>50</v>
      </c>
      <c r="F20" s="40">
        <f>INDEX(Assumptions!$B:$B, MATCH("HQ buildings CapEx ($mm/yr, flat)", Assumptions!$A:$A, 0))</f>
        <v>50</v>
      </c>
      <c r="G20" s="40">
        <f>INDEX(Assumptions!$B:$B, MATCH("HQ buildings CapEx ($mm/yr, flat)", Assumptions!$A:$A, 0))</f>
        <v>50</v>
      </c>
      <c r="H20" s="40">
        <f>INDEX(Assumptions!$B:$B, MATCH("HQ buildings CapEx ($mm/yr, flat)", Assumptions!$A:$A, 0))</f>
        <v>50</v>
      </c>
      <c r="I20" s="40">
        <f>INDEX(Assumptions!$B:$B, MATCH("HQ buildings CapEx ($mm/yr, flat)", Assumptions!$A:$A, 0))</f>
        <v>50</v>
      </c>
      <c r="J20" s="40">
        <f>INDEX(Assumptions!$B:$B, MATCH("HQ buildings CapEx ($mm/yr, flat)", Assumptions!$A:$A, 0))</f>
        <v>50</v>
      </c>
      <c r="K20" s="40">
        <f>INDEX(Assumptions!$B:$B, MATCH("HQ buildings CapEx ($mm/yr, flat)", Assumptions!$A:$A, 0))</f>
        <v>50</v>
      </c>
      <c r="L20" s="40">
        <f>INDEX(Assumptions!$B:$B, MATCH("HQ buildings CapEx ($mm/yr, flat)", Assumptions!$A:$A, 0))</f>
        <v>50</v>
      </c>
      <c r="M20" s="40">
        <f>INDEX(Assumptions!$B:$B, MATCH("HQ buildings CapEx ($mm/yr, flat)", Assumptions!$A:$A, 0))</f>
        <v>50</v>
      </c>
      <c r="N20" s="40">
        <f>INDEX(Assumptions!$B:$B, MATCH("HQ buildings CapEx ($mm/yr, flat)", Assumptions!$A:$A, 0))</f>
        <v>50</v>
      </c>
      <c r="O20" s="40">
        <f>INDEX(Assumptions!$B:$B, MATCH("HQ buildings CapEx ($mm/yr, flat)", Assumptions!$A:$A, 0))</f>
        <v>50</v>
      </c>
      <c r="P20" s="40">
        <f>INDEX(Assumptions!$B:$B, MATCH("HQ buildings CapEx ($mm/yr, flat)", Assumptions!$A:$A, 0))</f>
        <v>50</v>
      </c>
      <c r="Q20" s="40">
        <f>INDEX(Assumptions!$B:$B, MATCH("HQ buildings CapEx ($mm/yr, flat)", Assumptions!$A:$A, 0))</f>
        <v>50</v>
      </c>
      <c r="R20" s="40">
        <f>INDEX(Assumptions!$B:$B, MATCH("HQ buildings CapEx ($mm/yr, flat)", Assumptions!$A:$A, 0))</f>
        <v>50</v>
      </c>
      <c r="S20" s="40">
        <f>INDEX(Assumptions!$B:$B, MATCH("HQ buildings CapEx ($mm/yr, flat)", Assumptions!$A:$A, 0))</f>
        <v>50</v>
      </c>
      <c r="T20" s="40">
        <f>INDEX(Assumptions!$B:$B, MATCH("HQ buildings CapEx ($mm/yr, flat)", Assumptions!$A:$A, 0))</f>
        <v>50</v>
      </c>
      <c r="U20" s="40">
        <f>INDEX(Assumptions!$B:$B, MATCH("HQ buildings CapEx ($mm/yr, flat)", Assumptions!$A:$A, 0))</f>
        <v>50</v>
      </c>
      <c r="V20" s="40">
        <f>INDEX(Assumptions!$B:$B, MATCH("HQ buildings CapEx ($mm/yr, flat)", Assumptions!$A:$A, 0))</f>
        <v>50</v>
      </c>
      <c r="W20" s="40">
        <f>INDEX(Assumptions!$B:$B, MATCH("HQ buildings CapEx ($mm/yr, flat)", Assumptions!$A:$A, 0))</f>
        <v>50</v>
      </c>
      <c r="X20" s="40">
        <f>INDEX(Assumptions!$B:$B, MATCH("HQ buildings CapEx ($mm/yr, flat)", Assumptions!$A:$A, 0))</f>
        <v>50</v>
      </c>
      <c r="Y20" s="40">
        <f>INDEX(Assumptions!$B:$B, MATCH("HQ buildings CapEx ($mm/yr, flat)", Assumptions!$A:$A, 0))</f>
        <v>50</v>
      </c>
      <c r="Z20" s="40">
        <f>INDEX(Assumptions!$B:$B, MATCH("HQ buildings CapEx ($mm/yr, flat)", Assumptions!$A:$A, 0))</f>
        <v>50</v>
      </c>
      <c r="AA20" s="40">
        <f>INDEX(Assumptions!$B:$B, MATCH("HQ buildings CapEx ($mm/yr, flat)", Assumptions!$A:$A, 0))</f>
        <v>50</v>
      </c>
      <c r="AB20" s="40">
        <f>INDEX(Assumptions!$B:$B, MATCH("HQ buildings CapEx ($mm/yr, flat)", Assumptions!$A:$A, 0))</f>
        <v>50</v>
      </c>
      <c r="AC20" s="40">
        <f>INDEX(Assumptions!$B:$B, MATCH("HQ buildings CapEx ($mm/yr, flat)", Assumptions!$A:$A, 0))</f>
        <v>50</v>
      </c>
    </row>
    <row r="21" spans="1:29" x14ac:dyDescent="0.2">
      <c r="A21" t="s">
        <v>1313</v>
      </c>
      <c r="D21" s="40">
        <f>INDEX(Assumptions!$B:$B, MATCH("Corporate IT CapEx ($mm/yr, flat)", Assumptions!$A:$A, 0))</f>
        <v>30</v>
      </c>
      <c r="E21" s="40">
        <f>INDEX(Assumptions!$B:$B, MATCH("Corporate IT CapEx ($mm/yr, flat)", Assumptions!$A:$A, 0))</f>
        <v>30</v>
      </c>
      <c r="F21" s="40">
        <f>INDEX(Assumptions!$B:$B, MATCH("Corporate IT CapEx ($mm/yr, flat)", Assumptions!$A:$A, 0))</f>
        <v>30</v>
      </c>
      <c r="G21" s="40">
        <f>INDEX(Assumptions!$B:$B, MATCH("Corporate IT CapEx ($mm/yr, flat)", Assumptions!$A:$A, 0))</f>
        <v>30</v>
      </c>
      <c r="H21" s="40">
        <f>INDEX(Assumptions!$B:$B, MATCH("Corporate IT CapEx ($mm/yr, flat)", Assumptions!$A:$A, 0))</f>
        <v>30</v>
      </c>
      <c r="I21" s="40">
        <f>INDEX(Assumptions!$B:$B, MATCH("Corporate IT CapEx ($mm/yr, flat)", Assumptions!$A:$A, 0))</f>
        <v>30</v>
      </c>
      <c r="J21" s="40">
        <f>INDEX(Assumptions!$B:$B, MATCH("Corporate IT CapEx ($mm/yr, flat)", Assumptions!$A:$A, 0))</f>
        <v>30</v>
      </c>
      <c r="K21" s="40">
        <f>INDEX(Assumptions!$B:$B, MATCH("Corporate IT CapEx ($mm/yr, flat)", Assumptions!$A:$A, 0))</f>
        <v>30</v>
      </c>
      <c r="L21" s="40">
        <f>INDEX(Assumptions!$B:$B, MATCH("Corporate IT CapEx ($mm/yr, flat)", Assumptions!$A:$A, 0))</f>
        <v>30</v>
      </c>
      <c r="M21" s="40">
        <f>INDEX(Assumptions!$B:$B, MATCH("Corporate IT CapEx ($mm/yr, flat)", Assumptions!$A:$A, 0))</f>
        <v>30</v>
      </c>
      <c r="N21" s="40">
        <f>INDEX(Assumptions!$B:$B, MATCH("Corporate IT CapEx ($mm/yr, flat)", Assumptions!$A:$A, 0))</f>
        <v>30</v>
      </c>
      <c r="O21" s="40">
        <f>INDEX(Assumptions!$B:$B, MATCH("Corporate IT CapEx ($mm/yr, flat)", Assumptions!$A:$A, 0))</f>
        <v>30</v>
      </c>
      <c r="P21" s="40">
        <f>INDEX(Assumptions!$B:$B, MATCH("Corporate IT CapEx ($mm/yr, flat)", Assumptions!$A:$A, 0))</f>
        <v>30</v>
      </c>
      <c r="Q21" s="40">
        <f>INDEX(Assumptions!$B:$B, MATCH("Corporate IT CapEx ($mm/yr, flat)", Assumptions!$A:$A, 0))</f>
        <v>30</v>
      </c>
      <c r="R21" s="40">
        <f>INDEX(Assumptions!$B:$B, MATCH("Corporate IT CapEx ($mm/yr, flat)", Assumptions!$A:$A, 0))</f>
        <v>30</v>
      </c>
      <c r="S21" s="40">
        <f>INDEX(Assumptions!$B:$B, MATCH("Corporate IT CapEx ($mm/yr, flat)", Assumptions!$A:$A, 0))</f>
        <v>30</v>
      </c>
      <c r="T21" s="40">
        <f>INDEX(Assumptions!$B:$B, MATCH("Corporate IT CapEx ($mm/yr, flat)", Assumptions!$A:$A, 0))</f>
        <v>30</v>
      </c>
      <c r="U21" s="40">
        <f>INDEX(Assumptions!$B:$B, MATCH("Corporate IT CapEx ($mm/yr, flat)", Assumptions!$A:$A, 0))</f>
        <v>30</v>
      </c>
      <c r="V21" s="40">
        <f>INDEX(Assumptions!$B:$B, MATCH("Corporate IT CapEx ($mm/yr, flat)", Assumptions!$A:$A, 0))</f>
        <v>30</v>
      </c>
      <c r="W21" s="40">
        <f>INDEX(Assumptions!$B:$B, MATCH("Corporate IT CapEx ($mm/yr, flat)", Assumptions!$A:$A, 0))</f>
        <v>30</v>
      </c>
      <c r="X21" s="40">
        <f>INDEX(Assumptions!$B:$B, MATCH("Corporate IT CapEx ($mm/yr, flat)", Assumptions!$A:$A, 0))</f>
        <v>30</v>
      </c>
      <c r="Y21" s="40">
        <f>INDEX(Assumptions!$B:$B, MATCH("Corporate IT CapEx ($mm/yr, flat)", Assumptions!$A:$A, 0))</f>
        <v>30</v>
      </c>
      <c r="Z21" s="40">
        <f>INDEX(Assumptions!$B:$B, MATCH("Corporate IT CapEx ($mm/yr, flat)", Assumptions!$A:$A, 0))</f>
        <v>30</v>
      </c>
      <c r="AA21" s="40">
        <f>INDEX(Assumptions!$B:$B, MATCH("Corporate IT CapEx ($mm/yr, flat)", Assumptions!$A:$A, 0))</f>
        <v>30</v>
      </c>
      <c r="AB21" s="40">
        <f>INDEX(Assumptions!$B:$B, MATCH("Corporate IT CapEx ($mm/yr, flat)", Assumptions!$A:$A, 0))</f>
        <v>30</v>
      </c>
      <c r="AC21" s="40">
        <f>INDEX(Assumptions!$B:$B, MATCH("Corporate IT CapEx ($mm/yr, flat)", Assumptions!$A:$A, 0))</f>
        <v>30</v>
      </c>
    </row>
    <row r="22" spans="1:29" x14ac:dyDescent="0.2">
      <c r="A22" t="s">
        <v>1314</v>
      </c>
      <c r="D22" s="40">
        <f>INDEX(Assumptions!$B:$B, MATCH("General engineering facilities CapEx ($mm/yr, flat)", Assumptions!$A:$A, 0))</f>
        <v>20</v>
      </c>
      <c r="E22" s="40">
        <f>INDEX(Assumptions!$B:$B, MATCH("General engineering facilities CapEx ($mm/yr, flat)", Assumptions!$A:$A, 0))</f>
        <v>20</v>
      </c>
      <c r="F22" s="40">
        <f>INDEX(Assumptions!$B:$B, MATCH("General engineering facilities CapEx ($mm/yr, flat)", Assumptions!$A:$A, 0))</f>
        <v>20</v>
      </c>
      <c r="G22" s="40">
        <f>INDEX(Assumptions!$B:$B, MATCH("General engineering facilities CapEx ($mm/yr, flat)", Assumptions!$A:$A, 0))</f>
        <v>20</v>
      </c>
      <c r="H22" s="40">
        <f>INDEX(Assumptions!$B:$B, MATCH("General engineering facilities CapEx ($mm/yr, flat)", Assumptions!$A:$A, 0))</f>
        <v>20</v>
      </c>
      <c r="I22" s="40">
        <f>INDEX(Assumptions!$B:$B, MATCH("General engineering facilities CapEx ($mm/yr, flat)", Assumptions!$A:$A, 0))</f>
        <v>20</v>
      </c>
      <c r="J22" s="40">
        <f>INDEX(Assumptions!$B:$B, MATCH("General engineering facilities CapEx ($mm/yr, flat)", Assumptions!$A:$A, 0))</f>
        <v>20</v>
      </c>
      <c r="K22" s="40">
        <f>INDEX(Assumptions!$B:$B, MATCH("General engineering facilities CapEx ($mm/yr, flat)", Assumptions!$A:$A, 0))</f>
        <v>20</v>
      </c>
      <c r="L22" s="40">
        <f>INDEX(Assumptions!$B:$B, MATCH("General engineering facilities CapEx ($mm/yr, flat)", Assumptions!$A:$A, 0))</f>
        <v>20</v>
      </c>
      <c r="M22" s="40">
        <f>INDEX(Assumptions!$B:$B, MATCH("General engineering facilities CapEx ($mm/yr, flat)", Assumptions!$A:$A, 0))</f>
        <v>20</v>
      </c>
      <c r="N22" s="40">
        <f>INDEX(Assumptions!$B:$B, MATCH("General engineering facilities CapEx ($mm/yr, flat)", Assumptions!$A:$A, 0))</f>
        <v>20</v>
      </c>
      <c r="O22" s="40">
        <f>INDEX(Assumptions!$B:$B, MATCH("General engineering facilities CapEx ($mm/yr, flat)", Assumptions!$A:$A, 0))</f>
        <v>20</v>
      </c>
      <c r="P22" s="40">
        <f>INDEX(Assumptions!$B:$B, MATCH("General engineering facilities CapEx ($mm/yr, flat)", Assumptions!$A:$A, 0))</f>
        <v>20</v>
      </c>
      <c r="Q22" s="40">
        <f>INDEX(Assumptions!$B:$B, MATCH("General engineering facilities CapEx ($mm/yr, flat)", Assumptions!$A:$A, 0))</f>
        <v>20</v>
      </c>
      <c r="R22" s="40">
        <f>INDEX(Assumptions!$B:$B, MATCH("General engineering facilities CapEx ($mm/yr, flat)", Assumptions!$A:$A, 0))</f>
        <v>20</v>
      </c>
      <c r="S22" s="40">
        <f>INDEX(Assumptions!$B:$B, MATCH("General engineering facilities CapEx ($mm/yr, flat)", Assumptions!$A:$A, 0))</f>
        <v>20</v>
      </c>
      <c r="T22" s="40">
        <f>INDEX(Assumptions!$B:$B, MATCH("General engineering facilities CapEx ($mm/yr, flat)", Assumptions!$A:$A, 0))</f>
        <v>20</v>
      </c>
      <c r="U22" s="40">
        <f>INDEX(Assumptions!$B:$B, MATCH("General engineering facilities CapEx ($mm/yr, flat)", Assumptions!$A:$A, 0))</f>
        <v>20</v>
      </c>
      <c r="V22" s="40">
        <f>INDEX(Assumptions!$B:$B, MATCH("General engineering facilities CapEx ($mm/yr, flat)", Assumptions!$A:$A, 0))</f>
        <v>20</v>
      </c>
      <c r="W22" s="40">
        <f>INDEX(Assumptions!$B:$B, MATCH("General engineering facilities CapEx ($mm/yr, flat)", Assumptions!$A:$A, 0))</f>
        <v>20</v>
      </c>
      <c r="X22" s="40">
        <f>INDEX(Assumptions!$B:$B, MATCH("General engineering facilities CapEx ($mm/yr, flat)", Assumptions!$A:$A, 0))</f>
        <v>20</v>
      </c>
      <c r="Y22" s="40">
        <f>INDEX(Assumptions!$B:$B, MATCH("General engineering facilities CapEx ($mm/yr, flat)", Assumptions!$A:$A, 0))</f>
        <v>20</v>
      </c>
      <c r="Z22" s="40">
        <f>INDEX(Assumptions!$B:$B, MATCH("General engineering facilities CapEx ($mm/yr, flat)", Assumptions!$A:$A, 0))</f>
        <v>20</v>
      </c>
      <c r="AA22" s="40">
        <f>INDEX(Assumptions!$B:$B, MATCH("General engineering facilities CapEx ($mm/yr, flat)", Assumptions!$A:$A, 0))</f>
        <v>20</v>
      </c>
      <c r="AB22" s="40">
        <f>INDEX(Assumptions!$B:$B, MATCH("General engineering facilities CapEx ($mm/yr, flat)", Assumptions!$A:$A, 0))</f>
        <v>20</v>
      </c>
      <c r="AC22" s="40">
        <f>INDEX(Assumptions!$B:$B, MATCH("General engineering facilities CapEx ($mm/yr, flat)", Assumptions!$A:$A, 0))</f>
        <v>20</v>
      </c>
    </row>
    <row r="23" spans="1:29" x14ac:dyDescent="0.2">
      <c r="A23" t="s">
        <v>1315</v>
      </c>
      <c r="D23" s="40">
        <f>INDEX(Assumptions!$B:$B, MATCH("Other corporate CapEx ($mm/yr, flat)", Assumptions!$A:$A, 0))</f>
        <v>10</v>
      </c>
      <c r="E23" s="40">
        <f>INDEX(Assumptions!$B:$B, MATCH("Other corporate CapEx ($mm/yr, flat)", Assumptions!$A:$A, 0))</f>
        <v>10</v>
      </c>
      <c r="F23" s="40">
        <f>INDEX(Assumptions!$B:$B, MATCH("Other corporate CapEx ($mm/yr, flat)", Assumptions!$A:$A, 0))</f>
        <v>10</v>
      </c>
      <c r="G23" s="40">
        <f>INDEX(Assumptions!$B:$B, MATCH("Other corporate CapEx ($mm/yr, flat)", Assumptions!$A:$A, 0))</f>
        <v>10</v>
      </c>
      <c r="H23" s="40">
        <f>INDEX(Assumptions!$B:$B, MATCH("Other corporate CapEx ($mm/yr, flat)", Assumptions!$A:$A, 0))</f>
        <v>10</v>
      </c>
      <c r="I23" s="40">
        <f>INDEX(Assumptions!$B:$B, MATCH("Other corporate CapEx ($mm/yr, flat)", Assumptions!$A:$A, 0))</f>
        <v>10</v>
      </c>
      <c r="J23" s="40">
        <f>INDEX(Assumptions!$B:$B, MATCH("Other corporate CapEx ($mm/yr, flat)", Assumptions!$A:$A, 0))</f>
        <v>10</v>
      </c>
      <c r="K23" s="40">
        <f>INDEX(Assumptions!$B:$B, MATCH("Other corporate CapEx ($mm/yr, flat)", Assumptions!$A:$A, 0))</f>
        <v>10</v>
      </c>
      <c r="L23" s="40">
        <f>INDEX(Assumptions!$B:$B, MATCH("Other corporate CapEx ($mm/yr, flat)", Assumptions!$A:$A, 0))</f>
        <v>10</v>
      </c>
      <c r="M23" s="40">
        <f>INDEX(Assumptions!$B:$B, MATCH("Other corporate CapEx ($mm/yr, flat)", Assumptions!$A:$A, 0))</f>
        <v>10</v>
      </c>
      <c r="N23" s="40">
        <f>INDEX(Assumptions!$B:$B, MATCH("Other corporate CapEx ($mm/yr, flat)", Assumptions!$A:$A, 0))</f>
        <v>10</v>
      </c>
      <c r="O23" s="40">
        <f>INDEX(Assumptions!$B:$B, MATCH("Other corporate CapEx ($mm/yr, flat)", Assumptions!$A:$A, 0))</f>
        <v>10</v>
      </c>
      <c r="P23" s="40">
        <f>INDEX(Assumptions!$B:$B, MATCH("Other corporate CapEx ($mm/yr, flat)", Assumptions!$A:$A, 0))</f>
        <v>10</v>
      </c>
      <c r="Q23" s="40">
        <f>INDEX(Assumptions!$B:$B, MATCH("Other corporate CapEx ($mm/yr, flat)", Assumptions!$A:$A, 0))</f>
        <v>10</v>
      </c>
      <c r="R23" s="40">
        <f>INDEX(Assumptions!$B:$B, MATCH("Other corporate CapEx ($mm/yr, flat)", Assumptions!$A:$A, 0))</f>
        <v>10</v>
      </c>
      <c r="S23" s="40">
        <f>INDEX(Assumptions!$B:$B, MATCH("Other corporate CapEx ($mm/yr, flat)", Assumptions!$A:$A, 0))</f>
        <v>10</v>
      </c>
      <c r="T23" s="40">
        <f>INDEX(Assumptions!$B:$B, MATCH("Other corporate CapEx ($mm/yr, flat)", Assumptions!$A:$A, 0))</f>
        <v>10</v>
      </c>
      <c r="U23" s="40">
        <f>INDEX(Assumptions!$B:$B, MATCH("Other corporate CapEx ($mm/yr, flat)", Assumptions!$A:$A, 0))</f>
        <v>10</v>
      </c>
      <c r="V23" s="40">
        <f>INDEX(Assumptions!$B:$B, MATCH("Other corporate CapEx ($mm/yr, flat)", Assumptions!$A:$A, 0))</f>
        <v>10</v>
      </c>
      <c r="W23" s="40">
        <f>INDEX(Assumptions!$B:$B, MATCH("Other corporate CapEx ($mm/yr, flat)", Assumptions!$A:$A, 0))</f>
        <v>10</v>
      </c>
      <c r="X23" s="40">
        <f>INDEX(Assumptions!$B:$B, MATCH("Other corporate CapEx ($mm/yr, flat)", Assumptions!$A:$A, 0))</f>
        <v>10</v>
      </c>
      <c r="Y23" s="40">
        <f>INDEX(Assumptions!$B:$B, MATCH("Other corporate CapEx ($mm/yr, flat)", Assumptions!$A:$A, 0))</f>
        <v>10</v>
      </c>
      <c r="Z23" s="40">
        <f>INDEX(Assumptions!$B:$B, MATCH("Other corporate CapEx ($mm/yr, flat)", Assumptions!$A:$A, 0))</f>
        <v>10</v>
      </c>
      <c r="AA23" s="40">
        <f>INDEX(Assumptions!$B:$B, MATCH("Other corporate CapEx ($mm/yr, flat)", Assumptions!$A:$A, 0))</f>
        <v>10</v>
      </c>
      <c r="AB23" s="40">
        <f>INDEX(Assumptions!$B:$B, MATCH("Other corporate CapEx ($mm/yr, flat)", Assumptions!$A:$A, 0))</f>
        <v>10</v>
      </c>
      <c r="AC23" s="40">
        <f>INDEX(Assumptions!$B:$B, MATCH("Other corporate CapEx ($mm/yr, flat)", Assumptions!$A:$A, 0))</f>
        <v>10</v>
      </c>
    </row>
    <row r="25" spans="1:29" x14ac:dyDescent="0.2">
      <c r="A25" s="1" t="s">
        <v>1316</v>
      </c>
      <c r="D25" s="56">
        <f>D20+D21+D22+D23</f>
        <v>110</v>
      </c>
      <c r="E25" s="56">
        <f t="shared" ref="E25:AC25" si="1">E20+E21+E22+E23</f>
        <v>110</v>
      </c>
      <c r="F25" s="56">
        <f t="shared" si="1"/>
        <v>110</v>
      </c>
      <c r="G25" s="56">
        <f t="shared" si="1"/>
        <v>110</v>
      </c>
      <c r="H25" s="56">
        <f t="shared" si="1"/>
        <v>110</v>
      </c>
      <c r="I25" s="56">
        <f t="shared" si="1"/>
        <v>110</v>
      </c>
      <c r="J25" s="56">
        <f t="shared" si="1"/>
        <v>110</v>
      </c>
      <c r="K25" s="56">
        <f t="shared" si="1"/>
        <v>110</v>
      </c>
      <c r="L25" s="56">
        <f t="shared" si="1"/>
        <v>110</v>
      </c>
      <c r="M25" s="56">
        <f t="shared" si="1"/>
        <v>110</v>
      </c>
      <c r="N25" s="56">
        <f t="shared" si="1"/>
        <v>110</v>
      </c>
      <c r="O25" s="56">
        <f t="shared" si="1"/>
        <v>110</v>
      </c>
      <c r="P25" s="56">
        <f t="shared" si="1"/>
        <v>110</v>
      </c>
      <c r="Q25" s="56">
        <f t="shared" si="1"/>
        <v>110</v>
      </c>
      <c r="R25" s="56">
        <f t="shared" si="1"/>
        <v>110</v>
      </c>
      <c r="S25" s="56">
        <f t="shared" si="1"/>
        <v>110</v>
      </c>
      <c r="T25" s="56">
        <f t="shared" si="1"/>
        <v>110</v>
      </c>
      <c r="U25" s="56">
        <f t="shared" si="1"/>
        <v>110</v>
      </c>
      <c r="V25" s="56">
        <f t="shared" si="1"/>
        <v>110</v>
      </c>
      <c r="W25" s="56">
        <f t="shared" si="1"/>
        <v>110</v>
      </c>
      <c r="X25" s="56">
        <f t="shared" si="1"/>
        <v>110</v>
      </c>
      <c r="Y25" s="56">
        <f t="shared" si="1"/>
        <v>110</v>
      </c>
      <c r="Z25" s="56">
        <f t="shared" si="1"/>
        <v>110</v>
      </c>
      <c r="AA25" s="56">
        <f t="shared" si="1"/>
        <v>110</v>
      </c>
      <c r="AB25" s="56">
        <f t="shared" si="1"/>
        <v>110</v>
      </c>
      <c r="AC25" s="56">
        <f t="shared" si="1"/>
        <v>110</v>
      </c>
    </row>
    <row r="27" spans="1:29" x14ac:dyDescent="0.2">
      <c r="A27" t="s">
        <v>1317</v>
      </c>
      <c r="D27" s="40">
        <f>INDEX(Assumptions!$B:$B, MATCH("Corporate historical capital base ($mm)", Assumptions!$A:$A, 0))*0.45 + D20</f>
        <v>950</v>
      </c>
      <c r="E27" s="40">
        <f>D27+E20</f>
        <v>1000</v>
      </c>
      <c r="F27" s="40">
        <f t="shared" ref="F27:AC27" si="2">E27+F20</f>
        <v>1050</v>
      </c>
      <c r="G27" s="40">
        <f t="shared" si="2"/>
        <v>1100</v>
      </c>
      <c r="H27" s="40">
        <f t="shared" si="2"/>
        <v>1150</v>
      </c>
      <c r="I27" s="40">
        <f t="shared" si="2"/>
        <v>1200</v>
      </c>
      <c r="J27" s="40">
        <f t="shared" si="2"/>
        <v>1250</v>
      </c>
      <c r="K27" s="40">
        <f t="shared" si="2"/>
        <v>1300</v>
      </c>
      <c r="L27" s="40">
        <f t="shared" si="2"/>
        <v>1350</v>
      </c>
      <c r="M27" s="40">
        <f t="shared" si="2"/>
        <v>1400</v>
      </c>
      <c r="N27" s="40">
        <f t="shared" si="2"/>
        <v>1450</v>
      </c>
      <c r="O27" s="40">
        <f t="shared" si="2"/>
        <v>1500</v>
      </c>
      <c r="P27" s="40">
        <f t="shared" si="2"/>
        <v>1550</v>
      </c>
      <c r="Q27" s="40">
        <f t="shared" si="2"/>
        <v>1600</v>
      </c>
      <c r="R27" s="40">
        <f t="shared" si="2"/>
        <v>1650</v>
      </c>
      <c r="S27" s="40">
        <f t="shared" si="2"/>
        <v>1700</v>
      </c>
      <c r="T27" s="40">
        <f t="shared" si="2"/>
        <v>1750</v>
      </c>
      <c r="U27" s="40">
        <f t="shared" si="2"/>
        <v>1800</v>
      </c>
      <c r="V27" s="40">
        <f t="shared" si="2"/>
        <v>1850</v>
      </c>
      <c r="W27" s="40">
        <f t="shared" si="2"/>
        <v>1900</v>
      </c>
      <c r="X27" s="40">
        <f t="shared" si="2"/>
        <v>1950</v>
      </c>
      <c r="Y27" s="40">
        <f t="shared" si="2"/>
        <v>2000</v>
      </c>
      <c r="Z27" s="40">
        <f t="shared" si="2"/>
        <v>2050</v>
      </c>
      <c r="AA27" s="40">
        <f t="shared" si="2"/>
        <v>2100</v>
      </c>
      <c r="AB27" s="40">
        <f t="shared" si="2"/>
        <v>2150</v>
      </c>
      <c r="AC27" s="40">
        <f t="shared" si="2"/>
        <v>2200</v>
      </c>
    </row>
    <row r="28" spans="1:29" x14ac:dyDescent="0.2">
      <c r="A28" t="s">
        <v>1318</v>
      </c>
      <c r="D28" s="40">
        <f>INDEX(Assumptions!$B:$B, MATCH("Corporate historical capital base ($mm)", Assumptions!$A:$A, 0))*0.15 + D21</f>
        <v>330</v>
      </c>
      <c r="E28" s="40">
        <f>D28+E21</f>
        <v>360</v>
      </c>
      <c r="F28" s="40">
        <f t="shared" ref="F28:AC28" si="3">E28+F21</f>
        <v>390</v>
      </c>
      <c r="G28" s="40">
        <f t="shared" si="3"/>
        <v>420</v>
      </c>
      <c r="H28" s="40">
        <f t="shared" si="3"/>
        <v>450</v>
      </c>
      <c r="I28" s="40">
        <f t="shared" si="3"/>
        <v>480</v>
      </c>
      <c r="J28" s="40">
        <f t="shared" si="3"/>
        <v>510</v>
      </c>
      <c r="K28" s="40">
        <f t="shared" si="3"/>
        <v>540</v>
      </c>
      <c r="L28" s="40">
        <f t="shared" si="3"/>
        <v>570</v>
      </c>
      <c r="M28" s="40">
        <f t="shared" si="3"/>
        <v>600</v>
      </c>
      <c r="N28" s="40">
        <f t="shared" si="3"/>
        <v>630</v>
      </c>
      <c r="O28" s="40">
        <f t="shared" si="3"/>
        <v>660</v>
      </c>
      <c r="P28" s="40">
        <f t="shared" si="3"/>
        <v>690</v>
      </c>
      <c r="Q28" s="40">
        <f t="shared" si="3"/>
        <v>720</v>
      </c>
      <c r="R28" s="40">
        <f t="shared" si="3"/>
        <v>750</v>
      </c>
      <c r="S28" s="40">
        <f t="shared" si="3"/>
        <v>780</v>
      </c>
      <c r="T28" s="40">
        <f t="shared" si="3"/>
        <v>810</v>
      </c>
      <c r="U28" s="40">
        <f t="shared" si="3"/>
        <v>840</v>
      </c>
      <c r="V28" s="40">
        <f t="shared" si="3"/>
        <v>870</v>
      </c>
      <c r="W28" s="40">
        <f t="shared" si="3"/>
        <v>900</v>
      </c>
      <c r="X28" s="40">
        <f t="shared" si="3"/>
        <v>930</v>
      </c>
      <c r="Y28" s="40">
        <f t="shared" si="3"/>
        <v>960</v>
      </c>
      <c r="Z28" s="40">
        <f t="shared" si="3"/>
        <v>990</v>
      </c>
      <c r="AA28" s="40">
        <f t="shared" si="3"/>
        <v>1020</v>
      </c>
      <c r="AB28" s="40">
        <f t="shared" si="3"/>
        <v>1050</v>
      </c>
      <c r="AC28" s="40">
        <f t="shared" si="3"/>
        <v>1080</v>
      </c>
    </row>
    <row r="29" spans="1:29" x14ac:dyDescent="0.2">
      <c r="A29" t="s">
        <v>1319</v>
      </c>
      <c r="D29" s="40">
        <f>INDEX(Assumptions!$B:$B, MATCH("Corporate historical capital base ($mm)", Assumptions!$A:$A, 0))*0.3 + D22</f>
        <v>620</v>
      </c>
      <c r="E29" s="40">
        <f>D29+E22</f>
        <v>640</v>
      </c>
      <c r="F29" s="40">
        <f t="shared" ref="F29:AC29" si="4">E29+F22</f>
        <v>660</v>
      </c>
      <c r="G29" s="40">
        <f t="shared" si="4"/>
        <v>680</v>
      </c>
      <c r="H29" s="40">
        <f t="shared" si="4"/>
        <v>700</v>
      </c>
      <c r="I29" s="40">
        <f t="shared" si="4"/>
        <v>720</v>
      </c>
      <c r="J29" s="40">
        <f t="shared" si="4"/>
        <v>740</v>
      </c>
      <c r="K29" s="40">
        <f t="shared" si="4"/>
        <v>760</v>
      </c>
      <c r="L29" s="40">
        <f t="shared" si="4"/>
        <v>780</v>
      </c>
      <c r="M29" s="40">
        <f t="shared" si="4"/>
        <v>800</v>
      </c>
      <c r="N29" s="40">
        <f t="shared" si="4"/>
        <v>820</v>
      </c>
      <c r="O29" s="40">
        <f t="shared" si="4"/>
        <v>840</v>
      </c>
      <c r="P29" s="40">
        <f t="shared" si="4"/>
        <v>860</v>
      </c>
      <c r="Q29" s="40">
        <f t="shared" si="4"/>
        <v>880</v>
      </c>
      <c r="R29" s="40">
        <f t="shared" si="4"/>
        <v>900</v>
      </c>
      <c r="S29" s="40">
        <f t="shared" si="4"/>
        <v>920</v>
      </c>
      <c r="T29" s="40">
        <f t="shared" si="4"/>
        <v>940</v>
      </c>
      <c r="U29" s="40">
        <f t="shared" si="4"/>
        <v>960</v>
      </c>
      <c r="V29" s="40">
        <f t="shared" si="4"/>
        <v>980</v>
      </c>
      <c r="W29" s="40">
        <f t="shared" si="4"/>
        <v>1000</v>
      </c>
      <c r="X29" s="40">
        <f t="shared" si="4"/>
        <v>1020</v>
      </c>
      <c r="Y29" s="40">
        <f t="shared" si="4"/>
        <v>1040</v>
      </c>
      <c r="Z29" s="40">
        <f t="shared" si="4"/>
        <v>1060</v>
      </c>
      <c r="AA29" s="40">
        <f t="shared" si="4"/>
        <v>1080</v>
      </c>
      <c r="AB29" s="40">
        <f t="shared" si="4"/>
        <v>1100</v>
      </c>
      <c r="AC29" s="40">
        <f t="shared" si="4"/>
        <v>1120</v>
      </c>
    </row>
    <row r="30" spans="1:29" x14ac:dyDescent="0.2">
      <c r="A30" t="s">
        <v>1320</v>
      </c>
      <c r="D30" s="40">
        <f>INDEX(Assumptions!$B:$B, MATCH("Corporate historical capital base ($mm)", Assumptions!$A:$A, 0))*0.1 + D23</f>
        <v>210</v>
      </c>
      <c r="E30" s="40">
        <f>D30+E23</f>
        <v>220</v>
      </c>
      <c r="F30" s="40">
        <f t="shared" ref="F30:AC30" si="5">E30+F23</f>
        <v>230</v>
      </c>
      <c r="G30" s="40">
        <f t="shared" si="5"/>
        <v>240</v>
      </c>
      <c r="H30" s="40">
        <f t="shared" si="5"/>
        <v>250</v>
      </c>
      <c r="I30" s="40">
        <f t="shared" si="5"/>
        <v>260</v>
      </c>
      <c r="J30" s="40">
        <f t="shared" si="5"/>
        <v>270</v>
      </c>
      <c r="K30" s="40">
        <f t="shared" si="5"/>
        <v>280</v>
      </c>
      <c r="L30" s="40">
        <f t="shared" si="5"/>
        <v>290</v>
      </c>
      <c r="M30" s="40">
        <f t="shared" si="5"/>
        <v>300</v>
      </c>
      <c r="N30" s="40">
        <f t="shared" si="5"/>
        <v>310</v>
      </c>
      <c r="O30" s="40">
        <f t="shared" si="5"/>
        <v>320</v>
      </c>
      <c r="P30" s="40">
        <f t="shared" si="5"/>
        <v>330</v>
      </c>
      <c r="Q30" s="40">
        <f t="shared" si="5"/>
        <v>340</v>
      </c>
      <c r="R30" s="40">
        <f t="shared" si="5"/>
        <v>350</v>
      </c>
      <c r="S30" s="40">
        <f t="shared" si="5"/>
        <v>360</v>
      </c>
      <c r="T30" s="40">
        <f t="shared" si="5"/>
        <v>370</v>
      </c>
      <c r="U30" s="40">
        <f t="shared" si="5"/>
        <v>380</v>
      </c>
      <c r="V30" s="40">
        <f t="shared" si="5"/>
        <v>390</v>
      </c>
      <c r="W30" s="40">
        <f t="shared" si="5"/>
        <v>400</v>
      </c>
      <c r="X30" s="40">
        <f t="shared" si="5"/>
        <v>410</v>
      </c>
      <c r="Y30" s="40">
        <f t="shared" si="5"/>
        <v>420</v>
      </c>
      <c r="Z30" s="40">
        <f t="shared" si="5"/>
        <v>430</v>
      </c>
      <c r="AA30" s="40">
        <f t="shared" si="5"/>
        <v>440</v>
      </c>
      <c r="AB30" s="40">
        <f t="shared" si="5"/>
        <v>450</v>
      </c>
      <c r="AC30" s="40">
        <f t="shared" si="5"/>
        <v>460</v>
      </c>
    </row>
    <row r="32" spans="1:29" x14ac:dyDescent="0.2">
      <c r="A32" t="s">
        <v>1321</v>
      </c>
      <c r="D32" s="40">
        <f>D27/INDEX(Assumptions!$B:$B, MATCH("HQ buildings useful life (years)", Assumptions!$A:$A, 0))</f>
        <v>31.666666666666668</v>
      </c>
      <c r="E32" s="40">
        <f>E27/INDEX(Assumptions!$B:$B, MATCH("HQ buildings useful life (years)", Assumptions!$A:$A, 0))</f>
        <v>33.333333333333336</v>
      </c>
      <c r="F32" s="40">
        <f>F27/INDEX(Assumptions!$B:$B, MATCH("HQ buildings useful life (years)", Assumptions!$A:$A, 0))</f>
        <v>35</v>
      </c>
      <c r="G32" s="40">
        <f>G27/INDEX(Assumptions!$B:$B, MATCH("HQ buildings useful life (years)", Assumptions!$A:$A, 0))</f>
        <v>36.666666666666664</v>
      </c>
      <c r="H32" s="40">
        <f>H27/INDEX(Assumptions!$B:$B, MATCH("HQ buildings useful life (years)", Assumptions!$A:$A, 0))</f>
        <v>38.333333333333336</v>
      </c>
      <c r="I32" s="40">
        <f>I27/INDEX(Assumptions!$B:$B, MATCH("HQ buildings useful life (years)", Assumptions!$A:$A, 0))</f>
        <v>40</v>
      </c>
      <c r="J32" s="40">
        <f>J27/INDEX(Assumptions!$B:$B, MATCH("HQ buildings useful life (years)", Assumptions!$A:$A, 0))</f>
        <v>41.666666666666664</v>
      </c>
      <c r="K32" s="40">
        <f>K27/INDEX(Assumptions!$B:$B, MATCH("HQ buildings useful life (years)", Assumptions!$A:$A, 0))</f>
        <v>43.333333333333336</v>
      </c>
      <c r="L32" s="40">
        <f>L27/INDEX(Assumptions!$B:$B, MATCH("HQ buildings useful life (years)", Assumptions!$A:$A, 0))</f>
        <v>45</v>
      </c>
      <c r="M32" s="40">
        <f>M27/INDEX(Assumptions!$B:$B, MATCH("HQ buildings useful life (years)", Assumptions!$A:$A, 0))</f>
        <v>46.666666666666664</v>
      </c>
      <c r="N32" s="40">
        <f>N27/INDEX(Assumptions!$B:$B, MATCH("HQ buildings useful life (years)", Assumptions!$A:$A, 0))</f>
        <v>48.333333333333336</v>
      </c>
      <c r="O32" s="40">
        <f>O27/INDEX(Assumptions!$B:$B, MATCH("HQ buildings useful life (years)", Assumptions!$A:$A, 0))</f>
        <v>50</v>
      </c>
      <c r="P32" s="40">
        <f>P27/INDEX(Assumptions!$B:$B, MATCH("HQ buildings useful life (years)", Assumptions!$A:$A, 0))</f>
        <v>51.666666666666664</v>
      </c>
      <c r="Q32" s="40">
        <f>Q27/INDEX(Assumptions!$B:$B, MATCH("HQ buildings useful life (years)", Assumptions!$A:$A, 0))</f>
        <v>53.333333333333336</v>
      </c>
      <c r="R32" s="40">
        <f>R27/INDEX(Assumptions!$B:$B, MATCH("HQ buildings useful life (years)", Assumptions!$A:$A, 0))</f>
        <v>55</v>
      </c>
      <c r="S32" s="40">
        <f>S27/INDEX(Assumptions!$B:$B, MATCH("HQ buildings useful life (years)", Assumptions!$A:$A, 0))</f>
        <v>56.666666666666664</v>
      </c>
      <c r="T32" s="40">
        <f>T27/INDEX(Assumptions!$B:$B, MATCH("HQ buildings useful life (years)", Assumptions!$A:$A, 0))</f>
        <v>58.333333333333336</v>
      </c>
      <c r="U32" s="40">
        <f>U27/INDEX(Assumptions!$B:$B, MATCH("HQ buildings useful life (years)", Assumptions!$A:$A, 0))</f>
        <v>60</v>
      </c>
      <c r="V32" s="40">
        <f>V27/INDEX(Assumptions!$B:$B, MATCH("HQ buildings useful life (years)", Assumptions!$A:$A, 0))</f>
        <v>61.666666666666664</v>
      </c>
      <c r="W32" s="40">
        <f>W27/INDEX(Assumptions!$B:$B, MATCH("HQ buildings useful life (years)", Assumptions!$A:$A, 0))</f>
        <v>63.333333333333336</v>
      </c>
      <c r="X32" s="40">
        <f>X27/INDEX(Assumptions!$B:$B, MATCH("HQ buildings useful life (years)", Assumptions!$A:$A, 0))</f>
        <v>65</v>
      </c>
      <c r="Y32" s="40">
        <f>Y27/INDEX(Assumptions!$B:$B, MATCH("HQ buildings useful life (years)", Assumptions!$A:$A, 0))</f>
        <v>66.666666666666671</v>
      </c>
      <c r="Z32" s="40">
        <f>Z27/INDEX(Assumptions!$B:$B, MATCH("HQ buildings useful life (years)", Assumptions!$A:$A, 0))</f>
        <v>68.333333333333329</v>
      </c>
      <c r="AA32" s="40">
        <f>AA27/INDEX(Assumptions!$B:$B, MATCH("HQ buildings useful life (years)", Assumptions!$A:$A, 0))</f>
        <v>70</v>
      </c>
      <c r="AB32" s="40">
        <f>AB27/INDEX(Assumptions!$B:$B, MATCH("HQ buildings useful life (years)", Assumptions!$A:$A, 0))</f>
        <v>71.666666666666671</v>
      </c>
      <c r="AC32" s="40">
        <f>AC27/INDEX(Assumptions!$B:$B, MATCH("HQ buildings useful life (years)", Assumptions!$A:$A, 0))</f>
        <v>73.333333333333329</v>
      </c>
    </row>
    <row r="33" spans="1:29" x14ac:dyDescent="0.2">
      <c r="A33" t="s">
        <v>1322</v>
      </c>
      <c r="D33" s="40">
        <f>D28/INDEX(Assumptions!$B:$B, MATCH("Corporate IT useful life (years)", Assumptions!$A:$A, 0))</f>
        <v>47.142857142857146</v>
      </c>
      <c r="E33" s="40">
        <f>E28/INDEX(Assumptions!$B:$B, MATCH("Corporate IT useful life (years)", Assumptions!$A:$A, 0))</f>
        <v>51.428571428571431</v>
      </c>
      <c r="F33" s="40">
        <f>F28/INDEX(Assumptions!$B:$B, MATCH("Corporate IT useful life (years)", Assumptions!$A:$A, 0))</f>
        <v>55.714285714285715</v>
      </c>
      <c r="G33" s="40">
        <f>G28/INDEX(Assumptions!$B:$B, MATCH("Corporate IT useful life (years)", Assumptions!$A:$A, 0))</f>
        <v>60</v>
      </c>
      <c r="H33" s="40">
        <f>H28/INDEX(Assumptions!$B:$B, MATCH("Corporate IT useful life (years)", Assumptions!$A:$A, 0))</f>
        <v>64.285714285714292</v>
      </c>
      <c r="I33" s="40">
        <f>I28/INDEX(Assumptions!$B:$B, MATCH("Corporate IT useful life (years)", Assumptions!$A:$A, 0))</f>
        <v>68.571428571428569</v>
      </c>
      <c r="J33" s="40">
        <f>J28/INDEX(Assumptions!$B:$B, MATCH("Corporate IT useful life (years)", Assumptions!$A:$A, 0))</f>
        <v>72.857142857142861</v>
      </c>
      <c r="K33" s="40">
        <f>K28/INDEX(Assumptions!$B:$B, MATCH("Corporate IT useful life (years)", Assumptions!$A:$A, 0))</f>
        <v>77.142857142857139</v>
      </c>
      <c r="L33" s="40">
        <f>L28/INDEX(Assumptions!$B:$B, MATCH("Corporate IT useful life (years)", Assumptions!$A:$A, 0))</f>
        <v>81.428571428571431</v>
      </c>
      <c r="M33" s="40">
        <f>M28/INDEX(Assumptions!$B:$B, MATCH("Corporate IT useful life (years)", Assumptions!$A:$A, 0))</f>
        <v>85.714285714285708</v>
      </c>
      <c r="N33" s="40">
        <f>N28/INDEX(Assumptions!$B:$B, MATCH("Corporate IT useful life (years)", Assumptions!$A:$A, 0))</f>
        <v>90</v>
      </c>
      <c r="O33" s="40">
        <f>O28/INDEX(Assumptions!$B:$B, MATCH("Corporate IT useful life (years)", Assumptions!$A:$A, 0))</f>
        <v>94.285714285714292</v>
      </c>
      <c r="P33" s="40">
        <f>P28/INDEX(Assumptions!$B:$B, MATCH("Corporate IT useful life (years)", Assumptions!$A:$A, 0))</f>
        <v>98.571428571428569</v>
      </c>
      <c r="Q33" s="40">
        <f>Q28/INDEX(Assumptions!$B:$B, MATCH("Corporate IT useful life (years)", Assumptions!$A:$A, 0))</f>
        <v>102.85714285714286</v>
      </c>
      <c r="R33" s="40">
        <f>R28/INDEX(Assumptions!$B:$B, MATCH("Corporate IT useful life (years)", Assumptions!$A:$A, 0))</f>
        <v>107.14285714285714</v>
      </c>
      <c r="S33" s="40">
        <f>S28/INDEX(Assumptions!$B:$B, MATCH("Corporate IT useful life (years)", Assumptions!$A:$A, 0))</f>
        <v>111.42857142857143</v>
      </c>
      <c r="T33" s="40">
        <f>T28/INDEX(Assumptions!$B:$B, MATCH("Corporate IT useful life (years)", Assumptions!$A:$A, 0))</f>
        <v>115.71428571428571</v>
      </c>
      <c r="U33" s="40">
        <f>U28/INDEX(Assumptions!$B:$B, MATCH("Corporate IT useful life (years)", Assumptions!$A:$A, 0))</f>
        <v>120</v>
      </c>
      <c r="V33" s="40">
        <f>V28/INDEX(Assumptions!$B:$B, MATCH("Corporate IT useful life (years)", Assumptions!$A:$A, 0))</f>
        <v>124.28571428571429</v>
      </c>
      <c r="W33" s="40">
        <f>W28/INDEX(Assumptions!$B:$B, MATCH("Corporate IT useful life (years)", Assumptions!$A:$A, 0))</f>
        <v>128.57142857142858</v>
      </c>
      <c r="X33" s="40">
        <f>X28/INDEX(Assumptions!$B:$B, MATCH("Corporate IT useful life (years)", Assumptions!$A:$A, 0))</f>
        <v>132.85714285714286</v>
      </c>
      <c r="Y33" s="40">
        <f>Y28/INDEX(Assumptions!$B:$B, MATCH("Corporate IT useful life (years)", Assumptions!$A:$A, 0))</f>
        <v>137.14285714285714</v>
      </c>
      <c r="Z33" s="40">
        <f>Z28/INDEX(Assumptions!$B:$B, MATCH("Corporate IT useful life (years)", Assumptions!$A:$A, 0))</f>
        <v>141.42857142857142</v>
      </c>
      <c r="AA33" s="40">
        <f>AA28/INDEX(Assumptions!$B:$B, MATCH("Corporate IT useful life (years)", Assumptions!$A:$A, 0))</f>
        <v>145.71428571428572</v>
      </c>
      <c r="AB33" s="40">
        <f>AB28/INDEX(Assumptions!$B:$B, MATCH("Corporate IT useful life (years)", Assumptions!$A:$A, 0))</f>
        <v>150</v>
      </c>
      <c r="AC33" s="40">
        <f>AC28/INDEX(Assumptions!$B:$B, MATCH("Corporate IT useful life (years)", Assumptions!$A:$A, 0))</f>
        <v>154.28571428571428</v>
      </c>
    </row>
    <row r="34" spans="1:29" x14ac:dyDescent="0.2">
      <c r="A34" t="s">
        <v>1323</v>
      </c>
      <c r="D34" s="40">
        <f>D29/INDEX(Assumptions!$B:$B, MATCH("General engineering facilities life (years)", Assumptions!$A:$A, 0))</f>
        <v>31</v>
      </c>
      <c r="E34" s="40">
        <f>E29/INDEX(Assumptions!$B:$B, MATCH("General engineering facilities life (years)", Assumptions!$A:$A, 0))</f>
        <v>32</v>
      </c>
      <c r="F34" s="40">
        <f>F29/INDEX(Assumptions!$B:$B, MATCH("General engineering facilities life (years)", Assumptions!$A:$A, 0))</f>
        <v>33</v>
      </c>
      <c r="G34" s="40">
        <f>G29/INDEX(Assumptions!$B:$B, MATCH("General engineering facilities life (years)", Assumptions!$A:$A, 0))</f>
        <v>34</v>
      </c>
      <c r="H34" s="40">
        <f>H29/INDEX(Assumptions!$B:$B, MATCH("General engineering facilities life (years)", Assumptions!$A:$A, 0))</f>
        <v>35</v>
      </c>
      <c r="I34" s="40">
        <f>I29/INDEX(Assumptions!$B:$B, MATCH("General engineering facilities life (years)", Assumptions!$A:$A, 0))</f>
        <v>36</v>
      </c>
      <c r="J34" s="40">
        <f>J29/INDEX(Assumptions!$B:$B, MATCH("General engineering facilities life (years)", Assumptions!$A:$A, 0))</f>
        <v>37</v>
      </c>
      <c r="K34" s="40">
        <f>K29/INDEX(Assumptions!$B:$B, MATCH("General engineering facilities life (years)", Assumptions!$A:$A, 0))</f>
        <v>38</v>
      </c>
      <c r="L34" s="40">
        <f>L29/INDEX(Assumptions!$B:$B, MATCH("General engineering facilities life (years)", Assumptions!$A:$A, 0))</f>
        <v>39</v>
      </c>
      <c r="M34" s="40">
        <f>M29/INDEX(Assumptions!$B:$B, MATCH("General engineering facilities life (years)", Assumptions!$A:$A, 0))</f>
        <v>40</v>
      </c>
      <c r="N34" s="40">
        <f>N29/INDEX(Assumptions!$B:$B, MATCH("General engineering facilities life (years)", Assumptions!$A:$A, 0))</f>
        <v>41</v>
      </c>
      <c r="O34" s="40">
        <f>O29/INDEX(Assumptions!$B:$B, MATCH("General engineering facilities life (years)", Assumptions!$A:$A, 0))</f>
        <v>42</v>
      </c>
      <c r="P34" s="40">
        <f>P29/INDEX(Assumptions!$B:$B, MATCH("General engineering facilities life (years)", Assumptions!$A:$A, 0))</f>
        <v>43</v>
      </c>
      <c r="Q34" s="40">
        <f>Q29/INDEX(Assumptions!$B:$B, MATCH("General engineering facilities life (years)", Assumptions!$A:$A, 0))</f>
        <v>44</v>
      </c>
      <c r="R34" s="40">
        <f>R29/INDEX(Assumptions!$B:$B, MATCH("General engineering facilities life (years)", Assumptions!$A:$A, 0))</f>
        <v>45</v>
      </c>
      <c r="S34" s="40">
        <f>S29/INDEX(Assumptions!$B:$B, MATCH("General engineering facilities life (years)", Assumptions!$A:$A, 0))</f>
        <v>46</v>
      </c>
      <c r="T34" s="40">
        <f>T29/INDEX(Assumptions!$B:$B, MATCH("General engineering facilities life (years)", Assumptions!$A:$A, 0))</f>
        <v>47</v>
      </c>
      <c r="U34" s="40">
        <f>U29/INDEX(Assumptions!$B:$B, MATCH("General engineering facilities life (years)", Assumptions!$A:$A, 0))</f>
        <v>48</v>
      </c>
      <c r="V34" s="40">
        <f>V29/INDEX(Assumptions!$B:$B, MATCH("General engineering facilities life (years)", Assumptions!$A:$A, 0))</f>
        <v>49</v>
      </c>
      <c r="W34" s="40">
        <f>W29/INDEX(Assumptions!$B:$B, MATCH("General engineering facilities life (years)", Assumptions!$A:$A, 0))</f>
        <v>50</v>
      </c>
      <c r="X34" s="40">
        <f>X29/INDEX(Assumptions!$B:$B, MATCH("General engineering facilities life (years)", Assumptions!$A:$A, 0))</f>
        <v>51</v>
      </c>
      <c r="Y34" s="40">
        <f>Y29/INDEX(Assumptions!$B:$B, MATCH("General engineering facilities life (years)", Assumptions!$A:$A, 0))</f>
        <v>52</v>
      </c>
      <c r="Z34" s="40">
        <f>Z29/INDEX(Assumptions!$B:$B, MATCH("General engineering facilities life (years)", Assumptions!$A:$A, 0))</f>
        <v>53</v>
      </c>
      <c r="AA34" s="40">
        <f>AA29/INDEX(Assumptions!$B:$B, MATCH("General engineering facilities life (years)", Assumptions!$A:$A, 0))</f>
        <v>54</v>
      </c>
      <c r="AB34" s="40">
        <f>AB29/INDEX(Assumptions!$B:$B, MATCH("General engineering facilities life (years)", Assumptions!$A:$A, 0))</f>
        <v>55</v>
      </c>
      <c r="AC34" s="40">
        <f>AC29/INDEX(Assumptions!$B:$B, MATCH("General engineering facilities life (years)", Assumptions!$A:$A, 0))</f>
        <v>56</v>
      </c>
    </row>
    <row r="35" spans="1:29" x14ac:dyDescent="0.2">
      <c r="A35" t="s">
        <v>1324</v>
      </c>
      <c r="D35" s="40">
        <f>D30/INDEX(Assumptions!$B:$B, MATCH("Other corporate useful life (years)", Assumptions!$A:$A, 0))</f>
        <v>10.5</v>
      </c>
      <c r="E35" s="40">
        <f>E30/INDEX(Assumptions!$B:$B, MATCH("Other corporate useful life (years)", Assumptions!$A:$A, 0))</f>
        <v>11</v>
      </c>
      <c r="F35" s="40">
        <f>F30/INDEX(Assumptions!$B:$B, MATCH("Other corporate useful life (years)", Assumptions!$A:$A, 0))</f>
        <v>11.5</v>
      </c>
      <c r="G35" s="40">
        <f>G30/INDEX(Assumptions!$B:$B, MATCH("Other corporate useful life (years)", Assumptions!$A:$A, 0))</f>
        <v>12</v>
      </c>
      <c r="H35" s="40">
        <f>H30/INDEX(Assumptions!$B:$B, MATCH("Other corporate useful life (years)", Assumptions!$A:$A, 0))</f>
        <v>12.5</v>
      </c>
      <c r="I35" s="40">
        <f>I30/INDEX(Assumptions!$B:$B, MATCH("Other corporate useful life (years)", Assumptions!$A:$A, 0))</f>
        <v>13</v>
      </c>
      <c r="J35" s="40">
        <f>J30/INDEX(Assumptions!$B:$B, MATCH("Other corporate useful life (years)", Assumptions!$A:$A, 0))</f>
        <v>13.5</v>
      </c>
      <c r="K35" s="40">
        <f>K30/INDEX(Assumptions!$B:$B, MATCH("Other corporate useful life (years)", Assumptions!$A:$A, 0))</f>
        <v>14</v>
      </c>
      <c r="L35" s="40">
        <f>L30/INDEX(Assumptions!$B:$B, MATCH("Other corporate useful life (years)", Assumptions!$A:$A, 0))</f>
        <v>14.5</v>
      </c>
      <c r="M35" s="40">
        <f>M30/INDEX(Assumptions!$B:$B, MATCH("Other corporate useful life (years)", Assumptions!$A:$A, 0))</f>
        <v>15</v>
      </c>
      <c r="N35" s="40">
        <f>N30/INDEX(Assumptions!$B:$B, MATCH("Other corporate useful life (years)", Assumptions!$A:$A, 0))</f>
        <v>15.5</v>
      </c>
      <c r="O35" s="40">
        <f>O30/INDEX(Assumptions!$B:$B, MATCH("Other corporate useful life (years)", Assumptions!$A:$A, 0))</f>
        <v>16</v>
      </c>
      <c r="P35" s="40">
        <f>P30/INDEX(Assumptions!$B:$B, MATCH("Other corporate useful life (years)", Assumptions!$A:$A, 0))</f>
        <v>16.5</v>
      </c>
      <c r="Q35" s="40">
        <f>Q30/INDEX(Assumptions!$B:$B, MATCH("Other corporate useful life (years)", Assumptions!$A:$A, 0))</f>
        <v>17</v>
      </c>
      <c r="R35" s="40">
        <f>R30/INDEX(Assumptions!$B:$B, MATCH("Other corporate useful life (years)", Assumptions!$A:$A, 0))</f>
        <v>17.5</v>
      </c>
      <c r="S35" s="40">
        <f>S30/INDEX(Assumptions!$B:$B, MATCH("Other corporate useful life (years)", Assumptions!$A:$A, 0))</f>
        <v>18</v>
      </c>
      <c r="T35" s="40">
        <f>T30/INDEX(Assumptions!$B:$B, MATCH("Other corporate useful life (years)", Assumptions!$A:$A, 0))</f>
        <v>18.5</v>
      </c>
      <c r="U35" s="40">
        <f>U30/INDEX(Assumptions!$B:$B, MATCH("Other corporate useful life (years)", Assumptions!$A:$A, 0))</f>
        <v>19</v>
      </c>
      <c r="V35" s="40">
        <f>V30/INDEX(Assumptions!$B:$B, MATCH("Other corporate useful life (years)", Assumptions!$A:$A, 0))</f>
        <v>19.5</v>
      </c>
      <c r="W35" s="40">
        <f>W30/INDEX(Assumptions!$B:$B, MATCH("Other corporate useful life (years)", Assumptions!$A:$A, 0))</f>
        <v>20</v>
      </c>
      <c r="X35" s="40">
        <f>X30/INDEX(Assumptions!$B:$B, MATCH("Other corporate useful life (years)", Assumptions!$A:$A, 0))</f>
        <v>20.5</v>
      </c>
      <c r="Y35" s="40">
        <f>Y30/INDEX(Assumptions!$B:$B, MATCH("Other corporate useful life (years)", Assumptions!$A:$A, 0))</f>
        <v>21</v>
      </c>
      <c r="Z35" s="40">
        <f>Z30/INDEX(Assumptions!$B:$B, MATCH("Other corporate useful life (years)", Assumptions!$A:$A, 0))</f>
        <v>21.5</v>
      </c>
      <c r="AA35" s="40">
        <f>AA30/INDEX(Assumptions!$B:$B, MATCH("Other corporate useful life (years)", Assumptions!$A:$A, 0))</f>
        <v>22</v>
      </c>
      <c r="AB35" s="40">
        <f>AB30/INDEX(Assumptions!$B:$B, MATCH("Other corporate useful life (years)", Assumptions!$A:$A, 0))</f>
        <v>22.5</v>
      </c>
      <c r="AC35" s="40">
        <f>AC30/INDEX(Assumptions!$B:$B, MATCH("Other corporate useful life (years)", Assumptions!$A:$A, 0))</f>
        <v>23</v>
      </c>
    </row>
    <row r="37" spans="1:29" x14ac:dyDescent="0.2">
      <c r="A37" s="1" t="s">
        <v>1325</v>
      </c>
      <c r="D37" s="56">
        <f>D32+D33+D34+D35</f>
        <v>120.30952380952381</v>
      </c>
      <c r="E37" s="56">
        <f t="shared" ref="E37:AC37" si="6">E32+E33+E34+E35</f>
        <v>127.76190476190476</v>
      </c>
      <c r="F37" s="56">
        <f t="shared" si="6"/>
        <v>135.21428571428572</v>
      </c>
      <c r="G37" s="56">
        <f t="shared" si="6"/>
        <v>142.66666666666666</v>
      </c>
      <c r="H37" s="56">
        <f t="shared" si="6"/>
        <v>150.11904761904762</v>
      </c>
      <c r="I37" s="56">
        <f t="shared" si="6"/>
        <v>157.57142857142856</v>
      </c>
      <c r="J37" s="56">
        <f t="shared" si="6"/>
        <v>165.02380952380952</v>
      </c>
      <c r="K37" s="56">
        <f t="shared" si="6"/>
        <v>172.47619047619048</v>
      </c>
      <c r="L37" s="56">
        <f t="shared" si="6"/>
        <v>179.92857142857144</v>
      </c>
      <c r="M37" s="56">
        <f t="shared" si="6"/>
        <v>187.38095238095238</v>
      </c>
      <c r="N37" s="56">
        <f t="shared" si="6"/>
        <v>194.83333333333334</v>
      </c>
      <c r="O37" s="56">
        <f t="shared" si="6"/>
        <v>202.28571428571428</v>
      </c>
      <c r="P37" s="56">
        <f t="shared" si="6"/>
        <v>209.73809523809524</v>
      </c>
      <c r="Q37" s="56">
        <f t="shared" si="6"/>
        <v>217.1904761904762</v>
      </c>
      <c r="R37" s="56">
        <f t="shared" si="6"/>
        <v>224.64285714285714</v>
      </c>
      <c r="S37" s="56">
        <f t="shared" si="6"/>
        <v>232.0952380952381</v>
      </c>
      <c r="T37" s="56">
        <f t="shared" si="6"/>
        <v>239.54761904761904</v>
      </c>
      <c r="U37" s="56">
        <f t="shared" si="6"/>
        <v>247</v>
      </c>
      <c r="V37" s="56">
        <f t="shared" si="6"/>
        <v>254.45238095238096</v>
      </c>
      <c r="W37" s="56">
        <f t="shared" si="6"/>
        <v>261.90476190476193</v>
      </c>
      <c r="X37" s="56">
        <f t="shared" si="6"/>
        <v>269.35714285714289</v>
      </c>
      <c r="Y37" s="56">
        <f t="shared" si="6"/>
        <v>276.8095238095238</v>
      </c>
      <c r="Z37" s="56">
        <f t="shared" si="6"/>
        <v>284.26190476190476</v>
      </c>
      <c r="AA37" s="56">
        <f t="shared" si="6"/>
        <v>291.71428571428572</v>
      </c>
      <c r="AB37" s="56">
        <f t="shared" si="6"/>
        <v>299.16666666666669</v>
      </c>
      <c r="AC37" s="56">
        <f t="shared" si="6"/>
        <v>306.61904761904759</v>
      </c>
    </row>
    <row r="38" spans="1:29" x14ac:dyDescent="0.2">
      <c r="A38" s="4" t="s">
        <v>1326</v>
      </c>
    </row>
    <row r="39" spans="1:29" x14ac:dyDescent="0.2">
      <c r="A39" t="s">
        <v>1327</v>
      </c>
      <c r="D39" s="15" cm="1">
        <f t="array" ref="D39">INDEX(Assumptions!$D:$AC, MATCH("EchoStar mid-band CapEx ($mm) — year-row", Assumptions!$A:$A, 0), D$5+1)</f>
        <v>5000</v>
      </c>
      <c r="E39" s="15" cm="1">
        <f t="array" ref="E39">INDEX(Assumptions!$D:$AC, MATCH("EchoStar mid-band CapEx ($mm) — year-row", Assumptions!$A:$A, 0), E$5+1)</f>
        <v>8000</v>
      </c>
      <c r="F39" s="15" cm="1">
        <f t="array" ref="F39">INDEX(Assumptions!$D:$AC, MATCH("EchoStar mid-band CapEx ($mm) — year-row", Assumptions!$A:$A, 0), F$5+1)</f>
        <v>5000</v>
      </c>
      <c r="G39" s="15" cm="1">
        <f t="array" ref="G39">INDEX(Assumptions!$D:$AC, MATCH("EchoStar mid-band CapEx ($mm) — year-row", Assumptions!$A:$A, 0), G$5+1)</f>
        <v>2000</v>
      </c>
      <c r="H39" s="15" cm="1">
        <f t="array" ref="H39">INDEX(Assumptions!$D:$AC, MATCH("EchoStar mid-band CapEx ($mm) — year-row", Assumptions!$A:$A, 0), H$5+1)</f>
        <v>0</v>
      </c>
      <c r="I39" s="15" cm="1">
        <f t="array" ref="I39">INDEX(Assumptions!$D:$AC, MATCH("EchoStar mid-band CapEx ($mm) — year-row", Assumptions!$A:$A, 0), I$5+1)</f>
        <v>0</v>
      </c>
      <c r="J39" s="15" cm="1">
        <f t="array" ref="J39">INDEX(Assumptions!$D:$AC, MATCH("EchoStar mid-band CapEx ($mm) — year-row", Assumptions!$A:$A, 0), J$5+1)</f>
        <v>0</v>
      </c>
      <c r="K39" s="15" cm="1">
        <f t="array" ref="K39">INDEX(Assumptions!$D:$AC, MATCH("EchoStar mid-band CapEx ($mm) — year-row", Assumptions!$A:$A, 0), K$5+1)</f>
        <v>0</v>
      </c>
      <c r="L39" s="15" cm="1">
        <f t="array" ref="L39">INDEX(Assumptions!$D:$AC, MATCH("EchoStar mid-band CapEx ($mm) — year-row", Assumptions!$A:$A, 0), L$5+1)</f>
        <v>0</v>
      </c>
      <c r="M39" s="15" cm="1">
        <f t="array" ref="M39">INDEX(Assumptions!$D:$AC, MATCH("EchoStar mid-band CapEx ($mm) — year-row", Assumptions!$A:$A, 0), M$5+1)</f>
        <v>0</v>
      </c>
      <c r="N39" s="15" cm="1">
        <f t="array" ref="N39">INDEX(Assumptions!$D:$AC, MATCH("EchoStar mid-band CapEx ($mm) — year-row", Assumptions!$A:$A, 0), N$5+1)</f>
        <v>0</v>
      </c>
      <c r="O39" s="15" cm="1">
        <f t="array" ref="O39">INDEX(Assumptions!$D:$AC, MATCH("EchoStar mid-band CapEx ($mm) — year-row", Assumptions!$A:$A, 0), O$5+1)</f>
        <v>0</v>
      </c>
      <c r="P39" s="15" cm="1">
        <f t="array" ref="P39">INDEX(Assumptions!$D:$AC, MATCH("EchoStar mid-band CapEx ($mm) — year-row", Assumptions!$A:$A, 0), P$5+1)</f>
        <v>0</v>
      </c>
      <c r="Q39" s="15" cm="1">
        <f t="array" ref="Q39">INDEX(Assumptions!$D:$AC, MATCH("EchoStar mid-band CapEx ($mm) — year-row", Assumptions!$A:$A, 0), Q$5+1)</f>
        <v>0</v>
      </c>
      <c r="R39" s="15" cm="1">
        <f t="array" ref="R39">INDEX(Assumptions!$D:$AC, MATCH("EchoStar mid-band CapEx ($mm) — year-row", Assumptions!$A:$A, 0), R$5+1)</f>
        <v>0</v>
      </c>
      <c r="S39" s="15" cm="1">
        <f t="array" ref="S39">INDEX(Assumptions!$D:$AC, MATCH("EchoStar mid-band CapEx ($mm) — year-row", Assumptions!$A:$A, 0), S$5+1)</f>
        <v>0</v>
      </c>
      <c r="T39" s="15" cm="1">
        <f t="array" ref="T39">INDEX(Assumptions!$D:$AC, MATCH("EchoStar mid-band CapEx ($mm) — year-row", Assumptions!$A:$A, 0), T$5+1)</f>
        <v>0</v>
      </c>
      <c r="U39" s="15" cm="1">
        <f t="array" ref="U39">INDEX(Assumptions!$D:$AC, MATCH("EchoStar mid-band CapEx ($mm) — year-row", Assumptions!$A:$A, 0), U$5+1)</f>
        <v>0</v>
      </c>
      <c r="V39" s="15" cm="1">
        <f t="array" ref="V39">INDEX(Assumptions!$D:$AC, MATCH("EchoStar mid-band CapEx ($mm) — year-row", Assumptions!$A:$A, 0), V$5+1)</f>
        <v>0</v>
      </c>
      <c r="W39" s="15" cm="1">
        <f t="array" ref="W39">INDEX(Assumptions!$D:$AC, MATCH("EchoStar mid-band CapEx ($mm) — year-row", Assumptions!$A:$A, 0), W$5+1)</f>
        <v>0</v>
      </c>
      <c r="X39" s="15" cm="1">
        <f t="array" ref="X39">INDEX(Assumptions!$D:$AC, MATCH("EchoStar mid-band CapEx ($mm) — year-row", Assumptions!$A:$A, 0), X$5+1)</f>
        <v>0</v>
      </c>
      <c r="Y39" s="15" cm="1">
        <f t="array" ref="Y39">INDEX(Assumptions!$D:$AC, MATCH("EchoStar mid-band CapEx ($mm) — year-row", Assumptions!$A:$A, 0), Y$5+1)</f>
        <v>0</v>
      </c>
      <c r="Z39" s="15" cm="1">
        <f t="array" ref="Z39">INDEX(Assumptions!$D:$AC, MATCH("EchoStar mid-band CapEx ($mm) — year-row", Assumptions!$A:$A, 0), Z$5+1)</f>
        <v>0</v>
      </c>
      <c r="AA39" s="15" cm="1">
        <f t="array" ref="AA39">INDEX(Assumptions!$D:$AC, MATCH("EchoStar mid-band CapEx ($mm) — year-row", Assumptions!$A:$A, 0), AA$5+1)</f>
        <v>0</v>
      </c>
      <c r="AB39" s="15" cm="1">
        <f t="array" ref="AB39">INDEX(Assumptions!$D:$AC, MATCH("EchoStar mid-band CapEx ($mm) — year-row", Assumptions!$A:$A, 0), AB$5+1)</f>
        <v>0</v>
      </c>
      <c r="AC39" s="15" cm="1">
        <f t="array" ref="AC39">INDEX(Assumptions!$D:$AC, MATCH("EchoStar mid-band CapEx ($mm) — year-row", Assumptions!$A:$A, 0), AC$5+1)</f>
        <v>0</v>
      </c>
    </row>
    <row r="40" spans="1:29" x14ac:dyDescent="0.2">
      <c r="A40" t="s">
        <v>1328</v>
      </c>
      <c r="D40" s="15">
        <f>D39</f>
        <v>5000</v>
      </c>
      <c r="E40" s="15">
        <f>D40+E39</f>
        <v>13000</v>
      </c>
      <c r="F40" s="15">
        <f t="shared" ref="F40:AC40" si="7">E40+F39</f>
        <v>18000</v>
      </c>
      <c r="G40" s="15">
        <f t="shared" si="7"/>
        <v>20000</v>
      </c>
      <c r="H40" s="15">
        <f t="shared" si="7"/>
        <v>20000</v>
      </c>
      <c r="I40" s="15">
        <f t="shared" si="7"/>
        <v>20000</v>
      </c>
      <c r="J40" s="15">
        <f t="shared" si="7"/>
        <v>20000</v>
      </c>
      <c r="K40" s="15">
        <f t="shared" si="7"/>
        <v>20000</v>
      </c>
      <c r="L40" s="15">
        <f t="shared" si="7"/>
        <v>20000</v>
      </c>
      <c r="M40" s="15">
        <f t="shared" si="7"/>
        <v>20000</v>
      </c>
      <c r="N40" s="15">
        <f t="shared" si="7"/>
        <v>20000</v>
      </c>
      <c r="O40" s="15">
        <f t="shared" si="7"/>
        <v>20000</v>
      </c>
      <c r="P40" s="15">
        <f t="shared" si="7"/>
        <v>20000</v>
      </c>
      <c r="Q40" s="15">
        <f t="shared" si="7"/>
        <v>20000</v>
      </c>
      <c r="R40" s="15">
        <f t="shared" si="7"/>
        <v>20000</v>
      </c>
      <c r="S40" s="15">
        <f t="shared" si="7"/>
        <v>20000</v>
      </c>
      <c r="T40" s="15">
        <f t="shared" si="7"/>
        <v>20000</v>
      </c>
      <c r="U40" s="15">
        <f t="shared" si="7"/>
        <v>20000</v>
      </c>
      <c r="V40" s="15">
        <f t="shared" si="7"/>
        <v>20000</v>
      </c>
      <c r="W40" s="15">
        <f t="shared" si="7"/>
        <v>20000</v>
      </c>
      <c r="X40" s="15">
        <f t="shared" si="7"/>
        <v>20000</v>
      </c>
      <c r="Y40" s="15">
        <f t="shared" si="7"/>
        <v>20000</v>
      </c>
      <c r="Z40" s="15">
        <f t="shared" si="7"/>
        <v>20000</v>
      </c>
      <c r="AA40" s="15">
        <f t="shared" si="7"/>
        <v>20000</v>
      </c>
      <c r="AB40" s="15">
        <f t="shared" si="7"/>
        <v>20000</v>
      </c>
      <c r="AC40" s="15">
        <f t="shared" si="7"/>
        <v>20000</v>
      </c>
    </row>
    <row r="41" spans="1:29" x14ac:dyDescent="0.2">
      <c r="A41" t="s">
        <v>1329</v>
      </c>
      <c r="D41" s="40">
        <f>D40/INDEX(Assumptions!$B:$B, MATCH("Spectrum useful life (years)", Assumptions!$A:$A, 0))</f>
        <v>333.33333333333331</v>
      </c>
      <c r="E41" s="40">
        <f>E40/INDEX(Assumptions!$B:$B, MATCH("Spectrum useful life (years)", Assumptions!$A:$A, 0))</f>
        <v>866.66666666666663</v>
      </c>
      <c r="F41" s="40">
        <f>F40/INDEX(Assumptions!$B:$B, MATCH("Spectrum useful life (years)", Assumptions!$A:$A, 0))</f>
        <v>1200</v>
      </c>
      <c r="G41" s="40">
        <f>G40/INDEX(Assumptions!$B:$B, MATCH("Spectrum useful life (years)", Assumptions!$A:$A, 0))</f>
        <v>1333.3333333333333</v>
      </c>
      <c r="H41" s="40">
        <f>H40/INDEX(Assumptions!$B:$B, MATCH("Spectrum useful life (years)", Assumptions!$A:$A, 0))</f>
        <v>1333.3333333333333</v>
      </c>
      <c r="I41" s="40">
        <f>I40/INDEX(Assumptions!$B:$B, MATCH("Spectrum useful life (years)", Assumptions!$A:$A, 0))</f>
        <v>1333.3333333333333</v>
      </c>
      <c r="J41" s="40">
        <f>J40/INDEX(Assumptions!$B:$B, MATCH("Spectrum useful life (years)", Assumptions!$A:$A, 0))</f>
        <v>1333.3333333333333</v>
      </c>
      <c r="K41" s="40">
        <f>K40/INDEX(Assumptions!$B:$B, MATCH("Spectrum useful life (years)", Assumptions!$A:$A, 0))</f>
        <v>1333.3333333333333</v>
      </c>
      <c r="L41" s="40">
        <f>L40/INDEX(Assumptions!$B:$B, MATCH("Spectrum useful life (years)", Assumptions!$A:$A, 0))</f>
        <v>1333.3333333333333</v>
      </c>
      <c r="M41" s="40">
        <f>M40/INDEX(Assumptions!$B:$B, MATCH("Spectrum useful life (years)", Assumptions!$A:$A, 0))</f>
        <v>1333.3333333333333</v>
      </c>
      <c r="N41" s="40">
        <f>N40/INDEX(Assumptions!$B:$B, MATCH("Spectrum useful life (years)", Assumptions!$A:$A, 0))</f>
        <v>1333.3333333333333</v>
      </c>
      <c r="O41" s="40">
        <f>O40/INDEX(Assumptions!$B:$B, MATCH("Spectrum useful life (years)", Assumptions!$A:$A, 0))</f>
        <v>1333.3333333333333</v>
      </c>
      <c r="P41" s="40">
        <f>P40/INDEX(Assumptions!$B:$B, MATCH("Spectrum useful life (years)", Assumptions!$A:$A, 0))</f>
        <v>1333.3333333333333</v>
      </c>
      <c r="Q41" s="40">
        <f>Q40/INDEX(Assumptions!$B:$B, MATCH("Spectrum useful life (years)", Assumptions!$A:$A, 0))</f>
        <v>1333.3333333333333</v>
      </c>
      <c r="R41" s="40">
        <f>R40/INDEX(Assumptions!$B:$B, MATCH("Spectrum useful life (years)", Assumptions!$A:$A, 0))</f>
        <v>1333.3333333333333</v>
      </c>
      <c r="S41" s="40">
        <f>S40/INDEX(Assumptions!$B:$B, MATCH("Spectrum useful life (years)", Assumptions!$A:$A, 0))</f>
        <v>1333.3333333333333</v>
      </c>
      <c r="T41" s="40">
        <f>T40/INDEX(Assumptions!$B:$B, MATCH("Spectrum useful life (years)", Assumptions!$A:$A, 0))</f>
        <v>1333.3333333333333</v>
      </c>
      <c r="U41" s="40">
        <f>U40/INDEX(Assumptions!$B:$B, MATCH("Spectrum useful life (years)", Assumptions!$A:$A, 0))</f>
        <v>1333.3333333333333</v>
      </c>
      <c r="V41" s="40">
        <f>V40/INDEX(Assumptions!$B:$B, MATCH("Spectrum useful life (years)", Assumptions!$A:$A, 0))</f>
        <v>1333.3333333333333</v>
      </c>
      <c r="W41" s="40">
        <f>W40/INDEX(Assumptions!$B:$B, MATCH("Spectrum useful life (years)", Assumptions!$A:$A, 0))</f>
        <v>1333.3333333333333</v>
      </c>
      <c r="X41" s="40">
        <f>X40/INDEX(Assumptions!$B:$B, MATCH("Spectrum useful life (years)", Assumptions!$A:$A, 0))</f>
        <v>1333.3333333333333</v>
      </c>
      <c r="Y41" s="40">
        <f>Y40/INDEX(Assumptions!$B:$B, MATCH("Spectrum useful life (years)", Assumptions!$A:$A, 0))</f>
        <v>1333.3333333333333</v>
      </c>
      <c r="Z41" s="40">
        <f>Z40/INDEX(Assumptions!$B:$B, MATCH("Spectrum useful life (years)", Assumptions!$A:$A, 0))</f>
        <v>1333.3333333333333</v>
      </c>
      <c r="AA41" s="40">
        <f>AA40/INDEX(Assumptions!$B:$B, MATCH("Spectrum useful life (years)", Assumptions!$A:$A, 0))</f>
        <v>1333.3333333333333</v>
      </c>
      <c r="AB41" s="40">
        <f>AB40/INDEX(Assumptions!$B:$B, MATCH("Spectrum useful life (years)", Assumptions!$A:$A, 0))</f>
        <v>1333.3333333333333</v>
      </c>
      <c r="AC41" s="40">
        <f>AC40/INDEX(Assumptions!$B:$B, MATCH("Spectrum useful life (years)", Assumptions!$A:$A, 0))</f>
        <v>1333.3333333333333</v>
      </c>
    </row>
    <row r="43" spans="1:29" x14ac:dyDescent="0.2">
      <c r="A43" s="4" t="s">
        <v>1330</v>
      </c>
    </row>
    <row r="44" spans="1:29" x14ac:dyDescent="0.2">
      <c r="A44" t="s">
        <v>1450</v>
      </c>
      <c r="D44" s="67" cm="1">
        <f t="array" aca="1" ref="D44" ca="1">IFERROR(INDEX(Allocator!$D:$AC, MATCH("Vehicle build claim ($mm)", Allocator!$A:$A, 0), D$5+1), 0)</f>
        <v>0</v>
      </c>
      <c r="E44" s="67" cm="1">
        <f t="array" aca="1" ref="E44" ca="1">IFERROR(INDEX(Allocator!$D:$AC, MATCH("Vehicle build claim ($mm)", Allocator!$A:$A, 0), E$5+1), 0)</f>
        <v>83.711001067696643</v>
      </c>
      <c r="F44" s="67" cm="1">
        <f t="array" aca="1" ref="F44" ca="1">IFERROR(INDEX(Allocator!$D:$AC, MATCH("Vehicle build claim ($mm)", Allocator!$A:$A, 0), F$5+1), 0)</f>
        <v>126.98605804635768</v>
      </c>
      <c r="G44" s="67" cm="1">
        <f t="array" aca="1" ref="G44" ca="1">IFERROR(INDEX(Allocator!$D:$AC, MATCH("Vehicle build claim ($mm)", Allocator!$A:$A, 0), G$5+1), 0)</f>
        <v>126.48847853225371</v>
      </c>
      <c r="H44" s="67" cm="1">
        <f t="array" aca="1" ref="H44" ca="1">IFERROR(INDEX(Allocator!$D:$AC, MATCH("Vehicle build claim ($mm)", Allocator!$A:$A, 0), H$5+1), 0)</f>
        <v>152.6740640196457</v>
      </c>
      <c r="I44" s="67" cm="1">
        <f t="array" aca="1" ref="I44" ca="1">IFERROR(INDEX(Allocator!$D:$AC, MATCH("Vehicle build claim ($mm)", Allocator!$A:$A, 0), I$5+1), 0)</f>
        <v>97.909677880552252</v>
      </c>
      <c r="J44" s="67" cm="1">
        <f t="array" aca="1" ref="J44" ca="1">IFERROR(INDEX(Allocator!$D:$AC, MATCH("Vehicle build claim ($mm)", Allocator!$A:$A, 0), J$5+1), 0)</f>
        <v>185.01994182648582</v>
      </c>
      <c r="K44" s="67" cm="1">
        <f t="array" aca="1" ref="K44" ca="1">IFERROR(INDEX(Allocator!$D:$AC, MATCH("Vehicle build claim ($mm)", Allocator!$A:$A, 0), K$5+1), 0)</f>
        <v>152.2335314703339</v>
      </c>
      <c r="L44" s="67" cm="1">
        <f t="array" aca="1" ref="L44" ca="1">IFERROR(INDEX(Allocator!$D:$AC, MATCH("Vehicle build claim ($mm)", Allocator!$A:$A, 0), L$5+1), 0)</f>
        <v>36.273766787218882</v>
      </c>
      <c r="M44" s="67" cm="1">
        <f t="array" aca="1" ref="M44" ca="1">IFERROR(INDEX(Allocator!$D:$AC, MATCH("Vehicle build claim ($mm)", Allocator!$A:$A, 0), M$5+1), 0)</f>
        <v>311.16892566095288</v>
      </c>
      <c r="N44" s="67" cm="1">
        <f t="array" aca="1" ref="N44" ca="1">IFERROR(INDEX(Allocator!$D:$AC, MATCH("Vehicle build claim ($mm)", Allocator!$A:$A, 0), N$5+1), 0)</f>
        <v>0</v>
      </c>
      <c r="O44" s="67" cm="1">
        <f t="array" aca="1" ref="O44" ca="1">IFERROR(INDEX(Allocator!$D:$AC, MATCH("Vehicle build claim ($mm)", Allocator!$A:$A, 0), O$5+1), 0)</f>
        <v>280.56468229345631</v>
      </c>
      <c r="P44" s="67" cm="1">
        <f t="array" aca="1" ref="P44" ca="1">IFERROR(INDEX(Allocator!$D:$AC, MATCH("Vehicle build claim ($mm)", Allocator!$A:$A, 0), P$5+1), 0)</f>
        <v>155.70743789135295</v>
      </c>
      <c r="Q44" s="67" cm="1">
        <f t="array" aca="1" ref="Q44" ca="1">IFERROR(INDEX(Allocator!$D:$AC, MATCH("Vehicle build claim ($mm)", Allocator!$A:$A, 0), Q$5+1), 0)</f>
        <v>0</v>
      </c>
      <c r="R44" s="67" cm="1">
        <f t="array" aca="1" ref="R44" ca="1">IFERROR(INDEX(Allocator!$D:$AC, MATCH("Vehicle build claim ($mm)", Allocator!$A:$A, 0), R$5+1), 0)</f>
        <v>356.67973753112261</v>
      </c>
      <c r="S44" s="67" cm="1">
        <f t="array" aca="1" ref="S44" ca="1">IFERROR(INDEX(Allocator!$D:$AC, MATCH("Vehicle build claim ($mm)", Allocator!$A:$A, 0), S$5+1), 0)</f>
        <v>0</v>
      </c>
      <c r="T44" s="67" cm="1">
        <f t="array" aca="1" ref="T44" ca="1">IFERROR(INDEX(Allocator!$D:$AC, MATCH("Vehicle build claim ($mm)", Allocator!$A:$A, 0), T$5+1), 0)</f>
        <v>181.57053798840116</v>
      </c>
      <c r="U44" s="67" cm="1">
        <f t="array" aca="1" ref="U44" ca="1">IFERROR(INDEX(Allocator!$D:$AC, MATCH("Vehicle build claim ($mm)", Allocator!$A:$A, 0), U$5+1), 0)</f>
        <v>294.56222454753276</v>
      </c>
      <c r="V44" s="67" cm="1">
        <f t="array" aca="1" ref="V44" ca="1">IFERROR(INDEX(Allocator!$D:$AC, MATCH("Vehicle build claim ($mm)", Allocator!$A:$A, 0), V$5+1), 0)</f>
        <v>0</v>
      </c>
      <c r="W44" s="67" cm="1">
        <f t="array" aca="1" ref="W44" ca="1">IFERROR(INDEX(Allocator!$D:$AC, MATCH("Vehicle build claim ($mm)", Allocator!$A:$A, 0), W$5+1), 0)</f>
        <v>414.53650387584167</v>
      </c>
      <c r="X44" s="67" cm="1">
        <f t="array" aca="1" ref="X44" ca="1">IFERROR(INDEX(Allocator!$D:$AC, MATCH("Vehicle build claim ($mm)", Allocator!$A:$A, 0), X$5+1), 0)</f>
        <v>0</v>
      </c>
      <c r="Y44" s="67" cm="1">
        <f t="array" aca="1" ref="Y44" ca="1">IFERROR(INDEX(Allocator!$D:$AC, MATCH("Vehicle build claim ($mm)", Allocator!$A:$A, 0), Y$5+1), 0)</f>
        <v>13.499151214885501</v>
      </c>
      <c r="Z44" s="67" cm="1">
        <f t="array" aca="1" ref="Z44" ca="1">IFERROR(INDEX(Allocator!$D:$AC, MATCH("Vehicle build claim ($mm)", Allocator!$A:$A, 0), Z$5+1), 0)</f>
        <v>447.82531901337171</v>
      </c>
      <c r="AA44" s="67" cm="1">
        <f t="array" aca="1" ref="AA44" ca="1">IFERROR(INDEX(Allocator!$D:$AC, MATCH("Vehicle build claim ($mm)", Allocator!$A:$A, 0), AA$5+1), 0)</f>
        <v>0</v>
      </c>
      <c r="AB44" s="67" cm="1">
        <f t="array" aca="1" ref="AB44" ca="1">IFERROR(INDEX(Allocator!$D:$AC, MATCH("Vehicle build claim ($mm)", Allocator!$A:$A, 0), AB$5+1), 0)</f>
        <v>0</v>
      </c>
      <c r="AC44" s="67" cm="1">
        <f t="array" aca="1" ref="AC44" ca="1">IFERROR(INDEX(Allocator!$D:$AC, MATCH("Vehicle build claim ($mm)", Allocator!$A:$A, 0), AC$5+1), 0)</f>
        <v>0</v>
      </c>
    </row>
    <row r="45" spans="1:29" x14ac:dyDescent="0.2">
      <c r="A45" s="1" t="s">
        <v>1331</v>
      </c>
      <c r="D45" s="56">
        <f ca="1">D17+D25+D39+D44</f>
        <v>6327.2744000000002</v>
      </c>
      <c r="E45" s="56">
        <f t="shared" ref="E45:AC45" ca="1" si="8">E17+E25+E39+E44</f>
        <v>8215.5190212176967</v>
      </c>
      <c r="F45" s="56">
        <f t="shared" ca="1" si="8"/>
        <v>5258.7660656875305</v>
      </c>
      <c r="G45" s="56">
        <f t="shared" ca="1" si="8"/>
        <v>3258.2412165360756</v>
      </c>
      <c r="H45" s="56">
        <f t="shared" ca="1" si="8"/>
        <v>1283.9524006029533</v>
      </c>
      <c r="I45" s="56">
        <f t="shared" ca="1" si="8"/>
        <v>1228.6478986517798</v>
      </c>
      <c r="J45" s="56">
        <f t="shared" ca="1" si="8"/>
        <v>1315.5741072505468</v>
      </c>
      <c r="K45" s="56">
        <f t="shared" ca="1" si="8"/>
        <v>1279.8404296692127</v>
      </c>
      <c r="L45" s="56">
        <f t="shared" ca="1" si="8"/>
        <v>1166.4381241489291</v>
      </c>
      <c r="M45" s="56">
        <f t="shared" ca="1" si="8"/>
        <v>1436.5585985234982</v>
      </c>
      <c r="N45" s="56">
        <f t="shared" ca="1" si="8"/>
        <v>1122.8678180784511</v>
      </c>
      <c r="O45" s="56">
        <f t="shared" ca="1" si="8"/>
        <v>1411.0655231050991</v>
      </c>
      <c r="P45" s="56">
        <f t="shared" ca="1" si="8"/>
        <v>1275.4355903166315</v>
      </c>
      <c r="Q45" s="56">
        <f t="shared" ca="1" si="8"/>
        <v>1129.6413468092014</v>
      </c>
      <c r="R45" s="56">
        <f t="shared" ca="1" si="8"/>
        <v>1476.3737558529697</v>
      </c>
      <c r="S45" s="56">
        <f t="shared" ca="1" si="8"/>
        <v>1119.4389669670404</v>
      </c>
      <c r="T45" s="56">
        <f t="shared" ca="1" si="8"/>
        <v>1313.2410789128489</v>
      </c>
      <c r="U45" s="56">
        <f t="shared" ca="1" si="8"/>
        <v>1413.9240540796341</v>
      </c>
      <c r="V45" s="56">
        <f t="shared" ca="1" si="8"/>
        <v>1128.2473154631241</v>
      </c>
      <c r="W45" s="56">
        <f t="shared" ca="1" si="8"/>
        <v>1541.6033178837565</v>
      </c>
      <c r="X45" s="56">
        <f t="shared" ca="1" si="8"/>
        <v>1119.2942847473601</v>
      </c>
      <c r="Y45" s="56">
        <f t="shared" ca="1" si="8"/>
        <v>1146.6754655379309</v>
      </c>
      <c r="Z45" s="56">
        <f t="shared" ca="1" si="8"/>
        <v>1567.0378097692326</v>
      </c>
      <c r="AA45" s="56">
        <f t="shared" ca="1" si="8"/>
        <v>1124.9681619210528</v>
      </c>
      <c r="AB45" s="56">
        <f t="shared" ca="1" si="8"/>
        <v>1243.2595113352406</v>
      </c>
      <c r="AC45" s="56">
        <f t="shared" ca="1" si="8"/>
        <v>1119.1984313819989</v>
      </c>
    </row>
    <row r="47" spans="1:29" x14ac:dyDescent="0.2">
      <c r="A47" s="18" t="s">
        <v>1332</v>
      </c>
      <c r="D47" s="59">
        <f>D37+D41</f>
        <v>453.64285714285711</v>
      </c>
      <c r="E47" s="59">
        <f t="shared" ref="E47:AC47" si="9">E37+E41</f>
        <v>994.42857142857133</v>
      </c>
      <c r="F47" s="59">
        <f t="shared" si="9"/>
        <v>1335.2142857142858</v>
      </c>
      <c r="G47" s="59">
        <f t="shared" si="9"/>
        <v>1476</v>
      </c>
      <c r="H47" s="59">
        <f t="shared" si="9"/>
        <v>1483.452380952381</v>
      </c>
      <c r="I47" s="59">
        <f t="shared" si="9"/>
        <v>1490.9047619047619</v>
      </c>
      <c r="J47" s="59">
        <f t="shared" si="9"/>
        <v>1498.3571428571427</v>
      </c>
      <c r="K47" s="59">
        <f t="shared" si="9"/>
        <v>1505.8095238095239</v>
      </c>
      <c r="L47" s="59">
        <f t="shared" si="9"/>
        <v>1513.2619047619046</v>
      </c>
      <c r="M47" s="59">
        <f t="shared" si="9"/>
        <v>1520.7142857142856</v>
      </c>
      <c r="N47" s="59">
        <f t="shared" si="9"/>
        <v>1528.1666666666665</v>
      </c>
      <c r="O47" s="59">
        <f t="shared" si="9"/>
        <v>1535.6190476190475</v>
      </c>
      <c r="P47" s="59">
        <f t="shared" si="9"/>
        <v>1543.0714285714284</v>
      </c>
      <c r="Q47" s="59">
        <f t="shared" si="9"/>
        <v>1550.5238095238094</v>
      </c>
      <c r="R47" s="59">
        <f t="shared" si="9"/>
        <v>1557.9761904761904</v>
      </c>
      <c r="S47" s="59">
        <f t="shared" si="9"/>
        <v>1565.4285714285713</v>
      </c>
      <c r="T47" s="59">
        <f t="shared" si="9"/>
        <v>1572.8809523809523</v>
      </c>
      <c r="U47" s="59">
        <f t="shared" si="9"/>
        <v>1580.3333333333333</v>
      </c>
      <c r="V47" s="59">
        <f t="shared" si="9"/>
        <v>1587.7857142857142</v>
      </c>
      <c r="W47" s="59">
        <f t="shared" si="9"/>
        <v>1595.2380952380952</v>
      </c>
      <c r="X47" s="59">
        <f t="shared" si="9"/>
        <v>1602.6904761904761</v>
      </c>
      <c r="Y47" s="59">
        <f t="shared" si="9"/>
        <v>1610.1428571428571</v>
      </c>
      <c r="Z47" s="59">
        <f t="shared" si="9"/>
        <v>1617.5952380952381</v>
      </c>
      <c r="AA47" s="59">
        <f t="shared" si="9"/>
        <v>1625.047619047619</v>
      </c>
      <c r="AB47" s="59">
        <f t="shared" si="9"/>
        <v>1632.5</v>
      </c>
      <c r="AC47" s="59">
        <f t="shared" si="9"/>
        <v>1639.9523809523807</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5BF8-98E1-3D4C-B395-5C999053E566}">
  <dimension ref="A4:AC6"/>
  <sheetViews>
    <sheetView workbookViewId="0"/>
  </sheetViews>
  <sheetFormatPr baseColWidth="10" defaultRowHeight="16" x14ac:dyDescent="0.2"/>
  <sheetData>
    <row r="4" spans="1:29" x14ac:dyDescent="0.2">
      <c r="D4" s="2">
        <v>2025</v>
      </c>
      <c r="E4" s="2">
        <v>2026</v>
      </c>
      <c r="F4" s="2">
        <v>2027</v>
      </c>
      <c r="G4" s="2">
        <v>2028</v>
      </c>
      <c r="H4" s="2">
        <v>2029</v>
      </c>
      <c r="I4" s="2">
        <v>2030</v>
      </c>
      <c r="J4" s="2">
        <v>2031</v>
      </c>
      <c r="K4" s="2">
        <v>2032</v>
      </c>
      <c r="L4" s="2">
        <v>2033</v>
      </c>
      <c r="M4" s="2">
        <v>2034</v>
      </c>
      <c r="N4" s="2">
        <v>2035</v>
      </c>
      <c r="O4" s="2">
        <v>2036</v>
      </c>
      <c r="P4" s="2">
        <v>2037</v>
      </c>
      <c r="Q4" s="2">
        <v>2038</v>
      </c>
      <c r="R4" s="2">
        <v>2039</v>
      </c>
      <c r="S4" s="2">
        <v>2040</v>
      </c>
      <c r="T4" s="2">
        <v>2041</v>
      </c>
      <c r="U4" s="2">
        <v>2042</v>
      </c>
      <c r="V4" s="2">
        <v>2043</v>
      </c>
      <c r="W4" s="2">
        <v>2044</v>
      </c>
      <c r="X4" s="2">
        <v>2045</v>
      </c>
      <c r="Y4" s="2">
        <v>2046</v>
      </c>
      <c r="Z4" s="2">
        <v>2047</v>
      </c>
      <c r="AA4" s="2">
        <v>2048</v>
      </c>
      <c r="AB4" s="2">
        <v>2049</v>
      </c>
      <c r="AC4" s="2">
        <v>2050</v>
      </c>
    </row>
    <row r="5" spans="1:29" x14ac:dyDescent="0.2">
      <c r="D5" s="3">
        <v>0</v>
      </c>
      <c r="E5" s="3">
        <v>1</v>
      </c>
      <c r="F5" s="3">
        <v>2</v>
      </c>
      <c r="G5" s="3">
        <v>3</v>
      </c>
      <c r="H5" s="3">
        <v>4</v>
      </c>
      <c r="I5" s="3">
        <v>5</v>
      </c>
      <c r="J5" s="3">
        <v>6</v>
      </c>
      <c r="K5" s="3">
        <v>7</v>
      </c>
      <c r="L5" s="3">
        <v>8</v>
      </c>
      <c r="M5" s="3">
        <v>9</v>
      </c>
      <c r="N5" s="3">
        <v>10</v>
      </c>
      <c r="O5" s="3">
        <v>11</v>
      </c>
      <c r="P5" s="3">
        <v>12</v>
      </c>
      <c r="Q5" s="3">
        <v>13</v>
      </c>
      <c r="R5" s="3">
        <v>14</v>
      </c>
      <c r="S5" s="3">
        <v>15</v>
      </c>
      <c r="T5" s="3">
        <v>16</v>
      </c>
      <c r="U5" s="3">
        <v>17</v>
      </c>
      <c r="V5" s="3">
        <v>18</v>
      </c>
      <c r="W5" s="3">
        <v>19</v>
      </c>
      <c r="X5" s="3">
        <v>20</v>
      </c>
      <c r="Y5" s="3">
        <v>21</v>
      </c>
      <c r="Z5" s="3">
        <v>22</v>
      </c>
      <c r="AA5" s="3">
        <v>23</v>
      </c>
      <c r="AB5" s="3">
        <v>24</v>
      </c>
      <c r="AC5" s="3">
        <v>25</v>
      </c>
    </row>
    <row r="6" spans="1:29" x14ac:dyDescent="0.2">
      <c r="A6" s="19" t="s">
        <v>629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0EBB-265F-3740-B922-F21BC54E3CE9}">
  <dimension ref="A1:AJ145"/>
  <sheetViews>
    <sheetView workbookViewId="0">
      <selection activeCell="W39" sqref="W39"/>
    </sheetView>
  </sheetViews>
  <sheetFormatPr baseColWidth="10" defaultRowHeight="16" x14ac:dyDescent="0.2"/>
  <cols>
    <col min="1" max="1" width="41.6640625" customWidth="1"/>
    <col min="2" max="2" width="11.1640625" bestFit="1" customWidth="1"/>
    <col min="3" max="3" width="14.6640625" bestFit="1" customWidth="1"/>
  </cols>
  <sheetData>
    <row r="1" spans="1:36" ht="19" x14ac:dyDescent="0.25">
      <c r="A1" s="47" t="s">
        <v>947</v>
      </c>
    </row>
    <row r="4" spans="1:36" x14ac:dyDescent="0.2">
      <c r="D4" s="1">
        <v>2025</v>
      </c>
      <c r="E4" s="1">
        <v>2026</v>
      </c>
      <c r="F4" s="1">
        <v>2027</v>
      </c>
      <c r="G4" s="1">
        <v>2028</v>
      </c>
      <c r="H4" s="1">
        <v>2029</v>
      </c>
      <c r="I4" s="1">
        <v>2030</v>
      </c>
      <c r="J4" s="1">
        <v>2031</v>
      </c>
      <c r="K4" s="1">
        <v>2032</v>
      </c>
      <c r="L4" s="1">
        <v>2033</v>
      </c>
      <c r="M4" s="1">
        <v>2034</v>
      </c>
      <c r="N4" s="1">
        <v>2035</v>
      </c>
      <c r="O4" s="1">
        <v>2036</v>
      </c>
      <c r="P4" s="1">
        <v>2037</v>
      </c>
      <c r="Q4" s="1">
        <v>2038</v>
      </c>
      <c r="R4" s="1">
        <v>2039</v>
      </c>
      <c r="S4" s="1">
        <v>2040</v>
      </c>
      <c r="T4" s="1">
        <v>2041</v>
      </c>
      <c r="U4" s="1">
        <v>2042</v>
      </c>
      <c r="V4" s="1">
        <v>2043</v>
      </c>
      <c r="W4" s="1">
        <v>2044</v>
      </c>
      <c r="X4" s="1">
        <v>2045</v>
      </c>
      <c r="Y4" s="1">
        <v>2046</v>
      </c>
      <c r="Z4" s="1">
        <v>2047</v>
      </c>
      <c r="AA4" s="1">
        <v>2048</v>
      </c>
      <c r="AB4" s="1">
        <v>2049</v>
      </c>
      <c r="AC4" s="1">
        <v>2050</v>
      </c>
    </row>
    <row r="5" spans="1:36" x14ac:dyDescent="0.2">
      <c r="D5" s="18">
        <v>0</v>
      </c>
      <c r="E5" s="18">
        <v>1</v>
      </c>
      <c r="F5" s="18">
        <v>2</v>
      </c>
      <c r="G5" s="18">
        <v>3</v>
      </c>
      <c r="H5" s="18">
        <v>4</v>
      </c>
      <c r="I5" s="18">
        <v>5</v>
      </c>
      <c r="J5" s="18">
        <v>6</v>
      </c>
      <c r="K5" s="18">
        <v>7</v>
      </c>
      <c r="L5" s="18">
        <v>8</v>
      </c>
      <c r="M5" s="18">
        <v>9</v>
      </c>
      <c r="N5" s="18">
        <v>10</v>
      </c>
      <c r="O5" s="18">
        <v>11</v>
      </c>
      <c r="P5" s="18">
        <v>12</v>
      </c>
      <c r="Q5" s="18">
        <v>13</v>
      </c>
      <c r="R5" s="18">
        <v>14</v>
      </c>
      <c r="S5" s="18">
        <v>15</v>
      </c>
      <c r="T5" s="18">
        <v>16</v>
      </c>
      <c r="U5" s="18">
        <v>17</v>
      </c>
      <c r="V5" s="18">
        <v>18</v>
      </c>
      <c r="W5" s="18">
        <v>19</v>
      </c>
      <c r="X5" s="18">
        <v>20</v>
      </c>
      <c r="Y5" s="18">
        <v>21</v>
      </c>
      <c r="Z5" s="18">
        <v>22</v>
      </c>
      <c r="AA5" s="18">
        <v>23</v>
      </c>
      <c r="AB5" s="18">
        <v>24</v>
      </c>
      <c r="AC5" s="18">
        <v>25</v>
      </c>
    </row>
    <row r="7" spans="1:36" x14ac:dyDescent="0.2">
      <c r="A7" s="14"/>
      <c r="AG7" s="1" t="s">
        <v>948</v>
      </c>
      <c r="AH7" s="1" t="s">
        <v>949</v>
      </c>
      <c r="AI7" s="1" t="s">
        <v>950</v>
      </c>
      <c r="AJ7" s="1" t="s">
        <v>951</v>
      </c>
    </row>
    <row r="9" spans="1:36" x14ac:dyDescent="0.2">
      <c r="D9" s="15"/>
      <c r="E9" s="15"/>
      <c r="F9" s="15"/>
      <c r="G9" s="15"/>
      <c r="H9" s="15"/>
      <c r="I9" s="15"/>
      <c r="J9" s="15"/>
      <c r="K9" s="15"/>
      <c r="L9" s="15"/>
      <c r="M9" s="15"/>
      <c r="N9" s="15"/>
      <c r="O9" s="15"/>
      <c r="P9" s="15"/>
      <c r="Q9" s="15"/>
      <c r="R9" s="15"/>
      <c r="S9" s="15"/>
      <c r="T9" s="15"/>
      <c r="U9" s="15"/>
      <c r="V9" s="15"/>
      <c r="W9" s="15"/>
      <c r="X9" s="15"/>
      <c r="Y9" s="15"/>
      <c r="Z9" s="15"/>
      <c r="AA9" s="15"/>
      <c r="AB9" s="15"/>
      <c r="AC9" s="15"/>
      <c r="AG9">
        <v>0.5</v>
      </c>
      <c r="AH9">
        <v>2</v>
      </c>
      <c r="AI9" t="s">
        <v>357</v>
      </c>
      <c r="AJ9" t="s">
        <v>952</v>
      </c>
    </row>
    <row r="10" spans="1:36" x14ac:dyDescent="0.2">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G10">
        <v>0.7</v>
      </c>
      <c r="AH10">
        <v>1.3</v>
      </c>
      <c r="AI10" t="s">
        <v>357</v>
      </c>
      <c r="AJ10" t="s">
        <v>953</v>
      </c>
    </row>
    <row r="11" spans="1:36" x14ac:dyDescent="0.2">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G11">
        <v>0.5</v>
      </c>
      <c r="AH11">
        <v>2</v>
      </c>
      <c r="AI11" t="s">
        <v>357</v>
      </c>
      <c r="AJ11" t="s">
        <v>952</v>
      </c>
    </row>
    <row r="12" spans="1:36" x14ac:dyDescent="0.2">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G12">
        <v>0.7</v>
      </c>
      <c r="AH12">
        <v>1.3</v>
      </c>
      <c r="AI12" t="s">
        <v>357</v>
      </c>
      <c r="AJ12" t="s">
        <v>953</v>
      </c>
    </row>
    <row r="15" spans="1:36" x14ac:dyDescent="0.2">
      <c r="A15" s="1" t="s">
        <v>1513</v>
      </c>
    </row>
    <row r="16" spans="1:36" x14ac:dyDescent="0.2">
      <c r="A16" s="18" t="s">
        <v>1514</v>
      </c>
      <c r="B16" s="18" t="s">
        <v>1515</v>
      </c>
      <c r="C16" s="18" t="s">
        <v>1516</v>
      </c>
    </row>
    <row r="17" spans="1:3" x14ac:dyDescent="0.2">
      <c r="A17" t="s">
        <v>1517</v>
      </c>
      <c r="B17" s="40">
        <v>280.2</v>
      </c>
      <c r="C17" s="15">
        <v>307</v>
      </c>
    </row>
    <row r="18" spans="1:3" x14ac:dyDescent="0.2">
      <c r="A18" t="s">
        <v>1518</v>
      </c>
      <c r="B18" s="40">
        <v>560.29999999999995</v>
      </c>
      <c r="C18" s="15">
        <v>613</v>
      </c>
    </row>
    <row r="19" spans="1:3" x14ac:dyDescent="0.2">
      <c r="A19" t="s">
        <v>1519</v>
      </c>
      <c r="B19" s="40">
        <v>840.5</v>
      </c>
      <c r="C19" s="15">
        <v>920</v>
      </c>
    </row>
    <row r="20" spans="1:3" x14ac:dyDescent="0.2">
      <c r="A20" t="s">
        <v>1520</v>
      </c>
      <c r="B20" s="40">
        <v>1120.5999999999999</v>
      </c>
      <c r="C20" s="15">
        <v>1227</v>
      </c>
    </row>
    <row r="21" spans="1:3" x14ac:dyDescent="0.2">
      <c r="A21" t="s">
        <v>1521</v>
      </c>
      <c r="B21" s="40">
        <v>1400.8</v>
      </c>
      <c r="C21" s="15">
        <v>1534</v>
      </c>
    </row>
    <row r="22" spans="1:3" x14ac:dyDescent="0.2">
      <c r="A22" t="s">
        <v>1522</v>
      </c>
      <c r="B22" s="40">
        <v>1680.9</v>
      </c>
      <c r="C22" s="15">
        <v>1840</v>
      </c>
    </row>
    <row r="23" spans="1:3" x14ac:dyDescent="0.2">
      <c r="A23" t="s">
        <v>1523</v>
      </c>
      <c r="B23" s="40">
        <v>1961.1</v>
      </c>
      <c r="C23" s="15">
        <v>2147</v>
      </c>
    </row>
    <row r="24" spans="1:3" x14ac:dyDescent="0.2">
      <c r="A24" t="s">
        <v>1524</v>
      </c>
      <c r="B24" s="40">
        <v>2241.1999999999998</v>
      </c>
      <c r="C24" s="15">
        <v>2454</v>
      </c>
    </row>
    <row r="25" spans="1:3" x14ac:dyDescent="0.2">
      <c r="A25" t="s">
        <v>1525</v>
      </c>
      <c r="B25" s="40">
        <v>2521.4</v>
      </c>
      <c r="C25" s="15">
        <v>2760</v>
      </c>
    </row>
    <row r="26" spans="1:3" x14ac:dyDescent="0.2">
      <c r="A26" t="s">
        <v>1526</v>
      </c>
      <c r="B26" s="40">
        <v>2801.5</v>
      </c>
      <c r="C26" s="15">
        <v>3067</v>
      </c>
    </row>
    <row r="27" spans="1:3" x14ac:dyDescent="0.2">
      <c r="A27" t="s">
        <v>1527</v>
      </c>
      <c r="B27" s="40">
        <v>3501.9</v>
      </c>
      <c r="C27" s="15">
        <v>3827</v>
      </c>
    </row>
    <row r="28" spans="1:3" x14ac:dyDescent="0.2">
      <c r="A28" t="s">
        <v>1528</v>
      </c>
      <c r="B28" s="40">
        <v>4202.3</v>
      </c>
      <c r="C28" s="15">
        <v>4587</v>
      </c>
    </row>
    <row r="29" spans="1:3" x14ac:dyDescent="0.2">
      <c r="A29" t="s">
        <v>1529</v>
      </c>
      <c r="B29" s="40">
        <v>4902.7</v>
      </c>
      <c r="C29" s="15">
        <v>5347</v>
      </c>
    </row>
    <row r="30" spans="1:3" x14ac:dyDescent="0.2">
      <c r="A30" t="s">
        <v>1530</v>
      </c>
      <c r="B30" s="40">
        <v>5603.1</v>
      </c>
      <c r="C30" s="15">
        <v>6107</v>
      </c>
    </row>
    <row r="31" spans="1:3" x14ac:dyDescent="0.2">
      <c r="A31" t="s">
        <v>1531</v>
      </c>
      <c r="B31" s="40">
        <v>6303.5</v>
      </c>
      <c r="C31" s="15">
        <v>6867</v>
      </c>
    </row>
    <row r="32" spans="1:3" x14ac:dyDescent="0.2">
      <c r="A32" t="s">
        <v>1532</v>
      </c>
      <c r="B32" s="40">
        <v>7003.9</v>
      </c>
      <c r="C32" s="15">
        <v>7627</v>
      </c>
    </row>
    <row r="33" spans="1:3" x14ac:dyDescent="0.2">
      <c r="A33" t="s">
        <v>1533</v>
      </c>
      <c r="B33" s="40">
        <v>7704.2</v>
      </c>
      <c r="C33" s="15">
        <v>8387</v>
      </c>
    </row>
    <row r="34" spans="1:3" x14ac:dyDescent="0.2">
      <c r="A34" t="s">
        <v>1534</v>
      </c>
      <c r="B34" s="40">
        <v>8404.6</v>
      </c>
      <c r="C34" s="15">
        <v>9147</v>
      </c>
    </row>
    <row r="35" spans="1:3" x14ac:dyDescent="0.2">
      <c r="A35" t="s">
        <v>1535</v>
      </c>
      <c r="B35" s="40">
        <v>9105</v>
      </c>
      <c r="C35" s="15">
        <v>9453</v>
      </c>
    </row>
    <row r="36" spans="1:3" x14ac:dyDescent="0.2">
      <c r="A36" t="s">
        <v>1536</v>
      </c>
      <c r="B36" s="40">
        <v>9805.4</v>
      </c>
      <c r="C36" s="15">
        <v>9760</v>
      </c>
    </row>
    <row r="37" spans="1:3" x14ac:dyDescent="0.2">
      <c r="A37" t="s">
        <v>1537</v>
      </c>
      <c r="B37" s="40">
        <v>10505.8</v>
      </c>
      <c r="C37" s="15">
        <v>10067</v>
      </c>
    </row>
    <row r="38" spans="1:3" x14ac:dyDescent="0.2">
      <c r="A38" t="s">
        <v>1538</v>
      </c>
      <c r="B38" s="40">
        <v>11206.2</v>
      </c>
      <c r="C38" s="15">
        <v>10373</v>
      </c>
    </row>
    <row r="39" spans="1:3" x14ac:dyDescent="0.2">
      <c r="A39" t="s">
        <v>1539</v>
      </c>
      <c r="B39" s="40">
        <v>11906.6</v>
      </c>
      <c r="C39" s="15">
        <v>10680</v>
      </c>
    </row>
    <row r="40" spans="1:3" x14ac:dyDescent="0.2">
      <c r="A40" t="s">
        <v>1540</v>
      </c>
      <c r="B40" s="40">
        <v>12606.9</v>
      </c>
      <c r="C40" s="15">
        <v>10987</v>
      </c>
    </row>
    <row r="41" spans="1:3" x14ac:dyDescent="0.2">
      <c r="A41" t="s">
        <v>1541</v>
      </c>
      <c r="B41" s="40">
        <v>13307.3</v>
      </c>
      <c r="C41" s="15">
        <v>11293</v>
      </c>
    </row>
    <row r="42" spans="1:3" x14ac:dyDescent="0.2">
      <c r="A42" t="s">
        <v>1542</v>
      </c>
      <c r="B42" s="40">
        <v>14007.7</v>
      </c>
      <c r="C42" s="15">
        <v>11600</v>
      </c>
    </row>
    <row r="43" spans="1:3" x14ac:dyDescent="0.2">
      <c r="A43" t="s">
        <v>1543</v>
      </c>
      <c r="B43" s="40">
        <v>15408.5</v>
      </c>
      <c r="C43" s="15">
        <v>11760</v>
      </c>
    </row>
    <row r="44" spans="1:3" x14ac:dyDescent="0.2">
      <c r="A44" t="s">
        <v>1544</v>
      </c>
      <c r="B44" s="40">
        <v>16809.3</v>
      </c>
      <c r="C44" s="15">
        <v>11920</v>
      </c>
    </row>
    <row r="45" spans="1:3" x14ac:dyDescent="0.2">
      <c r="A45" t="s">
        <v>1545</v>
      </c>
      <c r="B45" s="40">
        <v>18210</v>
      </c>
      <c r="C45" s="15">
        <v>12080</v>
      </c>
    </row>
    <row r="46" spans="1:3" x14ac:dyDescent="0.2">
      <c r="A46" t="s">
        <v>1546</v>
      </c>
      <c r="B46" s="40">
        <v>19610.8</v>
      </c>
      <c r="C46" s="15">
        <v>12240</v>
      </c>
    </row>
    <row r="47" spans="1:3" x14ac:dyDescent="0.2">
      <c r="A47" t="s">
        <v>1547</v>
      </c>
      <c r="B47" s="40">
        <v>21011.599999999999</v>
      </c>
      <c r="C47" s="15">
        <v>12400</v>
      </c>
    </row>
    <row r="48" spans="1:3" x14ac:dyDescent="0.2">
      <c r="A48" t="s">
        <v>1548</v>
      </c>
      <c r="B48" s="40">
        <v>22412.3</v>
      </c>
      <c r="C48" s="15">
        <v>12560</v>
      </c>
    </row>
    <row r="49" spans="1:3" x14ac:dyDescent="0.2">
      <c r="A49" t="s">
        <v>1549</v>
      </c>
      <c r="B49" s="40">
        <v>23813.1</v>
      </c>
      <c r="C49" s="15">
        <v>12720</v>
      </c>
    </row>
    <row r="50" spans="1:3" x14ac:dyDescent="0.2">
      <c r="A50" t="s">
        <v>1550</v>
      </c>
      <c r="B50" s="40">
        <v>25213.9</v>
      </c>
      <c r="C50" s="15">
        <v>12880</v>
      </c>
    </row>
    <row r="51" spans="1:3" x14ac:dyDescent="0.2">
      <c r="A51" t="s">
        <v>1551</v>
      </c>
      <c r="B51" s="40">
        <v>26614.6</v>
      </c>
      <c r="C51" s="15">
        <v>13040</v>
      </c>
    </row>
    <row r="52" spans="1:3" x14ac:dyDescent="0.2">
      <c r="A52" t="s">
        <v>1552</v>
      </c>
      <c r="B52" s="40">
        <v>28015.4</v>
      </c>
      <c r="C52" s="15">
        <v>13200</v>
      </c>
    </row>
    <row r="53" spans="1:3" x14ac:dyDescent="0.2">
      <c r="A53" t="s">
        <v>1553</v>
      </c>
      <c r="B53" s="40">
        <v>29416.2</v>
      </c>
      <c r="C53" s="15">
        <v>13360</v>
      </c>
    </row>
    <row r="54" spans="1:3" x14ac:dyDescent="0.2">
      <c r="A54" t="s">
        <v>1554</v>
      </c>
      <c r="B54" s="40">
        <v>30817</v>
      </c>
      <c r="C54" s="15">
        <v>13467</v>
      </c>
    </row>
    <row r="55" spans="1:3" x14ac:dyDescent="0.2">
      <c r="A55" t="s">
        <v>1555</v>
      </c>
      <c r="B55" s="40">
        <v>32217.7</v>
      </c>
      <c r="C55" s="15">
        <v>13573</v>
      </c>
    </row>
    <row r="56" spans="1:3" x14ac:dyDescent="0.2">
      <c r="A56" t="s">
        <v>1556</v>
      </c>
      <c r="B56" s="40">
        <v>33618.5</v>
      </c>
      <c r="C56" s="15">
        <v>13680</v>
      </c>
    </row>
    <row r="57" spans="1:3" x14ac:dyDescent="0.2">
      <c r="A57" t="s">
        <v>1557</v>
      </c>
      <c r="B57" s="40">
        <v>35019.300000000003</v>
      </c>
      <c r="C57" s="15">
        <v>13787</v>
      </c>
    </row>
    <row r="58" spans="1:3" x14ac:dyDescent="0.2">
      <c r="A58" t="s">
        <v>1558</v>
      </c>
      <c r="B58" s="40">
        <v>36420</v>
      </c>
      <c r="C58" s="15">
        <v>13893</v>
      </c>
    </row>
    <row r="59" spans="1:3" x14ac:dyDescent="0.2">
      <c r="A59" t="s">
        <v>1559</v>
      </c>
      <c r="B59" s="40">
        <v>37820.800000000003</v>
      </c>
      <c r="C59" s="15">
        <v>14000</v>
      </c>
    </row>
    <row r="60" spans="1:3" x14ac:dyDescent="0.2">
      <c r="A60" t="s">
        <v>1560</v>
      </c>
      <c r="B60" s="40">
        <v>39221.599999999999</v>
      </c>
      <c r="C60" s="15">
        <v>14107</v>
      </c>
    </row>
    <row r="61" spans="1:3" x14ac:dyDescent="0.2">
      <c r="A61" t="s">
        <v>1561</v>
      </c>
      <c r="B61" s="40">
        <v>40622.400000000001</v>
      </c>
      <c r="C61" s="15">
        <v>14213</v>
      </c>
    </row>
    <row r="62" spans="1:3" x14ac:dyDescent="0.2">
      <c r="A62" t="s">
        <v>1562</v>
      </c>
      <c r="B62" s="40">
        <v>42023.1</v>
      </c>
      <c r="C62" s="15">
        <v>14320</v>
      </c>
    </row>
    <row r="63" spans="1:3" x14ac:dyDescent="0.2">
      <c r="A63" t="s">
        <v>1563</v>
      </c>
      <c r="B63" s="40">
        <v>44824.7</v>
      </c>
      <c r="C63" s="15">
        <v>14427</v>
      </c>
    </row>
    <row r="64" spans="1:3" x14ac:dyDescent="0.2">
      <c r="A64" t="s">
        <v>1564</v>
      </c>
      <c r="B64" s="40">
        <v>47626.2</v>
      </c>
      <c r="C64" s="15">
        <v>14533</v>
      </c>
    </row>
    <row r="65" spans="1:3" x14ac:dyDescent="0.2">
      <c r="A65" t="s">
        <v>1565</v>
      </c>
      <c r="B65" s="40">
        <v>50427.8</v>
      </c>
      <c r="C65" s="15">
        <v>14640</v>
      </c>
    </row>
    <row r="66" spans="1:3" x14ac:dyDescent="0.2">
      <c r="A66" t="s">
        <v>1566</v>
      </c>
      <c r="B66" s="40">
        <v>53229.3</v>
      </c>
      <c r="C66" s="15">
        <v>14747</v>
      </c>
    </row>
    <row r="67" spans="1:3" x14ac:dyDescent="0.2">
      <c r="A67" t="s">
        <v>1567</v>
      </c>
      <c r="B67" s="40">
        <v>56030.8</v>
      </c>
      <c r="C67" s="15">
        <v>14853</v>
      </c>
    </row>
    <row r="68" spans="1:3" x14ac:dyDescent="0.2">
      <c r="A68" t="s">
        <v>1568</v>
      </c>
      <c r="B68" s="40">
        <v>58832.4</v>
      </c>
      <c r="C68" s="15">
        <v>14960</v>
      </c>
    </row>
    <row r="69" spans="1:3" x14ac:dyDescent="0.2">
      <c r="A69" t="s">
        <v>1569</v>
      </c>
      <c r="B69" s="40">
        <v>61633.9</v>
      </c>
      <c r="C69" s="15">
        <v>15067</v>
      </c>
    </row>
    <row r="70" spans="1:3" x14ac:dyDescent="0.2">
      <c r="A70" t="s">
        <v>1570</v>
      </c>
      <c r="B70" s="40">
        <v>64435.5</v>
      </c>
      <c r="C70" s="15">
        <v>15173</v>
      </c>
    </row>
    <row r="71" spans="1:3" x14ac:dyDescent="0.2">
      <c r="A71" t="s">
        <v>1571</v>
      </c>
      <c r="B71" s="40">
        <v>67237</v>
      </c>
      <c r="C71" s="15">
        <v>15280</v>
      </c>
    </row>
    <row r="72" spans="1:3" x14ac:dyDescent="0.2">
      <c r="A72" t="s">
        <v>1572</v>
      </c>
      <c r="B72" s="40">
        <v>70038.5</v>
      </c>
      <c r="C72" s="15">
        <v>15387</v>
      </c>
    </row>
    <row r="73" spans="1:3" x14ac:dyDescent="0.2">
      <c r="A73" t="s">
        <v>1573</v>
      </c>
      <c r="B73" s="40">
        <v>72840.100000000006</v>
      </c>
      <c r="C73" s="15">
        <v>15493</v>
      </c>
    </row>
    <row r="74" spans="1:3" x14ac:dyDescent="0.2">
      <c r="A74" t="s">
        <v>1574</v>
      </c>
      <c r="B74" s="40">
        <v>75641.600000000006</v>
      </c>
      <c r="C74" s="15">
        <v>15600</v>
      </c>
    </row>
    <row r="75" spans="1:3" x14ac:dyDescent="0.2">
      <c r="A75" t="s">
        <v>1575</v>
      </c>
      <c r="B75" s="40">
        <v>78443.199999999997</v>
      </c>
      <c r="C75" s="15">
        <v>15707</v>
      </c>
    </row>
    <row r="76" spans="1:3" x14ac:dyDescent="0.2">
      <c r="A76" t="s">
        <v>1576</v>
      </c>
      <c r="B76" s="40">
        <v>81244.7</v>
      </c>
      <c r="C76" s="15">
        <v>15813</v>
      </c>
    </row>
    <row r="77" spans="1:3" x14ac:dyDescent="0.2">
      <c r="A77" t="s">
        <v>1577</v>
      </c>
      <c r="B77" s="40">
        <v>84046.3</v>
      </c>
      <c r="C77" s="15">
        <v>15920</v>
      </c>
    </row>
    <row r="80" spans="1:3" x14ac:dyDescent="0.2">
      <c r="A80" s="1" t="s">
        <v>1578</v>
      </c>
    </row>
    <row r="81" spans="1:3" x14ac:dyDescent="0.2">
      <c r="A81" s="18" t="s">
        <v>1579</v>
      </c>
      <c r="B81" s="18" t="s">
        <v>1515</v>
      </c>
      <c r="C81" s="18" t="s">
        <v>1636</v>
      </c>
    </row>
    <row r="82" spans="1:3" x14ac:dyDescent="0.2">
      <c r="A82" t="s">
        <v>1580</v>
      </c>
      <c r="B82" s="15">
        <v>100000</v>
      </c>
      <c r="C82" s="15">
        <v>2936307032</v>
      </c>
    </row>
    <row r="83" spans="1:3" x14ac:dyDescent="0.2">
      <c r="A83" t="s">
        <v>1581</v>
      </c>
      <c r="B83" s="15">
        <v>200000</v>
      </c>
      <c r="C83" s="15">
        <v>3747517779</v>
      </c>
    </row>
    <row r="84" spans="1:3" x14ac:dyDescent="0.2">
      <c r="A84" t="s">
        <v>1582</v>
      </c>
      <c r="B84" s="15">
        <v>300000</v>
      </c>
      <c r="C84" s="15">
        <v>4558728527</v>
      </c>
    </row>
    <row r="85" spans="1:3" x14ac:dyDescent="0.2">
      <c r="A85" t="s">
        <v>1583</v>
      </c>
      <c r="B85" s="15">
        <v>400000</v>
      </c>
      <c r="C85" s="15">
        <v>5369939275</v>
      </c>
    </row>
    <row r="86" spans="1:3" x14ac:dyDescent="0.2">
      <c r="A86" t="s">
        <v>1584</v>
      </c>
      <c r="B86" s="15">
        <v>500000</v>
      </c>
      <c r="C86" s="15">
        <v>6157050612</v>
      </c>
    </row>
    <row r="87" spans="1:3" x14ac:dyDescent="0.2">
      <c r="A87" t="s">
        <v>1585</v>
      </c>
      <c r="B87" s="15">
        <v>1000000</v>
      </c>
      <c r="C87" s="15">
        <v>10055218687</v>
      </c>
    </row>
    <row r="88" spans="1:3" x14ac:dyDescent="0.2">
      <c r="A88" t="s">
        <v>1586</v>
      </c>
      <c r="B88" s="15">
        <v>2000000</v>
      </c>
      <c r="C88" s="15">
        <v>17173327745</v>
      </c>
    </row>
    <row r="89" spans="1:3" x14ac:dyDescent="0.2">
      <c r="A89" t="s">
        <v>1587</v>
      </c>
      <c r="B89" s="15">
        <v>3000000</v>
      </c>
      <c r="C89" s="15">
        <v>23037496877</v>
      </c>
    </row>
    <row r="90" spans="1:3" x14ac:dyDescent="0.2">
      <c r="A90" t="s">
        <v>1588</v>
      </c>
      <c r="B90" s="15">
        <v>4000000</v>
      </c>
      <c r="C90" s="15">
        <v>28429685847</v>
      </c>
    </row>
    <row r="91" spans="1:3" x14ac:dyDescent="0.2">
      <c r="A91" t="s">
        <v>1589</v>
      </c>
      <c r="B91" s="15">
        <v>5000000</v>
      </c>
      <c r="C91" s="15">
        <v>33451147506</v>
      </c>
    </row>
    <row r="92" spans="1:3" x14ac:dyDescent="0.2">
      <c r="A92" t="s">
        <v>1590</v>
      </c>
      <c r="B92" s="15">
        <v>6000000</v>
      </c>
      <c r="C92" s="15">
        <v>38244393489</v>
      </c>
    </row>
    <row r="93" spans="1:3" x14ac:dyDescent="0.2">
      <c r="A93" t="s">
        <v>1591</v>
      </c>
      <c r="B93" s="15">
        <v>7000000</v>
      </c>
      <c r="C93" s="15">
        <v>42519957752</v>
      </c>
    </row>
    <row r="94" spans="1:3" x14ac:dyDescent="0.2">
      <c r="A94" t="s">
        <v>1592</v>
      </c>
      <c r="B94" s="15">
        <v>8000000</v>
      </c>
      <c r="C94" s="15">
        <v>46242252812</v>
      </c>
    </row>
    <row r="95" spans="1:3" x14ac:dyDescent="0.2">
      <c r="A95" t="s">
        <v>1593</v>
      </c>
      <c r="B95" s="15">
        <v>9000000</v>
      </c>
      <c r="C95" s="15">
        <v>49843624537</v>
      </c>
    </row>
    <row r="96" spans="1:3" x14ac:dyDescent="0.2">
      <c r="A96" t="s">
        <v>1594</v>
      </c>
      <c r="B96" s="15">
        <v>10000000</v>
      </c>
      <c r="C96" s="15">
        <v>53439883071</v>
      </c>
    </row>
    <row r="97" spans="1:3" x14ac:dyDescent="0.2">
      <c r="A97" t="s">
        <v>1595</v>
      </c>
      <c r="B97" s="15">
        <v>11000000</v>
      </c>
      <c r="C97" s="15">
        <v>56884620244</v>
      </c>
    </row>
    <row r="98" spans="1:3" x14ac:dyDescent="0.2">
      <c r="A98" t="s">
        <v>1596</v>
      </c>
      <c r="B98" s="15">
        <v>12000000</v>
      </c>
      <c r="C98" s="15">
        <v>60203448780</v>
      </c>
    </row>
    <row r="99" spans="1:3" x14ac:dyDescent="0.2">
      <c r="A99" t="s">
        <v>1597</v>
      </c>
      <c r="B99" s="15">
        <v>13000000</v>
      </c>
      <c r="C99" s="15">
        <v>63409756329</v>
      </c>
    </row>
    <row r="100" spans="1:3" x14ac:dyDescent="0.2">
      <c r="A100" t="s">
        <v>1598</v>
      </c>
      <c r="B100" s="15">
        <v>14000000</v>
      </c>
      <c r="C100" s="15">
        <v>66053251721</v>
      </c>
    </row>
    <row r="101" spans="1:3" x14ac:dyDescent="0.2">
      <c r="A101" t="s">
        <v>1599</v>
      </c>
      <c r="B101" s="15">
        <v>15000000</v>
      </c>
      <c r="C101" s="15">
        <v>68594914445</v>
      </c>
    </row>
    <row r="102" spans="1:3" x14ac:dyDescent="0.2">
      <c r="A102" t="s">
        <v>1600</v>
      </c>
      <c r="B102" s="15">
        <v>16000000</v>
      </c>
      <c r="C102" s="15">
        <v>71081263247</v>
      </c>
    </row>
    <row r="103" spans="1:3" x14ac:dyDescent="0.2">
      <c r="A103" t="s">
        <v>1601</v>
      </c>
      <c r="B103" s="15">
        <v>17000000</v>
      </c>
      <c r="C103" s="15">
        <v>73420507599</v>
      </c>
    </row>
    <row r="104" spans="1:3" x14ac:dyDescent="0.2">
      <c r="A104" t="s">
        <v>1602</v>
      </c>
      <c r="B104" s="15">
        <v>18000000</v>
      </c>
      <c r="C104" s="15">
        <v>75685062530</v>
      </c>
    </row>
    <row r="105" spans="1:3" x14ac:dyDescent="0.2">
      <c r="A105" t="s">
        <v>1603</v>
      </c>
      <c r="B105" s="15">
        <v>19000000</v>
      </c>
      <c r="C105" s="15">
        <v>77883237882</v>
      </c>
    </row>
    <row r="106" spans="1:3" x14ac:dyDescent="0.2">
      <c r="A106" t="s">
        <v>1604</v>
      </c>
      <c r="B106" s="15">
        <v>20000000</v>
      </c>
      <c r="C106" s="15">
        <v>80041312918</v>
      </c>
    </row>
    <row r="107" spans="1:3" x14ac:dyDescent="0.2">
      <c r="A107" t="s">
        <v>1605</v>
      </c>
      <c r="B107" s="15">
        <v>25000000</v>
      </c>
      <c r="C107" s="15">
        <v>90064272311</v>
      </c>
    </row>
    <row r="108" spans="1:3" x14ac:dyDescent="0.2">
      <c r="A108" t="s">
        <v>1606</v>
      </c>
      <c r="B108" s="15">
        <v>30000000</v>
      </c>
      <c r="C108" s="15">
        <v>98997511563</v>
      </c>
    </row>
    <row r="109" spans="1:3" x14ac:dyDescent="0.2">
      <c r="A109" t="s">
        <v>1607</v>
      </c>
      <c r="B109" s="15">
        <v>35000000</v>
      </c>
      <c r="C109" s="15">
        <v>107341230210</v>
      </c>
    </row>
    <row r="110" spans="1:3" x14ac:dyDescent="0.2">
      <c r="A110" t="s">
        <v>1608</v>
      </c>
      <c r="B110" s="15">
        <v>40000000</v>
      </c>
      <c r="C110" s="15">
        <v>115429256293</v>
      </c>
    </row>
    <row r="111" spans="1:3" x14ac:dyDescent="0.2">
      <c r="A111" t="s">
        <v>1609</v>
      </c>
      <c r="B111" s="15">
        <v>45000000</v>
      </c>
      <c r="C111" s="15">
        <v>123061346625</v>
      </c>
    </row>
    <row r="112" spans="1:3" x14ac:dyDescent="0.2">
      <c r="A112" t="s">
        <v>1610</v>
      </c>
      <c r="B112" s="15">
        <v>50000000</v>
      </c>
      <c r="C112" s="15">
        <v>129757305220</v>
      </c>
    </row>
    <row r="113" spans="1:3" x14ac:dyDescent="0.2">
      <c r="A113" t="s">
        <v>1611</v>
      </c>
      <c r="B113" s="15">
        <v>55000000</v>
      </c>
      <c r="C113" s="15">
        <v>134938291456</v>
      </c>
    </row>
    <row r="114" spans="1:3" x14ac:dyDescent="0.2">
      <c r="A114" t="s">
        <v>1612</v>
      </c>
      <c r="B114" s="15">
        <v>60000000</v>
      </c>
      <c r="C114" s="15">
        <v>139138397682</v>
      </c>
    </row>
    <row r="115" spans="1:3" x14ac:dyDescent="0.2">
      <c r="A115" t="s">
        <v>1613</v>
      </c>
      <c r="B115" s="15">
        <v>65000000</v>
      </c>
      <c r="C115" s="15">
        <v>142624306619</v>
      </c>
    </row>
    <row r="116" spans="1:3" x14ac:dyDescent="0.2">
      <c r="A116" t="s">
        <v>1614</v>
      </c>
      <c r="B116" s="15">
        <v>70000000</v>
      </c>
      <c r="C116" s="15">
        <v>145963976660</v>
      </c>
    </row>
    <row r="117" spans="1:3" x14ac:dyDescent="0.2">
      <c r="A117" t="s">
        <v>1615</v>
      </c>
      <c r="B117" s="15">
        <v>75000000</v>
      </c>
      <c r="C117" s="15">
        <v>149300775281</v>
      </c>
    </row>
    <row r="118" spans="1:3" x14ac:dyDescent="0.2">
      <c r="A118" t="s">
        <v>1616</v>
      </c>
      <c r="B118" s="15">
        <v>80000000</v>
      </c>
      <c r="C118" s="15">
        <v>152636715075</v>
      </c>
    </row>
    <row r="119" spans="1:3" x14ac:dyDescent="0.2">
      <c r="A119" t="s">
        <v>1617</v>
      </c>
      <c r="B119" s="15">
        <v>85000000</v>
      </c>
      <c r="C119" s="15">
        <v>155869846884</v>
      </c>
    </row>
    <row r="120" spans="1:3" x14ac:dyDescent="0.2">
      <c r="A120" t="s">
        <v>1618</v>
      </c>
      <c r="B120" s="15">
        <v>88000000</v>
      </c>
      <c r="C120" s="15">
        <v>157697795521</v>
      </c>
    </row>
    <row r="121" spans="1:3" x14ac:dyDescent="0.2">
      <c r="A121" t="s">
        <v>1619</v>
      </c>
      <c r="B121" s="15">
        <v>90000000</v>
      </c>
      <c r="C121" s="15">
        <v>158912000000</v>
      </c>
    </row>
    <row r="122" spans="1:3" x14ac:dyDescent="0.2">
      <c r="A122" t="s">
        <v>1620</v>
      </c>
      <c r="B122" s="15">
        <v>100000000</v>
      </c>
      <c r="C122" s="15">
        <v>163656000000</v>
      </c>
    </row>
    <row r="123" spans="1:3" x14ac:dyDescent="0.2">
      <c r="A123" t="s">
        <v>1621</v>
      </c>
      <c r="B123" s="15">
        <v>110000000</v>
      </c>
      <c r="C123" s="15">
        <v>166065000000</v>
      </c>
    </row>
    <row r="124" spans="1:3" x14ac:dyDescent="0.2">
      <c r="A124" t="s">
        <v>1622</v>
      </c>
      <c r="B124" s="15">
        <v>120000000</v>
      </c>
      <c r="C124" s="15">
        <v>168368000000</v>
      </c>
    </row>
    <row r="125" spans="1:3" x14ac:dyDescent="0.2">
      <c r="A125" t="s">
        <v>1623</v>
      </c>
      <c r="B125" s="15">
        <v>130000000</v>
      </c>
      <c r="C125" s="15">
        <v>170578000000</v>
      </c>
    </row>
    <row r="126" spans="1:3" x14ac:dyDescent="0.2">
      <c r="A126" t="s">
        <v>1624</v>
      </c>
      <c r="B126" s="15">
        <v>140000000</v>
      </c>
      <c r="C126" s="15">
        <v>172765000000</v>
      </c>
    </row>
    <row r="127" spans="1:3" x14ac:dyDescent="0.2">
      <c r="A127" t="s">
        <v>1625</v>
      </c>
      <c r="B127" s="15">
        <v>150000000</v>
      </c>
      <c r="C127" s="15">
        <v>174895000000</v>
      </c>
    </row>
    <row r="128" spans="1:3" x14ac:dyDescent="0.2">
      <c r="A128" t="s">
        <v>1626</v>
      </c>
      <c r="B128" s="15">
        <v>160000000</v>
      </c>
      <c r="C128" s="15">
        <v>176859000000</v>
      </c>
    </row>
    <row r="129" spans="1:29" x14ac:dyDescent="0.2">
      <c r="A129" t="s">
        <v>1627</v>
      </c>
      <c r="B129" s="15">
        <v>170000000</v>
      </c>
      <c r="C129" s="15">
        <v>178452000000</v>
      </c>
    </row>
    <row r="130" spans="1:29" x14ac:dyDescent="0.2">
      <c r="A130" t="s">
        <v>1628</v>
      </c>
      <c r="B130" s="15">
        <v>180000000</v>
      </c>
      <c r="C130" s="15">
        <v>179780000000</v>
      </c>
    </row>
    <row r="131" spans="1:29" x14ac:dyDescent="0.2">
      <c r="A131" t="s">
        <v>1629</v>
      </c>
      <c r="B131" s="15">
        <v>190000000</v>
      </c>
      <c r="C131" s="15">
        <v>181109000000</v>
      </c>
    </row>
    <row r="132" spans="1:29" x14ac:dyDescent="0.2">
      <c r="A132" t="s">
        <v>1630</v>
      </c>
      <c r="B132" s="15">
        <v>200000000</v>
      </c>
      <c r="C132" s="15">
        <v>182421000000</v>
      </c>
    </row>
    <row r="133" spans="1:29" x14ac:dyDescent="0.2">
      <c r="A133" t="s">
        <v>1631</v>
      </c>
      <c r="B133" s="15">
        <v>210000000</v>
      </c>
      <c r="C133" s="15">
        <v>183627000000</v>
      </c>
    </row>
    <row r="134" spans="1:29" x14ac:dyDescent="0.2">
      <c r="A134" t="s">
        <v>1632</v>
      </c>
      <c r="B134" s="15">
        <v>220000000</v>
      </c>
      <c r="C134" s="15">
        <v>184773000000</v>
      </c>
    </row>
    <row r="135" spans="1:29" x14ac:dyDescent="0.2">
      <c r="A135" t="s">
        <v>1633</v>
      </c>
      <c r="B135" s="15">
        <v>230000000</v>
      </c>
      <c r="C135" s="15">
        <v>185867000000</v>
      </c>
    </row>
    <row r="136" spans="1:29" x14ac:dyDescent="0.2">
      <c r="A136" t="s">
        <v>1634</v>
      </c>
      <c r="B136" s="15">
        <v>240000000</v>
      </c>
      <c r="C136" s="15">
        <v>186843000000</v>
      </c>
    </row>
    <row r="137" spans="1:29" x14ac:dyDescent="0.2">
      <c r="A137" t="s">
        <v>1635</v>
      </c>
      <c r="B137" s="15">
        <v>250000000</v>
      </c>
      <c r="C137" s="15">
        <v>187819000000</v>
      </c>
    </row>
    <row r="140" spans="1:29" x14ac:dyDescent="0.2">
      <c r="A140" s="62" t="s">
        <v>1637</v>
      </c>
    </row>
    <row r="141" spans="1:29" x14ac:dyDescent="0.2">
      <c r="A141" t="s">
        <v>1638</v>
      </c>
      <c r="D141" s="51">
        <f>(1+INDEX(Assumptions!$B:$B,MATCH("Inflation rate (% per year)",Assumptions!$A:$A,0)))^D$5*(1+INDEX(Assumptions!$B:$B,MATCH("Real GNI growth rate (% per year)",Assumptions!$A:$A,0)))^D$5</f>
        <v>1</v>
      </c>
      <c r="E141" s="51">
        <f>(1+INDEX(Assumptions!$B:$B,MATCH("Inflation rate (% per year)",Assumptions!$A:$A,0)))^E$5*(1+INDEX(Assumptions!$B:$B,MATCH("Real GNI growth rate (% per year)",Assumptions!$A:$A,0)))^E$5</f>
        <v>1.05575</v>
      </c>
      <c r="F141" s="51">
        <f>(1+INDEX(Assumptions!$B:$B,MATCH("Inflation rate (% per year)",Assumptions!$A:$A,0)))^F$5*(1+INDEX(Assumptions!$B:$B,MATCH("Real GNI growth rate (% per year)",Assumptions!$A:$A,0)))^F$5</f>
        <v>1.1146080624999999</v>
      </c>
      <c r="G141" s="51">
        <f>(1+INDEX(Assumptions!$B:$B,MATCH("Inflation rate (% per year)",Assumptions!$A:$A,0)))^G$5*(1+INDEX(Assumptions!$B:$B,MATCH("Real GNI growth rate (% per year)",Assumptions!$A:$A,0)))^G$5</f>
        <v>1.176747461984375</v>
      </c>
      <c r="H141" s="51">
        <f>(1+INDEX(Assumptions!$B:$B,MATCH("Inflation rate (% per year)",Assumptions!$A:$A,0)))^H$5*(1+INDEX(Assumptions!$B:$B,MATCH("Real GNI growth rate (% per year)",Assumptions!$A:$A,0)))^H$5</f>
        <v>1.2423511329900037</v>
      </c>
      <c r="I141" s="51">
        <f>(1+INDEX(Assumptions!$B:$B,MATCH("Inflation rate (% per year)",Assumptions!$A:$A,0)))^I$5*(1+INDEX(Assumptions!$B:$B,MATCH("Real GNI growth rate (% per year)",Assumptions!$A:$A,0)))^I$5</f>
        <v>1.3116122086541961</v>
      </c>
      <c r="J141" s="51">
        <f>(1+INDEX(Assumptions!$B:$B,MATCH("Inflation rate (% per year)",Assumptions!$A:$A,0)))^J$5*(1+INDEX(Assumptions!$B:$B,MATCH("Real GNI growth rate (% per year)",Assumptions!$A:$A,0)))^J$5</f>
        <v>1.3847345892866674</v>
      </c>
      <c r="K141" s="51">
        <f>(1+INDEX(Assumptions!$B:$B,MATCH("Inflation rate (% per year)",Assumptions!$A:$A,0)))^K$5*(1+INDEX(Assumptions!$B:$B,MATCH("Real GNI growth rate (% per year)",Assumptions!$A:$A,0)))^K$5</f>
        <v>1.4619335426393993</v>
      </c>
      <c r="L141" s="51">
        <f>(1+INDEX(Assumptions!$B:$B,MATCH("Inflation rate (% per year)",Assumptions!$A:$A,0)))^L$5*(1+INDEX(Assumptions!$B:$B,MATCH("Real GNI growth rate (% per year)",Assumptions!$A:$A,0)))^L$5</f>
        <v>1.5434363376415454</v>
      </c>
      <c r="M141" s="51">
        <f>(1+INDEX(Assumptions!$B:$B,MATCH("Inflation rate (% per year)",Assumptions!$A:$A,0)))^M$5*(1+INDEX(Assumptions!$B:$B,MATCH("Real GNI growth rate (% per year)",Assumptions!$A:$A,0)))^M$5</f>
        <v>1.6294829134650615</v>
      </c>
      <c r="N141" s="51">
        <f>(1+INDEX(Assumptions!$B:$B,MATCH("Inflation rate (% per year)",Assumptions!$A:$A,0)))^N$5*(1+INDEX(Assumptions!$B:$B,MATCH("Real GNI growth rate (% per year)",Assumptions!$A:$A,0)))^N$5</f>
        <v>1.7203265858907386</v>
      </c>
      <c r="O141" s="51">
        <f>(1+INDEX(Assumptions!$B:$B,MATCH("Inflation rate (% per year)",Assumptions!$A:$A,0)))^O$5*(1+INDEX(Assumptions!$B:$B,MATCH("Real GNI growth rate (% per year)",Assumptions!$A:$A,0)))^O$5</f>
        <v>1.8162347930541474</v>
      </c>
      <c r="P141" s="51">
        <f>(1+INDEX(Assumptions!$B:$B,MATCH("Inflation rate (% per year)",Assumptions!$A:$A,0)))^P$5*(1+INDEX(Assumptions!$B:$B,MATCH("Real GNI growth rate (% per year)",Assumptions!$A:$A,0)))^P$5</f>
        <v>1.9174898827669156</v>
      </c>
      <c r="Q141" s="51">
        <f>(1+INDEX(Assumptions!$B:$B,MATCH("Inflation rate (% per year)",Assumptions!$A:$A,0)))^Q$5*(1+INDEX(Assumptions!$B:$B,MATCH("Real GNI growth rate (% per year)",Assumptions!$A:$A,0)))^Q$5</f>
        <v>2.0243899437311708</v>
      </c>
      <c r="R141" s="51">
        <f>(1+INDEX(Assumptions!$B:$B,MATCH("Inflation rate (% per year)",Assumptions!$A:$A,0)))^R$5*(1+INDEX(Assumptions!$B:$B,MATCH("Real GNI growth rate (% per year)",Assumptions!$A:$A,0)))^R$5</f>
        <v>2.1372496830941836</v>
      </c>
      <c r="S141" s="51">
        <f>(1+INDEX(Assumptions!$B:$B,MATCH("Inflation rate (% per year)",Assumptions!$A:$A,0)))^S$5*(1+INDEX(Assumptions!$B:$B,MATCH("Real GNI growth rate (% per year)",Assumptions!$A:$A,0)))^S$5</f>
        <v>2.2564013529266851</v>
      </c>
      <c r="T141" s="51">
        <f>(1+INDEX(Assumptions!$B:$B,MATCH("Inflation rate (% per year)",Assumptions!$A:$A,0)))^T$5*(1+INDEX(Assumptions!$B:$B,MATCH("Real GNI growth rate (% per year)",Assumptions!$A:$A,0)))^T$5</f>
        <v>2.3821957283523472</v>
      </c>
      <c r="U141" s="51">
        <f>(1+INDEX(Assumptions!$B:$B,MATCH("Inflation rate (% per year)",Assumptions!$A:$A,0)))^U$5*(1+INDEX(Assumptions!$B:$B,MATCH("Real GNI growth rate (% per year)",Assumptions!$A:$A,0)))^U$5</f>
        <v>2.5150031402079902</v>
      </c>
      <c r="V141" s="51">
        <f>(1+INDEX(Assumptions!$B:$B,MATCH("Inflation rate (% per year)",Assumptions!$A:$A,0)))^V$5*(1+INDEX(Assumptions!$B:$B,MATCH("Real GNI growth rate (% per year)",Assumptions!$A:$A,0)))^V$5</f>
        <v>2.6552145652745858</v>
      </c>
      <c r="W141" s="51">
        <f>(1+INDEX(Assumptions!$B:$B,MATCH("Inflation rate (% per year)",Assumptions!$A:$A,0)))^W$5*(1+INDEX(Assumptions!$B:$B,MATCH("Real GNI growth rate (% per year)",Assumptions!$A:$A,0)))^W$5</f>
        <v>2.8032427772886437</v>
      </c>
      <c r="X141" s="51">
        <f>(1+INDEX(Assumptions!$B:$B,MATCH("Inflation rate (% per year)",Assumptions!$A:$A,0)))^X$5*(1+INDEX(Assumptions!$B:$B,MATCH("Real GNI growth rate (% per year)",Assumptions!$A:$A,0)))^X$5</f>
        <v>2.9595235621224854</v>
      </c>
      <c r="Y141" s="51">
        <f>(1+INDEX(Assumptions!$B:$B,MATCH("Inflation rate (% per year)",Assumptions!$A:$A,0)))^Y$5*(1+INDEX(Assumptions!$B:$B,MATCH("Real GNI growth rate (% per year)",Assumptions!$A:$A,0)))^Y$5</f>
        <v>3.1245170007108132</v>
      </c>
      <c r="Z141" s="51">
        <f>(1+INDEX(Assumptions!$B:$B,MATCH("Inflation rate (% per year)",Assumptions!$A:$A,0)))^Z$5*(1+INDEX(Assumptions!$B:$B,MATCH("Real GNI growth rate (% per year)",Assumptions!$A:$A,0)))^Z$5</f>
        <v>3.2987088235004411</v>
      </c>
      <c r="AA141" s="51">
        <f>(1+INDEX(Assumptions!$B:$B,MATCH("Inflation rate (% per year)",Assumptions!$A:$A,0)))^AA$5*(1+INDEX(Assumptions!$B:$B,MATCH("Real GNI growth rate (% per year)",Assumptions!$A:$A,0)))^AA$5</f>
        <v>3.4826118404105908</v>
      </c>
      <c r="AB141" s="51">
        <f>(1+INDEX(Assumptions!$B:$B,MATCH("Inflation rate (% per year)",Assumptions!$A:$A,0)))^AB$5*(1+INDEX(Assumptions!$B:$B,MATCH("Real GNI growth rate (% per year)",Assumptions!$A:$A,0)))^AB$5</f>
        <v>3.6767674505134806</v>
      </c>
      <c r="AC141" s="51">
        <f>(1+INDEX(Assumptions!$B:$B,MATCH("Inflation rate (% per year)",Assumptions!$A:$A,0)))^AC$5*(1+INDEX(Assumptions!$B:$B,MATCH("Real GNI growth rate (% per year)",Assumptions!$A:$A,0)))^AC$5</f>
        <v>3.8817472358796064</v>
      </c>
    </row>
    <row r="142" spans="1:29" x14ac:dyDescent="0.2">
      <c r="A142" t="s">
        <v>1639</v>
      </c>
      <c r="D142" s="15" cm="1">
        <f t="array" aca="1" ref="D142" ca="1">IFERROR(INDEX(Starlink!$D:$AC,MATCH("BB Gbps available for external Starlink revenue",Starlink!$A:$A,0),D$5+1),0)</f>
        <v>575504</v>
      </c>
      <c r="E142" s="15" cm="1">
        <f t="array" aca="1" ref="E142" ca="1">IFERROR(INDEX(Starlink!$D:$AC,MATCH("BB Gbps available for external Starlink revenue",Starlink!$A:$A,0),E$5+1),0)</f>
        <v>456808.80000000005</v>
      </c>
      <c r="F142" s="15" cm="1">
        <f t="array" aca="1" ref="F142" ca="1">IFERROR(INDEX(Starlink!$D:$AC,MATCH("BB Gbps available for external Starlink revenue",Starlink!$A:$A,0),F$5+1),0)</f>
        <v>338113.60000000003</v>
      </c>
      <c r="G142" s="15" cm="1">
        <f t="array" aca="1" ref="G142" ca="1">IFERROR(INDEX(Starlink!$D:$AC,MATCH("BB Gbps available for external Starlink revenue",Starlink!$A:$A,0),G$5+1),0)</f>
        <v>219418.40000000005</v>
      </c>
      <c r="H142" s="15" cm="1">
        <f t="array" aca="1" ref="H142" ca="1">IFERROR(INDEX(Starlink!$D:$AC,MATCH("BB Gbps available for external Starlink revenue",Starlink!$A:$A,0),H$5+1),0)</f>
        <v>100723.20000000004</v>
      </c>
      <c r="I142" s="15" cm="1">
        <f t="array" aca="1" ref="I142" ca="1">IFERROR(INDEX(Starlink!$D:$AC,MATCH("BB Gbps available for external Starlink revenue",Starlink!$A:$A,0),I$5+1),0)</f>
        <v>0</v>
      </c>
      <c r="J142" s="15" cm="1">
        <f t="array" aca="1" ref="J142" ca="1">IFERROR(INDEX(Starlink!$D:$AC,MATCH("BB Gbps available for external Starlink revenue",Starlink!$A:$A,0),J$5+1),0)</f>
        <v>0</v>
      </c>
      <c r="K142" s="15" cm="1">
        <f t="array" aca="1" ref="K142" ca="1">IFERROR(INDEX(Starlink!$D:$AC,MATCH("BB Gbps available for external Starlink revenue",Starlink!$A:$A,0),K$5+1),0)</f>
        <v>0</v>
      </c>
      <c r="L142" s="15" cm="1">
        <f t="array" aca="1" ref="L142" ca="1">IFERROR(INDEX(Starlink!$D:$AC,MATCH("BB Gbps available for external Starlink revenue",Starlink!$A:$A,0),L$5+1),0)</f>
        <v>0</v>
      </c>
      <c r="M142" s="15" cm="1">
        <f t="array" aca="1" ref="M142" ca="1">IFERROR(INDEX(Starlink!$D:$AC,MATCH("BB Gbps available for external Starlink revenue",Starlink!$A:$A,0),M$5+1),0)</f>
        <v>0</v>
      </c>
      <c r="N142" s="15" cm="1">
        <f t="array" aca="1" ref="N142" ca="1">IFERROR(INDEX(Starlink!$D:$AC,MATCH("BB Gbps available for external Starlink revenue",Starlink!$A:$A,0),N$5+1),0)</f>
        <v>0</v>
      </c>
      <c r="O142" s="15" cm="1">
        <f t="array" aca="1" ref="O142" ca="1">IFERROR(INDEX(Starlink!$D:$AC,MATCH("BB Gbps available for external Starlink revenue",Starlink!$A:$A,0),O$5+1),0)</f>
        <v>0</v>
      </c>
      <c r="P142" s="15" cm="1">
        <f t="array" aca="1" ref="P142" ca="1">IFERROR(INDEX(Starlink!$D:$AC,MATCH("BB Gbps available for external Starlink revenue",Starlink!$A:$A,0),P$5+1),0)</f>
        <v>0</v>
      </c>
      <c r="Q142" s="15" cm="1">
        <f t="array" aca="1" ref="Q142" ca="1">IFERROR(INDEX(Starlink!$D:$AC,MATCH("BB Gbps available for external Starlink revenue",Starlink!$A:$A,0),Q$5+1),0)</f>
        <v>0</v>
      </c>
      <c r="R142" s="15" cm="1">
        <f t="array" aca="1" ref="R142" ca="1">IFERROR(INDEX(Starlink!$D:$AC,MATCH("BB Gbps available for external Starlink revenue",Starlink!$A:$A,0),R$5+1),0)</f>
        <v>0</v>
      </c>
      <c r="S142" s="15" cm="1">
        <f t="array" aca="1" ref="S142" ca="1">IFERROR(INDEX(Starlink!$D:$AC,MATCH("BB Gbps available for external Starlink revenue",Starlink!$A:$A,0),S$5+1),0)</f>
        <v>0</v>
      </c>
      <c r="T142" s="15" cm="1">
        <f t="array" aca="1" ref="T142" ca="1">IFERROR(INDEX(Starlink!$D:$AC,MATCH("BB Gbps available for external Starlink revenue",Starlink!$A:$A,0),T$5+1),0)</f>
        <v>0</v>
      </c>
      <c r="U142" s="15" cm="1">
        <f t="array" aca="1" ref="U142" ca="1">IFERROR(INDEX(Starlink!$D:$AC,MATCH("BB Gbps available for external Starlink revenue",Starlink!$A:$A,0),U$5+1),0)</f>
        <v>0</v>
      </c>
      <c r="V142" s="15" cm="1">
        <f t="array" aca="1" ref="V142" ca="1">IFERROR(INDEX(Starlink!$D:$AC,MATCH("BB Gbps available for external Starlink revenue",Starlink!$A:$A,0),V$5+1),0)</f>
        <v>0</v>
      </c>
      <c r="W142" s="15" cm="1">
        <f t="array" aca="1" ref="W142" ca="1">IFERROR(INDEX(Starlink!$D:$AC,MATCH("BB Gbps available for external Starlink revenue",Starlink!$A:$A,0),W$5+1),0)</f>
        <v>0</v>
      </c>
      <c r="X142" s="15" cm="1">
        <f t="array" aca="1" ref="X142" ca="1">IFERROR(INDEX(Starlink!$D:$AC,MATCH("BB Gbps available for external Starlink revenue",Starlink!$A:$A,0),X$5+1),0)</f>
        <v>0</v>
      </c>
      <c r="Y142" s="15" cm="1">
        <f t="array" aca="1" ref="Y142" ca="1">IFERROR(INDEX(Starlink!$D:$AC,MATCH("BB Gbps available for external Starlink revenue",Starlink!$A:$A,0),Y$5+1),0)</f>
        <v>0</v>
      </c>
      <c r="Z142" s="15" cm="1">
        <f t="array" aca="1" ref="Z142" ca="1">IFERROR(INDEX(Starlink!$D:$AC,MATCH("BB Gbps available for external Starlink revenue",Starlink!$A:$A,0),Z$5+1),0)</f>
        <v>0</v>
      </c>
      <c r="AA142" s="15" cm="1">
        <f t="array" aca="1" ref="AA142" ca="1">IFERROR(INDEX(Starlink!$D:$AC,MATCH("BB Gbps available for external Starlink revenue",Starlink!$A:$A,0),AA$5+1),0)</f>
        <v>0</v>
      </c>
      <c r="AB142" s="15" cm="1">
        <f t="array" aca="1" ref="AB142" ca="1">IFERROR(INDEX(Starlink!$D:$AC,MATCH("BB Gbps available for external Starlink revenue",Starlink!$A:$A,0),AB$5+1),0)</f>
        <v>0</v>
      </c>
      <c r="AC142" s="15" cm="1">
        <f t="array" aca="1" ref="AC142" ca="1">IFERROR(INDEX(Starlink!$D:$AC,MATCH("BB Gbps available for external Starlink revenue",Starlink!$A:$A,0),AC$5+1),0)</f>
        <v>0</v>
      </c>
    </row>
    <row r="143" spans="1:29" x14ac:dyDescent="0.2">
      <c r="A143" t="s">
        <v>1640</v>
      </c>
      <c r="D143" s="15" cm="1">
        <f t="array" aca="1" ref="D143" ca="1">IFERROR(INDEX(Starlink!$D:$AC,MATCH("DTC Gbps available for external Starlink revenue",Starlink!$A:$A,0),D$5+1),0)</f>
        <v>130</v>
      </c>
      <c r="E143" s="15" cm="1">
        <f t="array" aca="1" ref="E143" ca="1">IFERROR(INDEX(Starlink!$D:$AC,MATCH("DTC Gbps available for external Starlink revenue",Starlink!$A:$A,0),E$5+1),0)</f>
        <v>104</v>
      </c>
      <c r="F143" s="15" cm="1">
        <f t="array" aca="1" ref="F143" ca="1">IFERROR(INDEX(Starlink!$D:$AC,MATCH("DTC Gbps available for external Starlink revenue",Starlink!$A:$A,0),F$5+1),0)</f>
        <v>78</v>
      </c>
      <c r="G143" s="15" cm="1">
        <f t="array" aca="1" ref="G143" ca="1">IFERROR(INDEX(Starlink!$D:$AC,MATCH("DTC Gbps available for external Starlink revenue",Starlink!$A:$A,0),G$5+1),0)</f>
        <v>52</v>
      </c>
      <c r="H143" s="15" cm="1">
        <f t="array" aca="1" ref="H143" ca="1">IFERROR(INDEX(Starlink!$D:$AC,MATCH("DTC Gbps available for external Starlink revenue",Starlink!$A:$A,0),H$5+1),0)</f>
        <v>26</v>
      </c>
      <c r="I143" s="15" cm="1">
        <f t="array" aca="1" ref="I143" ca="1">IFERROR(INDEX(Starlink!$D:$AC,MATCH("DTC Gbps available for external Starlink revenue",Starlink!$A:$A,0),I$5+1),0)</f>
        <v>0</v>
      </c>
      <c r="J143" s="15" cm="1">
        <f t="array" aca="1" ref="J143" ca="1">IFERROR(INDEX(Starlink!$D:$AC,MATCH("DTC Gbps available for external Starlink revenue",Starlink!$A:$A,0),J$5+1),0)</f>
        <v>0</v>
      </c>
      <c r="K143" s="15" cm="1">
        <f t="array" aca="1" ref="K143" ca="1">IFERROR(INDEX(Starlink!$D:$AC,MATCH("DTC Gbps available for external Starlink revenue",Starlink!$A:$A,0),K$5+1),0)</f>
        <v>0</v>
      </c>
      <c r="L143" s="15" cm="1">
        <f t="array" aca="1" ref="L143" ca="1">IFERROR(INDEX(Starlink!$D:$AC,MATCH("DTC Gbps available for external Starlink revenue",Starlink!$A:$A,0),L$5+1),0)</f>
        <v>0</v>
      </c>
      <c r="M143" s="15" cm="1">
        <f t="array" aca="1" ref="M143" ca="1">IFERROR(INDEX(Starlink!$D:$AC,MATCH("DTC Gbps available for external Starlink revenue",Starlink!$A:$A,0),M$5+1),0)</f>
        <v>0</v>
      </c>
      <c r="N143" s="15" cm="1">
        <f t="array" aca="1" ref="N143" ca="1">IFERROR(INDEX(Starlink!$D:$AC,MATCH("DTC Gbps available for external Starlink revenue",Starlink!$A:$A,0),N$5+1),0)</f>
        <v>0</v>
      </c>
      <c r="O143" s="15" cm="1">
        <f t="array" aca="1" ref="O143" ca="1">IFERROR(INDEX(Starlink!$D:$AC,MATCH("DTC Gbps available for external Starlink revenue",Starlink!$A:$A,0),O$5+1),0)</f>
        <v>0</v>
      </c>
      <c r="P143" s="15" cm="1">
        <f t="array" aca="1" ref="P143" ca="1">IFERROR(INDEX(Starlink!$D:$AC,MATCH("DTC Gbps available for external Starlink revenue",Starlink!$A:$A,0),P$5+1),0)</f>
        <v>0</v>
      </c>
      <c r="Q143" s="15" cm="1">
        <f t="array" aca="1" ref="Q143" ca="1">IFERROR(INDEX(Starlink!$D:$AC,MATCH("DTC Gbps available for external Starlink revenue",Starlink!$A:$A,0),Q$5+1),0)</f>
        <v>0</v>
      </c>
      <c r="R143" s="15" cm="1">
        <f t="array" aca="1" ref="R143" ca="1">IFERROR(INDEX(Starlink!$D:$AC,MATCH("DTC Gbps available for external Starlink revenue",Starlink!$A:$A,0),R$5+1),0)</f>
        <v>0</v>
      </c>
      <c r="S143" s="15" cm="1">
        <f t="array" aca="1" ref="S143" ca="1">IFERROR(INDEX(Starlink!$D:$AC,MATCH("DTC Gbps available for external Starlink revenue",Starlink!$A:$A,0),S$5+1),0)</f>
        <v>0</v>
      </c>
      <c r="T143" s="15" cm="1">
        <f t="array" aca="1" ref="T143" ca="1">IFERROR(INDEX(Starlink!$D:$AC,MATCH("DTC Gbps available for external Starlink revenue",Starlink!$A:$A,0),T$5+1),0)</f>
        <v>0</v>
      </c>
      <c r="U143" s="15" cm="1">
        <f t="array" aca="1" ref="U143" ca="1">IFERROR(INDEX(Starlink!$D:$AC,MATCH("DTC Gbps available for external Starlink revenue",Starlink!$A:$A,0),U$5+1),0)</f>
        <v>0</v>
      </c>
      <c r="V143" s="15" cm="1">
        <f t="array" aca="1" ref="V143" ca="1">IFERROR(INDEX(Starlink!$D:$AC,MATCH("DTC Gbps available for external Starlink revenue",Starlink!$A:$A,0),V$5+1),0)</f>
        <v>0</v>
      </c>
      <c r="W143" s="15" cm="1">
        <f t="array" aca="1" ref="W143" ca="1">IFERROR(INDEX(Starlink!$D:$AC,MATCH("DTC Gbps available for external Starlink revenue",Starlink!$A:$A,0),W$5+1),0)</f>
        <v>0</v>
      </c>
      <c r="X143" s="15" cm="1">
        <f t="array" aca="1" ref="X143" ca="1">IFERROR(INDEX(Starlink!$D:$AC,MATCH("DTC Gbps available for external Starlink revenue",Starlink!$A:$A,0),X$5+1),0)</f>
        <v>0</v>
      </c>
      <c r="Y143" s="15" cm="1">
        <f t="array" aca="1" ref="Y143" ca="1">IFERROR(INDEX(Starlink!$D:$AC,MATCH("DTC Gbps available for external Starlink revenue",Starlink!$A:$A,0),Y$5+1),0)</f>
        <v>0</v>
      </c>
      <c r="Z143" s="15" cm="1">
        <f t="array" aca="1" ref="Z143" ca="1">IFERROR(INDEX(Starlink!$D:$AC,MATCH("DTC Gbps available for external Starlink revenue",Starlink!$A:$A,0),Z$5+1),0)</f>
        <v>0</v>
      </c>
      <c r="AA143" s="15" cm="1">
        <f t="array" aca="1" ref="AA143" ca="1">IFERROR(INDEX(Starlink!$D:$AC,MATCH("DTC Gbps available for external Starlink revenue",Starlink!$A:$A,0),AA$5+1),0)</f>
        <v>0</v>
      </c>
      <c r="AB143" s="15" cm="1">
        <f t="array" aca="1" ref="AB143" ca="1">IFERROR(INDEX(Starlink!$D:$AC,MATCH("DTC Gbps available for external Starlink revenue",Starlink!$A:$A,0),AB$5+1),0)</f>
        <v>0</v>
      </c>
      <c r="AC143" s="15" cm="1">
        <f t="array" aca="1" ref="AC143" ca="1">IFERROR(INDEX(Starlink!$D:$AC,MATCH("DTC Gbps available for external Starlink revenue",Starlink!$A:$A,0),AC$5+1),0)</f>
        <v>0</v>
      </c>
    </row>
    <row r="144" spans="1:29" x14ac:dyDescent="0.2">
      <c r="A144" t="s">
        <v>1641</v>
      </c>
      <c r="D144" s="15" cm="1">
        <f t="array" aca="1" ref="D144" ca="1">IF(D142&gt;=MAX($B$82:$B$137),MAX($C$82:$C$137),IF(D142&lt;=MIN($B$82:$B$137),MIN($C$82:$C$137),INDEX($C$82:$C$137,MATCH(D142,$B$82:$B$137,1))+(D142-INDEX($B$82:$B$137,MATCH(D142,$B$82:$B$137,1)))/(INDEX($B$82:$B$137,MATCH(D142,$B$82:$B$137,1)+1)-INDEX($B$82:$B$137,MATCH(D142,$B$82:$B$137,1)))*(INDEX($C$82:$C$137,MATCH(D142,$B$82:$B$137,1)+1)-INDEX($C$82:$C$137,MATCH(D142,$B$82:$B$137,1)))))/1000000*D141</f>
        <v>6745.7051766695995</v>
      </c>
      <c r="E144" s="15" cm="1">
        <f t="array" aca="1" ref="E144" ca="1">IF(E142&gt;=MAX($B$82:$B$137),MAX($C$82:$C$137),IF(E142&lt;=MIN($B$82:$B$137),MIN($C$82:$C$137),INDEX($C$82:$C$137,MATCH(E142,$B$82:$B$137,1))+(E142-INDEX($B$82:$B$137,MATCH(E142,$B$82:$B$137,1)))/(INDEX($B$82:$B$137,MATCH(E142,$B$82:$B$137,1)+1)-INDEX($B$82:$B$137,MATCH(E142,$B$82:$B$137,1)))*(INDEX($C$82:$C$137,MATCH(E142,$B$82:$B$137,1)+1)-INDEX($C$82:$C$137,MATCH(E142,$B$82:$B$137,1)))))/1000000*E141</f>
        <v>6141.3904239605681</v>
      </c>
      <c r="F144" s="15" cm="1">
        <f t="array" aca="1" ref="F144" ca="1">IF(F142&gt;=MAX($B$82:$B$137),MAX($C$82:$C$137),IF(F142&lt;=MIN($B$82:$B$137),MIN($C$82:$C$137),INDEX($C$82:$C$137,MATCH(F142,$B$82:$B$137,1))+(F142-INDEX($B$82:$B$137,MATCH(F142,$B$82:$B$137,1)))/(INDEX($B$82:$B$137,MATCH(F142,$B$82:$B$137,1)+1)-INDEX($B$82:$B$137,MATCH(F142,$B$82:$B$137,1)))*(INDEX($C$82:$C$137,MATCH(F142,$B$82:$B$137,1)+1)-INDEX($C$82:$C$137,MATCH(F142,$B$82:$B$137,1)))))/1000000*F141</f>
        <v>5425.811896981344</v>
      </c>
      <c r="G144" s="15" cm="1">
        <f t="array" aca="1" ref="G144" ca="1">IF(G142&gt;=MAX($B$82:$B$137),MAX($C$82:$C$137),IF(G142&lt;=MIN($B$82:$B$137),MIN($C$82:$C$137),INDEX($C$82:$C$137,MATCH(G142,$B$82:$B$137,1))+(G142-INDEX($B$82:$B$137,MATCH(G142,$B$82:$B$137,1)))/(INDEX($B$82:$B$137,MATCH(G142,$B$82:$B$137,1)+1)-INDEX($B$82:$B$137,MATCH(G142,$B$82:$B$137,1)))*(INDEX($C$82:$C$137,MATCH(G142,$B$82:$B$137,1)+1)-INDEX($C$82:$C$137,MATCH(G142,$B$82:$B$137,1)))))/1000000*G141</f>
        <v>4595.2481764099475</v>
      </c>
      <c r="H144" s="15" cm="1">
        <f t="array" aca="1" ref="H144" ca="1">IF(H142&gt;=MAX($B$82:$B$137),MAX($C$82:$C$137),IF(H142&lt;=MIN($B$82:$B$137),MIN($C$82:$C$137),INDEX($C$82:$C$137,MATCH(H142,$B$82:$B$137,1))+(H142-INDEX($B$82:$B$137,MATCH(H142,$B$82:$B$137,1)))/(INDEX($B$82:$B$137,MATCH(H142,$B$82:$B$137,1)+1)-INDEX($B$82:$B$137,MATCH(H142,$B$82:$B$137,1)))*(INDEX($C$82:$C$137,MATCH(H142,$B$82:$B$137,1)+1)-INDEX($C$82:$C$137,MATCH(H142,$B$82:$B$137,1)))))/1000000*H141</f>
        <v>3655.2128397391452</v>
      </c>
      <c r="I144" s="15" cm="1">
        <f t="array" aca="1" ref="I144" ca="1">IF(I142&gt;=MAX($B$82:$B$137),MAX($C$82:$C$137),IF(I142&lt;=MIN($B$82:$B$137),MIN($C$82:$C$137),INDEX($C$82:$C$137,MATCH(I142,$B$82:$B$137,1))+(I142-INDEX($B$82:$B$137,MATCH(I142,$B$82:$B$137,1)))/(INDEX($B$82:$B$137,MATCH(I142,$B$82:$B$137,1)+1)-INDEX($B$82:$B$137,MATCH(I142,$B$82:$B$137,1)))*(INDEX($C$82:$C$137,MATCH(I142,$B$82:$B$137,1)+1)-INDEX($C$82:$C$137,MATCH(I142,$B$82:$B$137,1)))))/1000000*I141</f>
        <v>3851.2961515283678</v>
      </c>
      <c r="J144" s="15" cm="1">
        <f t="array" aca="1" ref="J144" ca="1">IF(J142&gt;=MAX($B$82:$B$137),MAX($C$82:$C$137),IF(J142&lt;=MIN($B$82:$B$137),MIN($C$82:$C$137),INDEX($C$82:$C$137,MATCH(J142,$B$82:$B$137,1))+(J142-INDEX($B$82:$B$137,MATCH(J142,$B$82:$B$137,1)))/(INDEX($B$82:$B$137,MATCH(J142,$B$82:$B$137,1)+1)-INDEX($B$82:$B$137,MATCH(J142,$B$82:$B$137,1)))*(INDEX($C$82:$C$137,MATCH(J142,$B$82:$B$137,1)+1)-INDEX($C$82:$C$137,MATCH(J142,$B$82:$B$137,1)))))/1000000*J141</f>
        <v>4066.0059119760735</v>
      </c>
      <c r="K144" s="15" cm="1">
        <f t="array" aca="1" ref="K144" ca="1">IF(K142&gt;=MAX($B$82:$B$137),MAX($C$82:$C$137),IF(K142&lt;=MIN($B$82:$B$137),MIN($C$82:$C$137),INDEX($C$82:$C$137,MATCH(K142,$B$82:$B$137,1))+(K142-INDEX($B$82:$B$137,MATCH(K142,$B$82:$B$137,1)))/(INDEX($B$82:$B$137,MATCH(K142,$B$82:$B$137,1)+1)-INDEX($B$82:$B$137,MATCH(K142,$B$82:$B$137,1)))*(INDEX($C$82:$C$137,MATCH(K142,$B$82:$B$137,1)+1)-INDEX($C$82:$C$137,MATCH(K142,$B$82:$B$137,1)))))/1000000*K141</f>
        <v>4292.68574156874</v>
      </c>
      <c r="L144" s="15" cm="1">
        <f t="array" aca="1" ref="L144" ca="1">IF(L142&gt;=MAX($B$82:$B$137),MAX($C$82:$C$137),IF(L142&lt;=MIN($B$82:$B$137),MIN($C$82:$C$137),INDEX($C$82:$C$137,MATCH(L142,$B$82:$B$137,1))+(L142-INDEX($B$82:$B$137,MATCH(L142,$B$82:$B$137,1)))/(INDEX($B$82:$B$137,MATCH(L142,$B$82:$B$137,1)+1)-INDEX($B$82:$B$137,MATCH(L142,$B$82:$B$137,1)))*(INDEX($C$82:$C$137,MATCH(L142,$B$82:$B$137,1)+1)-INDEX($C$82:$C$137,MATCH(L142,$B$82:$B$137,1)))))/1000000*L141</f>
        <v>4532.0029716611962</v>
      </c>
      <c r="M144" s="15" cm="1">
        <f t="array" aca="1" ref="M144" ca="1">IF(M142&gt;=MAX($B$82:$B$137),MAX($C$82:$C$137),IF(M142&lt;=MIN($B$82:$B$137),MIN($C$82:$C$137),INDEX($C$82:$C$137,MATCH(M142,$B$82:$B$137,1))+(M142-INDEX($B$82:$B$137,MATCH(M142,$B$82:$B$137,1)))/(INDEX($B$82:$B$137,MATCH(M142,$B$82:$B$137,1)+1)-INDEX($B$82:$B$137,MATCH(M142,$B$82:$B$137,1)))*(INDEX($C$82:$C$137,MATCH(M142,$B$82:$B$137,1)+1)-INDEX($C$82:$C$137,MATCH(M142,$B$82:$B$137,1)))))/1000000*M141</f>
        <v>4784.6621373313073</v>
      </c>
      <c r="N144" s="15" cm="1">
        <f t="array" aca="1" ref="N144" ca="1">IF(N142&gt;=MAX($B$82:$B$137),MAX($C$82:$C$137),IF(N142&lt;=MIN($B$82:$B$137),MIN($C$82:$C$137),INDEX($C$82:$C$137,MATCH(N142,$B$82:$B$137,1))+(N142-INDEX($B$82:$B$137,MATCH(N142,$B$82:$B$137,1)))/(INDEX($B$82:$B$137,MATCH(N142,$B$82:$B$137,1)+1)-INDEX($B$82:$B$137,MATCH(N142,$B$82:$B$137,1)))*(INDEX($C$82:$C$137,MATCH(N142,$B$82:$B$137,1)+1)-INDEX($C$82:$C$137,MATCH(N142,$B$82:$B$137,1)))))/1000000*N141</f>
        <v>5051.4070514875284</v>
      </c>
      <c r="O144" s="15" cm="1">
        <f t="array" aca="1" ref="O144" ca="1">IF(O142&gt;=MAX($B$82:$B$137),MAX($C$82:$C$137),IF(O142&lt;=MIN($B$82:$B$137),MIN($C$82:$C$137),INDEX($C$82:$C$137,MATCH(O142,$B$82:$B$137,1))+(O142-INDEX($B$82:$B$137,MATCH(O142,$B$82:$B$137,1)))/(INDEX($B$82:$B$137,MATCH(O142,$B$82:$B$137,1)+1)-INDEX($B$82:$B$137,MATCH(O142,$B$82:$B$137,1)))*(INDEX($C$82:$C$137,MATCH(O142,$B$82:$B$137,1)+1)-INDEX($C$82:$C$137,MATCH(O142,$B$82:$B$137,1)))))/1000000*O141</f>
        <v>5333.022994607958</v>
      </c>
      <c r="P144" s="15" cm="1">
        <f t="array" aca="1" ref="P144" ca="1">IF(P142&gt;=MAX($B$82:$B$137),MAX($C$82:$C$137),IF(P142&lt;=MIN($B$82:$B$137),MIN($C$82:$C$137),INDEX($C$82:$C$137,MATCH(P142,$B$82:$B$137,1))+(P142-INDEX($B$82:$B$137,MATCH(P142,$B$82:$B$137,1)))/(INDEX($B$82:$B$137,MATCH(P142,$B$82:$B$137,1)+1)-INDEX($B$82:$B$137,MATCH(P142,$B$82:$B$137,1)))*(INDEX($C$82:$C$137,MATCH(P142,$B$82:$B$137,1)+1)-INDEX($C$82:$C$137,MATCH(P142,$B$82:$B$137,1)))))/1000000*P141</f>
        <v>5630.3390265573498</v>
      </c>
      <c r="Q144" s="15" cm="1">
        <f t="array" aca="1" ref="Q144" ca="1">IF(Q142&gt;=MAX($B$82:$B$137),MAX($C$82:$C$137),IF(Q142&lt;=MIN($B$82:$B$137),MIN($C$82:$C$137),INDEX($C$82:$C$137,MATCH(Q142,$B$82:$B$137,1))+(Q142-INDEX($B$82:$B$137,MATCH(Q142,$B$82:$B$137,1)))/(INDEX($B$82:$B$137,MATCH(Q142,$B$82:$B$137,1)+1)-INDEX($B$82:$B$137,MATCH(Q142,$B$82:$B$137,1)))*(INDEX($C$82:$C$137,MATCH(Q142,$B$82:$B$137,1)+1)-INDEX($C$82:$C$137,MATCH(Q142,$B$82:$B$137,1)))))/1000000*Q141</f>
        <v>5944.230427287921</v>
      </c>
      <c r="R144" s="15" cm="1">
        <f t="array" aca="1" ref="R144" ca="1">IF(R142&gt;=MAX($B$82:$B$137),MAX($C$82:$C$137),IF(R142&lt;=MIN($B$82:$B$137),MIN($C$82:$C$137),INDEX($C$82:$C$137,MATCH(R142,$B$82:$B$137,1))+(R142-INDEX($B$82:$B$137,MATCH(R142,$B$82:$B$137,1)))/(INDEX($B$82:$B$137,MATCH(R142,$B$82:$B$137,1)+1)-INDEX($B$82:$B$137,MATCH(R142,$B$82:$B$137,1)))*(INDEX($C$82:$C$137,MATCH(R142,$B$82:$B$137,1)+1)-INDEX($C$82:$C$137,MATCH(R142,$B$82:$B$137,1)))))/1000000*R141</f>
        <v>6275.621273609223</v>
      </c>
      <c r="S144" s="15" cm="1">
        <f t="array" aca="1" ref="S144" ca="1">IF(S142&gt;=MAX($B$82:$B$137),MAX($C$82:$C$137),IF(S142&lt;=MIN($B$82:$B$137),MIN($C$82:$C$137),INDEX($C$82:$C$137,MATCH(S142,$B$82:$B$137,1))+(S142-INDEX($B$82:$B$137,MATCH(S142,$B$82:$B$137,1)))/(INDEX($B$82:$B$137,MATCH(S142,$B$82:$B$137,1)+1)-INDEX($B$82:$B$137,MATCH(S142,$B$82:$B$137,1)))*(INDEX($C$82:$C$137,MATCH(S142,$B$82:$B$137,1)+1)-INDEX($C$82:$C$137,MATCH(S142,$B$82:$B$137,1)))))/1000000*S141</f>
        <v>6625.4871596129396</v>
      </c>
      <c r="T144" s="15" cm="1">
        <f t="array" aca="1" ref="T144" ca="1">IF(T142&gt;=MAX($B$82:$B$137),MAX($C$82:$C$137),IF(T142&lt;=MIN($B$82:$B$137),MIN($C$82:$C$137),INDEX($C$82:$C$137,MATCH(T142,$B$82:$B$137,1))+(T142-INDEX($B$82:$B$137,MATCH(T142,$B$82:$B$137,1)))/(INDEX($B$82:$B$137,MATCH(T142,$B$82:$B$137,1)+1)-INDEX($B$82:$B$137,MATCH(T142,$B$82:$B$137,1)))*(INDEX($C$82:$C$137,MATCH(T142,$B$82:$B$137,1)+1)-INDEX($C$82:$C$137,MATCH(T142,$B$82:$B$137,1)))))/1000000*T141</f>
        <v>6994.8580687613594</v>
      </c>
      <c r="U144" s="15" cm="1">
        <f t="array" aca="1" ref="U144" ca="1">IF(U142&gt;=MAX($B$82:$B$137),MAX($C$82:$C$137),IF(U142&lt;=MIN($B$82:$B$137),MIN($C$82:$C$137),INDEX($C$82:$C$137,MATCH(U142,$B$82:$B$137,1))+(U142-INDEX($B$82:$B$137,MATCH(U142,$B$82:$B$137,1)))/(INDEX($B$82:$B$137,MATCH(U142,$B$82:$B$137,1)+1)-INDEX($B$82:$B$137,MATCH(U142,$B$82:$B$137,1)))*(INDEX($C$82:$C$137,MATCH(U142,$B$82:$B$137,1)+1)-INDEX($C$82:$C$137,MATCH(U142,$B$82:$B$137,1)))))/1000000*U141</f>
        <v>7384.8214060948039</v>
      </c>
      <c r="V144" s="15" cm="1">
        <f t="array" aca="1" ref="V144" ca="1">IF(V142&gt;=MAX($B$82:$B$137),MAX($C$82:$C$137),IF(V142&lt;=MIN($B$82:$B$137),MIN($C$82:$C$137),INDEX($C$82:$C$137,MATCH(V142,$B$82:$B$137,1))+(V142-INDEX($B$82:$B$137,MATCH(V142,$B$82:$B$137,1)))/(INDEX($B$82:$B$137,MATCH(V142,$B$82:$B$137,1)+1)-INDEX($B$82:$B$137,MATCH(V142,$B$82:$B$137,1)))*(INDEX($C$82:$C$137,MATCH(V142,$B$82:$B$137,1)+1)-INDEX($C$82:$C$137,MATCH(V142,$B$82:$B$137,1)))))/1000000*V141</f>
        <v>7796.5251994845894</v>
      </c>
      <c r="W144" s="15" cm="1">
        <f t="array" aca="1" ref="W144" ca="1">IF(W142&gt;=MAX($B$82:$B$137),MAX($C$82:$C$137),IF(W142&lt;=MIN($B$82:$B$137),MIN($C$82:$C$137),INDEX($C$82:$C$137,MATCH(W142,$B$82:$B$137,1))+(W142-INDEX($B$82:$B$137,MATCH(W142,$B$82:$B$137,1)))/(INDEX($B$82:$B$137,MATCH(W142,$B$82:$B$137,1)+1)-INDEX($B$82:$B$137,MATCH(W142,$B$82:$B$137,1)))*(INDEX($C$82:$C$137,MATCH(W142,$B$82:$B$137,1)+1)-INDEX($C$82:$C$137,MATCH(W142,$B$82:$B$137,1)))))/1000000*W141</f>
        <v>8231.1814793558551</v>
      </c>
      <c r="X144" s="15" cm="1">
        <f t="array" aca="1" ref="X144" ca="1">IF(X142&gt;=MAX($B$82:$B$137),MAX($C$82:$C$137),IF(X142&lt;=MIN($B$82:$B$137),MIN($C$82:$C$137),INDEX($C$82:$C$137,MATCH(X142,$B$82:$B$137,1))+(X142-INDEX($B$82:$B$137,MATCH(X142,$B$82:$B$137,1)))/(INDEX($B$82:$B$137,MATCH(X142,$B$82:$B$137,1)+1)-INDEX($B$82:$B$137,MATCH(X142,$B$82:$B$137,1)))*(INDEX($C$82:$C$137,MATCH(X142,$B$82:$B$137,1)+1)-INDEX($C$82:$C$137,MATCH(X142,$B$82:$B$137,1)))))/1000000*X141</f>
        <v>8690.0698468299433</v>
      </c>
      <c r="Y144" s="15" cm="1">
        <f t="array" aca="1" ref="Y144" ca="1">IF(Y142&gt;=MAX($B$82:$B$137),MAX($C$82:$C$137),IF(Y142&lt;=MIN($B$82:$B$137),MIN($C$82:$C$137),INDEX($C$82:$C$137,MATCH(Y142,$B$82:$B$137,1))+(Y142-INDEX($B$82:$B$137,MATCH(Y142,$B$82:$B$137,1)))/(INDEX($B$82:$B$137,MATCH(Y142,$B$82:$B$137,1)+1)-INDEX($B$82:$B$137,MATCH(Y142,$B$82:$B$137,1)))*(INDEX($C$82:$C$137,MATCH(Y142,$B$82:$B$137,1)+1)-INDEX($C$82:$C$137,MATCH(Y142,$B$82:$B$137,1)))))/1000000*Y141</f>
        <v>9174.5412407907097</v>
      </c>
      <c r="Z144" s="15" cm="1">
        <f t="array" aca="1" ref="Z144" ca="1">IF(Z142&gt;=MAX($B$82:$B$137),MAX($C$82:$C$137),IF(Z142&lt;=MIN($B$82:$B$137),MIN($C$82:$C$137),INDEX($C$82:$C$137,MATCH(Z142,$B$82:$B$137,1))+(Z142-INDEX($B$82:$B$137,MATCH(Z142,$B$82:$B$137,1)))/(INDEX($B$82:$B$137,MATCH(Z142,$B$82:$B$137,1)+1)-INDEX($B$82:$B$137,MATCH(Z142,$B$82:$B$137,1)))*(INDEX($C$82:$C$137,MATCH(Z142,$B$82:$B$137,1)+1)-INDEX($C$82:$C$137,MATCH(Z142,$B$82:$B$137,1)))))/1000000*Z141</f>
        <v>9686.0219149647928</v>
      </c>
      <c r="AA144" s="15" cm="1">
        <f t="array" aca="1" ref="AA144" ca="1">IF(AA142&gt;=MAX($B$82:$B$137),MAX($C$82:$C$137),IF(AA142&lt;=MIN($B$82:$B$137),MIN($C$82:$C$137),INDEX($C$82:$C$137,MATCH(AA142,$B$82:$B$137,1))+(AA142-INDEX($B$82:$B$137,MATCH(AA142,$B$82:$B$137,1)))/(INDEX($B$82:$B$137,MATCH(AA142,$B$82:$B$137,1)+1)-INDEX($B$82:$B$137,MATCH(AA142,$B$82:$B$137,1)))*(INDEX($C$82:$C$137,MATCH(AA142,$B$82:$B$137,1)+1)-INDEX($C$82:$C$137,MATCH(AA142,$B$82:$B$137,1)))))/1000000*AA141</f>
        <v>10226.01763672408</v>
      </c>
      <c r="AB144" s="15" cm="1">
        <f t="array" aca="1" ref="AB144" ca="1">IF(AB142&gt;=MAX($B$82:$B$137),MAX($C$82:$C$137),IF(AB142&lt;=MIN($B$82:$B$137),MIN($C$82:$C$137),INDEX($C$82:$C$137,MATCH(AB142,$B$82:$B$137,1))+(AB142-INDEX($B$82:$B$137,MATCH(AB142,$B$82:$B$137,1)))/(INDEX($B$82:$B$137,MATCH(AB142,$B$82:$B$137,1)+1)-INDEX($B$82:$B$137,MATCH(AB142,$B$82:$B$137,1)))*(INDEX($C$82:$C$137,MATCH(AB142,$B$82:$B$137,1)+1)-INDEX($C$82:$C$137,MATCH(AB142,$B$82:$B$137,1)))))/1000000*AB141</f>
        <v>10796.118119971447</v>
      </c>
      <c r="AC144" s="15" cm="1">
        <f t="array" aca="1" ref="AC144" ca="1">IF(AC142&gt;=MAX($B$82:$B$137),MAX($C$82:$C$137),IF(AC142&lt;=MIN($B$82:$B$137),MIN($C$82:$C$137),INDEX($C$82:$C$137,MATCH(AC142,$B$82:$B$137,1))+(AC142-INDEX($B$82:$B$137,MATCH(AC142,$B$82:$B$137,1)))/(INDEX($B$82:$B$137,MATCH(AC142,$B$82:$B$137,1)+1)-INDEX($B$82:$B$137,MATCH(AC142,$B$82:$B$137,1)))*(INDEX($C$82:$C$137,MATCH(AC142,$B$82:$B$137,1)+1)-INDEX($C$82:$C$137,MATCH(AC142,$B$82:$B$137,1)))))/1000000*AC141</f>
        <v>11398.001705159852</v>
      </c>
    </row>
    <row r="145" spans="1:29" x14ac:dyDescent="0.2">
      <c r="A145" t="s">
        <v>1642</v>
      </c>
      <c r="D145" s="15" cm="1">
        <f t="array" aca="1" ref="D145" ca="1">IF(D143&gt;=MAX($B$17:$B$77),MAX($C$17:$C$77),IF(D143&lt;=0,0,IF(D143&lt;MIN($B$17:$B$77),D143*INDEX($C$17:$C$77,1)/INDEX($B$17:$B$77,1),INDEX($C$17:$C$77,MATCH(D143,$B$17:$B$77,1))+(D143-INDEX($B$17:$B$77,MATCH(D143,$B$17:$B$77,1)))/(INDEX($B$17:$B$77,MATCH(D143,$B$17:$B$77,1)+1)-INDEX($B$17:$B$77,MATCH(D143,$B$17:$B$77,1)))*(INDEX($C$17:$C$77,MATCH(D143,$B$17:$B$77,1)+1)-INDEX($C$17:$C$77,MATCH(D143,$B$17:$B$77,1))))))*D141</f>
        <v>142.43397573162028</v>
      </c>
      <c r="E145" s="15" cm="1">
        <f t="array" aca="1" ref="E145" ca="1">IF(E143&gt;=MAX($B$17:$B$77),MAX($C$17:$C$77),IF(E143&lt;=0,0,IF(E143&lt;MIN($B$17:$B$77),E143*INDEX($C$17:$C$77,1)/INDEX($B$17:$B$77,1),INDEX($C$17:$C$77,MATCH(E143,$B$17:$B$77,1))+(E143-INDEX($B$17:$B$77,MATCH(E143,$B$17:$B$77,1)))/(INDEX($B$17:$B$77,MATCH(E143,$B$17:$B$77,1)+1)-INDEX($B$17:$B$77,MATCH(E143,$B$17:$B$77,1)))*(INDEX($C$17:$C$77,MATCH(E143,$B$17:$B$77,1)+1)-INDEX($C$17:$C$77,MATCH(E143,$B$17:$B$77,1))))))*E141</f>
        <v>120.29973590292649</v>
      </c>
      <c r="F145" s="15" cm="1">
        <f t="array" aca="1" ref="F145" ca="1">IF(F143&gt;=MAX($B$17:$B$77),MAX($C$17:$C$77),IF(F143&lt;=0,0,IF(F143&lt;MIN($B$17:$B$77),F143*INDEX($C$17:$C$77,1)/INDEX($B$17:$B$77,1),INDEX($C$17:$C$77,MATCH(F143,$B$17:$B$77,1))+(F143-INDEX($B$17:$B$77,MATCH(F143,$B$17:$B$77,1)))/(INDEX($B$17:$B$77,MATCH(F143,$B$17:$B$77,1)+1)-INDEX($B$17:$B$77,MATCH(F143,$B$17:$B$77,1)))*(INDEX($C$17:$C$77,MATCH(F143,$B$17:$B$77,1)+1)-INDEX($C$17:$C$77,MATCH(F143,$B$17:$B$77,1))))))*F141</f>
        <v>95.254834634635969</v>
      </c>
      <c r="G145" s="15" cm="1">
        <f t="array" aca="1" ref="G145" ca="1">IF(G143&gt;=MAX($B$17:$B$77),MAX($C$17:$C$77),IF(G143&lt;=0,0,IF(G143&lt;MIN($B$17:$B$77),G143*INDEX($C$17:$C$77,1)/INDEX($B$17:$B$77,1),INDEX($C$17:$C$77,MATCH(G143,$B$17:$B$77,1))+(G143-INDEX($B$17:$B$77,MATCH(G143,$B$17:$B$77,1)))/(INDEX($B$17:$B$77,MATCH(G143,$B$17:$B$77,1)+1)-INDEX($B$17:$B$77,MATCH(G143,$B$17:$B$77,1)))*(INDEX($C$17:$C$77,MATCH(G143,$B$17:$B$77,1)+1)-INDEX($C$17:$C$77,MATCH(G143,$B$17:$B$77,1))))))*G141</f>
        <v>67.043527777011292</v>
      </c>
      <c r="H145" s="15" cm="1">
        <f t="array" aca="1" ref="H145" ca="1">IF(H143&gt;=MAX($B$17:$B$77),MAX($C$17:$C$77),IF(H143&lt;=0,0,IF(H143&lt;MIN($B$17:$B$77),H143*INDEX($C$17:$C$77,1)/INDEX($B$17:$B$77,1),INDEX($C$17:$C$77,MATCH(H143,$B$17:$B$77,1))+(H143-INDEX($B$17:$B$77,MATCH(H143,$B$17:$B$77,1)))/(INDEX($B$17:$B$77,MATCH(H143,$B$17:$B$77,1)+1)-INDEX($B$17:$B$77,MATCH(H143,$B$17:$B$77,1)))*(INDEX($C$17:$C$77,MATCH(H143,$B$17:$B$77,1)+1)-INDEX($C$17:$C$77,MATCH(H143,$B$17:$B$77,1))))))*H141</f>
        <v>35.390602225289825</v>
      </c>
      <c r="I145" s="15" cm="1">
        <f t="array" aca="1" ref="I145" ca="1">IF(I143&gt;=MAX($B$17:$B$77),MAX($C$17:$C$77),IF(I143&lt;=0,0,IF(I143&lt;MIN($B$17:$B$77),I143*INDEX($C$17:$C$77,1)/INDEX($B$17:$B$77,1),INDEX($C$17:$C$77,MATCH(I143,$B$17:$B$77,1))+(I143-INDEX($B$17:$B$77,MATCH(I143,$B$17:$B$77,1)))/(INDEX($B$17:$B$77,MATCH(I143,$B$17:$B$77,1)+1)-INDEX($B$17:$B$77,MATCH(I143,$B$17:$B$77,1)))*(INDEX($C$17:$C$77,MATCH(I143,$B$17:$B$77,1)+1)-INDEX($C$17:$C$77,MATCH(I143,$B$17:$B$77,1))))))*I141</f>
        <v>0</v>
      </c>
      <c r="J145" s="15" cm="1">
        <f t="array" aca="1" ref="J145" ca="1">IF(J143&gt;=MAX($B$17:$B$77),MAX($C$17:$C$77),IF(J143&lt;=0,0,IF(J143&lt;MIN($B$17:$B$77),J143*INDEX($C$17:$C$77,1)/INDEX($B$17:$B$77,1),INDEX($C$17:$C$77,MATCH(J143,$B$17:$B$77,1))+(J143-INDEX($B$17:$B$77,MATCH(J143,$B$17:$B$77,1)))/(INDEX($B$17:$B$77,MATCH(J143,$B$17:$B$77,1)+1)-INDEX($B$17:$B$77,MATCH(J143,$B$17:$B$77,1)))*(INDEX($C$17:$C$77,MATCH(J143,$B$17:$B$77,1)+1)-INDEX($C$17:$C$77,MATCH(J143,$B$17:$B$77,1))))))*J141</f>
        <v>0</v>
      </c>
      <c r="K145" s="15" cm="1">
        <f t="array" aca="1" ref="K145" ca="1">IF(K143&gt;=MAX($B$17:$B$77),MAX($C$17:$C$77),IF(K143&lt;=0,0,IF(K143&lt;MIN($B$17:$B$77),K143*INDEX($C$17:$C$77,1)/INDEX($B$17:$B$77,1),INDEX($C$17:$C$77,MATCH(K143,$B$17:$B$77,1))+(K143-INDEX($B$17:$B$77,MATCH(K143,$B$17:$B$77,1)))/(INDEX($B$17:$B$77,MATCH(K143,$B$17:$B$77,1)+1)-INDEX($B$17:$B$77,MATCH(K143,$B$17:$B$77,1)))*(INDEX($C$17:$C$77,MATCH(K143,$B$17:$B$77,1)+1)-INDEX($C$17:$C$77,MATCH(K143,$B$17:$B$77,1))))))*K141</f>
        <v>0</v>
      </c>
      <c r="L145" s="15" cm="1">
        <f t="array" aca="1" ref="L145" ca="1">IF(L143&gt;=MAX($B$17:$B$77),MAX($C$17:$C$77),IF(L143&lt;=0,0,IF(L143&lt;MIN($B$17:$B$77),L143*INDEX($C$17:$C$77,1)/INDEX($B$17:$B$77,1),INDEX($C$17:$C$77,MATCH(L143,$B$17:$B$77,1))+(L143-INDEX($B$17:$B$77,MATCH(L143,$B$17:$B$77,1)))/(INDEX($B$17:$B$77,MATCH(L143,$B$17:$B$77,1)+1)-INDEX($B$17:$B$77,MATCH(L143,$B$17:$B$77,1)))*(INDEX($C$17:$C$77,MATCH(L143,$B$17:$B$77,1)+1)-INDEX($C$17:$C$77,MATCH(L143,$B$17:$B$77,1))))))*L141</f>
        <v>0</v>
      </c>
      <c r="M145" s="15" cm="1">
        <f t="array" aca="1" ref="M145" ca="1">IF(M143&gt;=MAX($B$17:$B$77),MAX($C$17:$C$77),IF(M143&lt;=0,0,IF(M143&lt;MIN($B$17:$B$77),M143*INDEX($C$17:$C$77,1)/INDEX($B$17:$B$77,1),INDEX($C$17:$C$77,MATCH(M143,$B$17:$B$77,1))+(M143-INDEX($B$17:$B$77,MATCH(M143,$B$17:$B$77,1)))/(INDEX($B$17:$B$77,MATCH(M143,$B$17:$B$77,1)+1)-INDEX($B$17:$B$77,MATCH(M143,$B$17:$B$77,1)))*(INDEX($C$17:$C$77,MATCH(M143,$B$17:$B$77,1)+1)-INDEX($C$17:$C$77,MATCH(M143,$B$17:$B$77,1))))))*M141</f>
        <v>0</v>
      </c>
      <c r="N145" s="15" cm="1">
        <f t="array" aca="1" ref="N145" ca="1">IF(N143&gt;=MAX($B$17:$B$77),MAX($C$17:$C$77),IF(N143&lt;=0,0,IF(N143&lt;MIN($B$17:$B$77),N143*INDEX($C$17:$C$77,1)/INDEX($B$17:$B$77,1),INDEX($C$17:$C$77,MATCH(N143,$B$17:$B$77,1))+(N143-INDEX($B$17:$B$77,MATCH(N143,$B$17:$B$77,1)))/(INDEX($B$17:$B$77,MATCH(N143,$B$17:$B$77,1)+1)-INDEX($B$17:$B$77,MATCH(N143,$B$17:$B$77,1)))*(INDEX($C$17:$C$77,MATCH(N143,$B$17:$B$77,1)+1)-INDEX($C$17:$C$77,MATCH(N143,$B$17:$B$77,1))))))*N141</f>
        <v>0</v>
      </c>
      <c r="O145" s="15" cm="1">
        <f t="array" aca="1" ref="O145" ca="1">IF(O143&gt;=MAX($B$17:$B$77),MAX($C$17:$C$77),IF(O143&lt;=0,0,IF(O143&lt;MIN($B$17:$B$77),O143*INDEX($C$17:$C$77,1)/INDEX($B$17:$B$77,1),INDEX($C$17:$C$77,MATCH(O143,$B$17:$B$77,1))+(O143-INDEX($B$17:$B$77,MATCH(O143,$B$17:$B$77,1)))/(INDEX($B$17:$B$77,MATCH(O143,$B$17:$B$77,1)+1)-INDEX($B$17:$B$77,MATCH(O143,$B$17:$B$77,1)))*(INDEX($C$17:$C$77,MATCH(O143,$B$17:$B$77,1)+1)-INDEX($C$17:$C$77,MATCH(O143,$B$17:$B$77,1))))))*O141</f>
        <v>0</v>
      </c>
      <c r="P145" s="15" cm="1">
        <f t="array" aca="1" ref="P145" ca="1">IF(P143&gt;=MAX($B$17:$B$77),MAX($C$17:$C$77),IF(P143&lt;=0,0,IF(P143&lt;MIN($B$17:$B$77),P143*INDEX($C$17:$C$77,1)/INDEX($B$17:$B$77,1),INDEX($C$17:$C$77,MATCH(P143,$B$17:$B$77,1))+(P143-INDEX($B$17:$B$77,MATCH(P143,$B$17:$B$77,1)))/(INDEX($B$17:$B$77,MATCH(P143,$B$17:$B$77,1)+1)-INDEX($B$17:$B$77,MATCH(P143,$B$17:$B$77,1)))*(INDEX($C$17:$C$77,MATCH(P143,$B$17:$B$77,1)+1)-INDEX($C$17:$C$77,MATCH(P143,$B$17:$B$77,1))))))*P141</f>
        <v>0</v>
      </c>
      <c r="Q145" s="15" cm="1">
        <f t="array" aca="1" ref="Q145" ca="1">IF(Q143&gt;=MAX($B$17:$B$77),MAX($C$17:$C$77),IF(Q143&lt;=0,0,IF(Q143&lt;MIN($B$17:$B$77),Q143*INDEX($C$17:$C$77,1)/INDEX($B$17:$B$77,1),INDEX($C$17:$C$77,MATCH(Q143,$B$17:$B$77,1))+(Q143-INDEX($B$17:$B$77,MATCH(Q143,$B$17:$B$77,1)))/(INDEX($B$17:$B$77,MATCH(Q143,$B$17:$B$77,1)+1)-INDEX($B$17:$B$77,MATCH(Q143,$B$17:$B$77,1)))*(INDEX($C$17:$C$77,MATCH(Q143,$B$17:$B$77,1)+1)-INDEX($C$17:$C$77,MATCH(Q143,$B$17:$B$77,1))))))*Q141</f>
        <v>0</v>
      </c>
      <c r="R145" s="15" cm="1">
        <f t="array" aca="1" ref="R145" ca="1">IF(R143&gt;=MAX($B$17:$B$77),MAX($C$17:$C$77),IF(R143&lt;=0,0,IF(R143&lt;MIN($B$17:$B$77),R143*INDEX($C$17:$C$77,1)/INDEX($B$17:$B$77,1),INDEX($C$17:$C$77,MATCH(R143,$B$17:$B$77,1))+(R143-INDEX($B$17:$B$77,MATCH(R143,$B$17:$B$77,1)))/(INDEX($B$17:$B$77,MATCH(R143,$B$17:$B$77,1)+1)-INDEX($B$17:$B$77,MATCH(R143,$B$17:$B$77,1)))*(INDEX($C$17:$C$77,MATCH(R143,$B$17:$B$77,1)+1)-INDEX($C$17:$C$77,MATCH(R143,$B$17:$B$77,1))))))*R141</f>
        <v>0</v>
      </c>
      <c r="S145" s="15" cm="1">
        <f t="array" aca="1" ref="S145" ca="1">IF(S143&gt;=MAX($B$17:$B$77),MAX($C$17:$C$77),IF(S143&lt;=0,0,IF(S143&lt;MIN($B$17:$B$77),S143*INDEX($C$17:$C$77,1)/INDEX($B$17:$B$77,1),INDEX($C$17:$C$77,MATCH(S143,$B$17:$B$77,1))+(S143-INDEX($B$17:$B$77,MATCH(S143,$B$17:$B$77,1)))/(INDEX($B$17:$B$77,MATCH(S143,$B$17:$B$77,1)+1)-INDEX($B$17:$B$77,MATCH(S143,$B$17:$B$77,1)))*(INDEX($C$17:$C$77,MATCH(S143,$B$17:$B$77,1)+1)-INDEX($C$17:$C$77,MATCH(S143,$B$17:$B$77,1))))))*S141</f>
        <v>0</v>
      </c>
      <c r="T145" s="15" cm="1">
        <f t="array" aca="1" ref="T145" ca="1">IF(T143&gt;=MAX($B$17:$B$77),MAX($C$17:$C$77),IF(T143&lt;=0,0,IF(T143&lt;MIN($B$17:$B$77),T143*INDEX($C$17:$C$77,1)/INDEX($B$17:$B$77,1),INDEX($C$17:$C$77,MATCH(T143,$B$17:$B$77,1))+(T143-INDEX($B$17:$B$77,MATCH(T143,$B$17:$B$77,1)))/(INDEX($B$17:$B$77,MATCH(T143,$B$17:$B$77,1)+1)-INDEX($B$17:$B$77,MATCH(T143,$B$17:$B$77,1)))*(INDEX($C$17:$C$77,MATCH(T143,$B$17:$B$77,1)+1)-INDEX($C$17:$C$77,MATCH(T143,$B$17:$B$77,1))))))*T141</f>
        <v>0</v>
      </c>
      <c r="U145" s="15" cm="1">
        <f t="array" aca="1" ref="U145" ca="1">IF(U143&gt;=MAX($B$17:$B$77),MAX($C$17:$C$77),IF(U143&lt;=0,0,IF(U143&lt;MIN($B$17:$B$77),U143*INDEX($C$17:$C$77,1)/INDEX($B$17:$B$77,1),INDEX($C$17:$C$77,MATCH(U143,$B$17:$B$77,1))+(U143-INDEX($B$17:$B$77,MATCH(U143,$B$17:$B$77,1)))/(INDEX($B$17:$B$77,MATCH(U143,$B$17:$B$77,1)+1)-INDEX($B$17:$B$77,MATCH(U143,$B$17:$B$77,1)))*(INDEX($C$17:$C$77,MATCH(U143,$B$17:$B$77,1)+1)-INDEX($C$17:$C$77,MATCH(U143,$B$17:$B$77,1))))))*U141</f>
        <v>0</v>
      </c>
      <c r="V145" s="15" cm="1">
        <f t="array" aca="1" ref="V145" ca="1">IF(V143&gt;=MAX($B$17:$B$77),MAX($C$17:$C$77),IF(V143&lt;=0,0,IF(V143&lt;MIN($B$17:$B$77),V143*INDEX($C$17:$C$77,1)/INDEX($B$17:$B$77,1),INDEX($C$17:$C$77,MATCH(V143,$B$17:$B$77,1))+(V143-INDEX($B$17:$B$77,MATCH(V143,$B$17:$B$77,1)))/(INDEX($B$17:$B$77,MATCH(V143,$B$17:$B$77,1)+1)-INDEX($B$17:$B$77,MATCH(V143,$B$17:$B$77,1)))*(INDEX($C$17:$C$77,MATCH(V143,$B$17:$B$77,1)+1)-INDEX($C$17:$C$77,MATCH(V143,$B$17:$B$77,1))))))*V141</f>
        <v>0</v>
      </c>
      <c r="W145" s="15" cm="1">
        <f t="array" aca="1" ref="W145" ca="1">IF(W143&gt;=MAX($B$17:$B$77),MAX($C$17:$C$77),IF(W143&lt;=0,0,IF(W143&lt;MIN($B$17:$B$77),W143*INDEX($C$17:$C$77,1)/INDEX($B$17:$B$77,1),INDEX($C$17:$C$77,MATCH(W143,$B$17:$B$77,1))+(W143-INDEX($B$17:$B$77,MATCH(W143,$B$17:$B$77,1)))/(INDEX($B$17:$B$77,MATCH(W143,$B$17:$B$77,1)+1)-INDEX($B$17:$B$77,MATCH(W143,$B$17:$B$77,1)))*(INDEX($C$17:$C$77,MATCH(W143,$B$17:$B$77,1)+1)-INDEX($C$17:$C$77,MATCH(W143,$B$17:$B$77,1))))))*W141</f>
        <v>0</v>
      </c>
      <c r="X145" s="15" cm="1">
        <f t="array" aca="1" ref="X145" ca="1">IF(X143&gt;=MAX($B$17:$B$77),MAX($C$17:$C$77),IF(X143&lt;=0,0,IF(X143&lt;MIN($B$17:$B$77),X143*INDEX($C$17:$C$77,1)/INDEX($B$17:$B$77,1),INDEX($C$17:$C$77,MATCH(X143,$B$17:$B$77,1))+(X143-INDEX($B$17:$B$77,MATCH(X143,$B$17:$B$77,1)))/(INDEX($B$17:$B$77,MATCH(X143,$B$17:$B$77,1)+1)-INDEX($B$17:$B$77,MATCH(X143,$B$17:$B$77,1)))*(INDEX($C$17:$C$77,MATCH(X143,$B$17:$B$77,1)+1)-INDEX($C$17:$C$77,MATCH(X143,$B$17:$B$77,1))))))*X141</f>
        <v>0</v>
      </c>
      <c r="Y145" s="15" cm="1">
        <f t="array" aca="1" ref="Y145" ca="1">IF(Y143&gt;=MAX($B$17:$B$77),MAX($C$17:$C$77),IF(Y143&lt;=0,0,IF(Y143&lt;MIN($B$17:$B$77),Y143*INDEX($C$17:$C$77,1)/INDEX($B$17:$B$77,1),INDEX($C$17:$C$77,MATCH(Y143,$B$17:$B$77,1))+(Y143-INDEX($B$17:$B$77,MATCH(Y143,$B$17:$B$77,1)))/(INDEX($B$17:$B$77,MATCH(Y143,$B$17:$B$77,1)+1)-INDEX($B$17:$B$77,MATCH(Y143,$B$17:$B$77,1)))*(INDEX($C$17:$C$77,MATCH(Y143,$B$17:$B$77,1)+1)-INDEX($C$17:$C$77,MATCH(Y143,$B$17:$B$77,1))))))*Y141</f>
        <v>0</v>
      </c>
      <c r="Z145" s="15" cm="1">
        <f t="array" aca="1" ref="Z145" ca="1">IF(Z143&gt;=MAX($B$17:$B$77),MAX($C$17:$C$77),IF(Z143&lt;=0,0,IF(Z143&lt;MIN($B$17:$B$77),Z143*INDEX($C$17:$C$77,1)/INDEX($B$17:$B$77,1),INDEX($C$17:$C$77,MATCH(Z143,$B$17:$B$77,1))+(Z143-INDEX($B$17:$B$77,MATCH(Z143,$B$17:$B$77,1)))/(INDEX($B$17:$B$77,MATCH(Z143,$B$17:$B$77,1)+1)-INDEX($B$17:$B$77,MATCH(Z143,$B$17:$B$77,1)))*(INDEX($C$17:$C$77,MATCH(Z143,$B$17:$B$77,1)+1)-INDEX($C$17:$C$77,MATCH(Z143,$B$17:$B$77,1))))))*Z141</f>
        <v>0</v>
      </c>
      <c r="AA145" s="15" cm="1">
        <f t="array" aca="1" ref="AA145" ca="1">IF(AA143&gt;=MAX($B$17:$B$77),MAX($C$17:$C$77),IF(AA143&lt;=0,0,IF(AA143&lt;MIN($B$17:$B$77),AA143*INDEX($C$17:$C$77,1)/INDEX($B$17:$B$77,1),INDEX($C$17:$C$77,MATCH(AA143,$B$17:$B$77,1))+(AA143-INDEX($B$17:$B$77,MATCH(AA143,$B$17:$B$77,1)))/(INDEX($B$17:$B$77,MATCH(AA143,$B$17:$B$77,1)+1)-INDEX($B$17:$B$77,MATCH(AA143,$B$17:$B$77,1)))*(INDEX($C$17:$C$77,MATCH(AA143,$B$17:$B$77,1)+1)-INDEX($C$17:$C$77,MATCH(AA143,$B$17:$B$77,1))))))*AA141</f>
        <v>0</v>
      </c>
      <c r="AB145" s="15" cm="1">
        <f t="array" aca="1" ref="AB145" ca="1">IF(AB143&gt;=MAX($B$17:$B$77),MAX($C$17:$C$77),IF(AB143&lt;=0,0,IF(AB143&lt;MIN($B$17:$B$77),AB143*INDEX($C$17:$C$77,1)/INDEX($B$17:$B$77,1),INDEX($C$17:$C$77,MATCH(AB143,$B$17:$B$77,1))+(AB143-INDEX($B$17:$B$77,MATCH(AB143,$B$17:$B$77,1)))/(INDEX($B$17:$B$77,MATCH(AB143,$B$17:$B$77,1)+1)-INDEX($B$17:$B$77,MATCH(AB143,$B$17:$B$77,1)))*(INDEX($C$17:$C$77,MATCH(AB143,$B$17:$B$77,1)+1)-INDEX($C$17:$C$77,MATCH(AB143,$B$17:$B$77,1))))))*AB141</f>
        <v>0</v>
      </c>
      <c r="AC145" s="15" cm="1">
        <f t="array" aca="1" ref="AC145" ca="1">IF(AC143&gt;=MAX($B$17:$B$77),MAX($C$17:$C$77),IF(AC143&lt;=0,0,IF(AC143&lt;MIN($B$17:$B$77),AC143*INDEX($C$17:$C$77,1)/INDEX($B$17:$B$77,1),INDEX($C$17:$C$77,MATCH(AC143,$B$17:$B$77,1))+(AC143-INDEX($B$17:$B$77,MATCH(AC143,$B$17:$B$77,1)))/(INDEX($B$17:$B$77,MATCH(AC143,$B$17:$B$77,1)+1)-INDEX($B$17:$B$77,MATCH(AC143,$B$17:$B$77,1)))*(INDEX($C$17:$C$77,MATCH(AC143,$B$17:$B$77,1)+1)-INDEX($C$17:$C$77,MATCH(AC143,$B$17:$B$77,1))))))*AC141</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C1806-D4DF-3043-8701-E47F33675352}">
  <dimension ref="A1:F15"/>
  <sheetViews>
    <sheetView workbookViewId="0">
      <selection activeCell="D20" sqref="D20"/>
    </sheetView>
  </sheetViews>
  <sheetFormatPr baseColWidth="10" defaultRowHeight="16" x14ac:dyDescent="0.2"/>
  <cols>
    <col min="1" max="1" width="14.1640625" customWidth="1"/>
    <col min="2" max="2" width="8.33203125" customWidth="1"/>
    <col min="3" max="3" width="46.6640625" customWidth="1"/>
    <col min="4" max="4" width="80" customWidth="1"/>
    <col min="5" max="6" width="46.6640625" customWidth="1"/>
  </cols>
  <sheetData>
    <row r="1" spans="1:6" x14ac:dyDescent="0.2">
      <c r="A1" s="2" t="s">
        <v>566</v>
      </c>
      <c r="B1" s="2" t="s">
        <v>567</v>
      </c>
      <c r="C1" s="2" t="s">
        <v>568</v>
      </c>
      <c r="D1" s="2" t="s">
        <v>569</v>
      </c>
      <c r="E1" s="2" t="s">
        <v>570</v>
      </c>
    </row>
    <row r="2" spans="1:6" ht="102" x14ac:dyDescent="0.2">
      <c r="A2" s="9">
        <v>46162</v>
      </c>
      <c r="B2" s="10">
        <v>0</v>
      </c>
      <c r="C2" s="10" t="s">
        <v>571</v>
      </c>
      <c r="D2" s="10" t="s">
        <v>572</v>
      </c>
      <c r="E2" s="10" t="s">
        <v>573</v>
      </c>
    </row>
    <row r="3" spans="1:6" x14ac:dyDescent="0.2">
      <c r="A3" s="8">
        <v>46162</v>
      </c>
      <c r="B3">
        <v>1</v>
      </c>
      <c r="C3" t="s">
        <v>642</v>
      </c>
      <c r="D3" t="s">
        <v>643</v>
      </c>
      <c r="E3" t="s">
        <v>644</v>
      </c>
    </row>
    <row r="4" spans="1:6" x14ac:dyDescent="0.2">
      <c r="A4" s="33">
        <v>46162</v>
      </c>
      <c r="B4">
        <v>2</v>
      </c>
      <c r="C4" t="s">
        <v>683</v>
      </c>
      <c r="D4" t="s">
        <v>684</v>
      </c>
      <c r="E4" t="s">
        <v>685</v>
      </c>
    </row>
    <row r="5" spans="1:6" ht="409.6" x14ac:dyDescent="0.2">
      <c r="A5" s="9">
        <v>46162</v>
      </c>
      <c r="B5" s="10" t="s">
        <v>789</v>
      </c>
      <c r="C5" s="10" t="s">
        <v>790</v>
      </c>
      <c r="D5" s="10" t="s">
        <v>791</v>
      </c>
      <c r="E5" s="10" t="s">
        <v>792</v>
      </c>
    </row>
    <row r="6" spans="1:6" x14ac:dyDescent="0.2">
      <c r="A6">
        <v>46163</v>
      </c>
      <c r="B6" t="s">
        <v>793</v>
      </c>
      <c r="C6" t="s">
        <v>794</v>
      </c>
      <c r="D6" t="s">
        <v>795</v>
      </c>
      <c r="E6" t="s">
        <v>796</v>
      </c>
    </row>
    <row r="7" spans="1:6" x14ac:dyDescent="0.2">
      <c r="A7" s="8">
        <v>46162</v>
      </c>
      <c r="B7">
        <v>4</v>
      </c>
      <c r="C7" t="s">
        <v>939</v>
      </c>
      <c r="D7" t="s">
        <v>940</v>
      </c>
      <c r="E7" t="s">
        <v>941</v>
      </c>
      <c r="F7" t="s">
        <v>942</v>
      </c>
    </row>
    <row r="8" spans="1:6" x14ac:dyDescent="0.2">
      <c r="A8" s="53">
        <v>46162</v>
      </c>
      <c r="B8">
        <v>5</v>
      </c>
      <c r="C8" t="s">
        <v>1076</v>
      </c>
      <c r="D8" t="s">
        <v>1077</v>
      </c>
      <c r="E8" t="s">
        <v>1078</v>
      </c>
      <c r="F8" t="s">
        <v>1079</v>
      </c>
    </row>
    <row r="9" spans="1:6" x14ac:dyDescent="0.2">
      <c r="A9" s="33">
        <f>DATE(2026,5,22)</f>
        <v>46164</v>
      </c>
      <c r="B9">
        <v>7</v>
      </c>
      <c r="C9" t="s">
        <v>1258</v>
      </c>
      <c r="D9" t="s">
        <v>1259</v>
      </c>
      <c r="E9" t="s">
        <v>1260</v>
      </c>
      <c r="F9" t="s">
        <v>1261</v>
      </c>
    </row>
    <row r="10" spans="1:6" x14ac:dyDescent="0.2">
      <c r="A10" s="8">
        <v>46164</v>
      </c>
      <c r="B10">
        <v>8</v>
      </c>
      <c r="C10" t="s">
        <v>1333</v>
      </c>
      <c r="D10" t="s">
        <v>1334</v>
      </c>
      <c r="E10" t="s">
        <v>1335</v>
      </c>
      <c r="F10" t="s">
        <v>1336</v>
      </c>
    </row>
    <row r="11" spans="1:6" x14ac:dyDescent="0.2">
      <c r="A11" s="60">
        <f>DATE(2026,5,22)</f>
        <v>46164</v>
      </c>
      <c r="B11" t="s">
        <v>1337</v>
      </c>
      <c r="C11" t="s">
        <v>1338</v>
      </c>
      <c r="D11" t="s">
        <v>1339</v>
      </c>
      <c r="E11" t="s">
        <v>1340</v>
      </c>
      <c r="F11" t="s">
        <v>1341</v>
      </c>
    </row>
    <row r="12" spans="1:6" ht="272" x14ac:dyDescent="0.2">
      <c r="A12" s="65">
        <v>46164</v>
      </c>
      <c r="B12" s="66">
        <v>9</v>
      </c>
      <c r="C12" s="66" t="s">
        <v>1438</v>
      </c>
      <c r="D12" s="66" t="s">
        <v>1439</v>
      </c>
      <c r="E12" s="66" t="s">
        <v>1440</v>
      </c>
      <c r="F12" s="66" t="s">
        <v>1441</v>
      </c>
    </row>
    <row r="13" spans="1:6" ht="255" x14ac:dyDescent="0.2">
      <c r="A13" s="9">
        <v>46168</v>
      </c>
      <c r="B13" s="10">
        <v>10</v>
      </c>
      <c r="C13" s="10" t="s">
        <v>1503</v>
      </c>
      <c r="D13" s="10" t="s">
        <v>1504</v>
      </c>
      <c r="E13" s="10" t="s">
        <v>1505</v>
      </c>
      <c r="F13" s="10" t="s">
        <v>1506</v>
      </c>
    </row>
    <row r="14" spans="1:6" x14ac:dyDescent="0.2">
      <c r="A14" s="8">
        <v>46168</v>
      </c>
      <c r="B14">
        <v>10.5</v>
      </c>
      <c r="C14" t="s">
        <v>1645</v>
      </c>
      <c r="D14" t="s">
        <v>1646</v>
      </c>
      <c r="E14" t="s">
        <v>1647</v>
      </c>
      <c r="F14" t="s">
        <v>1648</v>
      </c>
    </row>
    <row r="15" spans="1:6" x14ac:dyDescent="0.2">
      <c r="A15" s="8">
        <v>46168</v>
      </c>
      <c r="B15" t="s">
        <v>1651</v>
      </c>
      <c r="C15" t="s">
        <v>1652</v>
      </c>
      <c r="D15" t="s">
        <v>1653</v>
      </c>
      <c r="E15" t="s">
        <v>1654</v>
      </c>
      <c r="F15" t="s">
        <v>1655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Assumptions</vt:lpstr>
      <vt:lpstr>Allocator</vt:lpstr>
      <vt:lpstr>Launch Capacity</vt:lpstr>
      <vt:lpstr>Customer Launch</vt:lpstr>
      <vt:lpstr>Starlink</vt:lpstr>
      <vt:lpstr>Starlink Capacity</vt:lpstr>
      <vt:lpstr>ODC</vt:lpstr>
      <vt:lpstr>AI Stack</vt:lpstr>
      <vt:lpstr>Lunar Mars</vt:lpstr>
      <vt:lpstr>Group P&amp;L</vt:lpstr>
      <vt:lpstr>OpEx</vt:lpstr>
      <vt:lpstr>CapEx</vt:lpstr>
      <vt:lpstr>Valuation</vt:lpstr>
      <vt:lpstr>Demand Curves</vt:lpstr>
      <vt:lpstr>Claude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 Saigau</dc:creator>
  <cp:lastModifiedBy>Vlad Saigau</cp:lastModifiedBy>
  <dcterms:created xsi:type="dcterms:W3CDTF">2026-05-19T20:04:00Z</dcterms:created>
  <dcterms:modified xsi:type="dcterms:W3CDTF">2026-05-26T17:13:51Z</dcterms:modified>
</cp:coreProperties>
</file>