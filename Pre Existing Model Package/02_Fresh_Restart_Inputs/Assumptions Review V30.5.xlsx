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 Review" sheetId="1" state="visible" r:id="rId1"/>
  </sheets>
  <definedNames>
    <definedName name="_xlnm._FilterDatabase" localSheetId="0" hidden="1">'Assumptions Review'!$A$1:$J$281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50" customWidth="1" min="4" max="4"/>
    <col width="18" customWidth="1" min="5" max="5"/>
    <col width="35" customWidth="1" min="6" max="6"/>
    <col width="14" customWidth="1" min="7" max="7"/>
    <col width="50" customWidth="1" min="8" max="8"/>
    <col width="24" customWidth="1" min="9" max="9"/>
    <col width="30" customWidth="1" min="10" max="10"/>
  </cols>
  <sheetData>
    <row r="1">
      <c r="A1" s="1" t="inlineStr">
        <is>
          <t>Cell (V30.5)</t>
        </is>
      </c>
      <c r="B1" s="1" t="inlineStr">
        <is>
          <t>Category</t>
        </is>
      </c>
      <c r="C1" s="1" t="inlineStr">
        <is>
          <t>Sub-section</t>
        </is>
      </c>
      <c r="D1" s="1" t="inlineStr">
        <is>
          <t>Label</t>
        </is>
      </c>
      <c r="E1" s="1" t="inlineStr">
        <is>
          <t>Current Value</t>
        </is>
      </c>
      <c r="F1" s="1" t="inlineStr">
        <is>
          <t>Year-row pattern (D / I / S / AC)</t>
        </is>
      </c>
      <c r="G1" s="1" t="inlineStr">
        <is>
          <t>Status</t>
        </is>
      </c>
      <c r="H1" s="1" t="inlineStr">
        <is>
          <t>Epistemic / source note</t>
        </is>
      </c>
      <c r="I1" s="1" t="inlineStr">
        <is>
          <t>Vlad: HOLD / CHANGE / TBD / NEW</t>
        </is>
      </c>
      <c r="J1" s="1" t="inlineStr">
        <is>
          <t>Vlad: notes</t>
        </is>
      </c>
    </row>
    <row r="2">
      <c r="A2" t="inlineStr">
        <is>
          <t>R121</t>
        </is>
      </c>
      <c r="B2" t="inlineStr">
        <is>
          <t>GLOBAL</t>
        </is>
      </c>
      <c r="C2" t="inlineStr">
        <is>
          <t>Time horizon</t>
        </is>
      </c>
      <c r="D2" s="2" t="inlineStr">
        <is>
          <t>Time horizon start year</t>
        </is>
      </c>
      <c r="E2" t="inlineStr">
        <is>
          <t>(blank)</t>
        </is>
      </c>
      <c r="F2" t="inlineStr"/>
      <c r="G2" s="3" t="inlineStr">
        <is>
          <t>STALE</t>
        </is>
      </c>
      <c r="H2" s="2" t="inlineStr">
        <is>
          <t>Spec history locks 2025. Hardcode as constant, drop input row.</t>
        </is>
      </c>
      <c r="J2" s="2" t="n"/>
    </row>
    <row r="3">
      <c r="A3" t="inlineStr">
        <is>
          <t>R122</t>
        </is>
      </c>
      <c r="B3" t="inlineStr">
        <is>
          <t>GLOBAL</t>
        </is>
      </c>
      <c r="C3" t="inlineStr">
        <is>
          <t>Time horizon</t>
        </is>
      </c>
      <c r="D3" s="2" t="inlineStr">
        <is>
          <t>Time horizon end year</t>
        </is>
      </c>
      <c r="E3" t="inlineStr">
        <is>
          <t>(blank)</t>
        </is>
      </c>
      <c r="F3" t="inlineStr"/>
      <c r="G3" s="3" t="inlineStr">
        <is>
          <t>STALE</t>
        </is>
      </c>
      <c r="H3" s="2" t="inlineStr">
        <is>
          <t>Spec history locks 2050. Hardcode as constant.</t>
        </is>
      </c>
      <c r="J3" s="2" t="n"/>
    </row>
    <row r="4">
      <c r="A4" t="inlineStr">
        <is>
          <t>R123</t>
        </is>
      </c>
      <c r="B4" t="inlineStr">
        <is>
          <t>GLOBAL</t>
        </is>
      </c>
      <c r="C4" t="inlineStr">
        <is>
          <t>Discount</t>
        </is>
      </c>
      <c r="D4" s="2" t="inlineStr">
        <is>
          <t>Discount rate / WACC</t>
        </is>
      </c>
      <c r="E4" t="inlineStr">
        <is>
          <t>(blank)</t>
        </is>
      </c>
      <c r="F4" t="inlineStr"/>
      <c r="G4" s="3" t="inlineStr">
        <is>
          <t>STALE</t>
        </is>
      </c>
      <c r="H4" s="2" t="inlineStr">
        <is>
          <t>Duplicates R329 Group WACC = 10%. Drop.</t>
        </is>
      </c>
      <c r="J4" s="2" t="n"/>
    </row>
    <row r="5">
      <c r="A5" t="inlineStr">
        <is>
          <t>R124</t>
        </is>
      </c>
      <c r="B5" t="inlineStr">
        <is>
          <t>GLOBAL</t>
        </is>
      </c>
      <c r="C5" t="inlineStr">
        <is>
          <t>Inflation</t>
        </is>
      </c>
      <c r="D5" s="2" t="inlineStr">
        <is>
          <t>Inflation rate (general)</t>
        </is>
      </c>
      <c r="E5" t="inlineStr">
        <is>
          <t>(blank)</t>
        </is>
      </c>
      <c r="F5" t="inlineStr"/>
      <c r="G5" s="3" t="inlineStr">
        <is>
          <t>STALE</t>
        </is>
      </c>
      <c r="H5" s="2" t="inlineStr">
        <is>
          <t>Duplicates R56 TAM inflation = 2.5%. Drop.</t>
        </is>
      </c>
      <c r="J5" s="2" t="n"/>
    </row>
    <row r="6">
      <c r="A6" t="inlineStr">
        <is>
          <t>R125</t>
        </is>
      </c>
      <c r="B6" t="inlineStr">
        <is>
          <t>GLOBAL</t>
        </is>
      </c>
      <c r="C6" t="inlineStr">
        <is>
          <t>Tax</t>
        </is>
      </c>
      <c r="D6" s="2" t="inlineStr">
        <is>
          <t>Tax rate</t>
        </is>
      </c>
      <c r="E6" t="inlineStr">
        <is>
          <t>(blank)</t>
        </is>
      </c>
      <c r="F6" t="inlineStr"/>
      <c r="G6" s="3" t="inlineStr">
        <is>
          <t>STALE</t>
        </is>
      </c>
      <c r="H6" s="2" t="inlineStr">
        <is>
          <t>Duplicates R201 Corporate tax rate = 21%.</t>
        </is>
      </c>
      <c r="J6" s="2" t="n"/>
    </row>
    <row r="7">
      <c r="A7" t="inlineStr">
        <is>
          <t>R126</t>
        </is>
      </c>
      <c r="B7" t="inlineStr">
        <is>
          <t>GLOBAL</t>
        </is>
      </c>
      <c r="C7" t="inlineStr">
        <is>
          <t>Currency</t>
        </is>
      </c>
      <c r="D7" s="2" t="inlineStr">
        <is>
          <t>Currency</t>
        </is>
      </c>
      <c r="E7" t="inlineStr">
        <is>
          <t>(blank)</t>
        </is>
      </c>
      <c r="F7" t="inlineStr"/>
      <c r="G7" s="3" t="inlineStr">
        <is>
          <t>STALE</t>
        </is>
      </c>
      <c r="H7" s="2" t="inlineStr">
        <is>
          <t>Constant ($mm). Drop input row.</t>
        </is>
      </c>
      <c r="J7" s="2" t="n"/>
    </row>
    <row r="8">
      <c r="A8" t="inlineStr">
        <is>
          <t>R201</t>
        </is>
      </c>
      <c r="B8" t="inlineStr">
        <is>
          <t>GLOBAL</t>
        </is>
      </c>
      <c r="C8" t="inlineStr">
        <is>
          <t>Tax</t>
        </is>
      </c>
      <c r="D8" s="2" t="inlineStr">
        <is>
          <t>Corporate tax rate</t>
        </is>
      </c>
      <c r="E8" t="inlineStr">
        <is>
          <t>0.21</t>
        </is>
      </c>
      <c r="F8" t="inlineStr"/>
      <c r="G8" s="4" t="inlineStr">
        <is>
          <t>OPERATIVE</t>
        </is>
      </c>
      <c r="H8" s="2" t="inlineStr">
        <is>
          <t>21% federal + state blended. Standard US corporate.</t>
        </is>
      </c>
      <c r="J8" s="2" t="n"/>
    </row>
    <row r="9">
      <c r="A9" t="inlineStr">
        <is>
          <t>R338</t>
        </is>
      </c>
      <c r="B9" t="inlineStr">
        <is>
          <t>GLOBAL</t>
        </is>
      </c>
      <c r="C9" t="inlineStr">
        <is>
          <t>Tax</t>
        </is>
      </c>
      <c r="D9" s="2" t="inlineStr">
        <is>
          <t>Tax rate (Spec 09 duplicate)</t>
        </is>
      </c>
      <c r="E9" t="inlineStr">
        <is>
          <t>0.21</t>
        </is>
      </c>
      <c r="F9" t="inlineStr"/>
      <c r="G9" s="3" t="inlineStr">
        <is>
          <t>STALE</t>
        </is>
      </c>
      <c r="H9" s="2" t="inlineStr">
        <is>
          <t>Duplicate of R201. Consolidate.</t>
        </is>
      </c>
      <c r="J9" s="2" t="n"/>
    </row>
    <row r="10">
      <c r="A10" t="inlineStr">
        <is>
          <t>R56</t>
        </is>
      </c>
      <c r="B10" t="inlineStr">
        <is>
          <t>GLOBAL</t>
        </is>
      </c>
      <c r="C10" t="inlineStr">
        <is>
          <t>Inflation</t>
        </is>
      </c>
      <c r="D10" s="2" t="inlineStr">
        <is>
          <t>TAM Inflation Rate (annual)</t>
        </is>
      </c>
      <c r="E10" t="inlineStr">
        <is>
          <t>0.025</t>
        </is>
      </c>
      <c r="F10" t="inlineStr"/>
      <c r="G10" s="4" t="inlineStr">
        <is>
          <t>OPERATIVE</t>
        </is>
      </c>
      <c r="H10" s="2" t="inlineStr">
        <is>
          <t>Mach33 TAM growth assumption. MC [0.01, 0.05].</t>
        </is>
      </c>
      <c r="J10" s="2" t="n"/>
    </row>
    <row r="11">
      <c r="A11" t="inlineStr">
        <is>
          <t>R57</t>
        </is>
      </c>
      <c r="B11" t="inlineStr">
        <is>
          <t>GLOBAL</t>
        </is>
      </c>
      <c r="C11" t="inlineStr">
        <is>
          <t>Macro</t>
        </is>
      </c>
      <c r="D11" s="2" t="inlineStr">
        <is>
          <t>GNI per Capita Growth Rate (annual)</t>
        </is>
      </c>
      <c r="E11" t="inlineStr">
        <is>
          <t>0.03</t>
        </is>
      </c>
      <c r="F11" t="inlineStr"/>
      <c r="G11" s="4" t="inlineStr">
        <is>
          <t>OPERATIVE</t>
        </is>
      </c>
      <c r="H11" s="2" t="inlineStr">
        <is>
          <t>Used in Starlink demand-curve scaling.</t>
        </is>
      </c>
      <c r="J11" s="2" t="n"/>
    </row>
    <row r="12">
      <c r="A12" t="inlineStr">
        <is>
          <t>R26</t>
        </is>
      </c>
      <c r="B12" t="inlineStr">
        <is>
          <t>STARLINK</t>
        </is>
      </c>
      <c r="C12" t="inlineStr">
        <is>
          <t>Sat physical</t>
        </is>
      </c>
      <c r="D12" s="2" t="inlineStr">
        <is>
          <t>V2 Mini Mass (kg)</t>
        </is>
      </c>
      <c r="E12" t="inlineStr">
        <is>
          <t>575</t>
        </is>
      </c>
      <c r="F12" t="inlineStr"/>
      <c r="G12" s="4" t="inlineStr">
        <is>
          <t>OPERATIVE</t>
        </is>
      </c>
      <c r="H12" s="2" t="inlineStr">
        <is>
          <t>V2 Mini disclosed mass. Anchor.</t>
        </is>
      </c>
      <c r="J12" s="2" t="n"/>
    </row>
    <row r="13">
      <c r="A13" t="inlineStr">
        <is>
          <t>R27</t>
        </is>
      </c>
      <c r="B13" t="inlineStr">
        <is>
          <t>STARLINK</t>
        </is>
      </c>
      <c r="C13" t="inlineStr">
        <is>
          <t>Sat physical</t>
        </is>
      </c>
      <c r="D13" s="2" t="inlineStr">
        <is>
          <t>V3 Mass (kg)</t>
        </is>
      </c>
      <c r="E13" t="inlineStr">
        <is>
          <t>2000</t>
        </is>
      </c>
      <c r="F13" t="inlineStr"/>
      <c r="G13" s="4" t="inlineStr">
        <is>
          <t>OPERATIVE</t>
        </is>
      </c>
      <c r="H13" s="2" t="inlineStr">
        <is>
          <t>V3 estimated mass; MC [1800, 2200]. Pending confirmation.</t>
        </is>
      </c>
      <c r="J13" s="2" t="n"/>
    </row>
    <row r="14">
      <c r="A14" t="inlineStr">
        <is>
          <t>R28</t>
        </is>
      </c>
      <c r="B14" t="inlineStr">
        <is>
          <t>STARLINK</t>
        </is>
      </c>
      <c r="C14" t="inlineStr">
        <is>
          <t>Sat physical</t>
        </is>
      </c>
      <c r="D14" s="2" t="inlineStr">
        <is>
          <t>V2 Mini Bandwidth per Sat — BB (Gbps)</t>
        </is>
      </c>
      <c r="E14" t="inlineStr">
        <is>
          <t>96</t>
        </is>
      </c>
      <c r="F14" t="inlineStr"/>
      <c r="G14" s="4" t="inlineStr">
        <is>
          <t>OPERATIVE</t>
        </is>
      </c>
      <c r="H14" s="2" t="inlineStr">
        <is>
          <t>Disclosed V2 capacity. Anchor.</t>
        </is>
      </c>
      <c r="J14" s="2" t="n"/>
    </row>
    <row r="15">
      <c r="A15" t="inlineStr">
        <is>
          <t>R29</t>
        </is>
      </c>
      <c r="B15" t="inlineStr">
        <is>
          <t>STARLINK</t>
        </is>
      </c>
      <c r="C15" t="inlineStr">
        <is>
          <t>Sat physical</t>
        </is>
      </c>
      <c r="D15" s="2" t="inlineStr">
        <is>
          <t>V2 Mini Bandwidth per Sat — DTC (Gbps)</t>
        </is>
      </c>
      <c r="E15" t="inlineStr">
        <is>
          <t>0.2</t>
        </is>
      </c>
      <c r="F15" t="inlineStr"/>
      <c r="G15" s="4" t="inlineStr">
        <is>
          <t>OPERATIVE</t>
        </is>
      </c>
      <c r="H15" s="2" t="inlineStr">
        <is>
          <t>DTC slim slice; MC [2, 4.5]. Pending DTC ramp data.</t>
        </is>
      </c>
      <c r="J15" s="2" t="n"/>
    </row>
    <row r="16">
      <c r="A16" t="inlineStr">
        <is>
          <t>R30</t>
        </is>
      </c>
      <c r="B16" t="inlineStr">
        <is>
          <t>STARLINK</t>
        </is>
      </c>
      <c r="C16" t="inlineStr">
        <is>
          <t>Sat physical</t>
        </is>
      </c>
      <c r="D16" s="2" t="inlineStr">
        <is>
          <t>V3 Bandwidth per Sat — BB base year (Gbps)</t>
        </is>
      </c>
      <c r="E16" t="inlineStr">
        <is>
          <t>1000</t>
        </is>
      </c>
      <c r="F16" t="inlineStr"/>
      <c r="G16" s="4" t="inlineStr">
        <is>
          <t>OPERATIVE</t>
        </is>
      </c>
      <c r="H16" s="2" t="inlineStr">
        <is>
          <t>V3 design target. Speculative.</t>
        </is>
      </c>
      <c r="J16" s="2" t="n"/>
    </row>
    <row r="17">
      <c r="A17" t="inlineStr">
        <is>
          <t>R31</t>
        </is>
      </c>
      <c r="B17" t="inlineStr">
        <is>
          <t>STARLINK</t>
        </is>
      </c>
      <c r="C17" t="inlineStr">
        <is>
          <t>Sat physical</t>
        </is>
      </c>
      <c r="D17" s="2" t="inlineStr">
        <is>
          <t>V3 Bandwidth per Sat — DTC (Gbps)</t>
        </is>
      </c>
      <c r="E17" t="inlineStr">
        <is>
          <t>2.75</t>
        </is>
      </c>
      <c r="F17" t="inlineStr"/>
      <c r="G17" s="4" t="inlineStr">
        <is>
          <t>OPERATIVE</t>
        </is>
      </c>
      <c r="H17" s="2" t="inlineStr">
        <is>
          <t>V3 DTC design; MC [1, 5].</t>
        </is>
      </c>
      <c r="J17" s="2" t="n"/>
    </row>
    <row r="18">
      <c r="A18" t="inlineStr">
        <is>
          <t>R32</t>
        </is>
      </c>
      <c r="B18" t="inlineStr">
        <is>
          <t>STARLINK</t>
        </is>
      </c>
      <c r="C18" t="inlineStr">
        <is>
          <t>Sat physical</t>
        </is>
      </c>
      <c r="D18" s="2" t="inlineStr">
        <is>
          <t>Satellite Useful Life — V2 Mini (Years)</t>
        </is>
      </c>
      <c r="E18" t="inlineStr">
        <is>
          <t>5</t>
        </is>
      </c>
      <c r="F18" t="inlineStr"/>
      <c r="G18" s="4" t="inlineStr">
        <is>
          <t>OPERATIVE</t>
        </is>
      </c>
      <c r="H18" s="2" t="inlineStr">
        <is>
          <t>Standard LEO sat useful life.</t>
        </is>
      </c>
      <c r="J18" s="2" t="n"/>
    </row>
    <row r="19">
      <c r="A19" t="inlineStr">
        <is>
          <t>R33</t>
        </is>
      </c>
      <c r="B19" t="inlineStr">
        <is>
          <t>STARLINK</t>
        </is>
      </c>
      <c r="C19" t="inlineStr">
        <is>
          <t>Sat physical</t>
        </is>
      </c>
      <c r="D19" s="2" t="inlineStr">
        <is>
          <t>Satellite Useful Life — V3 (Years)</t>
        </is>
      </c>
      <c r="E19" t="inlineStr">
        <is>
          <t>5</t>
        </is>
      </c>
      <c r="F19" t="inlineStr"/>
      <c r="G19" s="4" t="inlineStr">
        <is>
          <t>OPERATIVE</t>
        </is>
      </c>
      <c r="H19" s="2" t="inlineStr">
        <is>
          <t>Same useful life as V2 unless V3 deorbit changes.</t>
        </is>
      </c>
      <c r="J19" s="2" t="n"/>
    </row>
    <row r="20">
      <c r="A20" t="inlineStr">
        <is>
          <t>R34</t>
        </is>
      </c>
      <c r="B20" t="inlineStr">
        <is>
          <t>STARLINK</t>
        </is>
      </c>
      <c r="C20" t="inlineStr">
        <is>
          <t>Timing</t>
        </is>
      </c>
      <c r="D20" s="2" t="inlineStr">
        <is>
          <t>CapEx Lag (Years)</t>
        </is>
      </c>
      <c r="E20" t="inlineStr">
        <is>
          <t>1</t>
        </is>
      </c>
      <c r="F20" t="inlineStr"/>
      <c r="G20" s="4" t="inlineStr">
        <is>
          <t>OPERATIVE</t>
        </is>
      </c>
      <c r="H20" s="2" t="inlineStr">
        <is>
          <t>Year between mfg CapEx and on-orbit deploy.</t>
        </is>
      </c>
      <c r="J20" s="2" t="n"/>
    </row>
    <row r="21">
      <c r="A21" t="inlineStr">
        <is>
          <t>R38</t>
        </is>
      </c>
      <c r="B21" t="inlineStr">
        <is>
          <t>STARLINK</t>
        </is>
      </c>
      <c r="C21" t="inlineStr">
        <is>
          <t>Wright's Law</t>
        </is>
      </c>
      <c r="D21" s="2" t="inlineStr">
        <is>
          <t>Satellite Cost per kg — base year ($/kg)</t>
        </is>
      </c>
      <c r="E21" t="inlineStr">
        <is>
          <t>650</t>
        </is>
      </c>
      <c r="F21" t="inlineStr"/>
      <c r="G21" s="4" t="inlineStr">
        <is>
          <t>OPERATIVE</t>
        </is>
      </c>
      <c r="H21" s="2" t="inlineStr">
        <is>
          <t>V2 unit cost / mass anchor.</t>
        </is>
      </c>
      <c r="J21" s="2" t="n"/>
    </row>
    <row r="22">
      <c r="A22" t="inlineStr">
        <is>
          <t>R39</t>
        </is>
      </c>
      <c r="B22" t="inlineStr">
        <is>
          <t>STARLINK</t>
        </is>
      </c>
      <c r="C22" t="inlineStr">
        <is>
          <t>Wright's Law</t>
        </is>
      </c>
      <c r="D22" s="2" t="inlineStr">
        <is>
          <t>Satellite Cost per kg — learning rate</t>
        </is>
      </c>
      <c r="E22" t="inlineStr">
        <is>
          <t>0.05</t>
        </is>
      </c>
      <c r="F22" t="inlineStr"/>
      <c r="G22" s="4" t="inlineStr">
        <is>
          <t>OPERATIVE</t>
        </is>
      </c>
      <c r="H22" s="2" t="inlineStr">
        <is>
          <t>5% per doubling cum sats. MC [0.03, 0.17].</t>
        </is>
      </c>
      <c r="J22" s="2" t="n"/>
    </row>
    <row r="23">
      <c r="A23" t="inlineStr">
        <is>
          <t>R40</t>
        </is>
      </c>
      <c r="B23" t="inlineStr">
        <is>
          <t>STARLINK</t>
        </is>
      </c>
      <c r="C23" t="inlineStr">
        <is>
          <t>Wright's Law</t>
        </is>
      </c>
      <c r="D23" s="2" t="inlineStr">
        <is>
          <t>V3 Bandwidth per Sat — learning rate</t>
        </is>
      </c>
      <c r="E23" t="inlineStr">
        <is>
          <t>0.05</t>
        </is>
      </c>
      <c r="F23" t="inlineStr"/>
      <c r="G23" s="4" t="inlineStr">
        <is>
          <t>OPERATIVE</t>
        </is>
      </c>
      <c r="H23" s="2" t="inlineStr">
        <is>
          <t>Bandwidth learning. MC [0.03, 0.17].</t>
        </is>
      </c>
      <c r="J23" s="2" t="n"/>
    </row>
    <row r="24">
      <c r="A24" t="inlineStr">
        <is>
          <t>R41</t>
        </is>
      </c>
      <c r="B24" t="inlineStr">
        <is>
          <t>STARLINK</t>
        </is>
      </c>
      <c r="C24" t="inlineStr">
        <is>
          <t>Wright's Law</t>
        </is>
      </c>
      <c r="D24" s="2" t="inlineStr">
        <is>
          <t>Cumulative sats at base year</t>
        </is>
      </c>
      <c r="E24" t="inlineStr">
        <is>
          <t>7486</t>
        </is>
      </c>
      <c r="F24" t="inlineStr"/>
      <c r="G24" s="4" t="inlineStr">
        <is>
          <t>OPERATIVE</t>
        </is>
      </c>
      <c r="H24" s="2" t="inlineStr">
        <is>
          <t>End-2025 cumulative deployed. Anchor (Mach33 tracking data).</t>
        </is>
      </c>
      <c r="J24" s="2" t="n"/>
    </row>
    <row r="25">
      <c r="A25" t="inlineStr">
        <is>
          <t>R42</t>
        </is>
      </c>
      <c r="B25" t="inlineStr">
        <is>
          <t>STARLINK</t>
        </is>
      </c>
      <c r="C25" t="inlineStr">
        <is>
          <t>Wright's Law</t>
        </is>
      </c>
      <c r="D25" s="2" t="inlineStr">
        <is>
          <t>Satellite Cost floor ($/kg)</t>
        </is>
      </c>
      <c r="E25" t="inlineStr">
        <is>
          <t>400</t>
        </is>
      </c>
      <c r="F25" t="inlineStr"/>
      <c r="G25" s="4" t="inlineStr">
        <is>
          <t>OPERATIVE</t>
        </is>
      </c>
      <c r="H25" s="2" t="inlineStr">
        <is>
          <t>Cost floor — irreducible mfg cost.</t>
        </is>
      </c>
      <c r="J25" s="2" t="n"/>
    </row>
    <row r="26">
      <c r="A26" t="inlineStr">
        <is>
          <t>R43</t>
        </is>
      </c>
      <c r="B26" t="inlineStr">
        <is>
          <t>STARLINK</t>
        </is>
      </c>
      <c r="C26" t="inlineStr">
        <is>
          <t>Wright's Law</t>
        </is>
      </c>
      <c r="D26" s="2" t="inlineStr">
        <is>
          <t>V3 Bandwidth cap (Gbps)</t>
        </is>
      </c>
      <c r="E26" t="inlineStr">
        <is>
          <t>5000</t>
        </is>
      </c>
      <c r="F26" t="inlineStr"/>
      <c r="G26" s="4" t="inlineStr">
        <is>
          <t>OPERATIVE</t>
        </is>
      </c>
      <c r="H26" s="2" t="inlineStr">
        <is>
          <t>Physical bandwidth ceiling. MC [3000, 7000].</t>
        </is>
      </c>
      <c r="J26" s="2" t="n"/>
    </row>
    <row r="27">
      <c r="A27" t="inlineStr">
        <is>
          <t>R44</t>
        </is>
      </c>
      <c r="B27" t="inlineStr">
        <is>
          <t>STARLINK</t>
        </is>
      </c>
      <c r="C27" t="inlineStr">
        <is>
          <t>Wright's Law</t>
        </is>
      </c>
      <c r="D27" s="2" t="inlineStr">
        <is>
          <t>V2 Mini Cost per kg — base year ($/kg)</t>
        </is>
      </c>
      <c r="E27" t="inlineStr">
        <is>
          <t>650</t>
        </is>
      </c>
      <c r="F27" t="inlineStr"/>
      <c r="G27" s="4" t="inlineStr">
        <is>
          <t>OPERATIVE</t>
        </is>
      </c>
      <c r="H27" s="2" t="inlineStr">
        <is>
          <t>Same as R38 for V2 Mini (shared base).</t>
        </is>
      </c>
      <c r="J27" s="2" t="n"/>
    </row>
    <row r="28">
      <c r="A28" t="inlineStr">
        <is>
          <t>R45</t>
        </is>
      </c>
      <c r="B28" t="inlineStr">
        <is>
          <t>STARLINK</t>
        </is>
      </c>
      <c r="C28" t="inlineStr">
        <is>
          <t>Wright's Law</t>
        </is>
      </c>
      <c r="D28" s="2" t="inlineStr">
        <is>
          <t>V2 Mini Cost per kg — learning rate</t>
        </is>
      </c>
      <c r="E28" t="inlineStr">
        <is>
          <t>0.05</t>
        </is>
      </c>
      <c r="F28" t="inlineStr"/>
      <c r="G28" s="4" t="inlineStr">
        <is>
          <t>OPERATIVE</t>
        </is>
      </c>
      <c r="H28" s="2" t="inlineStr">
        <is>
          <t>MC [0.03, 0.10].</t>
        </is>
      </c>
      <c r="J28" s="2" t="n"/>
    </row>
    <row r="29">
      <c r="A29" t="inlineStr">
        <is>
          <t>R46</t>
        </is>
      </c>
      <c r="B29" t="inlineStr">
        <is>
          <t>STARLINK</t>
        </is>
      </c>
      <c r="C29" t="inlineStr">
        <is>
          <t>Wright's Law</t>
        </is>
      </c>
      <c r="D29" s="2" t="inlineStr">
        <is>
          <t>V2 Mini Cost floor ($/kg)</t>
        </is>
      </c>
      <c r="E29" t="inlineStr">
        <is>
          <t>400</t>
        </is>
      </c>
      <c r="F29" t="inlineStr"/>
      <c r="G29" s="4" t="inlineStr">
        <is>
          <t>OPERATIVE</t>
        </is>
      </c>
      <c r="H29" s="2" t="inlineStr">
        <is>
          <t>Symmetric with V3.</t>
        </is>
      </c>
      <c r="J29" s="2" t="n"/>
    </row>
    <row r="30">
      <c r="A30" t="inlineStr">
        <is>
          <t>R51</t>
        </is>
      </c>
      <c r="B30" t="inlineStr">
        <is>
          <t>STARLINK</t>
        </is>
      </c>
      <c r="C30" t="inlineStr">
        <is>
          <t>Starshield</t>
        </is>
      </c>
      <c r="D30" s="2" t="inlineStr">
        <is>
          <t>Starshield Reserved % — start</t>
        </is>
      </c>
      <c r="E30" t="inlineStr">
        <is>
          <t>0.0257</t>
        </is>
      </c>
      <c r="F30" t="inlineStr"/>
      <c r="G30" s="4" t="inlineStr">
        <is>
          <t>OPERATIVE</t>
        </is>
      </c>
      <c r="H30" s="2" t="inlineStr">
        <is>
          <t>2.57% of bandwidth reserved 2025; MC [0.015, 0.04].</t>
        </is>
      </c>
      <c r="J30" s="2" t="n"/>
    </row>
    <row r="31">
      <c r="A31" t="inlineStr">
        <is>
          <t>R52</t>
        </is>
      </c>
      <c r="B31" t="inlineStr">
        <is>
          <t>STARLINK</t>
        </is>
      </c>
      <c r="C31" t="inlineStr">
        <is>
          <t>Starshield</t>
        </is>
      </c>
      <c r="D31" s="2" t="inlineStr">
        <is>
          <t>Starshield Reserved % — floor</t>
        </is>
      </c>
      <c r="E31" t="inlineStr">
        <is>
          <t>0.0001</t>
        </is>
      </c>
      <c r="F31" t="inlineStr"/>
      <c r="G31" s="4" t="inlineStr">
        <is>
          <t>OPERATIVE</t>
        </is>
      </c>
      <c r="H31" s="2" t="inlineStr">
        <is>
          <t>Decays toward 0.01%.</t>
        </is>
      </c>
      <c r="J31" s="2" t="n"/>
    </row>
    <row r="32">
      <c r="A32" t="inlineStr">
        <is>
          <t>R53</t>
        </is>
      </c>
      <c r="B32" t="inlineStr">
        <is>
          <t>STARLINK</t>
        </is>
      </c>
      <c r="C32" t="inlineStr">
        <is>
          <t>Starshield</t>
        </is>
      </c>
      <c r="D32" s="2" t="inlineStr">
        <is>
          <t>Starshield Reserved % — decay rate</t>
        </is>
      </c>
      <c r="E32" t="inlineStr">
        <is>
          <t>1</t>
        </is>
      </c>
      <c r="F32" t="inlineStr"/>
      <c r="G32" s="4" t="inlineStr">
        <is>
          <t>OPERATIVE</t>
        </is>
      </c>
      <c r="H32" s="2" t="inlineStr">
        <is>
          <t>Decay rate per yr. NOTE: 1.0 = 100%/yr decay — verify.</t>
        </is>
      </c>
      <c r="J32" s="2" t="n"/>
    </row>
    <row r="33">
      <c r="A33" t="inlineStr">
        <is>
          <t>R54</t>
        </is>
      </c>
      <c r="B33" t="inlineStr">
        <is>
          <t>STARLINK</t>
        </is>
      </c>
      <c r="C33" t="inlineStr">
        <is>
          <t>Starshield</t>
        </is>
      </c>
      <c r="D33" s="2" t="inlineStr">
        <is>
          <t>Starshield Rev per Gbps — base year ($/Gbps)</t>
        </is>
      </c>
      <c r="E33" t="inlineStr">
        <is>
          <t>167421</t>
        </is>
      </c>
      <c r="F33" t="inlineStr"/>
      <c r="G33" s="4" t="inlineStr">
        <is>
          <t>OPERATIVE</t>
        </is>
      </c>
      <c r="H33" s="2" t="inlineStr">
        <is>
          <t>DoD premium pricing. MC [120K, 220K].</t>
        </is>
      </c>
      <c r="J33" s="2" t="n"/>
    </row>
    <row r="34">
      <c r="A34" t="inlineStr">
        <is>
          <t>R55</t>
        </is>
      </c>
      <c r="B34" t="inlineStr">
        <is>
          <t>STARLINK</t>
        </is>
      </c>
      <c r="C34" t="inlineStr">
        <is>
          <t>Starshield</t>
        </is>
      </c>
      <c r="D34" s="2" t="inlineStr">
        <is>
          <t>Starshield Rev per Gbps — decay rate</t>
        </is>
      </c>
      <c r="E34" t="inlineStr">
        <is>
          <t>0.05</t>
        </is>
      </c>
      <c r="F34" t="inlineStr"/>
      <c r="G34" s="4" t="inlineStr">
        <is>
          <t>OPERATIVE</t>
        </is>
      </c>
      <c r="H34" s="2" t="inlineStr">
        <is>
          <t>Price compression.</t>
        </is>
      </c>
      <c r="J34" s="2" t="n"/>
    </row>
    <row r="35">
      <c r="A35" t="inlineStr">
        <is>
          <t>R70</t>
        </is>
      </c>
      <c r="B35" t="inlineStr">
        <is>
          <t>STARLINK</t>
        </is>
      </c>
      <c r="C35" t="inlineStr">
        <is>
          <t>Depreciation</t>
        </is>
      </c>
      <c r="D35" s="2" t="inlineStr">
        <is>
          <t>Satellite Dep per kg — base year ($/kg/yr)</t>
        </is>
      </c>
      <c r="E35" t="inlineStr">
        <is>
          <t>128.8</t>
        </is>
      </c>
      <c r="F35" t="inlineStr"/>
      <c r="G35" s="4" t="inlineStr">
        <is>
          <t>OPERATIVE</t>
        </is>
      </c>
      <c r="H35" s="2" t="inlineStr">
        <is>
          <t>Direct depreciation rate (= cost / useful life adjusted).</t>
        </is>
      </c>
      <c r="J35" s="2" t="n"/>
    </row>
    <row r="36">
      <c r="A36" t="inlineStr">
        <is>
          <t>R71</t>
        </is>
      </c>
      <c r="B36" t="inlineStr">
        <is>
          <t>STARLINK</t>
        </is>
      </c>
      <c r="C36" t="inlineStr">
        <is>
          <t>Depreciation</t>
        </is>
      </c>
      <c r="D36" s="2" t="inlineStr">
        <is>
          <t>Satellite Dep per kg — annual decay rate</t>
        </is>
      </c>
      <c r="E36" t="inlineStr">
        <is>
          <t>0.01</t>
        </is>
      </c>
      <c r="F36" t="inlineStr"/>
      <c r="G36" s="4" t="inlineStr">
        <is>
          <t>OPERATIVE</t>
        </is>
      </c>
      <c r="H36" s="2" t="inlineStr">
        <is>
          <t>Annual decline in dep rate.</t>
        </is>
      </c>
      <c r="J36" s="2" t="n"/>
    </row>
    <row r="37">
      <c r="A37" t="inlineStr">
        <is>
          <t>R72</t>
        </is>
      </c>
      <c r="B37" t="inlineStr">
        <is>
          <t>STARLINK</t>
        </is>
      </c>
      <c r="C37" t="inlineStr">
        <is>
          <t>Depreciation</t>
        </is>
      </c>
      <c r="D37" s="2" t="inlineStr">
        <is>
          <t>Constellation Depreciation in COGS (%)</t>
        </is>
      </c>
      <c r="E37" t="inlineStr">
        <is>
          <t>1</t>
        </is>
      </c>
      <c r="F37" t="inlineStr"/>
      <c r="G37" s="5" t="inlineStr">
        <is>
          <t>DECORATIVE</t>
        </is>
      </c>
      <c r="H37" s="2" t="inlineStr">
        <is>
          <t>Sprint 0 toggle, retired by Refine Spec 01 (100% in COGS). Drop in rebuild.</t>
        </is>
      </c>
      <c r="J37" s="2" t="n"/>
    </row>
    <row r="38">
      <c r="A38" t="inlineStr">
        <is>
          <t>R73</t>
        </is>
      </c>
      <c r="B38" t="inlineStr">
        <is>
          <t>STARLINK</t>
        </is>
      </c>
      <c r="C38" t="inlineStr">
        <is>
          <t>CapEx</t>
        </is>
      </c>
      <c r="D38" s="2" t="inlineStr">
        <is>
          <t>Facility CapEx per satellite — base year ($)</t>
        </is>
      </c>
      <c r="E38" t="inlineStr">
        <is>
          <t>90650</t>
        </is>
      </c>
      <c r="F38" t="inlineStr"/>
      <c r="G38" s="4" t="inlineStr">
        <is>
          <t>OPERATIVE</t>
        </is>
      </c>
      <c r="H38" s="2" t="inlineStr">
        <is>
          <t>Per-sat ground-segment / facility allocation.</t>
        </is>
      </c>
      <c r="J38" s="2" t="n"/>
    </row>
    <row r="39">
      <c r="A39" t="inlineStr">
        <is>
          <t>R74</t>
        </is>
      </c>
      <c r="B39" t="inlineStr">
        <is>
          <t>STARLINK</t>
        </is>
      </c>
      <c r="C39" t="inlineStr">
        <is>
          <t>CapEx</t>
        </is>
      </c>
      <c r="D39" s="2" t="inlineStr">
        <is>
          <t>Facility CapEx — learning rate</t>
        </is>
      </c>
      <c r="E39" t="inlineStr">
        <is>
          <t>0.1</t>
        </is>
      </c>
      <c r="F39" t="inlineStr"/>
      <c r="G39" s="4" t="inlineStr">
        <is>
          <t>OPERATIVE</t>
        </is>
      </c>
      <c r="H39" s="2" t="inlineStr">
        <is>
          <t>10% per doubling. MC [0.05, 0.15].</t>
        </is>
      </c>
      <c r="J39" s="2" t="n"/>
    </row>
    <row r="40">
      <c r="A40" t="inlineStr">
        <is>
          <t>R78</t>
        </is>
      </c>
      <c r="B40" t="inlineStr">
        <is>
          <t>STARLINK</t>
        </is>
      </c>
      <c r="C40" t="inlineStr">
        <is>
          <t>BB/DTC engine (LEGACY)</t>
        </is>
      </c>
      <c r="D40" s="2" t="inlineStr">
        <is>
          <t>Allocation Floor (min share per segment)</t>
        </is>
      </c>
      <c r="E40" t="inlineStr">
        <is>
          <t>0.15</t>
        </is>
      </c>
      <c r="F40" t="inlineStr"/>
      <c r="G40" s="3" t="inlineStr">
        <is>
          <t>STALE</t>
        </is>
      </c>
      <c r="H40" s="2" t="inlineStr">
        <is>
          <t>Old sigmoid floor. Spec 09 replaces with fixed market mix R39/R40 = 0.85/0.15.</t>
        </is>
      </c>
      <c r="J40" s="2" t="n"/>
    </row>
    <row r="41">
      <c r="A41" t="inlineStr">
        <is>
          <t>R79</t>
        </is>
      </c>
      <c r="B41" t="inlineStr">
        <is>
          <t>STARLINK</t>
        </is>
      </c>
      <c r="C41" t="inlineStr">
        <is>
          <t>BB/DTC engine (LEGACY)</t>
        </is>
      </c>
      <c r="D41" s="2" t="inlineStr">
        <is>
          <t>Allocation Ceiling (max share per segment)</t>
        </is>
      </c>
      <c r="E41" t="inlineStr">
        <is>
          <t>0.85</t>
        </is>
      </c>
      <c r="F41" t="inlineStr"/>
      <c r="G41" s="3" t="inlineStr">
        <is>
          <t>STALE</t>
        </is>
      </c>
      <c r="H41" s="2" t="inlineStr">
        <is>
          <t>Same — superseded by Spec 09.</t>
        </is>
      </c>
      <c r="J41" s="2" t="n"/>
    </row>
    <row r="42">
      <c r="A42" t="inlineStr">
        <is>
          <t>R80</t>
        </is>
      </c>
      <c r="B42" t="inlineStr">
        <is>
          <t>STARLINK</t>
        </is>
      </c>
      <c r="C42" t="inlineStr">
        <is>
          <t>BB/DTC engine (LEGACY)</t>
        </is>
      </c>
      <c r="D42" s="2" t="inlineStr">
        <is>
          <t>Sigmoid Steepness (k) — old</t>
        </is>
      </c>
      <c r="E42" t="inlineStr">
        <is>
          <t>3</t>
        </is>
      </c>
      <c r="F42" t="inlineStr"/>
      <c r="G42" s="3" t="inlineStr">
        <is>
          <t>STALE</t>
        </is>
      </c>
      <c r="H42" s="2" t="inlineStr">
        <is>
          <t>Old sigmoid k. Spec 09 sets k=2 at B498. Drop.</t>
        </is>
      </c>
      <c r="J42" s="2" t="n"/>
    </row>
    <row r="43">
      <c r="A43" t="inlineStr">
        <is>
          <t>R81</t>
        </is>
      </c>
      <c r="B43" t="inlineStr">
        <is>
          <t>STARLINK</t>
        </is>
      </c>
      <c r="C43" t="inlineStr">
        <is>
          <t>IRR engine</t>
        </is>
      </c>
      <c r="D43" s="2" t="inlineStr">
        <is>
          <t>Forward IRR Look-ahead (Years)</t>
        </is>
      </c>
      <c r="E43" t="inlineStr">
        <is>
          <t>2</t>
        </is>
      </c>
      <c r="F43" t="inlineStr"/>
      <c r="G43" s="4" t="inlineStr">
        <is>
          <t>OPERATIVE</t>
        </is>
      </c>
      <c r="H43" s="2" t="inlineStr">
        <is>
          <t>Y+2 horizon. Universal across modules.</t>
        </is>
      </c>
      <c r="J43" s="2" t="n"/>
    </row>
    <row r="44">
      <c r="A44" t="inlineStr">
        <is>
          <t>R82</t>
        </is>
      </c>
      <c r="B44" t="inlineStr">
        <is>
          <t>STARLINK</t>
        </is>
      </c>
      <c r="C44" t="inlineStr">
        <is>
          <t>IRR engine</t>
        </is>
      </c>
      <c r="D44" s="2" t="inlineStr">
        <is>
          <t>Forward IRR Weight in Allocation</t>
        </is>
      </c>
      <c r="E44" t="inlineStr">
        <is>
          <t>0.7</t>
        </is>
      </c>
      <c r="F44" t="inlineStr"/>
      <c r="G44" s="4" t="inlineStr">
        <is>
          <t>OPERATIVE</t>
        </is>
      </c>
      <c r="H44" s="2" t="inlineStr">
        <is>
          <t>Spec 09 unified: 70% forward. Operative.</t>
        </is>
      </c>
      <c r="J44" s="2" t="n"/>
    </row>
    <row r="45">
      <c r="A45" t="inlineStr">
        <is>
          <t>R91</t>
        </is>
      </c>
      <c r="B45" t="inlineStr">
        <is>
          <t>STARLINK</t>
        </is>
      </c>
      <c r="C45" t="inlineStr">
        <is>
          <t>Opening balance</t>
        </is>
      </c>
      <c r="D45" s="2" t="inlineStr">
        <is>
          <t>V2 Mini BB Active Sats — end 2025</t>
        </is>
      </c>
      <c r="E45" t="inlineStr">
        <is>
          <t>5246</t>
        </is>
      </c>
      <c r="F45" t="inlineStr"/>
      <c r="G45" s="4" t="inlineStr">
        <is>
          <t>OPERATIVE</t>
        </is>
      </c>
      <c r="H45" s="2" t="inlineStr">
        <is>
          <t>Mach33 Starlink tracking. Hard anchor.</t>
        </is>
      </c>
      <c r="J45" s="2" t="n"/>
    </row>
    <row r="46">
      <c r="A46" t="inlineStr">
        <is>
          <t>R92</t>
        </is>
      </c>
      <c r="B46" t="inlineStr">
        <is>
          <t>STARLINK</t>
        </is>
      </c>
      <c r="C46" t="inlineStr">
        <is>
          <t>Opening balance</t>
        </is>
      </c>
      <c r="D46" s="2" t="inlineStr">
        <is>
          <t>V2 Mini DTC Active Sats — end 2025</t>
        </is>
      </c>
      <c r="E46" t="inlineStr">
        <is>
          <t>650</t>
        </is>
      </c>
      <c r="F46" t="inlineStr"/>
      <c r="G46" s="4" t="inlineStr">
        <is>
          <t>OPERATIVE</t>
        </is>
      </c>
      <c r="H46" s="2" t="inlineStr">
        <is>
          <t>Mach33 Starlink tracking. Hard anchor.</t>
        </is>
      </c>
      <c r="J46" s="2" t="n"/>
    </row>
    <row r="47">
      <c r="A47" t="inlineStr">
        <is>
          <t>R93</t>
        </is>
      </c>
      <c r="B47" t="inlineStr">
        <is>
          <t>STARLINK</t>
        </is>
      </c>
      <c r="C47" t="inlineStr">
        <is>
          <t>Opening balance</t>
        </is>
      </c>
      <c r="D47" s="2" t="inlineStr">
        <is>
          <t>V2 Mini BB Bandwidth — end 2025 (Gbps)</t>
        </is>
      </c>
      <c r="E47" t="inlineStr">
        <is>
          <t>503616</t>
        </is>
      </c>
      <c r="F47" t="inlineStr"/>
      <c r="G47" s="4" t="inlineStr">
        <is>
          <t>OPERATIVE</t>
        </is>
      </c>
      <c r="H47" s="2" t="inlineStr">
        <is>
          <t>Derived: 5246 × 96 Gbps.</t>
        </is>
      </c>
      <c r="J47" s="2" t="n"/>
    </row>
    <row r="48">
      <c r="A48" t="inlineStr">
        <is>
          <t>R94</t>
        </is>
      </c>
      <c r="B48" t="inlineStr">
        <is>
          <t>STARLINK</t>
        </is>
      </c>
      <c r="C48" t="inlineStr">
        <is>
          <t>Opening balance</t>
        </is>
      </c>
      <c r="D48" s="2" t="inlineStr">
        <is>
          <t>V2 Mini DTC Bandwidth — end 2025 (Gbps)</t>
        </is>
      </c>
      <c r="E48" t="inlineStr">
        <is>
          <t>1936</t>
        </is>
      </c>
      <c r="F48" t="inlineStr"/>
      <c r="G48" s="4" t="inlineStr">
        <is>
          <t>OPERATIVE</t>
        </is>
      </c>
      <c r="H48" s="2" t="inlineStr">
        <is>
          <t>Derived: 650 × 2.978 Gbps.</t>
        </is>
      </c>
      <c r="J48" s="2" t="n"/>
    </row>
    <row r="49">
      <c r="A49" t="inlineStr">
        <is>
          <t>R95</t>
        </is>
      </c>
      <c r="B49" t="inlineStr">
        <is>
          <t>STARLINK</t>
        </is>
      </c>
      <c r="C49" t="inlineStr">
        <is>
          <t>Opening balance</t>
        </is>
      </c>
      <c r="D49" s="2" t="inlineStr">
        <is>
          <t>Legacy V1/V1.5 Bandwidth — end 2025 (Gbps)</t>
        </is>
      </c>
      <c r="E49" t="inlineStr">
        <is>
          <t>71888</t>
        </is>
      </c>
      <c r="F49" t="inlineStr"/>
      <c r="G49" s="4" t="inlineStr">
        <is>
          <t>OPERATIVE</t>
        </is>
      </c>
      <c r="H49" s="2" t="inlineStr">
        <is>
          <t>Pre-V2 residual fleet bandwidth.</t>
        </is>
      </c>
      <c r="J49" s="2" t="n"/>
    </row>
    <row r="50">
      <c r="A50" t="inlineStr">
        <is>
          <t>R96</t>
        </is>
      </c>
      <c r="B50" t="inlineStr">
        <is>
          <t>STARLINK</t>
        </is>
      </c>
      <c r="C50" t="inlineStr">
        <is>
          <t>2025 launches</t>
        </is>
      </c>
      <c r="D50" s="2" t="inlineStr">
        <is>
          <t>V2 Mini BB Sats Launched in 2025</t>
        </is>
      </c>
      <c r="E50" t="inlineStr">
        <is>
          <t>2987</t>
        </is>
      </c>
      <c r="F50" t="inlineStr"/>
      <c r="G50" s="4" t="inlineStr">
        <is>
          <t>OPERATIVE</t>
        </is>
      </c>
      <c r="H50" s="2" t="inlineStr">
        <is>
          <t>Historical actual. Mach33 tracking.</t>
        </is>
      </c>
      <c r="J50" s="2" t="n"/>
    </row>
    <row r="51">
      <c r="A51" t="inlineStr">
        <is>
          <t>R97</t>
        </is>
      </c>
      <c r="B51" t="inlineStr">
        <is>
          <t>STARLINK</t>
        </is>
      </c>
      <c r="C51" t="inlineStr">
        <is>
          <t>2025 launches</t>
        </is>
      </c>
      <c r="D51" s="2" t="inlineStr">
        <is>
          <t>V2 Mini DTC Sats Launched in 2025</t>
        </is>
      </c>
      <c r="E51" t="inlineStr">
        <is>
          <t>182</t>
        </is>
      </c>
      <c r="F51" t="inlineStr"/>
      <c r="G51" s="4" t="inlineStr">
        <is>
          <t>OPERATIVE</t>
        </is>
      </c>
      <c r="H51" s="2" t="inlineStr">
        <is>
          <t>Historical actual.</t>
        </is>
      </c>
      <c r="J51" s="2" t="n"/>
    </row>
    <row r="52">
      <c r="A52" t="inlineStr">
        <is>
          <t>R98</t>
        </is>
      </c>
      <c r="B52" t="inlineStr">
        <is>
          <t>STARLINK</t>
        </is>
      </c>
      <c r="C52" t="inlineStr">
        <is>
          <t>2025 launches</t>
        </is>
      </c>
      <c r="D52" s="2" t="inlineStr">
        <is>
          <t>V3 BB Sats Launched in 2025</t>
        </is>
      </c>
      <c r="E52" t="inlineStr">
        <is>
          <t>0</t>
        </is>
      </c>
      <c r="F52" t="inlineStr"/>
      <c r="G52" s="4" t="inlineStr">
        <is>
          <t>OPERATIVE</t>
        </is>
      </c>
      <c r="H52" s="2" t="inlineStr">
        <is>
          <t>Starship not yet operational.</t>
        </is>
      </c>
      <c r="J52" s="2" t="n"/>
    </row>
    <row r="53">
      <c r="A53" t="inlineStr">
        <is>
          <t>R99</t>
        </is>
      </c>
      <c r="B53" t="inlineStr">
        <is>
          <t>STARLINK</t>
        </is>
      </c>
      <c r="C53" t="inlineStr">
        <is>
          <t>2025 launches</t>
        </is>
      </c>
      <c r="D53" s="2" t="inlineStr">
        <is>
          <t>V3 DTC Sats Launched in 2025</t>
        </is>
      </c>
      <c r="E53" t="inlineStr">
        <is>
          <t>0</t>
        </is>
      </c>
      <c r="F53" t="inlineStr"/>
      <c r="G53" s="4" t="inlineStr">
        <is>
          <t>OPERATIVE</t>
        </is>
      </c>
      <c r="H53" s="2" t="inlineStr">
        <is>
          <t>Same.</t>
        </is>
      </c>
      <c r="J53" s="2" t="n"/>
    </row>
    <row r="54">
      <c r="A54" t="inlineStr">
        <is>
          <t>R103</t>
        </is>
      </c>
      <c r="B54" t="inlineStr">
        <is>
          <t>STARLINK</t>
        </is>
      </c>
      <c r="C54" t="inlineStr">
        <is>
          <t>Legacy fleet</t>
        </is>
      </c>
      <c r="D54" s="2" t="inlineStr">
        <is>
          <t>Legacy V1/V1.5 Active Bandwidth (Gbps)</t>
        </is>
      </c>
      <c r="E54" t="inlineStr">
        <is>
          <t>71888 → 0 by 2031</t>
        </is>
      </c>
      <c r="F54" t="inlineStr">
        <is>
          <t>D=71888, I=0</t>
        </is>
      </c>
      <c r="G54" s="4" t="inlineStr">
        <is>
          <t>OPERATIVE</t>
        </is>
      </c>
      <c r="H54" s="2" t="inlineStr">
        <is>
          <t>Straight-line 4-yr runoff schedule.</t>
        </is>
      </c>
      <c r="J54" s="2" t="n"/>
    </row>
    <row r="55">
      <c r="A55" t="inlineStr">
        <is>
          <t>R108</t>
        </is>
      </c>
      <c r="B55" t="inlineStr">
        <is>
          <t>STARLINK</t>
        </is>
      </c>
      <c r="C55" t="inlineStr">
        <is>
          <t>Deorbit</t>
        </is>
      </c>
      <c r="D55" s="2" t="inlineStr">
        <is>
          <t>V2 Mini BB Deorbit Lag (Years)</t>
        </is>
      </c>
      <c r="E55" t="inlineStr">
        <is>
          <t>5</t>
        </is>
      </c>
      <c r="F55" t="inlineStr"/>
      <c r="G55" s="4" t="inlineStr">
        <is>
          <t>OPERATIVE</t>
        </is>
      </c>
      <c r="H55" s="2" t="inlineStr">
        <is>
          <t>MC [4, 6].</t>
        </is>
      </c>
      <c r="J55" s="2" t="n"/>
    </row>
    <row r="56">
      <c r="A56" t="inlineStr">
        <is>
          <t>R109</t>
        </is>
      </c>
      <c r="B56" t="inlineStr">
        <is>
          <t>STARLINK</t>
        </is>
      </c>
      <c r="C56" t="inlineStr">
        <is>
          <t>Deorbit</t>
        </is>
      </c>
      <c r="D56" s="2" t="inlineStr">
        <is>
          <t>V3 BB Deorbit Lag (Years)</t>
        </is>
      </c>
      <c r="E56" t="inlineStr">
        <is>
          <t>5</t>
        </is>
      </c>
      <c r="F56" t="inlineStr"/>
      <c r="G56" s="4" t="inlineStr">
        <is>
          <t>OPERATIVE</t>
        </is>
      </c>
      <c r="H56" s="2" t="inlineStr">
        <is>
          <t>MC [4, 7].</t>
        </is>
      </c>
      <c r="J56" s="2" t="n"/>
    </row>
    <row r="57">
      <c r="A57" t="inlineStr">
        <is>
          <t>R110</t>
        </is>
      </c>
      <c r="B57" t="inlineStr">
        <is>
          <t>STARLINK</t>
        </is>
      </c>
      <c r="C57" t="inlineStr">
        <is>
          <t>Deorbit</t>
        </is>
      </c>
      <c r="D57" s="2" t="inlineStr">
        <is>
          <t>V2 Mini DTC Deorbit Lag (Years)</t>
        </is>
      </c>
      <c r="E57" t="inlineStr">
        <is>
          <t>5</t>
        </is>
      </c>
      <c r="F57" t="inlineStr"/>
      <c r="G57" s="4" t="inlineStr">
        <is>
          <t>OPERATIVE</t>
        </is>
      </c>
      <c r="H57" s="2" t="inlineStr">
        <is>
          <t>Symmetric.</t>
        </is>
      </c>
      <c r="J57" s="2" t="n"/>
    </row>
    <row r="58">
      <c r="A58" t="inlineStr">
        <is>
          <t>R111</t>
        </is>
      </c>
      <c r="B58" t="inlineStr">
        <is>
          <t>STARLINK</t>
        </is>
      </c>
      <c r="C58" t="inlineStr">
        <is>
          <t>Deorbit</t>
        </is>
      </c>
      <c r="D58" s="2" t="inlineStr">
        <is>
          <t>V3 DTC Deorbit Lag (Years)</t>
        </is>
      </c>
      <c r="E58" t="inlineStr">
        <is>
          <t>5</t>
        </is>
      </c>
      <c r="F58" t="inlineStr"/>
      <c r="G58" s="4" t="inlineStr">
        <is>
          <t>OPERATIVE</t>
        </is>
      </c>
      <c r="H58" s="2" t="inlineStr">
        <is>
          <t>Symmetric.</t>
        </is>
      </c>
      <c r="J58" s="2" t="n"/>
    </row>
    <row r="59">
      <c r="A59" t="inlineStr">
        <is>
          <t>R112</t>
        </is>
      </c>
      <c r="B59" t="inlineStr">
        <is>
          <t>STARLINK</t>
        </is>
      </c>
      <c r="C59" t="inlineStr">
        <is>
          <t>Deorbit</t>
        </is>
      </c>
      <c r="D59" s="2" t="inlineStr">
        <is>
          <t>Bandwidth Removed per Deorbited V2 Mini BB Sat (Gbps)</t>
        </is>
      </c>
      <c r="E59" t="inlineStr">
        <is>
          <t>96</t>
        </is>
      </c>
      <c r="F59" t="inlineStr"/>
      <c r="G59" s="4" t="inlineStr">
        <is>
          <t>OPERATIVE</t>
        </is>
      </c>
      <c r="H59" s="2" t="inlineStr">
        <is>
          <t>Matches R28.</t>
        </is>
      </c>
      <c r="J59" s="2" t="n"/>
    </row>
    <row r="60">
      <c r="A60" t="inlineStr">
        <is>
          <t>R113</t>
        </is>
      </c>
      <c r="B60" t="inlineStr">
        <is>
          <t>STARLINK</t>
        </is>
      </c>
      <c r="C60" t="inlineStr">
        <is>
          <t>Deorbit</t>
        </is>
      </c>
      <c r="D60" s="2" t="inlineStr">
        <is>
          <t>Bandwidth Removed per Deorbited V2 Mini DTC Sat (Gbps)</t>
        </is>
      </c>
      <c r="E60" t="inlineStr">
        <is>
          <t>2.978</t>
        </is>
      </c>
      <c r="F60" t="inlineStr"/>
      <c r="G60" s="4" t="inlineStr">
        <is>
          <t>OPERATIVE</t>
        </is>
      </c>
      <c r="H60" s="2" t="inlineStr">
        <is>
          <t>Blended V2 DTC.</t>
        </is>
      </c>
      <c r="J60" s="2" t="n"/>
    </row>
    <row r="61">
      <c r="A61" t="inlineStr">
        <is>
          <t>R114</t>
        </is>
      </c>
      <c r="B61" t="inlineStr">
        <is>
          <t>STARLINK</t>
        </is>
      </c>
      <c r="C61" t="inlineStr">
        <is>
          <t>Deorbit</t>
        </is>
      </c>
      <c r="D61" s="2" t="inlineStr">
        <is>
          <t>Bandwidth Removed per Deorbited V3 BB Sat (Gbps)</t>
        </is>
      </c>
      <c r="E61" t="inlineStr">
        <is>
          <t>1000</t>
        </is>
      </c>
      <c r="F61" t="inlineStr"/>
      <c r="G61" s="4" t="inlineStr">
        <is>
          <t>OPERATIVE</t>
        </is>
      </c>
      <c r="H61" s="2" t="inlineStr">
        <is>
          <t>Matches R30.</t>
        </is>
      </c>
      <c r="J61" s="2" t="n"/>
    </row>
    <row r="62">
      <c r="A62" t="inlineStr">
        <is>
          <t>R115</t>
        </is>
      </c>
      <c r="B62" t="inlineStr">
        <is>
          <t>STARLINK</t>
        </is>
      </c>
      <c r="C62" t="inlineStr">
        <is>
          <t>Deorbit</t>
        </is>
      </c>
      <c r="D62" s="2" t="inlineStr">
        <is>
          <t>Bandwidth Removed per Deorbited V3 DTC Sat (Gbps)</t>
        </is>
      </c>
      <c r="E62" t="inlineStr">
        <is>
          <t>5</t>
        </is>
      </c>
      <c r="F62" t="inlineStr"/>
      <c r="G62" s="4" t="inlineStr">
        <is>
          <t>OPERATIVE</t>
        </is>
      </c>
      <c r="H62" s="2" t="inlineStr">
        <is>
          <t>Matches R31.</t>
        </is>
      </c>
      <c r="J62" s="2" t="n"/>
    </row>
    <row r="63">
      <c r="A63" t="inlineStr">
        <is>
          <t>R61</t>
        </is>
      </c>
      <c r="B63" t="inlineStr">
        <is>
          <t>STARLINK</t>
        </is>
      </c>
      <c r="C63" t="inlineStr">
        <is>
          <t>Module OpEx (LEGACY)</t>
        </is>
      </c>
      <c r="D63" s="2" t="inlineStr">
        <is>
          <t>R&amp;D % of Revenue — start</t>
        </is>
      </c>
      <c r="E63" t="inlineStr">
        <is>
          <t>0.159</t>
        </is>
      </c>
      <c r="F63" t="inlineStr"/>
      <c r="G63" s="3" t="inlineStr">
        <is>
          <t>STALE</t>
        </is>
      </c>
      <c r="H63" s="2" t="inlineStr">
        <is>
          <t>Module R&amp;D retired by Spec 01 (lives on OpEx tab as Starlink R&amp;D at R411-413).</t>
        </is>
      </c>
      <c r="J63" s="2" t="n"/>
    </row>
    <row r="64">
      <c r="A64" t="inlineStr">
        <is>
          <t>R62</t>
        </is>
      </c>
      <c r="B64" t="inlineStr">
        <is>
          <t>STARLINK</t>
        </is>
      </c>
      <c r="C64" t="inlineStr">
        <is>
          <t>Module OpEx (LEGACY)</t>
        </is>
      </c>
      <c r="D64" s="2" t="inlineStr">
        <is>
          <t>R&amp;D % of Revenue — floor</t>
        </is>
      </c>
      <c r="E64" t="inlineStr">
        <is>
          <t>0.05</t>
        </is>
      </c>
      <c r="F64" t="inlineStr"/>
      <c r="G64" s="3" t="inlineStr">
        <is>
          <t>STALE</t>
        </is>
      </c>
      <c r="H64" s="2" t="inlineStr">
        <is>
          <t>Same.</t>
        </is>
      </c>
      <c r="J64" s="2" t="n"/>
    </row>
    <row r="65">
      <c r="A65" t="inlineStr">
        <is>
          <t>R63</t>
        </is>
      </c>
      <c r="B65" t="inlineStr">
        <is>
          <t>STARLINK</t>
        </is>
      </c>
      <c r="C65" t="inlineStr">
        <is>
          <t>Module OpEx (LEGACY)</t>
        </is>
      </c>
      <c r="D65" s="2" t="inlineStr">
        <is>
          <t>R&amp;D % of Revenue — decay rate</t>
        </is>
      </c>
      <c r="E65" t="inlineStr">
        <is>
          <t>0.206</t>
        </is>
      </c>
      <c r="F65" t="inlineStr"/>
      <c r="G65" s="3" t="inlineStr">
        <is>
          <t>STALE</t>
        </is>
      </c>
      <c r="H65" s="2" t="inlineStr">
        <is>
          <t>Same.</t>
        </is>
      </c>
      <c r="J65" s="2" t="n"/>
    </row>
    <row r="66">
      <c r="A66" t="inlineStr">
        <is>
          <t>R64</t>
        </is>
      </c>
      <c r="B66" t="inlineStr">
        <is>
          <t>STARLINK</t>
        </is>
      </c>
      <c r="C66" t="inlineStr">
        <is>
          <t>Module OpEx (LEGACY)</t>
        </is>
      </c>
      <c r="D66" s="2" t="inlineStr">
        <is>
          <t>SG&amp;A % of Revenue — 2025 start</t>
        </is>
      </c>
      <c r="E66" t="inlineStr">
        <is>
          <t>0.102</t>
        </is>
      </c>
      <c r="F66" t="inlineStr"/>
      <c r="G66" s="3" t="inlineStr">
        <is>
          <t>STALE</t>
        </is>
      </c>
      <c r="H66" s="2" t="inlineStr">
        <is>
          <t>Module SG&amp;A retired by Spec 01.</t>
        </is>
      </c>
      <c r="J66" s="2" t="n"/>
    </row>
    <row r="67">
      <c r="A67" t="inlineStr">
        <is>
          <t>R65</t>
        </is>
      </c>
      <c r="B67" t="inlineStr">
        <is>
          <t>STARLINK</t>
        </is>
      </c>
      <c r="C67" t="inlineStr">
        <is>
          <t>Module OpEx (LEGACY)</t>
        </is>
      </c>
      <c r="D67" s="2" t="inlineStr">
        <is>
          <t>SG&amp;A % of Revenue — ceiling</t>
        </is>
      </c>
      <c r="E67" t="inlineStr">
        <is>
          <t>0.115</t>
        </is>
      </c>
      <c r="F67" t="inlineStr"/>
      <c r="G67" s="3" t="inlineStr">
        <is>
          <t>STALE</t>
        </is>
      </c>
      <c r="H67" s="2" t="inlineStr">
        <is>
          <t>Same.</t>
        </is>
      </c>
      <c r="J67" s="2" t="n"/>
    </row>
    <row r="68">
      <c r="A68" t="inlineStr">
        <is>
          <t>R66</t>
        </is>
      </c>
      <c r="B68" t="inlineStr">
        <is>
          <t>STARLINK</t>
        </is>
      </c>
      <c r="C68" t="inlineStr">
        <is>
          <t>Module OpEx (LEGACY)</t>
        </is>
      </c>
      <c r="D68" s="2" t="inlineStr">
        <is>
          <t>SG&amp;A % of Revenue — growth rate</t>
        </is>
      </c>
      <c r="E68" t="inlineStr">
        <is>
          <t>0.024</t>
        </is>
      </c>
      <c r="F68" t="inlineStr"/>
      <c r="G68" s="3" t="inlineStr">
        <is>
          <t>STALE</t>
        </is>
      </c>
      <c r="H68" s="2" t="inlineStr">
        <is>
          <t>Same.</t>
        </is>
      </c>
      <c r="J68" s="2" t="n"/>
    </row>
    <row r="69">
      <c r="A69" t="inlineStr">
        <is>
          <t>R441</t>
        </is>
      </c>
      <c r="B69" t="inlineStr">
        <is>
          <t>STARLINK</t>
        </is>
      </c>
      <c r="C69" t="inlineStr">
        <is>
          <t>Terminals</t>
        </is>
      </c>
      <c r="D69" s="2" t="inlineStr">
        <is>
          <t>Subsidy mix (% of net adds subsidized)</t>
        </is>
      </c>
      <c r="E69" t="inlineStr">
        <is>
          <t>0.5</t>
        </is>
      </c>
      <c r="F69" t="inlineStr"/>
      <c r="G69" s="4" t="inlineStr">
        <is>
          <t>OPERATIVE</t>
        </is>
      </c>
      <c r="H69" s="2" t="inlineStr">
        <is>
          <t>50% subsidized stub. MC wide.</t>
        </is>
      </c>
      <c r="J69" s="2" t="n"/>
    </row>
    <row r="70">
      <c r="A70" t="inlineStr">
        <is>
          <t>R442</t>
        </is>
      </c>
      <c r="B70" t="inlineStr">
        <is>
          <t>STARLINK</t>
        </is>
      </c>
      <c r="C70" t="inlineStr">
        <is>
          <t>Terminals</t>
        </is>
      </c>
      <c r="D70" s="2" t="inlineStr">
        <is>
          <t>Terminal retail price ($, non-subsidized)</t>
        </is>
      </c>
      <c r="E70" t="inlineStr">
        <is>
          <t>500</t>
        </is>
      </c>
      <c r="F70" t="inlineStr"/>
      <c r="G70" s="4" t="inlineStr">
        <is>
          <t>OPERATIVE</t>
        </is>
      </c>
      <c r="H70" s="2" t="inlineStr">
        <is>
          <t>Disclosed pricing.</t>
        </is>
      </c>
      <c r="J70" s="2" t="n"/>
    </row>
    <row r="71">
      <c r="A71" t="inlineStr">
        <is>
          <t>R443</t>
        </is>
      </c>
      <c r="B71" t="inlineStr">
        <is>
          <t>STARLINK</t>
        </is>
      </c>
      <c r="C71" t="inlineStr">
        <is>
          <t>Terminals</t>
        </is>
      </c>
      <c r="D71" s="2" t="inlineStr">
        <is>
          <t>Terminal retail price ($, subsidized)</t>
        </is>
      </c>
      <c r="E71" t="inlineStr">
        <is>
          <t>300</t>
        </is>
      </c>
      <c r="F71" t="inlineStr"/>
      <c r="G71" s="4" t="inlineStr">
        <is>
          <t>OPERATIVE</t>
        </is>
      </c>
      <c r="H71" s="2" t="inlineStr">
        <is>
          <t>Disclosed subsidized price.</t>
        </is>
      </c>
      <c r="J71" s="2" t="n"/>
    </row>
    <row r="72">
      <c r="A72" t="inlineStr">
        <is>
          <t>R444</t>
        </is>
      </c>
      <c r="B72" t="inlineStr">
        <is>
          <t>STARLINK</t>
        </is>
      </c>
      <c r="C72" t="inlineStr">
        <is>
          <t>Terminals</t>
        </is>
      </c>
      <c r="D72" s="2" t="inlineStr">
        <is>
          <t>Terminal COGS per unit ($)</t>
        </is>
      </c>
      <c r="E72" t="inlineStr">
        <is>
          <t>500</t>
        </is>
      </c>
      <c r="F72" t="inlineStr"/>
      <c r="G72" s="4" t="inlineStr">
        <is>
          <t>OPERATIVE</t>
        </is>
      </c>
      <c r="H72" s="2" t="inlineStr">
        <is>
          <t>Unit cost; subsidy creates margin gap on subsidized half.</t>
        </is>
      </c>
      <c r="J72" s="2" t="n"/>
    </row>
    <row r="73">
      <c r="A73" t="inlineStr">
        <is>
          <t>R447</t>
        </is>
      </c>
      <c r="B73" t="inlineStr">
        <is>
          <t>STARLINK</t>
        </is>
      </c>
      <c r="C73" t="inlineStr">
        <is>
          <t>Subscribers</t>
        </is>
      </c>
      <c r="D73" s="2" t="inlineStr">
        <is>
          <t>Starting BoY 2025 subscribers (millions)</t>
        </is>
      </c>
      <c r="E73" t="inlineStr">
        <is>
          <t>5</t>
        </is>
      </c>
      <c r="F73" t="inlineStr"/>
      <c r="G73" s="4" t="inlineStr">
        <is>
          <t>OPERATIVE</t>
        </is>
      </c>
      <c r="H73" s="2" t="inlineStr">
        <is>
          <t>Mid-2024 disclosed Starlink subs.</t>
        </is>
      </c>
      <c r="J73" s="2" t="n"/>
    </row>
    <row r="74">
      <c r="A74" t="inlineStr">
        <is>
          <t>R454</t>
        </is>
      </c>
      <c r="B74" t="inlineStr">
        <is>
          <t>STARLINK</t>
        </is>
      </c>
      <c r="C74" t="inlineStr">
        <is>
          <t>Subscribers</t>
        </is>
      </c>
      <c r="D74" s="2" t="inlineStr">
        <is>
          <t>Broadband ARPU ($/sub/mo) year-row</t>
        </is>
      </c>
      <c r="E74" t="inlineStr">
        <is>
          <t>100 → 75</t>
        </is>
      </c>
      <c r="F74" t="inlineStr">
        <is>
          <t>D=100, I=75, then flat</t>
        </is>
      </c>
      <c r="G74" s="4" t="inlineStr">
        <is>
          <t>OPERATIVE</t>
        </is>
      </c>
      <c r="H74" s="2" t="inlineStr">
        <is>
          <t>Spec 03 input. Glide path 2025-2030.</t>
        </is>
      </c>
      <c r="J74" s="2" t="n"/>
    </row>
    <row r="75">
      <c r="A75" t="inlineStr">
        <is>
          <t>R455</t>
        </is>
      </c>
      <c r="B75" t="inlineStr">
        <is>
          <t>STARLINK</t>
        </is>
      </c>
      <c r="C75" t="inlineStr">
        <is>
          <t>Subscribers</t>
        </is>
      </c>
      <c r="D75" s="2" t="inlineStr">
        <is>
          <t>DTC ARPU ($/sub/mo) year-row</t>
        </is>
      </c>
      <c r="E75" t="inlineStr">
        <is>
          <t>16 → 10</t>
        </is>
      </c>
      <c r="F75" t="inlineStr">
        <is>
          <t>D=16, I=10, then flat</t>
        </is>
      </c>
      <c r="G75" s="4" t="inlineStr">
        <is>
          <t>OPERATIVE</t>
        </is>
      </c>
      <c r="H75" s="2" t="inlineStr">
        <is>
          <t>Spec 03 input. $16/mo 2025 → $10/mo 2030.</t>
        </is>
      </c>
      <c r="J75" s="2" t="n"/>
    </row>
    <row r="76">
      <c r="A76" t="inlineStr">
        <is>
          <t>R448</t>
        </is>
      </c>
      <c r="B76" t="inlineStr">
        <is>
          <t>STARLINK</t>
        </is>
      </c>
      <c r="C76" t="inlineStr">
        <is>
          <t>Subscribers</t>
        </is>
      </c>
      <c r="D76" s="2" t="inlineStr">
        <is>
          <t>Broadband ARPU ($/sub/yr) — DERIVED</t>
        </is>
      </c>
      <c r="E76">
        <f>monthly × 12</f>
        <v/>
      </c>
      <c r="F76" t="inlineStr">
        <is>
          <t>formula</t>
        </is>
      </c>
      <c r="G76" s="4" t="inlineStr">
        <is>
          <t>OPERATIVE</t>
        </is>
      </c>
      <c r="H76" s="2" t="inlineStr">
        <is>
          <t>Derived from R454.</t>
        </is>
      </c>
      <c r="J76" s="2" t="n"/>
    </row>
    <row r="77">
      <c r="A77" t="inlineStr">
        <is>
          <t>R449</t>
        </is>
      </c>
      <c r="B77" t="inlineStr">
        <is>
          <t>STARLINK</t>
        </is>
      </c>
      <c r="C77" t="inlineStr">
        <is>
          <t>Subscribers</t>
        </is>
      </c>
      <c r="D77" s="2" t="inlineStr">
        <is>
          <t>DTC ARPU ($/sub/yr) — DERIVED</t>
        </is>
      </c>
      <c r="E77">
        <f>monthly × 12</f>
        <v/>
      </c>
      <c r="F77" t="inlineStr">
        <is>
          <t>formula</t>
        </is>
      </c>
      <c r="G77" s="4" t="inlineStr">
        <is>
          <t>OPERATIVE</t>
        </is>
      </c>
      <c r="H77" s="2" t="inlineStr">
        <is>
          <t>Derived from R455.</t>
        </is>
      </c>
      <c r="J77" s="2" t="n"/>
    </row>
    <row r="78">
      <c r="A78" t="inlineStr">
        <is>
          <t>R495</t>
        </is>
      </c>
      <c r="B78" t="inlineStr">
        <is>
          <t>STARLINK</t>
        </is>
      </c>
      <c r="C78" t="inlineStr">
        <is>
          <t>Historical baseline</t>
        </is>
      </c>
      <c r="D78" s="2" t="inlineStr">
        <is>
          <t>V2 Mini BB historical baseline (sats at 2025-01-01)</t>
        </is>
      </c>
      <c r="E78" t="inlineStr">
        <is>
          <t>5246</t>
        </is>
      </c>
      <c r="F78" t="inlineStr"/>
      <c r="G78" s="4" t="inlineStr">
        <is>
          <t>OPERATIVE</t>
        </is>
      </c>
      <c r="H78" s="2" t="inlineStr">
        <is>
          <t>Spec 09 input. Matches R91.</t>
        </is>
      </c>
      <c r="J78" s="2" t="n"/>
    </row>
    <row r="79">
      <c r="A79" t="inlineStr">
        <is>
          <t>R496</t>
        </is>
      </c>
      <c r="B79" t="inlineStr">
        <is>
          <t>STARLINK</t>
        </is>
      </c>
      <c r="C79" t="inlineStr">
        <is>
          <t>Historical baseline</t>
        </is>
      </c>
      <c r="D79" s="2" t="inlineStr">
        <is>
          <t>V2 Mini DTC historical baseline (sats at 2025-01-01)</t>
        </is>
      </c>
      <c r="E79" t="inlineStr">
        <is>
          <t>650</t>
        </is>
      </c>
      <c r="F79" t="inlineStr"/>
      <c r="G79" s="4" t="inlineStr">
        <is>
          <t>OPERATIVE</t>
        </is>
      </c>
      <c r="H79" s="2" t="inlineStr">
        <is>
          <t>Spec 09 input. Matches R92.</t>
        </is>
      </c>
      <c r="J79" s="2" t="n"/>
    </row>
    <row r="80">
      <c r="A80" t="inlineStr">
        <is>
          <t>R493</t>
        </is>
      </c>
      <c r="B80" t="inlineStr">
        <is>
          <t>STARLINK</t>
        </is>
      </c>
      <c r="C80" t="inlineStr">
        <is>
          <t>Demand ask (Spec 09)</t>
        </is>
      </c>
      <c r="D80" s="2" t="inlineStr">
        <is>
          <t>Starlink kg ask year-row (large default)</t>
        </is>
      </c>
      <c r="E80" t="inlineStr">
        <is>
          <t>10,000,000 kg/yr</t>
        </is>
      </c>
      <c r="F80" t="inlineStr">
        <is>
          <t>D=10M, flat</t>
        </is>
      </c>
      <c r="G80" s="4" t="inlineStr">
        <is>
          <t>OPERATIVE</t>
        </is>
      </c>
      <c r="H80" s="2" t="inlineStr">
        <is>
          <t>Spec 09 large default — outer queue caps via gate, not internal ask.</t>
        </is>
      </c>
      <c r="J80" s="2" t="n"/>
    </row>
    <row r="81">
      <c r="A81" t="inlineStr">
        <is>
          <t>R494</t>
        </is>
      </c>
      <c r="B81" t="inlineStr">
        <is>
          <t>STARLINK</t>
        </is>
      </c>
      <c r="C81" t="inlineStr">
        <is>
          <t>Demand ask (Spec 09)</t>
        </is>
      </c>
      <c r="D81" s="2" t="inlineStr">
        <is>
          <t>Starlink cash ask year-row (large default $mm)</t>
        </is>
      </c>
      <c r="E81" t="inlineStr">
        <is>
          <t>100,000 $mm/yr</t>
        </is>
      </c>
      <c r="F81" t="inlineStr">
        <is>
          <t>D=100K, flat</t>
        </is>
      </c>
      <c r="G81" s="4" t="inlineStr">
        <is>
          <t>OPERATIVE</t>
        </is>
      </c>
      <c r="H81" s="2" t="inlineStr">
        <is>
          <t>Spec 09 large default.</t>
        </is>
      </c>
      <c r="J81" s="2" t="n"/>
    </row>
    <row r="82">
      <c r="A82" t="inlineStr">
        <is>
          <t>R475</t>
        </is>
      </c>
      <c r="B82" t="inlineStr">
        <is>
          <t>STARLINK</t>
        </is>
      </c>
      <c r="C82" t="inlineStr">
        <is>
          <t>Vehicle demand (memo)</t>
        </is>
      </c>
      <c r="D82" s="2" t="inlineStr">
        <is>
          <t>V2 Mini BB sats demanded per year (stub)</t>
        </is>
      </c>
      <c r="E82" t="inlineStr">
        <is>
          <t>memo only</t>
        </is>
      </c>
      <c r="F82" t="inlineStr">
        <is>
          <t>D=2987 → 0</t>
        </is>
      </c>
      <c r="G82" s="5" t="inlineStr">
        <is>
          <t>DECORATIVE</t>
        </is>
      </c>
      <c r="H82" s="2" t="inlineStr">
        <is>
          <t>Spec 09 memo-only — no formula consumes. Keep for Vlad's calibration ref or drop.</t>
        </is>
      </c>
      <c r="J82" s="2" t="n"/>
    </row>
    <row r="83">
      <c r="A83" t="inlineStr">
        <is>
          <t>R476</t>
        </is>
      </c>
      <c r="B83" t="inlineStr">
        <is>
          <t>STARLINK</t>
        </is>
      </c>
      <c r="C83" t="inlineStr">
        <is>
          <t>Vehicle demand (memo)</t>
        </is>
      </c>
      <c r="D83" s="2" t="inlineStr">
        <is>
          <t>V2 Mini DTC sats demanded per year (stub)</t>
        </is>
      </c>
      <c r="E83" t="inlineStr">
        <is>
          <t>memo only</t>
        </is>
      </c>
      <c r="F83" t="inlineStr">
        <is>
          <t>D=182 → 0</t>
        </is>
      </c>
      <c r="G83" s="5" t="inlineStr">
        <is>
          <t>DECORATIVE</t>
        </is>
      </c>
      <c r="H83" s="2" t="inlineStr">
        <is>
          <t>Same.</t>
        </is>
      </c>
      <c r="J83" s="2" t="n"/>
    </row>
    <row r="84">
      <c r="A84" t="inlineStr">
        <is>
          <t>R477</t>
        </is>
      </c>
      <c r="B84" t="inlineStr">
        <is>
          <t>STARLINK</t>
        </is>
      </c>
      <c r="C84" t="inlineStr">
        <is>
          <t>Vehicle demand (memo)</t>
        </is>
      </c>
      <c r="D84" s="2" t="inlineStr">
        <is>
          <t>V3 BB sats demanded per year (stub)</t>
        </is>
      </c>
      <c r="E84" t="inlineStr">
        <is>
          <t>memo only</t>
        </is>
      </c>
      <c r="F84" t="inlineStr">
        <is>
          <t>D=0, I=4000</t>
        </is>
      </c>
      <c r="G84" s="5" t="inlineStr">
        <is>
          <t>DECORATIVE</t>
        </is>
      </c>
      <c r="H84" s="2" t="inlineStr">
        <is>
          <t>Same.</t>
        </is>
      </c>
      <c r="J84" s="2" t="n"/>
    </row>
    <row r="85">
      <c r="A85" t="inlineStr">
        <is>
          <t>R478</t>
        </is>
      </c>
      <c r="B85" t="inlineStr">
        <is>
          <t>STARLINK</t>
        </is>
      </c>
      <c r="C85" t="inlineStr">
        <is>
          <t>Vehicle demand (memo)</t>
        </is>
      </c>
      <c r="D85" s="2" t="inlineStr">
        <is>
          <t>V3 DTC sats demanded per year (stub)</t>
        </is>
      </c>
      <c r="E85" t="inlineStr">
        <is>
          <t>memo only</t>
        </is>
      </c>
      <c r="F85" t="inlineStr">
        <is>
          <t>D=0, I=1500</t>
        </is>
      </c>
      <c r="G85" s="5" t="inlineStr">
        <is>
          <t>DECORATIVE</t>
        </is>
      </c>
      <c r="H85" s="2" t="inlineStr">
        <is>
          <t>Same.</t>
        </is>
      </c>
      <c r="J85" s="2" t="n"/>
    </row>
    <row r="86">
      <c r="A86" t="inlineStr">
        <is>
          <t>R144</t>
        </is>
      </c>
      <c r="B86" t="inlineStr">
        <is>
          <t>CAPACITY</t>
        </is>
      </c>
      <c r="C86" t="inlineStr">
        <is>
          <t>Starship vehicle</t>
        </is>
      </c>
      <c r="D86" s="2" t="inlineStr">
        <is>
          <t>Super Heavy manufacturing cost ($mm/unit, base)</t>
        </is>
      </c>
      <c r="E86" t="inlineStr">
        <is>
          <t>35.1</t>
        </is>
      </c>
      <c r="F86" t="inlineStr"/>
      <c r="G86" s="4" t="inlineStr">
        <is>
          <t>OPERATIVE</t>
        </is>
      </c>
      <c r="H86" s="2" t="inlineStr">
        <is>
          <t>Reusability matrix anchor. Wright's Law base.</t>
        </is>
      </c>
      <c r="J86" s="2" t="n"/>
    </row>
    <row r="87">
      <c r="A87" t="inlineStr">
        <is>
          <t>R145</t>
        </is>
      </c>
      <c r="B87" t="inlineStr">
        <is>
          <t>CAPACITY</t>
        </is>
      </c>
      <c r="C87" t="inlineStr">
        <is>
          <t>Starship vehicle</t>
        </is>
      </c>
      <c r="D87" s="2" t="inlineStr">
        <is>
          <t>Starship 2nd-stage manufacturing cost ($mm/unit, base)</t>
        </is>
      </c>
      <c r="E87" t="inlineStr">
        <is>
          <t>23.4</t>
        </is>
      </c>
      <c r="F87" t="inlineStr"/>
      <c r="G87" s="4" t="inlineStr">
        <is>
          <t>OPERATIVE</t>
        </is>
      </c>
      <c r="H87" s="2" t="inlineStr">
        <is>
          <t>Reusability matrix anchor.</t>
        </is>
      </c>
      <c r="J87" s="2" t="n"/>
    </row>
    <row r="88">
      <c r="A88" t="inlineStr">
        <is>
          <t>R148</t>
        </is>
      </c>
      <c r="B88" t="inlineStr">
        <is>
          <t>CAPACITY</t>
        </is>
      </c>
      <c r="C88" t="inlineStr">
        <is>
          <t>Starship vehicle</t>
        </is>
      </c>
      <c r="D88" s="2" t="inlineStr">
        <is>
          <t>Ship refurb % of manufacturing</t>
        </is>
      </c>
      <c r="E88" t="inlineStr">
        <is>
          <t>0.02</t>
        </is>
      </c>
      <c r="F88" t="inlineStr"/>
      <c r="G88" s="4" t="inlineStr">
        <is>
          <t>OPERATIVE</t>
        </is>
      </c>
      <c r="H88" s="2" t="inlineStr">
        <is>
          <t>Per reuse refurb cost.</t>
        </is>
      </c>
      <c r="J88" s="2" t="n"/>
    </row>
    <row r="89">
      <c r="A89" t="inlineStr">
        <is>
          <t>R149</t>
        </is>
      </c>
      <c r="B89" t="inlineStr">
        <is>
          <t>CAPACITY</t>
        </is>
      </c>
      <c r="C89" t="inlineStr">
        <is>
          <t>Payload</t>
        </is>
      </c>
      <c r="D89" s="2" t="inlineStr">
        <is>
          <t>Payload — booster-only mode (kg-to-LEO)</t>
        </is>
      </c>
      <c r="E89" t="inlineStr">
        <is>
          <t>150000</t>
        </is>
      </c>
      <c r="F89" t="inlineStr"/>
      <c r="G89" s="4" t="inlineStr">
        <is>
          <t>OPERATIVE</t>
        </is>
      </c>
      <c r="H89" s="2" t="inlineStr">
        <is>
          <t>Expendable ship config. Higher because no landing margin.</t>
        </is>
      </c>
      <c r="J89" s="2" t="n"/>
    </row>
    <row r="90">
      <c r="A90" t="inlineStr">
        <is>
          <t>R150</t>
        </is>
      </c>
      <c r="B90" t="inlineStr">
        <is>
          <t>CAPACITY</t>
        </is>
      </c>
      <c r="C90" t="inlineStr">
        <is>
          <t>Payload</t>
        </is>
      </c>
      <c r="D90" s="2" t="inlineStr">
        <is>
          <t>Payload — fully reusable mode (kg-to-LEO)</t>
        </is>
      </c>
      <c r="E90" t="inlineStr">
        <is>
          <t>100000</t>
        </is>
      </c>
      <c r="F90" t="inlineStr"/>
      <c r="G90" s="4" t="inlineStr">
        <is>
          <t>OPERATIVE</t>
        </is>
      </c>
      <c r="H90" s="2" t="inlineStr">
        <is>
          <t>Reusable both stages.</t>
        </is>
      </c>
      <c r="J90" s="2" t="n"/>
    </row>
    <row r="91">
      <c r="A91" t="inlineStr">
        <is>
          <t>R151</t>
        </is>
      </c>
      <c r="B91" t="inlineStr">
        <is>
          <t>CAPACITY</t>
        </is>
      </c>
      <c r="C91" t="inlineStr">
        <is>
          <t>Reuse</t>
        </is>
      </c>
      <c r="D91" s="2" t="inlineStr">
        <is>
          <t>Lifetime reuses per ship (cap)</t>
        </is>
      </c>
      <c r="E91" t="inlineStr">
        <is>
          <t>30</t>
        </is>
      </c>
      <c r="F91" t="inlineStr"/>
      <c r="G91" s="4" t="inlineStr">
        <is>
          <t>OPERATIVE</t>
        </is>
      </c>
      <c r="H91" s="2" t="inlineStr">
        <is>
          <t>Ship useful life cap.</t>
        </is>
      </c>
      <c r="J91" s="2" t="n"/>
    </row>
    <row r="92">
      <c r="A92" t="inlineStr">
        <is>
          <t>R152</t>
        </is>
      </c>
      <c r="B92" t="inlineStr">
        <is>
          <t>CAPACITY</t>
        </is>
      </c>
      <c r="C92" t="inlineStr">
        <is>
          <t>Wright's Law</t>
        </is>
      </c>
      <c r="D92" s="2" t="inlineStr">
        <is>
          <t>Manufacturing learning rate (per doubling of cum units)</t>
        </is>
      </c>
      <c r="E92" t="inlineStr">
        <is>
          <t>0.1</t>
        </is>
      </c>
      <c r="F92" t="inlineStr"/>
      <c r="G92" s="4" t="inlineStr">
        <is>
          <t>OPERATIVE</t>
        </is>
      </c>
      <c r="H92" s="2" t="inlineStr">
        <is>
          <t>10% per doubling. MC [0.05, 0.15].</t>
        </is>
      </c>
      <c r="J92" s="2" t="n"/>
    </row>
    <row r="93">
      <c r="A93" t="inlineStr">
        <is>
          <t>R153</t>
        </is>
      </c>
      <c r="B93" t="inlineStr">
        <is>
          <t>CAPACITY</t>
        </is>
      </c>
      <c r="C93" t="inlineStr">
        <is>
          <t>Cadence</t>
        </is>
      </c>
      <c r="D93" s="2" t="inlineStr">
        <is>
          <t>Base turnaround time per booster (years/flight)</t>
        </is>
      </c>
      <c r="E93" t="inlineStr">
        <is>
          <t>1</t>
        </is>
      </c>
      <c r="F93" t="inlineStr"/>
      <c r="G93" s="4" t="inlineStr">
        <is>
          <t>OPERATIVE</t>
        </is>
      </c>
      <c r="H93" s="2" t="inlineStr">
        <is>
          <t>2025 starting point.</t>
        </is>
      </c>
      <c r="J93" s="2" t="n"/>
    </row>
    <row r="94">
      <c r="A94" t="inlineStr">
        <is>
          <t>R154</t>
        </is>
      </c>
      <c r="B94" t="inlineStr">
        <is>
          <t>CAPACITY</t>
        </is>
      </c>
      <c r="C94" t="inlineStr">
        <is>
          <t>Cadence</t>
        </is>
      </c>
      <c r="D94" s="2" t="inlineStr">
        <is>
          <t>WL learning rate — turnaround vs cum upmass doubling</t>
        </is>
      </c>
      <c r="E94" t="inlineStr">
        <is>
          <t>0.145</t>
        </is>
      </c>
      <c r="F94" t="inlineStr"/>
      <c r="G94" s="4" t="inlineStr">
        <is>
          <t>OPERATIVE</t>
        </is>
      </c>
      <c r="H94" s="2" t="inlineStr">
        <is>
          <t>Legacy model midpoint.</t>
        </is>
      </c>
      <c r="J94" s="2" t="n"/>
    </row>
    <row r="95">
      <c r="A95" t="inlineStr">
        <is>
          <t>R155</t>
        </is>
      </c>
      <c r="B95" t="inlineStr">
        <is>
          <t>CAPACITY</t>
        </is>
      </c>
      <c r="C95" t="inlineStr">
        <is>
          <t>Cadence</t>
        </is>
      </c>
      <c r="D95" s="2" t="inlineStr">
        <is>
          <t>Anchor year for cum-upmass Wright's Law</t>
        </is>
      </c>
      <c r="E95" t="inlineStr">
        <is>
          <t>2025</t>
        </is>
      </c>
      <c r="F95" t="inlineStr"/>
      <c r="G95" s="4" t="inlineStr">
        <is>
          <t>OPERATIVE</t>
        </is>
      </c>
      <c r="H95" s="2" t="inlineStr">
        <is>
          <t>Anchor year.</t>
        </is>
      </c>
      <c r="J95" s="2" t="n"/>
    </row>
    <row r="96">
      <c r="A96" t="inlineStr">
        <is>
          <t>R156</t>
        </is>
      </c>
      <c r="B96" t="inlineStr">
        <is>
          <t>CAPACITY</t>
        </is>
      </c>
      <c r="C96" t="inlineStr">
        <is>
          <t>Cadence</t>
        </is>
      </c>
      <c r="D96" s="2" t="inlineStr">
        <is>
          <t>Cadence ceiling (flights/booster/year)</t>
        </is>
      </c>
      <c r="E96" t="inlineStr">
        <is>
          <t>60</t>
        </is>
      </c>
      <c r="F96" t="inlineStr"/>
      <c r="G96" s="4" t="inlineStr">
        <is>
          <t>OPERATIVE</t>
        </is>
      </c>
      <c r="H96" s="2" t="inlineStr">
        <is>
          <t>Physical refly ceiling.</t>
        </is>
      </c>
      <c r="J96" s="2" t="n"/>
    </row>
    <row r="97">
      <c r="A97" t="inlineStr">
        <is>
          <t>R157</t>
        </is>
      </c>
      <c r="B97" t="inlineStr">
        <is>
          <t>CAPACITY</t>
        </is>
      </c>
      <c r="C97" t="inlineStr">
        <is>
          <t>Manufacturing</t>
        </is>
      </c>
      <c r="D97" s="2" t="inlineStr">
        <is>
          <t>Max annual production growth rate (multiplier)</t>
        </is>
      </c>
      <c r="E97" t="inlineStr">
        <is>
          <t>2</t>
        </is>
      </c>
      <c r="F97" t="inlineStr"/>
      <c r="G97" s="4" t="inlineStr">
        <is>
          <t>OPERATIVE</t>
        </is>
      </c>
      <c r="H97" s="2" t="inlineStr">
        <is>
          <t>Mfg ceiling (×2/yr max). MC [1.5, 4].</t>
        </is>
      </c>
      <c r="J97" s="2" t="n"/>
    </row>
    <row r="98">
      <c r="A98" t="inlineStr">
        <is>
          <t>R160</t>
        </is>
      </c>
      <c r="B98" t="inlineStr">
        <is>
          <t>CAPACITY</t>
        </is>
      </c>
      <c r="C98" t="inlineStr">
        <is>
          <t>Variant mix</t>
        </is>
      </c>
      <c r="D98" s="2" t="inlineStr">
        <is>
          <t>Variant mix (% fully reusable)</t>
        </is>
      </c>
      <c r="E98" t="inlineStr">
        <is>
          <t>year-row</t>
        </is>
      </c>
      <c r="F98" t="inlineStr">
        <is>
          <t>D=0, I=0.7, AC=0.95</t>
        </is>
      </c>
      <c r="G98" s="4" t="inlineStr">
        <is>
          <t>OPERATIVE</t>
        </is>
      </c>
      <c r="H98" s="2" t="inlineStr">
        <is>
          <t>Ramp to 95% by 2035.</t>
        </is>
      </c>
      <c r="J98" s="2" t="n"/>
    </row>
    <row r="99">
      <c r="A99" t="inlineStr">
        <is>
          <t>R161</t>
        </is>
      </c>
      <c r="B99" t="inlineStr">
        <is>
          <t>CAPACITY</t>
        </is>
      </c>
      <c r="C99" t="inlineStr">
        <is>
          <t>Build rate (LEGACY stub)</t>
        </is>
      </c>
      <c r="D99" s="2" t="inlineStr">
        <is>
          <t>Boosters built per year</t>
        </is>
      </c>
      <c r="E99" t="inlineStr">
        <is>
          <t>year-row stub</t>
        </is>
      </c>
      <c r="F99" t="inlineStr">
        <is>
          <t>D=4, I=40, AC=60</t>
        </is>
      </c>
      <c r="G99" s="5" t="inlineStr">
        <is>
          <t>DECORATIVE</t>
        </is>
      </c>
      <c r="H99" s="2" t="inlineStr">
        <is>
          <t>Spec 7.5 manual stub. Mode toggle B323 → 1, so allocator-driven now.</t>
        </is>
      </c>
      <c r="J99" s="2" t="n"/>
    </row>
    <row r="100">
      <c r="A100" t="inlineStr">
        <is>
          <t>R162</t>
        </is>
      </c>
      <c r="B100" t="inlineStr">
        <is>
          <t>CAPACITY</t>
        </is>
      </c>
      <c r="C100" t="inlineStr">
        <is>
          <t>Build rate (LEGACY stub)</t>
        </is>
      </c>
      <c r="D100" s="2" t="inlineStr">
        <is>
          <t>Ships built per year</t>
        </is>
      </c>
      <c r="E100" t="inlineStr">
        <is>
          <t>year-row stub</t>
        </is>
      </c>
      <c r="F100" t="inlineStr">
        <is>
          <t>D=8, I=50, AC=70</t>
        </is>
      </c>
      <c r="G100" s="5" t="inlineStr">
        <is>
          <t>DECORATIVE</t>
        </is>
      </c>
      <c r="H100" s="2" t="inlineStr">
        <is>
          <t>Same — allocator-driven now.</t>
        </is>
      </c>
      <c r="J100" s="2" t="n"/>
    </row>
    <row r="101">
      <c r="A101" t="inlineStr">
        <is>
          <t>R163</t>
        </is>
      </c>
      <c r="B101" t="inlineStr">
        <is>
          <t>CAPACITY</t>
        </is>
      </c>
      <c r="C101" t="inlineStr">
        <is>
          <t>Reuse cap</t>
        </is>
      </c>
      <c r="D101" s="2" t="inlineStr">
        <is>
          <t>Lifetime reuses per booster (year cap)</t>
        </is>
      </c>
      <c r="E101" t="inlineStr">
        <is>
          <t>year-row</t>
        </is>
      </c>
      <c r="F101" t="inlineStr">
        <is>
          <t>D=5, I=30, AC=100</t>
        </is>
      </c>
      <c r="G101" s="4" t="inlineStr">
        <is>
          <t>OPERATIVE</t>
        </is>
      </c>
      <c r="H101" s="2" t="inlineStr">
        <is>
          <t>Ramp up reuse cap as fleet matures.</t>
        </is>
      </c>
      <c r="J101" s="2" t="n"/>
    </row>
    <row r="102">
      <c r="A102" t="inlineStr">
        <is>
          <t>R501</t>
        </is>
      </c>
      <c r="B102" t="inlineStr">
        <is>
          <t>CAPACITY</t>
        </is>
      </c>
      <c r="C102" t="inlineStr">
        <is>
          <t>Build cost</t>
        </is>
      </c>
      <c r="D102" s="2" t="inlineStr">
        <is>
          <t>Blended build cost per Starship vehicle ($mm)</t>
        </is>
      </c>
      <c r="E102" t="inlineStr">
        <is>
          <t>formula</t>
        </is>
      </c>
      <c r="F102">
        <f>B80×B325 + B81×(1-B325)</f>
        <v/>
      </c>
      <c r="G102" s="4" t="inlineStr">
        <is>
          <t>OPERATIVE</t>
        </is>
      </c>
      <c r="H102" s="2" t="inlineStr">
        <is>
          <t>Weighted SH + ship cost. Used by vehicle build claim.</t>
        </is>
      </c>
      <c r="J102" s="2" t="n"/>
    </row>
    <row r="103">
      <c r="A103" t="inlineStr">
        <is>
          <t>R500</t>
        </is>
      </c>
      <c r="B103" t="inlineStr">
        <is>
          <t>CAPACITY</t>
        </is>
      </c>
      <c r="C103" t="inlineStr">
        <is>
          <t>Build cadence</t>
        </is>
      </c>
      <c r="D103" s="2" t="inlineStr">
        <is>
          <t>Launches per Starship vehicle per year</t>
        </is>
      </c>
      <c r="E103" t="inlineStr">
        <is>
          <t>24</t>
        </is>
      </c>
      <c r="F103" t="inlineStr"/>
      <c r="G103" s="4" t="inlineStr">
        <is>
          <t>OPERATIVE</t>
        </is>
      </c>
      <c r="H103" s="2" t="inlineStr">
        <is>
          <t>Cadence × variant blend stub.</t>
        </is>
      </c>
      <c r="J103" s="2" t="n"/>
    </row>
    <row r="104">
      <c r="A104" t="inlineStr">
        <is>
          <t>R170</t>
        </is>
      </c>
      <c r="B104" t="inlineStr">
        <is>
          <t>CUSTOMER LAUNCH</t>
        </is>
      </c>
      <c r="C104" t="inlineStr">
        <is>
          <t>F9 physical</t>
        </is>
      </c>
      <c r="D104" s="2" t="inlineStr">
        <is>
          <t>F9 booster (1st stage) mfg cost ($mm/unit)</t>
        </is>
      </c>
      <c r="E104" t="inlineStr">
        <is>
          <t>30</t>
        </is>
      </c>
      <c r="F104" t="inlineStr"/>
      <c r="G104" s="4" t="inlineStr">
        <is>
          <t>OPERATIVE</t>
        </is>
      </c>
      <c r="H104" s="2" t="inlineStr">
        <is>
          <t>60% of total per source notes.</t>
        </is>
      </c>
      <c r="J104" s="2" t="n"/>
    </row>
    <row r="105">
      <c r="A105" t="inlineStr">
        <is>
          <t>R171</t>
        </is>
      </c>
      <c r="B105" t="inlineStr">
        <is>
          <t>CUSTOMER LAUNCH</t>
        </is>
      </c>
      <c r="C105" t="inlineStr">
        <is>
          <t>F9 physical</t>
        </is>
      </c>
      <c r="D105" s="2" t="inlineStr">
        <is>
          <t>F9 2nd-stage mfg cost ($mm/unit)</t>
        </is>
      </c>
      <c r="E105" t="inlineStr">
        <is>
          <t>10</t>
        </is>
      </c>
      <c r="F105" t="inlineStr"/>
      <c r="G105" s="4" t="inlineStr">
        <is>
          <t>OPERATIVE</t>
        </is>
      </c>
      <c r="H105" s="2" t="inlineStr">
        <is>
          <t>Expendable each flight.</t>
        </is>
      </c>
      <c r="J105" s="2" t="n"/>
    </row>
    <row r="106">
      <c r="A106" t="inlineStr">
        <is>
          <t>R172</t>
        </is>
      </c>
      <c r="B106" t="inlineStr">
        <is>
          <t>CUSTOMER LAUNCH</t>
        </is>
      </c>
      <c r="C106" t="inlineStr">
        <is>
          <t>F9 physical</t>
        </is>
      </c>
      <c r="D106" s="2" t="inlineStr">
        <is>
          <t>F9 fairing cost net of 75% recovery ($mm/flight)</t>
        </is>
      </c>
      <c r="E106" t="inlineStr">
        <is>
          <t>1.25</t>
        </is>
      </c>
      <c r="F106" t="inlineStr"/>
      <c r="G106" s="4" t="inlineStr">
        <is>
          <t>OPERATIVE</t>
        </is>
      </c>
      <c r="H106" s="2" t="inlineStr">
        <is>
          <t>$5M × 25% non-recovered.</t>
        </is>
      </c>
      <c r="J106" s="2" t="n"/>
    </row>
    <row r="107">
      <c r="A107" t="inlineStr">
        <is>
          <t>R173</t>
        </is>
      </c>
      <c r="B107" t="inlineStr">
        <is>
          <t>CUSTOMER LAUNCH</t>
        </is>
      </c>
      <c r="C107" t="inlineStr">
        <is>
          <t>F9 ops</t>
        </is>
      </c>
      <c r="D107" s="2" t="inlineStr">
        <is>
          <t>F9 per-launch ops cost ($mm)</t>
        </is>
      </c>
      <c r="E107" t="inlineStr">
        <is>
          <t>5</t>
        </is>
      </c>
      <c r="F107" t="inlineStr"/>
      <c r="G107" s="4" t="inlineStr">
        <is>
          <t>OPERATIVE</t>
        </is>
      </c>
      <c r="H107" s="2" t="inlineStr">
        <is>
          <t>Range, propellant, recovery.</t>
        </is>
      </c>
      <c r="J107" s="2" t="n"/>
    </row>
    <row r="108">
      <c r="A108" t="inlineStr">
        <is>
          <t>R174</t>
        </is>
      </c>
      <c r="B108" t="inlineStr">
        <is>
          <t>CUSTOMER LAUNCH</t>
        </is>
      </c>
      <c r="C108" t="inlineStr">
        <is>
          <t>F9 physical</t>
        </is>
      </c>
      <c r="D108" s="2" t="inlineStr">
        <is>
          <t>F9 booster refurb % of mfg</t>
        </is>
      </c>
      <c r="E108" t="inlineStr">
        <is>
          <t>0.03</t>
        </is>
      </c>
      <c r="F108" t="inlineStr"/>
      <c r="G108" s="4" t="inlineStr">
        <is>
          <t>OPERATIVE</t>
        </is>
      </c>
      <c r="H108" s="2" t="inlineStr">
        <is>
          <t>Reusability matrix.</t>
        </is>
      </c>
      <c r="J108" s="2" t="n"/>
    </row>
    <row r="109">
      <c r="A109" t="inlineStr">
        <is>
          <t>R175</t>
        </is>
      </c>
      <c r="B109" t="inlineStr">
        <is>
          <t>CUSTOMER LAUNCH</t>
        </is>
      </c>
      <c r="C109" t="inlineStr">
        <is>
          <t>F9 physical</t>
        </is>
      </c>
      <c r="D109" s="2" t="inlineStr">
        <is>
          <t>F9 payload to LEO (kg)</t>
        </is>
      </c>
      <c r="E109" t="inlineStr">
        <is>
          <t>22800</t>
        </is>
      </c>
      <c r="F109" t="inlineStr"/>
      <c r="G109" s="4" t="inlineStr">
        <is>
          <t>OPERATIVE</t>
        </is>
      </c>
      <c r="H109" s="2" t="inlineStr">
        <is>
          <t>Block 5 advertised.</t>
        </is>
      </c>
      <c r="J109" s="2" t="n"/>
    </row>
    <row r="110">
      <c r="A110" t="inlineStr">
        <is>
          <t>R176</t>
        </is>
      </c>
      <c r="B110" t="inlineStr">
        <is>
          <t>CUSTOMER LAUNCH</t>
        </is>
      </c>
      <c r="C110" t="inlineStr">
        <is>
          <t>F9 physical</t>
        </is>
      </c>
      <c r="D110" s="2" t="inlineStr">
        <is>
          <t>F9 lifetime reuses per booster</t>
        </is>
      </c>
      <c r="E110" t="inlineStr">
        <is>
          <t>50</t>
        </is>
      </c>
      <c r="F110" t="inlineStr"/>
      <c r="G110" s="4" t="inlineStr">
        <is>
          <t>OPERATIVE</t>
        </is>
      </c>
      <c r="H110" s="2" t="inlineStr">
        <is>
          <t>Block 5 demonstrated ~30, theoretical 100+.</t>
        </is>
      </c>
      <c r="J110" s="2" t="n"/>
    </row>
    <row r="111">
      <c r="A111" t="inlineStr">
        <is>
          <t>R177</t>
        </is>
      </c>
      <c r="B111" t="inlineStr">
        <is>
          <t>CUSTOMER LAUNCH</t>
        </is>
      </c>
      <c r="C111" t="inlineStr">
        <is>
          <t>F9 Wright's Law</t>
        </is>
      </c>
      <c r="D111" s="2" t="inlineStr">
        <is>
          <t>F9 Wright's Law mfg learning rate</t>
        </is>
      </c>
      <c r="E111" t="inlineStr">
        <is>
          <t>0.02</t>
        </is>
      </c>
      <c r="F111" t="inlineStr"/>
      <c r="G111" s="4" t="inlineStr">
        <is>
          <t>OPERATIVE</t>
        </is>
      </c>
      <c r="H111" s="2" t="inlineStr">
        <is>
          <t>Mature production line.</t>
        </is>
      </c>
      <c r="J111" s="2" t="n"/>
    </row>
    <row r="112">
      <c r="A112" t="inlineStr">
        <is>
          <t>R178</t>
        </is>
      </c>
      <c r="B112" t="inlineStr">
        <is>
          <t>CUSTOMER LAUNCH</t>
        </is>
      </c>
      <c r="C112" t="inlineStr">
        <is>
          <t>F9 cadence</t>
        </is>
      </c>
      <c r="D112" s="2" t="inlineStr">
        <is>
          <t>F9 cadence per booster (flights/year, flat)</t>
        </is>
      </c>
      <c r="E112" t="inlineStr">
        <is>
          <t>12</t>
        </is>
      </c>
      <c r="F112" t="inlineStr"/>
      <c r="G112" s="4" t="inlineStr">
        <is>
          <t>OPERATIVE</t>
        </is>
      </c>
      <c r="H112" s="2" t="inlineStr">
        <is>
          <t>F9 past learning curve.</t>
        </is>
      </c>
      <c r="J112" s="2" t="n"/>
    </row>
    <row r="113">
      <c r="A113" t="inlineStr">
        <is>
          <t>R179</t>
        </is>
      </c>
      <c r="B113" t="inlineStr">
        <is>
          <t>CUSTOMER LAUNCH</t>
        </is>
      </c>
      <c r="C113" t="inlineStr">
        <is>
          <t>F9 build rate</t>
        </is>
      </c>
      <c r="D113" s="2" t="inlineStr">
        <is>
          <t>F9 base booster build rate (boosters/year)</t>
        </is>
      </c>
      <c r="E113" t="inlineStr">
        <is>
          <t>8</t>
        </is>
      </c>
      <c r="F113" t="inlineStr"/>
      <c r="G113" s="4" t="inlineStr">
        <is>
          <t>OPERATIVE</t>
        </is>
      </c>
      <c r="H113" s="2" t="inlineStr">
        <is>
          <t>Pre-V3 trigger build rate.</t>
        </is>
      </c>
      <c r="J113" s="2" t="n"/>
    </row>
    <row r="114">
      <c r="A114" t="inlineStr">
        <is>
          <t>R180</t>
        </is>
      </c>
      <c r="B114" t="inlineStr">
        <is>
          <t>CUSTOMER LAUNCH</t>
        </is>
      </c>
      <c r="C114" t="inlineStr">
        <is>
          <t>F9 retirement</t>
        </is>
      </c>
      <c r="D114" s="2" t="inlineStr">
        <is>
          <t>V3 Starlink launch trigger year</t>
        </is>
      </c>
      <c r="E114" t="inlineStr">
        <is>
          <t>2027</t>
        </is>
      </c>
      <c r="F114" t="inlineStr"/>
      <c r="G114" s="4" t="inlineStr">
        <is>
          <t>OPERATIVE</t>
        </is>
      </c>
      <c r="H114" s="2" t="inlineStr">
        <is>
          <t>V3 heavy sats require Starship → F9 demand evaporates.</t>
        </is>
      </c>
      <c r="J114" s="2" t="n"/>
    </row>
    <row r="115">
      <c r="A115" t="inlineStr">
        <is>
          <t>R181</t>
        </is>
      </c>
      <c r="B115" t="inlineStr">
        <is>
          <t>CUSTOMER LAUNCH</t>
        </is>
      </c>
      <c r="C115" t="inlineStr">
        <is>
          <t>F9 retirement</t>
        </is>
      </c>
      <c r="D115" s="2" t="inlineStr">
        <is>
          <t>F9 build-rate decay window (years)</t>
        </is>
      </c>
      <c r="E115" t="inlineStr">
        <is>
          <t>8</t>
        </is>
      </c>
      <c r="F115" t="inlineStr"/>
      <c r="G115" s="4" t="inlineStr">
        <is>
          <t>OPERATIVE</t>
        </is>
      </c>
      <c r="H115" s="2" t="inlineStr">
        <is>
          <t>Linear decay over 8 yrs post-trigger.</t>
        </is>
      </c>
      <c r="J115" s="2" t="n"/>
    </row>
    <row r="116">
      <c r="A116" t="inlineStr">
        <is>
          <t>R182</t>
        </is>
      </c>
      <c r="B116" t="inlineStr">
        <is>
          <t>CUSTOMER LAUNCH</t>
        </is>
      </c>
      <c r="C116" t="inlineStr">
        <is>
          <t>Module OpEx (LEGACY)</t>
        </is>
      </c>
      <c r="D116" s="2" t="inlineStr">
        <is>
          <t>Launch module SG&amp;A % of revenue</t>
        </is>
      </c>
      <c r="E116" t="inlineStr">
        <is>
          <t>0.08</t>
        </is>
      </c>
      <c r="F116" t="inlineStr"/>
      <c r="G116" s="3" t="inlineStr">
        <is>
          <t>STALE</t>
        </is>
      </c>
      <c r="H116" s="2" t="inlineStr">
        <is>
          <t>Module SG&amp;A retired by Spec 01. R182 + R198 duplicate.</t>
        </is>
      </c>
      <c r="J116" s="2" t="n"/>
    </row>
    <row r="117">
      <c r="A117" t="inlineStr">
        <is>
          <t>R183</t>
        </is>
      </c>
      <c r="B117" t="inlineStr">
        <is>
          <t>CUSTOMER LAUNCH</t>
        </is>
      </c>
      <c r="C117" t="inlineStr">
        <is>
          <t>D&amp;A</t>
        </is>
      </c>
      <c r="D117" s="2" t="inlineStr">
        <is>
          <t>Launch module depreciation useful life (years)</t>
        </is>
      </c>
      <c r="E117" t="inlineStr">
        <is>
          <t>5</t>
        </is>
      </c>
      <c r="F117" t="inlineStr"/>
      <c r="G117" s="4" t="inlineStr">
        <is>
          <t>OPERATIVE</t>
        </is>
      </c>
      <c r="H117" s="2" t="inlineStr">
        <is>
          <t>F9 + Starship depreciation life.</t>
        </is>
      </c>
      <c r="J117" s="2" t="n"/>
    </row>
    <row r="118">
      <c r="A118" t="inlineStr">
        <is>
          <t>R185</t>
        </is>
      </c>
      <c r="B118" t="inlineStr">
        <is>
          <t>CUSTOMER LAUNCH</t>
        </is>
      </c>
      <c r="C118" t="inlineStr">
        <is>
          <t>Opening balance</t>
        </is>
      </c>
      <c r="D118" s="2" t="inlineStr">
        <is>
          <t>F9 starting fleet at 2025 SoY (boosters)</t>
        </is>
      </c>
      <c r="E118" t="inlineStr">
        <is>
          <t>24</t>
        </is>
      </c>
      <c r="F118" t="inlineStr"/>
      <c r="G118" s="4" t="inlineStr">
        <is>
          <t>OPERATIVE</t>
        </is>
      </c>
      <c r="H118" s="2" t="inlineStr">
        <is>
          <t>SpaceX 2025 active fleet count.</t>
        </is>
      </c>
      <c r="J118" s="2" t="n"/>
    </row>
    <row r="119">
      <c r="A119" t="inlineStr">
        <is>
          <t>R191</t>
        </is>
      </c>
      <c r="B119" t="inlineStr">
        <is>
          <t>CUSTOMER LAUNCH</t>
        </is>
      </c>
      <c r="C119" t="inlineStr">
        <is>
          <t>Market</t>
        </is>
      </c>
      <c r="D119" s="2" t="inlineStr">
        <is>
          <t>Commercial launch market size ($mm/year)</t>
        </is>
      </c>
      <c r="E119" t="inlineStr">
        <is>
          <t>$8B → 8%/yr</t>
        </is>
      </c>
      <c r="F119" t="inlineStr">
        <is>
          <t>D=8000, growth formula</t>
        </is>
      </c>
      <c r="G119" s="4" t="inlineStr">
        <is>
          <t>OPERATIVE</t>
        </is>
      </c>
      <c r="H119" s="2" t="inlineStr">
        <is>
          <t>2025 base $8B, 8% annual growth.</t>
        </is>
      </c>
      <c r="J119" s="2" t="n"/>
    </row>
    <row r="120">
      <c r="A120" t="inlineStr">
        <is>
          <t>R192</t>
        </is>
      </c>
      <c r="B120" t="inlineStr">
        <is>
          <t>CUSTOMER LAUNCH</t>
        </is>
      </c>
      <c r="C120" t="inlineStr">
        <is>
          <t>Market</t>
        </is>
      </c>
      <c r="D120" s="2" t="inlineStr">
        <is>
          <t>Government launch market size ($mm/year)</t>
        </is>
      </c>
      <c r="E120" t="inlineStr">
        <is>
          <t>$4B → 5%/yr</t>
        </is>
      </c>
      <c r="F120" t="inlineStr">
        <is>
          <t>D=4000, growth formula</t>
        </is>
      </c>
      <c r="G120" s="4" t="inlineStr">
        <is>
          <t>OPERATIVE</t>
        </is>
      </c>
      <c r="H120" s="2" t="inlineStr">
        <is>
          <t>NSSL etc. 2025 base $4B.</t>
        </is>
      </c>
      <c r="J120" s="2" t="n"/>
    </row>
    <row r="121">
      <c r="A121" t="inlineStr">
        <is>
          <t>R193</t>
        </is>
      </c>
      <c r="B121" t="inlineStr">
        <is>
          <t>CUSTOMER LAUNCH</t>
        </is>
      </c>
      <c r="C121" t="inlineStr">
        <is>
          <t>Market</t>
        </is>
      </c>
      <c r="D121" s="2" t="inlineStr">
        <is>
          <t>SpaceX commercial market share %</t>
        </is>
      </c>
      <c r="E121" t="inlineStr">
        <is>
          <t>70% → 80%</t>
        </is>
      </c>
      <c r="F121" t="inlineStr">
        <is>
          <t>D=0.7, ramp to 0.8</t>
        </is>
      </c>
      <c r="G121" s="4" t="inlineStr">
        <is>
          <t>OPERATIVE</t>
        </is>
      </c>
      <c r="H121" s="2" t="inlineStr">
        <is>
          <t>2025: 70% → 2040: 80%.</t>
        </is>
      </c>
      <c r="J121" s="2" t="n"/>
    </row>
    <row r="122">
      <c r="A122" t="inlineStr">
        <is>
          <t>R194</t>
        </is>
      </c>
      <c r="B122" t="inlineStr">
        <is>
          <t>CUSTOMER LAUNCH</t>
        </is>
      </c>
      <c r="C122" t="inlineStr">
        <is>
          <t>Market</t>
        </is>
      </c>
      <c r="D122" s="2" t="inlineStr">
        <is>
          <t>SpaceX government market share %</t>
        </is>
      </c>
      <c r="E122" t="inlineStr">
        <is>
          <t>90% → 80%</t>
        </is>
      </c>
      <c r="F122" t="inlineStr">
        <is>
          <t>D=0.9, decay to 0.8</t>
        </is>
      </c>
      <c r="G122" s="4" t="inlineStr">
        <is>
          <t>OPERATIVE</t>
        </is>
      </c>
      <c r="H122" s="2" t="inlineStr">
        <is>
          <t>2025: 90% → 2040: 80%.</t>
        </is>
      </c>
      <c r="J122" s="2" t="n"/>
    </row>
    <row r="123">
      <c r="A123" t="inlineStr">
        <is>
          <t>R195</t>
        </is>
      </c>
      <c r="B123" t="inlineStr">
        <is>
          <t>CUSTOMER LAUNCH</t>
        </is>
      </c>
      <c r="C123" t="inlineStr">
        <is>
          <t>Pricing</t>
        </is>
      </c>
      <c r="D123" s="2" t="inlineStr">
        <is>
          <t>F9 customer launch price ($mm/launch)</t>
        </is>
      </c>
      <c r="E123" t="inlineStr">
        <is>
          <t>$67 → 3%/yr decline</t>
        </is>
      </c>
      <c r="F123" t="inlineStr">
        <is>
          <t>D=67, decline 3%</t>
        </is>
      </c>
      <c r="G123" s="4" t="inlineStr">
        <is>
          <t>OPERATIVE</t>
        </is>
      </c>
      <c r="H123" s="2" t="inlineStr">
        <is>
          <t>2025: $67M, declining 3%/yr.</t>
        </is>
      </c>
      <c r="J123" s="2" t="n"/>
    </row>
    <row r="124">
      <c r="A124" t="inlineStr">
        <is>
          <t>R196</t>
        </is>
      </c>
      <c r="B124" t="inlineStr">
        <is>
          <t>CUSTOMER LAUNCH</t>
        </is>
      </c>
      <c r="C124" t="inlineStr">
        <is>
          <t>Pricing</t>
        </is>
      </c>
      <c r="D124" s="2" t="inlineStr">
        <is>
          <t>Starship customer launch price ($mm/launch)</t>
        </is>
      </c>
      <c r="E124" t="inlineStr">
        <is>
          <t>$100 from 2027, then 8%/yr decline</t>
        </is>
      </c>
      <c r="F124" t="inlineStr">
        <is>
          <t>D=0, F=100, then decline</t>
        </is>
      </c>
      <c r="G124" s="4" t="inlineStr">
        <is>
          <t>OPERATIVE</t>
        </is>
      </c>
      <c r="H124" s="2" t="inlineStr">
        <is>
          <t>Starts 2027 at $100M, 8% deflation.</t>
        </is>
      </c>
      <c r="J124" s="2" t="n"/>
    </row>
    <row r="125">
      <c r="A125" t="inlineStr">
        <is>
          <t>R198</t>
        </is>
      </c>
      <c r="B125" t="inlineStr">
        <is>
          <t>CUSTOMER LAUNCH</t>
        </is>
      </c>
      <c r="C125" t="inlineStr">
        <is>
          <t>Module OpEx (LEGACY)</t>
        </is>
      </c>
      <c r="D125" s="2" t="inlineStr">
        <is>
          <t>Launch module SG&amp;A % of revenue (dup)</t>
        </is>
      </c>
      <c r="E125" t="inlineStr">
        <is>
          <t>0.08</t>
        </is>
      </c>
      <c r="F125" t="inlineStr"/>
      <c r="G125" s="3" t="inlineStr">
        <is>
          <t>STALE</t>
        </is>
      </c>
      <c r="H125" s="2" t="inlineStr">
        <is>
          <t>Duplicate of R182. Drop.</t>
        </is>
      </c>
      <c r="J125" s="2" t="n"/>
    </row>
    <row r="126">
      <c r="A126" t="inlineStr">
        <is>
          <t>R199</t>
        </is>
      </c>
      <c r="B126" t="inlineStr">
        <is>
          <t>CUSTOMER LAUNCH</t>
        </is>
      </c>
      <c r="C126" t="inlineStr">
        <is>
          <t>D&amp;A</t>
        </is>
      </c>
      <c r="D126" s="2" t="inlineStr">
        <is>
          <t>Launch module depreciation useful life (years, dup)</t>
        </is>
      </c>
      <c r="E126" t="inlineStr">
        <is>
          <t>5</t>
        </is>
      </c>
      <c r="F126" t="inlineStr"/>
      <c r="G126" s="3" t="inlineStr">
        <is>
          <t>STALE</t>
        </is>
      </c>
      <c r="H126" s="2" t="inlineStr">
        <is>
          <t>Duplicate of R183. Drop.</t>
        </is>
      </c>
      <c r="J126" s="2" t="n"/>
    </row>
    <row r="127">
      <c r="A127" t="inlineStr">
        <is>
          <t>R202</t>
        </is>
      </c>
      <c r="B127" t="inlineStr">
        <is>
          <t>CUSTOMER LAUNCH</t>
        </is>
      </c>
      <c r="C127" t="inlineStr">
        <is>
          <t>Capacity demand</t>
        </is>
      </c>
      <c r="D127" s="2" t="inlineStr">
        <is>
          <t>Starship payload to LEO (kg) — for capacity demand</t>
        </is>
      </c>
      <c r="E127" t="inlineStr">
        <is>
          <t>150000</t>
        </is>
      </c>
      <c r="F127" t="inlineStr"/>
      <c r="G127" s="4" t="inlineStr">
        <is>
          <t>OPERATIVE</t>
        </is>
      </c>
      <c r="H127" s="2" t="inlineStr">
        <is>
          <t>Booster-only payload mode. Matches R149.</t>
        </is>
      </c>
      <c r="J127" s="2" t="n"/>
    </row>
    <row r="128">
      <c r="A128" t="inlineStr">
        <is>
          <t>R375</t>
        </is>
      </c>
      <c r="B128" t="inlineStr">
        <is>
          <t>CUSTOMER LAUNCH</t>
        </is>
      </c>
      <c r="C128" t="inlineStr">
        <is>
          <t>COGS stub</t>
        </is>
      </c>
      <c r="D128" s="2" t="inlineStr">
        <is>
          <t>Launch insurance % of external revenue</t>
        </is>
      </c>
      <c r="E128" t="inlineStr">
        <is>
          <t>0.05</t>
        </is>
      </c>
      <c r="F128" t="inlineStr"/>
      <c r="G128" s="4" t="inlineStr">
        <is>
          <t>OPERATIVE</t>
        </is>
      </c>
      <c r="H128" s="2" t="inlineStr">
        <is>
          <t>5% insurance on commercial launches.</t>
        </is>
      </c>
      <c r="J128" s="2" t="n"/>
    </row>
    <row r="129">
      <c r="A129" t="inlineStr">
        <is>
          <t>R376</t>
        </is>
      </c>
      <c r="B129" t="inlineStr">
        <is>
          <t>CUSTOMER LAUNCH</t>
        </is>
      </c>
      <c r="C129" t="inlineStr">
        <is>
          <t>COGS stub</t>
        </is>
      </c>
      <c r="D129" s="2" t="inlineStr">
        <is>
          <t>Launch other COGS % of external revenue</t>
        </is>
      </c>
      <c r="E129" t="inlineStr">
        <is>
          <t>0.02</t>
        </is>
      </c>
      <c r="F129" t="inlineStr"/>
      <c r="G129" s="4" t="inlineStr">
        <is>
          <t>OPERATIVE</t>
        </is>
      </c>
      <c r="H129" s="2" t="inlineStr">
        <is>
          <t>Catch-all 2%.</t>
        </is>
      </c>
      <c r="J129" s="2" t="n"/>
    </row>
    <row r="130">
      <c r="A130" t="inlineStr">
        <is>
          <t>R207</t>
        </is>
      </c>
      <c r="B130" t="inlineStr">
        <is>
          <t>ODC</t>
        </is>
      </c>
      <c r="C130" t="inlineStr">
        <is>
          <t>Sat physical</t>
        </is>
      </c>
      <c r="D130" s="2" t="inlineStr">
        <is>
          <t>Compute power per sat (kW)</t>
        </is>
      </c>
      <c r="E130" t="inlineStr">
        <is>
          <t>140</t>
        </is>
      </c>
      <c r="F130" t="inlineStr"/>
      <c r="G130" s="4" t="inlineStr">
        <is>
          <t>OPERATIVE</t>
        </is>
      </c>
      <c r="H130" s="2" t="inlineStr">
        <is>
          <t>V2 Compute config.</t>
        </is>
      </c>
      <c r="J130" s="2" t="n"/>
    </row>
    <row r="131">
      <c r="A131" t="inlineStr">
        <is>
          <t>R208</t>
        </is>
      </c>
      <c r="B131" t="inlineStr">
        <is>
          <t>ODC</t>
        </is>
      </c>
      <c r="C131" t="inlineStr">
        <is>
          <t>Sat physical</t>
        </is>
      </c>
      <c r="D131" s="2" t="inlineStr">
        <is>
          <t>Solar generation per sat (kW, gen requirement)</t>
        </is>
      </c>
      <c r="E131" t="inlineStr">
        <is>
          <t>156</t>
        </is>
      </c>
      <c r="F131" t="inlineStr"/>
      <c r="G131" s="4" t="inlineStr">
        <is>
          <t>OPERATIVE</t>
        </is>
      </c>
      <c r="H131" s="2" t="inlineStr">
        <is>
          <t>Solar nameplate.</t>
        </is>
      </c>
      <c r="J131" s="2" t="n"/>
    </row>
    <row r="132">
      <c r="A132" t="inlineStr">
        <is>
          <t>R209</t>
        </is>
      </c>
      <c r="B132" t="inlineStr">
        <is>
          <t>ODC</t>
        </is>
      </c>
      <c r="C132" t="inlineStr">
        <is>
          <t>Sat physical</t>
        </is>
      </c>
      <c r="D132" s="2" t="inlineStr">
        <is>
          <t>Total sat dry mass (kg)</t>
        </is>
      </c>
      <c r="E132" t="inlineStr">
        <is>
          <t>1400</t>
        </is>
      </c>
      <c r="F132" t="inlineStr"/>
      <c r="G132" s="4" t="inlineStr">
        <is>
          <t>OPERATIVE</t>
        </is>
      </c>
      <c r="H132" s="2" t="inlineStr">
        <is>
          <t>V2 Compute mass.</t>
        </is>
      </c>
      <c r="J132" s="2" t="n"/>
    </row>
    <row r="133">
      <c r="A133" t="inlineStr">
        <is>
          <t>R210</t>
        </is>
      </c>
      <c r="B133" t="inlineStr">
        <is>
          <t>ODC</t>
        </is>
      </c>
      <c r="C133" t="inlineStr">
        <is>
          <t>Compute</t>
        </is>
      </c>
      <c r="D133" s="2" t="inlineStr">
        <is>
          <t>F_ref — reference compute unit (TFLOPS, H100 FP8 dense)</t>
        </is>
      </c>
      <c r="E133" t="inlineStr">
        <is>
          <t>1979</t>
        </is>
      </c>
      <c r="F133" t="inlineStr"/>
      <c r="G133" s="4" t="inlineStr">
        <is>
          <t>OPERATIVE</t>
        </is>
      </c>
      <c r="H133" s="2" t="inlineStr">
        <is>
          <t>H100 spec. Industry anchor.</t>
        </is>
      </c>
      <c r="J133" s="2" t="n"/>
    </row>
    <row r="134">
      <c r="A134" t="inlineStr">
        <is>
          <t>R211</t>
        </is>
      </c>
      <c r="B134" t="inlineStr">
        <is>
          <t>ODC</t>
        </is>
      </c>
      <c r="C134" t="inlineStr">
        <is>
          <t>Compute</t>
        </is>
      </c>
      <c r="D134" s="2" t="inlineStr">
        <is>
          <t>Effective Compute Ratio (ECR)</t>
        </is>
      </c>
      <c r="E134" t="inlineStr">
        <is>
          <t>0.6</t>
        </is>
      </c>
      <c r="F134" t="inlineStr"/>
      <c r="G134" s="4" t="inlineStr">
        <is>
          <t>OPERATIVE</t>
        </is>
      </c>
      <c r="H134" s="2" t="inlineStr">
        <is>
          <t>Workload fit factor.</t>
        </is>
      </c>
      <c r="J134" s="2" t="n"/>
    </row>
    <row r="135">
      <c r="A135" t="inlineStr">
        <is>
          <t>R212</t>
        </is>
      </c>
      <c r="B135" t="inlineStr">
        <is>
          <t>ODC</t>
        </is>
      </c>
      <c r="C135" t="inlineStr">
        <is>
          <t>Compute</t>
        </is>
      </c>
      <c r="D135" s="2" t="inlineStr">
        <is>
          <t>Workload mix — % inference</t>
        </is>
      </c>
      <c r="E135" t="inlineStr">
        <is>
          <t>0.85</t>
        </is>
      </c>
      <c r="F135" t="inlineStr"/>
      <c r="G135" s="4" t="inlineStr">
        <is>
          <t>OPERATIVE</t>
        </is>
      </c>
      <c r="H135" s="2" t="inlineStr">
        <is>
          <t>Inference-dominant mix.</t>
        </is>
      </c>
      <c r="J135" s="2" t="n"/>
    </row>
    <row r="136">
      <c r="A136" t="inlineStr">
        <is>
          <t>R213</t>
        </is>
      </c>
      <c r="B136" t="inlineStr">
        <is>
          <t>ODC</t>
        </is>
      </c>
      <c r="C136" t="inlineStr">
        <is>
          <t>Useful life</t>
        </is>
      </c>
      <c r="D136" s="2" t="inlineStr">
        <is>
          <t>ODC fleet design life (years)</t>
        </is>
      </c>
      <c r="E136" t="inlineStr">
        <is>
          <t>5</t>
        </is>
      </c>
      <c r="F136" t="inlineStr"/>
      <c r="G136" s="4" t="inlineStr">
        <is>
          <t>OPERATIVE</t>
        </is>
      </c>
      <c r="H136" s="2" t="inlineStr">
        <is>
          <t>Compute hardware refresh cycle.</t>
        </is>
      </c>
      <c r="J136" s="2" t="n"/>
    </row>
    <row r="137">
      <c r="A137" t="inlineStr">
        <is>
          <t>R214</t>
        </is>
      </c>
      <c r="B137" t="inlineStr">
        <is>
          <t>ODC</t>
        </is>
      </c>
      <c r="C137" t="inlineStr">
        <is>
          <t>Sat physical</t>
        </is>
      </c>
      <c r="D137" s="2" t="inlineStr">
        <is>
          <t>Sat solar generation (W, for $/W subsystem cost)</t>
        </is>
      </c>
      <c r="E137" t="inlineStr">
        <is>
          <t>156000</t>
        </is>
      </c>
      <c r="F137" t="inlineStr"/>
      <c r="G137" s="4" t="inlineStr">
        <is>
          <t>OPERATIVE</t>
        </is>
      </c>
      <c r="H137" s="2" t="inlineStr">
        <is>
          <t>Same as R208 × 1000.</t>
        </is>
      </c>
      <c r="J137" s="2" t="n"/>
    </row>
    <row r="138">
      <c r="A138" t="inlineStr">
        <is>
          <t>R215</t>
        </is>
      </c>
      <c r="B138" t="inlineStr">
        <is>
          <t>ODC</t>
        </is>
      </c>
      <c r="C138" t="inlineStr">
        <is>
          <t>Sat physical</t>
        </is>
      </c>
      <c r="D138" s="2" t="inlineStr">
        <is>
          <t>Sat thermal mass (kg)</t>
        </is>
      </c>
      <c r="E138" t="inlineStr">
        <is>
          <t>480</t>
        </is>
      </c>
      <c r="F138" t="inlineStr"/>
      <c r="G138" s="4" t="inlineStr">
        <is>
          <t>OPERATIVE</t>
        </is>
      </c>
      <c r="H138" s="2" t="inlineStr">
        <is>
          <t>Thermal subsystem mass.</t>
        </is>
      </c>
      <c r="J138" s="2" t="n"/>
    </row>
    <row r="139">
      <c r="A139" t="inlineStr">
        <is>
          <t>R218</t>
        </is>
      </c>
      <c r="B139" t="inlineStr">
        <is>
          <t>ODC</t>
        </is>
      </c>
      <c r="C139" t="inlineStr">
        <is>
          <t>Subsystem cost</t>
        </is>
      </c>
      <c r="D139" s="2" t="inlineStr">
        <is>
          <t>Solar array unit cost ($/W)</t>
        </is>
      </c>
      <c r="E139" t="inlineStr">
        <is>
          <t>8</t>
        </is>
      </c>
      <c r="F139" t="inlineStr"/>
      <c r="G139" s="4" t="inlineStr">
        <is>
          <t>OPERATIVE</t>
        </is>
      </c>
      <c r="H139" s="2" t="inlineStr">
        <is>
          <t>SpaceX-internal Base.</t>
        </is>
      </c>
      <c r="J139" s="2" t="n"/>
    </row>
    <row r="140">
      <c r="A140" t="inlineStr">
        <is>
          <t>R219</t>
        </is>
      </c>
      <c r="B140" t="inlineStr">
        <is>
          <t>ODC</t>
        </is>
      </c>
      <c r="C140" t="inlineStr">
        <is>
          <t>Subsystem cost</t>
        </is>
      </c>
      <c r="D140" s="2" t="inlineStr">
        <is>
          <t>Thermal system unit cost ($/kg)</t>
        </is>
      </c>
      <c r="E140" t="inlineStr">
        <is>
          <t>3000</t>
        </is>
      </c>
      <c r="F140" t="inlineStr"/>
      <c r="G140" s="4" t="inlineStr">
        <is>
          <t>OPERATIVE</t>
        </is>
      </c>
      <c r="H140" s="2" t="inlineStr">
        <is>
          <t>Same.</t>
        </is>
      </c>
      <c r="J140" s="2" t="n"/>
    </row>
    <row r="141">
      <c r="A141" t="inlineStr">
        <is>
          <t>R220</t>
        </is>
      </c>
      <c r="B141" t="inlineStr">
        <is>
          <t>ODC</t>
        </is>
      </c>
      <c r="C141" t="inlineStr">
        <is>
          <t>Subsystem cost</t>
        </is>
      </c>
      <c r="D141" s="2" t="inlineStr">
        <is>
          <t>Comms (ISL set) flat cost ($)</t>
        </is>
      </c>
      <c r="E141" t="inlineStr">
        <is>
          <t>75000</t>
        </is>
      </c>
      <c r="F141" t="inlineStr"/>
      <c r="G141" s="4" t="inlineStr">
        <is>
          <t>OPERATIVE</t>
        </is>
      </c>
      <c r="H141" s="2" t="inlineStr">
        <is>
          <t>Per-sat ISL hardware.</t>
        </is>
      </c>
      <c r="J141" s="2" t="n"/>
    </row>
    <row r="142">
      <c r="A142" t="inlineStr">
        <is>
          <t>R221</t>
        </is>
      </c>
      <c r="B142" t="inlineStr">
        <is>
          <t>ODC</t>
        </is>
      </c>
      <c r="C142" t="inlineStr">
        <is>
          <t>Subsystem cost</t>
        </is>
      </c>
      <c r="D142" s="2" t="inlineStr">
        <is>
          <t>ADCS + avionics flat cost ($)</t>
        </is>
      </c>
      <c r="E142" t="inlineStr">
        <is>
          <t>150000</t>
        </is>
      </c>
      <c r="F142" t="inlineStr"/>
      <c r="G142" s="4" t="inlineStr">
        <is>
          <t>OPERATIVE</t>
        </is>
      </c>
      <c r="H142" s="2" t="inlineStr">
        <is>
          <t>Per-sat.</t>
        </is>
      </c>
      <c r="J142" s="2" t="n"/>
    </row>
    <row r="143">
      <c r="A143" t="inlineStr">
        <is>
          <t>R222</t>
        </is>
      </c>
      <c r="B143" t="inlineStr">
        <is>
          <t>ODC</t>
        </is>
      </c>
      <c r="C143" t="inlineStr">
        <is>
          <t>Subsystem cost</t>
        </is>
      </c>
      <c r="D143" s="2" t="inlineStr">
        <is>
          <t>Structure flat cost ($)</t>
        </is>
      </c>
      <c r="E143" t="inlineStr">
        <is>
          <t>65000</t>
        </is>
      </c>
      <c r="F143" t="inlineStr"/>
      <c r="G143" s="4" t="inlineStr">
        <is>
          <t>OPERATIVE</t>
        </is>
      </c>
      <c r="H143" s="2" t="inlineStr">
        <is>
          <t>Per-sat.</t>
        </is>
      </c>
      <c r="J143" s="2" t="n"/>
    </row>
    <row r="144">
      <c r="A144" t="inlineStr">
        <is>
          <t>R223</t>
        </is>
      </c>
      <c r="B144" t="inlineStr">
        <is>
          <t>ODC</t>
        </is>
      </c>
      <c r="C144" t="inlineStr">
        <is>
          <t>Subsystem cost</t>
        </is>
      </c>
      <c r="D144" s="2" t="inlineStr">
        <is>
          <t>Battery flat cost ($)</t>
        </is>
      </c>
      <c r="E144" t="inlineStr">
        <is>
          <t>40000</t>
        </is>
      </c>
      <c r="F144" t="inlineStr"/>
      <c r="G144" s="4" t="inlineStr">
        <is>
          <t>OPERATIVE</t>
        </is>
      </c>
      <c r="H144" s="2" t="inlineStr">
        <is>
          <t>Per-sat.</t>
        </is>
      </c>
      <c r="J144" s="2" t="n"/>
    </row>
    <row r="145">
      <c r="A145" t="inlineStr">
        <is>
          <t>R224</t>
        </is>
      </c>
      <c r="B145" t="inlineStr">
        <is>
          <t>ODC</t>
        </is>
      </c>
      <c r="C145" t="inlineStr">
        <is>
          <t>Subsystem cost</t>
        </is>
      </c>
      <c r="D145" s="2" t="inlineStr">
        <is>
          <t>Shielding flat cost ($)</t>
        </is>
      </c>
      <c r="E145" t="inlineStr">
        <is>
          <t>25000</t>
        </is>
      </c>
      <c r="F145" t="inlineStr"/>
      <c r="G145" s="4" t="inlineStr">
        <is>
          <t>OPERATIVE</t>
        </is>
      </c>
      <c r="H145" s="2" t="inlineStr">
        <is>
          <t>Per-sat.</t>
        </is>
      </c>
      <c r="J145" s="2" t="n"/>
    </row>
    <row r="146">
      <c r="A146" t="inlineStr">
        <is>
          <t>R225</t>
        </is>
      </c>
      <c r="B146" t="inlineStr">
        <is>
          <t>ODC</t>
        </is>
      </c>
      <c r="C146" t="inlineStr">
        <is>
          <t>Subsystem cost</t>
        </is>
      </c>
      <c r="D146" s="2" t="inlineStr">
        <is>
          <t>Integration &amp; Test flat cost ($)</t>
        </is>
      </c>
      <c r="E146" t="inlineStr">
        <is>
          <t>150000</t>
        </is>
      </c>
      <c r="F146" t="inlineStr"/>
      <c r="G146" s="4" t="inlineStr">
        <is>
          <t>OPERATIVE</t>
        </is>
      </c>
      <c r="H146" s="2" t="inlineStr">
        <is>
          <t>Per-sat.</t>
        </is>
      </c>
      <c r="J146" s="2" t="n"/>
    </row>
    <row r="147">
      <c r="A147" t="inlineStr">
        <is>
          <t>R228</t>
        </is>
      </c>
      <c r="B147" t="inlineStr">
        <is>
          <t>ODC</t>
        </is>
      </c>
      <c r="C147" t="inlineStr">
        <is>
          <t>Wright's Law</t>
        </is>
      </c>
      <c r="D147" s="2" t="inlineStr">
        <is>
          <t>LR — chips (per doubling)</t>
        </is>
      </c>
      <c r="E147" t="inlineStr">
        <is>
          <t>0</t>
        </is>
      </c>
      <c r="F147" t="inlineStr"/>
      <c r="G147" s="4" t="inlineStr">
        <is>
          <t>OPERATIVE</t>
        </is>
      </c>
      <c r="H147" s="2" t="inlineStr">
        <is>
          <t>Frontier chips reinvest capability, not price.</t>
        </is>
      </c>
      <c r="J147" s="2" t="n"/>
    </row>
    <row r="148">
      <c r="A148" t="inlineStr">
        <is>
          <t>R229</t>
        </is>
      </c>
      <c r="B148" t="inlineStr">
        <is>
          <t>ODC</t>
        </is>
      </c>
      <c r="C148" t="inlineStr">
        <is>
          <t>Wright's Law</t>
        </is>
      </c>
      <c r="D148" s="2" t="inlineStr">
        <is>
          <t>LR — subsystems (per doubling)</t>
        </is>
      </c>
      <c r="E148" t="inlineStr">
        <is>
          <t>0.15</t>
        </is>
      </c>
      <c r="F148" t="inlineStr"/>
      <c r="G148" s="4" t="inlineStr">
        <is>
          <t>OPERATIVE</t>
        </is>
      </c>
      <c r="H148" s="2" t="inlineStr">
        <is>
          <t>15% per doubling cum sats.</t>
        </is>
      </c>
      <c r="J148" s="2" t="n"/>
    </row>
    <row r="149">
      <c r="A149" t="inlineStr">
        <is>
          <t>R230</t>
        </is>
      </c>
      <c r="B149" t="inlineStr">
        <is>
          <t>ODC</t>
        </is>
      </c>
      <c r="C149" t="inlineStr">
        <is>
          <t>Wright's Law</t>
        </is>
      </c>
      <c r="D149" s="2" t="inlineStr">
        <is>
          <t>Anchor year for ODC Wright's Law</t>
        </is>
      </c>
      <c r="E149" t="inlineStr">
        <is>
          <t>2026</t>
        </is>
      </c>
      <c r="F149" t="inlineStr"/>
      <c r="G149" s="4" t="inlineStr">
        <is>
          <t>OPERATIVE</t>
        </is>
      </c>
      <c r="H149" s="2" t="inlineStr">
        <is>
          <t>First material deployment year.</t>
        </is>
      </c>
      <c r="J149" s="2" t="n"/>
    </row>
    <row r="150">
      <c r="A150" t="inlineStr">
        <is>
          <t>R233</t>
        </is>
      </c>
      <c r="B150" t="inlineStr">
        <is>
          <t>ODC</t>
        </is>
      </c>
      <c r="C150" t="inlineStr">
        <is>
          <t>Module OpEx (LEGACY)</t>
        </is>
      </c>
      <c r="D150" s="2" t="inlineStr">
        <is>
          <t>ODC SG&amp;A % of revenue</t>
        </is>
      </c>
      <c r="E150" t="inlineStr">
        <is>
          <t>0.07</t>
        </is>
      </c>
      <c r="F150" t="inlineStr"/>
      <c r="G150" s="3" t="inlineStr">
        <is>
          <t>STALE</t>
        </is>
      </c>
      <c r="H150" s="2" t="inlineStr">
        <is>
          <t>Module SG&amp;A retired by Spec 01. Lives on OpEx tab now.</t>
        </is>
      </c>
      <c r="J150" s="2" t="n"/>
    </row>
    <row r="151">
      <c r="A151" t="inlineStr">
        <is>
          <t>R234</t>
        </is>
      </c>
      <c r="B151" t="inlineStr">
        <is>
          <t>ODC</t>
        </is>
      </c>
      <c r="C151" t="inlineStr">
        <is>
          <t>COGS</t>
        </is>
      </c>
      <c r="D151" s="2" t="inlineStr">
        <is>
          <t>Ground station / network opex % of revenue</t>
        </is>
      </c>
      <c r="E151" t="inlineStr">
        <is>
          <t>0.02</t>
        </is>
      </c>
      <c r="F151" t="inlineStr"/>
      <c r="G151" s="4" t="inlineStr">
        <is>
          <t>OPERATIVE</t>
        </is>
      </c>
      <c r="H151" s="2" t="inlineStr">
        <is>
          <t>Ground ops stub. MC [0.01, 0.05].</t>
        </is>
      </c>
      <c r="J151" s="2" t="n"/>
    </row>
    <row r="152">
      <c r="A152" t="inlineStr">
        <is>
          <t>R235</t>
        </is>
      </c>
      <c r="B152" t="inlineStr">
        <is>
          <t>ODC</t>
        </is>
      </c>
      <c r="C152" t="inlineStr">
        <is>
          <t>D&amp;A</t>
        </is>
      </c>
      <c r="D152" s="2" t="inlineStr">
        <is>
          <t>D&amp;A useful life (years)</t>
        </is>
      </c>
      <c r="E152" t="inlineStr">
        <is>
          <t>5</t>
        </is>
      </c>
      <c r="F152" t="inlineStr"/>
      <c r="G152" s="4" t="inlineStr">
        <is>
          <t>OPERATIVE</t>
        </is>
      </c>
      <c r="H152" s="2" t="inlineStr">
        <is>
          <t>Compute hardware life.</t>
        </is>
      </c>
      <c r="J152" s="2" t="n"/>
    </row>
    <row r="153">
      <c r="A153" t="inlineStr">
        <is>
          <t>R237</t>
        </is>
      </c>
      <c r="B153" t="inlineStr">
        <is>
          <t>ODC</t>
        </is>
      </c>
      <c r="C153" t="inlineStr">
        <is>
          <t>Revenue</t>
        </is>
      </c>
      <c r="D153" s="2" t="inlineStr">
        <is>
          <t>Annual GPU-hr price deflation rate</t>
        </is>
      </c>
      <c r="E153" t="inlineStr">
        <is>
          <t>0.05</t>
        </is>
      </c>
      <c r="F153" t="inlineStr"/>
      <c r="G153" s="4" t="inlineStr">
        <is>
          <t>OPERATIVE</t>
        </is>
      </c>
      <c r="H153" s="2" t="inlineStr">
        <is>
          <t>5%/yr price compression.</t>
        </is>
      </c>
      <c r="J153" s="2" t="n"/>
    </row>
    <row r="154">
      <c r="A154" t="inlineStr">
        <is>
          <t>R241</t>
        </is>
      </c>
      <c r="B154" t="inlineStr">
        <is>
          <t>ODC</t>
        </is>
      </c>
      <c r="C154" t="inlineStr">
        <is>
          <t>Chip roadmap</t>
        </is>
      </c>
      <c r="D154" s="2" t="inlineStr">
        <is>
          <t>Chip TDP per chip (W)</t>
        </is>
      </c>
      <c r="E154" t="inlineStr">
        <is>
          <t>year-row</t>
        </is>
      </c>
      <c r="F154" t="inlineStr">
        <is>
          <t>H100=700, AI5=500, Dojo-3=600</t>
        </is>
      </c>
      <c r="G154" s="4" t="inlineStr">
        <is>
          <t>OPERATIVE</t>
        </is>
      </c>
      <c r="H154" s="2" t="inlineStr">
        <is>
          <t>H100→AI5→Dojo-3 evolution.</t>
        </is>
      </c>
      <c r="J154" s="2" t="n"/>
    </row>
    <row r="155">
      <c r="A155" t="inlineStr">
        <is>
          <t>R242</t>
        </is>
      </c>
      <c r="B155" t="inlineStr">
        <is>
          <t>ODC</t>
        </is>
      </c>
      <c r="C155" t="inlineStr">
        <is>
          <t>Chip roadmap</t>
        </is>
      </c>
      <c r="D155" s="2" t="inlineStr">
        <is>
          <t>Chip FP8 performance per chip (TFLOPS)</t>
        </is>
      </c>
      <c r="E155" t="inlineStr">
        <is>
          <t>year-row</t>
        </is>
      </c>
      <c r="F155" t="inlineStr">
        <is>
          <t>H100=1979, AI5=1979, Dojo-3=4500</t>
        </is>
      </c>
      <c r="G155" s="4" t="inlineStr">
        <is>
          <t>OPERATIVE</t>
        </is>
      </c>
      <c r="H155" s="2" t="inlineStr">
        <is>
          <t>Same evolution.</t>
        </is>
      </c>
      <c r="J155" s="2" t="n"/>
    </row>
    <row r="156">
      <c r="A156" t="inlineStr">
        <is>
          <t>R243</t>
        </is>
      </c>
      <c r="B156" t="inlineStr">
        <is>
          <t>ODC</t>
        </is>
      </c>
      <c r="C156" t="inlineStr">
        <is>
          <t>Chip roadmap</t>
        </is>
      </c>
      <c r="D156" s="2" t="inlineStr">
        <is>
          <t>Chip mass per chip (kg)</t>
        </is>
      </c>
      <c r="E156" t="inlineStr">
        <is>
          <t>year-row</t>
        </is>
      </c>
      <c r="F156" t="inlineStr">
        <is>
          <t>1.2 → 0.8</t>
        </is>
      </c>
      <c r="G156" s="4" t="inlineStr">
        <is>
          <t>OPERATIVE</t>
        </is>
      </c>
      <c r="H156" s="2" t="inlineStr">
        <is>
          <t>Same.</t>
        </is>
      </c>
      <c r="J156" s="2" t="n"/>
    </row>
    <row r="157">
      <c r="A157" t="inlineStr">
        <is>
          <t>R244</t>
        </is>
      </c>
      <c r="B157" t="inlineStr">
        <is>
          <t>ODC</t>
        </is>
      </c>
      <c r="C157" t="inlineStr">
        <is>
          <t>Chip roadmap</t>
        </is>
      </c>
      <c r="D157" s="2" t="inlineStr">
        <is>
          <t>Chip cost per chip ($)</t>
        </is>
      </c>
      <c r="E157" t="inlineStr">
        <is>
          <t>year-row</t>
        </is>
      </c>
      <c r="F157" t="inlineStr">
        <is>
          <t>30K → 5K → 2.5K</t>
        </is>
      </c>
      <c r="G157" s="4" t="inlineStr">
        <is>
          <t>OPERATIVE</t>
        </is>
      </c>
      <c r="H157" s="2" t="inlineStr">
        <is>
          <t>Same.</t>
        </is>
      </c>
      <c r="J157" s="2" t="n"/>
    </row>
    <row r="158">
      <c r="A158" t="inlineStr">
        <is>
          <t>R245</t>
        </is>
      </c>
      <c r="B158" t="inlineStr">
        <is>
          <t>ODC</t>
        </is>
      </c>
      <c r="C158" t="inlineStr">
        <is>
          <t>Revenue</t>
        </is>
      </c>
      <c r="D158" s="2" t="inlineStr">
        <is>
          <t>Price per H100-equiv GPU-hr ($)</t>
        </is>
      </c>
      <c r="E158" t="inlineStr">
        <is>
          <t>year-row</t>
        </is>
      </c>
      <c r="F158" t="inlineStr">
        <is>
          <t>$2 in 2026, -5%/yr</t>
        </is>
      </c>
      <c r="G158" s="4" t="inlineStr">
        <is>
          <t>OPERATIVE</t>
        </is>
      </c>
      <c r="H158" s="2" t="inlineStr">
        <is>
          <t>Spec 3 input.</t>
        </is>
      </c>
      <c r="J158" s="2" t="n"/>
    </row>
    <row r="159">
      <c r="A159" t="inlineStr">
        <is>
          <t>R246</t>
        </is>
      </c>
      <c r="B159" t="inlineStr">
        <is>
          <t>ODC</t>
        </is>
      </c>
      <c r="C159" t="inlineStr">
        <is>
          <t>Revenue</t>
        </is>
      </c>
      <c r="D159" s="2" t="inlineStr">
        <is>
          <t>Utilization % (fleet ramp)</t>
        </is>
      </c>
      <c r="E159" t="inlineStr">
        <is>
          <t>year-row</t>
        </is>
      </c>
      <c r="F159" t="inlineStr">
        <is>
          <t>0.4 → 0.85</t>
        </is>
      </c>
      <c r="G159" s="4" t="inlineStr">
        <is>
          <t>OPERATIVE</t>
        </is>
      </c>
      <c r="H159" s="2" t="inlineStr">
        <is>
          <t>Util ramp with fleet maturity.</t>
        </is>
      </c>
      <c r="J159" s="2" t="n"/>
    </row>
    <row r="160">
      <c r="A160" t="inlineStr">
        <is>
          <t>R247</t>
        </is>
      </c>
      <c r="B160" t="inlineStr">
        <is>
          <t>ODC</t>
        </is>
      </c>
      <c r="C160" t="inlineStr">
        <is>
          <t>Deployment (LEGACY)</t>
        </is>
      </c>
      <c r="D160" s="2" t="inlineStr">
        <is>
          <t>ODC sats deployed per year (STUB)</t>
        </is>
      </c>
      <c r="E160" t="inlineStr">
        <is>
          <t>year-row</t>
        </is>
      </c>
      <c r="F160" t="inlineStr">
        <is>
          <t>D=0, I=3800</t>
        </is>
      </c>
      <c r="G160" s="3" t="inlineStr">
        <is>
          <t>STALE</t>
        </is>
      </c>
      <c r="H160" s="2" t="inlineStr">
        <is>
          <t>Sprint 3 STUB. Allocator-driven now per Spec 06+07/08. Should be dropped or re-purposed.</t>
        </is>
      </c>
      <c r="J160" s="2" t="n"/>
    </row>
    <row r="161">
      <c r="A161" t="inlineStr">
        <is>
          <t>R250</t>
        </is>
      </c>
      <c r="B161" t="inlineStr">
        <is>
          <t>ODC</t>
        </is>
      </c>
      <c r="C161" t="inlineStr">
        <is>
          <t>Credence</t>
        </is>
      </c>
      <c r="D161" s="2" t="inlineStr">
        <is>
          <t>Credence on Model A (Pr(A))</t>
        </is>
      </c>
      <c r="E161" t="inlineStr">
        <is>
          <t>0.6</t>
        </is>
      </c>
      <c r="F161" t="inlineStr"/>
      <c r="G161" s="4" t="inlineStr">
        <is>
          <t>OPERATIVE</t>
        </is>
      </c>
      <c r="H161" s="2" t="inlineStr">
        <is>
          <t>Pr(A) = energy-anchored model weight.</t>
        </is>
      </c>
      <c r="J161" s="2" t="n"/>
    </row>
    <row r="162">
      <c r="A162" t="inlineStr">
        <is>
          <t>R251</t>
        </is>
      </c>
      <c r="B162" t="inlineStr">
        <is>
          <t>ODC</t>
        </is>
      </c>
      <c r="C162" t="inlineStr">
        <is>
          <t>Credence</t>
        </is>
      </c>
      <c r="D162" s="2" t="inlineStr">
        <is>
          <t>Credence on Model B (Pr(B) = 1 - Pr(A))</t>
        </is>
      </c>
      <c r="E162">
        <f>1-B250</f>
        <v/>
      </c>
      <c r="F162" t="inlineStr"/>
      <c r="G162" s="4" t="inlineStr">
        <is>
          <t>OPERATIVE</t>
        </is>
      </c>
      <c r="H162" s="2" t="inlineStr">
        <is>
          <t>Derived.</t>
        </is>
      </c>
      <c r="J162" s="2" t="n"/>
    </row>
    <row r="163">
      <c r="A163" t="inlineStr">
        <is>
          <t>R254</t>
        </is>
      </c>
      <c r="B163" t="inlineStr">
        <is>
          <t>ODC</t>
        </is>
      </c>
      <c r="C163" t="inlineStr">
        <is>
          <t>Model A (energy)</t>
        </is>
      </c>
      <c r="D163" s="2" t="inlineStr">
        <is>
          <t>CoreWeave baseline anchor ($B/GW_IT/yr, 2026)</t>
        </is>
      </c>
      <c r="E163" t="inlineStr">
        <is>
          <t>12</t>
        </is>
      </c>
      <c r="F163" t="inlineStr"/>
      <c r="G163" s="4" t="inlineStr">
        <is>
          <t>OPERATIVE</t>
        </is>
      </c>
      <c r="H163" s="2" t="inlineStr">
        <is>
          <t>$12B/GW_IT/yr from Rittenhouse Research.</t>
        </is>
      </c>
      <c r="J163" s="2" t="n"/>
    </row>
    <row r="164">
      <c r="A164" t="inlineStr">
        <is>
          <t>R255</t>
        </is>
      </c>
      <c r="B164" t="inlineStr">
        <is>
          <t>ODC</t>
        </is>
      </c>
      <c r="C164" t="inlineStr">
        <is>
          <t>Model A (energy)</t>
        </is>
      </c>
      <c r="D164" s="2" t="inlineStr">
        <is>
          <t>PUE_base (terrestrial colo)</t>
        </is>
      </c>
      <c r="E164" t="inlineStr">
        <is>
          <t>1.4</t>
        </is>
      </c>
      <c r="F164" t="inlineStr"/>
      <c r="G164" s="4" t="inlineStr">
        <is>
          <t>OPERATIVE</t>
        </is>
      </c>
      <c r="H164" s="2" t="inlineStr">
        <is>
          <t>Industry standard terrestrial PUE.</t>
        </is>
      </c>
      <c r="J164" s="2" t="n"/>
    </row>
    <row r="165">
      <c r="A165" t="inlineStr">
        <is>
          <t>R256</t>
        </is>
      </c>
      <c r="B165" t="inlineStr">
        <is>
          <t>ODC</t>
        </is>
      </c>
      <c r="C165" t="inlineStr">
        <is>
          <t>Model A (energy)</t>
        </is>
      </c>
      <c r="D165" s="2" t="inlineStr">
        <is>
          <t>Orbital PUE</t>
        </is>
      </c>
      <c r="E165" t="inlineStr">
        <is>
          <t>1.12</t>
        </is>
      </c>
      <c r="F165" t="inlineStr"/>
      <c r="G165" s="4" t="inlineStr">
        <is>
          <t>OPERATIVE</t>
        </is>
      </c>
      <c r="H165" s="2" t="inlineStr">
        <is>
          <t>First-principles orbital PUE.</t>
        </is>
      </c>
      <c r="J165" s="2" t="n"/>
    </row>
    <row r="166">
      <c r="A166" t="inlineStr">
        <is>
          <t>R257</t>
        </is>
      </c>
      <c r="B166" t="inlineStr">
        <is>
          <t>ODC</t>
        </is>
      </c>
      <c r="C166" t="inlineStr">
        <is>
          <t>Model A (energy)</t>
        </is>
      </c>
      <c r="D166" s="2" t="inlineStr">
        <is>
          <t>Terrestrial price deflation %/yr</t>
        </is>
      </c>
      <c r="E166" t="inlineStr">
        <is>
          <t>0.05</t>
        </is>
      </c>
      <c r="F166" t="inlineStr"/>
      <c r="G166" s="4" t="inlineStr">
        <is>
          <t>OPERATIVE</t>
        </is>
      </c>
      <c r="H166" s="2" t="inlineStr">
        <is>
          <t>Matches R237 to keep models congruent.</t>
        </is>
      </c>
      <c r="J166" s="2" t="n"/>
    </row>
    <row r="167">
      <c r="A167" t="inlineStr">
        <is>
          <t>R258</t>
        </is>
      </c>
      <c r="B167" t="inlineStr">
        <is>
          <t>ODC</t>
        </is>
      </c>
      <c r="C167" t="inlineStr">
        <is>
          <t>Model A (energy)</t>
        </is>
      </c>
      <c r="D167" s="2" t="inlineStr">
        <is>
          <t>Steady-state utilization (for Model A)</t>
        </is>
      </c>
      <c r="E167" t="inlineStr">
        <is>
          <t>0.85</t>
        </is>
      </c>
      <c r="F167" t="inlineStr"/>
      <c r="G167" s="4" t="inlineStr">
        <is>
          <t>OPERATIVE</t>
        </is>
      </c>
      <c r="H167" s="2" t="inlineStr">
        <is>
          <t>Same as R246 steady-state.</t>
        </is>
      </c>
      <c r="J167" s="2" t="n"/>
    </row>
    <row r="168">
      <c r="A168" t="inlineStr">
        <is>
          <t>R379</t>
        </is>
      </c>
      <c r="B168" t="inlineStr">
        <is>
          <t>ODC</t>
        </is>
      </c>
      <c r="C168" t="inlineStr">
        <is>
          <t>COGS stub</t>
        </is>
      </c>
      <c r="D168" s="2" t="inlineStr">
        <is>
          <t>ODC insurance % of revenue</t>
        </is>
      </c>
      <c r="E168" t="inlineStr">
        <is>
          <t>0.01</t>
        </is>
      </c>
      <c r="F168" t="inlineStr"/>
      <c r="G168" s="4" t="inlineStr">
        <is>
          <t>OPERATIVE</t>
        </is>
      </c>
      <c r="H168" s="2" t="inlineStr">
        <is>
          <t>1% insurance.</t>
        </is>
      </c>
      <c r="J168" s="2" t="n"/>
    </row>
    <row r="169">
      <c r="A169" t="inlineStr">
        <is>
          <t>R380</t>
        </is>
      </c>
      <c r="B169" t="inlineStr">
        <is>
          <t>ODC</t>
        </is>
      </c>
      <c r="C169" t="inlineStr">
        <is>
          <t>COGS stub</t>
        </is>
      </c>
      <c r="D169" s="2" t="inlineStr">
        <is>
          <t>ODC other COGS % of revenue</t>
        </is>
      </c>
      <c r="E169" t="inlineStr">
        <is>
          <t>0.03</t>
        </is>
      </c>
      <c r="F169" t="inlineStr"/>
      <c r="G169" s="4" t="inlineStr">
        <is>
          <t>OPERATIVE</t>
        </is>
      </c>
      <c r="H169" s="2" t="inlineStr">
        <is>
          <t>3% catch-all.</t>
        </is>
      </c>
      <c r="J169" s="2" t="n"/>
    </row>
    <row r="170">
      <c r="A170" t="inlineStr">
        <is>
          <t>R458</t>
        </is>
      </c>
      <c r="B170" t="inlineStr">
        <is>
          <t>ODC</t>
        </is>
      </c>
      <c r="C170" t="inlineStr">
        <is>
          <t>Bandwidth (Spec 04)</t>
        </is>
      </c>
      <c r="D170" s="2" t="inlineStr">
        <is>
          <t>Gbps per GWh/yr of ODC compute energy — PLACEHOLDER</t>
        </is>
      </c>
      <c r="E170" t="inlineStr">
        <is>
          <t>0.05</t>
        </is>
      </c>
      <c r="F170" t="inlineStr"/>
      <c r="G170" s="4" t="inlineStr">
        <is>
          <t>OPERATIVE</t>
        </is>
      </c>
      <c r="H170" s="2" t="inlineStr">
        <is>
          <t>PLACEHOLDER — pending research on compression / multi-hop / duty cycle.</t>
        </is>
      </c>
      <c r="J170" s="2" t="n"/>
    </row>
    <row r="171">
      <c r="A171" t="inlineStr">
        <is>
          <t>R459</t>
        </is>
      </c>
      <c r="B171" t="inlineStr">
        <is>
          <t>ODC</t>
        </is>
      </c>
      <c r="C171" t="inlineStr">
        <is>
          <t>Bandwidth (Spec 04)</t>
        </is>
      </c>
      <c r="D171" s="2" t="inlineStr">
        <is>
          <t>BB-share of ODC bandwidth claim (% routed via BB vs DTC)</t>
        </is>
      </c>
      <c r="E171" t="inlineStr">
        <is>
          <t>0.5</t>
        </is>
      </c>
      <c r="F171" t="inlineStr"/>
      <c r="G171" s="4" t="inlineStr">
        <is>
          <t>OPERATIVE</t>
        </is>
      </c>
      <c r="H171" s="2" t="inlineStr">
        <is>
          <t>PLACEHOLDER — 50/50 split stub.</t>
        </is>
      </c>
      <c r="J171" s="2" t="n"/>
    </row>
    <row r="172">
      <c r="A172" t="inlineStr">
        <is>
          <t>NEW</t>
        </is>
      </c>
      <c r="B172" t="inlineStr">
        <is>
          <t>AI STACK</t>
        </is>
      </c>
      <c r="C172" t="inlineStr">
        <is>
          <t>Architecture decision</t>
        </is>
      </c>
      <c r="D172" s="2" t="inlineStr">
        <is>
          <t>ODC compute split — % to internal AI Stack (eliminated)</t>
        </is>
      </c>
      <c r="E172" t="inlineStr">
        <is>
          <t>TBD</t>
        </is>
      </c>
      <c r="F172" t="inlineStr"/>
      <c r="G172" s="6" t="inlineStr">
        <is>
          <t>NEW-NEEDED</t>
        </is>
      </c>
      <c r="H172" s="2" t="inlineStr">
        <is>
          <t>Per Vlad: 'most of ODC will feed into AI Stack internally, and some sold to customer.' Need year-row % split.</t>
        </is>
      </c>
      <c r="J172" s="2" t="n"/>
    </row>
    <row r="173">
      <c r="A173" t="inlineStr">
        <is>
          <t>NEW</t>
        </is>
      </c>
      <c r="B173" t="inlineStr">
        <is>
          <t>AI STACK</t>
        </is>
      </c>
      <c r="C173" t="inlineStr">
        <is>
          <t>Architecture decision</t>
        </is>
      </c>
      <c r="D173" s="2" t="inlineStr">
        <is>
          <t>ODC compute split — % to external customers</t>
        </is>
      </c>
      <c r="E173" t="inlineStr">
        <is>
          <t>TBD</t>
        </is>
      </c>
      <c r="F173" t="inlineStr"/>
      <c r="G173" s="6" t="inlineStr">
        <is>
          <t>NEW-NEEDED</t>
        </is>
      </c>
      <c r="H173" s="2" t="inlineStr">
        <is>
          <t>Complement to internal share.</t>
        </is>
      </c>
      <c r="J173" s="2" t="n"/>
    </row>
    <row r="174">
      <c r="A174" t="inlineStr">
        <is>
          <t>NEW</t>
        </is>
      </c>
      <c r="B174" t="inlineStr">
        <is>
          <t>AI STACK</t>
        </is>
      </c>
      <c r="C174" t="inlineStr">
        <is>
          <t>Architecture decision</t>
        </is>
      </c>
      <c r="D174" s="2" t="inlineStr">
        <is>
          <t>AI Stack revenue model — Cursor seats × price</t>
        </is>
      </c>
      <c r="E174" t="inlineStr">
        <is>
          <t>TBD</t>
        </is>
      </c>
      <c r="F174" t="inlineStr"/>
      <c r="G174" s="6" t="inlineStr">
        <is>
          <t>NEW-NEEDED</t>
        </is>
      </c>
      <c r="H174" s="2" t="inlineStr">
        <is>
          <t>Subscription seat economics.</t>
        </is>
      </c>
      <c r="J174" s="2" t="n"/>
    </row>
    <row r="175">
      <c r="A175" t="inlineStr">
        <is>
          <t>NEW</t>
        </is>
      </c>
      <c r="B175" t="inlineStr">
        <is>
          <t>AI STACK</t>
        </is>
      </c>
      <c r="C175" t="inlineStr">
        <is>
          <t>Architecture decision</t>
        </is>
      </c>
      <c r="D175" s="2" t="inlineStr">
        <is>
          <t>AI Stack revenue model — Grok consumer subs × ARPU</t>
        </is>
      </c>
      <c r="E175" t="inlineStr">
        <is>
          <t>TBD</t>
        </is>
      </c>
      <c r="F175" t="inlineStr"/>
      <c r="G175" s="6" t="inlineStr">
        <is>
          <t>NEW-NEEDED</t>
        </is>
      </c>
      <c r="H175" s="2" t="inlineStr">
        <is>
          <t>Consumer Grok Premium / X Premium.</t>
        </is>
      </c>
      <c r="J175" s="2" t="n"/>
    </row>
    <row r="176">
      <c r="A176" t="inlineStr">
        <is>
          <t>NEW</t>
        </is>
      </c>
      <c r="B176" t="inlineStr">
        <is>
          <t>AI STACK</t>
        </is>
      </c>
      <c r="C176" t="inlineStr">
        <is>
          <t>Architecture decision</t>
        </is>
      </c>
      <c r="D176" s="2" t="inlineStr">
        <is>
          <t>AI Stack revenue model — Grok enterprise API tokens × $/Mtoken</t>
        </is>
      </c>
      <c r="E176" t="inlineStr">
        <is>
          <t>TBD</t>
        </is>
      </c>
      <c r="F176" t="inlineStr"/>
      <c r="G176" s="6" t="inlineStr">
        <is>
          <t>NEW-NEEDED</t>
        </is>
      </c>
      <c r="H176" s="2" t="inlineStr">
        <is>
          <t>API monetization.</t>
        </is>
      </c>
      <c r="J176" s="2" t="n"/>
    </row>
    <row r="177">
      <c r="A177" t="inlineStr">
        <is>
          <t>NEW</t>
        </is>
      </c>
      <c r="B177" t="inlineStr">
        <is>
          <t>AI STACK</t>
        </is>
      </c>
      <c r="C177" t="inlineStr">
        <is>
          <t>Architecture decision</t>
        </is>
      </c>
      <c r="D177" s="2" t="inlineStr">
        <is>
          <t>AI Stack internal compute cost from ODC (at-cost transfer)</t>
        </is>
      </c>
      <c r="E177" t="inlineStr">
        <is>
          <t>TBD</t>
        </is>
      </c>
      <c r="F177" t="inlineStr"/>
      <c r="G177" s="6" t="inlineStr">
        <is>
          <t>NEW-NEEDED</t>
        </is>
      </c>
      <c r="H177" s="2" t="inlineStr">
        <is>
          <t>Like Customer Launch internal-transfer pricing.</t>
        </is>
      </c>
      <c r="J177" s="2" t="n"/>
    </row>
    <row r="178">
      <c r="A178" t="inlineStr">
        <is>
          <t>R263</t>
        </is>
      </c>
      <c r="B178" t="inlineStr">
        <is>
          <t>LUNAR MARS</t>
        </is>
      </c>
      <c r="C178" t="inlineStr">
        <is>
          <t>Book value</t>
        </is>
      </c>
      <c r="D178" s="2" t="inlineStr">
        <is>
          <t>Capital lifetime — book value straight-line depreciation (years)</t>
        </is>
      </c>
      <c r="E178" t="inlineStr">
        <is>
          <t>10</t>
        </is>
      </c>
      <c r="F178" t="inlineStr"/>
      <c r="G178" s="4" t="inlineStr">
        <is>
          <t>OPERATIVE</t>
        </is>
      </c>
      <c r="H178" s="2" t="inlineStr">
        <is>
          <t>Legacy methodology.</t>
        </is>
      </c>
      <c r="J178" s="2" t="n"/>
    </row>
    <row r="179">
      <c r="A179" t="inlineStr">
        <is>
          <t>R264</t>
        </is>
      </c>
      <c r="B179" t="inlineStr">
        <is>
          <t>LUNAR MARS</t>
        </is>
      </c>
      <c r="C179" t="inlineStr">
        <is>
          <t>Mission ops</t>
        </is>
      </c>
      <c r="D179" s="2" t="inlineStr">
        <is>
          <t>Module operating cost — Lunar (% of Lunar CapEx)</t>
        </is>
      </c>
      <c r="E179" t="inlineStr">
        <is>
          <t>0.05</t>
        </is>
      </c>
      <c r="F179" t="inlineStr"/>
      <c r="G179" s="4" t="inlineStr">
        <is>
          <t>OPERATIVE</t>
        </is>
      </c>
      <c r="H179" s="2" t="inlineStr">
        <is>
          <t>5% of CapEx for mission ops.</t>
        </is>
      </c>
      <c r="J179" s="2" t="n"/>
    </row>
    <row r="180">
      <c r="A180" t="inlineStr">
        <is>
          <t>R265</t>
        </is>
      </c>
      <c r="B180" t="inlineStr">
        <is>
          <t>LUNAR MARS</t>
        </is>
      </c>
      <c r="C180" t="inlineStr">
        <is>
          <t>Mission ops</t>
        </is>
      </c>
      <c r="D180" s="2" t="inlineStr">
        <is>
          <t>Module operating cost — Mars (% of Mars CapEx)</t>
        </is>
      </c>
      <c r="E180" t="inlineStr">
        <is>
          <t>0.05</t>
        </is>
      </c>
      <c r="F180" t="inlineStr"/>
      <c r="G180" s="4" t="inlineStr">
        <is>
          <t>OPERATIVE</t>
        </is>
      </c>
      <c r="H180" s="2" t="inlineStr">
        <is>
          <t>Same.</t>
        </is>
      </c>
      <c r="J180" s="2" t="n"/>
    </row>
    <row r="181">
      <c r="A181" t="inlineStr">
        <is>
          <t>R269</t>
        </is>
      </c>
      <c r="B181" t="inlineStr">
        <is>
          <t>LUNAR MARS</t>
        </is>
      </c>
      <c r="C181" t="inlineStr">
        <is>
          <t>Labour units</t>
        </is>
      </c>
      <c r="D181" s="2" t="inlineStr">
        <is>
          <t>Labour unit mass (kg)</t>
        </is>
      </c>
      <c r="E181" t="inlineStr">
        <is>
          <t>60</t>
        </is>
      </c>
      <c r="F181" t="inlineStr"/>
      <c r="G181" s="4" t="inlineStr">
        <is>
          <t>OPERATIVE</t>
        </is>
      </c>
      <c r="H181" s="2" t="inlineStr">
        <is>
          <t>Robotic class proxy.</t>
        </is>
      </c>
      <c r="J181" s="2" t="n"/>
    </row>
    <row r="182">
      <c r="A182" t="inlineStr">
        <is>
          <t>R270</t>
        </is>
      </c>
      <c r="B182" t="inlineStr">
        <is>
          <t>LUNAR MARS</t>
        </is>
      </c>
      <c r="C182" t="inlineStr">
        <is>
          <t>Labour units</t>
        </is>
      </c>
      <c r="D182" s="2" t="inlineStr">
        <is>
          <t>Labour unit base hourly output ($/hr; =$22/0.7 burdened)</t>
        </is>
      </c>
      <c r="E182">
        <f>22/0.7</f>
        <v/>
      </c>
      <c r="F182" t="inlineStr"/>
      <c r="G182" s="4" t="inlineStr">
        <is>
          <t>OPERATIVE</t>
        </is>
      </c>
      <c r="H182" s="2" t="inlineStr">
        <is>
          <t>US construction worker wage burdened.</t>
        </is>
      </c>
      <c r="J182" s="2" t="n"/>
    </row>
    <row r="183">
      <c r="A183" t="inlineStr">
        <is>
          <t>R271</t>
        </is>
      </c>
      <c r="B183" t="inlineStr">
        <is>
          <t>LUNAR MARS</t>
        </is>
      </c>
      <c r="C183" t="inlineStr">
        <is>
          <t>Labour units</t>
        </is>
      </c>
      <c r="D183" s="2" t="inlineStr">
        <is>
          <t>Labour unit daily working hours</t>
        </is>
      </c>
      <c r="E183" t="inlineStr">
        <is>
          <t>22</t>
        </is>
      </c>
      <c r="F183" t="inlineStr"/>
      <c r="G183" s="4" t="inlineStr">
        <is>
          <t>OPERATIVE</t>
        </is>
      </c>
      <c r="H183" s="2" t="inlineStr">
        <is>
          <t>Robots don't sleep.</t>
        </is>
      </c>
      <c r="J183" s="2" t="n"/>
    </row>
    <row r="184">
      <c r="A184" t="inlineStr">
        <is>
          <t>R272</t>
        </is>
      </c>
      <c r="B184" t="inlineStr">
        <is>
          <t>LUNAR MARS</t>
        </is>
      </c>
      <c r="C184" t="inlineStr">
        <is>
          <t>Labour units</t>
        </is>
      </c>
      <c r="D184" s="2" t="inlineStr">
        <is>
          <t>Labour unit productivity factor vs human baseline</t>
        </is>
      </c>
      <c r="E184" t="inlineStr">
        <is>
          <t>1</t>
        </is>
      </c>
      <c r="F184" t="inlineStr"/>
      <c r="G184" s="4" t="inlineStr">
        <is>
          <t>OPERATIVE</t>
        </is>
      </c>
      <c r="H184" s="2" t="inlineStr">
        <is>
          <t>Parity stub. MC wide.</t>
        </is>
      </c>
      <c r="J184" s="2" t="n"/>
    </row>
    <row r="185">
      <c r="A185" t="inlineStr">
        <is>
          <t>R273</t>
        </is>
      </c>
      <c r="B185" t="inlineStr">
        <is>
          <t>LUNAR MARS</t>
        </is>
      </c>
      <c r="C185" t="inlineStr">
        <is>
          <t>Labour units</t>
        </is>
      </c>
      <c r="D185" s="2" t="inlineStr">
        <is>
          <t>Labour unit productivity learning rate (%/yr)</t>
        </is>
      </c>
      <c r="E185" t="inlineStr">
        <is>
          <t>0.05</t>
        </is>
      </c>
      <c r="F185" t="inlineStr"/>
      <c r="G185" s="4" t="inlineStr">
        <is>
          <t>OPERATIVE</t>
        </is>
      </c>
      <c r="H185" s="2" t="inlineStr">
        <is>
          <t>5%/yr productivity gain.</t>
        </is>
      </c>
      <c r="J185" s="2" t="n"/>
    </row>
    <row r="186">
      <c r="A186" t="inlineStr">
        <is>
          <t>R274</t>
        </is>
      </c>
      <c r="B186" t="inlineStr">
        <is>
          <t>LUNAR MARS</t>
        </is>
      </c>
      <c r="C186" t="inlineStr">
        <is>
          <t>Labour units</t>
        </is>
      </c>
      <c r="D186" s="2" t="inlineStr">
        <is>
          <t>Labour unit operational lifespan on surface (years)</t>
        </is>
      </c>
      <c r="E186" t="inlineStr">
        <is>
          <t>5</t>
        </is>
      </c>
      <c r="F186" t="inlineStr"/>
      <c r="G186" s="4" t="inlineStr">
        <is>
          <t>OPERATIVE</t>
        </is>
      </c>
      <c r="H186" s="2" t="inlineStr">
        <is>
          <t>Retirement vintage.</t>
        </is>
      </c>
      <c r="J186" s="2" t="n"/>
    </row>
    <row r="187">
      <c r="A187" t="inlineStr">
        <is>
          <t>R277</t>
        </is>
      </c>
      <c r="B187" t="inlineStr">
        <is>
          <t>LUNAR MARS</t>
        </is>
      </c>
      <c r="C187" t="inlineStr">
        <is>
          <t>Mars/Lunar</t>
        </is>
      </c>
      <c r="D187" s="2" t="inlineStr">
        <is>
          <t>Lunar fuel depot multiplier per outbound Starship</t>
        </is>
      </c>
      <c r="E187" t="inlineStr">
        <is>
          <t>1</t>
        </is>
      </c>
      <c r="F187" t="inlineStr"/>
      <c r="G187" s="4" t="inlineStr">
        <is>
          <t>OPERATIVE</t>
        </is>
      </c>
      <c r="H187" s="2" t="inlineStr">
        <is>
          <t>1 tanker per moon ship.</t>
        </is>
      </c>
      <c r="J187" s="2" t="n"/>
    </row>
    <row r="188">
      <c r="A188" t="inlineStr">
        <is>
          <t>R278</t>
        </is>
      </c>
      <c r="B188" t="inlineStr">
        <is>
          <t>LUNAR MARS</t>
        </is>
      </c>
      <c r="C188" t="inlineStr">
        <is>
          <t>Mars/Lunar</t>
        </is>
      </c>
      <c r="D188" s="2" t="inlineStr">
        <is>
          <t>Lunar payload per surface-landed Starship (kg)</t>
        </is>
      </c>
      <c r="E188" t="inlineStr">
        <is>
          <t>50000</t>
        </is>
      </c>
      <c r="F188" t="inlineStr"/>
      <c r="G188" s="4" t="inlineStr">
        <is>
          <t>OPERATIVE</t>
        </is>
      </c>
      <c r="H188" s="2" t="inlineStr">
        <is>
          <t>Translunar with lunar landing reserve.</t>
        </is>
      </c>
      <c r="J188" s="2" t="n"/>
    </row>
    <row r="189">
      <c r="A189" t="inlineStr">
        <is>
          <t>R279</t>
        </is>
      </c>
      <c r="B189" t="inlineStr">
        <is>
          <t>LUNAR MARS</t>
        </is>
      </c>
      <c r="C189" t="inlineStr">
        <is>
          <t>Mars/Lunar</t>
        </is>
      </c>
      <c r="D189" s="2" t="inlineStr">
        <is>
          <t>Lunar % of payload allocated to labour units</t>
        </is>
      </c>
      <c r="E189" t="inlineStr">
        <is>
          <t>0.3</t>
        </is>
      </c>
      <c r="F189" t="inlineStr"/>
      <c r="G189" s="4" t="inlineStr">
        <is>
          <t>OPERATIVE</t>
        </is>
      </c>
      <c r="H189" s="2" t="inlineStr">
        <is>
          <t>30% labour / 70% hardware.</t>
        </is>
      </c>
      <c r="J189" s="2" t="n"/>
    </row>
    <row r="190">
      <c r="A190" t="inlineStr">
        <is>
          <t>R282</t>
        </is>
      </c>
      <c r="B190" t="inlineStr">
        <is>
          <t>LUNAR MARS</t>
        </is>
      </c>
      <c r="C190" t="inlineStr">
        <is>
          <t>Mars/Lunar</t>
        </is>
      </c>
      <c r="D190" s="2" t="inlineStr">
        <is>
          <t>Mars fuel depot multiplier per outbound Starship</t>
        </is>
      </c>
      <c r="E190" t="inlineStr">
        <is>
          <t>5</t>
        </is>
      </c>
      <c r="F190" t="inlineStr"/>
      <c r="G190" s="4" t="inlineStr">
        <is>
          <t>OPERATIVE</t>
        </is>
      </c>
      <c r="H190" s="2" t="inlineStr">
        <is>
          <t>5 tankers per Mars ship (rocket eqn).</t>
        </is>
      </c>
      <c r="J190" s="2" t="n"/>
    </row>
    <row r="191">
      <c r="A191" t="inlineStr">
        <is>
          <t>R283</t>
        </is>
      </c>
      <c r="B191" t="inlineStr">
        <is>
          <t>LUNAR MARS</t>
        </is>
      </c>
      <c r="C191" t="inlineStr">
        <is>
          <t>Mars/Lunar</t>
        </is>
      </c>
      <c r="D191" s="2" t="inlineStr">
        <is>
          <t>Mars payload per surface-landed Starship (kg)</t>
        </is>
      </c>
      <c r="E191" t="inlineStr">
        <is>
          <t>100000</t>
        </is>
      </c>
      <c r="F191" t="inlineStr"/>
      <c r="G191" s="4" t="inlineStr">
        <is>
          <t>OPERATIVE</t>
        </is>
      </c>
      <c r="H191" s="2" t="inlineStr">
        <is>
          <t>Cargo Starship Mars landing.</t>
        </is>
      </c>
      <c r="J191" s="2" t="n"/>
    </row>
    <row r="192">
      <c r="A192" t="inlineStr">
        <is>
          <t>R284</t>
        </is>
      </c>
      <c r="B192" t="inlineStr">
        <is>
          <t>LUNAR MARS</t>
        </is>
      </c>
      <c r="C192" t="inlineStr">
        <is>
          <t>Mars/Lunar</t>
        </is>
      </c>
      <c r="D192" s="2" t="inlineStr">
        <is>
          <t>Mars % of payload allocated to labour units</t>
        </is>
      </c>
      <c r="E192" t="inlineStr">
        <is>
          <t>0.3</t>
        </is>
      </c>
      <c r="F192" t="inlineStr"/>
      <c r="G192" s="4" t="inlineStr">
        <is>
          <t>OPERATIVE</t>
        </is>
      </c>
      <c r="H192" s="2" t="inlineStr">
        <is>
          <t>Same as Lunar.</t>
        </is>
      </c>
      <c r="J192" s="2" t="n"/>
    </row>
    <row r="193">
      <c r="A193" t="inlineStr">
        <is>
          <t>R287</t>
        </is>
      </c>
      <c r="B193" t="inlineStr">
        <is>
          <t>LUNAR MARS</t>
        </is>
      </c>
      <c r="C193" t="inlineStr">
        <is>
          <t>Slots</t>
        </is>
      </c>
      <c r="D193" s="2" t="inlineStr">
        <is>
          <t>Lunar Starship slots dedicated per year</t>
        </is>
      </c>
      <c r="E193" t="inlineStr">
        <is>
          <t>year-row</t>
        </is>
      </c>
      <c r="F193" t="inlineStr">
        <is>
          <t>D=0, I=10, AC=100</t>
        </is>
      </c>
      <c r="G193" s="4" t="inlineStr">
        <is>
          <t>OPERATIVE</t>
        </is>
      </c>
      <c r="H193" s="2" t="inlineStr">
        <is>
          <t>Continuous slot ramp.</t>
        </is>
      </c>
      <c r="J193" s="2" t="n"/>
    </row>
    <row r="194">
      <c r="A194" t="inlineStr">
        <is>
          <t>R288</t>
        </is>
      </c>
      <c r="B194" t="inlineStr">
        <is>
          <t>LUNAR MARS</t>
        </is>
      </c>
      <c r="C194" t="inlineStr">
        <is>
          <t>Slots</t>
        </is>
      </c>
      <c r="D194" s="2" t="inlineStr">
        <is>
          <t>Mars Starship slots dedicated per year (transfer-window even years)</t>
        </is>
      </c>
      <c r="E194" t="inlineStr">
        <is>
          <t>year-row</t>
        </is>
      </c>
      <c r="F194" t="inlineStr">
        <is>
          <t>D=0, I=30, S=2000, AC=20000</t>
        </is>
      </c>
      <c r="G194" s="4" t="inlineStr">
        <is>
          <t>OPERATIVE</t>
        </is>
      </c>
      <c r="H194" s="2" t="inlineStr">
        <is>
          <t>Clustered on even-year windows.</t>
        </is>
      </c>
      <c r="J194" s="2" t="n"/>
    </row>
    <row r="195">
      <c r="A195" t="inlineStr">
        <is>
          <t>R289</t>
        </is>
      </c>
      <c r="B195" t="inlineStr">
        <is>
          <t>LUNAR MARS</t>
        </is>
      </c>
      <c r="C195" t="inlineStr">
        <is>
          <t>Labour units</t>
        </is>
      </c>
      <c r="D195" s="2" t="inlineStr">
        <is>
          <t>Labour unit cost ($/unit) — declining cost curve</t>
        </is>
      </c>
      <c r="E195" t="inlineStr">
        <is>
          <t>year-row</t>
        </is>
      </c>
      <c r="F195" t="inlineStr">
        <is>
          <t>D=30K → AC=8K</t>
        </is>
      </c>
      <c r="G195" s="4" t="inlineStr">
        <is>
          <t>OPERATIVE</t>
        </is>
      </c>
      <c r="H195" s="2" t="inlineStr">
        <is>
          <t>Robotic learning curve.</t>
        </is>
      </c>
      <c r="J195" s="2" t="n"/>
    </row>
    <row r="196">
      <c r="A196" t="inlineStr">
        <is>
          <t>R290</t>
        </is>
      </c>
      <c r="B196" t="inlineStr">
        <is>
          <t>LUNAR MARS</t>
        </is>
      </c>
      <c r="C196" t="inlineStr">
        <is>
          <t>Hardware</t>
        </is>
      </c>
      <c r="D196" s="2" t="inlineStr">
        <is>
          <t>Hardware replacement cost factor ($/kg landed) — declining</t>
        </is>
      </c>
      <c r="E196" t="inlineStr">
        <is>
          <t>year-row</t>
        </is>
      </c>
      <c r="F196" t="inlineStr">
        <is>
          <t>D=1000 → AC=300</t>
        </is>
      </c>
      <c r="G196" s="4" t="inlineStr">
        <is>
          <t>OPERATIVE</t>
        </is>
      </c>
      <c r="H196" s="2" t="inlineStr">
        <is>
          <t>Supply chain maturation.</t>
        </is>
      </c>
      <c r="J196" s="2" t="n"/>
    </row>
    <row r="197">
      <c r="A197" t="inlineStr">
        <is>
          <t>R473</t>
        </is>
      </c>
      <c r="B197" t="inlineStr">
        <is>
          <t>LUNAR MARS</t>
        </is>
      </c>
      <c r="C197" t="inlineStr">
        <is>
          <t>Useful life</t>
        </is>
      </c>
      <c r="D197" s="2" t="inlineStr">
        <is>
          <t>Lunar Mars economic life N (yrs)</t>
        </is>
      </c>
      <c r="E197" t="inlineStr">
        <is>
          <t>5</t>
        </is>
      </c>
      <c r="F197" t="inlineStr"/>
      <c r="G197" s="4" t="inlineStr">
        <is>
          <t>OPERATIVE</t>
        </is>
      </c>
      <c r="H197" s="2" t="inlineStr">
        <is>
          <t>Spec 06 Patch A fixed hardcode.</t>
        </is>
      </c>
      <c r="J197" s="2" t="n"/>
    </row>
    <row r="198">
      <c r="A198" t="inlineStr">
        <is>
          <t>R411</t>
        </is>
      </c>
      <c r="B198" t="inlineStr">
        <is>
          <t>OPEX</t>
        </is>
      </c>
      <c r="C198" t="inlineStr">
        <is>
          <t>R&amp;D — Starlink</t>
        </is>
      </c>
      <c r="D198" s="2" t="inlineStr">
        <is>
          <t>Starlink R&amp;D — start %</t>
        </is>
      </c>
      <c r="E198" t="inlineStr">
        <is>
          <t>0.08</t>
        </is>
      </c>
      <c r="F198" t="inlineStr"/>
      <c r="G198" s="4" t="inlineStr">
        <is>
          <t>OPERATIVE</t>
        </is>
      </c>
      <c r="H198" s="2" t="inlineStr">
        <is>
          <t>8% of Starlink+Starshield rev (Spec 03).</t>
        </is>
      </c>
      <c r="J198" s="2" t="n"/>
    </row>
    <row r="199">
      <c r="A199" t="inlineStr">
        <is>
          <t>R412</t>
        </is>
      </c>
      <c r="B199" t="inlineStr">
        <is>
          <t>OPEX</t>
        </is>
      </c>
      <c r="C199" t="inlineStr">
        <is>
          <t>R&amp;D — Starlink</t>
        </is>
      </c>
      <c r="D199" s="2" t="inlineStr">
        <is>
          <t>Starlink R&amp;D — end-state % (floor)</t>
        </is>
      </c>
      <c r="E199" t="inlineStr">
        <is>
          <t>0.03</t>
        </is>
      </c>
      <c r="F199" t="inlineStr"/>
      <c r="G199" s="4" t="inlineStr">
        <is>
          <t>OPERATIVE</t>
        </is>
      </c>
      <c r="H199" s="2" t="inlineStr">
        <is>
          <t>Mature subscription business R&amp;D floor.</t>
        </is>
      </c>
      <c r="J199" s="2" t="n"/>
    </row>
    <row r="200">
      <c r="A200" t="inlineStr">
        <is>
          <t>R413</t>
        </is>
      </c>
      <c r="B200" t="inlineStr">
        <is>
          <t>OPEX</t>
        </is>
      </c>
      <c r="C200" t="inlineStr">
        <is>
          <t>R&amp;D — Starlink</t>
        </is>
      </c>
      <c r="D200" s="2" t="inlineStr">
        <is>
          <t>Starlink R&amp;D — CAGR (taper)</t>
        </is>
      </c>
      <c r="E200" t="inlineStr">
        <is>
          <t>-0.1</t>
        </is>
      </c>
      <c r="F200" t="inlineStr"/>
      <c r="G200" s="4" t="inlineStr">
        <is>
          <t>OPERATIVE</t>
        </is>
      </c>
      <c r="H200" s="2" t="inlineStr">
        <is>
          <t>10%/yr taper.</t>
        </is>
      </c>
      <c r="J200" s="2" t="n"/>
    </row>
    <row r="201">
      <c r="A201" t="inlineStr">
        <is>
          <t>R416</t>
        </is>
      </c>
      <c r="B201" t="inlineStr">
        <is>
          <t>OPEX</t>
        </is>
      </c>
      <c r="C201" t="inlineStr">
        <is>
          <t>R&amp;D — Launch</t>
        </is>
      </c>
      <c r="D201" s="2" t="inlineStr">
        <is>
          <t>Launch R&amp;D — start %</t>
        </is>
      </c>
      <c r="E201" t="inlineStr">
        <is>
          <t>0.25</t>
        </is>
      </c>
      <c r="F201" t="inlineStr"/>
      <c r="G201" s="4" t="inlineStr">
        <is>
          <t>OPERATIVE</t>
        </is>
      </c>
      <c r="H201" s="2" t="inlineStr">
        <is>
          <t>25% of Launch ext rev (Starship dev years).</t>
        </is>
      </c>
      <c r="J201" s="2" t="n"/>
    </row>
    <row r="202">
      <c r="A202" t="inlineStr">
        <is>
          <t>R417</t>
        </is>
      </c>
      <c r="B202" t="inlineStr">
        <is>
          <t>OPEX</t>
        </is>
      </c>
      <c r="C202" t="inlineStr">
        <is>
          <t>R&amp;D — Launch</t>
        </is>
      </c>
      <c r="D202" s="2" t="inlineStr">
        <is>
          <t>Launch R&amp;D — end-state %</t>
        </is>
      </c>
      <c r="E202" t="inlineStr">
        <is>
          <t>0.04</t>
        </is>
      </c>
      <c r="F202" t="inlineStr"/>
      <c r="G202" s="4" t="inlineStr">
        <is>
          <t>OPERATIVE</t>
        </is>
      </c>
      <c r="H202" s="2" t="inlineStr">
        <is>
          <t>Mature post-Starship-commercial.</t>
        </is>
      </c>
      <c r="J202" s="2" t="n"/>
    </row>
    <row r="203">
      <c r="A203" t="inlineStr">
        <is>
          <t>R418</t>
        </is>
      </c>
      <c r="B203" t="inlineStr">
        <is>
          <t>OPEX</t>
        </is>
      </c>
      <c r="C203" t="inlineStr">
        <is>
          <t>R&amp;D — Launch</t>
        </is>
      </c>
      <c r="D203" s="2" t="inlineStr">
        <is>
          <t>Launch R&amp;D — CAGR (taper)</t>
        </is>
      </c>
      <c r="E203" t="inlineStr">
        <is>
          <t>-0.2</t>
        </is>
      </c>
      <c r="F203" t="inlineStr"/>
      <c r="G203" s="4" t="inlineStr">
        <is>
          <t>OPERATIVE</t>
        </is>
      </c>
      <c r="H203" s="2" t="inlineStr">
        <is>
          <t>Sharp taper post-Starship.</t>
        </is>
      </c>
      <c r="J203" s="2" t="n"/>
    </row>
    <row r="204">
      <c r="A204" t="inlineStr">
        <is>
          <t>R421</t>
        </is>
      </c>
      <c r="B204" t="inlineStr">
        <is>
          <t>OPEX</t>
        </is>
      </c>
      <c r="C204" t="inlineStr">
        <is>
          <t>R&amp;D — ODC</t>
        </is>
      </c>
      <c r="D204" s="2" t="inlineStr">
        <is>
          <t>ODC R&amp;D — start %</t>
        </is>
      </c>
      <c r="E204" t="inlineStr">
        <is>
          <t>0.3</t>
        </is>
      </c>
      <c r="F204" t="inlineStr"/>
      <c r="G204" s="4" t="inlineStr">
        <is>
          <t>OPERATIVE</t>
        </is>
      </c>
      <c r="H204" s="2" t="inlineStr">
        <is>
          <t>Early-stage 30% R&amp;D / rev.</t>
        </is>
      </c>
      <c r="J204" s="2" t="n"/>
    </row>
    <row r="205">
      <c r="A205" t="inlineStr">
        <is>
          <t>R422</t>
        </is>
      </c>
      <c r="B205" t="inlineStr">
        <is>
          <t>OPEX</t>
        </is>
      </c>
      <c r="C205" t="inlineStr">
        <is>
          <t>R&amp;D — ODC</t>
        </is>
      </c>
      <c r="D205" s="2" t="inlineStr">
        <is>
          <t>ODC R&amp;D — end-state %</t>
        </is>
      </c>
      <c r="E205" t="inlineStr">
        <is>
          <t>0.08</t>
        </is>
      </c>
      <c r="F205" t="inlineStr"/>
      <c r="G205" s="4" t="inlineStr">
        <is>
          <t>OPERATIVE</t>
        </is>
      </c>
      <c r="H205" s="2" t="inlineStr">
        <is>
          <t>8% mature.</t>
        </is>
      </c>
      <c r="J205" s="2" t="n"/>
    </row>
    <row r="206">
      <c r="A206" t="inlineStr">
        <is>
          <t>R423</t>
        </is>
      </c>
      <c r="B206" t="inlineStr">
        <is>
          <t>OPEX</t>
        </is>
      </c>
      <c r="C206" t="inlineStr">
        <is>
          <t>R&amp;D — ODC</t>
        </is>
      </c>
      <c r="D206" s="2" t="inlineStr">
        <is>
          <t>ODC R&amp;D — CAGR (taper)</t>
        </is>
      </c>
      <c r="E206" t="inlineStr">
        <is>
          <t>-0.15</t>
        </is>
      </c>
      <c r="F206" t="inlineStr"/>
      <c r="G206" s="4" t="inlineStr">
        <is>
          <t>OPERATIVE</t>
        </is>
      </c>
      <c r="H206" s="2" t="inlineStr">
        <is>
          <t>15%/yr taper.</t>
        </is>
      </c>
      <c r="J206" s="2" t="n"/>
    </row>
    <row r="207">
      <c r="A207" t="inlineStr">
        <is>
          <t>R425</t>
        </is>
      </c>
      <c r="B207" t="inlineStr">
        <is>
          <t>OPEX</t>
        </is>
      </c>
      <c r="C207" t="inlineStr">
        <is>
          <t>R&amp;D — Moon/Mars</t>
        </is>
      </c>
      <c r="D207" s="2" t="inlineStr">
        <is>
          <t>R&amp;D — Moon/Mars ($mm year-row)</t>
        </is>
      </c>
      <c r="E207" t="inlineStr">
        <is>
          <t>year-row</t>
        </is>
      </c>
      <c r="F207" t="inlineStr">
        <is>
          <t>D=500 → I=1500 → AC=515</t>
        </is>
      </c>
      <c r="G207" s="4" t="inlineStr">
        <is>
          <t>OPERATIVE</t>
        </is>
      </c>
      <c r="H207" s="2" t="inlineStr">
        <is>
          <t>$-profile, not % of rev (pre-revenue).</t>
        </is>
      </c>
      <c r="J207" s="2" t="n"/>
    </row>
    <row r="208">
      <c r="A208" t="inlineStr">
        <is>
          <t>R428</t>
        </is>
      </c>
      <c r="B208" t="inlineStr">
        <is>
          <t>OPEX</t>
        </is>
      </c>
      <c r="C208" t="inlineStr">
        <is>
          <t>S&amp;M</t>
        </is>
      </c>
      <c r="D208" s="2" t="inlineStr">
        <is>
          <t>S&amp;M — start % of (Starlink+Starshield+Launch ext)</t>
        </is>
      </c>
      <c r="E208" t="inlineStr">
        <is>
          <t>0.04</t>
        </is>
      </c>
      <c r="F208" t="inlineStr"/>
      <c r="G208" s="4" t="inlineStr">
        <is>
          <t>OPERATIVE</t>
        </is>
      </c>
      <c r="H208" s="2" t="inlineStr">
        <is>
          <t>4% S&amp;M start. Includes terminal-acquisition marketing.</t>
        </is>
      </c>
      <c r="J208" s="2" t="n"/>
    </row>
    <row r="209">
      <c r="A209" t="inlineStr">
        <is>
          <t>R429</t>
        </is>
      </c>
      <c r="B209" t="inlineStr">
        <is>
          <t>OPEX</t>
        </is>
      </c>
      <c r="C209" t="inlineStr">
        <is>
          <t>S&amp;M</t>
        </is>
      </c>
      <c r="D209" s="2" t="inlineStr">
        <is>
          <t>S&amp;M — end-state %</t>
        </is>
      </c>
      <c r="E209" t="inlineStr">
        <is>
          <t>0.02</t>
        </is>
      </c>
      <c r="F209" t="inlineStr"/>
      <c r="G209" s="4" t="inlineStr">
        <is>
          <t>OPERATIVE</t>
        </is>
      </c>
      <c r="H209" s="2" t="inlineStr">
        <is>
          <t>2% mature.</t>
        </is>
      </c>
      <c r="J209" s="2" t="n"/>
    </row>
    <row r="210">
      <c r="A210" t="inlineStr">
        <is>
          <t>R430</t>
        </is>
      </c>
      <c r="B210" t="inlineStr">
        <is>
          <t>OPEX</t>
        </is>
      </c>
      <c r="C210" t="inlineStr">
        <is>
          <t>S&amp;M</t>
        </is>
      </c>
      <c r="D210" s="2" t="inlineStr">
        <is>
          <t>S&amp;M — CAGR (taper)</t>
        </is>
      </c>
      <c r="E210" t="inlineStr">
        <is>
          <t>-0.08</t>
        </is>
      </c>
      <c r="F210" t="inlineStr"/>
      <c r="G210" s="4" t="inlineStr">
        <is>
          <t>OPERATIVE</t>
        </is>
      </c>
      <c r="H210" s="2" t="inlineStr">
        <is>
          <t>8%/yr taper.</t>
        </is>
      </c>
      <c r="J210" s="2" t="n"/>
    </row>
    <row r="211">
      <c r="A211" t="inlineStr">
        <is>
          <t>R433</t>
        </is>
      </c>
      <c r="B211" t="inlineStr">
        <is>
          <t>OPEX</t>
        </is>
      </c>
      <c r="C211" t="inlineStr">
        <is>
          <t>G&amp;A</t>
        </is>
      </c>
      <c r="D211" s="2" t="inlineStr">
        <is>
          <t>G&amp;A — start % of group rev</t>
        </is>
      </c>
      <c r="E211" t="inlineStr">
        <is>
          <t>0.05</t>
        </is>
      </c>
      <c r="F211" t="inlineStr"/>
      <c r="G211" s="4" t="inlineStr">
        <is>
          <t>OPERATIVE</t>
        </is>
      </c>
      <c r="H211" s="2" t="inlineStr">
        <is>
          <t>5% G&amp;A start.</t>
        </is>
      </c>
      <c r="J211" s="2" t="n"/>
    </row>
    <row r="212">
      <c r="A212" t="inlineStr">
        <is>
          <t>R434</t>
        </is>
      </c>
      <c r="B212" t="inlineStr">
        <is>
          <t>OPEX</t>
        </is>
      </c>
      <c r="C212" t="inlineStr">
        <is>
          <t>G&amp;A</t>
        </is>
      </c>
      <c r="D212" s="2" t="inlineStr">
        <is>
          <t>G&amp;A — end-state % (ceiling)</t>
        </is>
      </c>
      <c r="E212" t="inlineStr">
        <is>
          <t>0.06</t>
        </is>
      </c>
      <c r="F212" t="inlineStr"/>
      <c r="G212" s="4" t="inlineStr">
        <is>
          <t>OPERATIVE</t>
        </is>
      </c>
      <c r="H212" s="2" t="inlineStr">
        <is>
          <t>Drifts up to 6% at scale.</t>
        </is>
      </c>
      <c r="J212" s="2" t="n"/>
    </row>
    <row r="213">
      <c r="A213" t="inlineStr">
        <is>
          <t>R435</t>
        </is>
      </c>
      <c r="B213" t="inlineStr">
        <is>
          <t>OPEX</t>
        </is>
      </c>
      <c r="C213" t="inlineStr">
        <is>
          <t>G&amp;A</t>
        </is>
      </c>
      <c r="D213" s="2" t="inlineStr">
        <is>
          <t>G&amp;A — CAGR (drift)</t>
        </is>
      </c>
      <c r="E213" t="inlineStr">
        <is>
          <t>0.01</t>
        </is>
      </c>
      <c r="F213" t="inlineStr"/>
      <c r="G213" s="4" t="inlineStr">
        <is>
          <t>OPERATIVE</t>
        </is>
      </c>
      <c r="H213" s="2" t="inlineStr">
        <is>
          <t>1%/yr drift up (compliance / HQ scale).</t>
        </is>
      </c>
      <c r="J213" s="2" t="n"/>
    </row>
    <row r="214">
      <c r="A214" t="inlineStr">
        <is>
          <t>R438</t>
        </is>
      </c>
      <c r="B214" t="inlineStr">
        <is>
          <t>OPEX</t>
        </is>
      </c>
      <c r="C214" t="inlineStr">
        <is>
          <t>Customer service</t>
        </is>
      </c>
      <c r="D214" s="2" t="inlineStr">
        <is>
          <t>CS — flat % of Starlink subscription rev (BB+DTC)</t>
        </is>
      </c>
      <c r="E214" t="inlineStr">
        <is>
          <t>0.02</t>
        </is>
      </c>
      <c r="F214" t="inlineStr"/>
      <c r="G214" s="4" t="inlineStr">
        <is>
          <t>OPERATIVE</t>
        </is>
      </c>
      <c r="H214" s="2" t="inlineStr">
        <is>
          <t>2% CS.</t>
        </is>
      </c>
      <c r="J214" s="2" t="n"/>
    </row>
    <row r="215">
      <c r="A215" t="inlineStr">
        <is>
          <t>R406</t>
        </is>
      </c>
      <c r="B215" t="inlineStr">
        <is>
          <t>OPEX</t>
        </is>
      </c>
      <c r="C215" t="inlineStr">
        <is>
          <t>Other corp</t>
        </is>
      </c>
      <c r="D215" s="2" t="inlineStr">
        <is>
          <t>Other corporate operating % of revenue</t>
        </is>
      </c>
      <c r="E215" t="inlineStr">
        <is>
          <t>0.01</t>
        </is>
      </c>
      <c r="F215" t="inlineStr"/>
      <c r="G215" s="4" t="inlineStr">
        <is>
          <t>OPERATIVE</t>
        </is>
      </c>
      <c r="H215" s="2" t="inlineStr">
        <is>
          <t>1% catch-all.</t>
        </is>
      </c>
      <c r="J215" s="2" t="n"/>
    </row>
    <row r="216">
      <c r="A216" t="inlineStr">
        <is>
          <t>R393</t>
        </is>
      </c>
      <c r="B216" t="inlineStr">
        <is>
          <t>CAPEX</t>
        </is>
      </c>
      <c r="C216" t="inlineStr">
        <is>
          <t>Corporate facilities</t>
        </is>
      </c>
      <c r="D216" s="2" t="inlineStr">
        <is>
          <t>HQ buildings CapEx ($mm/yr)</t>
        </is>
      </c>
      <c r="E216" t="inlineStr">
        <is>
          <t>50</t>
        </is>
      </c>
      <c r="F216" t="inlineStr"/>
      <c r="G216" s="4" t="inlineStr">
        <is>
          <t>OPERATIVE</t>
        </is>
      </c>
      <c r="H216" s="2" t="inlineStr">
        <is>
          <t>$50M/yr stub. MC [20, 150].</t>
        </is>
      </c>
      <c r="J216" s="2" t="n"/>
    </row>
    <row r="217">
      <c r="A217" t="inlineStr">
        <is>
          <t>R394</t>
        </is>
      </c>
      <c r="B217" t="inlineStr">
        <is>
          <t>CAPEX</t>
        </is>
      </c>
      <c r="C217" t="inlineStr">
        <is>
          <t>Corporate facilities</t>
        </is>
      </c>
      <c r="D217" s="2" t="inlineStr">
        <is>
          <t>Corporate IT CapEx ($mm/yr)</t>
        </is>
      </c>
      <c r="E217" t="inlineStr">
        <is>
          <t>30</t>
        </is>
      </c>
      <c r="F217" t="inlineStr"/>
      <c r="G217" s="4" t="inlineStr">
        <is>
          <t>OPERATIVE</t>
        </is>
      </c>
      <c r="H217" s="2" t="inlineStr">
        <is>
          <t>$30M/yr stub.</t>
        </is>
      </c>
      <c r="J217" s="2" t="n"/>
    </row>
    <row r="218">
      <c r="A218" t="inlineStr">
        <is>
          <t>R395</t>
        </is>
      </c>
      <c r="B218" t="inlineStr">
        <is>
          <t>CAPEX</t>
        </is>
      </c>
      <c r="C218" t="inlineStr">
        <is>
          <t>Corporate facilities</t>
        </is>
      </c>
      <c r="D218" s="2" t="inlineStr">
        <is>
          <t>General engineering facilities CapEx ($mm/yr)</t>
        </is>
      </c>
      <c r="E218" t="inlineStr">
        <is>
          <t>20</t>
        </is>
      </c>
      <c r="F218" t="inlineStr"/>
      <c r="G218" s="4" t="inlineStr">
        <is>
          <t>OPERATIVE</t>
        </is>
      </c>
      <c r="H218" s="2" t="inlineStr">
        <is>
          <t>$20M/yr stub.</t>
        </is>
      </c>
      <c r="J218" s="2" t="n"/>
    </row>
    <row r="219">
      <c r="A219" t="inlineStr">
        <is>
          <t>R396</t>
        </is>
      </c>
      <c r="B219" t="inlineStr">
        <is>
          <t>CAPEX</t>
        </is>
      </c>
      <c r="C219" t="inlineStr">
        <is>
          <t>Corporate facilities</t>
        </is>
      </c>
      <c r="D219" s="2" t="inlineStr">
        <is>
          <t>Other corporate CapEx ($mm/yr)</t>
        </is>
      </c>
      <c r="E219" t="inlineStr">
        <is>
          <t>10</t>
        </is>
      </c>
      <c r="F219" t="inlineStr"/>
      <c r="G219" s="4" t="inlineStr">
        <is>
          <t>OPERATIVE</t>
        </is>
      </c>
      <c r="H219" s="2" t="inlineStr">
        <is>
          <t>$10M/yr stub.</t>
        </is>
      </c>
      <c r="J219" s="2" t="n"/>
    </row>
    <row r="220">
      <c r="A220" t="inlineStr">
        <is>
          <t>R398</t>
        </is>
      </c>
      <c r="B220" t="inlineStr">
        <is>
          <t>CAPEX</t>
        </is>
      </c>
      <c r="C220" t="inlineStr">
        <is>
          <t>Useful lives</t>
        </is>
      </c>
      <c r="D220" s="2" t="inlineStr">
        <is>
          <t>HQ buildings useful life (yrs)</t>
        </is>
      </c>
      <c r="E220" t="inlineStr">
        <is>
          <t>30</t>
        </is>
      </c>
      <c r="F220" t="inlineStr"/>
      <c r="G220" s="4" t="inlineStr">
        <is>
          <t>OPERATIVE</t>
        </is>
      </c>
      <c r="H220" s="2" t="inlineStr">
        <is>
          <t>Straight-line.</t>
        </is>
      </c>
      <c r="J220" s="2" t="n"/>
    </row>
    <row r="221">
      <c r="A221" t="inlineStr">
        <is>
          <t>R399</t>
        </is>
      </c>
      <c r="B221" t="inlineStr">
        <is>
          <t>CAPEX</t>
        </is>
      </c>
      <c r="C221" t="inlineStr">
        <is>
          <t>Useful lives</t>
        </is>
      </c>
      <c r="D221" s="2" t="inlineStr">
        <is>
          <t>Corporate IT useful life (yrs)</t>
        </is>
      </c>
      <c r="E221" t="inlineStr">
        <is>
          <t>7</t>
        </is>
      </c>
      <c r="F221" t="inlineStr"/>
      <c r="G221" s="4" t="inlineStr">
        <is>
          <t>OPERATIVE</t>
        </is>
      </c>
      <c r="H221" s="2" t="inlineStr">
        <is>
          <t>IT refresh cycle.</t>
        </is>
      </c>
      <c r="J221" s="2" t="n"/>
    </row>
    <row r="222">
      <c r="A222" t="inlineStr">
        <is>
          <t>R400</t>
        </is>
      </c>
      <c r="B222" t="inlineStr">
        <is>
          <t>CAPEX</t>
        </is>
      </c>
      <c r="C222" t="inlineStr">
        <is>
          <t>Useful lives</t>
        </is>
      </c>
      <c r="D222" s="2" t="inlineStr">
        <is>
          <t>General engineering facilities life (yrs)</t>
        </is>
      </c>
      <c r="E222" t="inlineStr">
        <is>
          <t>20</t>
        </is>
      </c>
      <c r="F222" t="inlineStr"/>
      <c r="G222" s="4" t="inlineStr">
        <is>
          <t>OPERATIVE</t>
        </is>
      </c>
      <c r="H222" s="2" t="inlineStr">
        <is>
          <t>Industrial facility life.</t>
        </is>
      </c>
      <c r="J222" s="2" t="n"/>
    </row>
    <row r="223">
      <c r="A223" t="inlineStr">
        <is>
          <t>R401</t>
        </is>
      </c>
      <c r="B223" t="inlineStr">
        <is>
          <t>CAPEX</t>
        </is>
      </c>
      <c r="C223" t="inlineStr">
        <is>
          <t>Useful lives</t>
        </is>
      </c>
      <c r="D223" s="2" t="inlineStr">
        <is>
          <t>Other corporate useful life (yrs)</t>
        </is>
      </c>
      <c r="E223" t="inlineStr">
        <is>
          <t>20</t>
        </is>
      </c>
      <c r="F223" t="inlineStr"/>
      <c r="G223" s="4" t="inlineStr">
        <is>
          <t>OPERATIVE</t>
        </is>
      </c>
      <c r="H223" s="2" t="inlineStr">
        <is>
          <t>Generic life.</t>
        </is>
      </c>
      <c r="J223" s="2" t="n"/>
    </row>
    <row r="224">
      <c r="A224" t="inlineStr">
        <is>
          <t>R403</t>
        </is>
      </c>
      <c r="B224" t="inlineStr">
        <is>
          <t>CAPEX</t>
        </is>
      </c>
      <c r="C224" t="inlineStr">
        <is>
          <t>Historical base</t>
        </is>
      </c>
      <c r="D224" s="2" t="inlineStr">
        <is>
          <t>Corporate historical capital base ($mm)</t>
        </is>
      </c>
      <c r="E224" t="inlineStr">
        <is>
          <t>2000</t>
        </is>
      </c>
      <c r="F224" t="inlineStr"/>
      <c r="G224" s="4" t="inlineStr">
        <is>
          <t>OPERATIVE</t>
        </is>
      </c>
      <c r="H224" s="2" t="inlineStr">
        <is>
          <t>$2B pre-2025 corporate CapEx. MC [1000, 3000].</t>
        </is>
      </c>
      <c r="J224" s="2" t="n"/>
    </row>
    <row r="225">
      <c r="A225" t="inlineStr">
        <is>
          <t>R452</t>
        </is>
      </c>
      <c r="B225" t="inlineStr">
        <is>
          <t>CAPEX</t>
        </is>
      </c>
      <c r="C225" t="inlineStr">
        <is>
          <t>Spectrum</t>
        </is>
      </c>
      <c r="D225" s="2" t="inlineStr">
        <is>
          <t>EchoStar mid-band CapEx ($mm, year-row)</t>
        </is>
      </c>
      <c r="E225" t="inlineStr">
        <is>
          <t>year-row</t>
        </is>
      </c>
      <c r="F225" t="inlineStr">
        <is>
          <t>D=5000, I=0</t>
        </is>
      </c>
      <c r="G225" s="4" t="inlineStr">
        <is>
          <t>OPERATIVE</t>
        </is>
      </c>
      <c r="H225" s="2" t="inlineStr">
        <is>
          <t>Spec 03 — $20B cumulative over 2025-2028.</t>
        </is>
      </c>
      <c r="J225" s="2" t="n"/>
    </row>
    <row r="226">
      <c r="A226" t="inlineStr">
        <is>
          <t>R453</t>
        </is>
      </c>
      <c r="B226" t="inlineStr">
        <is>
          <t>CAPEX</t>
        </is>
      </c>
      <c r="C226" t="inlineStr">
        <is>
          <t>Spectrum</t>
        </is>
      </c>
      <c r="D226" s="2" t="inlineStr">
        <is>
          <t>Spectrum useful life (yrs)</t>
        </is>
      </c>
      <c r="E226" t="inlineStr">
        <is>
          <t>15</t>
        </is>
      </c>
      <c r="F226" t="inlineStr"/>
      <c r="G226" s="4" t="inlineStr">
        <is>
          <t>OPERATIVE</t>
        </is>
      </c>
      <c r="H226" s="2" t="inlineStr">
        <is>
          <t>Spec 03 stub.</t>
        </is>
      </c>
      <c r="J226" s="2" t="n"/>
    </row>
    <row r="227">
      <c r="A227" t="inlineStr">
        <is>
          <t>R466</t>
        </is>
      </c>
      <c r="B227" t="inlineStr">
        <is>
          <t>ALLOCATOR</t>
        </is>
      </c>
      <c r="C227" t="inlineStr">
        <is>
          <t>Cash pool</t>
        </is>
      </c>
      <c r="D227" s="2" t="inlineStr">
        <is>
          <t>Starting cash position EoY 2024 ($mm)</t>
        </is>
      </c>
      <c r="E227" t="inlineStr">
        <is>
          <t>20000</t>
        </is>
      </c>
      <c r="F227" t="inlineStr"/>
      <c r="G227" s="4" t="inlineStr">
        <is>
          <t>OPERATIVE</t>
        </is>
      </c>
      <c r="H227" s="2" t="inlineStr">
        <is>
          <t>NOTE: Vlad bumped to $20B (Spec 06+07 §19 said $5B stub). Verify intent.</t>
        </is>
      </c>
      <c r="J227" s="2" t="n"/>
    </row>
    <row r="228">
      <c r="A228" t="inlineStr">
        <is>
          <t>R467</t>
        </is>
      </c>
      <c r="B228" t="inlineStr">
        <is>
          <t>ALLOCATOR</t>
        </is>
      </c>
      <c r="C228" t="inlineStr">
        <is>
          <t>Cash pool</t>
        </is>
      </c>
      <c r="D228" s="2" t="inlineStr">
        <is>
          <t>IPO injection amount ($mm)</t>
        </is>
      </c>
      <c r="E228" t="inlineStr">
        <is>
          <t>30000</t>
        </is>
      </c>
      <c r="F228" t="inlineStr"/>
      <c r="G228" s="4" t="inlineStr">
        <is>
          <t>OPERATIVE</t>
        </is>
      </c>
      <c r="H228" s="2" t="inlineStr">
        <is>
          <t>$30B IPO injection.</t>
        </is>
      </c>
      <c r="J228" s="2" t="n"/>
    </row>
    <row r="229">
      <c r="A229" t="inlineStr">
        <is>
          <t>R468</t>
        </is>
      </c>
      <c r="B229" t="inlineStr">
        <is>
          <t>ALLOCATOR</t>
        </is>
      </c>
      <c r="C229" t="inlineStr">
        <is>
          <t>Cash pool</t>
        </is>
      </c>
      <c r="D229" s="2" t="inlineStr">
        <is>
          <t>IPO injection year</t>
        </is>
      </c>
      <c r="E229" t="inlineStr">
        <is>
          <t>2027</t>
        </is>
      </c>
      <c r="F229" t="inlineStr"/>
      <c r="G229" s="4" t="inlineStr">
        <is>
          <t>OPERATIVE</t>
        </is>
      </c>
      <c r="H229" s="2" t="inlineStr">
        <is>
          <t>Lock the year.</t>
        </is>
      </c>
      <c r="J229" s="2" t="n"/>
    </row>
    <row r="230">
      <c r="A230" t="inlineStr">
        <is>
          <t>R470</t>
        </is>
      </c>
      <c r="B230" t="inlineStr">
        <is>
          <t>ALLOCATOR</t>
        </is>
      </c>
      <c r="C230" t="inlineStr">
        <is>
          <t>Mars carve-out</t>
        </is>
      </c>
      <c r="D230" s="2" t="inlineStr">
        <is>
          <t>Mars/Moon strategic spend (% of prior-year Group FCF)</t>
        </is>
      </c>
      <c r="E230" t="inlineStr">
        <is>
          <t>0.15</t>
        </is>
      </c>
      <c r="F230" t="inlineStr"/>
      <c r="G230" s="4" t="inlineStr">
        <is>
          <t>OPERATIVE</t>
        </is>
      </c>
      <c r="H230" s="2" t="inlineStr">
        <is>
          <t>15% of prior FCF reserved for Mars.</t>
        </is>
      </c>
      <c r="J230" s="2" t="n"/>
    </row>
    <row r="231">
      <c r="A231" t="inlineStr">
        <is>
          <t>R471</t>
        </is>
      </c>
      <c r="B231" t="inlineStr">
        <is>
          <t>ALLOCATOR</t>
        </is>
      </c>
      <c r="C231" t="inlineStr">
        <is>
          <t>Mars carve-out</t>
        </is>
      </c>
      <c r="D231" s="2" t="inlineStr">
        <is>
          <t>Mars/Moon strategic spend minimum floor ($mm/yr)</t>
        </is>
      </c>
      <c r="E231" t="inlineStr">
        <is>
          <t>1000</t>
        </is>
      </c>
      <c r="F231" t="inlineStr"/>
      <c r="G231" s="4" t="inlineStr">
        <is>
          <t>OPERATIVE</t>
        </is>
      </c>
      <c r="H231" s="2" t="inlineStr">
        <is>
          <t>Floor $1B/yr.</t>
        </is>
      </c>
      <c r="J231" s="2" t="n"/>
    </row>
    <row r="232">
      <c r="A232" t="inlineStr">
        <is>
          <t>R481</t>
        </is>
      </c>
      <c r="B232" t="inlineStr">
        <is>
          <t>ALLOCATOR</t>
        </is>
      </c>
      <c r="C232" t="inlineStr">
        <is>
          <t>Cash pool</t>
        </is>
      </c>
      <c r="D232" s="2" t="inlineStr">
        <is>
          <t>Mars carve-out uses prior-year FCF (0/1)</t>
        </is>
      </c>
      <c r="E232" t="inlineStr">
        <is>
          <t>1</t>
        </is>
      </c>
      <c r="F232" t="inlineStr"/>
      <c r="G232" s="4" t="inlineStr">
        <is>
          <t>OPERATIVE</t>
        </is>
      </c>
      <c r="H232" s="2" t="inlineStr">
        <is>
          <t>1 = prior-year FCF (breaks circularity).</t>
        </is>
      </c>
      <c r="J232" s="2" t="n"/>
    </row>
    <row r="233">
      <c r="A233" t="inlineStr">
        <is>
          <t>R498</t>
        </is>
      </c>
      <c r="B233" t="inlineStr">
        <is>
          <t>ALLOCATOR</t>
        </is>
      </c>
      <c r="C233" t="inlineStr">
        <is>
          <t>Sigmoid blend</t>
        </is>
      </c>
      <c r="D233" s="2" t="inlineStr">
        <is>
          <t>Sigmoid IRR-blend exponent k (Spec 09)</t>
        </is>
      </c>
      <c r="E233" t="inlineStr">
        <is>
          <t>2</t>
        </is>
      </c>
      <c r="F233" t="inlineStr"/>
      <c r="G233" s="4" t="inlineStr">
        <is>
          <t>OPERATIVE</t>
        </is>
      </c>
      <c r="H233" s="2" t="inlineStr">
        <is>
          <t>k=2 across all queues. MC [1, 3].</t>
        </is>
      </c>
      <c r="J233" s="2" t="n"/>
    </row>
    <row r="234">
      <c r="A234" t="inlineStr">
        <is>
          <t>R497</t>
        </is>
      </c>
      <c r="B234" t="inlineStr">
        <is>
          <t>ALLOCATOR</t>
        </is>
      </c>
      <c r="C234" t="inlineStr">
        <is>
          <t>Vehicle build</t>
        </is>
      </c>
      <c r="D234" s="2" t="inlineStr">
        <is>
          <t>Vehicle build claim toggle (0 = legacy, 1 = forward-demand-sized)</t>
        </is>
      </c>
      <c r="E234" t="inlineStr">
        <is>
          <t>1</t>
        </is>
      </c>
      <c r="F234" t="inlineStr"/>
      <c r="G234" s="4" t="inlineStr">
        <is>
          <t>OPERATIVE</t>
        </is>
      </c>
      <c r="H234" s="2" t="inlineStr">
        <is>
          <t>Spec 09 forward-demand-sized claim.</t>
        </is>
      </c>
      <c r="J234" s="2" t="n"/>
    </row>
    <row r="235">
      <c r="A235" t="inlineStr">
        <is>
          <t>R499</t>
        </is>
      </c>
      <c r="B235" t="inlineStr">
        <is>
          <t>ALLOCATOR</t>
        </is>
      </c>
      <c r="C235" t="inlineStr">
        <is>
          <t>Vehicle build</t>
        </is>
      </c>
      <c r="D235" s="2" t="inlineStr">
        <is>
          <t>Vehicle build lead time (years)</t>
        </is>
      </c>
      <c r="E235" t="inlineStr">
        <is>
          <t>2</t>
        </is>
      </c>
      <c r="F235" t="inlineStr"/>
      <c r="G235" s="4" t="inlineStr">
        <is>
          <t>OPERATIVE</t>
        </is>
      </c>
      <c r="H235" s="2" t="inlineStr">
        <is>
          <t>Matches Y+2 IRR horizon.</t>
        </is>
      </c>
      <c r="J235" s="2" t="n"/>
    </row>
    <row r="236">
      <c r="A236" t="inlineStr">
        <is>
          <t>R502</t>
        </is>
      </c>
      <c r="B236" t="inlineStr">
        <is>
          <t>ALLOCATOR</t>
        </is>
      </c>
      <c r="C236" t="inlineStr">
        <is>
          <t>Vehicle build</t>
        </is>
      </c>
      <c r="D236" s="2" t="inlineStr">
        <is>
          <t>Vehicle masked-demand large default (sats)</t>
        </is>
      </c>
      <c r="E236" t="inlineStr">
        <is>
          <t>1000000</t>
        </is>
      </c>
      <c r="F236" t="inlineStr"/>
      <c r="G236" s="4" t="inlineStr">
        <is>
          <t>OPERATIVE</t>
        </is>
      </c>
      <c r="H236" s="2" t="inlineStr">
        <is>
          <t>Large default — pool caps demand.</t>
        </is>
      </c>
      <c r="J236" s="2" t="n"/>
    </row>
    <row r="237">
      <c r="A237" t="inlineStr">
        <is>
          <t>R503</t>
        </is>
      </c>
      <c r="B237" t="inlineStr">
        <is>
          <t>ALLOCATOR</t>
        </is>
      </c>
      <c r="C237" t="inlineStr">
        <is>
          <t>Vehicle build</t>
        </is>
      </c>
      <c r="D237" s="2" t="inlineStr">
        <is>
          <t>Forward aggregate kg demand growth cap (multiple of current capacity)</t>
        </is>
      </c>
      <c r="E237" t="inlineStr">
        <is>
          <t>2</t>
        </is>
      </c>
      <c r="F237" t="inlineStr"/>
      <c r="G237" s="4" t="inlineStr">
        <is>
          <t>OPERATIVE</t>
        </is>
      </c>
      <c r="H237" s="2" t="inlineStr">
        <is>
          <t>Cap demand growth at 2× current capacity.</t>
        </is>
      </c>
      <c r="J237" s="2" t="n"/>
    </row>
    <row r="238">
      <c r="A238" t="inlineStr">
        <is>
          <t>R307</t>
        </is>
      </c>
      <c r="B238" t="inlineStr">
        <is>
          <t>ALLOCATOR</t>
        </is>
      </c>
      <c r="C238" t="inlineStr">
        <is>
          <t>IRR blend</t>
        </is>
      </c>
      <c r="D238" s="2" t="inlineStr">
        <is>
          <t>MFW-IRR — Spot/Forward blend weight α (Spec 09 unified)</t>
        </is>
      </c>
      <c r="E238" t="inlineStr">
        <is>
          <t>0.7</t>
        </is>
      </c>
      <c r="F238" t="inlineStr"/>
      <c r="G238" s="4" t="inlineStr">
        <is>
          <t>OPERATIVE</t>
        </is>
      </c>
      <c r="H238" s="2" t="inlineStr">
        <is>
          <t>70% forward. Unified with R82.</t>
        </is>
      </c>
      <c r="J238" s="2" t="n"/>
    </row>
    <row r="239">
      <c r="A239" t="inlineStr">
        <is>
          <t>R329</t>
        </is>
      </c>
      <c r="B239" t="inlineStr">
        <is>
          <t>VALUATION</t>
        </is>
      </c>
      <c r="C239" t="inlineStr">
        <is>
          <t>WACC</t>
        </is>
      </c>
      <c r="D239" s="2" t="inlineStr">
        <is>
          <t>Group WACC</t>
        </is>
      </c>
      <c r="E239" t="inlineStr">
        <is>
          <t>0.1</t>
        </is>
      </c>
      <c r="F239" t="inlineStr"/>
      <c r="G239" s="4" t="inlineStr">
        <is>
          <t>OPERATIVE</t>
        </is>
      </c>
      <c r="H239" s="2" t="inlineStr">
        <is>
          <t>10% stub. MC [0.08, 0.14].</t>
        </is>
      </c>
      <c r="J239" s="2" t="n"/>
    </row>
    <row r="240">
      <c r="A240" t="inlineStr">
        <is>
          <t>R330</t>
        </is>
      </c>
      <c r="B240" t="inlineStr">
        <is>
          <t>VALUATION</t>
        </is>
      </c>
      <c r="C240" t="inlineStr">
        <is>
          <t>Risk premia</t>
        </is>
      </c>
      <c r="D240" s="2" t="inlineStr">
        <is>
          <t>Risk premium — Starlink (over group)</t>
        </is>
      </c>
      <c r="E240" t="inlineStr">
        <is>
          <t>0</t>
        </is>
      </c>
      <c r="F240" t="inlineStr"/>
      <c r="G240" s="4" t="inlineStr">
        <is>
          <t>OPERATIVE</t>
        </is>
      </c>
      <c r="H240" s="2" t="inlineStr">
        <is>
          <t>Mature; baseline = group.</t>
        </is>
      </c>
      <c r="J240" s="2" t="n"/>
    </row>
    <row r="241">
      <c r="A241" t="inlineStr">
        <is>
          <t>R331</t>
        </is>
      </c>
      <c r="B241" t="inlineStr">
        <is>
          <t>VALUATION</t>
        </is>
      </c>
      <c r="C241" t="inlineStr">
        <is>
          <t>Risk premia</t>
        </is>
      </c>
      <c r="D241" s="2" t="inlineStr">
        <is>
          <t>Risk premium — Launch</t>
        </is>
      </c>
      <c r="E241" t="inlineStr">
        <is>
          <t>0.01</t>
        </is>
      </c>
      <c r="F241" t="inlineStr"/>
      <c r="G241" s="4" t="inlineStr">
        <is>
          <t>OPERATIVE</t>
        </is>
      </c>
      <c r="H241" s="2" t="inlineStr">
        <is>
          <t>100bps for cyclical / dev risk.</t>
        </is>
      </c>
      <c r="J241" s="2" t="n"/>
    </row>
    <row r="242">
      <c r="A242" t="inlineStr">
        <is>
          <t>R332</t>
        </is>
      </c>
      <c r="B242" t="inlineStr">
        <is>
          <t>VALUATION</t>
        </is>
      </c>
      <c r="C242" t="inlineStr">
        <is>
          <t>Risk premia</t>
        </is>
      </c>
      <c r="D242" s="2" t="inlineStr">
        <is>
          <t>Risk premium — ODC</t>
        </is>
      </c>
      <c r="E242" t="inlineStr">
        <is>
          <t>0.02</t>
        </is>
      </c>
      <c r="F242" t="inlineStr"/>
      <c r="G242" s="4" t="inlineStr">
        <is>
          <t>OPERATIVE</t>
        </is>
      </c>
      <c r="H242" s="2" t="inlineStr">
        <is>
          <t>200bps for pre-revenue infra.</t>
        </is>
      </c>
      <c r="J242" s="2" t="n"/>
    </row>
    <row r="243">
      <c r="A243" t="inlineStr">
        <is>
          <t>R333</t>
        </is>
      </c>
      <c r="B243" t="inlineStr">
        <is>
          <t>VALUATION</t>
        </is>
      </c>
      <c r="C243" t="inlineStr">
        <is>
          <t>Risk premia</t>
        </is>
      </c>
      <c r="D243" s="2" t="inlineStr">
        <is>
          <t>Risk premium — AI Stack</t>
        </is>
      </c>
      <c r="E243" t="inlineStr">
        <is>
          <t>0.03</t>
        </is>
      </c>
      <c r="F243" t="inlineStr"/>
      <c r="G243" s="4" t="inlineStr">
        <is>
          <t>OPERATIVE</t>
        </is>
      </c>
      <c r="H243" s="2" t="inlineStr">
        <is>
          <t>300bps speculative. REVISIT under Vlad's AI-Stack-on-top-of-ODC architecture.</t>
        </is>
      </c>
      <c r="J243" s="2" t="n"/>
    </row>
    <row r="244">
      <c r="A244" t="inlineStr">
        <is>
          <t>R334</t>
        </is>
      </c>
      <c r="B244" t="inlineStr">
        <is>
          <t>VALUATION</t>
        </is>
      </c>
      <c r="C244" t="inlineStr">
        <is>
          <t>Risk premia</t>
        </is>
      </c>
      <c r="D244" s="2" t="inlineStr">
        <is>
          <t>Risk premium — Lunar / Mars</t>
        </is>
      </c>
      <c r="E244" t="inlineStr">
        <is>
          <t>0.05</t>
        </is>
      </c>
      <c r="F244" t="inlineStr"/>
      <c r="G244" s="4" t="inlineStr">
        <is>
          <t>OPERATIVE</t>
        </is>
      </c>
      <c r="H244" s="2" t="inlineStr">
        <is>
          <t>500bps narrative-heavy.</t>
        </is>
      </c>
      <c r="J244" s="2" t="n"/>
    </row>
    <row r="245">
      <c r="A245" t="inlineStr">
        <is>
          <t>R335</t>
        </is>
      </c>
      <c r="B245" t="inlineStr">
        <is>
          <t>VALUATION</t>
        </is>
      </c>
      <c r="C245" t="inlineStr">
        <is>
          <t>WACC components (memo)</t>
        </is>
      </c>
      <c r="D245" s="2" t="inlineStr">
        <is>
          <t>Cost of equity (memo, informational)</t>
        </is>
      </c>
      <c r="E245" t="inlineStr">
        <is>
          <t>0.115</t>
        </is>
      </c>
      <c r="F245" t="inlineStr"/>
      <c r="G245" s="4" t="inlineStr">
        <is>
          <t>OPERATIVE</t>
        </is>
      </c>
      <c r="H245" s="2" t="inlineStr">
        <is>
          <t>CAPM placeholder.</t>
        </is>
      </c>
      <c r="J245" s="2" t="n"/>
    </row>
    <row r="246">
      <c r="A246" t="inlineStr">
        <is>
          <t>R336</t>
        </is>
      </c>
      <c r="B246" t="inlineStr">
        <is>
          <t>VALUATION</t>
        </is>
      </c>
      <c r="C246" t="inlineStr">
        <is>
          <t>WACC components (memo)</t>
        </is>
      </c>
      <c r="D246" s="2" t="inlineStr">
        <is>
          <t>Cost of debt (memo, informational)</t>
        </is>
      </c>
      <c r="E246" t="inlineStr">
        <is>
          <t>0.09</t>
        </is>
      </c>
      <c r="F246" t="inlineStr"/>
      <c r="G246" s="4" t="inlineStr">
        <is>
          <t>OPERATIVE</t>
        </is>
      </c>
      <c r="H246" s="2" t="inlineStr">
        <is>
          <t>Apollo SpaceX private credit anchor.</t>
        </is>
      </c>
      <c r="J246" s="2" t="n"/>
    </row>
    <row r="247">
      <c r="A247" t="inlineStr">
        <is>
          <t>R337</t>
        </is>
      </c>
      <c r="B247" t="inlineStr">
        <is>
          <t>VALUATION</t>
        </is>
      </c>
      <c r="C247" t="inlineStr">
        <is>
          <t>WACC components (memo)</t>
        </is>
      </c>
      <c r="D247" s="2" t="inlineStr">
        <is>
          <t>Leverage E/V (memo, informational)</t>
        </is>
      </c>
      <c r="E247" t="inlineStr">
        <is>
          <t>0.7</t>
        </is>
      </c>
      <c r="F247" t="inlineStr"/>
      <c r="G247" s="4" t="inlineStr">
        <is>
          <t>OPERATIVE</t>
        </is>
      </c>
      <c r="H247" s="2" t="inlineStr">
        <is>
          <t>Memo only.</t>
        </is>
      </c>
      <c r="J247" s="2" t="n"/>
    </row>
    <row r="248">
      <c r="A248" t="inlineStr">
        <is>
          <t>R341</t>
        </is>
      </c>
      <c r="B248" t="inlineStr">
        <is>
          <t>VALUATION</t>
        </is>
      </c>
      <c r="C248" t="inlineStr">
        <is>
          <t>Terminal</t>
        </is>
      </c>
      <c r="D248" s="2" t="inlineStr">
        <is>
          <t>Terminal growth rate g (group + most modules)</t>
        </is>
      </c>
      <c r="E248" t="inlineStr">
        <is>
          <t>0.025</t>
        </is>
      </c>
      <c r="F248" t="inlineStr"/>
      <c r="G248" s="4" t="inlineStr">
        <is>
          <t>OPERATIVE</t>
        </is>
      </c>
      <c r="H248" s="2" t="inlineStr">
        <is>
          <t>2.5% Gordon Growth. MC [0.015, 0.035].</t>
        </is>
      </c>
      <c r="J248" s="2" t="n"/>
    </row>
    <row r="249">
      <c r="A249" t="inlineStr">
        <is>
          <t>R342</t>
        </is>
      </c>
      <c r="B249" t="inlineStr">
        <is>
          <t>VALUATION</t>
        </is>
      </c>
      <c r="C249" t="inlineStr">
        <is>
          <t>Terminal</t>
        </is>
      </c>
      <c r="D249" s="2" t="inlineStr">
        <is>
          <t>Starlink — exit revenue multiple</t>
        </is>
      </c>
      <c r="E249" t="inlineStr">
        <is>
          <t>8</t>
        </is>
      </c>
      <c r="F249" t="inlineStr"/>
      <c r="G249" s="4" t="inlineStr">
        <is>
          <t>OPERATIVE</t>
        </is>
      </c>
      <c r="H249" s="2" t="inlineStr">
        <is>
          <t>8× revenue mature satcom. MC [5, 12].</t>
        </is>
      </c>
      <c r="J249" s="2" t="n"/>
    </row>
    <row r="250">
      <c r="A250" t="inlineStr">
        <is>
          <t>R343</t>
        </is>
      </c>
      <c r="B250" t="inlineStr">
        <is>
          <t>VALUATION</t>
        </is>
      </c>
      <c r="C250" t="inlineStr">
        <is>
          <t>Terminal</t>
        </is>
      </c>
      <c r="D250" s="2" t="inlineStr">
        <is>
          <t>Lunar / Mars — terminal BV multiplier</t>
        </is>
      </c>
      <c r="E250" t="inlineStr">
        <is>
          <t>1.5</t>
        </is>
      </c>
      <c r="F250" t="inlineStr"/>
      <c r="G250" s="4" t="inlineStr">
        <is>
          <t>OPERATIVE</t>
        </is>
      </c>
      <c r="H250" s="2" t="inlineStr">
        <is>
          <t>1.5× book value. MC [0.5, 3.0].</t>
        </is>
      </c>
      <c r="J250" s="2" t="n"/>
    </row>
    <row r="251">
      <c r="A251" t="inlineStr">
        <is>
          <t>R344</t>
        </is>
      </c>
      <c r="B251" t="inlineStr">
        <is>
          <t>VALUATION</t>
        </is>
      </c>
      <c r="C251" t="inlineStr">
        <is>
          <t>Terminal</t>
        </is>
      </c>
      <c r="D251" s="2" t="inlineStr">
        <is>
          <t>Launch — Starship D&amp;A useful life (memo add-back)</t>
        </is>
      </c>
      <c r="E251" t="inlineStr">
        <is>
          <t>8</t>
        </is>
      </c>
      <c r="F251" t="inlineStr"/>
      <c r="G251" s="4" t="inlineStr">
        <is>
          <t>OPERATIVE</t>
        </is>
      </c>
      <c r="H251" s="2" t="inlineStr">
        <is>
          <t>Vehicle lifetime_reuses anchor.</t>
        </is>
      </c>
      <c r="J251" s="2" t="n"/>
    </row>
    <row r="252">
      <c r="A252" t="inlineStr">
        <is>
          <t>R345</t>
        </is>
      </c>
      <c r="B252" t="inlineStr">
        <is>
          <t>VALUATION</t>
        </is>
      </c>
      <c r="C252" t="inlineStr">
        <is>
          <t>Terminal</t>
        </is>
      </c>
      <c r="D252" s="2" t="inlineStr">
        <is>
          <t>Terminal FCF averaging window (years pre-2050)</t>
        </is>
      </c>
      <c r="E252" t="inlineStr">
        <is>
          <t>5</t>
        </is>
      </c>
      <c r="F252" t="inlineStr"/>
      <c r="G252" s="4" t="inlineStr">
        <is>
          <t>OPERATIVE</t>
        </is>
      </c>
      <c r="H252" s="2" t="inlineStr">
        <is>
          <t>Smooths cliff.</t>
        </is>
      </c>
      <c r="J252" s="2" t="n"/>
    </row>
    <row r="253">
      <c r="A253" t="inlineStr">
        <is>
          <t>R348</t>
        </is>
      </c>
      <c r="B253" t="inlineStr">
        <is>
          <t>VALUATION</t>
        </is>
      </c>
      <c r="C253" t="inlineStr">
        <is>
          <t>Comparables</t>
        </is>
      </c>
      <c r="D253" s="2" t="inlineStr">
        <is>
          <t>Comp anchor — Group EV (Morgan Stanley)</t>
        </is>
      </c>
      <c r="E253" t="inlineStr">
        <is>
          <t>350</t>
        </is>
      </c>
      <c r="F253" t="inlineStr"/>
      <c r="G253" s="4" t="inlineStr">
        <is>
          <t>OPERATIVE</t>
        </is>
      </c>
      <c r="H253" s="2" t="inlineStr">
        <is>
          <t>$350B public sell-side anchor.</t>
        </is>
      </c>
      <c r="J253" s="2" t="n"/>
    </row>
    <row r="254">
      <c r="A254" t="inlineStr">
        <is>
          <t>R349</t>
        </is>
      </c>
      <c r="B254" t="inlineStr">
        <is>
          <t>VALUATION</t>
        </is>
      </c>
      <c r="C254" t="inlineStr">
        <is>
          <t>Comparables</t>
        </is>
      </c>
      <c r="D254" s="2" t="inlineStr">
        <is>
          <t>Comp anchor — Group EV (Brant internal)</t>
        </is>
      </c>
      <c r="E254" t="inlineStr">
        <is>
          <t>2500</t>
        </is>
      </c>
      <c r="F254" t="inlineStr"/>
      <c r="G254" s="4" t="inlineStr">
        <is>
          <t>OPERATIVE</t>
        </is>
      </c>
      <c r="H254" s="2" t="inlineStr">
        <is>
          <t>⚠ Internal only — do not quote.</t>
        </is>
      </c>
      <c r="J254" s="2" t="n"/>
    </row>
    <row r="255">
      <c r="A255" t="inlineStr">
        <is>
          <t>R350</t>
        </is>
      </c>
      <c r="B255" t="inlineStr">
        <is>
          <t>VALUATION</t>
        </is>
      </c>
      <c r="C255" t="inlineStr">
        <is>
          <t>Comparables</t>
        </is>
      </c>
      <c r="D255" s="2" t="inlineStr">
        <is>
          <t>Comp anchor — Starlink standalone (Bernstein/JPM)</t>
        </is>
      </c>
      <c r="E255" t="inlineStr">
        <is>
          <t>150</t>
        </is>
      </c>
      <c r="F255" t="inlineStr"/>
      <c r="G255" s="4" t="inlineStr">
        <is>
          <t>OPERATIVE</t>
        </is>
      </c>
      <c r="H255" s="2" t="inlineStr">
        <is>
          <t>$150B sell-side anchor.</t>
        </is>
      </c>
      <c r="J255" s="2" t="n"/>
    </row>
    <row r="256">
      <c r="A256" t="inlineStr">
        <is>
          <t>R351</t>
        </is>
      </c>
      <c r="B256" t="inlineStr">
        <is>
          <t>VALUATION</t>
        </is>
      </c>
      <c r="C256" t="inlineStr">
        <is>
          <t>Comparables</t>
        </is>
      </c>
      <c r="D256" s="2" t="inlineStr">
        <is>
          <t>Comp anchor — ODC standalone (CoreWeave)</t>
        </is>
      </c>
      <c r="E256" t="inlineStr">
        <is>
          <t>50</t>
        </is>
      </c>
      <c r="F256" t="inlineStr"/>
      <c r="G256" s="4" t="inlineStr">
        <is>
          <t>OPERATIVE</t>
        </is>
      </c>
      <c r="H256" s="2" t="inlineStr">
        <is>
          <t>$50B pre-revenue placeholder.</t>
        </is>
      </c>
      <c r="J256" s="2" t="n"/>
    </row>
    <row r="257">
      <c r="A257" t="inlineStr">
        <is>
          <t>R352</t>
        </is>
      </c>
      <c r="B257" t="inlineStr">
        <is>
          <t>VALUATION</t>
        </is>
      </c>
      <c r="C257" t="inlineStr">
        <is>
          <t>Comparables</t>
        </is>
      </c>
      <c r="D257" s="2" t="inlineStr">
        <is>
          <t>Comp anchor — Launch standalone (Rocket Lab)</t>
        </is>
      </c>
      <c r="E257" t="inlineStr">
        <is>
          <t>40</t>
        </is>
      </c>
      <c r="F257" t="inlineStr"/>
      <c r="G257" s="4" t="inlineStr">
        <is>
          <t>OPERATIVE</t>
        </is>
      </c>
      <c r="H257" s="2" t="inlineStr">
        <is>
          <t>$40B comp.</t>
        </is>
      </c>
      <c r="J257" s="2" t="n"/>
    </row>
    <row r="258">
      <c r="A258" t="inlineStr">
        <is>
          <t>R354</t>
        </is>
      </c>
      <c r="B258" t="inlineStr">
        <is>
          <t>VALUATION</t>
        </is>
      </c>
      <c r="C258" t="inlineStr">
        <is>
          <t>Comparables</t>
        </is>
      </c>
      <c r="D258" s="2" t="inlineStr">
        <is>
          <t>Comp anchor — Lunar / Mars (NASA HLS)</t>
        </is>
      </c>
      <c r="E258" t="inlineStr">
        <is>
          <t>50</t>
        </is>
      </c>
      <c r="F258" t="inlineStr"/>
      <c r="G258" s="4" t="inlineStr">
        <is>
          <t>OPERATIVE</t>
        </is>
      </c>
      <c r="H258" s="2" t="inlineStr">
        <is>
          <t>$50B HLS lifetime.</t>
        </is>
      </c>
      <c r="J258" s="2" t="n"/>
    </row>
    <row r="259">
      <c r="A259" t="inlineStr">
        <is>
          <t>R357</t>
        </is>
      </c>
      <c r="B259" t="inlineStr">
        <is>
          <t>VALUATION</t>
        </is>
      </c>
      <c r="C259" t="inlineStr">
        <is>
          <t>SoTP multiples</t>
        </is>
      </c>
      <c r="D259" s="2" t="inlineStr">
        <is>
          <t>Multiple — Launch (EV/Rev at 2050)</t>
        </is>
      </c>
      <c r="E259" t="inlineStr">
        <is>
          <t>5</t>
        </is>
      </c>
      <c r="F259" t="inlineStr"/>
      <c r="G259" s="4" t="inlineStr">
        <is>
          <t>OPERATIVE</t>
        </is>
      </c>
      <c r="H259" s="2" t="inlineStr">
        <is>
          <t>Rocket Lab proxy.</t>
        </is>
      </c>
      <c r="J259" s="2" t="n"/>
    </row>
    <row r="260">
      <c r="A260" t="inlineStr">
        <is>
          <t>R358</t>
        </is>
      </c>
      <c r="B260" t="inlineStr">
        <is>
          <t>VALUATION</t>
        </is>
      </c>
      <c r="C260" t="inlineStr">
        <is>
          <t>SoTP multiples</t>
        </is>
      </c>
      <c r="D260" s="2" t="inlineStr">
        <is>
          <t>Multiple — Starlink (EV/Rev at 2050)</t>
        </is>
      </c>
      <c r="E260" t="inlineStr">
        <is>
          <t>10</t>
        </is>
      </c>
      <c r="F260" t="inlineStr"/>
      <c r="G260" s="4" t="inlineStr">
        <is>
          <t>OPERATIVE</t>
        </is>
      </c>
      <c r="H260" s="2" t="inlineStr">
        <is>
          <t>Mature satcom.</t>
        </is>
      </c>
      <c r="J260" s="2" t="n"/>
    </row>
    <row r="261">
      <c r="A261" t="inlineStr">
        <is>
          <t>R359</t>
        </is>
      </c>
      <c r="B261" t="inlineStr">
        <is>
          <t>VALUATION</t>
        </is>
      </c>
      <c r="C261" t="inlineStr">
        <is>
          <t>SoTP multiples</t>
        </is>
      </c>
      <c r="D261" s="2" t="inlineStr">
        <is>
          <t>Multiple — ODC (EV/Rev at 2050)</t>
        </is>
      </c>
      <c r="E261" t="inlineStr">
        <is>
          <t>6</t>
        </is>
      </c>
      <c r="F261" t="inlineStr"/>
      <c r="G261" s="4" t="inlineStr">
        <is>
          <t>OPERATIVE</t>
        </is>
      </c>
      <c r="H261" s="2" t="inlineStr">
        <is>
          <t>CoreWeave proxy.</t>
        </is>
      </c>
      <c r="J261" s="2" t="n"/>
    </row>
    <row r="262">
      <c r="A262" t="inlineStr">
        <is>
          <t>R361</t>
        </is>
      </c>
      <c r="B262" t="inlineStr">
        <is>
          <t>VALUATION</t>
        </is>
      </c>
      <c r="C262" t="inlineStr">
        <is>
          <t>SoTP multiples</t>
        </is>
      </c>
      <c r="D262" s="2" t="inlineStr">
        <is>
          <t>Multiple — Lunar / Mars (anchor stub, $B)</t>
        </is>
      </c>
      <c r="E262" t="inlineStr">
        <is>
          <t>50</t>
        </is>
      </c>
      <c r="F262" t="inlineStr"/>
      <c r="G262" s="4" t="inlineStr">
        <is>
          <t>OPERATIVE</t>
        </is>
      </c>
      <c r="H262" s="2" t="inlineStr">
        <is>
          <t>BV-based, not revenue.</t>
        </is>
      </c>
      <c r="J262" s="2" t="n"/>
    </row>
    <row r="263">
      <c r="A263" t="inlineStr">
        <is>
          <t>R7-R22</t>
        </is>
      </c>
      <c r="B263" t="inlineStr">
        <is>
          <t>STALE</t>
        </is>
      </c>
      <c r="C263" t="inlineStr">
        <is>
          <t>Legacy Allocator IN block</t>
        </is>
      </c>
      <c r="D263" s="2" t="inlineStr">
        <is>
          <t>Allocator IN block (R10-R21 + R7/R8)</t>
        </is>
      </c>
      <c r="E263" t="inlineStr">
        <is>
          <t>stale</t>
        </is>
      </c>
      <c r="F263" t="inlineStr"/>
      <c r="G263" s="3" t="inlineStr">
        <is>
          <t>STALE</t>
        </is>
      </c>
      <c r="H263" s="2" t="inlineStr">
        <is>
          <t>Spec 06+07 Patch J kills this block. Drop in rebuild.</t>
        </is>
      </c>
      <c r="J263" s="2" t="n"/>
    </row>
    <row r="264">
      <c r="A264" t="inlineStr">
        <is>
          <t>R8</t>
        </is>
      </c>
      <c r="B264" t="inlineStr">
        <is>
          <t>STALE</t>
        </is>
      </c>
      <c r="C264" t="inlineStr">
        <is>
          <t>Hardcoded pool</t>
        </is>
      </c>
      <c r="D264" s="2" t="inlineStr">
        <is>
          <t>Total Starlink Allocation ($mm)</t>
        </is>
      </c>
      <c r="E264" t="inlineStr">
        <is>
          <t>10360 → 105K stub</t>
        </is>
      </c>
      <c r="F264" t="inlineStr"/>
      <c r="G264" s="3" t="inlineStr">
        <is>
          <t>STALE</t>
        </is>
      </c>
      <c r="H264" s="2" t="inlineStr">
        <is>
          <t>Hardcoded ramp. Superseded by Spec 06+07 cash pool tracker.</t>
        </is>
      </c>
      <c r="J264" s="2" t="n"/>
    </row>
    <row r="265">
      <c r="A265" t="inlineStr">
        <is>
          <t>R129</t>
        </is>
      </c>
      <c r="B265" t="inlineStr">
        <is>
          <t>STALE</t>
        </is>
      </c>
      <c r="C265" t="inlineStr">
        <is>
          <t>Sprint 5 sigmoid</t>
        </is>
      </c>
      <c r="D265" s="2" t="inlineStr">
        <is>
          <t>Floor unit ($mm per priority-weight point)</t>
        </is>
      </c>
      <c r="E265" t="inlineStr">
        <is>
          <t>2000</t>
        </is>
      </c>
      <c r="F265" t="inlineStr"/>
      <c r="G265" s="3" t="inlineStr">
        <is>
          <t>STALE</t>
        </is>
      </c>
      <c r="H265" s="2" t="inlineStr">
        <is>
          <t>Sprint 5 floor mechanic. Killed by Spec 06+07. Drop.</t>
        </is>
      </c>
      <c r="J265" s="2" t="n"/>
    </row>
    <row r="266">
      <c r="A266" t="inlineStr">
        <is>
          <t>R130</t>
        </is>
      </c>
      <c r="B266" t="inlineStr">
        <is>
          <t>STALE</t>
        </is>
      </c>
      <c r="C266" t="inlineStr">
        <is>
          <t>Sprint 5 sigmoid</t>
        </is>
      </c>
      <c r="D266" s="2" t="inlineStr">
        <is>
          <t>IRR sigmoid exponent k (Sprint 5)</t>
        </is>
      </c>
      <c r="E266" t="inlineStr">
        <is>
          <t>3</t>
        </is>
      </c>
      <c r="F266" t="inlineStr"/>
      <c r="G266" s="3" t="inlineStr">
        <is>
          <t>STALE</t>
        </is>
      </c>
      <c r="H266" s="2" t="inlineStr">
        <is>
          <t>Duplicates B498 = 2 (Spec 09). Drop R130.</t>
        </is>
      </c>
      <c r="J266" s="2" t="n"/>
    </row>
    <row r="267">
      <c r="A267" t="inlineStr">
        <is>
          <t>R131</t>
        </is>
      </c>
      <c r="B267" t="inlineStr">
        <is>
          <t>STALE</t>
        </is>
      </c>
      <c r="C267" t="inlineStr">
        <is>
          <t>AI Stack switch</t>
        </is>
      </c>
      <c r="D267" s="2" t="inlineStr">
        <is>
          <t>AI Stack — active in allocator (0/1)</t>
        </is>
      </c>
      <c r="E267" t="inlineStr">
        <is>
          <t>0</t>
        </is>
      </c>
      <c r="F267" t="inlineStr"/>
      <c r="G267" s="3" t="inlineStr">
        <is>
          <t>STALE</t>
        </is>
      </c>
      <c r="H267" s="2" t="inlineStr">
        <is>
          <t>Sprint 5 dormancy switch. AI Stack drops out entirely per Spec 06+07. Drop.</t>
        </is>
      </c>
      <c r="J267" s="2" t="n"/>
    </row>
    <row r="268">
      <c r="A268" t="inlineStr">
        <is>
          <t>R132-R135</t>
        </is>
      </c>
      <c r="B268" t="inlineStr">
        <is>
          <t>STALE</t>
        </is>
      </c>
      <c r="C268" t="inlineStr">
        <is>
          <t>Initial IRR seeds</t>
        </is>
      </c>
      <c r="D268" s="2" t="inlineStr">
        <is>
          <t>Layer 1 initial-year IRR seeds (Starlink/ODC/Launch/AI Stack)</t>
        </is>
      </c>
      <c r="E268" t="inlineStr">
        <is>
          <t>0.25, 0.18, 0.15, 0</t>
        </is>
      </c>
      <c r="F268" t="inlineStr"/>
      <c r="G268" s="3" t="inlineStr">
        <is>
          <t>STALE</t>
        </is>
      </c>
      <c r="H268" s="2" t="inlineStr">
        <is>
          <t>Per-sat IRR refactor kills seeding (feedback_per_sat_irr_no_seed). Drop.</t>
        </is>
      </c>
      <c r="J268" s="2" t="n"/>
    </row>
    <row r="269">
      <c r="A269" t="inlineStr">
        <is>
          <t>R136-R137</t>
        </is>
      </c>
      <c r="B269" t="inlineStr">
        <is>
          <t>STALE</t>
        </is>
      </c>
      <c r="C269" t="inlineStr">
        <is>
          <t>Hardcoded pool</t>
        </is>
      </c>
      <c r="D269" s="2" t="inlineStr">
        <is>
          <t>Total capital pool — 2025 base + growth rate</t>
        </is>
      </c>
      <c r="E269" t="inlineStr">
        <is>
          <t>$15B, 20%/yr</t>
        </is>
      </c>
      <c r="F269" t="inlineStr"/>
      <c r="G269" s="3" t="inlineStr">
        <is>
          <t>STALE</t>
        </is>
      </c>
      <c r="H269" s="2" t="inlineStr">
        <is>
          <t>Superseded by Spec 06+07 cash pool tracker. Drop.</t>
        </is>
      </c>
      <c r="J269" s="2" t="n"/>
    </row>
    <row r="270">
      <c r="A270" t="inlineStr">
        <is>
          <t>R139-R142</t>
        </is>
      </c>
      <c r="B270" t="inlineStr">
        <is>
          <t>STALE</t>
        </is>
      </c>
      <c r="C270" t="inlineStr">
        <is>
          <t>Strategic Priority</t>
        </is>
      </c>
      <c r="D270" s="2" t="inlineStr">
        <is>
          <t>Strategic priority weight — modules</t>
        </is>
      </c>
      <c r="E270" t="inlineStr">
        <is>
          <t>5/4/3/2</t>
        </is>
      </c>
      <c r="F270" t="inlineStr"/>
      <c r="G270" s="3" t="inlineStr">
        <is>
          <t>STALE</t>
        </is>
      </c>
      <c r="H270" s="2" t="inlineStr">
        <is>
          <t>Decorative post-Spec 06+07 (no longer consumed by either queue). Drop or keep as decorative.</t>
        </is>
      </c>
      <c r="J270" s="2" t="n"/>
    </row>
    <row r="271">
      <c r="A271" t="inlineStr">
        <is>
          <t>R146-R147</t>
        </is>
      </c>
      <c r="B271" t="inlineStr">
        <is>
          <t>STALE</t>
        </is>
      </c>
      <c r="C271" t="inlineStr">
        <is>
          <t>Sprint 6 toggles</t>
        </is>
      </c>
      <c r="D271" s="2" t="inlineStr">
        <is>
          <t>Layer 2 toggles (Compute tier split / idle capital recycle)</t>
        </is>
      </c>
      <c r="E271" t="inlineStr">
        <is>
          <t>0 / 0</t>
        </is>
      </c>
      <c r="F271" t="inlineStr"/>
      <c r="G271" s="3" t="inlineStr">
        <is>
          <t>STALE</t>
        </is>
      </c>
      <c r="H271" s="2" t="inlineStr">
        <is>
          <t>Layer 2 strict-priority queue killed by Spec 09. Drop.</t>
        </is>
      </c>
      <c r="J271" s="2" t="n"/>
    </row>
    <row r="272">
      <c r="A272" t="inlineStr">
        <is>
          <t>R165-R167</t>
        </is>
      </c>
      <c r="B272" t="inlineStr">
        <is>
          <t>STALE</t>
        </is>
      </c>
      <c r="C272" t="inlineStr">
        <is>
          <t>Sprint 7 Layer 3</t>
        </is>
      </c>
      <c r="D272" s="2" t="inlineStr">
        <is>
          <t>Layer 3 inputs (maintenance threshold + split methods)</t>
        </is>
      </c>
      <c r="E272" t="inlineStr">
        <is>
          <t>0.10 / 0 / 0</t>
        </is>
      </c>
      <c r="F272" t="inlineStr"/>
      <c r="G272" s="3" t="inlineStr">
        <is>
          <t>STALE</t>
        </is>
      </c>
      <c r="H272" s="2" t="inlineStr">
        <is>
          <t>Layer 3 cash sweep killed by Spec 06+07. Drop.</t>
        </is>
      </c>
      <c r="J272" s="2" t="n"/>
    </row>
    <row r="273">
      <c r="A273" t="inlineStr">
        <is>
          <t>R310</t>
        </is>
      </c>
      <c r="B273" t="inlineStr">
        <is>
          <t>STALE</t>
        </is>
      </c>
      <c r="C273" t="inlineStr">
        <is>
          <t>Corp overhead (Sprint 5.5)</t>
        </is>
      </c>
      <c r="D273" s="2" t="inlineStr">
        <is>
          <t>Corporate overhead — group rate</t>
        </is>
      </c>
      <c r="E273" t="inlineStr">
        <is>
          <t>0.08</t>
        </is>
      </c>
      <c r="F273" t="inlineStr"/>
      <c r="G273" s="3" t="inlineStr">
        <is>
          <t>STALE</t>
        </is>
      </c>
      <c r="H273" s="2" t="inlineStr">
        <is>
          <t>Sprint 5.5 corp overhead killed by Spec 01 vending-machine. Replaced by R384 Corp SG&amp;A. Drop.</t>
        </is>
      </c>
      <c r="J273" s="2" t="n"/>
    </row>
    <row r="274">
      <c r="A274" t="inlineStr">
        <is>
          <t>R311-R315</t>
        </is>
      </c>
      <c r="B274" t="inlineStr">
        <is>
          <t>STALE</t>
        </is>
      </c>
      <c r="C274" t="inlineStr">
        <is>
          <t>Corp overhead (Sprint 5.5)</t>
        </is>
      </c>
      <c r="D274" s="2" t="inlineStr">
        <is>
          <t>Module overhead multipliers (Launch/Starlink/ODC/AI Stack/Lunar Mars)</t>
        </is>
      </c>
      <c r="E274" t="inlineStr">
        <is>
          <t>all = 1</t>
        </is>
      </c>
      <c r="F274" t="inlineStr"/>
      <c r="G274" s="3" t="inlineStr">
        <is>
          <t>STALE</t>
        </is>
      </c>
      <c r="H274" s="2" t="inlineStr">
        <is>
          <t>Same — killed. Drop.</t>
        </is>
      </c>
      <c r="J274" s="2" t="n"/>
    </row>
    <row r="275">
      <c r="A275" t="inlineStr">
        <is>
          <t>R316-R320</t>
        </is>
      </c>
      <c r="B275" t="inlineStr">
        <is>
          <t>STALE</t>
        </is>
      </c>
      <c r="C275" t="inlineStr">
        <is>
          <t>Historical capital bases</t>
        </is>
      </c>
      <c r="D275" s="2" t="inlineStr">
        <is>
          <t>Historical capital base 2025 — per module</t>
        </is>
      </c>
      <c r="E275" t="inlineStr">
        <is>
          <t>$30B / $15B / 0 / 0 / 0</t>
        </is>
      </c>
      <c r="F275" t="inlineStr"/>
      <c r="G275" s="3" t="inlineStr">
        <is>
          <t>STALE</t>
        </is>
      </c>
      <c r="H275" s="2" t="inlineStr">
        <is>
          <t>Per-sat IRR doesn't need seeding (feedback_per_sat_irr_no_seed). Drop.</t>
        </is>
      </c>
      <c r="J275" s="2" t="n"/>
    </row>
    <row r="276">
      <c r="A276" t="inlineStr">
        <is>
          <t>R323</t>
        </is>
      </c>
      <c r="B276" t="inlineStr">
        <is>
          <t>STALE</t>
        </is>
      </c>
      <c r="C276" t="inlineStr">
        <is>
          <t>Sprint 7.5 mode</t>
        </is>
      </c>
      <c r="D276" s="2" t="inlineStr">
        <is>
          <t>Fleet build mode (0 = manual, 1 = allocator-driven)</t>
        </is>
      </c>
      <c r="E276" t="inlineStr">
        <is>
          <t>1</t>
        </is>
      </c>
      <c r="F276" t="inlineStr"/>
      <c r="G276" s="5" t="inlineStr">
        <is>
          <t>DECORATIVE</t>
        </is>
      </c>
      <c r="H276" s="2" t="inlineStr">
        <is>
          <t>Spec 09 supersedes with forward-demand-sized claim toggle B497. Either keep as backup mode or drop.</t>
        </is>
      </c>
      <c r="J276" s="2" t="n"/>
    </row>
    <row r="277">
      <c r="A277" t="inlineStr">
        <is>
          <t>R324-R325</t>
        </is>
      </c>
      <c r="B277" t="inlineStr">
        <is>
          <t>STALE</t>
        </is>
      </c>
      <c r="C277" t="inlineStr">
        <is>
          <t>Sprint 7.5 build fraction</t>
        </is>
      </c>
      <c r="D277" s="2" t="inlineStr">
        <is>
          <t>Launch capital — vehicle build fraction + SH share</t>
        </is>
      </c>
      <c r="E277" t="inlineStr">
        <is>
          <t>0.5, 0.4</t>
        </is>
      </c>
      <c r="F277" t="inlineStr"/>
      <c r="G277" s="5" t="inlineStr">
        <is>
          <t>DECORATIVE</t>
        </is>
      </c>
      <c r="H277" s="2" t="inlineStr">
        <is>
          <t>Vlad: 'B324 becomes vestigial post-Spec 09; not cleared, defer.' Drop in rebuild.</t>
        </is>
      </c>
      <c r="J277" s="2" t="n"/>
    </row>
    <row r="278">
      <c r="A278" t="inlineStr">
        <is>
          <t>R367</t>
        </is>
      </c>
      <c r="B278" t="inlineStr">
        <is>
          <t>STALE</t>
        </is>
      </c>
      <c r="C278" t="inlineStr">
        <is>
          <t>Refine Spec 02</t>
        </is>
      </c>
      <c r="D278" s="2" t="inlineStr">
        <is>
          <t>Ground ops % of revenue (Spec 02)</t>
        </is>
      </c>
      <c r="E278" t="inlineStr">
        <is>
          <t>0.02</t>
        </is>
      </c>
      <c r="F278" t="inlineStr"/>
      <c r="G278" s="3" t="inlineStr">
        <is>
          <t>STALE</t>
        </is>
      </c>
      <c r="H278" s="2" t="inlineStr">
        <is>
          <t>Duplicates R234. Drop.</t>
        </is>
      </c>
      <c r="J278" s="2" t="n"/>
    </row>
    <row r="279">
      <c r="A279" t="inlineStr">
        <is>
          <t>R368-R372</t>
        </is>
      </c>
      <c r="B279" t="inlineStr">
        <is>
          <t>STALE</t>
        </is>
      </c>
      <c r="C279" t="inlineStr">
        <is>
          <t>Refine Spec 02 vending stubs</t>
        </is>
      </c>
      <c r="D279" s="2" t="inlineStr">
        <is>
          <t>Spectrum / CAC / Insurance / Other COGS stubs (Spec 02)</t>
        </is>
      </c>
      <c r="E279" t="inlineStr">
        <is>
          <t>various</t>
        </is>
      </c>
      <c r="F279" t="inlineStr"/>
      <c r="G279" s="5" t="inlineStr">
        <is>
          <t>DECORATIVE</t>
        </is>
      </c>
      <c r="H279" s="2" t="inlineStr">
        <is>
          <t>R368 spectrum base = 0 (placeholder). R370 CAC retired by Spec 03 (Terminal COGS). R371-R372 duplicate later Spec 03 inputs.</t>
        </is>
      </c>
      <c r="J279" s="2" t="n"/>
    </row>
    <row r="280">
      <c r="A280" t="inlineStr">
        <is>
          <t>R382-R388</t>
        </is>
      </c>
      <c r="B280" t="inlineStr">
        <is>
          <t>STALE</t>
        </is>
      </c>
      <c r="C280" t="inlineStr">
        <is>
          <t>Group corp costs (Spec 02)</t>
        </is>
      </c>
      <c r="D280" s="2" t="inlineStr">
        <is>
          <t>Corporate R&amp;D / SG&amp;A / CS / facilities (Spec 02 stubs)</t>
        </is>
      </c>
      <c r="E280" t="inlineStr">
        <is>
          <t>10%, 8%, 2%, 0, 20, 21%</t>
        </is>
      </c>
      <c r="F280" t="inlineStr"/>
      <c r="G280" s="3" t="inlineStr">
        <is>
          <t>STALE</t>
        </is>
      </c>
      <c r="H280" s="2" t="inlineStr">
        <is>
          <t>Sprint 02 stubs SUPERSEDED by Spec 03 §14 (R411-R438) granular OpEx breakdown. Drop §12 block.</t>
        </is>
      </c>
      <c r="J280" s="2" t="n"/>
    </row>
    <row r="281">
      <c r="A281" t="inlineStr">
        <is>
          <t>R405-R406</t>
        </is>
      </c>
      <c r="B281" t="inlineStr">
        <is>
          <t>STALE</t>
        </is>
      </c>
      <c r="C281" t="inlineStr">
        <is>
          <t>Refine Spec 02</t>
        </is>
      </c>
      <c r="D281" s="2" t="inlineStr">
        <is>
          <t>Other corporate operating % (Spec 02)</t>
        </is>
      </c>
      <c r="E281" t="inlineStr">
        <is>
          <t>0.01</t>
        </is>
      </c>
      <c r="F281" t="inlineStr"/>
      <c r="G281" s="3" t="inlineStr">
        <is>
          <t>STALE</t>
        </is>
      </c>
      <c r="H281" s="2" t="inlineStr">
        <is>
          <t>Duplicates Spec 03 R406. Drop.</t>
        </is>
      </c>
      <c r="J281" s="2" t="n"/>
    </row>
  </sheetData>
  <autoFilter ref="A1:J2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2026-05-19T17:17:30Z</dcterms:created>
  <dcterms:modified xmlns:dcterms="http://purl.org/dc/terms/" xmlns:xsi="http://www.w3.org/2001/XMLSchema-instance" xsi:type="dcterms:W3CDTF">2026-05-19T17:17:30Z</dcterms:modified>
</cp:coreProperties>
</file>