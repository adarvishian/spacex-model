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venue" sheetId="2" state="visible" r:id="rId4"/>
    <sheet name="Op Metrics" sheetId="3" state="visible" r:id="rId5"/>
    <sheet name="Margins &amp; EBITDA" sheetId="4" state="visible" r:id="rId6"/>
    <sheet name="CapEx &amp; Cash" sheetId="5" state="visible" r:id="rId7"/>
    <sheet name="Forward Signals" sheetId="6" state="visible" r:id="rId8"/>
    <sheet name="S-1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<sst xmlns="http://schemas.openxmlformats.org/spreadsheetml/2006/main" count="493" uniqueCount="377">
  <si>
    <t xml:space="preserve">SpaceX S-1 vs Mach33 Model — Variance Analysis</t>
  </si>
  <si>
    <t xml:space="preserve">S-1 filed 20 May 2026 (SEC EDGAR Registration 333-) — variance run 21 May 2026</t>
  </si>
  <si>
    <t xml:space="preserve">Headline takeaways</t>
  </si>
  <si>
    <t xml:space="preserve">Item</t>
  </si>
  <si>
    <t xml:space="preserve">Finding</t>
  </si>
  <si>
    <t xml:space="preserve">Status</t>
  </si>
  <si>
    <t xml:space="preserve">1. Total revenue:</t>
  </si>
  <si>
    <t xml:space="preserve">Mach33 modelled $14,650M for SpaceX standalone (excl. xAI/X). S-1 Space+Connectivity = $15,473M. Off by –5.3%.</t>
  </si>
  <si>
    <t xml:space="preserve">Match</t>
  </si>
  <si>
    <t xml:space="preserve">2. Customer launch revenue:</t>
  </si>
  <si>
    <t xml:space="preserve">Mach33 $4,290M vs S-1 Space $4,086M. Off by +5.0%. Within tolerance.</t>
  </si>
  <si>
    <t xml:space="preserve">3. Falcon launch cadence:</t>
  </si>
  <si>
    <t xml:space="preserve">Mach33 171 (132 internal + 39 customer) vs S-1 165 (122 internal + 43 customer). Off by +6 launches (+3.6%).</t>
  </si>
  <si>
    <t xml:space="preserve">4. Starlink consumer revenue:</t>
  </si>
  <si>
    <t xml:space="preserve">Mach33 Starlink+DTC = $7,852M vs S-1 Consumer = $7,208M. Off by +8.9%. (Mach33's bucket includes DTC, S-1's Consumer excludes Mobile.)</t>
  </si>
  <si>
    <t xml:space="preserve">Watch</t>
  </si>
  <si>
    <t xml:space="preserve">5. ARPU — the biggest miss:</t>
  </si>
  <si>
    <t xml:space="preserve">Mach33 implied ~$100/mo vs S-1 FY25 = $81/mo. Off by +23%. Q1'26 already at $66 and SpaceX guides further decline. Material thesis input.</t>
  </si>
  <si>
    <t xml:space="preserve">Material miss</t>
  </si>
  <si>
    <t xml:space="preserve">6. Subscribers — offsetting miss:</t>
  </si>
  <si>
    <t xml:space="preserve">Mach33 BB subs 6.41M end-25 vs S-1 Starlink Subscribers 8.9M. Off by –28%. Lower ARPU × more subs → revenue lines up.</t>
  </si>
  <si>
    <t xml:space="preserve">7. Group EBITDA:</t>
  </si>
  <si>
    <t xml:space="preserve">Mach33 $8,690M (59.3% margin) vs S-1 Space+Connectivity Adj EBITDA $7,821M (50.5% margin). Off by +11% / +8.8pp.</t>
  </si>
  <si>
    <t xml:space="preserve">8. Starshield revenue:</t>
  </si>
  <si>
    <t xml:space="preserve">Mach33 $2,520M vs S-1 Enterprise &amp; Government (incl Mobile) bucket = $4,179M. Not directly comparable but Mach33 likely overshot Starshield-only by ~$500-1,000M.</t>
  </si>
  <si>
    <t xml:space="preserve">9. Total CapEx (ex-AI):</t>
  </si>
  <si>
    <t xml:space="preserve">S-1 Space+Connectivity CapEx 2025 = $8,010M vs Mach33 no single explicit anchor. AI segment CapEx $12,727M is incremental scope outside the model.</t>
  </si>
  <si>
    <t xml:space="preserve">10. Constellation D&amp;A:</t>
  </si>
  <si>
    <t xml:space="preserve">Mach33 Sprint 4 outturn $437M vs Sprint 4 calibration target $707M. S-1 doesn't disclose constellation-only D&amp;A; total 2025 dep $5,915M. Sprint 4.5 retune still warranted.</t>
  </si>
  <si>
    <t xml:space="preserve">11. Active satellites:</t>
  </si>
  <si>
    <t xml:space="preserve">Mach33 ~9,800 end-25 vs S-1 ~9,600 as of 31-Mar-26. Off by ~+2%. Effectively a match.</t>
  </si>
  <si>
    <t xml:space="preserve">12. Starship launches in 2025:</t>
  </si>
  <si>
    <t xml:space="preserve">Mach33 anchored 0 vs S-1 — Starship 2025 flights all classified as internal R&amp;D; first payload delivery expected 2H 2026. Off by 0. Match.</t>
  </si>
  <si>
    <t xml:space="preserve">13. V3 timing:</t>
  </si>
  <si>
    <t xml:space="preserve">Mach33 V3 BB starts 2026 vs S-1 — V3 deployment begins 2H 2026 on Starship. Match.</t>
  </si>
  <si>
    <t xml:space="preserve">14. Cash position EoY 2024:</t>
  </si>
  <si>
    <t xml:space="preserve">Mach33 anchor $5,000M vs S-1 Dec 31 2024 cash = $11,385M. Off by –56%. Likely definitional (Mach33 'available cash' vs S-1 cash &amp; equivalents). Flag for cleanup.</t>
  </si>
  <si>
    <t xml:space="preserve">15. ODC / Orbital AI compute:</t>
  </si>
  <si>
    <t xml:space="preserve">Mach33 deployment timing uncertain. S-1 explicit: 'deploying as early as 2028.' Spec for ODC module sprint should anchor to 2028.</t>
  </si>
  <si>
    <t xml:space="preserve">16. xAI / X consolidation:</t>
  </si>
  <si>
    <t xml:space="preserve">S-1 consolidates xAI from Feb 2, 2026 (X Holdings from Mar 28, 2025) under common-control accounting, retroactive to all periods. AI segment 2025 rev $3,201M is NEW scope vs Mach33's SpaceX-only frame.</t>
  </si>
  <si>
    <t xml:space="preserve">17. EchoStar spectrum deal:</t>
  </si>
  <si>
    <t xml:space="preserve">S-1 discloses $19.6B spectrum acquisition (65 MHz US + global MSS), closes Nov 2027. Mach33 model does not yet incorporate this Mobile expansion catalyst.</t>
  </si>
  <si>
    <t xml:space="preserve">Tabs in this workbook</t>
  </si>
  <si>
    <t xml:space="preserve">Revenue</t>
  </si>
  <si>
    <t xml:space="preserve">Revenue line-by-line — Space, Connectivity, AI, consolidated. Includes 2023/24/25 history.</t>
  </si>
  <si>
    <t xml:space="preserve">Op Metrics</t>
  </si>
  <si>
    <t xml:space="preserve">Subscribers, ARPU, launches, mass to orbit, satellite count, mobile devices.</t>
  </si>
  <si>
    <t xml:space="preserve">Margins &amp; EBITDA</t>
  </si>
  <si>
    <t xml:space="preserve">Segment income from operations, Adjusted EBITDA, margin profile by segment.</t>
  </si>
  <si>
    <t xml:space="preserve">CapEx &amp; Cash</t>
  </si>
  <si>
    <t xml:space="preserve">Segment CapEx, operating cash flow, balance sheet positions.</t>
  </si>
  <si>
    <t xml:space="preserve">Forward Signals</t>
  </si>
  <si>
    <t xml:space="preserve">V3 timing, Starship payload first delivery, ODC deployment, EchoStar deal, Customer A concentration.</t>
  </si>
  <si>
    <t xml:space="preserve">S-1 Sources</t>
  </si>
  <si>
    <t xml:space="preserve">Page-referenced citations for every S-1 figure used.</t>
  </si>
  <si>
    <t xml:space="preserve">Revenue Line-by-Line — SpaceX S-1 vs Mach33 Model</t>
  </si>
  <si>
    <t xml:space="preserve">All $ in $M unless noted. Variance = Mach33 − S-1. % = Variance / S-1.</t>
  </si>
  <si>
    <t xml:space="preserve">Line item</t>
  </si>
  <si>
    <t xml:space="preserve">Mach33 2025</t>
  </si>
  <si>
    <t xml:space="preserve">S-1 2025</t>
  </si>
  <si>
    <t xml:space="preserve">Variance ($M)</t>
  </si>
  <si>
    <t xml:space="preserve">% off</t>
  </si>
  <si>
    <t xml:space="preserve">S-1 2024</t>
  </si>
  <si>
    <t xml:space="preserve">S-1 2023</t>
  </si>
  <si>
    <t xml:space="preserve">Verdict</t>
  </si>
  <si>
    <t xml:space="preserve">S-1 ref</t>
  </si>
  <si>
    <t xml:space="preserve">SPACE SEGMENT</t>
  </si>
  <si>
    <t xml:space="preserve">Total Space revenue</t>
  </si>
  <si>
    <t xml:space="preserve">p.21, p.247 (Note 3)</t>
  </si>
  <si>
    <t xml:space="preserve">  Launch Services revenue</t>
  </si>
  <si>
    <t xml:space="preserve">S-1 only</t>
  </si>
  <si>
    <t xml:space="preserve">p.247 (Note 3)</t>
  </si>
  <si>
    <t xml:space="preserve">  Launch &amp; Development revenue</t>
  </si>
  <si>
    <t xml:space="preserve">CONNECTIVITY SEGMENT</t>
  </si>
  <si>
    <t xml:space="preserve">Starlink + DTC (Mach33) / Consumer (S-1)</t>
  </si>
  <si>
    <t xml:space="preserve">Starshield (Mach33) / Enterprise &amp; Gov incl Mobile (S-1)</t>
  </si>
  <si>
    <t xml:space="preserve">Caveat — see notes</t>
  </si>
  <si>
    <t xml:space="preserve">p.247 (Note 3) — buckets differ</t>
  </si>
  <si>
    <t xml:space="preserve">  Total Connectivity revenue</t>
  </si>
  <si>
    <t xml:space="preserve">p.21, p.247</t>
  </si>
  <si>
    <t xml:space="preserve">  Memo: Consumer subscriber rev growth 2024→2025 ($M)</t>
  </si>
  <si>
    <t xml:space="preserve">p.111 (MD&amp;A)</t>
  </si>
  <si>
    <t xml:space="preserve">  Memo: Enterprise+Gov rev growth 2024→2025 ($M)</t>
  </si>
  <si>
    <t xml:space="preserve">  Memo: Mobile rev growth 2024→2025 ($M)</t>
  </si>
  <si>
    <t xml:space="preserve">AI SEGMENT — out of Mach33 scope</t>
  </si>
  <si>
    <t xml:space="preserve">Total AI revenue</t>
  </si>
  <si>
    <t xml:space="preserve">Out of scope</t>
  </si>
  <si>
    <t xml:space="preserve">  Advertising</t>
  </si>
  <si>
    <t xml:space="preserve">p.247</t>
  </si>
  <si>
    <t xml:space="preserve">  AI Solutions &amp; Infrastructure</t>
  </si>
  <si>
    <t xml:space="preserve">CONSOLIDATED TOTALS</t>
  </si>
  <si>
    <t xml:space="preserve">SpaceX standalone (Space + Connectivity)</t>
  </si>
  <si>
    <t xml:space="preserve">p.21 (computed)</t>
  </si>
  <si>
    <t xml:space="preserve">Consolidated (incl AI/xAI/X)</t>
  </si>
  <si>
    <t xml:space="preserve">p.21</t>
  </si>
  <si>
    <t xml:space="preserve">REVENUE TYPE BREAKDOWN</t>
  </si>
  <si>
    <t xml:space="preserve">  Products revenue (all in Connectivity)</t>
  </si>
  <si>
    <t xml:space="preserve">  Services revenue (all segments)</t>
  </si>
  <si>
    <t xml:space="preserve">CUSTOMER CONCENTRATION</t>
  </si>
  <si>
    <t xml:space="preserve">  Customer A as % of consolidated rev</t>
  </si>
  <si>
    <t xml:space="preserve">20.9%</t>
  </si>
  <si>
    <t xml:space="preserve">24.2%</t>
  </si>
  <si>
    <t xml:space="preserve">25.2%</t>
  </si>
  <si>
    <t xml:space="preserve">  Customer A as $M (implied)</t>
  </si>
  <si>
    <t xml:space="preserve">(20.9% × 18,674M)</t>
  </si>
  <si>
    <t xml:space="preserve">Operating Metrics — SpaceX S-1 vs Mach33 Model</t>
  </si>
  <si>
    <t xml:space="preserve">Variance = Mach33 − S-1. Negative % = Mach33 undershot.</t>
  </si>
  <si>
    <t xml:space="preserve">Metric</t>
  </si>
  <si>
    <t xml:space="preserve">Unit</t>
  </si>
  <si>
    <t xml:space="preserve">Mach33</t>
  </si>
  <si>
    <t xml:space="preserve">Variance</t>
  </si>
  <si>
    <t xml:space="preserve">SUBSCRIBERS &amp; MONETISATION</t>
  </si>
  <si>
    <t xml:space="preserve">Starlink Subscribers end-period (consumer only)</t>
  </si>
  <si>
    <t xml:space="preserve">millions</t>
  </si>
  <si>
    <t xml:space="preserve">p.22, p.87 (Q4'25)</t>
  </si>
  <si>
    <t xml:space="preserve">Starlink Subscribers — YoY growth</t>
  </si>
  <si>
    <t xml:space="preserve">%</t>
  </si>
  <si>
    <t xml:space="preserve">+91%</t>
  </si>
  <si>
    <t xml:space="preserve">+102%</t>
  </si>
  <si>
    <t xml:space="preserve">+91% (24/23)</t>
  </si>
  <si>
    <t xml:space="preserve">p.87</t>
  </si>
  <si>
    <t xml:space="preserve">Starlink ARPU (full year)</t>
  </si>
  <si>
    <t xml:space="preserve">$/month</t>
  </si>
  <si>
    <t xml:space="preserve">p.22, p.87</t>
  </si>
  <si>
    <t xml:space="preserve">Starlink ARPU (Q1)</t>
  </si>
  <si>
    <t xml:space="preserve">p.22 (Q1 2026 vs Q1 2025)</t>
  </si>
  <si>
    <t xml:space="preserve">Starlink Mobile monthly unique devices (3-2026)</t>
  </si>
  <si>
    <t xml:space="preserve">p.81</t>
  </si>
  <si>
    <t xml:space="preserve">CONSTELLATION</t>
  </si>
  <si>
    <t xml:space="preserve">Active Starlink BB + Mobile sats</t>
  </si>
  <si>
    <t xml:space="preserve">count</t>
  </si>
  <si>
    <t xml:space="preserve">p.22 (~9,600 as of 31-3-26)</t>
  </si>
  <si>
    <t xml:space="preserve">V1 Mobile sats in orbit (3-2026)</t>
  </si>
  <si>
    <t xml:space="preserve">p.93 (vs Jan 2025)</t>
  </si>
  <si>
    <t xml:space="preserve">Countries served</t>
  </si>
  <si>
    <t xml:space="preserve">p.4</t>
  </si>
  <si>
    <t xml:space="preserve">V3 BB Gbps per sat (target)</t>
  </si>
  <si>
    <t xml:space="preserve">Tbps</t>
  </si>
  <si>
    <t xml:space="preserve">p.5 (V3 design spec)</t>
  </si>
  <si>
    <t xml:space="preserve">LAUNCH OPERATIONS</t>
  </si>
  <si>
    <t xml:space="preserve">Total Falcon launches</t>
  </si>
  <si>
    <t xml:space="preserve">p.86 (footnote 1)</t>
  </si>
  <si>
    <t xml:space="preserve">  Customer Falcon launches</t>
  </si>
  <si>
    <t xml:space="preserve">  Internal/Starlink Falcon launches</t>
  </si>
  <si>
    <t xml:space="preserve">Total missions across Falcon+Starship</t>
  </si>
  <si>
    <t xml:space="preserve">Falcon Heavy launches cumulative (3-2026)</t>
  </si>
  <si>
    <t xml:space="preserve">p.5</t>
  </si>
  <si>
    <t xml:space="preserve">Starship test flights cumulative (3-2026)</t>
  </si>
  <si>
    <t xml:space="preserve">Starship payload delivery to orbit — first</t>
  </si>
  <si>
    <t xml:space="preserve">year</t>
  </si>
  <si>
    <t xml:space="preserve">Modelled 2026+</t>
  </si>
  <si>
    <t xml:space="preserve">2H 2026</t>
  </si>
  <si>
    <t xml:space="preserve">p.5, p.92</t>
  </si>
  <si>
    <t xml:space="preserve">MASS TO ORBIT</t>
  </si>
  <si>
    <t xml:space="preserve">Total mass to orbit</t>
  </si>
  <si>
    <t xml:space="preserve">metric tons</t>
  </si>
  <si>
    <t xml:space="preserve">p.22, p.85</t>
  </si>
  <si>
    <t xml:space="preserve">  Customer payloads</t>
  </si>
  <si>
    <t xml:space="preserve">p.85 (computed)</t>
  </si>
  <si>
    <t xml:space="preserve">  Internal payloads</t>
  </si>
  <si>
    <t xml:space="preserve">p.85</t>
  </si>
  <si>
    <t xml:space="preserve">Cumulative mass to orbit (3-2026)</t>
  </si>
  <si>
    <t xml:space="preserve">Avg customer mission size since 2023</t>
  </si>
  <si>
    <t xml:space="preserve">Mission success rate Falcon</t>
  </si>
  <si>
    <t xml:space="preserve">&gt;99%</t>
  </si>
  <si>
    <t xml:space="preserve">AI COMPUTE (out of Mach33 SpaceX-only scope)</t>
  </si>
  <si>
    <t xml:space="preserve">Nameplate compute draw</t>
  </si>
  <si>
    <t xml:space="preserve">GW</t>
  </si>
  <si>
    <t xml:space="preserve">p.22 (FY end)</t>
  </si>
  <si>
    <t xml:space="preserve">Nameplate compute draw (3-2026)</t>
  </si>
  <si>
    <t xml:space="preserve">p.22</t>
  </si>
  <si>
    <t xml:space="preserve">Profitability &amp; Margins — SpaceX S-1 vs Mach33 Model</t>
  </si>
  <si>
    <t xml:space="preserve">Adj EBITDA = Segment Adjusted EBITDA (non-GAAP, per S-1).</t>
  </si>
  <si>
    <t xml:space="preserve">SEGMENT INCOME / (LOSS) FROM OPS ($M)</t>
  </si>
  <si>
    <t xml:space="preserve">Space</t>
  </si>
  <si>
    <t xml:space="preserve">Connectivity</t>
  </si>
  <si>
    <t xml:space="preserve">AI (xAI/X)</t>
  </si>
  <si>
    <t xml:space="preserve">Consolidated loss from ops</t>
  </si>
  <si>
    <t xml:space="preserve">SEGMENT ADJUSTED EBITDA ($M)</t>
  </si>
  <si>
    <t xml:space="preserve">Space Adj EBITDA</t>
  </si>
  <si>
    <t xml:space="preserve">Connectivity Adj EBITDA</t>
  </si>
  <si>
    <t xml:space="preserve">AI Adj EBITDA</t>
  </si>
  <si>
    <t xml:space="preserve">Space + Connectivity Adj EBITDA (computed)</t>
  </si>
  <si>
    <t xml:space="preserve">p.22 (sum)</t>
  </si>
  <si>
    <t xml:space="preserve">Consolidated Adj EBITDA</t>
  </si>
  <si>
    <t xml:space="preserve">p.3</t>
  </si>
  <si>
    <t xml:space="preserve">IMPLIED MARGIN PROFILE</t>
  </si>
  <si>
    <t xml:space="preserve">Space + Connectivity Adj EBITDA margin %</t>
  </si>
  <si>
    <t xml:space="preserve">59.3%</t>
  </si>
  <si>
    <t xml:space="preserve">50.5%</t>
  </si>
  <si>
    <t xml:space="preserve">Computed</t>
  </si>
  <si>
    <t xml:space="preserve">Connectivity Adj EBITDA margin %</t>
  </si>
  <si>
    <t xml:space="preserve">62.9%</t>
  </si>
  <si>
    <t xml:space="preserve">50.7%</t>
  </si>
  <si>
    <t xml:space="preserve">41.4%</t>
  </si>
  <si>
    <t xml:space="preserve">Space Adj EBITDA margin %</t>
  </si>
  <si>
    <t xml:space="preserve">16.0%</t>
  </si>
  <si>
    <t xml:space="preserve">30.4%</t>
  </si>
  <si>
    <t xml:space="preserve">28.0%</t>
  </si>
  <si>
    <t xml:space="preserve">KEY DRIVERS</t>
  </si>
  <si>
    <t xml:space="preserve">Space R&amp;D (Starship)</t>
  </si>
  <si>
    <t xml:space="preserve">p.103, p.109</t>
  </si>
  <si>
    <t xml:space="preserve">Connectivity R&amp;D</t>
  </si>
  <si>
    <t xml:space="preserve">p.111</t>
  </si>
  <si>
    <t xml:space="preserve">AI R&amp;D</t>
  </si>
  <si>
    <t xml:space="preserve">Total depreciation expense</t>
  </si>
  <si>
    <t xml:space="preserve">p.245 (Note 5)</t>
  </si>
  <si>
    <t xml:space="preserve">Connectivity cost of revenue</t>
  </si>
  <si>
    <t xml:space="preserve">Connectivity SG&amp;A</t>
  </si>
  <si>
    <t xml:space="preserve">CapEx &amp; Cash Position — SpaceX S-1 vs Mach33 Model</t>
  </si>
  <si>
    <t xml:space="preserve">Mach33 model frames CapEx at module level (vending-machine); S-1 reports segment-level CapEx.</t>
  </si>
  <si>
    <t xml:space="preserve">Metric ($M)</t>
  </si>
  <si>
    <t xml:space="preserve">SEGMENT CAPEX</t>
  </si>
  <si>
    <t xml:space="preserve">Space CapEx</t>
  </si>
  <si>
    <t xml:space="preserve">Connectivity CapEx</t>
  </si>
  <si>
    <t xml:space="preserve">AI CapEx (out of Mach33 scope)</t>
  </si>
  <si>
    <t xml:space="preserve">Space + Connectivity CapEx (Mach33-comparable)</t>
  </si>
  <si>
    <t xml:space="preserve">Total CapEx (incl AI)</t>
  </si>
  <si>
    <t xml:space="preserve">CASH FLOW STATEMENT ($M)</t>
  </si>
  <si>
    <t xml:space="preserve">Operating cash flow</t>
  </si>
  <si>
    <t xml:space="preserve">Investing cash flow</t>
  </si>
  <si>
    <t xml:space="preserve">Financing cash flow</t>
  </si>
  <si>
    <t xml:space="preserve">BALANCE SHEET ($M)</t>
  </si>
  <si>
    <t xml:space="preserve">Cash &amp; equivalents end of period</t>
  </si>
  <si>
    <t xml:space="preserve">p.21 (Dec 31 2024)</t>
  </si>
  <si>
    <t xml:space="preserve">Cash &amp; equivalents — Mar 31 2026</t>
  </si>
  <si>
    <t xml:space="preserve">Cash &amp; equivalents — Dec 31 2025</t>
  </si>
  <si>
    <t xml:space="preserve">Total assets — Mar 31 2026</t>
  </si>
  <si>
    <t xml:space="preserve">Total assets — Dec 31 2025</t>
  </si>
  <si>
    <t xml:space="preserve">Property, plant &amp; equipment net — Dec 31 2025</t>
  </si>
  <si>
    <t xml:space="preserve">p.21, p.248</t>
  </si>
  <si>
    <t xml:space="preserve">  Servers and networking equip (gross)</t>
  </si>
  <si>
    <t xml:space="preserve">p.248 (Note 5)</t>
  </si>
  <si>
    <t xml:space="preserve">  Satellites (gross)</t>
  </si>
  <si>
    <t xml:space="preserve">p.248</t>
  </si>
  <si>
    <t xml:space="preserve">  Data center infrastructure (gross)</t>
  </si>
  <si>
    <t xml:space="preserve">  Launch sites (gross)</t>
  </si>
  <si>
    <t xml:space="preserve">  Accumulated depreciation</t>
  </si>
  <si>
    <t xml:space="preserve">BACKLOG &amp; DEFERRED REVENUE</t>
  </si>
  <si>
    <t xml:space="preserve">Total backlog (Dec 31 2025)</t>
  </si>
  <si>
    <t xml:space="preserve">  Backlog expected within 1 year</t>
  </si>
  <si>
    <t xml:space="preserve">32%</t>
  </si>
  <si>
    <t xml:space="preserve">  Backlog expected 2027-2028</t>
  </si>
  <si>
    <t xml:space="preserve">53%</t>
  </si>
  <si>
    <t xml:space="preserve">Deferred revenue (Dec 31 2025)</t>
  </si>
  <si>
    <t xml:space="preserve">Forward Signals — what the S-1 tells us about model out-years</t>
  </si>
  <si>
    <t xml:space="preserve">These items aren't 2025 anchors — they're forward catalysts the model needs to ingest.</t>
  </si>
  <si>
    <t xml:space="preserve">Signal</t>
  </si>
  <si>
    <t xml:space="preserve">S-1 disclosure</t>
  </si>
  <si>
    <t xml:space="preserve">Mach33 model treatment</t>
  </si>
  <si>
    <t xml:space="preserve">Action for rebuild</t>
  </si>
  <si>
    <t xml:space="preserve">V3 satellite deployment timing</t>
  </si>
  <si>
    <t xml:space="preserve">Begin 2H 2026 on Starship; 60 V3 sats per Starship launch; 1 Tbps per V3</t>
  </si>
  <si>
    <t xml:space="preserve">V3 BB ratchet starts 2026 (Sprint 4 confirmed)</t>
  </si>
  <si>
    <t xml:space="preserve">Match — keep V3 BB start year as 2026; 60-sat per launch is a useful payload-per-launch anchor for Sprint 2/3</t>
  </si>
  <si>
    <t xml:space="preserve">p.5, p.93</t>
  </si>
  <si>
    <t xml:space="preserve">Starship payload delivery — first commercial</t>
  </si>
  <si>
    <t xml:space="preserve">2H 2026 expected; 11 test flights done; 12th scheduled with next-gen booster</t>
  </si>
  <si>
    <t xml:space="preserve">Mach33 anchors 2025 Starship = 0 launches</t>
  </si>
  <si>
    <t xml:space="preserve">Customer Launch sprint should start Starship customer revenue from 2027 (1 yr after first delivery)</t>
  </si>
  <si>
    <t xml:space="preserve">V4 Starship payload doubling</t>
  </si>
  <si>
    <t xml:space="preserve">100 mt V3 → 200 mt potentially V4</t>
  </si>
  <si>
    <t xml:space="preserve">Not yet anchored — Wright's Law on launch cost only</t>
  </si>
  <si>
    <t xml:space="preserve">Capture as MC range on payload-per-launch in out-years (Sprint 12 MC)</t>
  </si>
  <si>
    <t xml:space="preserve">p.92</t>
  </si>
  <si>
    <t xml:space="preserve">Orbital AI compute deployment</t>
  </si>
  <si>
    <t xml:space="preserve">'As early as 2028' for orbital AI compute sats</t>
  </si>
  <si>
    <t xml:space="preserve">ODC tab built (Sprint 5) — deployment cash-driven, fleet = 0 in 2025</t>
  </si>
  <si>
    <t xml:space="preserve">Sprint 5 deployment timing should soft-anchor to 2028 first deployments; flow-through into Allocator</t>
  </si>
  <si>
    <t xml:space="preserve">p.3, p.10</t>
  </si>
  <si>
    <t xml:space="preserve">EchoStar spectrum acquisition</t>
  </si>
  <si>
    <t xml:space="preserve">$19.6B equity+cash; 65 MHz US + global MSS licenses; closes Nov 2027</t>
  </si>
  <si>
    <t xml:space="preserve">Not yet modelled</t>
  </si>
  <si>
    <t xml:space="preserve">New CapEx line — $19.6B in 2027. Spectrum amort over useful life. Enables Mobile expansion. Pre-Sprint-5 prep needs this.</t>
  </si>
  <si>
    <t xml:space="preserve">p.93-94</t>
  </si>
  <si>
    <t xml:space="preserve">Mobile spectrum authorisation</t>
  </si>
  <si>
    <t xml:space="preserve">Authorisation to deploy 7,500 sats with 2GHz band; supports 5G</t>
  </si>
  <si>
    <t xml:space="preserve">DTC modelled separately as V2 DTC ramp</t>
  </si>
  <si>
    <t xml:space="preserve">Tie Mobile/DTC fleet plan to 7,500 sat ceiling; relax in later years pending spectrum filings</t>
  </si>
  <si>
    <t xml:space="preserve">p.94</t>
  </si>
  <si>
    <t xml:space="preserve">xAI / X consolidation</t>
  </si>
  <si>
    <t xml:space="preserve">xAI acquired Feb 2, 2026; X by xAI Mar 28, 2025; common-control retroactive restatement</t>
  </si>
  <si>
    <t xml:space="preserve">Not in Mach33 SpaceX-only frame</t>
  </si>
  <si>
    <t xml:space="preserve">Material — model architecture decision. Option A: model SpaceX-only ex-AI (current). Option B: add AI Stack module (already planned Sprint 6) to capture this revenue line.</t>
  </si>
  <si>
    <t xml:space="preserve">p.20</t>
  </si>
  <si>
    <t xml:space="preserve">Customer concentration</t>
  </si>
  <si>
    <t xml:space="preserve">Customer A = 20.9% consolidated rev in 2025 (down from 25.2% 2023)</t>
  </si>
  <si>
    <t xml:space="preserve">Not modelled as risk factor</t>
  </si>
  <si>
    <t xml:space="preserve">Diversification trend favourable. Customer A is US Gov (NASA + DoW); track as scenario sensitivity post-MC</t>
  </si>
  <si>
    <t xml:space="preserve">Starlink Mobile partnerships</t>
  </si>
  <si>
    <t xml:space="preserve">~30 MNOs incl T-Mobile/Optus/Telstra/Rogers/KDDI/Kyivstar; 1.9B people in MNO coverage</t>
  </si>
  <si>
    <t xml:space="preserve">DTC has Wright's-Law-driven sub model</t>
  </si>
  <si>
    <t xml:space="preserve">Map MNO addressable pop into TAM. The 1.9B figure is a 'reach' anchor for Mobile DTC.</t>
  </si>
  <si>
    <t xml:space="preserve">ARPU outlook</t>
  </si>
  <si>
    <t xml:space="preserve">Explicit guidance: 'we expect ARPU to continue to decline over the next few years' due to international + lower-tier plans</t>
  </si>
  <si>
    <t xml:space="preserve">Mach33 anchored ARPU ~$100 (Sprint 4 implied)</t>
  </si>
  <si>
    <t xml:space="preserve">Sprint 4.5 / next refresh: lower 2025 ARPU anchor to $81, build downward glide path to $55-65 by 2030. Will partially offset against higher subs.</t>
  </si>
  <si>
    <t xml:space="preserve">Subscriber addressable opportunity</t>
  </si>
  <si>
    <t xml:space="preserve">Bridging 3+ billion unconnected; coverage 3.3B people across 164 countries</t>
  </si>
  <si>
    <t xml:space="preserve">Mach33 BB subs end-2025 = 6.41M</t>
  </si>
  <si>
    <t xml:space="preserve">Subscribers running 28% above Mach33 model. Refresh 2025 subs anchor to 8.9M; lift growth trajectory.</t>
  </si>
  <si>
    <t xml:space="preserve">p.4, p.94</t>
  </si>
  <si>
    <t xml:space="preserve">Starlink Enterprise stickiness</t>
  </si>
  <si>
    <t xml:space="preserve">Since 2023, no Enterprise customer &gt;$750k revenue has voluntarily churned</t>
  </si>
  <si>
    <t xml:space="preserve">Churn not yet a model lever for Enterprise/Gov</t>
  </si>
  <si>
    <t xml:space="preserve">Strong evidence for low churn assumption on Enterprise/Gov segment — directionally bullish for terminal value</t>
  </si>
  <si>
    <t xml:space="preserve">p.82</t>
  </si>
  <si>
    <t xml:space="preserve">Free reusability progression</t>
  </si>
  <si>
    <t xml:space="preserve">F9 first stage now reflown 34x; 159 flight-proven launches in 2025; &gt;99% recovery success</t>
  </si>
  <si>
    <t xml:space="preserve">Wright's Law on launch cost (Sprint 2)</t>
  </si>
  <si>
    <t xml:space="preserve">Recoveries-per-booster anchor: 34 reflies. Use as MC upper bound on reuse multiplier.</t>
  </si>
  <si>
    <t xml:space="preserve">Cumulative mass to orbit benchmark</t>
  </si>
  <si>
    <t xml:space="preserve">7,400 mt cumulative through Q1'26; 2,213 mt in 2025 alone (&gt;80% of world)</t>
  </si>
  <si>
    <t xml:space="preserve">Sprint 4 has 2025 mass output</t>
  </si>
  <si>
    <t xml:space="preserve">Validate Sprint 4 Starlink-deployed kg sums to ~1,900 mt; customer-launch (Sprint 3) sums to ~312 mt</t>
  </si>
  <si>
    <t xml:space="preserve">p.4, p.85</t>
  </si>
  <si>
    <t xml:space="preserve">Reach of fleet</t>
  </si>
  <si>
    <t xml:space="preserve">75% of all active maneuverable satellites globally are SpaceX (3-2026)</t>
  </si>
  <si>
    <t xml:space="preserve">Not modelled — informational</t>
  </si>
  <si>
    <t xml:space="preserve">Use as moat/competitive narrative in webinar and decks</t>
  </si>
  <si>
    <t xml:space="preserve">Compute / GW build-out</t>
  </si>
  <si>
    <t xml:space="preserve">0 → 0.3 GW (2023) → 0.8 GW (2024) → 1.0 GW (Q1'26); COLOSSUS + COLOSSUS II</t>
  </si>
  <si>
    <t xml:space="preserve">xAI / terrestrial AI out of Mach33 scope</t>
  </si>
  <si>
    <t xml:space="preserve">If AI Stack module added (Sprint 6+), terrestrial GW becomes a key input to ODC vs Earth split</t>
  </si>
  <si>
    <t xml:space="preserve">p.22, p.89</t>
  </si>
  <si>
    <t xml:space="preserve">S-1 source references used in this analysis</t>
  </si>
  <si>
    <t xml:space="preserve">Filed May 20, 2026 — Space Exploration Technologies Corp. — Form S-1 (Registration No. 333-)</t>
  </si>
  <si>
    <t xml:space="preserve">Page numbers refer to prospectus page (top right of each prospectus page), not PDF page.</t>
  </si>
  <si>
    <t xml:space="preserve">Section / Note</t>
  </si>
  <si>
    <t xml:space="preserve">Page(s)</t>
  </si>
  <si>
    <t xml:space="preserve">What's there</t>
  </si>
  <si>
    <t xml:space="preserve">Prospectus Summary — segment financials</t>
  </si>
  <si>
    <t xml:space="preserve">3-5</t>
  </si>
  <si>
    <t xml:space="preserve">FY2025 revenue $18,674M; Space $4,086M; Connectivity $11,387M; AI $3,201M; CapEx $20,737M</t>
  </si>
  <si>
    <t xml:space="preserve">Prospectus Summary — Operating data</t>
  </si>
  <si>
    <t xml:space="preserve">4-5</t>
  </si>
  <si>
    <t xml:space="preserve">9,600 sats, 10.3M subscribers, 7,400 mt cumulative, Falcon Heavy 11 launches</t>
  </si>
  <si>
    <t xml:space="preserve">Summary Financial Data — Statements of Operations</t>
  </si>
  <si>
    <t xml:space="preserve">21</t>
  </si>
  <si>
    <t xml:space="preserve">Revenue, costs, loss from ops, net loss by year (2023-25)</t>
  </si>
  <si>
    <t xml:space="preserve">Summary Financial Data — Balance Sheet</t>
  </si>
  <si>
    <t xml:space="preserve">22</t>
  </si>
  <si>
    <t xml:space="preserve">Cash, PP&amp;E, total assets, equity</t>
  </si>
  <si>
    <t xml:space="preserve">Summary Financial Data — Segment Operating data</t>
  </si>
  <si>
    <t xml:space="preserve">22-23</t>
  </si>
  <si>
    <t xml:space="preserve">Mass to orbit, launches, subscribers, ARPU, Adj EBITDA by segment</t>
  </si>
  <si>
    <t xml:space="preserve">Summary Financial Data — Cash flow / CapEx</t>
  </si>
  <si>
    <t xml:space="preserve">21-22</t>
  </si>
  <si>
    <t xml:space="preserve">OCF, ICF, FCF; CapEx by segment by year</t>
  </si>
  <si>
    <t xml:space="preserve">MD&amp;A — Key Business Metrics</t>
  </si>
  <si>
    <t xml:space="preserve">85-89</t>
  </si>
  <si>
    <t xml:space="preserve">Falcon launch detail (customer vs internal); Subscriber growth %; ARPU detail</t>
  </si>
  <si>
    <t xml:space="preserve">MD&amp;A — Segment results: Space</t>
  </si>
  <si>
    <t xml:space="preserve">103, 109</t>
  </si>
  <si>
    <t xml:space="preserve">Space P&amp;L detail (rev, COGS, R&amp;D, SG&amp;A) with YoY commentary</t>
  </si>
  <si>
    <t xml:space="preserve">MD&amp;A — Segment results: Connectivity</t>
  </si>
  <si>
    <t xml:space="preserve">104, 110-111</t>
  </si>
  <si>
    <t xml:space="preserve">Connectivity P&amp;L detail with growth driver decomposition</t>
  </si>
  <si>
    <t xml:space="preserve">MD&amp;A — Segment results: AI</t>
  </si>
  <si>
    <t xml:space="preserve">111</t>
  </si>
  <si>
    <t xml:space="preserve">AI P&amp;L detail with restructuring + R&amp;D growth</t>
  </si>
  <si>
    <t xml:space="preserve">MD&amp;A — Drivers of Performance</t>
  </si>
  <si>
    <t xml:space="preserve">92-94</t>
  </si>
  <si>
    <t xml:space="preserve">Starship, V3, Mobile, EchoStar spectrum deal disclosure</t>
  </si>
  <si>
    <t xml:space="preserve">Business — Starlink Connectivity</t>
  </si>
  <si>
    <t xml:space="preserve">81-83</t>
  </si>
  <si>
    <t xml:space="preserve">Consumer / Enterprise / Gov / Mobile breakdowns and customer lists</t>
  </si>
  <si>
    <t xml:space="preserve">Note 3 — Revenue</t>
  </si>
  <si>
    <t xml:space="preserve">247-248</t>
  </si>
  <si>
    <t xml:space="preserve">Revenue disaggregation by type and segment (Launch Services, Consumer, Enterprise &amp; Gov, etc.); deferred rev; backlog; Customer A concentration</t>
  </si>
  <si>
    <t xml:space="preserve">Note 5 — Property, Plant &amp; Equipment</t>
  </si>
  <si>
    <t xml:space="preserve">248-249</t>
  </si>
  <si>
    <t xml:space="preserve">PP&amp;E breakdown: servers, sats, data centres, launch sites, accum depreciation</t>
  </si>
  <si>
    <t xml:space="preserve">Risk Factors — Starship development</t>
  </si>
  <si>
    <t xml:space="preserve">26-66</t>
  </si>
  <si>
    <t xml:space="preserve">Starship cadence risk, V3 deployment risk, spectrum risk, ODC dependency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</si>
</sst>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374151"/>
        <bgColor rgb="FF1F2937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2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36" hidden="false" customHeight="true" outlineLevel="0" collapsed="false">
      <c r="A7" s="5" t="s">
        <v>6</v>
      </c>
      <c r="B7" s="6" t="s">
        <v>7</v>
      </c>
      <c r="C7" s="7" t="s">
        <v>8</v>
      </c>
    </row>
    <row r="8" customFormat="false" ht="36" hidden="false" customHeight="true" outlineLevel="0" collapsed="false">
      <c r="A8" s="5" t="s">
        <v>9</v>
      </c>
      <c r="B8" s="6" t="s">
        <v>10</v>
      </c>
      <c r="C8" s="7" t="s">
        <v>8</v>
      </c>
    </row>
    <row r="9" customFormat="false" ht="36" hidden="false" customHeight="true" outlineLevel="0" collapsed="false">
      <c r="A9" s="5" t="s">
        <v>11</v>
      </c>
      <c r="B9" s="6" t="s">
        <v>12</v>
      </c>
      <c r="C9" s="7" t="s">
        <v>8</v>
      </c>
    </row>
    <row r="10" customFormat="false" ht="36" hidden="false" customHeight="true" outlineLevel="0" collapsed="false">
      <c r="A10" s="5" t="s">
        <v>13</v>
      </c>
      <c r="B10" s="6" t="s">
        <v>14</v>
      </c>
      <c r="C10" s="8" t="s">
        <v>15</v>
      </c>
    </row>
    <row r="11" customFormat="false" ht="36" hidden="false" customHeight="true" outlineLevel="0" collapsed="false">
      <c r="A11" s="5" t="s">
        <v>16</v>
      </c>
      <c r="B11" s="6" t="s">
        <v>17</v>
      </c>
      <c r="C11" s="9" t="s">
        <v>18</v>
      </c>
    </row>
    <row r="12" customFormat="false" ht="36" hidden="false" customHeight="true" outlineLevel="0" collapsed="false">
      <c r="A12" s="5" t="s">
        <v>19</v>
      </c>
      <c r="B12" s="6" t="s">
        <v>20</v>
      </c>
      <c r="C12" s="9" t="s">
        <v>18</v>
      </c>
    </row>
    <row r="13" customFormat="false" ht="36" hidden="false" customHeight="true" outlineLevel="0" collapsed="false">
      <c r="A13" s="5" t="s">
        <v>21</v>
      </c>
      <c r="B13" s="6" t="s">
        <v>22</v>
      </c>
      <c r="C13" s="8" t="s">
        <v>15</v>
      </c>
    </row>
    <row r="14" customFormat="false" ht="36" hidden="false" customHeight="true" outlineLevel="0" collapsed="false">
      <c r="A14" s="5" t="s">
        <v>23</v>
      </c>
      <c r="B14" s="6" t="s">
        <v>24</v>
      </c>
      <c r="C14" s="8" t="s">
        <v>15</v>
      </c>
    </row>
    <row r="15" customFormat="false" ht="36" hidden="false" customHeight="true" outlineLevel="0" collapsed="false">
      <c r="A15" s="5" t="s">
        <v>25</v>
      </c>
      <c r="B15" s="6" t="s">
        <v>26</v>
      </c>
      <c r="C15" s="8" t="s">
        <v>15</v>
      </c>
    </row>
    <row r="16" customFormat="false" ht="36" hidden="false" customHeight="true" outlineLevel="0" collapsed="false">
      <c r="A16" s="5" t="s">
        <v>27</v>
      </c>
      <c r="B16" s="6" t="s">
        <v>28</v>
      </c>
      <c r="C16" s="8" t="s">
        <v>15</v>
      </c>
    </row>
    <row r="17" customFormat="false" ht="36" hidden="false" customHeight="true" outlineLevel="0" collapsed="false">
      <c r="A17" s="5" t="s">
        <v>29</v>
      </c>
      <c r="B17" s="6" t="s">
        <v>30</v>
      </c>
      <c r="C17" s="7" t="s">
        <v>8</v>
      </c>
    </row>
    <row r="18" customFormat="false" ht="36" hidden="false" customHeight="true" outlineLevel="0" collapsed="false">
      <c r="A18" s="5" t="s">
        <v>31</v>
      </c>
      <c r="B18" s="6" t="s">
        <v>32</v>
      </c>
      <c r="C18" s="7" t="s">
        <v>8</v>
      </c>
    </row>
    <row r="19" customFormat="false" ht="36" hidden="false" customHeight="true" outlineLevel="0" collapsed="false">
      <c r="A19" s="5" t="s">
        <v>33</v>
      </c>
      <c r="B19" s="6" t="s">
        <v>34</v>
      </c>
      <c r="C19" s="7" t="s">
        <v>8</v>
      </c>
    </row>
    <row r="20" customFormat="false" ht="36" hidden="false" customHeight="true" outlineLevel="0" collapsed="false">
      <c r="A20" s="5" t="s">
        <v>35</v>
      </c>
      <c r="B20" s="6" t="s">
        <v>36</v>
      </c>
      <c r="C20" s="9" t="s">
        <v>18</v>
      </c>
    </row>
    <row r="21" customFormat="false" ht="36" hidden="false" customHeight="true" outlineLevel="0" collapsed="false">
      <c r="A21" s="5" t="s">
        <v>37</v>
      </c>
      <c r="B21" s="6" t="s">
        <v>38</v>
      </c>
      <c r="C21" s="8" t="s">
        <v>15</v>
      </c>
    </row>
    <row r="22" customFormat="false" ht="36" hidden="false" customHeight="true" outlineLevel="0" collapsed="false">
      <c r="A22" s="5" t="s">
        <v>39</v>
      </c>
      <c r="B22" s="6" t="s">
        <v>40</v>
      </c>
      <c r="C22" s="8" t="s">
        <v>15</v>
      </c>
    </row>
    <row r="23" customFormat="false" ht="36" hidden="false" customHeight="true" outlineLevel="0" collapsed="false">
      <c r="A23" s="5" t="s">
        <v>41</v>
      </c>
      <c r="B23" s="6" t="s">
        <v>42</v>
      </c>
      <c r="C23" s="8" t="s">
        <v>15</v>
      </c>
    </row>
    <row r="26" customFormat="false" ht="15" hidden="false" customHeight="false" outlineLevel="0" collapsed="false">
      <c r="A26" s="10" t="s">
        <v>43</v>
      </c>
    </row>
    <row r="27" customFormat="false" ht="15" hidden="false" customHeight="false" outlineLevel="0" collapsed="false">
      <c r="A27" s="11" t="s">
        <v>44</v>
      </c>
      <c r="B27" s="12" t="s">
        <v>45</v>
      </c>
    </row>
    <row r="28" customFormat="false" ht="15" hidden="false" customHeight="false" outlineLevel="0" collapsed="false">
      <c r="A28" s="11" t="s">
        <v>46</v>
      </c>
      <c r="B28" s="12" t="s">
        <v>47</v>
      </c>
    </row>
    <row r="29" customFormat="false" ht="15" hidden="false" customHeight="false" outlineLevel="0" collapsed="false">
      <c r="A29" s="11" t="s">
        <v>48</v>
      </c>
      <c r="B29" s="12" t="s">
        <v>49</v>
      </c>
    </row>
    <row r="30" customFormat="false" ht="15" hidden="false" customHeight="false" outlineLevel="0" collapsed="false">
      <c r="A30" s="11" t="s">
        <v>50</v>
      </c>
      <c r="B30" s="12" t="s">
        <v>51</v>
      </c>
    </row>
    <row r="31" customFormat="false" ht="15" hidden="false" customHeight="false" outlineLevel="0" collapsed="false">
      <c r="A31" s="11" t="s">
        <v>52</v>
      </c>
      <c r="B31" s="12" t="s">
        <v>53</v>
      </c>
    </row>
    <row r="32" customFormat="false" ht="15" hidden="false" customHeight="false" outlineLevel="0" collapsed="false">
      <c r="A32" s="11" t="s">
        <v>54</v>
      </c>
      <c r="B32" s="12" t="s">
        <v>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22"/>
    <col collapsed="false" customWidth="true" hidden="false" outlineLevel="0" max="9" min="9" style="0" width="32"/>
  </cols>
  <sheetData>
    <row r="1" customFormat="false" ht="17.35" hidden="false" customHeight="false" outlineLevel="0" collapsed="false">
      <c r="A1" s="13" t="s">
        <v>56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4" t="s">
        <v>58</v>
      </c>
      <c r="B4" s="14" t="s">
        <v>59</v>
      </c>
      <c r="C4" s="14" t="s">
        <v>60</v>
      </c>
      <c r="D4" s="14" t="s">
        <v>61</v>
      </c>
      <c r="E4" s="14" t="s">
        <v>62</v>
      </c>
      <c r="F4" s="14" t="s">
        <v>63</v>
      </c>
      <c r="G4" s="14" t="s">
        <v>64</v>
      </c>
      <c r="H4" s="14" t="s">
        <v>65</v>
      </c>
      <c r="I4" s="14" t="s">
        <v>66</v>
      </c>
    </row>
    <row r="5" customFormat="false" ht="15" hidden="false" customHeight="false" outlineLevel="0" collapsed="false">
      <c r="A5" s="15" t="s">
        <v>67</v>
      </c>
      <c r="B5" s="15"/>
      <c r="C5" s="15"/>
      <c r="D5" s="15"/>
      <c r="E5" s="15"/>
      <c r="F5" s="15"/>
      <c r="G5" s="15"/>
      <c r="H5" s="15"/>
      <c r="I5" s="15"/>
    </row>
    <row r="6" customFormat="false" ht="15" hidden="false" customHeight="false" outlineLevel="0" collapsed="false">
      <c r="A6" s="12" t="s">
        <v>68</v>
      </c>
      <c r="B6" s="16" t="n">
        <v>4290</v>
      </c>
      <c r="C6" s="16" t="n">
        <v>4086</v>
      </c>
      <c r="D6" s="16" t="n">
        <f aca="false">B6-C6</f>
        <v>204</v>
      </c>
      <c r="E6" s="17" t="n">
        <f aca="false">IFERROR((B6-C6)/C6,"")</f>
        <v>0.0499265785609398</v>
      </c>
      <c r="F6" s="16" t="n">
        <v>3796</v>
      </c>
      <c r="G6" s="16" t="n">
        <v>3557</v>
      </c>
      <c r="H6" s="12"/>
      <c r="I6" s="18" t="s">
        <v>69</v>
      </c>
    </row>
    <row r="7" customFormat="false" ht="15" hidden="false" customHeight="false" outlineLevel="0" collapsed="false">
      <c r="A7" s="12" t="s">
        <v>70</v>
      </c>
      <c r="B7" s="16"/>
      <c r="C7" s="16" t="n">
        <v>2576</v>
      </c>
      <c r="D7" s="19"/>
      <c r="F7" s="16" t="n">
        <v>2584</v>
      </c>
      <c r="G7" s="16" t="n">
        <v>1964</v>
      </c>
      <c r="H7" s="20" t="s">
        <v>71</v>
      </c>
      <c r="I7" s="18" t="s">
        <v>72</v>
      </c>
    </row>
    <row r="8" customFormat="false" ht="15" hidden="false" customHeight="false" outlineLevel="0" collapsed="false">
      <c r="A8" s="12" t="s">
        <v>73</v>
      </c>
      <c r="B8" s="16"/>
      <c r="C8" s="16" t="n">
        <v>1510</v>
      </c>
      <c r="D8" s="19"/>
      <c r="F8" s="16" t="n">
        <v>1212</v>
      </c>
      <c r="G8" s="16" t="n">
        <v>1593</v>
      </c>
      <c r="H8" s="20" t="s">
        <v>71</v>
      </c>
      <c r="I8" s="18" t="s">
        <v>72</v>
      </c>
    </row>
    <row r="10" customFormat="false" ht="15" hidden="false" customHeight="false" outlineLevel="0" collapsed="false">
      <c r="A10" s="15" t="s">
        <v>74</v>
      </c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12" t="s">
        <v>75</v>
      </c>
      <c r="B11" s="16" t="n">
        <v>7852</v>
      </c>
      <c r="C11" s="16" t="n">
        <v>7208</v>
      </c>
      <c r="D11" s="16" t="n">
        <f aca="false">B11-C11</f>
        <v>644</v>
      </c>
      <c r="E11" s="21" t="n">
        <f aca="false">IFERROR((B11-C11)/C11,"")</f>
        <v>0.0893451720310766</v>
      </c>
      <c r="F11" s="16" t="n">
        <v>4830</v>
      </c>
      <c r="G11" s="16" t="n">
        <v>2817</v>
      </c>
      <c r="H11" s="12"/>
      <c r="I11" s="18" t="s">
        <v>72</v>
      </c>
    </row>
    <row r="12" customFormat="false" ht="15" hidden="false" customHeight="false" outlineLevel="0" collapsed="false">
      <c r="A12" s="12" t="s">
        <v>76</v>
      </c>
      <c r="B12" s="16" t="n">
        <v>2520</v>
      </c>
      <c r="C12" s="16" t="n">
        <v>4179</v>
      </c>
      <c r="D12" s="16" t="n">
        <f aca="false">B12-C12</f>
        <v>-1659</v>
      </c>
      <c r="E12" s="22" t="n">
        <f aca="false">IFERROR((B12-C12)/C12,"")</f>
        <v>-0.396984924623116</v>
      </c>
      <c r="F12" s="16" t="n">
        <v>2769</v>
      </c>
      <c r="G12" s="16" t="n">
        <v>1052</v>
      </c>
      <c r="H12" s="23" t="s">
        <v>77</v>
      </c>
      <c r="I12" s="18" t="s">
        <v>78</v>
      </c>
    </row>
    <row r="13" customFormat="false" ht="15" hidden="false" customHeight="false" outlineLevel="0" collapsed="false">
      <c r="A13" s="12" t="s">
        <v>79</v>
      </c>
      <c r="B13" s="16" t="n">
        <v>10372</v>
      </c>
      <c r="C13" s="16" t="n">
        <v>11387</v>
      </c>
      <c r="D13" s="16" t="n">
        <f aca="false">B13-C13</f>
        <v>-1015</v>
      </c>
      <c r="E13" s="21" t="n">
        <f aca="false">IFERROR((B13-C13)/C13,"")</f>
        <v>-0.0891367348731009</v>
      </c>
      <c r="F13" s="16" t="n">
        <v>7599</v>
      </c>
      <c r="G13" s="16" t="n">
        <v>3869</v>
      </c>
      <c r="H13" s="12"/>
      <c r="I13" s="18" t="s">
        <v>80</v>
      </c>
    </row>
    <row r="14" customFormat="false" ht="15" hidden="false" customHeight="false" outlineLevel="0" collapsed="false">
      <c r="A14" s="12" t="s">
        <v>81</v>
      </c>
      <c r="B14" s="16"/>
      <c r="C14" s="16" t="n">
        <v>2377</v>
      </c>
      <c r="D14" s="19"/>
      <c r="F14" s="16"/>
      <c r="G14" s="16"/>
      <c r="H14" s="20" t="s">
        <v>71</v>
      </c>
      <c r="I14" s="18" t="s">
        <v>82</v>
      </c>
    </row>
    <row r="15" customFormat="false" ht="15" hidden="false" customHeight="false" outlineLevel="0" collapsed="false">
      <c r="A15" s="12" t="s">
        <v>83</v>
      </c>
      <c r="B15" s="16"/>
      <c r="C15" s="16" t="n">
        <v>1411</v>
      </c>
      <c r="D15" s="19"/>
      <c r="F15" s="16"/>
      <c r="G15" s="16"/>
      <c r="H15" s="20" t="s">
        <v>71</v>
      </c>
      <c r="I15" s="18" t="s">
        <v>82</v>
      </c>
    </row>
    <row r="16" customFormat="false" ht="15" hidden="false" customHeight="false" outlineLevel="0" collapsed="false">
      <c r="A16" s="12" t="s">
        <v>84</v>
      </c>
      <c r="B16" s="16"/>
      <c r="C16" s="16" t="n">
        <v>632</v>
      </c>
      <c r="D16" s="19"/>
      <c r="F16" s="16"/>
      <c r="G16" s="16"/>
      <c r="H16" s="20" t="s">
        <v>71</v>
      </c>
      <c r="I16" s="18" t="s">
        <v>82</v>
      </c>
    </row>
    <row r="18" customFormat="false" ht="15" hidden="false" customHeight="false" outlineLevel="0" collapsed="false">
      <c r="A18" s="15" t="s">
        <v>85</v>
      </c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2" t="s">
        <v>86</v>
      </c>
      <c r="B19" s="16" t="n">
        <v>0</v>
      </c>
      <c r="C19" s="16" t="n">
        <v>3201</v>
      </c>
      <c r="D19" s="16" t="n">
        <f aca="false">B19-C19</f>
        <v>-3201</v>
      </c>
      <c r="E19" s="22" t="n">
        <f aca="false">IFERROR((B19-C19)/C19,"")</f>
        <v>-1</v>
      </c>
      <c r="F19" s="16" t="n">
        <v>2620</v>
      </c>
      <c r="G19" s="16" t="n">
        <v>2961</v>
      </c>
      <c r="H19" s="20" t="s">
        <v>87</v>
      </c>
      <c r="I19" s="18" t="s">
        <v>80</v>
      </c>
    </row>
    <row r="20" customFormat="false" ht="15" hidden="false" customHeight="false" outlineLevel="0" collapsed="false">
      <c r="A20" s="12" t="s">
        <v>88</v>
      </c>
      <c r="B20" s="16"/>
      <c r="C20" s="16" t="n">
        <v>1844</v>
      </c>
      <c r="D20" s="19"/>
      <c r="F20" s="16" t="n">
        <v>1728</v>
      </c>
      <c r="G20" s="16" t="n">
        <v>2323</v>
      </c>
      <c r="H20" s="20" t="s">
        <v>71</v>
      </c>
      <c r="I20" s="18" t="s">
        <v>89</v>
      </c>
    </row>
    <row r="21" customFormat="false" ht="15" hidden="false" customHeight="false" outlineLevel="0" collapsed="false">
      <c r="A21" s="12" t="s">
        <v>90</v>
      </c>
      <c r="B21" s="16"/>
      <c r="C21" s="16" t="n">
        <v>1357</v>
      </c>
      <c r="D21" s="19"/>
      <c r="F21" s="16" t="n">
        <v>892</v>
      </c>
      <c r="G21" s="16" t="n">
        <v>638</v>
      </c>
      <c r="H21" s="20" t="s">
        <v>71</v>
      </c>
      <c r="I21" s="18" t="s">
        <v>89</v>
      </c>
    </row>
    <row r="23" customFormat="false" ht="15" hidden="false" customHeight="false" outlineLevel="0" collapsed="false">
      <c r="A23" s="15" t="s">
        <v>91</v>
      </c>
      <c r="B23" s="15"/>
      <c r="C23" s="15"/>
      <c r="D23" s="15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12" t="s">
        <v>92</v>
      </c>
      <c r="B24" s="16" t="n">
        <v>14650</v>
      </c>
      <c r="C24" s="16" t="n">
        <v>15473</v>
      </c>
      <c r="D24" s="16" t="n">
        <f aca="false">B24-C24</f>
        <v>-823</v>
      </c>
      <c r="E24" s="21" t="n">
        <f aca="false">IFERROR((B24-C24)/C24,"")</f>
        <v>-0.0531894267433594</v>
      </c>
      <c r="F24" s="16" t="n">
        <v>11395</v>
      </c>
      <c r="G24" s="16" t="n">
        <v>7426</v>
      </c>
      <c r="H24" s="12"/>
      <c r="I24" s="18" t="s">
        <v>93</v>
      </c>
    </row>
    <row r="25" customFormat="false" ht="15" hidden="false" customHeight="false" outlineLevel="0" collapsed="false">
      <c r="A25" s="12" t="s">
        <v>94</v>
      </c>
      <c r="B25" s="16"/>
      <c r="C25" s="16" t="n">
        <v>18674</v>
      </c>
      <c r="D25" s="19"/>
      <c r="F25" s="16" t="n">
        <v>14015</v>
      </c>
      <c r="G25" s="16" t="n">
        <v>10387</v>
      </c>
      <c r="H25" s="20" t="s">
        <v>71</v>
      </c>
      <c r="I25" s="18" t="s">
        <v>95</v>
      </c>
    </row>
    <row r="27" customFormat="false" ht="15" hidden="false" customHeight="false" outlineLevel="0" collapsed="false">
      <c r="A27" s="15" t="s">
        <v>96</v>
      </c>
      <c r="B27" s="15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12" t="s">
        <v>97</v>
      </c>
      <c r="B28" s="16"/>
      <c r="C28" s="16" t="n">
        <v>1510</v>
      </c>
      <c r="D28" s="19"/>
      <c r="F28" s="16" t="n">
        <v>1470</v>
      </c>
      <c r="G28" s="16" t="n">
        <v>1093</v>
      </c>
      <c r="H28" s="20" t="s">
        <v>71</v>
      </c>
      <c r="I28" s="18" t="s">
        <v>89</v>
      </c>
    </row>
    <row r="29" customFormat="false" ht="15" hidden="false" customHeight="false" outlineLevel="0" collapsed="false">
      <c r="A29" s="12" t="s">
        <v>98</v>
      </c>
      <c r="B29" s="16"/>
      <c r="C29" s="16" t="n">
        <v>17164</v>
      </c>
      <c r="D29" s="19"/>
      <c r="F29" s="16" t="n">
        <v>12545</v>
      </c>
      <c r="G29" s="16" t="n">
        <v>9294</v>
      </c>
      <c r="H29" s="20" t="s">
        <v>71</v>
      </c>
      <c r="I29" s="18" t="s">
        <v>89</v>
      </c>
    </row>
    <row r="31" customFormat="false" ht="15" hidden="false" customHeight="false" outlineLevel="0" collapsed="false">
      <c r="A31" s="15" t="s">
        <v>99</v>
      </c>
      <c r="B31" s="15"/>
      <c r="C31" s="15"/>
      <c r="D31" s="15"/>
      <c r="E31" s="15"/>
      <c r="F31" s="15"/>
      <c r="G31" s="15"/>
      <c r="H31" s="15"/>
      <c r="I31" s="15"/>
    </row>
    <row r="32" customFormat="false" ht="15" hidden="false" customHeight="false" outlineLevel="0" collapsed="false">
      <c r="A32" s="12" t="s">
        <v>100</v>
      </c>
      <c r="B32" s="16"/>
      <c r="C32" s="16" t="s">
        <v>101</v>
      </c>
      <c r="D32" s="19"/>
      <c r="F32" s="16" t="s">
        <v>102</v>
      </c>
      <c r="G32" s="16" t="s">
        <v>103</v>
      </c>
      <c r="H32" s="20" t="s">
        <v>71</v>
      </c>
      <c r="I32" s="18" t="s">
        <v>72</v>
      </c>
    </row>
    <row r="33" customFormat="false" ht="15" hidden="false" customHeight="false" outlineLevel="0" collapsed="false">
      <c r="A33" s="12" t="s">
        <v>104</v>
      </c>
      <c r="B33" s="16"/>
      <c r="C33" s="16" t="n">
        <v>3903</v>
      </c>
      <c r="D33" s="19"/>
      <c r="F33" s="16" t="n">
        <v>3392</v>
      </c>
      <c r="G33" s="16" t="n">
        <v>2618</v>
      </c>
      <c r="H33" s="20" t="s">
        <v>71</v>
      </c>
      <c r="I33" s="18" t="s">
        <v>105</v>
      </c>
    </row>
  </sheetData>
  <mergeCells count="8">
    <mergeCell ref="A1:I1"/>
    <mergeCell ref="A2:I2"/>
    <mergeCell ref="A5:I5"/>
    <mergeCell ref="A10:I10"/>
    <mergeCell ref="A18:I18"/>
    <mergeCell ref="A23:I23"/>
    <mergeCell ref="A27:I27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24" t="s">
        <v>106</v>
      </c>
      <c r="B1" s="24"/>
      <c r="C1" s="24"/>
      <c r="D1" s="24"/>
      <c r="E1" s="24"/>
      <c r="F1" s="24"/>
      <c r="G1" s="24"/>
      <c r="H1" s="24"/>
      <c r="I1" s="24"/>
    </row>
    <row r="2" customFormat="false" ht="15" hidden="false" customHeight="false" outlineLevel="0" collapsed="false">
      <c r="A2" s="18" t="s">
        <v>107</v>
      </c>
    </row>
    <row r="4" customFormat="false" ht="15" hidden="false" customHeight="false" outlineLevel="0" collapsed="false">
      <c r="A4" s="25" t="s">
        <v>108</v>
      </c>
      <c r="B4" s="25" t="s">
        <v>109</v>
      </c>
      <c r="C4" s="25" t="s">
        <v>110</v>
      </c>
      <c r="D4" s="25" t="s">
        <v>60</v>
      </c>
      <c r="E4" s="25" t="s">
        <v>111</v>
      </c>
      <c r="F4" s="25" t="s">
        <v>62</v>
      </c>
      <c r="G4" s="25" t="s">
        <v>63</v>
      </c>
      <c r="H4" s="25" t="s">
        <v>64</v>
      </c>
      <c r="I4" s="25" t="s">
        <v>66</v>
      </c>
    </row>
    <row r="5" customFormat="false" ht="15" hidden="false" customHeight="false" outlineLevel="0" collapsed="false">
      <c r="A5" s="15" t="s">
        <v>112</v>
      </c>
      <c r="B5" s="15"/>
      <c r="C5" s="15"/>
      <c r="D5" s="15"/>
      <c r="E5" s="15"/>
      <c r="F5" s="15"/>
      <c r="G5" s="15"/>
      <c r="H5" s="15"/>
      <c r="I5" s="15"/>
    </row>
    <row r="6" customFormat="false" ht="15" hidden="false" customHeight="false" outlineLevel="0" collapsed="false">
      <c r="A6" s="12" t="s">
        <v>113</v>
      </c>
      <c r="B6" s="12" t="s">
        <v>114</v>
      </c>
      <c r="C6" s="12" t="n">
        <v>6.41</v>
      </c>
      <c r="D6" s="12" t="n">
        <v>8.9</v>
      </c>
      <c r="E6" s="12" t="n">
        <f aca="false">C6-D6</f>
        <v>-2.49</v>
      </c>
      <c r="F6" s="26" t="n">
        <f aca="false">IFERROR((C6-D6)/D6,"")</f>
        <v>-0.279775280898876</v>
      </c>
      <c r="G6" s="12" t="n">
        <v>4.4</v>
      </c>
      <c r="I6" s="18" t="s">
        <v>115</v>
      </c>
    </row>
    <row r="7" customFormat="false" ht="15" hidden="false" customHeight="false" outlineLevel="0" collapsed="false">
      <c r="A7" s="12" t="s">
        <v>116</v>
      </c>
      <c r="B7" s="12" t="s">
        <v>117</v>
      </c>
      <c r="C7" s="12" t="s">
        <v>118</v>
      </c>
      <c r="D7" s="12" t="s">
        <v>119</v>
      </c>
      <c r="G7" s="12" t="s">
        <v>120</v>
      </c>
      <c r="I7" s="18" t="s">
        <v>121</v>
      </c>
    </row>
    <row r="8" customFormat="false" ht="15" hidden="false" customHeight="false" outlineLevel="0" collapsed="false">
      <c r="A8" s="12" t="s">
        <v>122</v>
      </c>
      <c r="B8" s="12" t="s">
        <v>123</v>
      </c>
      <c r="C8" s="12" t="n">
        <v>100</v>
      </c>
      <c r="D8" s="12" t="n">
        <v>81</v>
      </c>
      <c r="E8" s="12" t="n">
        <f aca="false">C8-D8</f>
        <v>19</v>
      </c>
      <c r="F8" s="26" t="n">
        <f aca="false">IFERROR((C8-D8)/D8,"")</f>
        <v>0.234567901234568</v>
      </c>
      <c r="G8" s="12" t="n">
        <v>91</v>
      </c>
      <c r="I8" s="18" t="s">
        <v>124</v>
      </c>
    </row>
    <row r="9" customFormat="false" ht="15" hidden="false" customHeight="false" outlineLevel="0" collapsed="false">
      <c r="A9" s="12" t="s">
        <v>125</v>
      </c>
      <c r="B9" s="12" t="s">
        <v>123</v>
      </c>
      <c r="C9" s="12"/>
      <c r="D9" s="12" t="n">
        <v>66</v>
      </c>
      <c r="G9" s="12" t="n">
        <v>86</v>
      </c>
      <c r="I9" s="18" t="s">
        <v>126</v>
      </c>
    </row>
    <row r="10" customFormat="false" ht="15" hidden="false" customHeight="false" outlineLevel="0" collapsed="false">
      <c r="A10" s="12" t="s">
        <v>127</v>
      </c>
      <c r="B10" s="12" t="s">
        <v>114</v>
      </c>
      <c r="C10" s="12"/>
      <c r="D10" s="12" t="n">
        <v>7.4</v>
      </c>
      <c r="G10" s="12"/>
      <c r="I10" s="18" t="s">
        <v>128</v>
      </c>
    </row>
    <row r="12" customFormat="false" ht="15" hidden="false" customHeight="false" outlineLevel="0" collapsed="false">
      <c r="A12" s="15" t="s">
        <v>129</v>
      </c>
      <c r="B12" s="15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12" t="s">
        <v>130</v>
      </c>
      <c r="B13" s="12" t="s">
        <v>131</v>
      </c>
      <c r="C13" s="12" t="n">
        <v>9800</v>
      </c>
      <c r="D13" s="12" t="n">
        <v>9600</v>
      </c>
      <c r="E13" s="12" t="n">
        <f aca="false">C13-D13</f>
        <v>200</v>
      </c>
      <c r="F13" s="17" t="n">
        <f aca="false">IFERROR((C13-D13)/D13,"")</f>
        <v>0.0208333333333333</v>
      </c>
      <c r="G13" s="12"/>
      <c r="I13" s="18" t="s">
        <v>132</v>
      </c>
    </row>
    <row r="14" customFormat="false" ht="15" hidden="false" customHeight="false" outlineLevel="0" collapsed="false">
      <c r="A14" s="12" t="s">
        <v>133</v>
      </c>
      <c r="B14" s="12" t="s">
        <v>131</v>
      </c>
      <c r="C14" s="12"/>
      <c r="D14" s="12" t="n">
        <v>650</v>
      </c>
      <c r="G14" s="12" t="n">
        <v>360</v>
      </c>
      <c r="I14" s="18" t="s">
        <v>134</v>
      </c>
    </row>
    <row r="15" customFormat="false" ht="15" hidden="false" customHeight="false" outlineLevel="0" collapsed="false">
      <c r="A15" s="12" t="s">
        <v>135</v>
      </c>
      <c r="B15" s="12" t="s">
        <v>131</v>
      </c>
      <c r="C15" s="12"/>
      <c r="D15" s="12" t="n">
        <v>164</v>
      </c>
      <c r="G15" s="12"/>
      <c r="I15" s="18" t="s">
        <v>136</v>
      </c>
    </row>
    <row r="16" customFormat="false" ht="15" hidden="false" customHeight="false" outlineLevel="0" collapsed="false">
      <c r="A16" s="12" t="s">
        <v>137</v>
      </c>
      <c r="B16" s="12" t="s">
        <v>138</v>
      </c>
      <c r="C16" s="12" t="n">
        <v>1</v>
      </c>
      <c r="D16" s="12" t="n">
        <v>1</v>
      </c>
      <c r="E16" s="12" t="n">
        <f aca="false">C16-D16</f>
        <v>0</v>
      </c>
      <c r="F16" s="17" t="n">
        <f aca="false">IFERROR((C16-D16)/D16,"")</f>
        <v>0</v>
      </c>
      <c r="G16" s="12"/>
      <c r="I16" s="18" t="s">
        <v>139</v>
      </c>
    </row>
    <row r="18" customFormat="false" ht="15" hidden="false" customHeight="false" outlineLevel="0" collapsed="false">
      <c r="A18" s="15" t="s">
        <v>140</v>
      </c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2" t="s">
        <v>141</v>
      </c>
      <c r="B19" s="12" t="s">
        <v>131</v>
      </c>
      <c r="C19" s="12" t="n">
        <v>171</v>
      </c>
      <c r="D19" s="12" t="n">
        <v>165</v>
      </c>
      <c r="E19" s="12" t="n">
        <f aca="false">C19-D19</f>
        <v>6</v>
      </c>
      <c r="F19" s="17" t="n">
        <f aca="false">IFERROR((C19-D19)/D19,"")</f>
        <v>0.0363636363636364</v>
      </c>
      <c r="G19" s="12" t="n">
        <v>134</v>
      </c>
      <c r="I19" s="18" t="s">
        <v>142</v>
      </c>
    </row>
    <row r="20" customFormat="false" ht="15" hidden="false" customHeight="false" outlineLevel="0" collapsed="false">
      <c r="A20" s="12" t="s">
        <v>143</v>
      </c>
      <c r="B20" s="12" t="s">
        <v>131</v>
      </c>
      <c r="C20" s="12" t="n">
        <v>39</v>
      </c>
      <c r="D20" s="12" t="n">
        <v>43</v>
      </c>
      <c r="E20" s="12" t="n">
        <f aca="false">C20-D20</f>
        <v>-4</v>
      </c>
      <c r="F20" s="21" t="n">
        <f aca="false">IFERROR((C20-D20)/D20,"")</f>
        <v>-0.0930232558139535</v>
      </c>
      <c r="G20" s="12" t="n">
        <v>45</v>
      </c>
      <c r="I20" s="18" t="s">
        <v>142</v>
      </c>
    </row>
    <row r="21" customFormat="false" ht="15" hidden="false" customHeight="false" outlineLevel="0" collapsed="false">
      <c r="A21" s="12" t="s">
        <v>144</v>
      </c>
      <c r="B21" s="12" t="s">
        <v>131</v>
      </c>
      <c r="C21" s="12" t="n">
        <v>132</v>
      </c>
      <c r="D21" s="12" t="n">
        <v>122</v>
      </c>
      <c r="E21" s="12" t="n">
        <f aca="false">C21-D21</f>
        <v>10</v>
      </c>
      <c r="F21" s="21" t="n">
        <f aca="false">IFERROR((C21-D21)/D21,"")</f>
        <v>0.0819672131147541</v>
      </c>
      <c r="G21" s="12" t="n">
        <v>89</v>
      </c>
      <c r="I21" s="18" t="s">
        <v>142</v>
      </c>
    </row>
    <row r="22" customFormat="false" ht="15" hidden="false" customHeight="false" outlineLevel="0" collapsed="false">
      <c r="A22" s="12" t="s">
        <v>145</v>
      </c>
      <c r="B22" s="12" t="s">
        <v>131</v>
      </c>
      <c r="C22" s="12"/>
      <c r="D22" s="12" t="n">
        <v>170</v>
      </c>
      <c r="G22" s="12"/>
      <c r="I22" s="18" t="s">
        <v>136</v>
      </c>
    </row>
    <row r="23" customFormat="false" ht="15" hidden="false" customHeight="false" outlineLevel="0" collapsed="false">
      <c r="A23" s="12" t="s">
        <v>146</v>
      </c>
      <c r="B23" s="12" t="s">
        <v>131</v>
      </c>
      <c r="C23" s="12"/>
      <c r="D23" s="12" t="n">
        <v>11</v>
      </c>
      <c r="G23" s="12"/>
      <c r="I23" s="18" t="s">
        <v>147</v>
      </c>
    </row>
    <row r="24" customFormat="false" ht="15" hidden="false" customHeight="false" outlineLevel="0" collapsed="false">
      <c r="A24" s="12" t="s">
        <v>148</v>
      </c>
      <c r="B24" s="12" t="s">
        <v>131</v>
      </c>
      <c r="C24" s="12"/>
      <c r="D24" s="12" t="n">
        <v>11</v>
      </c>
      <c r="G24" s="12"/>
      <c r="I24" s="18" t="s">
        <v>147</v>
      </c>
    </row>
    <row r="25" customFormat="false" ht="15" hidden="false" customHeight="false" outlineLevel="0" collapsed="false">
      <c r="A25" s="12" t="s">
        <v>149</v>
      </c>
      <c r="B25" s="12" t="s">
        <v>150</v>
      </c>
      <c r="C25" s="12" t="s">
        <v>151</v>
      </c>
      <c r="D25" s="12" t="s">
        <v>152</v>
      </c>
      <c r="G25" s="12"/>
      <c r="I25" s="18" t="s">
        <v>153</v>
      </c>
    </row>
    <row r="27" customFormat="false" ht="15" hidden="false" customHeight="false" outlineLevel="0" collapsed="false">
      <c r="A27" s="15" t="s">
        <v>154</v>
      </c>
      <c r="B27" s="15"/>
      <c r="C27" s="15"/>
      <c r="D27" s="15"/>
      <c r="E27" s="15"/>
      <c r="F27" s="15"/>
      <c r="G27" s="15"/>
      <c r="H27" s="15"/>
      <c r="I27" s="15"/>
    </row>
    <row r="28" customFormat="false" ht="15" hidden="false" customHeight="false" outlineLevel="0" collapsed="false">
      <c r="A28" s="12" t="s">
        <v>155</v>
      </c>
      <c r="B28" s="12" t="s">
        <v>156</v>
      </c>
      <c r="C28" s="12"/>
      <c r="D28" s="12" t="n">
        <v>2213</v>
      </c>
      <c r="G28" s="12" t="n">
        <v>1699</v>
      </c>
      <c r="I28" s="18" t="s">
        <v>157</v>
      </c>
    </row>
    <row r="29" customFormat="false" ht="15" hidden="false" customHeight="false" outlineLevel="0" collapsed="false">
      <c r="A29" s="12" t="s">
        <v>158</v>
      </c>
      <c r="B29" s="12" t="s">
        <v>156</v>
      </c>
      <c r="C29" s="12"/>
      <c r="D29" s="12" t="n">
        <v>312</v>
      </c>
      <c r="G29" s="12" t="n">
        <v>281</v>
      </c>
      <c r="I29" s="18" t="s">
        <v>159</v>
      </c>
    </row>
    <row r="30" customFormat="false" ht="15" hidden="false" customHeight="false" outlineLevel="0" collapsed="false">
      <c r="A30" s="12" t="s">
        <v>160</v>
      </c>
      <c r="B30" s="12" t="s">
        <v>156</v>
      </c>
      <c r="C30" s="12"/>
      <c r="D30" s="12" t="n">
        <v>1901</v>
      </c>
      <c r="G30" s="12" t="n">
        <v>1418</v>
      </c>
      <c r="I30" s="18" t="s">
        <v>161</v>
      </c>
    </row>
    <row r="31" customFormat="false" ht="15" hidden="false" customHeight="false" outlineLevel="0" collapsed="false">
      <c r="A31" s="12" t="s">
        <v>162</v>
      </c>
      <c r="B31" s="12" t="s">
        <v>156</v>
      </c>
      <c r="C31" s="12"/>
      <c r="D31" s="12" t="n">
        <v>7400</v>
      </c>
      <c r="G31" s="12"/>
      <c r="I31" s="18" t="s">
        <v>136</v>
      </c>
    </row>
    <row r="32" customFormat="false" ht="15" hidden="false" customHeight="false" outlineLevel="0" collapsed="false">
      <c r="A32" s="12" t="s">
        <v>163</v>
      </c>
      <c r="B32" s="12" t="s">
        <v>156</v>
      </c>
      <c r="C32" s="12"/>
      <c r="D32" s="12" t="n">
        <v>13</v>
      </c>
      <c r="G32" s="12"/>
      <c r="I32" s="18" t="s">
        <v>161</v>
      </c>
    </row>
    <row r="33" customFormat="false" ht="15" hidden="false" customHeight="false" outlineLevel="0" collapsed="false">
      <c r="A33" s="12" t="s">
        <v>164</v>
      </c>
      <c r="B33" s="12" t="s">
        <v>117</v>
      </c>
      <c r="C33" s="12"/>
      <c r="D33" s="12" t="s">
        <v>165</v>
      </c>
      <c r="G33" s="12"/>
      <c r="I33" s="18" t="s">
        <v>136</v>
      </c>
    </row>
    <row r="35" customFormat="false" ht="15" hidden="false" customHeight="false" outlineLevel="0" collapsed="false">
      <c r="A35" s="15" t="s">
        <v>166</v>
      </c>
      <c r="B35" s="15"/>
      <c r="C35" s="15"/>
      <c r="D35" s="15"/>
      <c r="E35" s="15"/>
      <c r="F35" s="15"/>
      <c r="G35" s="15"/>
      <c r="H35" s="15"/>
      <c r="I35" s="15"/>
    </row>
    <row r="36" customFormat="false" ht="15" hidden="false" customHeight="false" outlineLevel="0" collapsed="false">
      <c r="A36" s="12" t="s">
        <v>167</v>
      </c>
      <c r="B36" s="12" t="s">
        <v>168</v>
      </c>
      <c r="C36" s="12"/>
      <c r="D36" s="12" t="n">
        <v>0.8</v>
      </c>
      <c r="G36" s="12" t="n">
        <v>0.3</v>
      </c>
      <c r="I36" s="18" t="s">
        <v>169</v>
      </c>
    </row>
    <row r="37" customFormat="false" ht="15" hidden="false" customHeight="false" outlineLevel="0" collapsed="false">
      <c r="A37" s="12" t="s">
        <v>170</v>
      </c>
      <c r="B37" s="12" t="s">
        <v>168</v>
      </c>
      <c r="C37" s="12"/>
      <c r="D37" s="12" t="n">
        <v>1</v>
      </c>
      <c r="G37" s="12"/>
      <c r="I37" s="18" t="s">
        <v>171</v>
      </c>
    </row>
  </sheetData>
  <mergeCells count="6">
    <mergeCell ref="A1:I1"/>
    <mergeCell ref="A5:I5"/>
    <mergeCell ref="A12:I12"/>
    <mergeCell ref="A18:I18"/>
    <mergeCell ref="A27:I27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18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24" t="s">
        <v>172</v>
      </c>
      <c r="B1" s="24"/>
      <c r="C1" s="24"/>
      <c r="D1" s="24"/>
      <c r="E1" s="24"/>
      <c r="F1" s="24"/>
      <c r="G1" s="24"/>
      <c r="H1" s="24"/>
      <c r="I1" s="24"/>
    </row>
    <row r="2" customFormat="false" ht="15" hidden="false" customHeight="false" outlineLevel="0" collapsed="false">
      <c r="A2" s="18" t="s">
        <v>173</v>
      </c>
    </row>
    <row r="4" customFormat="false" ht="15" hidden="false" customHeight="false" outlineLevel="0" collapsed="false">
      <c r="A4" s="25" t="s">
        <v>108</v>
      </c>
      <c r="B4" s="25" t="s">
        <v>59</v>
      </c>
      <c r="C4" s="25" t="s">
        <v>60</v>
      </c>
      <c r="D4" s="25" t="s">
        <v>111</v>
      </c>
      <c r="E4" s="25" t="s">
        <v>62</v>
      </c>
      <c r="F4" s="25" t="s">
        <v>63</v>
      </c>
      <c r="G4" s="25" t="s">
        <v>64</v>
      </c>
      <c r="H4" s="25" t="s">
        <v>65</v>
      </c>
      <c r="I4" s="25" t="s">
        <v>66</v>
      </c>
    </row>
    <row r="5" customFormat="false" ht="15" hidden="false" customHeight="false" outlineLevel="0" collapsed="false">
      <c r="A5" s="15" t="s">
        <v>174</v>
      </c>
      <c r="B5" s="15"/>
      <c r="C5" s="15"/>
      <c r="D5" s="15"/>
      <c r="E5" s="15"/>
      <c r="F5" s="15"/>
      <c r="G5" s="15"/>
      <c r="H5" s="15"/>
      <c r="I5" s="15"/>
    </row>
    <row r="6" customFormat="false" ht="15" hidden="false" customHeight="false" outlineLevel="0" collapsed="false">
      <c r="A6" s="12" t="s">
        <v>175</v>
      </c>
      <c r="B6" s="12"/>
      <c r="C6" s="16" t="n">
        <v>-657</v>
      </c>
      <c r="F6" s="16" t="n">
        <v>21</v>
      </c>
      <c r="G6" s="16" t="n">
        <v>-1</v>
      </c>
      <c r="I6" s="18" t="s">
        <v>171</v>
      </c>
    </row>
    <row r="7" customFormat="false" ht="15" hidden="false" customHeight="false" outlineLevel="0" collapsed="false">
      <c r="A7" s="12" t="s">
        <v>176</v>
      </c>
      <c r="B7" s="12"/>
      <c r="C7" s="16" t="n">
        <v>4423</v>
      </c>
      <c r="F7" s="16" t="n">
        <v>2006</v>
      </c>
      <c r="G7" s="16" t="n">
        <v>469</v>
      </c>
      <c r="I7" s="18" t="s">
        <v>171</v>
      </c>
    </row>
    <row r="8" customFormat="false" ht="15" hidden="false" customHeight="false" outlineLevel="0" collapsed="false">
      <c r="A8" s="12" t="s">
        <v>177</v>
      </c>
      <c r="B8" s="12"/>
      <c r="C8" s="16" t="n">
        <v>-6355</v>
      </c>
      <c r="F8" s="16" t="n">
        <v>-1561</v>
      </c>
      <c r="G8" s="16" t="n">
        <v>-3973</v>
      </c>
      <c r="I8" s="18" t="s">
        <v>171</v>
      </c>
    </row>
    <row r="9" customFormat="false" ht="15" hidden="false" customHeight="false" outlineLevel="0" collapsed="false">
      <c r="A9" s="12" t="s">
        <v>178</v>
      </c>
      <c r="B9" s="12"/>
      <c r="C9" s="16" t="n">
        <v>-2589</v>
      </c>
      <c r="F9" s="16" t="n">
        <v>466</v>
      </c>
      <c r="G9" s="16" t="n">
        <v>-3505</v>
      </c>
      <c r="I9" s="18" t="s">
        <v>95</v>
      </c>
    </row>
    <row r="11" customFormat="false" ht="15" hidden="false" customHeight="false" outlineLevel="0" collapsed="false">
      <c r="A11" s="15" t="s">
        <v>179</v>
      </c>
      <c r="B11" s="15"/>
      <c r="C11" s="15"/>
      <c r="D11" s="15"/>
      <c r="E11" s="15"/>
      <c r="F11" s="15"/>
      <c r="G11" s="15"/>
      <c r="H11" s="15"/>
      <c r="I11" s="15"/>
    </row>
    <row r="12" customFormat="false" ht="15" hidden="false" customHeight="false" outlineLevel="0" collapsed="false">
      <c r="A12" s="12" t="s">
        <v>180</v>
      </c>
      <c r="B12" s="12"/>
      <c r="C12" s="16" t="n">
        <v>653</v>
      </c>
      <c r="F12" s="16" t="n">
        <v>1154</v>
      </c>
      <c r="G12" s="16" t="n">
        <v>997</v>
      </c>
      <c r="I12" s="18" t="s">
        <v>171</v>
      </c>
    </row>
    <row r="13" customFormat="false" ht="15" hidden="false" customHeight="false" outlineLevel="0" collapsed="false">
      <c r="A13" s="12" t="s">
        <v>181</v>
      </c>
      <c r="B13" s="12"/>
      <c r="C13" s="16" t="n">
        <v>7168</v>
      </c>
      <c r="F13" s="16" t="n">
        <v>3849</v>
      </c>
      <c r="G13" s="16" t="n">
        <v>1602</v>
      </c>
      <c r="I13" s="18" t="s">
        <v>171</v>
      </c>
    </row>
    <row r="14" customFormat="false" ht="15" hidden="false" customHeight="false" outlineLevel="0" collapsed="false">
      <c r="A14" s="12" t="s">
        <v>182</v>
      </c>
      <c r="B14" s="12"/>
      <c r="C14" s="16" t="n">
        <v>-1237</v>
      </c>
      <c r="F14" s="16" t="n">
        <v>347</v>
      </c>
      <c r="G14" s="16" t="n">
        <v>1222</v>
      </c>
      <c r="I14" s="18" t="s">
        <v>171</v>
      </c>
    </row>
    <row r="15" customFormat="false" ht="15" hidden="false" customHeight="false" outlineLevel="0" collapsed="false">
      <c r="A15" s="12" t="s">
        <v>183</v>
      </c>
      <c r="B15" s="16" t="n">
        <v>8690</v>
      </c>
      <c r="C15" s="16" t="n">
        <v>7821</v>
      </c>
      <c r="D15" s="12" t="n">
        <f aca="false">B15-C15</f>
        <v>869</v>
      </c>
      <c r="E15" s="26" t="n">
        <f aca="false">IFERROR((B15-C15)/C15,"")</f>
        <v>0.111111111111111</v>
      </c>
      <c r="F15" s="16" t="n">
        <v>5003</v>
      </c>
      <c r="G15" s="16" t="n">
        <v>2599</v>
      </c>
      <c r="I15" s="18" t="s">
        <v>184</v>
      </c>
    </row>
    <row r="16" customFormat="false" ht="15" hidden="false" customHeight="false" outlineLevel="0" collapsed="false">
      <c r="A16" s="12" t="s">
        <v>185</v>
      </c>
      <c r="B16" s="12"/>
      <c r="C16" s="16" t="n">
        <v>6584</v>
      </c>
      <c r="F16" s="12"/>
      <c r="G16" s="12"/>
      <c r="I16" s="18" t="s">
        <v>186</v>
      </c>
    </row>
    <row r="18" customFormat="false" ht="15" hidden="false" customHeight="false" outlineLevel="0" collapsed="false">
      <c r="A18" s="15" t="s">
        <v>187</v>
      </c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12" t="s">
        <v>188</v>
      </c>
      <c r="B19" s="12" t="s">
        <v>189</v>
      </c>
      <c r="C19" s="12" t="s">
        <v>190</v>
      </c>
      <c r="F19" s="12"/>
      <c r="G19" s="12"/>
      <c r="I19" s="18" t="s">
        <v>191</v>
      </c>
    </row>
    <row r="20" customFormat="false" ht="15" hidden="false" customHeight="false" outlineLevel="0" collapsed="false">
      <c r="A20" s="12" t="s">
        <v>192</v>
      </c>
      <c r="B20" s="12"/>
      <c r="C20" s="12" t="s">
        <v>193</v>
      </c>
      <c r="F20" s="12" t="s">
        <v>194</v>
      </c>
      <c r="G20" s="12" t="s">
        <v>195</v>
      </c>
      <c r="I20" s="18" t="s">
        <v>191</v>
      </c>
    </row>
    <row r="21" customFormat="false" ht="15" hidden="false" customHeight="false" outlineLevel="0" collapsed="false">
      <c r="A21" s="12" t="s">
        <v>196</v>
      </c>
      <c r="B21" s="12"/>
      <c r="C21" s="12" t="s">
        <v>197</v>
      </c>
      <c r="F21" s="12" t="s">
        <v>198</v>
      </c>
      <c r="G21" s="12" t="s">
        <v>199</v>
      </c>
      <c r="I21" s="18" t="s">
        <v>191</v>
      </c>
    </row>
    <row r="23" customFormat="false" ht="15" hidden="false" customHeight="false" outlineLevel="0" collapsed="false">
      <c r="A23" s="15" t="s">
        <v>200</v>
      </c>
      <c r="B23" s="15"/>
      <c r="C23" s="15"/>
      <c r="D23" s="15"/>
      <c r="E23" s="15"/>
      <c r="F23" s="15"/>
      <c r="G23" s="15"/>
      <c r="H23" s="15"/>
      <c r="I23" s="15"/>
    </row>
    <row r="24" customFormat="false" ht="15" hidden="false" customHeight="false" outlineLevel="0" collapsed="false">
      <c r="A24" s="12" t="s">
        <v>201</v>
      </c>
      <c r="B24" s="12"/>
      <c r="C24" s="16" t="n">
        <v>3004</v>
      </c>
      <c r="F24" s="16" t="n">
        <v>1835</v>
      </c>
      <c r="G24" s="12"/>
      <c r="I24" s="18" t="s">
        <v>202</v>
      </c>
    </row>
    <row r="25" customFormat="false" ht="15" hidden="false" customHeight="false" outlineLevel="0" collapsed="false">
      <c r="A25" s="12" t="s">
        <v>203</v>
      </c>
      <c r="B25" s="12"/>
      <c r="C25" s="16" t="n">
        <v>575</v>
      </c>
      <c r="F25" s="16" t="n">
        <v>453</v>
      </c>
      <c r="G25" s="12"/>
      <c r="I25" s="18" t="s">
        <v>204</v>
      </c>
    </row>
    <row r="26" customFormat="false" ht="15" hidden="false" customHeight="false" outlineLevel="0" collapsed="false">
      <c r="A26" s="12" t="s">
        <v>205</v>
      </c>
      <c r="B26" s="12"/>
      <c r="C26" s="16" t="n">
        <v>5064</v>
      </c>
      <c r="F26" s="16" t="n">
        <v>1176</v>
      </c>
      <c r="G26" s="12"/>
      <c r="I26" s="18" t="s">
        <v>204</v>
      </c>
    </row>
    <row r="27" customFormat="false" ht="15" hidden="false" customHeight="false" outlineLevel="0" collapsed="false">
      <c r="A27" s="12" t="s">
        <v>206</v>
      </c>
      <c r="B27" s="12"/>
      <c r="C27" s="16" t="n">
        <v>5915</v>
      </c>
      <c r="F27" s="16" t="n">
        <v>2977</v>
      </c>
      <c r="G27" s="16" t="n">
        <v>1897</v>
      </c>
      <c r="I27" s="18" t="s">
        <v>207</v>
      </c>
    </row>
    <row r="28" customFormat="false" ht="15" hidden="false" customHeight="false" outlineLevel="0" collapsed="false">
      <c r="A28" s="12" t="s">
        <v>208</v>
      </c>
      <c r="B28" s="12"/>
      <c r="C28" s="16" t="n">
        <v>5921</v>
      </c>
      <c r="F28" s="16" t="n">
        <v>4768</v>
      </c>
      <c r="G28" s="12"/>
      <c r="I28" s="18" t="s">
        <v>204</v>
      </c>
    </row>
    <row r="29" customFormat="false" ht="15" hidden="false" customHeight="false" outlineLevel="0" collapsed="false">
      <c r="A29" s="12" t="s">
        <v>209</v>
      </c>
      <c r="B29" s="12"/>
      <c r="C29" s="16" t="n">
        <v>468</v>
      </c>
      <c r="F29" s="16" t="n">
        <v>333</v>
      </c>
      <c r="G29" s="12"/>
      <c r="I29" s="18" t="s">
        <v>204</v>
      </c>
    </row>
  </sheetData>
  <mergeCells count="5">
    <mergeCell ref="A1:I1"/>
    <mergeCell ref="A5:I5"/>
    <mergeCell ref="A11:I11"/>
    <mergeCell ref="A18:I18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7" min="6" style="0" width="13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24" t="s">
        <v>210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8" t="s">
        <v>211</v>
      </c>
    </row>
    <row r="4" customFormat="false" ht="15" hidden="false" customHeight="false" outlineLevel="0" collapsed="false">
      <c r="A4" s="25" t="s">
        <v>212</v>
      </c>
      <c r="B4" s="25" t="s">
        <v>110</v>
      </c>
      <c r="C4" s="25" t="s">
        <v>60</v>
      </c>
      <c r="D4" s="25" t="s">
        <v>111</v>
      </c>
      <c r="E4" s="25" t="s">
        <v>62</v>
      </c>
      <c r="F4" s="25" t="s">
        <v>63</v>
      </c>
      <c r="G4" s="25" t="s">
        <v>64</v>
      </c>
      <c r="H4" s="25" t="s">
        <v>66</v>
      </c>
    </row>
    <row r="5" customFormat="false" ht="15" hidden="false" customHeight="false" outlineLevel="0" collapsed="false">
      <c r="A5" s="15" t="s">
        <v>213</v>
      </c>
      <c r="B5" s="15"/>
      <c r="C5" s="15"/>
      <c r="D5" s="15"/>
      <c r="E5" s="15"/>
      <c r="F5" s="15"/>
      <c r="G5" s="15"/>
      <c r="H5" s="15"/>
    </row>
    <row r="6" customFormat="false" ht="15" hidden="false" customHeight="false" outlineLevel="0" collapsed="false">
      <c r="A6" s="12" t="s">
        <v>214</v>
      </c>
      <c r="B6" s="12"/>
      <c r="C6" s="16" t="n">
        <v>3832</v>
      </c>
      <c r="F6" s="16" t="n">
        <v>2032</v>
      </c>
      <c r="G6" s="16" t="n">
        <v>1497</v>
      </c>
      <c r="H6" s="18" t="s">
        <v>171</v>
      </c>
    </row>
    <row r="7" customFormat="false" ht="15" hidden="false" customHeight="false" outlineLevel="0" collapsed="false">
      <c r="A7" s="12" t="s">
        <v>215</v>
      </c>
      <c r="B7" s="12"/>
      <c r="C7" s="16" t="n">
        <v>4178</v>
      </c>
      <c r="F7" s="16" t="n">
        <v>3498</v>
      </c>
      <c r="G7" s="16" t="n">
        <v>2455</v>
      </c>
      <c r="H7" s="18" t="s">
        <v>171</v>
      </c>
    </row>
    <row r="8" customFormat="false" ht="15" hidden="false" customHeight="false" outlineLevel="0" collapsed="false">
      <c r="A8" s="12" t="s">
        <v>216</v>
      </c>
      <c r="B8" s="12"/>
      <c r="C8" s="16" t="n">
        <v>12727</v>
      </c>
      <c r="F8" s="16" t="n">
        <v>5633</v>
      </c>
      <c r="G8" s="16" t="n">
        <v>463</v>
      </c>
      <c r="H8" s="18" t="s">
        <v>171</v>
      </c>
    </row>
    <row r="9" customFormat="false" ht="15" hidden="false" customHeight="false" outlineLevel="0" collapsed="false">
      <c r="A9" s="12" t="s">
        <v>217</v>
      </c>
      <c r="B9" s="12"/>
      <c r="C9" s="16" t="n">
        <v>8010</v>
      </c>
      <c r="F9" s="16" t="n">
        <v>5530</v>
      </c>
      <c r="G9" s="16" t="n">
        <v>3952</v>
      </c>
      <c r="H9" s="18" t="s">
        <v>191</v>
      </c>
    </row>
    <row r="10" customFormat="false" ht="15" hidden="false" customHeight="false" outlineLevel="0" collapsed="false">
      <c r="A10" s="12" t="s">
        <v>218</v>
      </c>
      <c r="B10" s="12"/>
      <c r="C10" s="16" t="n">
        <v>20737</v>
      </c>
      <c r="F10" s="16" t="n">
        <v>11163</v>
      </c>
      <c r="G10" s="16" t="n">
        <v>4415</v>
      </c>
      <c r="H10" s="18" t="s">
        <v>171</v>
      </c>
    </row>
    <row r="12" customFormat="false" ht="15" hidden="false" customHeight="false" outlineLevel="0" collapsed="false">
      <c r="A12" s="15" t="s">
        <v>219</v>
      </c>
      <c r="B12" s="15"/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A13" s="12" t="s">
        <v>220</v>
      </c>
      <c r="B13" s="12"/>
      <c r="C13" s="16" t="n">
        <v>6785</v>
      </c>
      <c r="F13" s="16" t="n">
        <v>5776</v>
      </c>
      <c r="G13" s="16" t="n">
        <v>4520</v>
      </c>
      <c r="H13" s="18" t="s">
        <v>95</v>
      </c>
    </row>
    <row r="14" customFormat="false" ht="15" hidden="false" customHeight="false" outlineLevel="0" collapsed="false">
      <c r="A14" s="12" t="s">
        <v>221</v>
      </c>
      <c r="B14" s="12"/>
      <c r="C14" s="16" t="n">
        <v>-19575</v>
      </c>
      <c r="F14" s="16" t="n">
        <v>-10796</v>
      </c>
      <c r="G14" s="16" t="n">
        <v>-4867</v>
      </c>
      <c r="H14" s="18" t="s">
        <v>95</v>
      </c>
    </row>
    <row r="15" customFormat="false" ht="15" hidden="false" customHeight="false" outlineLevel="0" collapsed="false">
      <c r="A15" s="12" t="s">
        <v>222</v>
      </c>
      <c r="B15" s="12"/>
      <c r="C15" s="16" t="n">
        <v>26350</v>
      </c>
      <c r="F15" s="16" t="n">
        <v>11830</v>
      </c>
      <c r="G15" s="16" t="n">
        <v>422</v>
      </c>
      <c r="H15" s="18" t="s">
        <v>95</v>
      </c>
    </row>
    <row r="17" customFormat="false" ht="15" hidden="false" customHeight="false" outlineLevel="0" collapsed="false">
      <c r="A17" s="15" t="s">
        <v>223</v>
      </c>
      <c r="B17" s="15"/>
      <c r="C17" s="15"/>
      <c r="D17" s="15"/>
      <c r="E17" s="15"/>
      <c r="F17" s="15"/>
      <c r="G17" s="15"/>
      <c r="H17" s="15"/>
    </row>
    <row r="18" customFormat="false" ht="15" hidden="false" customHeight="false" outlineLevel="0" collapsed="false">
      <c r="A18" s="12" t="s">
        <v>224</v>
      </c>
      <c r="B18" s="16" t="n">
        <v>5000</v>
      </c>
      <c r="C18" s="12"/>
      <c r="D18" s="12" t="n">
        <f aca="false">B18-F18</f>
        <v>-6385</v>
      </c>
      <c r="E18" s="26" t="n">
        <f aca="false">IFERROR((B18-F18)/F18,"")</f>
        <v>-0.56082564778217</v>
      </c>
      <c r="F18" s="16" t="n">
        <v>11385</v>
      </c>
      <c r="G18" s="12"/>
      <c r="H18" s="18" t="s">
        <v>225</v>
      </c>
    </row>
    <row r="19" customFormat="false" ht="15" hidden="false" customHeight="false" outlineLevel="0" collapsed="false">
      <c r="A19" s="12" t="s">
        <v>226</v>
      </c>
      <c r="B19" s="12"/>
      <c r="C19" s="16" t="n">
        <v>15852</v>
      </c>
      <c r="F19" s="12"/>
      <c r="G19" s="12"/>
      <c r="H19" s="18" t="s">
        <v>95</v>
      </c>
    </row>
    <row r="20" customFormat="false" ht="15" hidden="false" customHeight="false" outlineLevel="0" collapsed="false">
      <c r="A20" s="12" t="s">
        <v>227</v>
      </c>
      <c r="B20" s="12"/>
      <c r="C20" s="16" t="n">
        <v>24747</v>
      </c>
      <c r="F20" s="16" t="n">
        <v>11385</v>
      </c>
      <c r="G20" s="12"/>
      <c r="H20" s="18" t="s">
        <v>95</v>
      </c>
    </row>
    <row r="21" customFormat="false" ht="15" hidden="false" customHeight="false" outlineLevel="0" collapsed="false">
      <c r="A21" s="12" t="s">
        <v>228</v>
      </c>
      <c r="B21" s="12"/>
      <c r="C21" s="16" t="n">
        <v>102094</v>
      </c>
      <c r="F21" s="12"/>
      <c r="G21" s="12"/>
      <c r="H21" s="18" t="s">
        <v>95</v>
      </c>
    </row>
    <row r="22" customFormat="false" ht="15" hidden="false" customHeight="false" outlineLevel="0" collapsed="false">
      <c r="A22" s="12" t="s">
        <v>229</v>
      </c>
      <c r="B22" s="12"/>
      <c r="C22" s="16" t="n">
        <v>92079</v>
      </c>
      <c r="F22" s="16" t="n">
        <v>57062</v>
      </c>
      <c r="G22" s="12"/>
      <c r="H22" s="18" t="s">
        <v>95</v>
      </c>
    </row>
    <row r="23" customFormat="false" ht="15" hidden="false" customHeight="false" outlineLevel="0" collapsed="false">
      <c r="A23" s="12" t="s">
        <v>230</v>
      </c>
      <c r="B23" s="12"/>
      <c r="C23" s="16" t="n">
        <v>42602</v>
      </c>
      <c r="F23" s="16" t="n">
        <v>21147</v>
      </c>
      <c r="G23" s="12"/>
      <c r="H23" s="18" t="s">
        <v>231</v>
      </c>
    </row>
    <row r="24" customFormat="false" ht="15" hidden="false" customHeight="false" outlineLevel="0" collapsed="false">
      <c r="A24" s="12" t="s">
        <v>232</v>
      </c>
      <c r="B24" s="12"/>
      <c r="C24" s="16" t="n">
        <v>22694</v>
      </c>
      <c r="F24" s="16" t="n">
        <v>6892</v>
      </c>
      <c r="G24" s="12"/>
      <c r="H24" s="18" t="s">
        <v>233</v>
      </c>
    </row>
    <row r="25" customFormat="false" ht="15" hidden="false" customHeight="false" outlineLevel="0" collapsed="false">
      <c r="A25" s="12" t="s">
        <v>234</v>
      </c>
      <c r="B25" s="12"/>
      <c r="C25" s="16" t="n">
        <v>11949</v>
      </c>
      <c r="F25" s="16" t="n">
        <v>7591</v>
      </c>
      <c r="G25" s="12"/>
      <c r="H25" s="18" t="s">
        <v>235</v>
      </c>
    </row>
    <row r="26" customFormat="false" ht="15" hidden="false" customHeight="false" outlineLevel="0" collapsed="false">
      <c r="A26" s="12" t="s">
        <v>236</v>
      </c>
      <c r="B26" s="12"/>
      <c r="C26" s="16" t="n">
        <v>2960</v>
      </c>
      <c r="F26" s="16" t="n">
        <v>224</v>
      </c>
      <c r="G26" s="12"/>
      <c r="H26" s="18" t="s">
        <v>235</v>
      </c>
    </row>
    <row r="27" customFormat="false" ht="15" hidden="false" customHeight="false" outlineLevel="0" collapsed="false">
      <c r="A27" s="12" t="s">
        <v>237</v>
      </c>
      <c r="B27" s="12"/>
      <c r="C27" s="16" t="n">
        <v>2404</v>
      </c>
      <c r="F27" s="16" t="n">
        <v>2121</v>
      </c>
      <c r="G27" s="12"/>
      <c r="H27" s="18" t="s">
        <v>235</v>
      </c>
    </row>
    <row r="28" customFormat="false" ht="15" hidden="false" customHeight="false" outlineLevel="0" collapsed="false">
      <c r="A28" s="12" t="s">
        <v>238</v>
      </c>
      <c r="B28" s="12"/>
      <c r="C28" s="16" t="n">
        <v>-12701</v>
      </c>
      <c r="F28" s="16" t="n">
        <v>-7540</v>
      </c>
      <c r="G28" s="12"/>
      <c r="H28" s="18" t="s">
        <v>235</v>
      </c>
    </row>
    <row r="30" customFormat="false" ht="15" hidden="false" customHeight="false" outlineLevel="0" collapsed="false">
      <c r="A30" s="15" t="s">
        <v>239</v>
      </c>
      <c r="B30" s="15"/>
      <c r="C30" s="15"/>
      <c r="D30" s="15"/>
      <c r="E30" s="15"/>
      <c r="F30" s="15"/>
      <c r="G30" s="15"/>
      <c r="H30" s="15"/>
    </row>
    <row r="31" customFormat="false" ht="15" hidden="false" customHeight="false" outlineLevel="0" collapsed="false">
      <c r="A31" s="12" t="s">
        <v>240</v>
      </c>
      <c r="B31" s="12"/>
      <c r="C31" s="16" t="n">
        <v>28377</v>
      </c>
      <c r="F31" s="12"/>
      <c r="G31" s="12"/>
      <c r="H31" s="18" t="s">
        <v>89</v>
      </c>
    </row>
    <row r="32" customFormat="false" ht="15" hidden="false" customHeight="false" outlineLevel="0" collapsed="false">
      <c r="A32" s="12" t="s">
        <v>241</v>
      </c>
      <c r="B32" s="12"/>
      <c r="C32" s="12" t="s">
        <v>242</v>
      </c>
      <c r="F32" s="12"/>
      <c r="G32" s="12"/>
      <c r="H32" s="18" t="s">
        <v>89</v>
      </c>
    </row>
    <row r="33" customFormat="false" ht="15" hidden="false" customHeight="false" outlineLevel="0" collapsed="false">
      <c r="A33" s="12" t="s">
        <v>243</v>
      </c>
      <c r="B33" s="12"/>
      <c r="C33" s="12" t="s">
        <v>244</v>
      </c>
      <c r="F33" s="12"/>
      <c r="G33" s="12"/>
      <c r="H33" s="18" t="s">
        <v>89</v>
      </c>
    </row>
    <row r="34" customFormat="false" ht="15" hidden="false" customHeight="false" outlineLevel="0" collapsed="false">
      <c r="A34" s="12" t="s">
        <v>245</v>
      </c>
      <c r="B34" s="12"/>
      <c r="C34" s="16" t="n">
        <v>12116</v>
      </c>
      <c r="F34" s="16" t="n">
        <v>10179</v>
      </c>
      <c r="G34" s="12"/>
      <c r="H34" s="18" t="s">
        <v>89</v>
      </c>
    </row>
  </sheetData>
  <mergeCells count="5">
    <mergeCell ref="A1:H1"/>
    <mergeCell ref="A5:H5"/>
    <mergeCell ref="A12:H12"/>
    <mergeCell ref="A17:H17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24" t="s">
        <v>246</v>
      </c>
      <c r="B1" s="24"/>
      <c r="C1" s="24"/>
      <c r="D1" s="24"/>
      <c r="E1" s="24"/>
    </row>
    <row r="2" customFormat="false" ht="15" hidden="false" customHeight="false" outlineLevel="0" collapsed="false">
      <c r="A2" s="18" t="s">
        <v>247</v>
      </c>
    </row>
    <row r="4" customFormat="false" ht="15" hidden="false" customHeight="false" outlineLevel="0" collapsed="false">
      <c r="A4" s="25" t="s">
        <v>248</v>
      </c>
      <c r="B4" s="25" t="s">
        <v>249</v>
      </c>
      <c r="C4" s="25" t="s">
        <v>250</v>
      </c>
      <c r="D4" s="25" t="s">
        <v>251</v>
      </c>
      <c r="E4" s="25" t="s">
        <v>66</v>
      </c>
    </row>
    <row r="5" customFormat="false" ht="60" hidden="false" customHeight="true" outlineLevel="0" collapsed="false">
      <c r="A5" s="5" t="s">
        <v>252</v>
      </c>
      <c r="B5" s="6" t="s">
        <v>253</v>
      </c>
      <c r="C5" s="6" t="s">
        <v>254</v>
      </c>
      <c r="D5" s="6" t="s">
        <v>255</v>
      </c>
      <c r="E5" s="27" t="s">
        <v>256</v>
      </c>
    </row>
    <row r="6" customFormat="false" ht="60" hidden="false" customHeight="true" outlineLevel="0" collapsed="false">
      <c r="A6" s="5" t="s">
        <v>257</v>
      </c>
      <c r="B6" s="6" t="s">
        <v>258</v>
      </c>
      <c r="C6" s="6" t="s">
        <v>259</v>
      </c>
      <c r="D6" s="6" t="s">
        <v>260</v>
      </c>
      <c r="E6" s="27" t="s">
        <v>147</v>
      </c>
    </row>
    <row r="7" customFormat="false" ht="60" hidden="false" customHeight="true" outlineLevel="0" collapsed="false">
      <c r="A7" s="5" t="s">
        <v>261</v>
      </c>
      <c r="B7" s="6" t="s">
        <v>262</v>
      </c>
      <c r="C7" s="6" t="s">
        <v>263</v>
      </c>
      <c r="D7" s="6" t="s">
        <v>264</v>
      </c>
      <c r="E7" s="27" t="s">
        <v>265</v>
      </c>
    </row>
    <row r="8" customFormat="false" ht="60" hidden="false" customHeight="true" outlineLevel="0" collapsed="false">
      <c r="A8" s="5" t="s">
        <v>266</v>
      </c>
      <c r="B8" s="6" t="s">
        <v>267</v>
      </c>
      <c r="C8" s="6" t="s">
        <v>268</v>
      </c>
      <c r="D8" s="6" t="s">
        <v>269</v>
      </c>
      <c r="E8" s="27" t="s">
        <v>270</v>
      </c>
    </row>
    <row r="9" customFormat="false" ht="60" hidden="false" customHeight="true" outlineLevel="0" collapsed="false">
      <c r="A9" s="5" t="s">
        <v>271</v>
      </c>
      <c r="B9" s="6" t="s">
        <v>272</v>
      </c>
      <c r="C9" s="6" t="s">
        <v>273</v>
      </c>
      <c r="D9" s="6" t="s">
        <v>274</v>
      </c>
      <c r="E9" s="27" t="s">
        <v>275</v>
      </c>
    </row>
    <row r="10" customFormat="false" ht="60" hidden="false" customHeight="true" outlineLevel="0" collapsed="false">
      <c r="A10" s="5" t="s">
        <v>276</v>
      </c>
      <c r="B10" s="6" t="s">
        <v>277</v>
      </c>
      <c r="C10" s="6" t="s">
        <v>278</v>
      </c>
      <c r="D10" s="6" t="s">
        <v>279</v>
      </c>
      <c r="E10" s="27" t="s">
        <v>280</v>
      </c>
    </row>
    <row r="11" customFormat="false" ht="60" hidden="false" customHeight="true" outlineLevel="0" collapsed="false">
      <c r="A11" s="5" t="s">
        <v>281</v>
      </c>
      <c r="B11" s="6" t="s">
        <v>282</v>
      </c>
      <c r="C11" s="6" t="s">
        <v>283</v>
      </c>
      <c r="D11" s="6" t="s">
        <v>284</v>
      </c>
      <c r="E11" s="27" t="s">
        <v>285</v>
      </c>
    </row>
    <row r="12" customFormat="false" ht="60" hidden="false" customHeight="true" outlineLevel="0" collapsed="false">
      <c r="A12" s="5" t="s">
        <v>286</v>
      </c>
      <c r="B12" s="6" t="s">
        <v>287</v>
      </c>
      <c r="C12" s="6" t="s">
        <v>288</v>
      </c>
      <c r="D12" s="6" t="s">
        <v>289</v>
      </c>
      <c r="E12" s="27" t="s">
        <v>72</v>
      </c>
    </row>
    <row r="13" customFormat="false" ht="60" hidden="false" customHeight="true" outlineLevel="0" collapsed="false">
      <c r="A13" s="5" t="s">
        <v>290</v>
      </c>
      <c r="B13" s="6" t="s">
        <v>291</v>
      </c>
      <c r="C13" s="6" t="s">
        <v>292</v>
      </c>
      <c r="D13" s="6" t="s">
        <v>293</v>
      </c>
      <c r="E13" s="27" t="s">
        <v>161</v>
      </c>
    </row>
    <row r="14" customFormat="false" ht="60" hidden="false" customHeight="true" outlineLevel="0" collapsed="false">
      <c r="A14" s="5" t="s">
        <v>294</v>
      </c>
      <c r="B14" s="6" t="s">
        <v>295</v>
      </c>
      <c r="C14" s="6" t="s">
        <v>296</v>
      </c>
      <c r="D14" s="6" t="s">
        <v>297</v>
      </c>
      <c r="E14" s="27" t="s">
        <v>121</v>
      </c>
    </row>
    <row r="15" customFormat="false" ht="60" hidden="false" customHeight="true" outlineLevel="0" collapsed="false">
      <c r="A15" s="5" t="s">
        <v>298</v>
      </c>
      <c r="B15" s="6" t="s">
        <v>299</v>
      </c>
      <c r="C15" s="6" t="s">
        <v>300</v>
      </c>
      <c r="D15" s="6" t="s">
        <v>301</v>
      </c>
      <c r="E15" s="27" t="s">
        <v>302</v>
      </c>
    </row>
    <row r="16" customFormat="false" ht="60" hidden="false" customHeight="true" outlineLevel="0" collapsed="false">
      <c r="A16" s="5" t="s">
        <v>303</v>
      </c>
      <c r="B16" s="6" t="s">
        <v>304</v>
      </c>
      <c r="C16" s="6" t="s">
        <v>305</v>
      </c>
      <c r="D16" s="6" t="s">
        <v>306</v>
      </c>
      <c r="E16" s="27" t="s">
        <v>307</v>
      </c>
    </row>
    <row r="17" customFormat="false" ht="60" hidden="false" customHeight="true" outlineLevel="0" collapsed="false">
      <c r="A17" s="5" t="s">
        <v>308</v>
      </c>
      <c r="B17" s="6" t="s">
        <v>309</v>
      </c>
      <c r="C17" s="6" t="s">
        <v>310</v>
      </c>
      <c r="D17" s="6" t="s">
        <v>311</v>
      </c>
      <c r="E17" s="27" t="s">
        <v>136</v>
      </c>
    </row>
    <row r="18" customFormat="false" ht="60" hidden="false" customHeight="true" outlineLevel="0" collapsed="false">
      <c r="A18" s="5" t="s">
        <v>312</v>
      </c>
      <c r="B18" s="6" t="s">
        <v>313</v>
      </c>
      <c r="C18" s="6" t="s">
        <v>314</v>
      </c>
      <c r="D18" s="6" t="s">
        <v>315</v>
      </c>
      <c r="E18" s="27" t="s">
        <v>316</v>
      </c>
    </row>
    <row r="19" customFormat="false" ht="60" hidden="false" customHeight="true" outlineLevel="0" collapsed="false">
      <c r="A19" s="5" t="s">
        <v>317</v>
      </c>
      <c r="B19" s="6" t="s">
        <v>318</v>
      </c>
      <c r="C19" s="6" t="s">
        <v>319</v>
      </c>
      <c r="D19" s="6" t="s">
        <v>320</v>
      </c>
      <c r="E19" s="27" t="s">
        <v>128</v>
      </c>
    </row>
    <row r="20" customFormat="false" ht="60" hidden="false" customHeight="true" outlineLevel="0" collapsed="false">
      <c r="A20" s="5" t="s">
        <v>321</v>
      </c>
      <c r="B20" s="6" t="s">
        <v>322</v>
      </c>
      <c r="C20" s="6" t="s">
        <v>323</v>
      </c>
      <c r="D20" s="6" t="s">
        <v>324</v>
      </c>
      <c r="E20" s="27" t="s">
        <v>325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24" t="s">
        <v>326</v>
      </c>
      <c r="B1" s="24"/>
      <c r="C1" s="24"/>
    </row>
    <row r="2" customFormat="false" ht="15" hidden="false" customHeight="false" outlineLevel="0" collapsed="false">
      <c r="A2" s="18" t="s">
        <v>327</v>
      </c>
    </row>
    <row r="3" customFormat="false" ht="15" hidden="false" customHeight="false" outlineLevel="0" collapsed="false">
      <c r="A3" s="18" t="s">
        <v>328</v>
      </c>
    </row>
    <row r="5" customFormat="false" ht="15" hidden="false" customHeight="false" outlineLevel="0" collapsed="false">
      <c r="A5" s="28" t="s">
        <v>329</v>
      </c>
      <c r="B5" s="28" t="s">
        <v>330</v>
      </c>
      <c r="C5" s="28" t="s">
        <v>331</v>
      </c>
    </row>
    <row r="6" customFormat="false" ht="23.85" hidden="false" customHeight="false" outlineLevel="0" collapsed="false">
      <c r="A6" s="12" t="s">
        <v>332</v>
      </c>
      <c r="B6" s="12" t="s">
        <v>333</v>
      </c>
      <c r="C6" s="6" t="s">
        <v>334</v>
      </c>
    </row>
    <row r="7" customFormat="false" ht="15" hidden="false" customHeight="false" outlineLevel="0" collapsed="false">
      <c r="A7" s="12" t="s">
        <v>335</v>
      </c>
      <c r="B7" s="12" t="s">
        <v>336</v>
      </c>
      <c r="C7" s="6" t="s">
        <v>337</v>
      </c>
    </row>
    <row r="8" customFormat="false" ht="15" hidden="false" customHeight="false" outlineLevel="0" collapsed="false">
      <c r="A8" s="12" t="s">
        <v>338</v>
      </c>
      <c r="B8" s="12" t="s">
        <v>339</v>
      </c>
      <c r="C8" s="6" t="s">
        <v>340</v>
      </c>
    </row>
    <row r="9" customFormat="false" ht="15" hidden="false" customHeight="false" outlineLevel="0" collapsed="false">
      <c r="A9" s="12" t="s">
        <v>341</v>
      </c>
      <c r="B9" s="12" t="s">
        <v>342</v>
      </c>
      <c r="C9" s="6" t="s">
        <v>343</v>
      </c>
    </row>
    <row r="10" customFormat="false" ht="15" hidden="false" customHeight="false" outlineLevel="0" collapsed="false">
      <c r="A10" s="12" t="s">
        <v>344</v>
      </c>
      <c r="B10" s="12" t="s">
        <v>345</v>
      </c>
      <c r="C10" s="6" t="s">
        <v>346</v>
      </c>
    </row>
    <row r="11" customFormat="false" ht="15" hidden="false" customHeight="false" outlineLevel="0" collapsed="false">
      <c r="A11" s="12" t="s">
        <v>347</v>
      </c>
      <c r="B11" s="12" t="s">
        <v>348</v>
      </c>
      <c r="C11" s="6" t="s">
        <v>349</v>
      </c>
    </row>
    <row r="12" customFormat="false" ht="15" hidden="false" customHeight="false" outlineLevel="0" collapsed="false">
      <c r="A12" s="12" t="s">
        <v>350</v>
      </c>
      <c r="B12" s="12" t="s">
        <v>351</v>
      </c>
      <c r="C12" s="6" t="s">
        <v>352</v>
      </c>
    </row>
    <row r="13" customFormat="false" ht="15" hidden="false" customHeight="false" outlineLevel="0" collapsed="false">
      <c r="A13" s="12" t="s">
        <v>353</v>
      </c>
      <c r="B13" s="12" t="s">
        <v>354</v>
      </c>
      <c r="C13" s="6" t="s">
        <v>355</v>
      </c>
    </row>
    <row r="14" customFormat="false" ht="15" hidden="false" customHeight="false" outlineLevel="0" collapsed="false">
      <c r="A14" s="12" t="s">
        <v>356</v>
      </c>
      <c r="B14" s="12" t="s">
        <v>357</v>
      </c>
      <c r="C14" s="6" t="s">
        <v>358</v>
      </c>
    </row>
    <row r="15" customFormat="false" ht="15" hidden="false" customHeight="false" outlineLevel="0" collapsed="false">
      <c r="A15" s="12" t="s">
        <v>359</v>
      </c>
      <c r="B15" s="12" t="s">
        <v>360</v>
      </c>
      <c r="C15" s="6" t="s">
        <v>361</v>
      </c>
    </row>
    <row r="16" customFormat="false" ht="15" hidden="false" customHeight="false" outlineLevel="0" collapsed="false">
      <c r="A16" s="12" t="s">
        <v>362</v>
      </c>
      <c r="B16" s="12" t="s">
        <v>363</v>
      </c>
      <c r="C16" s="6" t="s">
        <v>364</v>
      </c>
    </row>
    <row r="17" customFormat="false" ht="15" hidden="false" customHeight="false" outlineLevel="0" collapsed="false">
      <c r="A17" s="12" t="s">
        <v>365</v>
      </c>
      <c r="B17" s="12" t="s">
        <v>366</v>
      </c>
      <c r="C17" s="6" t="s">
        <v>367</v>
      </c>
    </row>
    <row r="18" customFormat="false" ht="23.85" hidden="false" customHeight="false" outlineLevel="0" collapsed="false">
      <c r="A18" s="12" t="s">
        <v>368</v>
      </c>
      <c r="B18" s="12" t="s">
        <v>369</v>
      </c>
      <c r="C18" s="6" t="s">
        <v>370</v>
      </c>
    </row>
    <row r="19" customFormat="false" ht="15" hidden="false" customHeight="false" outlineLevel="0" collapsed="false">
      <c r="A19" s="12" t="s">
        <v>371</v>
      </c>
      <c r="B19" s="12" t="s">
        <v>372</v>
      </c>
      <c r="C19" s="6" t="s">
        <v>373</v>
      </c>
    </row>
    <row r="20" customFormat="false" ht="15" hidden="false" customHeight="false" outlineLevel="0" collapsed="false">
      <c r="A20" s="12" t="s">
        <v>374</v>
      </c>
      <c r="B20" s="12" t="s">
        <v>375</v>
      </c>
      <c r="C20" s="6" t="s">
        <v>376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2026-05-21T13:30:20Z</dcterms:created>
  <dc:creator>openpyxl</dc:creator>
  <dc:description/>
  <dc:language>en-US</dc:language>
  <cp:lastModifiedBy/>
  <dcterms:modified xsi:type="dcterms:W3CDTF">2026-05-21T13:30:20Z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