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saigau/Downloads/"/>
    </mc:Choice>
  </mc:AlternateContent>
  <xr:revisionPtr revIDLastSave="0" documentId="8_{EB739545-BFDE-B545-A09E-34BD7DFCA0D9}" xr6:coauthVersionLast="47" xr6:coauthVersionMax="47" xr10:uidLastSave="{00000000-0000-0000-0000-000000000000}"/>
  <bookViews>
    <workbookView xWindow="-17160" yWindow="-28200" windowWidth="68800" windowHeight="28200" activeTab="11" xr2:uid="{00000000-000D-0000-FFFF-FFFF00000000}"/>
  </bookViews>
  <sheets>
    <sheet name="Assumptions" sheetId="1" r:id="rId1"/>
    <sheet name="Demand Curves" sheetId="2" r:id="rId2"/>
    <sheet name="Starlink" sheetId="3" r:id="rId3"/>
    <sheet name="Customer Launch" sheetId="4" r:id="rId4"/>
    <sheet name="Cash Allocation Engine" sheetId="5" r:id="rId5"/>
    <sheet name="AI - Compute" sheetId="6" r:id="rId6"/>
    <sheet name="Lunar - Mars" sheetId="7" r:id="rId7"/>
    <sheet name="Vehicle Build" sheetId="8" r:id="rId8"/>
    <sheet name="Launch Dashboard" sheetId="13" r:id="rId9"/>
    <sheet name="Facilities Build" sheetId="9" r:id="rId10"/>
    <sheet name="Group P&amp;L" sheetId="10" r:id="rId11"/>
    <sheet name="Segment P&amp;L" sheetId="15" r:id="rId12"/>
    <sheet name="Conservation" sheetId="11" r:id="rId13"/>
    <sheet name="SoTP - Valuation" sheetId="12" r:id="rId14"/>
    <sheet name="Claude Log" sheetId="14" r:id="rId15"/>
  </sheets>
  <definedNames>
    <definedName name="_xlnm._FilterDatabase" localSheetId="0" hidden="1">Assumptions!$A$1:$A$462</definedName>
  </definedNames>
  <calcPr calcId="191029" iterate="1" iterateCount="1000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5" i="15" l="1"/>
  <c r="U125" i="15"/>
  <c r="V125" i="15"/>
  <c r="W125" i="15"/>
  <c r="X125" i="15"/>
  <c r="Y125" i="15"/>
  <c r="Z125" i="15"/>
  <c r="AA125" i="15"/>
  <c r="AB125" i="15"/>
  <c r="AC125" i="15"/>
  <c r="T126" i="15"/>
  <c r="U126" i="15"/>
  <c r="V126" i="15"/>
  <c r="W126" i="15"/>
  <c r="X126" i="15"/>
  <c r="Y126" i="15"/>
  <c r="Z126" i="15"/>
  <c r="AA126" i="15"/>
  <c r="AB126" i="15"/>
  <c r="AC126" i="15"/>
  <c r="T127" i="15"/>
  <c r="U127" i="15"/>
  <c r="V127" i="15"/>
  <c r="W127" i="15"/>
  <c r="X127" i="15"/>
  <c r="Y127" i="15"/>
  <c r="Z127" i="15"/>
  <c r="AA127" i="15"/>
  <c r="AB127" i="15"/>
  <c r="AC127" i="15"/>
  <c r="T128" i="15"/>
  <c r="U128" i="15"/>
  <c r="V128" i="15"/>
  <c r="W128" i="15"/>
  <c r="X128" i="15"/>
  <c r="Y128" i="15"/>
  <c r="Z128" i="15"/>
  <c r="AA128" i="15"/>
  <c r="AB128" i="15"/>
  <c r="AC128" i="15"/>
  <c r="T129" i="15"/>
  <c r="U129" i="15"/>
  <c r="V129" i="15"/>
  <c r="W129" i="15"/>
  <c r="X129" i="15"/>
  <c r="Y129" i="15"/>
  <c r="Z129" i="15"/>
  <c r="AA129" i="15"/>
  <c r="AB129" i="15"/>
  <c r="AC129" i="15"/>
  <c r="T111" i="15"/>
  <c r="U111" i="15"/>
  <c r="V111" i="15"/>
  <c r="W111" i="15"/>
  <c r="X111" i="15"/>
  <c r="Y111" i="15"/>
  <c r="Z111" i="15"/>
  <c r="AA111" i="15"/>
  <c r="AB111" i="15"/>
  <c r="AC111" i="15"/>
  <c r="T112" i="15"/>
  <c r="U112" i="15"/>
  <c r="V112" i="15"/>
  <c r="W112" i="15"/>
  <c r="X112" i="15"/>
  <c r="Y112" i="15"/>
  <c r="Z112" i="15"/>
  <c r="AA112" i="15"/>
  <c r="AB112" i="15"/>
  <c r="AC112" i="15"/>
  <c r="T113" i="15"/>
  <c r="U113" i="15"/>
  <c r="V113" i="15"/>
  <c r="W113" i="15"/>
  <c r="X113" i="15"/>
  <c r="Y113" i="15"/>
  <c r="Z113" i="15"/>
  <c r="AA113" i="15"/>
  <c r="AB113" i="15"/>
  <c r="AC113" i="15"/>
  <c r="T114" i="15"/>
  <c r="U114" i="15"/>
  <c r="V114" i="15"/>
  <c r="W114" i="15"/>
  <c r="X114" i="15"/>
  <c r="Y114" i="15"/>
  <c r="Z114" i="15"/>
  <c r="AA114" i="15"/>
  <c r="AB114" i="15"/>
  <c r="AC114" i="15"/>
  <c r="T115" i="15"/>
  <c r="U115" i="15"/>
  <c r="V115" i="15"/>
  <c r="W115" i="15"/>
  <c r="X115" i="15"/>
  <c r="Y115" i="15"/>
  <c r="Z115" i="15"/>
  <c r="AA115" i="15"/>
  <c r="AB115" i="15"/>
  <c r="AC115" i="15"/>
  <c r="T116" i="15"/>
  <c r="U116" i="15"/>
  <c r="V116" i="15"/>
  <c r="W116" i="15"/>
  <c r="X116" i="15"/>
  <c r="Y116" i="15"/>
  <c r="Z116" i="15"/>
  <c r="AA116" i="15"/>
  <c r="AB116" i="15"/>
  <c r="AC116" i="15"/>
  <c r="T117" i="15"/>
  <c r="U117" i="15"/>
  <c r="V117" i="15"/>
  <c r="W117" i="15"/>
  <c r="X117" i="15"/>
  <c r="Y117" i="15"/>
  <c r="Z117" i="15"/>
  <c r="AA117" i="15"/>
  <c r="AB117" i="15"/>
  <c r="AC117" i="15"/>
  <c r="T118" i="15"/>
  <c r="U118" i="15"/>
  <c r="V118" i="15"/>
  <c r="W118" i="15"/>
  <c r="X118" i="15"/>
  <c r="Y118" i="15"/>
  <c r="Z118" i="15"/>
  <c r="AA118" i="15"/>
  <c r="AB118" i="15"/>
  <c r="AC118" i="15"/>
  <c r="T119" i="15"/>
  <c r="U119" i="15"/>
  <c r="V119" i="15"/>
  <c r="W119" i="15"/>
  <c r="X119" i="15"/>
  <c r="Y119" i="15"/>
  <c r="Z119" i="15"/>
  <c r="AA119" i="15"/>
  <c r="AB119" i="15"/>
  <c r="AC119" i="15"/>
  <c r="T120" i="15"/>
  <c r="U120" i="15"/>
  <c r="V120" i="15"/>
  <c r="W120" i="15"/>
  <c r="X120" i="15"/>
  <c r="Y120" i="15"/>
  <c r="Z120" i="15"/>
  <c r="AA120" i="15"/>
  <c r="AB120" i="15"/>
  <c r="AC120" i="15"/>
  <c r="T121" i="15"/>
  <c r="U121" i="15"/>
  <c r="V121" i="15"/>
  <c r="W121" i="15"/>
  <c r="X121" i="15"/>
  <c r="Y121" i="15"/>
  <c r="Z121" i="15"/>
  <c r="AA121" i="15"/>
  <c r="AB121" i="15"/>
  <c r="AC121" i="15"/>
  <c r="T122" i="15"/>
  <c r="U122" i="15"/>
  <c r="V122" i="15"/>
  <c r="W122" i="15"/>
  <c r="X122" i="15"/>
  <c r="Y122" i="15"/>
  <c r="Z122" i="15"/>
  <c r="AA122" i="15"/>
  <c r="AB122" i="15"/>
  <c r="AC122" i="15"/>
  <c r="D115" i="15"/>
  <c r="D114" i="15"/>
  <c r="D113" i="15"/>
  <c r="D112" i="15"/>
  <c r="D111" i="15"/>
  <c r="A9" i="14"/>
  <c r="T104" i="15"/>
  <c r="U104" i="15"/>
  <c r="V104" i="15"/>
  <c r="W104" i="15"/>
  <c r="X104" i="15"/>
  <c r="Y104" i="15"/>
  <c r="Z104" i="15"/>
  <c r="AA104" i="15"/>
  <c r="AB104" i="15"/>
  <c r="AC104" i="15"/>
  <c r="T105" i="15"/>
  <c r="U105" i="15"/>
  <c r="V105" i="15"/>
  <c r="W105" i="15"/>
  <c r="X105" i="15"/>
  <c r="Y105" i="15"/>
  <c r="Z105" i="15"/>
  <c r="AA105" i="15"/>
  <c r="AB105" i="15"/>
  <c r="AC105" i="15"/>
  <c r="T106" i="15"/>
  <c r="U106" i="15"/>
  <c r="V106" i="15"/>
  <c r="W106" i="15"/>
  <c r="X106" i="15"/>
  <c r="Y106" i="15"/>
  <c r="Z106" i="15"/>
  <c r="AA106" i="15"/>
  <c r="AB106" i="15"/>
  <c r="AC106" i="15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Q107" i="15"/>
  <c r="R107" i="15"/>
  <c r="S107" i="15"/>
  <c r="T107" i="15"/>
  <c r="U107" i="15"/>
  <c r="V107" i="15"/>
  <c r="W107" i="15"/>
  <c r="X107" i="15"/>
  <c r="Y107" i="15"/>
  <c r="Z107" i="15"/>
  <c r="AA107" i="15"/>
  <c r="AB107" i="15"/>
  <c r="AC107" i="15"/>
  <c r="T108" i="15"/>
  <c r="U108" i="15"/>
  <c r="V108" i="15"/>
  <c r="W108" i="15"/>
  <c r="X108" i="15"/>
  <c r="Y108" i="15"/>
  <c r="Z108" i="15"/>
  <c r="AA108" i="15"/>
  <c r="AB108" i="15"/>
  <c r="AC108" i="15"/>
  <c r="T96" i="15"/>
  <c r="U96" i="15"/>
  <c r="V96" i="15"/>
  <c r="W96" i="15"/>
  <c r="X96" i="15"/>
  <c r="Y96" i="15"/>
  <c r="Z96" i="15"/>
  <c r="AA96" i="15"/>
  <c r="AB96" i="15"/>
  <c r="AC96" i="15"/>
  <c r="T97" i="15"/>
  <c r="U97" i="15"/>
  <c r="V97" i="15"/>
  <c r="W97" i="15"/>
  <c r="X97" i="15"/>
  <c r="Y97" i="15"/>
  <c r="Z97" i="15"/>
  <c r="AA97" i="15"/>
  <c r="AB97" i="15"/>
  <c r="AC97" i="15"/>
  <c r="T98" i="15"/>
  <c r="U98" i="15"/>
  <c r="V98" i="15"/>
  <c r="W98" i="15"/>
  <c r="X98" i="15"/>
  <c r="Y98" i="15"/>
  <c r="Z98" i="15"/>
  <c r="AA98" i="15"/>
  <c r="AB98" i="15"/>
  <c r="AC98" i="15"/>
  <c r="E99" i="15"/>
  <c r="F99" i="15"/>
  <c r="G99" i="15"/>
  <c r="H99" i="15"/>
  <c r="T99" i="15"/>
  <c r="U99" i="15"/>
  <c r="V99" i="15"/>
  <c r="W99" i="15"/>
  <c r="X99" i="15"/>
  <c r="Y99" i="15"/>
  <c r="Z99" i="15"/>
  <c r="AA99" i="15"/>
  <c r="AB99" i="15"/>
  <c r="AC99" i="15"/>
  <c r="T100" i="15"/>
  <c r="U100" i="15"/>
  <c r="V100" i="15"/>
  <c r="W100" i="15"/>
  <c r="X100" i="15"/>
  <c r="Y100" i="15"/>
  <c r="Z100" i="15"/>
  <c r="AA100" i="15"/>
  <c r="AB100" i="15"/>
  <c r="AC100" i="15"/>
  <c r="T101" i="15"/>
  <c r="U101" i="15"/>
  <c r="V101" i="15"/>
  <c r="W101" i="15"/>
  <c r="X101" i="15"/>
  <c r="Y101" i="15"/>
  <c r="Z101" i="15"/>
  <c r="AA101" i="15"/>
  <c r="AB101" i="15"/>
  <c r="AC101" i="15"/>
  <c r="T88" i="15"/>
  <c r="U88" i="15"/>
  <c r="V88" i="15"/>
  <c r="W88" i="15"/>
  <c r="X88" i="15"/>
  <c r="Y88" i="15"/>
  <c r="Z88" i="15"/>
  <c r="AA88" i="15"/>
  <c r="AB88" i="15"/>
  <c r="AC88" i="15"/>
  <c r="T89" i="15"/>
  <c r="U89" i="15"/>
  <c r="V89" i="15"/>
  <c r="W89" i="15"/>
  <c r="X89" i="15"/>
  <c r="Y89" i="15"/>
  <c r="Z89" i="15"/>
  <c r="AA89" i="15"/>
  <c r="AB89" i="15"/>
  <c r="AC89" i="15"/>
  <c r="T90" i="15"/>
  <c r="U90" i="15"/>
  <c r="V90" i="15"/>
  <c r="W90" i="15"/>
  <c r="X90" i="15"/>
  <c r="Y90" i="15"/>
  <c r="Z90" i="15"/>
  <c r="AA90" i="15"/>
  <c r="AB90" i="15"/>
  <c r="AC90" i="15"/>
  <c r="E91" i="15"/>
  <c r="F91" i="15"/>
  <c r="G91" i="15"/>
  <c r="H91" i="15"/>
  <c r="T91" i="15"/>
  <c r="U91" i="15"/>
  <c r="V91" i="15"/>
  <c r="W91" i="15"/>
  <c r="X91" i="15"/>
  <c r="Y91" i="15"/>
  <c r="Z91" i="15"/>
  <c r="AA91" i="15"/>
  <c r="AB91" i="15"/>
  <c r="AC91" i="15"/>
  <c r="T92" i="15"/>
  <c r="U92" i="15"/>
  <c r="V92" i="15"/>
  <c r="W92" i="15"/>
  <c r="X92" i="15"/>
  <c r="Y92" i="15"/>
  <c r="Z92" i="15"/>
  <c r="AA92" i="15"/>
  <c r="AB92" i="15"/>
  <c r="AC92" i="15"/>
  <c r="T93" i="15"/>
  <c r="U93" i="15"/>
  <c r="V93" i="15"/>
  <c r="W93" i="15"/>
  <c r="X93" i="15"/>
  <c r="Y93" i="15"/>
  <c r="Z93" i="15"/>
  <c r="AA93" i="15"/>
  <c r="AB93" i="15"/>
  <c r="AC93" i="15"/>
  <c r="T84" i="15"/>
  <c r="U84" i="15"/>
  <c r="V84" i="15"/>
  <c r="W84" i="15"/>
  <c r="X84" i="15"/>
  <c r="Y84" i="15"/>
  <c r="Z84" i="15"/>
  <c r="AA84" i="15"/>
  <c r="AB84" i="15"/>
  <c r="AC84" i="15"/>
  <c r="T85" i="15"/>
  <c r="U85" i="15"/>
  <c r="V85" i="15"/>
  <c r="W85" i="15"/>
  <c r="X85" i="15"/>
  <c r="Y85" i="15"/>
  <c r="Z85" i="15"/>
  <c r="AA85" i="15"/>
  <c r="AB85" i="15"/>
  <c r="AC85" i="15"/>
  <c r="T76" i="15"/>
  <c r="U76" i="15"/>
  <c r="V76" i="15"/>
  <c r="W76" i="15"/>
  <c r="X76" i="15"/>
  <c r="Y76" i="15"/>
  <c r="Z76" i="15"/>
  <c r="AA76" i="15"/>
  <c r="AB76" i="15"/>
  <c r="AC76" i="15"/>
  <c r="T77" i="15"/>
  <c r="U77" i="15"/>
  <c r="V77" i="15"/>
  <c r="W77" i="15"/>
  <c r="X77" i="15"/>
  <c r="Y77" i="15"/>
  <c r="Z77" i="15"/>
  <c r="AA77" i="15"/>
  <c r="AB77" i="15"/>
  <c r="AC77" i="15"/>
  <c r="T78" i="15"/>
  <c r="U78" i="15"/>
  <c r="V78" i="15"/>
  <c r="W78" i="15"/>
  <c r="X78" i="15"/>
  <c r="Y78" i="15"/>
  <c r="Z78" i="15"/>
  <c r="AA78" i="15"/>
  <c r="AB78" i="15"/>
  <c r="AC78" i="15"/>
  <c r="E79" i="15"/>
  <c r="F79" i="15"/>
  <c r="G79" i="15"/>
  <c r="H79" i="15"/>
  <c r="T79" i="15"/>
  <c r="U79" i="15"/>
  <c r="V79" i="15"/>
  <c r="W79" i="15"/>
  <c r="X79" i="15"/>
  <c r="Y79" i="15"/>
  <c r="Z79" i="15"/>
  <c r="AA79" i="15"/>
  <c r="AB79" i="15"/>
  <c r="AC79" i="15"/>
  <c r="T80" i="15"/>
  <c r="U80" i="15"/>
  <c r="V80" i="15"/>
  <c r="W80" i="15"/>
  <c r="X80" i="15"/>
  <c r="Y80" i="15"/>
  <c r="Z80" i="15"/>
  <c r="AA80" i="15"/>
  <c r="AB80" i="15"/>
  <c r="AC80" i="15"/>
  <c r="T81" i="15"/>
  <c r="U81" i="15"/>
  <c r="V81" i="15"/>
  <c r="W81" i="15"/>
  <c r="X81" i="15"/>
  <c r="Y81" i="15"/>
  <c r="Z81" i="15"/>
  <c r="AA81" i="15"/>
  <c r="AB81" i="15"/>
  <c r="AC81" i="15"/>
  <c r="T68" i="15"/>
  <c r="U68" i="15"/>
  <c r="V68" i="15"/>
  <c r="W68" i="15"/>
  <c r="X68" i="15"/>
  <c r="Y68" i="15"/>
  <c r="Z68" i="15"/>
  <c r="AA68" i="15"/>
  <c r="AB68" i="15"/>
  <c r="AC68" i="15"/>
  <c r="T69" i="15"/>
  <c r="U69" i="15"/>
  <c r="V69" i="15"/>
  <c r="W69" i="15"/>
  <c r="X69" i="15"/>
  <c r="Y69" i="15"/>
  <c r="Z69" i="15"/>
  <c r="AA69" i="15"/>
  <c r="AB69" i="15"/>
  <c r="AC69" i="15"/>
  <c r="T70" i="15"/>
  <c r="U70" i="15"/>
  <c r="V70" i="15"/>
  <c r="W70" i="15"/>
  <c r="X70" i="15"/>
  <c r="Y70" i="15"/>
  <c r="Z70" i="15"/>
  <c r="AA70" i="15"/>
  <c r="AB70" i="15"/>
  <c r="AC70" i="15"/>
  <c r="E71" i="15"/>
  <c r="F71" i="15"/>
  <c r="G71" i="15"/>
  <c r="H71" i="15"/>
  <c r="T71" i="15"/>
  <c r="U71" i="15"/>
  <c r="V71" i="15"/>
  <c r="W71" i="15"/>
  <c r="X71" i="15"/>
  <c r="Y71" i="15"/>
  <c r="Z71" i="15"/>
  <c r="AA71" i="15"/>
  <c r="AB71" i="15"/>
  <c r="AC71" i="15"/>
  <c r="T72" i="15"/>
  <c r="U72" i="15"/>
  <c r="V72" i="15"/>
  <c r="W72" i="15"/>
  <c r="X72" i="15"/>
  <c r="Y72" i="15"/>
  <c r="Z72" i="15"/>
  <c r="AA72" i="15"/>
  <c r="AB72" i="15"/>
  <c r="AC72" i="15"/>
  <c r="T73" i="15"/>
  <c r="U73" i="15"/>
  <c r="V73" i="15"/>
  <c r="W73" i="15"/>
  <c r="X73" i="15"/>
  <c r="Y73" i="15"/>
  <c r="Z73" i="15"/>
  <c r="AA73" i="15"/>
  <c r="AB73" i="15"/>
  <c r="AC73" i="15"/>
  <c r="T60" i="15"/>
  <c r="U60" i="15"/>
  <c r="V60" i="15"/>
  <c r="W60" i="15"/>
  <c r="X60" i="15"/>
  <c r="Y60" i="15"/>
  <c r="Z60" i="15"/>
  <c r="AA60" i="15"/>
  <c r="AB60" i="15"/>
  <c r="AC60" i="15"/>
  <c r="T61" i="15"/>
  <c r="U61" i="15"/>
  <c r="V61" i="15"/>
  <c r="W61" i="15"/>
  <c r="X61" i="15"/>
  <c r="Y61" i="15"/>
  <c r="Z61" i="15"/>
  <c r="AA61" i="15"/>
  <c r="AB61" i="15"/>
  <c r="AC61" i="15"/>
  <c r="T62" i="15"/>
  <c r="U62" i="15"/>
  <c r="V62" i="15"/>
  <c r="W62" i="15"/>
  <c r="X62" i="15"/>
  <c r="Y62" i="15"/>
  <c r="Z62" i="15"/>
  <c r="AA62" i="15"/>
  <c r="AB62" i="15"/>
  <c r="AC62" i="15"/>
  <c r="E63" i="15"/>
  <c r="F63" i="15"/>
  <c r="G63" i="15"/>
  <c r="H63" i="15"/>
  <c r="T63" i="15"/>
  <c r="U63" i="15"/>
  <c r="V63" i="15"/>
  <c r="W63" i="15"/>
  <c r="X63" i="15"/>
  <c r="Y63" i="15"/>
  <c r="Z63" i="15"/>
  <c r="AA63" i="15"/>
  <c r="AB63" i="15"/>
  <c r="AC63" i="15"/>
  <c r="T64" i="15"/>
  <c r="U64" i="15"/>
  <c r="V64" i="15"/>
  <c r="W64" i="15"/>
  <c r="X64" i="15"/>
  <c r="Y64" i="15"/>
  <c r="Z64" i="15"/>
  <c r="AA64" i="15"/>
  <c r="AB64" i="15"/>
  <c r="AC64" i="15"/>
  <c r="T65" i="15"/>
  <c r="U65" i="15"/>
  <c r="V65" i="15"/>
  <c r="W65" i="15"/>
  <c r="X65" i="15"/>
  <c r="Y65" i="15"/>
  <c r="Z65" i="15"/>
  <c r="AA65" i="15"/>
  <c r="AB65" i="15"/>
  <c r="AC65" i="15"/>
  <c r="T55" i="15"/>
  <c r="U55" i="15"/>
  <c r="V55" i="15"/>
  <c r="W55" i="15"/>
  <c r="X55" i="15"/>
  <c r="Y55" i="15"/>
  <c r="Z55" i="15"/>
  <c r="AA55" i="15"/>
  <c r="AB55" i="15"/>
  <c r="AC55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T57" i="15"/>
  <c r="U57" i="15"/>
  <c r="V57" i="15"/>
  <c r="W57" i="15"/>
  <c r="X57" i="15"/>
  <c r="Y57" i="15"/>
  <c r="Z57" i="15"/>
  <c r="AA57" i="15"/>
  <c r="AB57" i="15"/>
  <c r="AC57" i="15"/>
  <c r="T48" i="15"/>
  <c r="U48" i="15"/>
  <c r="V48" i="15"/>
  <c r="W48" i="15"/>
  <c r="X48" i="15"/>
  <c r="Y48" i="15"/>
  <c r="Z48" i="15"/>
  <c r="AA48" i="15"/>
  <c r="AB48" i="15"/>
  <c r="AC48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T50" i="15"/>
  <c r="U50" i="15"/>
  <c r="V50" i="15"/>
  <c r="W50" i="15"/>
  <c r="X50" i="15"/>
  <c r="Y50" i="15"/>
  <c r="Z50" i="15"/>
  <c r="AA50" i="15"/>
  <c r="AB50" i="15"/>
  <c r="AC50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S52" i="15"/>
  <c r="T52" i="15"/>
  <c r="U52" i="15"/>
  <c r="V52" i="15"/>
  <c r="W52" i="15"/>
  <c r="X52" i="15"/>
  <c r="Y52" i="15"/>
  <c r="Z52" i="15"/>
  <c r="AA52" i="15"/>
  <c r="AB52" i="15"/>
  <c r="AC52" i="15"/>
  <c r="T53" i="15"/>
  <c r="U53" i="15"/>
  <c r="V53" i="15"/>
  <c r="W53" i="15"/>
  <c r="X53" i="15"/>
  <c r="Y53" i="15"/>
  <c r="Z53" i="15"/>
  <c r="AA53" i="15"/>
  <c r="AB53" i="15"/>
  <c r="AC53" i="15"/>
  <c r="T41" i="15"/>
  <c r="U41" i="15"/>
  <c r="V41" i="15"/>
  <c r="W41" i="15"/>
  <c r="X41" i="15"/>
  <c r="Y41" i="15"/>
  <c r="Z41" i="15"/>
  <c r="AA41" i="15"/>
  <c r="AB41" i="15"/>
  <c r="AC41" i="15"/>
  <c r="T42" i="15"/>
  <c r="U42" i="15"/>
  <c r="V42" i="15"/>
  <c r="W42" i="15"/>
  <c r="X42" i="15"/>
  <c r="Y42" i="15"/>
  <c r="Z42" i="15"/>
  <c r="AA42" i="15"/>
  <c r="AB42" i="15"/>
  <c r="AC42" i="15"/>
  <c r="T43" i="15"/>
  <c r="U43" i="15"/>
  <c r="V43" i="15"/>
  <c r="W43" i="15"/>
  <c r="X43" i="15"/>
  <c r="Y43" i="15"/>
  <c r="Z43" i="15"/>
  <c r="AA43" i="15"/>
  <c r="AB43" i="15"/>
  <c r="AC43" i="15"/>
  <c r="E44" i="15"/>
  <c r="F44" i="15"/>
  <c r="G44" i="15"/>
  <c r="H44" i="15"/>
  <c r="T44" i="15"/>
  <c r="U44" i="15"/>
  <c r="V44" i="15"/>
  <c r="W44" i="15"/>
  <c r="X44" i="15"/>
  <c r="Y44" i="15"/>
  <c r="Z44" i="15"/>
  <c r="AA44" i="15"/>
  <c r="AB44" i="15"/>
  <c r="AC44" i="15"/>
  <c r="T45" i="15"/>
  <c r="U45" i="15"/>
  <c r="V45" i="15"/>
  <c r="W45" i="15"/>
  <c r="X45" i="15"/>
  <c r="Y45" i="15"/>
  <c r="Z45" i="15"/>
  <c r="AA45" i="15"/>
  <c r="AB45" i="15"/>
  <c r="AC45" i="15"/>
  <c r="T34" i="15"/>
  <c r="U34" i="15"/>
  <c r="V34" i="15"/>
  <c r="W34" i="15"/>
  <c r="X34" i="15"/>
  <c r="Y34" i="15"/>
  <c r="Z34" i="15"/>
  <c r="AA34" i="15"/>
  <c r="AB34" i="15"/>
  <c r="AC34" i="15"/>
  <c r="T35" i="15"/>
  <c r="U35" i="15"/>
  <c r="V35" i="15"/>
  <c r="W35" i="15"/>
  <c r="X35" i="15"/>
  <c r="Y35" i="15"/>
  <c r="Z35" i="15"/>
  <c r="AA35" i="15"/>
  <c r="AB35" i="15"/>
  <c r="AC35" i="15"/>
  <c r="T36" i="15"/>
  <c r="U36" i="15"/>
  <c r="V36" i="15"/>
  <c r="W36" i="15"/>
  <c r="X36" i="15"/>
  <c r="Y36" i="15"/>
  <c r="Z36" i="15"/>
  <c r="AA36" i="15"/>
  <c r="AB36" i="15"/>
  <c r="AC36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T38" i="15"/>
  <c r="U38" i="15"/>
  <c r="V38" i="15"/>
  <c r="W38" i="15"/>
  <c r="X38" i="15"/>
  <c r="Y38" i="15"/>
  <c r="Z38" i="15"/>
  <c r="AA38" i="15"/>
  <c r="AB38" i="15"/>
  <c r="AC38" i="15"/>
  <c r="T26" i="15"/>
  <c r="U26" i="15"/>
  <c r="V26" i="15"/>
  <c r="W26" i="15"/>
  <c r="X26" i="15"/>
  <c r="Y26" i="15"/>
  <c r="Z26" i="15"/>
  <c r="AA26" i="15"/>
  <c r="AB26" i="15"/>
  <c r="AC26" i="15"/>
  <c r="T27" i="15"/>
  <c r="U27" i="15"/>
  <c r="V27" i="15"/>
  <c r="W27" i="15"/>
  <c r="X27" i="15"/>
  <c r="Y27" i="15"/>
  <c r="Z27" i="15"/>
  <c r="AA27" i="15"/>
  <c r="AB27" i="15"/>
  <c r="AC27" i="15"/>
  <c r="T28" i="15"/>
  <c r="U28" i="15"/>
  <c r="V28" i="15"/>
  <c r="W28" i="15"/>
  <c r="X28" i="15"/>
  <c r="Y28" i="15"/>
  <c r="Z28" i="15"/>
  <c r="AA28" i="15"/>
  <c r="AB28" i="15"/>
  <c r="AC28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T31" i="15"/>
  <c r="U31" i="15"/>
  <c r="V31" i="15"/>
  <c r="W31" i="15"/>
  <c r="X31" i="15"/>
  <c r="Y31" i="15"/>
  <c r="Z31" i="15"/>
  <c r="AA31" i="15"/>
  <c r="AB31" i="15"/>
  <c r="AC31" i="15"/>
  <c r="D107" i="15"/>
  <c r="D104" i="15"/>
  <c r="D99" i="15"/>
  <c r="D91" i="15"/>
  <c r="D84" i="15"/>
  <c r="D79" i="15"/>
  <c r="D71" i="15"/>
  <c r="D63" i="15"/>
  <c r="D60" i="15"/>
  <c r="D56" i="15"/>
  <c r="D52" i="15"/>
  <c r="D51" i="15"/>
  <c r="D49" i="15"/>
  <c r="D48" i="15"/>
  <c r="D44" i="15"/>
  <c r="D41" i="15"/>
  <c r="D37" i="15"/>
  <c r="D34" i="15"/>
  <c r="D30" i="15"/>
  <c r="D29" i="15"/>
  <c r="D26" i="15"/>
  <c r="T8" i="15"/>
  <c r="U8" i="15"/>
  <c r="V8" i="15"/>
  <c r="W8" i="15"/>
  <c r="X8" i="15"/>
  <c r="Y8" i="15"/>
  <c r="Z8" i="15"/>
  <c r="AA8" i="15"/>
  <c r="AB8" i="15"/>
  <c r="AC8" i="15"/>
  <c r="E9" i="15"/>
  <c r="T9" i="15"/>
  <c r="U9" i="15"/>
  <c r="V9" i="15"/>
  <c r="W9" i="15"/>
  <c r="X9" i="15"/>
  <c r="Y9" i="15"/>
  <c r="Y12" i="15" s="1"/>
  <c r="Y23" i="15" s="1"/>
  <c r="Z9" i="15"/>
  <c r="Z12" i="15" s="1"/>
  <c r="Z23" i="15" s="1"/>
  <c r="AA9" i="15"/>
  <c r="AA12" i="15" s="1"/>
  <c r="AA23" i="15" s="1"/>
  <c r="AB9" i="15"/>
  <c r="AB12" i="15" s="1"/>
  <c r="AB23" i="15" s="1"/>
  <c r="AC9" i="15"/>
  <c r="AC12" i="15" s="1"/>
  <c r="AC23" i="15" s="1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T11" i="15"/>
  <c r="U11" i="15"/>
  <c r="V11" i="15"/>
  <c r="W11" i="15"/>
  <c r="X11" i="15"/>
  <c r="Y11" i="15"/>
  <c r="Z11" i="15"/>
  <c r="AA11" i="15"/>
  <c r="AB11" i="15"/>
  <c r="AC11" i="15"/>
  <c r="T12" i="15"/>
  <c r="U12" i="15"/>
  <c r="V12" i="15"/>
  <c r="W12" i="15"/>
  <c r="X12" i="15"/>
  <c r="T13" i="15"/>
  <c r="U13" i="15"/>
  <c r="V13" i="15"/>
  <c r="W13" i="15"/>
  <c r="X13" i="15"/>
  <c r="Y13" i="15"/>
  <c r="Z13" i="15"/>
  <c r="AA13" i="15"/>
  <c r="AB13" i="15"/>
  <c r="AC13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T15" i="15" s="1"/>
  <c r="U14" i="15"/>
  <c r="U15" i="15" s="1"/>
  <c r="V14" i="15"/>
  <c r="V15" i="15" s="1"/>
  <c r="W14" i="15"/>
  <c r="W15" i="15" s="1"/>
  <c r="X14" i="15"/>
  <c r="X15" i="15" s="1"/>
  <c r="Y14" i="15"/>
  <c r="Z14" i="15"/>
  <c r="AA14" i="15"/>
  <c r="AB14" i="15"/>
  <c r="AC14" i="15"/>
  <c r="Y15" i="15"/>
  <c r="Z15" i="15"/>
  <c r="AA15" i="15"/>
  <c r="AB15" i="15"/>
  <c r="AC15" i="15"/>
  <c r="T16" i="15"/>
  <c r="T19" i="15" s="1"/>
  <c r="U16" i="15"/>
  <c r="U19" i="15" s="1"/>
  <c r="V16" i="15"/>
  <c r="V19" i="15" s="1"/>
  <c r="W16" i="15"/>
  <c r="W19" i="15" s="1"/>
  <c r="X16" i="15"/>
  <c r="X19" i="15" s="1"/>
  <c r="Y16" i="15"/>
  <c r="Z16" i="15"/>
  <c r="AA16" i="15"/>
  <c r="AB16" i="15"/>
  <c r="AC16" i="15"/>
  <c r="T17" i="15"/>
  <c r="U17" i="15"/>
  <c r="V17" i="15"/>
  <c r="W17" i="15"/>
  <c r="X17" i="15"/>
  <c r="Y17" i="15"/>
  <c r="Z17" i="15"/>
  <c r="AA17" i="15"/>
  <c r="AB17" i="15"/>
  <c r="AC17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Y19" i="15"/>
  <c r="Z19" i="15"/>
  <c r="AA19" i="15"/>
  <c r="AB19" i="15"/>
  <c r="AC19" i="15"/>
  <c r="E20" i="15"/>
  <c r="F20" i="15"/>
  <c r="G20" i="15"/>
  <c r="H20" i="15"/>
  <c r="I20" i="15"/>
  <c r="J20" i="15"/>
  <c r="J21" i="15" s="1"/>
  <c r="K20" i="15"/>
  <c r="K21" i="15" s="1"/>
  <c r="L20" i="15"/>
  <c r="L21" i="15" s="1"/>
  <c r="M20" i="15"/>
  <c r="M21" i="15" s="1"/>
  <c r="N20" i="15"/>
  <c r="N21" i="15" s="1"/>
  <c r="O20" i="15"/>
  <c r="P20" i="15"/>
  <c r="Q20" i="15"/>
  <c r="R20" i="15"/>
  <c r="S20" i="15"/>
  <c r="T20" i="15"/>
  <c r="T21" i="15" s="1"/>
  <c r="U20" i="15"/>
  <c r="U21" i="15" s="1"/>
  <c r="V20" i="15"/>
  <c r="V21" i="15" s="1"/>
  <c r="W20" i="15"/>
  <c r="W21" i="15" s="1"/>
  <c r="X20" i="15"/>
  <c r="X21" i="15" s="1"/>
  <c r="Y20" i="15"/>
  <c r="Z20" i="15"/>
  <c r="AA20" i="15"/>
  <c r="AB20" i="15"/>
  <c r="AC20" i="15"/>
  <c r="E21" i="15"/>
  <c r="F21" i="15"/>
  <c r="G21" i="15"/>
  <c r="H21" i="15"/>
  <c r="I21" i="15"/>
  <c r="O21" i="15"/>
  <c r="P21" i="15"/>
  <c r="Q21" i="15"/>
  <c r="R21" i="15"/>
  <c r="S21" i="15"/>
  <c r="Y21" i="15"/>
  <c r="Z21" i="15"/>
  <c r="AA21" i="15"/>
  <c r="AB21" i="15"/>
  <c r="AC21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D22" i="15"/>
  <c r="D21" i="15"/>
  <c r="D20" i="15"/>
  <c r="D18" i="15"/>
  <c r="D14" i="15"/>
  <c r="D12" i="15"/>
  <c r="D11" i="15"/>
  <c r="D10" i="15"/>
  <c r="D9" i="15"/>
  <c r="D8" i="15"/>
  <c r="A8" i="14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A7" i="14"/>
  <c r="A6" i="14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37" i="6"/>
  <c r="D119" i="6"/>
  <c r="D116" i="6"/>
  <c r="Q254" i="6"/>
  <c r="P254" i="6"/>
  <c r="G254" i="6"/>
  <c r="F254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S252" i="6"/>
  <c r="S254" i="6" s="1"/>
  <c r="R252" i="6"/>
  <c r="R254" i="6" s="1"/>
  <c r="Q252" i="6"/>
  <c r="P252" i="6"/>
  <c r="O252" i="6"/>
  <c r="O254" i="6" s="1"/>
  <c r="N252" i="6"/>
  <c r="N254" i="6" s="1"/>
  <c r="M252" i="6"/>
  <c r="M254" i="6" s="1"/>
  <c r="L252" i="6"/>
  <c r="L254" i="6" s="1"/>
  <c r="K252" i="6"/>
  <c r="K254" i="6" s="1"/>
  <c r="J252" i="6"/>
  <c r="J254" i="6" s="1"/>
  <c r="I252" i="6"/>
  <c r="I254" i="6" s="1"/>
  <c r="H252" i="6"/>
  <c r="H254" i="6" s="1"/>
  <c r="G252" i="6"/>
  <c r="F252" i="6"/>
  <c r="E252" i="6"/>
  <c r="E254" i="6" s="1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D255" i="6"/>
  <c r="D254" i="6"/>
  <c r="D253" i="6"/>
  <c r="D252" i="6"/>
  <c r="E251" i="6"/>
  <c r="D251" i="6"/>
  <c r="D250" i="6"/>
  <c r="Q249" i="6"/>
  <c r="P249" i="6"/>
  <c r="O249" i="6"/>
  <c r="G249" i="6"/>
  <c r="F249" i="6"/>
  <c r="E249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G248" i="6"/>
  <c r="F248" i="6"/>
  <c r="E248" i="6"/>
  <c r="R244" i="6"/>
  <c r="Q244" i="6"/>
  <c r="P244" i="6"/>
  <c r="O244" i="6"/>
  <c r="H244" i="6"/>
  <c r="G244" i="6"/>
  <c r="F244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F243" i="6"/>
  <c r="E243" i="6"/>
  <c r="S239" i="6"/>
  <c r="R239" i="6"/>
  <c r="Q239" i="6"/>
  <c r="P239" i="6"/>
  <c r="L239" i="6"/>
  <c r="K239" i="6"/>
  <c r="J239" i="6"/>
  <c r="I239" i="6"/>
  <c r="H239" i="6"/>
  <c r="G239" i="6"/>
  <c r="F239" i="6"/>
  <c r="E239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S234" i="6"/>
  <c r="R234" i="6"/>
  <c r="Q234" i="6"/>
  <c r="P234" i="6"/>
  <c r="J234" i="6"/>
  <c r="I234" i="6"/>
  <c r="H234" i="6"/>
  <c r="G234" i="6"/>
  <c r="F234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S247" i="6"/>
  <c r="S249" i="6" s="1"/>
  <c r="R247" i="6"/>
  <c r="R249" i="6" s="1"/>
  <c r="Q247" i="6"/>
  <c r="P247" i="6"/>
  <c r="O247" i="6"/>
  <c r="N247" i="6"/>
  <c r="N249" i="6" s="1"/>
  <c r="M247" i="6"/>
  <c r="M249" i="6" s="1"/>
  <c r="L247" i="6"/>
  <c r="L249" i="6" s="1"/>
  <c r="K247" i="6"/>
  <c r="K249" i="6" s="1"/>
  <c r="J247" i="6"/>
  <c r="J249" i="6" s="1"/>
  <c r="I247" i="6"/>
  <c r="I249" i="6" s="1"/>
  <c r="H247" i="6"/>
  <c r="H249" i="6" s="1"/>
  <c r="G247" i="6"/>
  <c r="F247" i="6"/>
  <c r="S246" i="6"/>
  <c r="R246" i="6"/>
  <c r="Q246" i="6"/>
  <c r="P246" i="6"/>
  <c r="O246" i="6"/>
  <c r="N246" i="6"/>
  <c r="M246" i="6"/>
  <c r="L246" i="6"/>
  <c r="K246" i="6"/>
  <c r="J246" i="6"/>
  <c r="I246" i="6"/>
  <c r="H246" i="6"/>
  <c r="G246" i="6"/>
  <c r="F246" i="6"/>
  <c r="S245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F245" i="6"/>
  <c r="S242" i="6"/>
  <c r="S244" i="6" s="1"/>
  <c r="R242" i="6"/>
  <c r="Q242" i="6"/>
  <c r="P242" i="6"/>
  <c r="O242" i="6"/>
  <c r="N242" i="6"/>
  <c r="N244" i="6" s="1"/>
  <c r="M242" i="6"/>
  <c r="M244" i="6" s="1"/>
  <c r="L242" i="6"/>
  <c r="L244" i="6" s="1"/>
  <c r="K242" i="6"/>
  <c r="K244" i="6" s="1"/>
  <c r="J242" i="6"/>
  <c r="J244" i="6" s="1"/>
  <c r="I242" i="6"/>
  <c r="I244" i="6" s="1"/>
  <c r="H242" i="6"/>
  <c r="G242" i="6"/>
  <c r="F242" i="6"/>
  <c r="S241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F241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F240" i="6"/>
  <c r="S237" i="6"/>
  <c r="R237" i="6"/>
  <c r="Q237" i="6"/>
  <c r="P237" i="6"/>
  <c r="O237" i="6"/>
  <c r="O239" i="6" s="1"/>
  <c r="N237" i="6"/>
  <c r="N239" i="6" s="1"/>
  <c r="M237" i="6"/>
  <c r="M239" i="6" s="1"/>
  <c r="L237" i="6"/>
  <c r="K237" i="6"/>
  <c r="J237" i="6"/>
  <c r="I237" i="6"/>
  <c r="H237" i="6"/>
  <c r="G237" i="6"/>
  <c r="F237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S232" i="6"/>
  <c r="R232" i="6"/>
  <c r="Q232" i="6"/>
  <c r="P232" i="6"/>
  <c r="O232" i="6"/>
  <c r="O234" i="6" s="1"/>
  <c r="N232" i="6"/>
  <c r="N234" i="6" s="1"/>
  <c r="M232" i="6"/>
  <c r="M234" i="6" s="1"/>
  <c r="L232" i="6"/>
  <c r="L234" i="6" s="1"/>
  <c r="K232" i="6"/>
  <c r="K234" i="6" s="1"/>
  <c r="J232" i="6"/>
  <c r="I232" i="6"/>
  <c r="H232" i="6"/>
  <c r="G232" i="6"/>
  <c r="F232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F231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D249" i="6"/>
  <c r="D248" i="6"/>
  <c r="E247" i="6"/>
  <c r="D247" i="6"/>
  <c r="E246" i="6"/>
  <c r="D246" i="6"/>
  <c r="E245" i="6"/>
  <c r="D245" i="6"/>
  <c r="D244" i="6"/>
  <c r="D243" i="6"/>
  <c r="E242" i="6"/>
  <c r="E244" i="6" s="1"/>
  <c r="D242" i="6"/>
  <c r="E241" i="6"/>
  <c r="D241" i="6"/>
  <c r="E240" i="6"/>
  <c r="D240" i="6"/>
  <c r="D239" i="6"/>
  <c r="D238" i="6"/>
  <c r="E237" i="6"/>
  <c r="D237" i="6"/>
  <c r="E236" i="6"/>
  <c r="D236" i="6"/>
  <c r="E235" i="6"/>
  <c r="D235" i="6"/>
  <c r="D234" i="6"/>
  <c r="D233" i="6"/>
  <c r="E232" i="6"/>
  <c r="E234" i="6" s="1"/>
  <c r="D232" i="6"/>
  <c r="E231" i="6"/>
  <c r="D231" i="6"/>
  <c r="E230" i="6"/>
  <c r="D230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E228" i="6"/>
  <c r="S227" i="6"/>
  <c r="S229" i="6" s="1"/>
  <c r="R227" i="6"/>
  <c r="R229" i="6" s="1"/>
  <c r="Q227" i="6"/>
  <c r="Q229" i="6" s="1"/>
  <c r="P227" i="6"/>
  <c r="P229" i="6" s="1"/>
  <c r="O227" i="6"/>
  <c r="O229" i="6" s="1"/>
  <c r="N227" i="6"/>
  <c r="N229" i="6" s="1"/>
  <c r="M227" i="6"/>
  <c r="M229" i="6" s="1"/>
  <c r="L227" i="6"/>
  <c r="L229" i="6" s="1"/>
  <c r="K227" i="6"/>
  <c r="K229" i="6" s="1"/>
  <c r="J227" i="6"/>
  <c r="J229" i="6" s="1"/>
  <c r="I227" i="6"/>
  <c r="I229" i="6" s="1"/>
  <c r="H227" i="6"/>
  <c r="H229" i="6" s="1"/>
  <c r="G227" i="6"/>
  <c r="G229" i="6" s="1"/>
  <c r="F227" i="6"/>
  <c r="F229" i="6" s="1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D229" i="6"/>
  <c r="D228" i="6"/>
  <c r="E227" i="6"/>
  <c r="E229" i="6" s="1"/>
  <c r="D227" i="6"/>
  <c r="E226" i="6"/>
  <c r="D226" i="6"/>
  <c r="E225" i="6"/>
  <c r="D225" i="6"/>
  <c r="A5" i="14"/>
  <c r="S134" i="5"/>
  <c r="R134" i="5"/>
  <c r="Q134" i="5"/>
  <c r="P134" i="5"/>
  <c r="O134" i="5"/>
  <c r="F134" i="5"/>
  <c r="E134" i="5"/>
  <c r="U23" i="15" l="1"/>
  <c r="V23" i="15"/>
  <c r="T23" i="15"/>
  <c r="W23" i="15"/>
  <c r="X23" i="15"/>
  <c r="J255" i="6"/>
  <c r="J137" i="6" s="1"/>
  <c r="K255" i="6"/>
  <c r="K137" i="6" s="1"/>
  <c r="L255" i="6"/>
  <c r="L137" i="6" s="1"/>
  <c r="G255" i="6"/>
  <c r="G137" i="6" s="1"/>
  <c r="N255" i="6"/>
  <c r="N137" i="6" s="1"/>
  <c r="M255" i="6"/>
  <c r="M137" i="6" s="1"/>
  <c r="E255" i="6"/>
  <c r="E137" i="6" s="1"/>
  <c r="O255" i="6"/>
  <c r="O137" i="6" s="1"/>
  <c r="F255" i="6"/>
  <c r="F137" i="6" s="1"/>
  <c r="P255" i="6"/>
  <c r="P137" i="6" s="1"/>
  <c r="Q255" i="6"/>
  <c r="Q137" i="6" s="1"/>
  <c r="H255" i="6"/>
  <c r="H137" i="6" s="1"/>
  <c r="R255" i="6"/>
  <c r="R137" i="6" s="1"/>
  <c r="I255" i="6"/>
  <c r="I137" i="6" s="1"/>
  <c r="S255" i="6"/>
  <c r="S137" i="6" s="1"/>
  <c r="A4" i="14"/>
  <c r="F30" i="6"/>
  <c r="E30" i="6"/>
  <c r="D30" i="6"/>
  <c r="E135" i="5"/>
  <c r="D14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AC48" i="5"/>
  <c r="AC52" i="5" s="1"/>
  <c r="AB48" i="5"/>
  <c r="AB50" i="5" s="1"/>
  <c r="AA48" i="5"/>
  <c r="AA50" i="5" s="1"/>
  <c r="Z48" i="5"/>
  <c r="Z50" i="5" s="1"/>
  <c r="Y48" i="5"/>
  <c r="Y52" i="5" s="1"/>
  <c r="X48" i="5"/>
  <c r="X52" i="5" s="1"/>
  <c r="W48" i="5"/>
  <c r="V48" i="5"/>
  <c r="U48" i="5"/>
  <c r="T48" i="5"/>
  <c r="AC115" i="5"/>
  <c r="AC118" i="5" s="1"/>
  <c r="AB115" i="5"/>
  <c r="AB118" i="5" s="1"/>
  <c r="AA115" i="5"/>
  <c r="AA118" i="5" s="1"/>
  <c r="Z115" i="5"/>
  <c r="Z118" i="5" s="1"/>
  <c r="Z122" i="5" s="1"/>
  <c r="Z125" i="5" s="1"/>
  <c r="Y115" i="5"/>
  <c r="Y118" i="5" s="1"/>
  <c r="Y122" i="5" s="1"/>
  <c r="Y125" i="5" s="1"/>
  <c r="X115" i="5"/>
  <c r="X118" i="5" s="1"/>
  <c r="X122" i="5" s="1"/>
  <c r="X125" i="5" s="1"/>
  <c r="W115" i="5"/>
  <c r="W118" i="5" s="1"/>
  <c r="V115" i="5"/>
  <c r="V118" i="5" s="1"/>
  <c r="U115" i="5"/>
  <c r="U118" i="5" s="1"/>
  <c r="T115" i="5"/>
  <c r="T118" i="5" s="1"/>
  <c r="AC114" i="5"/>
  <c r="AB114" i="5"/>
  <c r="AA114" i="5"/>
  <c r="Z114" i="5"/>
  <c r="Y114" i="5"/>
  <c r="X114" i="5"/>
  <c r="W114" i="5"/>
  <c r="V114" i="5"/>
  <c r="U114" i="5"/>
  <c r="T114" i="5"/>
  <c r="AC113" i="5"/>
  <c r="AB113" i="5"/>
  <c r="AA113" i="5"/>
  <c r="Z113" i="5"/>
  <c r="Y113" i="5"/>
  <c r="X113" i="5"/>
  <c r="W113" i="5"/>
  <c r="V113" i="5"/>
  <c r="U113" i="5"/>
  <c r="T113" i="5"/>
  <c r="AC65" i="5"/>
  <c r="AB65" i="5"/>
  <c r="AA65" i="5"/>
  <c r="Z65" i="5"/>
  <c r="Y65" i="5"/>
  <c r="X65" i="5"/>
  <c r="W65" i="5"/>
  <c r="V65" i="5"/>
  <c r="U65" i="5"/>
  <c r="T65" i="5"/>
  <c r="AC64" i="5"/>
  <c r="AB64" i="5"/>
  <c r="AA64" i="5"/>
  <c r="Z64" i="5"/>
  <c r="Y64" i="5"/>
  <c r="X64" i="5"/>
  <c r="W64" i="5"/>
  <c r="V64" i="5"/>
  <c r="U64" i="5"/>
  <c r="T64" i="5"/>
  <c r="T22" i="13"/>
  <c r="U22" i="13"/>
  <c r="V22" i="13"/>
  <c r="W22" i="13"/>
  <c r="X22" i="13"/>
  <c r="Y22" i="13"/>
  <c r="Z22" i="13"/>
  <c r="AA22" i="13"/>
  <c r="AB22" i="13"/>
  <c r="AC22" i="13"/>
  <c r="T21" i="13"/>
  <c r="T23" i="13" s="1"/>
  <c r="T27" i="13" s="1"/>
  <c r="U21" i="13"/>
  <c r="V21" i="13"/>
  <c r="V23" i="13" s="1"/>
  <c r="V27" i="13" s="1"/>
  <c r="W21" i="13"/>
  <c r="W23" i="13" s="1"/>
  <c r="W27" i="13" s="1"/>
  <c r="X21" i="13"/>
  <c r="Y21" i="13"/>
  <c r="Y23" i="13" s="1"/>
  <c r="Y27" i="13" s="1"/>
  <c r="Z21" i="13"/>
  <c r="Z23" i="13" s="1"/>
  <c r="Z27" i="13" s="1"/>
  <c r="AA21" i="13"/>
  <c r="AB21" i="13"/>
  <c r="AC21" i="13"/>
  <c r="AC23" i="13" s="1"/>
  <c r="AC27" i="13" s="1"/>
  <c r="T10" i="13"/>
  <c r="U10" i="13"/>
  <c r="V10" i="13"/>
  <c r="W10" i="13"/>
  <c r="X10" i="13"/>
  <c r="Y10" i="13"/>
  <c r="Z10" i="13"/>
  <c r="AA10" i="13"/>
  <c r="AB10" i="13"/>
  <c r="AC10" i="13"/>
  <c r="T9" i="13"/>
  <c r="U9" i="13"/>
  <c r="V9" i="13"/>
  <c r="W9" i="13"/>
  <c r="X9" i="13"/>
  <c r="Y9" i="13"/>
  <c r="Z9" i="13"/>
  <c r="AA9" i="13"/>
  <c r="AB9" i="13"/>
  <c r="AC9" i="13"/>
  <c r="T8" i="13"/>
  <c r="U8" i="13"/>
  <c r="V8" i="13"/>
  <c r="W8" i="13"/>
  <c r="X8" i="13"/>
  <c r="Y8" i="13"/>
  <c r="Z8" i="13"/>
  <c r="AA8" i="13"/>
  <c r="AB8" i="13"/>
  <c r="AC8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S220" i="6"/>
  <c r="S221" i="6" s="1"/>
  <c r="S222" i="6" s="1"/>
  <c r="R220" i="6"/>
  <c r="R221" i="6" s="1"/>
  <c r="R222" i="6" s="1"/>
  <c r="Q220" i="6"/>
  <c r="Q221" i="6" s="1"/>
  <c r="Q222" i="6" s="1"/>
  <c r="P220" i="6"/>
  <c r="P221" i="6" s="1"/>
  <c r="P222" i="6" s="1"/>
  <c r="O220" i="6"/>
  <c r="O221" i="6" s="1"/>
  <c r="O222" i="6" s="1"/>
  <c r="N220" i="6"/>
  <c r="N221" i="6" s="1"/>
  <c r="N222" i="6" s="1"/>
  <c r="M220" i="6"/>
  <c r="M221" i="6" s="1"/>
  <c r="M222" i="6" s="1"/>
  <c r="L220" i="6"/>
  <c r="L221" i="6" s="1"/>
  <c r="L222" i="6" s="1"/>
  <c r="K220" i="6"/>
  <c r="K221" i="6" s="1"/>
  <c r="K222" i="6" s="1"/>
  <c r="J220" i="6"/>
  <c r="J221" i="6" s="1"/>
  <c r="J222" i="6" s="1"/>
  <c r="I220" i="6"/>
  <c r="I221" i="6" s="1"/>
  <c r="I222" i="6" s="1"/>
  <c r="H220" i="6"/>
  <c r="H221" i="6" s="1"/>
  <c r="H222" i="6" s="1"/>
  <c r="G220" i="6"/>
  <c r="G221" i="6" s="1"/>
  <c r="G222" i="6" s="1"/>
  <c r="F220" i="6"/>
  <c r="F221" i="6" s="1"/>
  <c r="F222" i="6" s="1"/>
  <c r="E220" i="6"/>
  <c r="E221" i="6" s="1"/>
  <c r="E222" i="6" s="1"/>
  <c r="D220" i="6"/>
  <c r="D221" i="6" s="1"/>
  <c r="D222" i="6" s="1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S216" i="6"/>
  <c r="S217" i="6" s="1"/>
  <c r="R216" i="6"/>
  <c r="R217" i="6" s="1"/>
  <c r="Q216" i="6"/>
  <c r="Q217" i="6" s="1"/>
  <c r="P216" i="6"/>
  <c r="P217" i="6" s="1"/>
  <c r="O216" i="6"/>
  <c r="O217" i="6" s="1"/>
  <c r="N216" i="6"/>
  <c r="N217" i="6" s="1"/>
  <c r="M216" i="6"/>
  <c r="M217" i="6" s="1"/>
  <c r="L216" i="6"/>
  <c r="L217" i="6" s="1"/>
  <c r="K216" i="6"/>
  <c r="K217" i="6" s="1"/>
  <c r="J216" i="6"/>
  <c r="J217" i="6" s="1"/>
  <c r="I216" i="6"/>
  <c r="I217" i="6" s="1"/>
  <c r="H216" i="6"/>
  <c r="H217" i="6" s="1"/>
  <c r="G216" i="6"/>
  <c r="G217" i="6" s="1"/>
  <c r="F216" i="6"/>
  <c r="F217" i="6" s="1"/>
  <c r="E216" i="6"/>
  <c r="E217" i="6" s="1"/>
  <c r="D216" i="6"/>
  <c r="D217" i="6" s="1"/>
  <c r="AC138" i="4"/>
  <c r="AB138" i="4"/>
  <c r="AA138" i="4"/>
  <c r="Z138" i="4"/>
  <c r="Y138" i="4"/>
  <c r="X138" i="4"/>
  <c r="W138" i="4"/>
  <c r="V138" i="4"/>
  <c r="U138" i="4"/>
  <c r="T138" i="4"/>
  <c r="S105" i="5"/>
  <c r="R105" i="5"/>
  <c r="Q105" i="5"/>
  <c r="P105" i="5"/>
  <c r="O105" i="5"/>
  <c r="N105" i="5"/>
  <c r="M105" i="5"/>
  <c r="L105" i="5"/>
  <c r="K105" i="5"/>
  <c r="J105" i="5"/>
  <c r="D191" i="3"/>
  <c r="D190" i="3"/>
  <c r="AC94" i="10" a="1"/>
  <c r="AB94" i="10" a="1"/>
  <c r="AA94" i="10" a="1"/>
  <c r="Z94" i="10" a="1"/>
  <c r="Y94" i="10" a="1"/>
  <c r="X94" i="10" a="1"/>
  <c r="W94" i="10" a="1"/>
  <c r="V94" i="10" a="1"/>
  <c r="U94" i="10" a="1"/>
  <c r="T94" i="10" a="1"/>
  <c r="D94" i="10" a="1"/>
  <c r="E97" i="5"/>
  <c r="E98" i="5" s="1"/>
  <c r="F97" i="5"/>
  <c r="F98" i="5" s="1"/>
  <c r="G97" i="5"/>
  <c r="G98" i="5" s="1"/>
  <c r="H97" i="5"/>
  <c r="H98" i="5" s="1"/>
  <c r="E106" i="5"/>
  <c r="E8" i="5"/>
  <c r="E9" i="5"/>
  <c r="E105" i="5" s="1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E24" i="5"/>
  <c r="F24" i="5"/>
  <c r="G24" i="5"/>
  <c r="H24" i="5"/>
  <c r="S44" i="7" a="1"/>
  <c r="R44" i="7" a="1"/>
  <c r="Q44" i="7" a="1"/>
  <c r="P44" i="7" a="1"/>
  <c r="O44" i="7" a="1"/>
  <c r="N44" i="7" a="1"/>
  <c r="M44" i="7" a="1"/>
  <c r="L44" i="7" a="1"/>
  <c r="K44" i="7" a="1"/>
  <c r="J44" i="7" a="1"/>
  <c r="I44" i="7" a="1"/>
  <c r="D74" i="5" a="1"/>
  <c r="D53" i="4" a="1"/>
  <c r="F18" i="4" a="1"/>
  <c r="E18" i="4" a="1"/>
  <c r="D18" i="4" a="1"/>
  <c r="D17" i="4" a="1"/>
  <c r="S14" i="4" a="1"/>
  <c r="R14" i="4" a="1"/>
  <c r="Q14" i="4" a="1"/>
  <c r="P14" i="4" a="1"/>
  <c r="O14" i="4" a="1"/>
  <c r="N14" i="4" a="1"/>
  <c r="M14" i="4" a="1"/>
  <c r="L14" i="4" a="1"/>
  <c r="K14" i="4" a="1"/>
  <c r="J14" i="4" a="1"/>
  <c r="I14" i="4" a="1"/>
  <c r="H14" i="4" a="1"/>
  <c r="G14" i="4" a="1"/>
  <c r="F14" i="4" a="1"/>
  <c r="E14" i="4" a="1"/>
  <c r="D14" i="4" a="1"/>
  <c r="S13" i="4" a="1"/>
  <c r="R13" i="4" a="1"/>
  <c r="Q13" i="4" a="1"/>
  <c r="P13" i="4" a="1"/>
  <c r="O13" i="4" a="1"/>
  <c r="N13" i="4" a="1"/>
  <c r="M13" i="4" a="1"/>
  <c r="L13" i="4" a="1"/>
  <c r="K13" i="4" a="1"/>
  <c r="J13" i="4" a="1"/>
  <c r="I13" i="4" a="1"/>
  <c r="H13" i="4" a="1"/>
  <c r="G13" i="4" a="1"/>
  <c r="F13" i="4" a="1"/>
  <c r="E13" i="4" a="1"/>
  <c r="D13" i="4" a="1"/>
  <c r="S12" i="4" a="1"/>
  <c r="R12" i="4" a="1"/>
  <c r="Q12" i="4" a="1"/>
  <c r="P12" i="4" a="1"/>
  <c r="O12" i="4" a="1"/>
  <c r="N12" i="4" a="1"/>
  <c r="M12" i="4" a="1"/>
  <c r="L12" i="4" a="1"/>
  <c r="K12" i="4" a="1"/>
  <c r="J12" i="4" a="1"/>
  <c r="I12" i="4" a="1"/>
  <c r="G12" i="4" a="1"/>
  <c r="F12" i="4" a="1"/>
  <c r="E12" i="4" a="1"/>
  <c r="D12" i="4" a="1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D11" i="8"/>
  <c r="H44" i="7" a="1"/>
  <c r="G44" i="7" a="1"/>
  <c r="F44" i="7" a="1"/>
  <c r="E44" i="7" a="1"/>
  <c r="D44" i="7" a="1"/>
  <c r="D26" i="7"/>
  <c r="D25" i="7"/>
  <c r="D14" i="7"/>
  <c r="D13" i="7"/>
  <c r="D12" i="7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H12" i="4" a="1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F107" i="12"/>
  <c r="E107" i="12"/>
  <c r="D107" i="12"/>
  <c r="C107" i="12"/>
  <c r="F97" i="12"/>
  <c r="E97" i="12"/>
  <c r="D97" i="12"/>
  <c r="C97" i="12"/>
  <c r="F30" i="12"/>
  <c r="F29" i="12"/>
  <c r="F28" i="12"/>
  <c r="O15" i="4" a="1"/>
  <c r="O15" i="4" s="1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AC115" i="7"/>
  <c r="AB115" i="7"/>
  <c r="AA115" i="7"/>
  <c r="Z115" i="7"/>
  <c r="Y115" i="7"/>
  <c r="X115" i="7"/>
  <c r="W115" i="7"/>
  <c r="V115" i="7"/>
  <c r="U115" i="7"/>
  <c r="T115" i="7"/>
  <c r="AC120" i="7"/>
  <c r="AC114" i="7" s="1"/>
  <c r="AB120" i="7"/>
  <c r="AB114" i="7" s="1"/>
  <c r="AA120" i="7"/>
  <c r="AA114" i="7" s="1"/>
  <c r="Z120" i="7"/>
  <c r="Z114" i="7" s="1"/>
  <c r="Y120" i="7"/>
  <c r="Y114" i="7" s="1"/>
  <c r="X120" i="7"/>
  <c r="X114" i="7" s="1"/>
  <c r="W120" i="7"/>
  <c r="W114" i="7" s="1"/>
  <c r="V120" i="7"/>
  <c r="V114" i="7" s="1"/>
  <c r="U120" i="7"/>
  <c r="U114" i="7" s="1"/>
  <c r="T120" i="7"/>
  <c r="T114" i="7" s="1"/>
  <c r="D10" i="7"/>
  <c r="T91" i="4"/>
  <c r="U91" i="4"/>
  <c r="V91" i="4"/>
  <c r="W91" i="4"/>
  <c r="X91" i="4"/>
  <c r="Y91" i="4"/>
  <c r="Z91" i="4"/>
  <c r="AA91" i="4"/>
  <c r="AB91" i="4"/>
  <c r="AC91" i="4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D24" i="12"/>
  <c r="E23" i="12"/>
  <c r="F23" i="12"/>
  <c r="G23" i="12"/>
  <c r="H23" i="12"/>
  <c r="I23" i="12"/>
  <c r="J23" i="12"/>
  <c r="K23" i="12"/>
  <c r="L23" i="12"/>
  <c r="M23" i="12"/>
  <c r="D23" i="12"/>
  <c r="E22" i="12"/>
  <c r="F22" i="12"/>
  <c r="G22" i="12"/>
  <c r="H22" i="12"/>
  <c r="D22" i="12"/>
  <c r="D21" i="12"/>
  <c r="D213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D21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D106" i="8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4" i="11"/>
  <c r="D100" i="8"/>
  <c r="D99" i="8"/>
  <c r="D98" i="8"/>
  <c r="D97" i="8"/>
  <c r="U23" i="13" l="1"/>
  <c r="U27" i="13" s="1"/>
  <c r="X23" i="13"/>
  <c r="X27" i="13" s="1"/>
  <c r="AB23" i="13"/>
  <c r="AB27" i="13" s="1"/>
  <c r="AA23" i="13"/>
  <c r="AA27" i="13" s="1"/>
  <c r="AB52" i="5"/>
  <c r="AB51" i="5" s="1"/>
  <c r="E11" i="5"/>
  <c r="AC50" i="5"/>
  <c r="AC51" i="5" s="1"/>
  <c r="AA52" i="5"/>
  <c r="AA51" i="5" s="1"/>
  <c r="Z52" i="5"/>
  <c r="Z51" i="5" s="1"/>
  <c r="X50" i="5"/>
  <c r="X51" i="5" s="1"/>
  <c r="Y50" i="5"/>
  <c r="Y51" i="5" s="1"/>
  <c r="T50" i="5"/>
  <c r="T52" i="5"/>
  <c r="U50" i="5"/>
  <c r="U52" i="5"/>
  <c r="V50" i="5"/>
  <c r="V52" i="5"/>
  <c r="W50" i="5"/>
  <c r="W52" i="5"/>
  <c r="O25" i="6"/>
  <c r="O26" i="6" s="1"/>
  <c r="O215" i="6" s="1"/>
  <c r="Q25" i="6"/>
  <c r="Q26" i="6" s="1"/>
  <c r="Q215" i="6" s="1"/>
  <c r="E25" i="6"/>
  <c r="E26" i="6" s="1"/>
  <c r="X116" i="5"/>
  <c r="X120" i="5" s="1"/>
  <c r="X123" i="5" s="1"/>
  <c r="K25" i="6"/>
  <c r="K26" i="6" s="1"/>
  <c r="K215" i="6" s="1"/>
  <c r="L25" i="6"/>
  <c r="L26" i="6" s="1"/>
  <c r="M25" i="6"/>
  <c r="M26" i="6" s="1"/>
  <c r="M215" i="6" s="1"/>
  <c r="D25" i="6"/>
  <c r="D26" i="6" s="1"/>
  <c r="D215" i="6" s="1"/>
  <c r="N25" i="6"/>
  <c r="N26" i="6" s="1"/>
  <c r="N215" i="6" s="1"/>
  <c r="AC117" i="5"/>
  <c r="AC121" i="5" s="1"/>
  <c r="AC124" i="5" s="1"/>
  <c r="T117" i="5"/>
  <c r="T121" i="5" s="1"/>
  <c r="T124" i="5" s="1"/>
  <c r="G25" i="6"/>
  <c r="G26" i="6" s="1"/>
  <c r="G215" i="6" s="1"/>
  <c r="AB117" i="5"/>
  <c r="AB121" i="5" s="1"/>
  <c r="AB124" i="5" s="1"/>
  <c r="F25" i="6"/>
  <c r="F26" i="6" s="1"/>
  <c r="F215" i="6" s="1"/>
  <c r="P25" i="6"/>
  <c r="P26" i="6" s="1"/>
  <c r="P215" i="6" s="1"/>
  <c r="H25" i="6"/>
  <c r="H26" i="6" s="1"/>
  <c r="R25" i="6"/>
  <c r="R26" i="6" s="1"/>
  <c r="R215" i="6" s="1"/>
  <c r="V116" i="5"/>
  <c r="V120" i="5" s="1"/>
  <c r="V123" i="5" s="1"/>
  <c r="W116" i="5"/>
  <c r="W120" i="5" s="1"/>
  <c r="W123" i="5" s="1"/>
  <c r="AA11" i="13"/>
  <c r="AA12" i="13" s="1"/>
  <c r="V117" i="5"/>
  <c r="V121" i="5" s="1"/>
  <c r="V124" i="5" s="1"/>
  <c r="Z11" i="13"/>
  <c r="Z12" i="13" s="1"/>
  <c r="W117" i="5"/>
  <c r="W121" i="5" s="1"/>
  <c r="W124" i="5" s="1"/>
  <c r="J25" i="6"/>
  <c r="J26" i="6" s="1"/>
  <c r="Y11" i="13"/>
  <c r="Y12" i="13" s="1"/>
  <c r="Y26" i="13" s="1"/>
  <c r="Y28" i="13" s="1"/>
  <c r="X117" i="5"/>
  <c r="X121" i="5" s="1"/>
  <c r="X124" i="5" s="1"/>
  <c r="X11" i="13"/>
  <c r="X12" i="13" s="1"/>
  <c r="X26" i="13" s="1"/>
  <c r="X28" i="13" s="1"/>
  <c r="Y116" i="5"/>
  <c r="Y120" i="5" s="1"/>
  <c r="Y123" i="5" s="1"/>
  <c r="Y117" i="5"/>
  <c r="Y121" i="5" s="1"/>
  <c r="Y124" i="5" s="1"/>
  <c r="W11" i="13"/>
  <c r="W12" i="13" s="1"/>
  <c r="W26" i="13" s="1"/>
  <c r="W28" i="13" s="1"/>
  <c r="Z116" i="5"/>
  <c r="Z117" i="5"/>
  <c r="Z121" i="5" s="1"/>
  <c r="Z124" i="5" s="1"/>
  <c r="I25" i="6"/>
  <c r="I26" i="6" s="1"/>
  <c r="I215" i="6" s="1"/>
  <c r="S25" i="6"/>
  <c r="S26" i="6" s="1"/>
  <c r="S215" i="6" s="1"/>
  <c r="V11" i="13"/>
  <c r="V12" i="13" s="1"/>
  <c r="V26" i="13" s="1"/>
  <c r="V28" i="13" s="1"/>
  <c r="AA116" i="5"/>
  <c r="AA120" i="5" s="1"/>
  <c r="AA123" i="5" s="1"/>
  <c r="AA117" i="5"/>
  <c r="AA121" i="5" s="1"/>
  <c r="AA124" i="5" s="1"/>
  <c r="U11" i="13"/>
  <c r="U12" i="13" s="1"/>
  <c r="U26" i="13" s="1"/>
  <c r="U28" i="13" s="1"/>
  <c r="AB116" i="5"/>
  <c r="AB120" i="5" s="1"/>
  <c r="AB123" i="5" s="1"/>
  <c r="T11" i="13"/>
  <c r="T12" i="13" s="1"/>
  <c r="T26" i="13" s="1"/>
  <c r="T28" i="13" s="1"/>
  <c r="AC116" i="5"/>
  <c r="AC11" i="13"/>
  <c r="AC12" i="13" s="1"/>
  <c r="T116" i="5"/>
  <c r="T120" i="5" s="1"/>
  <c r="T123" i="5" s="1"/>
  <c r="AB11" i="13"/>
  <c r="AB12" i="13" s="1"/>
  <c r="AB26" i="13" s="1"/>
  <c r="AB28" i="13" s="1"/>
  <c r="U116" i="5"/>
  <c r="U120" i="5" s="1"/>
  <c r="U123" i="5" s="1"/>
  <c r="U117" i="5"/>
  <c r="V122" i="5"/>
  <c r="V125" i="5" s="1"/>
  <c r="AB122" i="5"/>
  <c r="AB125" i="5" s="1"/>
  <c r="AC122" i="5"/>
  <c r="AC125" i="5" s="1"/>
  <c r="T122" i="5"/>
  <c r="T125" i="5" s="1"/>
  <c r="W122" i="5"/>
  <c r="W125" i="5" s="1"/>
  <c r="AA122" i="5"/>
  <c r="AA125" i="5" s="1"/>
  <c r="U122" i="5"/>
  <c r="U125" i="5" s="1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R10" i="8"/>
  <c r="Q10" i="8"/>
  <c r="P10" i="8"/>
  <c r="O10" i="8"/>
  <c r="N10" i="8"/>
  <c r="M10" i="8"/>
  <c r="L10" i="8"/>
  <c r="K10" i="8"/>
  <c r="H10" i="8"/>
  <c r="G10" i="8"/>
  <c r="F10" i="8"/>
  <c r="E10" i="8"/>
  <c r="D10" i="8"/>
  <c r="S107" i="8" a="1"/>
  <c r="R107" i="8" a="1"/>
  <c r="Q107" i="8" a="1"/>
  <c r="P107" i="8" a="1"/>
  <c r="O107" i="8" a="1"/>
  <c r="N107" i="8" a="1"/>
  <c r="M107" i="8" a="1"/>
  <c r="L107" i="8" a="1"/>
  <c r="K107" i="8" a="1"/>
  <c r="J107" i="8" a="1"/>
  <c r="I107" i="8" a="1"/>
  <c r="H107" i="8" a="1"/>
  <c r="G107" i="8" a="1"/>
  <c r="F107" i="8" a="1"/>
  <c r="E107" i="8" a="1"/>
  <c r="D107" i="8" a="1"/>
  <c r="I10" i="8"/>
  <c r="S10" i="8"/>
  <c r="J10" i="8"/>
  <c r="S94" i="6"/>
  <c r="S57" i="6"/>
  <c r="J20" i="9"/>
  <c r="J21" i="9" s="1"/>
  <c r="L20" i="9"/>
  <c r="L21" i="9" s="1"/>
  <c r="M20" i="9"/>
  <c r="M21" i="9" s="1"/>
  <c r="N20" i="9"/>
  <c r="N21" i="9" s="1"/>
  <c r="E20" i="9"/>
  <c r="E21" i="9" s="1"/>
  <c r="O20" i="9"/>
  <c r="O21" i="9" s="1"/>
  <c r="F20" i="9"/>
  <c r="F21" i="9" s="1"/>
  <c r="P20" i="9"/>
  <c r="P21" i="9" s="1"/>
  <c r="G20" i="9"/>
  <c r="G21" i="9" s="1"/>
  <c r="Q20" i="9"/>
  <c r="Q21" i="9" s="1"/>
  <c r="K20" i="9"/>
  <c r="K21" i="9" s="1"/>
  <c r="H20" i="9"/>
  <c r="H21" i="9" s="1"/>
  <c r="R20" i="9"/>
  <c r="R21" i="9" s="1"/>
  <c r="I20" i="9"/>
  <c r="I21" i="9" s="1"/>
  <c r="S20" i="9"/>
  <c r="S21" i="9" s="1"/>
  <c r="B70" i="12"/>
  <c r="B69" i="12"/>
  <c r="B68" i="12"/>
  <c r="D30" i="12"/>
  <c r="D29" i="12"/>
  <c r="D28" i="12"/>
  <c r="B11" i="12"/>
  <c r="B10" i="12"/>
  <c r="B9" i="12"/>
  <c r="B8" i="12"/>
  <c r="D188" i="6"/>
  <c r="D141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E149" i="2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E394" i="1"/>
  <c r="D96" i="5"/>
  <c r="D98" i="5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R122" i="6"/>
  <c r="Q122" i="6"/>
  <c r="M122" i="6"/>
  <c r="K122" i="6"/>
  <c r="V51" i="5" l="1"/>
  <c r="W51" i="5"/>
  <c r="U51" i="5"/>
  <c r="T51" i="5"/>
  <c r="AB119" i="5"/>
  <c r="X126" i="5"/>
  <c r="E215" i="6"/>
  <c r="E35" i="6" a="1"/>
  <c r="O35" i="6" a="1"/>
  <c r="P35" i="6" a="1"/>
  <c r="V119" i="5"/>
  <c r="K35" i="6" a="1"/>
  <c r="L215" i="6"/>
  <c r="L35" i="6" a="1"/>
  <c r="H215" i="6"/>
  <c r="H35" i="6" a="1"/>
  <c r="X119" i="5"/>
  <c r="AC119" i="5"/>
  <c r="R35" i="6" a="1"/>
  <c r="AA119" i="5"/>
  <c r="Y119" i="5"/>
  <c r="W119" i="5"/>
  <c r="AC120" i="5"/>
  <c r="AC123" i="5" s="1"/>
  <c r="AC126" i="5" s="1"/>
  <c r="D35" i="6" a="1"/>
  <c r="Z26" i="13"/>
  <c r="Z28" i="13" s="1"/>
  <c r="Z15" i="13"/>
  <c r="Z16" i="13"/>
  <c r="AC26" i="13"/>
  <c r="AC28" i="13" s="1"/>
  <c r="AC15" i="13"/>
  <c r="AC17" i="13"/>
  <c r="U119" i="5"/>
  <c r="G35" i="6" a="1"/>
  <c r="I35" i="6" a="1"/>
  <c r="N35" i="6" a="1"/>
  <c r="Z119" i="5"/>
  <c r="M35" i="6" a="1"/>
  <c r="W16" i="13"/>
  <c r="W15" i="13"/>
  <c r="AA26" i="13"/>
  <c r="AA28" i="13" s="1"/>
  <c r="AA15" i="13"/>
  <c r="AA16" i="13"/>
  <c r="AA17" i="13"/>
  <c r="J215" i="6"/>
  <c r="J35" i="6" a="1"/>
  <c r="V126" i="5"/>
  <c r="U18" i="13"/>
  <c r="Y18" i="13"/>
  <c r="T17" i="13"/>
  <c r="T16" i="13"/>
  <c r="X17" i="13"/>
  <c r="Z120" i="5"/>
  <c r="Z123" i="5" s="1"/>
  <c r="Z126" i="5" s="1"/>
  <c r="W126" i="5"/>
  <c r="W127" i="5" s="1"/>
  <c r="W39" i="5" s="1"/>
  <c r="AC18" i="13"/>
  <c r="Q35" i="6" a="1"/>
  <c r="W18" i="13"/>
  <c r="T15" i="13"/>
  <c r="X16" i="13"/>
  <c r="U17" i="13"/>
  <c r="X15" i="13"/>
  <c r="Z18" i="13"/>
  <c r="AB17" i="13"/>
  <c r="U15" i="13"/>
  <c r="Y17" i="13"/>
  <c r="AB16" i="13"/>
  <c r="V17" i="13"/>
  <c r="Y16" i="13"/>
  <c r="U121" i="5"/>
  <c r="U124" i="5" s="1"/>
  <c r="U126" i="5" s="1"/>
  <c r="T18" i="13"/>
  <c r="V18" i="13"/>
  <c r="X18" i="13"/>
  <c r="AB15" i="13"/>
  <c r="V16" i="13"/>
  <c r="Y15" i="13"/>
  <c r="S35" i="6" a="1"/>
  <c r="T119" i="5"/>
  <c r="AA18" i="13"/>
  <c r="V15" i="13"/>
  <c r="F35" i="6" a="1"/>
  <c r="AB18" i="13"/>
  <c r="Z17" i="13"/>
  <c r="AC16" i="13"/>
  <c r="W17" i="13"/>
  <c r="U16" i="13"/>
  <c r="AA126" i="5"/>
  <c r="AB126" i="5"/>
  <c r="AB127" i="5" s="1"/>
  <c r="AB39" i="5" s="1"/>
  <c r="T126" i="5"/>
  <c r="Y126" i="5"/>
  <c r="F122" i="6"/>
  <c r="S46" i="8"/>
  <c r="P46" i="8"/>
  <c r="O46" i="8"/>
  <c r="L46" i="8"/>
  <c r="R46" i="8"/>
  <c r="Q46" i="8"/>
  <c r="N46" i="8"/>
  <c r="M46" i="8"/>
  <c r="K46" i="8"/>
  <c r="I46" i="8"/>
  <c r="J46" i="8"/>
  <c r="H46" i="8"/>
  <c r="D46" i="8"/>
  <c r="G46" i="8"/>
  <c r="E46" i="8"/>
  <c r="F46" i="8"/>
  <c r="S23" i="12"/>
  <c r="M22" i="12"/>
  <c r="G21" i="12"/>
  <c r="Q21" i="12"/>
  <c r="N22" i="12"/>
  <c r="H21" i="12"/>
  <c r="R21" i="12"/>
  <c r="O22" i="12"/>
  <c r="I21" i="12"/>
  <c r="S21" i="12"/>
  <c r="P22" i="12"/>
  <c r="J21" i="12"/>
  <c r="S24" i="12"/>
  <c r="B89" i="12" s="1"/>
  <c r="Q22" i="12"/>
  <c r="K21" i="12"/>
  <c r="N23" i="12"/>
  <c r="R22" i="12"/>
  <c r="L21" i="12"/>
  <c r="O23" i="12"/>
  <c r="I22" i="12"/>
  <c r="S22" i="12"/>
  <c r="M21" i="12"/>
  <c r="P23" i="12"/>
  <c r="J22" i="12"/>
  <c r="N21" i="12"/>
  <c r="Q23" i="12"/>
  <c r="K22" i="12"/>
  <c r="E21" i="12"/>
  <c r="B88" i="12" s="1"/>
  <c r="O21" i="12"/>
  <c r="R23" i="12"/>
  <c r="L22" i="12"/>
  <c r="F21" i="12"/>
  <c r="P21" i="12"/>
  <c r="P188" i="6"/>
  <c r="F188" i="6"/>
  <c r="O188" i="6"/>
  <c r="E188" i="6"/>
  <c r="N188" i="6"/>
  <c r="M188" i="6"/>
  <c r="L188" i="6"/>
  <c r="K188" i="6"/>
  <c r="J188" i="6"/>
  <c r="S188" i="6"/>
  <c r="I188" i="6"/>
  <c r="R188" i="6"/>
  <c r="H188" i="6"/>
  <c r="Q188" i="6"/>
  <c r="G188" i="6"/>
  <c r="B87" i="12"/>
  <c r="E141" i="2"/>
  <c r="F141" i="2" s="1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M126" i="6"/>
  <c r="D126" i="6"/>
  <c r="N126" i="6"/>
  <c r="L122" i="6"/>
  <c r="D122" i="6"/>
  <c r="P126" i="6"/>
  <c r="O122" i="6"/>
  <c r="P122" i="6"/>
  <c r="F126" i="6"/>
  <c r="O126" i="6"/>
  <c r="E122" i="6"/>
  <c r="E126" i="6"/>
  <c r="I126" i="6"/>
  <c r="I122" i="6"/>
  <c r="G126" i="6"/>
  <c r="Q126" i="6"/>
  <c r="H126" i="6"/>
  <c r="R126" i="6"/>
  <c r="G122" i="6"/>
  <c r="S126" i="6"/>
  <c r="S122" i="6"/>
  <c r="J122" i="6"/>
  <c r="J126" i="6"/>
  <c r="H122" i="6"/>
  <c r="K126" i="6"/>
  <c r="L126" i="6"/>
  <c r="N122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E33" i="3"/>
  <c r="D33" i="3"/>
  <c r="F33" i="3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35" i="6"/>
  <c r="D133" i="6"/>
  <c r="D127" i="6"/>
  <c r="D124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S82" i="6"/>
  <c r="S166" i="6" s="1"/>
  <c r="S175" i="6" s="1"/>
  <c r="R82" i="6"/>
  <c r="R166" i="6" s="1"/>
  <c r="R175" i="6" s="1"/>
  <c r="Q82" i="6"/>
  <c r="Q166" i="6" s="1"/>
  <c r="Q175" i="6" s="1"/>
  <c r="P82" i="6"/>
  <c r="P166" i="6" s="1"/>
  <c r="P175" i="6" s="1"/>
  <c r="O82" i="6"/>
  <c r="O166" i="6" s="1"/>
  <c r="O175" i="6" s="1"/>
  <c r="N82" i="6"/>
  <c r="N166" i="6" s="1"/>
  <c r="N175" i="6" s="1"/>
  <c r="M82" i="6"/>
  <c r="M166" i="6" s="1"/>
  <c r="M175" i="6" s="1"/>
  <c r="L82" i="6"/>
  <c r="L166" i="6" s="1"/>
  <c r="L175" i="6" s="1"/>
  <c r="K82" i="6"/>
  <c r="K166" i="6" s="1"/>
  <c r="K175" i="6" s="1"/>
  <c r="J82" i="6"/>
  <c r="J166" i="6" s="1"/>
  <c r="J175" i="6" s="1"/>
  <c r="I82" i="6"/>
  <c r="I166" i="6" s="1"/>
  <c r="I175" i="6" s="1"/>
  <c r="H82" i="6"/>
  <c r="H166" i="6" s="1"/>
  <c r="H175" i="6" s="1"/>
  <c r="G82" i="6"/>
  <c r="G166" i="6" s="1"/>
  <c r="G175" i="6" s="1"/>
  <c r="F82" i="6"/>
  <c r="F166" i="6" s="1"/>
  <c r="F175" i="6" s="1"/>
  <c r="E82" i="6"/>
  <c r="E166" i="6" s="1"/>
  <c r="E175" i="6" s="1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82" i="6"/>
  <c r="D166" i="6" s="1"/>
  <c r="D175" i="6" s="1"/>
  <c r="D79" i="6"/>
  <c r="H44" i="6"/>
  <c r="G44" i="6"/>
  <c r="F44" i="6"/>
  <c r="E44" i="6"/>
  <c r="D44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3" i="6"/>
  <c r="D22" i="6"/>
  <c r="B328" i="1"/>
  <c r="D43" i="10"/>
  <c r="D12" i="11"/>
  <c r="D18" i="11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100" i="10"/>
  <c r="D99" i="10"/>
  <c r="D98" i="10"/>
  <c r="D95" i="10"/>
  <c r="D76" i="10"/>
  <c r="D48" i="10"/>
  <c r="D40" i="10"/>
  <c r="D20" i="10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D12" i="9"/>
  <c r="D13" i="9" s="1"/>
  <c r="D62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S19" i="8" a="1"/>
  <c r="S19" i="8" s="1"/>
  <c r="R19" i="8" a="1"/>
  <c r="R19" i="8" s="1"/>
  <c r="Q19" i="8" a="1"/>
  <c r="Q19" i="8" s="1"/>
  <c r="P19" i="8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 s="1"/>
  <c r="J19" i="8" a="1"/>
  <c r="J19" i="8" s="1"/>
  <c r="I19" i="8" a="1"/>
  <c r="I19" i="8" s="1"/>
  <c r="H19" i="8" a="1"/>
  <c r="H19" i="8" s="1"/>
  <c r="G19" i="8" a="1"/>
  <c r="G19" i="8" s="1"/>
  <c r="F19" i="8" a="1"/>
  <c r="F19" i="8" s="1"/>
  <c r="E19" i="8" a="1"/>
  <c r="E19" i="8" s="1"/>
  <c r="D19" i="8" a="1"/>
  <c r="D19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 s="1"/>
  <c r="D15" i="8" a="1"/>
  <c r="D15" i="8" s="1"/>
  <c r="S25" i="3" a="1"/>
  <c r="S25" i="3" s="1"/>
  <c r="S205" i="3" s="1"/>
  <c r="R25" i="3" a="1"/>
  <c r="R25" i="3" s="1"/>
  <c r="R205" i="3" s="1"/>
  <c r="Q25" i="3" a="1"/>
  <c r="Q25" i="3" s="1"/>
  <c r="Q205" i="3" s="1"/>
  <c r="P25" i="3" a="1"/>
  <c r="P25" i="3" s="1"/>
  <c r="P205" i="3" s="1"/>
  <c r="O25" i="3" a="1"/>
  <c r="O25" i="3" s="1"/>
  <c r="O205" i="3" s="1"/>
  <c r="N25" i="3" a="1"/>
  <c r="N25" i="3" s="1"/>
  <c r="N205" i="3" s="1"/>
  <c r="M25" i="3" a="1"/>
  <c r="M25" i="3" s="1"/>
  <c r="M205" i="3" s="1"/>
  <c r="L25" i="3" a="1"/>
  <c r="L25" i="3" s="1"/>
  <c r="L205" i="3" s="1"/>
  <c r="K25" i="3" a="1"/>
  <c r="K25" i="3" s="1"/>
  <c r="K205" i="3" s="1"/>
  <c r="J25" i="3" a="1"/>
  <c r="J25" i="3" s="1"/>
  <c r="J205" i="3" s="1"/>
  <c r="I25" i="3" a="1"/>
  <c r="I25" i="3" s="1"/>
  <c r="I205" i="3" s="1"/>
  <c r="H25" i="3" a="1"/>
  <c r="H25" i="3" s="1"/>
  <c r="H205" i="3" s="1"/>
  <c r="G25" i="3" a="1"/>
  <c r="G25" i="3" s="1"/>
  <c r="G205" i="3" s="1"/>
  <c r="F25" i="3" a="1"/>
  <c r="F25" i="3" s="1"/>
  <c r="F205" i="3" s="1"/>
  <c r="E25" i="3" a="1"/>
  <c r="E25" i="3" s="1"/>
  <c r="E205" i="3" s="1"/>
  <c r="D25" i="3" a="1"/>
  <c r="D25" i="3" s="1"/>
  <c r="D205" i="3" s="1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S8" i="8"/>
  <c r="S24" i="3" s="1" a="1"/>
  <c r="S24" i="3" s="1"/>
  <c r="R8" i="8"/>
  <c r="R24" i="3" s="1" a="1"/>
  <c r="R24" i="3" s="1"/>
  <c r="Q8" i="8"/>
  <c r="Q24" i="3" s="1" a="1"/>
  <c r="Q24" i="3" s="1"/>
  <c r="P8" i="8"/>
  <c r="P24" i="3" s="1" a="1"/>
  <c r="P24" i="3" s="1"/>
  <c r="O8" i="8"/>
  <c r="O24" i="3" s="1" a="1"/>
  <c r="O24" i="3" s="1"/>
  <c r="N8" i="8"/>
  <c r="N24" i="3" s="1" a="1"/>
  <c r="N24" i="3" s="1"/>
  <c r="M8" i="8"/>
  <c r="M24" i="3" s="1" a="1"/>
  <c r="M24" i="3" s="1"/>
  <c r="L8" i="8"/>
  <c r="L24" i="3" s="1" a="1"/>
  <c r="L24" i="3" s="1"/>
  <c r="K8" i="8"/>
  <c r="K24" i="3" s="1" a="1"/>
  <c r="K24" i="3" s="1"/>
  <c r="J8" i="8"/>
  <c r="J24" i="3" s="1" a="1"/>
  <c r="J24" i="3" s="1"/>
  <c r="I8" i="8"/>
  <c r="I24" i="3" s="1" a="1"/>
  <c r="I24" i="3" s="1"/>
  <c r="H8" i="8"/>
  <c r="H24" i="3" s="1" a="1"/>
  <c r="H24" i="3" s="1"/>
  <c r="G8" i="8"/>
  <c r="G24" i="3" s="1" a="1"/>
  <c r="G24" i="3" s="1"/>
  <c r="F8" i="8"/>
  <c r="F24" i="3" s="1" a="1"/>
  <c r="F24" i="3" s="1"/>
  <c r="E8" i="8"/>
  <c r="E24" i="3" s="1" a="1"/>
  <c r="E24" i="3" s="1"/>
  <c r="D8" i="8"/>
  <c r="D24" i="3" s="1" a="1"/>
  <c r="D24" i="3" s="1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S81" i="7"/>
  <c r="S106" i="7" s="1"/>
  <c r="R81" i="7"/>
  <c r="R106" i="7" s="1"/>
  <c r="Q81" i="7"/>
  <c r="Q106" i="7" s="1"/>
  <c r="P81" i="7"/>
  <c r="P12" i="10" s="1"/>
  <c r="O81" i="7"/>
  <c r="O106" i="7" s="1"/>
  <c r="N81" i="7"/>
  <c r="N12" i="10" s="1"/>
  <c r="M81" i="7"/>
  <c r="M12" i="10" s="1"/>
  <c r="L81" i="7"/>
  <c r="L12" i="10" s="1"/>
  <c r="K81" i="7"/>
  <c r="K106" i="7" s="1"/>
  <c r="J81" i="7"/>
  <c r="J12" i="10" s="1"/>
  <c r="I81" i="7"/>
  <c r="I12" i="10" s="1"/>
  <c r="H81" i="7"/>
  <c r="H106" i="7" s="1"/>
  <c r="G81" i="7"/>
  <c r="G106" i="7" s="1"/>
  <c r="F81" i="7"/>
  <c r="F12" i="10" s="1"/>
  <c r="E81" i="7"/>
  <c r="E106" i="7" s="1"/>
  <c r="D81" i="7"/>
  <c r="D106" i="7" s="1"/>
  <c r="D24" i="7"/>
  <c r="D23" i="7"/>
  <c r="D22" i="7"/>
  <c r="D21" i="7"/>
  <c r="D20" i="7"/>
  <c r="F64" i="7" s="1" a="1"/>
  <c r="F64" i="7" s="1"/>
  <c r="D19" i="7"/>
  <c r="D18" i="7"/>
  <c r="D17" i="7"/>
  <c r="D16" i="7"/>
  <c r="D15" i="7"/>
  <c r="D11" i="7"/>
  <c r="D9" i="7"/>
  <c r="D8" i="7"/>
  <c r="D69" i="5"/>
  <c r="D68" i="5"/>
  <c r="D67" i="5"/>
  <c r="D57" i="5"/>
  <c r="F30" i="7"/>
  <c r="F60" i="5" s="1"/>
  <c r="D24" i="5"/>
  <c r="E48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S16" i="4" a="1"/>
  <c r="S16" i="4" s="1"/>
  <c r="R16" i="4" a="1"/>
  <c r="R16" i="4" s="1"/>
  <c r="Q16" i="4" a="1"/>
  <c r="Q16" i="4" s="1"/>
  <c r="P16" i="4" a="1"/>
  <c r="P16" i="4" s="1"/>
  <c r="O16" i="4" a="1"/>
  <c r="O16" i="4" s="1"/>
  <c r="N16" i="4" a="1"/>
  <c r="N16" i="4" s="1"/>
  <c r="M16" i="4" a="1"/>
  <c r="M16" i="4" s="1"/>
  <c r="L16" i="4" a="1"/>
  <c r="L16" i="4" s="1"/>
  <c r="K16" i="4" a="1"/>
  <c r="K16" i="4" s="1"/>
  <c r="J16" i="4" a="1"/>
  <c r="J16" i="4" s="1"/>
  <c r="I16" i="4" a="1"/>
  <c r="I16" i="4" s="1"/>
  <c r="H16" i="4" a="1"/>
  <c r="H16" i="4" s="1"/>
  <c r="G16" i="4" a="1"/>
  <c r="G16" i="4" s="1"/>
  <c r="F16" i="4" a="1"/>
  <c r="F16" i="4" s="1"/>
  <c r="E16" i="4" a="1"/>
  <c r="E16" i="4" s="1"/>
  <c r="D16" i="4" a="1"/>
  <c r="D16" i="4" s="1"/>
  <c r="S15" i="4" a="1"/>
  <c r="S15" i="4" s="1"/>
  <c r="R15" i="4" a="1"/>
  <c r="R15" i="4" s="1"/>
  <c r="Q15" i="4" a="1"/>
  <c r="Q15" i="4" s="1"/>
  <c r="P15" i="4" a="1"/>
  <c r="P15" i="4" s="1"/>
  <c r="N15" i="4" a="1"/>
  <c r="N15" i="4" s="1"/>
  <c r="M15" i="4" a="1"/>
  <c r="M15" i="4" s="1"/>
  <c r="L15" i="4" a="1"/>
  <c r="L15" i="4" s="1"/>
  <c r="K15" i="4" a="1"/>
  <c r="K15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E15" i="4" a="1"/>
  <c r="E15" i="4" s="1"/>
  <c r="D15" i="4" a="1"/>
  <c r="D15" i="4" s="1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D181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D59" i="3" a="1"/>
  <c r="D59" i="3" s="1"/>
  <c r="D53" i="3"/>
  <c r="D55" i="3" s="1"/>
  <c r="D52" i="3"/>
  <c r="D54" i="3" s="1"/>
  <c r="D43" i="3"/>
  <c r="D48" i="3" s="1"/>
  <c r="D42" i="3"/>
  <c r="D47" i="3" s="1"/>
  <c r="D41" i="3"/>
  <c r="E41" i="3" s="1"/>
  <c r="F41" i="3" s="1"/>
  <c r="G41" i="3" s="1"/>
  <c r="H41" i="3" s="1"/>
  <c r="I41" i="3" s="1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D40" i="3"/>
  <c r="D23" i="3"/>
  <c r="D22" i="3"/>
  <c r="L29" i="3" s="1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D20" i="3"/>
  <c r="D32" i="3" s="1"/>
  <c r="D19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S14" i="3" a="1"/>
  <c r="S14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S283" i="1"/>
  <c r="S18" i="4" s="1" a="1"/>
  <c r="R283" i="1"/>
  <c r="R18" i="4" s="1" a="1"/>
  <c r="Q283" i="1"/>
  <c r="Q18" i="4" s="1" a="1"/>
  <c r="P283" i="1"/>
  <c r="P18" i="4" s="1" a="1"/>
  <c r="O283" i="1"/>
  <c r="O18" i="4" s="1" a="1"/>
  <c r="N283" i="1"/>
  <c r="N18" i="4" s="1" a="1"/>
  <c r="M283" i="1"/>
  <c r="M18" i="4" s="1" a="1"/>
  <c r="L283" i="1"/>
  <c r="L18" i="4" s="1" a="1"/>
  <c r="K283" i="1"/>
  <c r="K18" i="4" s="1" a="1"/>
  <c r="J283" i="1"/>
  <c r="J18" i="4" s="1" a="1"/>
  <c r="I283" i="1"/>
  <c r="I18" i="4" s="1" a="1"/>
  <c r="H283" i="1"/>
  <c r="H18" i="4" s="1" a="1"/>
  <c r="G283" i="1"/>
  <c r="G18" i="4" s="1" a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S229" i="1"/>
  <c r="S59" i="3" s="1" a="1"/>
  <c r="S59" i="3" s="1"/>
  <c r="R229" i="1"/>
  <c r="R59" i="3" s="1" a="1"/>
  <c r="R59" i="3" s="1"/>
  <c r="Q229" i="1"/>
  <c r="Q59" i="3" s="1" a="1"/>
  <c r="Q59" i="3" s="1"/>
  <c r="P229" i="1"/>
  <c r="P59" i="3" s="1" a="1"/>
  <c r="P59" i="3" s="1"/>
  <c r="O229" i="1"/>
  <c r="O59" i="3" s="1" a="1"/>
  <c r="O59" i="3" s="1"/>
  <c r="N229" i="1"/>
  <c r="N59" i="3" s="1" a="1"/>
  <c r="N59" i="3" s="1"/>
  <c r="M229" i="1"/>
  <c r="M59" i="3" s="1" a="1"/>
  <c r="M59" i="3" s="1"/>
  <c r="L229" i="1"/>
  <c r="L59" i="3" s="1" a="1"/>
  <c r="L59" i="3" s="1"/>
  <c r="K229" i="1"/>
  <c r="K59" i="3" s="1" a="1"/>
  <c r="K59" i="3" s="1"/>
  <c r="J229" i="1"/>
  <c r="J59" i="3" s="1" a="1"/>
  <c r="J59" i="3" s="1"/>
  <c r="I229" i="1"/>
  <c r="I59" i="3" s="1" a="1"/>
  <c r="I59" i="3" s="1"/>
  <c r="H229" i="1"/>
  <c r="H59" i="3" s="1" a="1"/>
  <c r="H59" i="3" s="1"/>
  <c r="G229" i="1"/>
  <c r="G59" i="3" s="1" a="1"/>
  <c r="G59" i="3" s="1"/>
  <c r="F229" i="1"/>
  <c r="F59" i="3" s="1" a="1"/>
  <c r="F59" i="3" s="1"/>
  <c r="E229" i="1"/>
  <c r="E59" i="3" s="1" a="1"/>
  <c r="E59" i="3" s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X128" i="5" l="1"/>
  <c r="X40" i="5" s="1"/>
  <c r="X129" i="5"/>
  <c r="X85" i="5" s="1"/>
  <c r="V128" i="5"/>
  <c r="V40" i="5" s="1"/>
  <c r="Y127" i="5"/>
  <c r="Y39" i="5" s="1"/>
  <c r="X127" i="5"/>
  <c r="X39" i="5" s="1"/>
  <c r="AA127" i="5"/>
  <c r="AA39" i="5" s="1"/>
  <c r="AC128" i="5"/>
  <c r="AC40" i="5" s="1"/>
  <c r="Z128" i="5"/>
  <c r="Z40" i="5" s="1"/>
  <c r="V127" i="5"/>
  <c r="V39" i="5" s="1"/>
  <c r="AC129" i="5"/>
  <c r="AC86" i="5" s="1"/>
  <c r="AC90" i="5" s="1"/>
  <c r="AC127" i="5"/>
  <c r="AC39" i="5" s="1"/>
  <c r="W128" i="5"/>
  <c r="W40" i="5" s="1"/>
  <c r="W129" i="5"/>
  <c r="W85" i="5" s="1"/>
  <c r="U129" i="5"/>
  <c r="U128" i="5"/>
  <c r="U40" i="5" s="1"/>
  <c r="U127" i="5"/>
  <c r="U39" i="5" s="1"/>
  <c r="Z129" i="5"/>
  <c r="V129" i="5"/>
  <c r="Z127" i="5"/>
  <c r="Z39" i="5" s="1"/>
  <c r="X86" i="5"/>
  <c r="X90" i="5" s="1"/>
  <c r="AA128" i="5"/>
  <c r="AA40" i="5" s="1"/>
  <c r="T129" i="5"/>
  <c r="T127" i="5"/>
  <c r="T39" i="5" s="1"/>
  <c r="T128" i="5"/>
  <c r="T40" i="5" s="1"/>
  <c r="AA129" i="5"/>
  <c r="AB128" i="5"/>
  <c r="AB40" i="5" s="1"/>
  <c r="Y129" i="5"/>
  <c r="Y128" i="5"/>
  <c r="Y40" i="5" s="1"/>
  <c r="AB129" i="5"/>
  <c r="S53" i="4" a="1"/>
  <c r="S17" i="4" a="1"/>
  <c r="R53" i="4" a="1"/>
  <c r="R17" i="4" a="1"/>
  <c r="Q53" i="4" a="1"/>
  <c r="Q17" i="4" a="1"/>
  <c r="P53" i="4" a="1"/>
  <c r="P17" i="4" a="1"/>
  <c r="O17" i="4" a="1"/>
  <c r="O53" i="4" a="1"/>
  <c r="N17" i="4" a="1"/>
  <c r="N53" i="4" a="1"/>
  <c r="M53" i="4" a="1"/>
  <c r="M17" i="4" a="1"/>
  <c r="L17" i="4" a="1"/>
  <c r="L53" i="4" a="1"/>
  <c r="K53" i="4" a="1"/>
  <c r="K17" i="4" a="1"/>
  <c r="J17" i="4" a="1"/>
  <c r="J53" i="4" a="1"/>
  <c r="I53" i="4" a="1"/>
  <c r="I17" i="4" a="1"/>
  <c r="H17" i="4" a="1"/>
  <c r="H53" i="4" a="1"/>
  <c r="G53" i="4" a="1"/>
  <c r="G17" i="4" a="1"/>
  <c r="F17" i="4" a="1"/>
  <c r="F53" i="4" a="1"/>
  <c r="E53" i="4" a="1"/>
  <c r="E17" i="4" a="1"/>
  <c r="E40" i="3"/>
  <c r="N24" i="6"/>
  <c r="N20" i="6"/>
  <c r="N33" i="6" s="1"/>
  <c r="N48" i="6" s="1"/>
  <c r="E24" i="6"/>
  <c r="E20" i="6"/>
  <c r="E33" i="6" s="1"/>
  <c r="E48" i="6" s="1"/>
  <c r="O24" i="6"/>
  <c r="O20" i="6"/>
  <c r="O33" i="6" s="1"/>
  <c r="O48" i="6" s="1"/>
  <c r="F24" i="6"/>
  <c r="F20" i="6"/>
  <c r="F33" i="6" s="1"/>
  <c r="F48" i="6" s="1"/>
  <c r="P24" i="6"/>
  <c r="P20" i="6"/>
  <c r="P33" i="6" s="1"/>
  <c r="G24" i="6"/>
  <c r="G20" i="6"/>
  <c r="G33" i="6" s="1"/>
  <c r="G48" i="6" s="1"/>
  <c r="Q24" i="6"/>
  <c r="Q20" i="6"/>
  <c r="Q33" i="6" s="1"/>
  <c r="D24" i="6"/>
  <c r="D20" i="6"/>
  <c r="D33" i="6" s="1"/>
  <c r="H24" i="6"/>
  <c r="H20" i="6"/>
  <c r="H33" i="6" s="1"/>
  <c r="R24" i="6"/>
  <c r="R20" i="6"/>
  <c r="R33" i="6" s="1"/>
  <c r="R48" i="6" s="1"/>
  <c r="I24" i="6"/>
  <c r="I20" i="6"/>
  <c r="I33" i="6" s="1"/>
  <c r="S24" i="6"/>
  <c r="S20" i="6"/>
  <c r="S33" i="6" s="1"/>
  <c r="J24" i="6"/>
  <c r="J20" i="6"/>
  <c r="J33" i="6" s="1"/>
  <c r="J48" i="6" s="1"/>
  <c r="K24" i="6"/>
  <c r="K20" i="6"/>
  <c r="K33" i="6" s="1"/>
  <c r="K48" i="6" s="1"/>
  <c r="L24" i="6"/>
  <c r="L20" i="6"/>
  <c r="L33" i="6" s="1"/>
  <c r="L48" i="6" s="1"/>
  <c r="M24" i="6"/>
  <c r="M20" i="6"/>
  <c r="M33" i="6" s="1"/>
  <c r="M48" i="6" s="1"/>
  <c r="D24" i="4" a="1"/>
  <c r="D24" i="4" s="1"/>
  <c r="D54" i="8"/>
  <c r="G34" i="6"/>
  <c r="M34" i="6"/>
  <c r="D34" i="6"/>
  <c r="N34" i="6"/>
  <c r="E34" i="6"/>
  <c r="O34" i="6"/>
  <c r="E94" i="6"/>
  <c r="O57" i="6"/>
  <c r="G94" i="6"/>
  <c r="M57" i="6"/>
  <c r="S34" i="6"/>
  <c r="N57" i="6"/>
  <c r="H34" i="6"/>
  <c r="E57" i="6"/>
  <c r="I34" i="6"/>
  <c r="K34" i="6"/>
  <c r="P34" i="6"/>
  <c r="M94" i="6"/>
  <c r="R34" i="6"/>
  <c r="O94" i="6"/>
  <c r="F57" i="6"/>
  <c r="Q94" i="6"/>
  <c r="D141" i="6"/>
  <c r="D142" i="6" s="1"/>
  <c r="D190" i="6" s="1"/>
  <c r="D191" i="6" s="1"/>
  <c r="F94" i="6"/>
  <c r="F34" i="6"/>
  <c r="I94" i="6"/>
  <c r="Q34" i="6"/>
  <c r="D123" i="6"/>
  <c r="D125" i="6" s="1"/>
  <c r="J94" i="6"/>
  <c r="H94" i="6"/>
  <c r="D57" i="6"/>
  <c r="P57" i="6"/>
  <c r="K94" i="6"/>
  <c r="J34" i="6"/>
  <c r="G57" i="6"/>
  <c r="Q57" i="6"/>
  <c r="L94" i="6"/>
  <c r="H57" i="6"/>
  <c r="R57" i="6"/>
  <c r="N94" i="6"/>
  <c r="L34" i="6"/>
  <c r="I57" i="6"/>
  <c r="J57" i="6"/>
  <c r="D94" i="6"/>
  <c r="P94" i="6"/>
  <c r="K57" i="6"/>
  <c r="L57" i="6"/>
  <c r="R94" i="6"/>
  <c r="L28" i="10"/>
  <c r="N28" i="10"/>
  <c r="J28" i="10"/>
  <c r="M28" i="10"/>
  <c r="I28" i="10"/>
  <c r="E52" i="3"/>
  <c r="F52" i="3" s="1"/>
  <c r="G52" i="3" s="1"/>
  <c r="H52" i="3" s="1"/>
  <c r="I52" i="3" s="1"/>
  <c r="J52" i="3" s="1"/>
  <c r="K52" i="3" s="1"/>
  <c r="L52" i="3" s="1"/>
  <c r="M52" i="3" s="1"/>
  <c r="N52" i="3" s="1"/>
  <c r="O52" i="3" s="1"/>
  <c r="P52" i="3" s="1"/>
  <c r="Q52" i="3" s="1"/>
  <c r="R52" i="3" s="1"/>
  <c r="S52" i="3" s="1"/>
  <c r="I101" i="10"/>
  <c r="I15" i="11" s="1"/>
  <c r="S101" i="10"/>
  <c r="S15" i="11" s="1"/>
  <c r="N101" i="10"/>
  <c r="N21" i="10" s="1"/>
  <c r="G101" i="10"/>
  <c r="G13" i="10" s="1"/>
  <c r="Q101" i="10"/>
  <c r="Q13" i="10" s="1"/>
  <c r="P28" i="10"/>
  <c r="D63" i="3"/>
  <c r="D101" i="10"/>
  <c r="D13" i="10" s="1"/>
  <c r="J63" i="3"/>
  <c r="N63" i="3"/>
  <c r="D60" i="7"/>
  <c r="H63" i="3"/>
  <c r="R63" i="3"/>
  <c r="F101" i="10"/>
  <c r="F13" i="10" s="1"/>
  <c r="P101" i="10"/>
  <c r="P13" i="10" s="1"/>
  <c r="K63" i="3"/>
  <c r="L63" i="3"/>
  <c r="D61" i="8"/>
  <c r="D63" i="8" s="1"/>
  <c r="M39" i="4" a="1"/>
  <c r="M39" i="4" s="1"/>
  <c r="E52" i="9"/>
  <c r="O29" i="3"/>
  <c r="O161" i="3" s="1"/>
  <c r="P63" i="3"/>
  <c r="Q63" i="3"/>
  <c r="M106" i="7"/>
  <c r="E101" i="10"/>
  <c r="E15" i="11" s="1"/>
  <c r="O101" i="10"/>
  <c r="O21" i="10" s="1"/>
  <c r="J101" i="10"/>
  <c r="J13" i="10" s="1"/>
  <c r="D39" i="7"/>
  <c r="L101" i="10"/>
  <c r="L21" i="10" s="1"/>
  <c r="K101" i="10"/>
  <c r="K13" i="10" s="1"/>
  <c r="F63" i="3"/>
  <c r="G63" i="3"/>
  <c r="I63" i="3"/>
  <c r="S63" i="3"/>
  <c r="N29" i="3"/>
  <c r="N161" i="3" s="1"/>
  <c r="M101" i="10"/>
  <c r="M15" i="11" s="1"/>
  <c r="H101" i="10"/>
  <c r="H15" i="11" s="1"/>
  <c r="R101" i="10"/>
  <c r="R13" i="10" s="1"/>
  <c r="F28" i="10"/>
  <c r="D176" i="3"/>
  <c r="E12" i="10"/>
  <c r="O12" i="10"/>
  <c r="O28" i="10" s="1"/>
  <c r="D38" i="7"/>
  <c r="D40" i="7" s="1"/>
  <c r="G12" i="10"/>
  <c r="G28" i="10" s="1"/>
  <c r="Q12" i="10"/>
  <c r="Q28" i="10" s="1"/>
  <c r="D56" i="3"/>
  <c r="D164" i="3" s="1"/>
  <c r="H12" i="10"/>
  <c r="H28" i="10" s="1"/>
  <c r="R12" i="10"/>
  <c r="R28" i="10" s="1"/>
  <c r="S12" i="10"/>
  <c r="S28" i="10" s="1"/>
  <c r="F29" i="3"/>
  <c r="F161" i="3" s="1"/>
  <c r="L106" i="7"/>
  <c r="D12" i="10"/>
  <c r="K12" i="10"/>
  <c r="K28" i="10" s="1"/>
  <c r="K61" i="7"/>
  <c r="N61" i="7"/>
  <c r="D70" i="5"/>
  <c r="D71" i="3"/>
  <c r="E63" i="3"/>
  <c r="O63" i="3"/>
  <c r="M61" i="7"/>
  <c r="D52" i="9"/>
  <c r="O61" i="7"/>
  <c r="P61" i="7"/>
  <c r="M63" i="3"/>
  <c r="L39" i="4" a="1"/>
  <c r="L39" i="4" s="1"/>
  <c r="G61" i="7"/>
  <c r="L161" i="3"/>
  <c r="Q28" i="3"/>
  <c r="Q32" i="3" s="1"/>
  <c r="G28" i="3"/>
  <c r="G32" i="3" s="1"/>
  <c r="P28" i="3"/>
  <c r="P32" i="3" s="1"/>
  <c r="F28" i="3"/>
  <c r="F32" i="3" s="1"/>
  <c r="O28" i="3"/>
  <c r="O32" i="3" s="1"/>
  <c r="E28" i="3"/>
  <c r="R28" i="3"/>
  <c r="R32" i="3" s="1"/>
  <c r="N28" i="3"/>
  <c r="N32" i="3" s="1"/>
  <c r="M28" i="3"/>
  <c r="M32" i="3" s="1"/>
  <c r="D28" i="3"/>
  <c r="S28" i="3"/>
  <c r="S32" i="3" s="1"/>
  <c r="D46" i="3"/>
  <c r="D49" i="3" s="1"/>
  <c r="I28" i="3"/>
  <c r="I32" i="3" s="1"/>
  <c r="J28" i="3"/>
  <c r="J32" i="3" s="1"/>
  <c r="H29" i="3"/>
  <c r="H28" i="3"/>
  <c r="H32" i="3" s="1"/>
  <c r="K28" i="3"/>
  <c r="K32" i="3" s="1"/>
  <c r="D177" i="3"/>
  <c r="K29" i="3"/>
  <c r="J29" i="3"/>
  <c r="S29" i="3"/>
  <c r="I29" i="3"/>
  <c r="R29" i="3"/>
  <c r="E29" i="3"/>
  <c r="E70" i="3" s="1"/>
  <c r="E8" i="13" s="1"/>
  <c r="Q29" i="3"/>
  <c r="D29" i="3"/>
  <c r="D70" i="3" s="1"/>
  <c r="D8" i="13" s="1"/>
  <c r="P29" i="3"/>
  <c r="G29" i="3"/>
  <c r="L28" i="3"/>
  <c r="L32" i="3" s="1"/>
  <c r="M29" i="3"/>
  <c r="K39" i="4" a="1"/>
  <c r="K39" i="4" s="1"/>
  <c r="P39" i="4" a="1"/>
  <c r="P39" i="4" s="1"/>
  <c r="E39" i="4" a="1"/>
  <c r="E39" i="4" s="1"/>
  <c r="J39" i="4" a="1"/>
  <c r="J39" i="4" s="1"/>
  <c r="G39" i="4" a="1"/>
  <c r="G39" i="4" s="1"/>
  <c r="R39" i="4" a="1"/>
  <c r="R39" i="4" s="1"/>
  <c r="I39" i="4" a="1"/>
  <c r="I39" i="4" s="1"/>
  <c r="S39" i="4" a="1"/>
  <c r="S39" i="4" s="1"/>
  <c r="H39" i="4" a="1"/>
  <c r="H39" i="4" s="1"/>
  <c r="Q39" i="4" a="1"/>
  <c r="Q39" i="4" s="1"/>
  <c r="O39" i="4" a="1"/>
  <c r="O39" i="4" s="1"/>
  <c r="F39" i="4" a="1"/>
  <c r="F39" i="4" s="1"/>
  <c r="N39" i="4" a="1"/>
  <c r="N39" i="4" s="1"/>
  <c r="D39" i="4"/>
  <c r="D40" i="4" s="1"/>
  <c r="F106" i="7"/>
  <c r="P106" i="7"/>
  <c r="Q83" i="7"/>
  <c r="S83" i="7"/>
  <c r="E54" i="7"/>
  <c r="R83" i="7"/>
  <c r="F83" i="7"/>
  <c r="D54" i="7"/>
  <c r="P83" i="7"/>
  <c r="J83" i="7"/>
  <c r="L83" i="7"/>
  <c r="K83" i="7"/>
  <c r="F46" i="7"/>
  <c r="I83" i="7"/>
  <c r="E46" i="7"/>
  <c r="O83" i="7"/>
  <c r="F54" i="7"/>
  <c r="N83" i="7"/>
  <c r="M83" i="7"/>
  <c r="D46" i="7"/>
  <c r="H64" i="7" a="1"/>
  <c r="H64" i="7" s="1"/>
  <c r="F65" i="7" a="1"/>
  <c r="F65" i="7" s="1"/>
  <c r="D65" i="7" a="1"/>
  <c r="D65" i="7" s="1"/>
  <c r="E64" i="7" a="1"/>
  <c r="E64" i="7" s="1"/>
  <c r="H65" i="7" a="1"/>
  <c r="H65" i="7" s="1"/>
  <c r="E65" i="7" a="1"/>
  <c r="E65" i="7" s="1"/>
  <c r="G64" i="7" a="1"/>
  <c r="G64" i="7" s="1"/>
  <c r="J106" i="7"/>
  <c r="D34" i="7"/>
  <c r="D33" i="7"/>
  <c r="D35" i="7" s="1"/>
  <c r="G65" i="7" a="1"/>
  <c r="G65" i="7" s="1"/>
  <c r="D30" i="7"/>
  <c r="D83" i="7" s="1"/>
  <c r="E30" i="7"/>
  <c r="N106" i="7"/>
  <c r="D64" i="7" a="1"/>
  <c r="D64" i="7" s="1"/>
  <c r="D68" i="8"/>
  <c r="D48" i="5" s="1"/>
  <c r="D12" i="8"/>
  <c r="D83" i="8" s="1"/>
  <c r="J61" i="7"/>
  <c r="S61" i="7"/>
  <c r="I61" i="7"/>
  <c r="R61" i="7"/>
  <c r="H61" i="7"/>
  <c r="L61" i="7"/>
  <c r="E61" i="7"/>
  <c r="D61" i="7"/>
  <c r="Q61" i="7"/>
  <c r="F61" i="7"/>
  <c r="I106" i="7"/>
  <c r="N52" i="9"/>
  <c r="M52" i="9"/>
  <c r="L52" i="9"/>
  <c r="K52" i="9"/>
  <c r="J52" i="9"/>
  <c r="S52" i="9"/>
  <c r="I52" i="9"/>
  <c r="R52" i="9"/>
  <c r="H52" i="9"/>
  <c r="Q52" i="9"/>
  <c r="G52" i="9"/>
  <c r="P52" i="9"/>
  <c r="F52" i="9"/>
  <c r="O52" i="9"/>
  <c r="AC85" i="5" l="1"/>
  <c r="W86" i="5"/>
  <c r="W90" i="5" s="1"/>
  <c r="Y86" i="5"/>
  <c r="Y90" i="5" s="1"/>
  <c r="Y85" i="5"/>
  <c r="AA86" i="5"/>
  <c r="AA90" i="5" s="1"/>
  <c r="AA85" i="5"/>
  <c r="V86" i="5"/>
  <c r="V90" i="5" s="1"/>
  <c r="V85" i="5"/>
  <c r="Z86" i="5"/>
  <c r="Z90" i="5" s="1"/>
  <c r="Z85" i="5"/>
  <c r="T86" i="5"/>
  <c r="T90" i="5" s="1"/>
  <c r="T85" i="5"/>
  <c r="AB86" i="5"/>
  <c r="AB90" i="5" s="1"/>
  <c r="AB85" i="5"/>
  <c r="U86" i="5"/>
  <c r="U90" i="5" s="1"/>
  <c r="U85" i="5"/>
  <c r="E83" i="7"/>
  <c r="E60" i="5"/>
  <c r="F40" i="3"/>
  <c r="D41" i="7"/>
  <c r="E85" i="7" s="1"/>
  <c r="E120" i="7"/>
  <c r="D120" i="7"/>
  <c r="N39" i="6"/>
  <c r="F120" i="7"/>
  <c r="I39" i="6"/>
  <c r="D39" i="6"/>
  <c r="D48" i="6"/>
  <c r="F39" i="6"/>
  <c r="K39" i="6"/>
  <c r="S39" i="6"/>
  <c r="P39" i="6"/>
  <c r="S48" i="6"/>
  <c r="P48" i="6"/>
  <c r="I48" i="6"/>
  <c r="E39" i="6"/>
  <c r="L39" i="6"/>
  <c r="G39" i="6"/>
  <c r="H39" i="6"/>
  <c r="M39" i="6"/>
  <c r="H48" i="6"/>
  <c r="R39" i="6"/>
  <c r="M123" i="6"/>
  <c r="M125" i="6" s="1"/>
  <c r="S123" i="6"/>
  <c r="S125" i="6" s="1"/>
  <c r="O132" i="6"/>
  <c r="O123" i="6"/>
  <c r="O125" i="6" s="1"/>
  <c r="E128" i="6"/>
  <c r="D34" i="3"/>
  <c r="D192" i="3"/>
  <c r="D35" i="3"/>
  <c r="E192" i="3"/>
  <c r="E193" i="3" s="1"/>
  <c r="E35" i="3"/>
  <c r="E53" i="3" s="1" a="1"/>
  <c r="E34" i="3"/>
  <c r="E43" i="3" s="1" a="1"/>
  <c r="P132" i="6"/>
  <c r="R123" i="6"/>
  <c r="R125" i="6" s="1"/>
  <c r="R131" i="6" s="1"/>
  <c r="F132" i="6"/>
  <c r="G123" i="6"/>
  <c r="G125" i="6" s="1"/>
  <c r="D128" i="6"/>
  <c r="P123" i="6"/>
  <c r="P125" i="6" s="1"/>
  <c r="N123" i="6"/>
  <c r="N125" i="6" s="1"/>
  <c r="O141" i="6"/>
  <c r="O142" i="6" s="1"/>
  <c r="O190" i="6" s="1"/>
  <c r="O191" i="6" s="1"/>
  <c r="L141" i="6"/>
  <c r="L142" i="6" s="1"/>
  <c r="L190" i="6" s="1"/>
  <c r="L191" i="6" s="1"/>
  <c r="K132" i="6"/>
  <c r="E141" i="6"/>
  <c r="E142" i="6" s="1"/>
  <c r="E190" i="6" s="1"/>
  <c r="E191" i="6" s="1"/>
  <c r="J123" i="6"/>
  <c r="J125" i="6" s="1"/>
  <c r="F141" i="6"/>
  <c r="F142" i="6" s="1"/>
  <c r="F190" i="6" s="1"/>
  <c r="F191" i="6" s="1"/>
  <c r="M141" i="6"/>
  <c r="M142" i="6" s="1"/>
  <c r="M190" i="6" s="1"/>
  <c r="M191" i="6" s="1"/>
  <c r="S132" i="6"/>
  <c r="S141" i="6"/>
  <c r="S142" i="6" s="1"/>
  <c r="S190" i="6" s="1"/>
  <c r="S191" i="6" s="1"/>
  <c r="N128" i="6"/>
  <c r="I132" i="6"/>
  <c r="G128" i="6"/>
  <c r="N141" i="6"/>
  <c r="N142" i="6" s="1"/>
  <c r="N190" i="6" s="1"/>
  <c r="N191" i="6" s="1"/>
  <c r="L123" i="6"/>
  <c r="L125" i="6" s="1"/>
  <c r="L131" i="6" s="1"/>
  <c r="E123" i="6"/>
  <c r="E125" i="6" s="1"/>
  <c r="I123" i="6"/>
  <c r="I125" i="6" s="1"/>
  <c r="J39" i="6"/>
  <c r="G141" i="6"/>
  <c r="G142" i="6" s="1"/>
  <c r="G190" i="6" s="1"/>
  <c r="G191" i="6" s="1"/>
  <c r="Q39" i="6"/>
  <c r="Q48" i="6"/>
  <c r="H123" i="6"/>
  <c r="H125" i="6" s="1"/>
  <c r="H131" i="6" s="1"/>
  <c r="M128" i="6"/>
  <c r="P141" i="6"/>
  <c r="P142" i="6" s="1"/>
  <c r="P190" i="6" s="1"/>
  <c r="P191" i="6" s="1"/>
  <c r="J141" i="6"/>
  <c r="J142" i="6" s="1"/>
  <c r="J190" i="6" s="1"/>
  <c r="J191" i="6" s="1"/>
  <c r="I141" i="6"/>
  <c r="I142" i="6" s="1"/>
  <c r="I190" i="6" s="1"/>
  <c r="I191" i="6" s="1"/>
  <c r="Q123" i="6"/>
  <c r="Q125" i="6" s="1"/>
  <c r="R141" i="6"/>
  <c r="R142" i="6" s="1"/>
  <c r="R190" i="6" s="1"/>
  <c r="R191" i="6" s="1"/>
  <c r="O39" i="6"/>
  <c r="Q132" i="6"/>
  <c r="F123" i="6"/>
  <c r="F125" i="6" s="1"/>
  <c r="Q141" i="6"/>
  <c r="Q142" i="6" s="1"/>
  <c r="Q190" i="6" s="1"/>
  <c r="Q191" i="6" s="1"/>
  <c r="H141" i="6"/>
  <c r="H142" i="6" s="1"/>
  <c r="H190" i="6" s="1"/>
  <c r="H191" i="6" s="1"/>
  <c r="K141" i="6"/>
  <c r="K142" i="6" s="1"/>
  <c r="K190" i="6" s="1"/>
  <c r="K191" i="6" s="1"/>
  <c r="R132" i="6"/>
  <c r="R128" i="6"/>
  <c r="L132" i="6"/>
  <c r="L128" i="6"/>
  <c r="O128" i="6"/>
  <c r="K123" i="6"/>
  <c r="K125" i="6" s="1"/>
  <c r="H132" i="6"/>
  <c r="H128" i="6"/>
  <c r="N13" i="10"/>
  <c r="D21" i="10"/>
  <c r="D15" i="11"/>
  <c r="M21" i="10"/>
  <c r="G15" i="11"/>
  <c r="Q15" i="11"/>
  <c r="G21" i="10"/>
  <c r="I13" i="10"/>
  <c r="Q21" i="10"/>
  <c r="O15" i="11"/>
  <c r="E21" i="10"/>
  <c r="I21" i="10"/>
  <c r="K62" i="7"/>
  <c r="L62" i="7"/>
  <c r="N15" i="11"/>
  <c r="E54" i="3"/>
  <c r="S21" i="10"/>
  <c r="S13" i="10"/>
  <c r="N62" i="7"/>
  <c r="H62" i="7"/>
  <c r="R62" i="7"/>
  <c r="F62" i="7"/>
  <c r="O62" i="7"/>
  <c r="Q62" i="7"/>
  <c r="I62" i="7"/>
  <c r="D62" i="7"/>
  <c r="S62" i="7"/>
  <c r="P62" i="7"/>
  <c r="E62" i="7"/>
  <c r="J62" i="7"/>
  <c r="G62" i="7"/>
  <c r="K21" i="10"/>
  <c r="K15" i="11"/>
  <c r="M62" i="7"/>
  <c r="P15" i="11"/>
  <c r="P21" i="10"/>
  <c r="F54" i="3"/>
  <c r="L15" i="11"/>
  <c r="L13" i="10"/>
  <c r="R21" i="10"/>
  <c r="O13" i="10"/>
  <c r="F21" i="10"/>
  <c r="M13" i="10"/>
  <c r="R15" i="11"/>
  <c r="F15" i="11"/>
  <c r="J15" i="11"/>
  <c r="J21" i="10"/>
  <c r="E13" i="10"/>
  <c r="H21" i="10"/>
  <c r="H13" i="10"/>
  <c r="L108" i="7"/>
  <c r="L42" i="10"/>
  <c r="O108" i="7"/>
  <c r="O42" i="10"/>
  <c r="D143" i="2" a="1"/>
  <c r="D143" i="2" s="1"/>
  <c r="D108" i="7"/>
  <c r="D42" i="10"/>
  <c r="N108" i="7"/>
  <c r="N42" i="10"/>
  <c r="R108" i="7"/>
  <c r="R42" i="10"/>
  <c r="D28" i="10"/>
  <c r="J108" i="7"/>
  <c r="J42" i="10"/>
  <c r="S108" i="7"/>
  <c r="S42" i="10"/>
  <c r="E28" i="10"/>
  <c r="M108" i="7"/>
  <c r="M42" i="10"/>
  <c r="F108" i="7"/>
  <c r="F42" i="10"/>
  <c r="P108" i="7"/>
  <c r="P42" i="10"/>
  <c r="Q108" i="7"/>
  <c r="Q42" i="10"/>
  <c r="I108" i="7"/>
  <c r="I42" i="10"/>
  <c r="K108" i="7"/>
  <c r="K42" i="10"/>
  <c r="E38" i="3"/>
  <c r="D38" i="3"/>
  <c r="D60" i="5"/>
  <c r="E40" i="4"/>
  <c r="D41" i="4"/>
  <c r="D57" i="7"/>
  <c r="D101" i="7"/>
  <c r="E101" i="7" s="1" a="1"/>
  <c r="E101" i="7" s="1"/>
  <c r="F101" i="7" s="1" a="1"/>
  <c r="F101" i="7" s="1"/>
  <c r="D55" i="7"/>
  <c r="D56" i="7"/>
  <c r="D73" i="7" s="1"/>
  <c r="H69" i="3"/>
  <c r="H21" i="13" s="1"/>
  <c r="I69" i="3"/>
  <c r="I21" i="13" s="1"/>
  <c r="P69" i="3"/>
  <c r="P21" i="13" s="1"/>
  <c r="E62" i="8"/>
  <c r="D64" i="8"/>
  <c r="E161" i="3"/>
  <c r="D100" i="7"/>
  <c r="E100" i="7" s="1" a="1"/>
  <c r="E100" i="7" s="1"/>
  <c r="F100" i="7" s="1" a="1"/>
  <c r="F100" i="7" s="1"/>
  <c r="D47" i="7"/>
  <c r="D49" i="7"/>
  <c r="D48" i="7"/>
  <c r="D72" i="7" s="1"/>
  <c r="R161" i="3"/>
  <c r="M69" i="3"/>
  <c r="M21" i="13" s="1"/>
  <c r="G69" i="3"/>
  <c r="G21" i="13" s="1"/>
  <c r="I161" i="3"/>
  <c r="K69" i="3"/>
  <c r="K21" i="13" s="1"/>
  <c r="F49" i="7"/>
  <c r="K64" i="7" s="1" a="1"/>
  <c r="K64" i="7" s="1"/>
  <c r="F47" i="7"/>
  <c r="F48" i="7"/>
  <c r="F72" i="7" s="1"/>
  <c r="M161" i="3"/>
  <c r="S161" i="3"/>
  <c r="Q69" i="3"/>
  <c r="Q21" i="13" s="1"/>
  <c r="L69" i="3"/>
  <c r="L21" i="13" s="1"/>
  <c r="N69" i="3"/>
  <c r="N21" i="13" s="1"/>
  <c r="G161" i="3"/>
  <c r="J161" i="3"/>
  <c r="R69" i="3"/>
  <c r="R21" i="13" s="1"/>
  <c r="D163" i="3"/>
  <c r="D174" i="3" s="1"/>
  <c r="D142" i="2" a="1"/>
  <c r="D142" i="2" s="1"/>
  <c r="D144" i="2" s="1" a="1"/>
  <c r="D36" i="7"/>
  <c r="P161" i="3"/>
  <c r="K161" i="3"/>
  <c r="H161" i="3"/>
  <c r="O69" i="3"/>
  <c r="O21" i="13" s="1"/>
  <c r="D161" i="3"/>
  <c r="J69" i="3"/>
  <c r="J21" i="13" s="1"/>
  <c r="E46" i="3"/>
  <c r="F57" i="7"/>
  <c r="K65" i="7" s="1" a="1"/>
  <c r="K65" i="7" s="1"/>
  <c r="F56" i="7"/>
  <c r="F73" i="7" s="1"/>
  <c r="F55" i="7"/>
  <c r="E57" i="7"/>
  <c r="J65" i="7" s="1" a="1"/>
  <c r="J65" i="7" s="1"/>
  <c r="E56" i="7"/>
  <c r="E73" i="7" s="1"/>
  <c r="E55" i="7"/>
  <c r="E47" i="7"/>
  <c r="E49" i="7"/>
  <c r="J64" i="7" s="1" a="1"/>
  <c r="J64" i="7" s="1"/>
  <c r="E48" i="7"/>
  <c r="E72" i="7" s="1"/>
  <c r="Q161" i="3"/>
  <c r="S69" i="3"/>
  <c r="S21" i="13" s="1"/>
  <c r="F69" i="3"/>
  <c r="F21" i="13" s="1"/>
  <c r="F114" i="7" l="1"/>
  <c r="F47" i="5" s="1"/>
  <c r="F11" i="13"/>
  <c r="D114" i="7"/>
  <c r="D11" i="13"/>
  <c r="E114" i="7"/>
  <c r="E47" i="5" s="1"/>
  <c r="E11" i="13"/>
  <c r="D99" i="5"/>
  <c r="E99" i="5"/>
  <c r="E42" i="10"/>
  <c r="E108" i="7"/>
  <c r="G40" i="3"/>
  <c r="D73" i="8"/>
  <c r="D105" i="8"/>
  <c r="D145" i="2" a="1"/>
  <c r="O131" i="6"/>
  <c r="E132" i="6"/>
  <c r="F131" i="6"/>
  <c r="J131" i="6"/>
  <c r="E131" i="6"/>
  <c r="P128" i="6"/>
  <c r="P131" i="6"/>
  <c r="F128" i="6"/>
  <c r="G132" i="6"/>
  <c r="N131" i="6"/>
  <c r="D193" i="3"/>
  <c r="D197" i="3" s="1"/>
  <c r="D196" i="3"/>
  <c r="D31" i="3"/>
  <c r="K131" i="6"/>
  <c r="J128" i="6"/>
  <c r="J132" i="6"/>
  <c r="I131" i="6"/>
  <c r="I128" i="6"/>
  <c r="D131" i="6"/>
  <c r="D132" i="6"/>
  <c r="S131" i="6"/>
  <c r="S128" i="6"/>
  <c r="K128" i="6"/>
  <c r="N132" i="6"/>
  <c r="M132" i="6"/>
  <c r="M131" i="6"/>
  <c r="G131" i="6"/>
  <c r="Q131" i="6"/>
  <c r="Q128" i="6"/>
  <c r="D88" i="7"/>
  <c r="D95" i="7" s="1"/>
  <c r="F85" i="7"/>
  <c r="D85" i="7"/>
  <c r="E84" i="7"/>
  <c r="E86" i="7" s="1"/>
  <c r="E35" i="10" s="1"/>
  <c r="E88" i="7"/>
  <c r="E102" i="7" s="1"/>
  <c r="L70" i="8" a="1"/>
  <c r="L70" i="8" s="1"/>
  <c r="L9" i="4" a="1"/>
  <c r="L9" i="4" s="1"/>
  <c r="L165" i="3"/>
  <c r="N70" i="8" a="1"/>
  <c r="N70" i="8" s="1"/>
  <c r="N165" i="3"/>
  <c r="N9" i="4" a="1"/>
  <c r="N9" i="4" s="1"/>
  <c r="F103" i="7"/>
  <c r="G70" i="8" a="1"/>
  <c r="G70" i="8" s="1"/>
  <c r="G9" i="4" a="1"/>
  <c r="G9" i="4" s="1"/>
  <c r="G165" i="3"/>
  <c r="E61" i="8"/>
  <c r="E63" i="8" s="1"/>
  <c r="K70" i="8" a="1"/>
  <c r="K70" i="8" s="1"/>
  <c r="K9" i="4" a="1"/>
  <c r="K9" i="4" s="1"/>
  <c r="K165" i="3"/>
  <c r="D67" i="7"/>
  <c r="I64" i="7" a="1"/>
  <c r="I64" i="7" s="1"/>
  <c r="J70" i="8" a="1"/>
  <c r="J70" i="8" s="1"/>
  <c r="J165" i="3"/>
  <c r="J9" i="4" a="1"/>
  <c r="J9" i="4" s="1"/>
  <c r="G54" i="3"/>
  <c r="F84" i="7"/>
  <c r="D103" i="7"/>
  <c r="D68" i="7"/>
  <c r="I65" i="7" a="1"/>
  <c r="I65" i="7" s="1"/>
  <c r="Q70" i="8" a="1"/>
  <c r="Q70" i="8" s="1"/>
  <c r="Q9" i="4" a="1"/>
  <c r="Q9" i="4" s="1"/>
  <c r="Q165" i="3"/>
  <c r="F88" i="7"/>
  <c r="M70" i="8" a="1"/>
  <c r="M70" i="8" s="1"/>
  <c r="M9" i="4" a="1"/>
  <c r="M9" i="4" s="1"/>
  <c r="M165" i="3"/>
  <c r="D84" i="7"/>
  <c r="E10" i="4" a="1"/>
  <c r="E10" i="4" s="1"/>
  <c r="E166" i="3"/>
  <c r="I70" i="8" a="1"/>
  <c r="I70" i="8" s="1"/>
  <c r="I165" i="3"/>
  <c r="I9" i="4" a="1"/>
  <c r="I9" i="4" s="1"/>
  <c r="E41" i="4"/>
  <c r="F40" i="4"/>
  <c r="R70" i="8" a="1"/>
  <c r="R70" i="8" s="1"/>
  <c r="R165" i="3"/>
  <c r="R9" i="4" a="1"/>
  <c r="R9" i="4" s="1"/>
  <c r="F70" i="8" a="1"/>
  <c r="F70" i="8" s="1"/>
  <c r="F165" i="3"/>
  <c r="F9" i="4" a="1"/>
  <c r="F9" i="4" s="1"/>
  <c r="F46" i="3"/>
  <c r="O70" i="8" a="1"/>
  <c r="O70" i="8" s="1"/>
  <c r="O165" i="3"/>
  <c r="O9" i="4" a="1"/>
  <c r="O9" i="4" s="1"/>
  <c r="H70" i="8" a="1"/>
  <c r="H70" i="8" s="1"/>
  <c r="H165" i="3"/>
  <c r="H9" i="4" a="1"/>
  <c r="H9" i="4" s="1"/>
  <c r="S70" i="8" a="1"/>
  <c r="S70" i="8" s="1"/>
  <c r="S9" i="4" a="1"/>
  <c r="S9" i="4" s="1"/>
  <c r="S165" i="3"/>
  <c r="E103" i="7"/>
  <c r="D166" i="3"/>
  <c r="D10" i="4" a="1"/>
  <c r="D10" i="4" s="1"/>
  <c r="P70" i="8" a="1"/>
  <c r="P70" i="8" s="1"/>
  <c r="P165" i="3"/>
  <c r="P9" i="4" a="1"/>
  <c r="P9" i="4" s="1"/>
  <c r="D119" i="7" l="1"/>
  <c r="E55" i="10"/>
  <c r="H40" i="3"/>
  <c r="S36" i="3"/>
  <c r="S135" i="3" s="1"/>
  <c r="D142" i="3"/>
  <c r="E36" i="3"/>
  <c r="E135" i="3" s="1"/>
  <c r="G36" i="3"/>
  <c r="G135" i="3" s="1"/>
  <c r="F36" i="3"/>
  <c r="F135" i="3" s="1"/>
  <c r="D36" i="3"/>
  <c r="D104" i="3" s="1"/>
  <c r="J36" i="3"/>
  <c r="J135" i="3" s="1"/>
  <c r="D167" i="3"/>
  <c r="D159" i="3" s="1" a="1"/>
  <c r="D159" i="3" s="1"/>
  <c r="N36" i="3"/>
  <c r="N135" i="3" s="1"/>
  <c r="M36" i="3"/>
  <c r="M135" i="3" s="1"/>
  <c r="D8" i="9" a="1"/>
  <c r="D8" i="9" s="1"/>
  <c r="R36" i="3"/>
  <c r="R135" i="3" s="1"/>
  <c r="P36" i="3"/>
  <c r="P135" i="3" s="1"/>
  <c r="L36" i="3"/>
  <c r="L135" i="3" s="1"/>
  <c r="I36" i="3"/>
  <c r="I135" i="3" s="1"/>
  <c r="Q36" i="3"/>
  <c r="Q135" i="3" s="1"/>
  <c r="O36" i="3"/>
  <c r="O135" i="3" s="1"/>
  <c r="H36" i="3"/>
  <c r="H135" i="3" s="1"/>
  <c r="K36" i="3"/>
  <c r="K135" i="3" s="1"/>
  <c r="F86" i="7"/>
  <c r="F35" i="10" s="1"/>
  <c r="F55" i="10" s="1"/>
  <c r="D111" i="7"/>
  <c r="D83" i="10" s="1"/>
  <c r="D89" i="7"/>
  <c r="D86" i="7"/>
  <c r="D35" i="10" s="1"/>
  <c r="D55" i="10" s="1"/>
  <c r="D102" i="7"/>
  <c r="E111" i="7"/>
  <c r="E83" i="10" s="1"/>
  <c r="E95" i="7"/>
  <c r="E107" i="7"/>
  <c r="F111" i="7"/>
  <c r="F83" i="10" s="1"/>
  <c r="F95" i="7"/>
  <c r="F102" i="7"/>
  <c r="F119" i="7"/>
  <c r="D70" i="7"/>
  <c r="D74" i="7" s="1"/>
  <c r="D76" i="7" s="1"/>
  <c r="E67" i="7" a="1"/>
  <c r="E67" i="7" s="1"/>
  <c r="H54" i="3"/>
  <c r="E64" i="8"/>
  <c r="F62" i="8"/>
  <c r="F41" i="4"/>
  <c r="G40" i="4"/>
  <c r="E119" i="7"/>
  <c r="G46" i="3"/>
  <c r="D71" i="7"/>
  <c r="D75" i="7" s="1"/>
  <c r="D77" i="7" s="1"/>
  <c r="E68" i="7" a="1"/>
  <c r="E68" i="7" s="1"/>
  <c r="D143" i="3" l="1"/>
  <c r="E143" i="3"/>
  <c r="I40" i="3"/>
  <c r="D90" i="7"/>
  <c r="E73" i="8"/>
  <c r="E105" i="8"/>
  <c r="D135" i="3"/>
  <c r="D93" i="3" s="1"/>
  <c r="D69" i="3"/>
  <c r="D21" i="13" s="1"/>
  <c r="D155" i="3"/>
  <c r="D10" i="9"/>
  <c r="D11" i="9" s="1"/>
  <c r="D9" i="9"/>
  <c r="F107" i="7"/>
  <c r="E89" i="7" a="1"/>
  <c r="E89" i="7" s="1"/>
  <c r="D107" i="7"/>
  <c r="D78" i="7"/>
  <c r="I54" i="3"/>
  <c r="E70" i="7"/>
  <c r="E74" i="7" s="1"/>
  <c r="E76" i="7" s="1" a="1"/>
  <c r="E76" i="7" s="1"/>
  <c r="F67" i="7" a="1"/>
  <c r="F67" i="7" s="1"/>
  <c r="D105" i="10"/>
  <c r="F61" i="8"/>
  <c r="F63" i="8" s="1"/>
  <c r="H40" i="4"/>
  <c r="G41" i="4"/>
  <c r="E71" i="7"/>
  <c r="E75" i="7" s="1"/>
  <c r="E77" i="7" s="1" a="1"/>
  <c r="E77" i="7" s="1"/>
  <c r="F68" i="7" a="1"/>
  <c r="F68" i="7" s="1"/>
  <c r="H46" i="3"/>
  <c r="D101" i="3" l="1"/>
  <c r="D153" i="3" s="1"/>
  <c r="D125" i="3"/>
  <c r="D131" i="3"/>
  <c r="D137" i="3"/>
  <c r="D119" i="3"/>
  <c r="D195" i="3" s="1"/>
  <c r="D199" i="3" s="1"/>
  <c r="D113" i="3"/>
  <c r="D194" i="3" s="1"/>
  <c r="J40" i="3"/>
  <c r="D94" i="7"/>
  <c r="D110" i="7" s="1"/>
  <c r="D91" i="7"/>
  <c r="D115" i="7" s="1"/>
  <c r="D104" i="10" s="1"/>
  <c r="D109" i="7"/>
  <c r="D63" i="10" s="1"/>
  <c r="D71" i="10" s="1"/>
  <c r="F89" i="7" a="1"/>
  <c r="F89" i="7" s="1"/>
  <c r="D15" i="9"/>
  <c r="D14" i="9"/>
  <c r="D70" i="8" a="1"/>
  <c r="D70" i="8" s="1"/>
  <c r="D78" i="8" s="1"/>
  <c r="D9" i="4" a="1"/>
  <c r="D9" i="4" s="1"/>
  <c r="D165" i="3"/>
  <c r="D77" i="3" a="1"/>
  <c r="D77" i="3" s="1"/>
  <c r="F64" i="8"/>
  <c r="G62" i="8"/>
  <c r="E78" i="7"/>
  <c r="E105" i="10"/>
  <c r="F70" i="7"/>
  <c r="F74" i="7" s="1"/>
  <c r="F76" i="7" s="1" a="1"/>
  <c r="F76" i="7" s="1"/>
  <c r="F71" i="7"/>
  <c r="F75" i="7" s="1"/>
  <c r="F77" i="7" s="1" a="1"/>
  <c r="F77" i="7" s="1"/>
  <c r="I46" i="3"/>
  <c r="H41" i="4"/>
  <c r="I40" i="4"/>
  <c r="J54" i="3"/>
  <c r="D37" i="3" l="1"/>
  <c r="D64" i="5" s="1"/>
  <c r="D71" i="5" s="1"/>
  <c r="D198" i="3"/>
  <c r="K40" i="3"/>
  <c r="D97" i="7"/>
  <c r="D96" i="7"/>
  <c r="D112" i="7" s="1"/>
  <c r="D91" i="10" s="1"/>
  <c r="E90" i="7" a="1"/>
  <c r="E90" i="7" s="1"/>
  <c r="D92" i="7"/>
  <c r="F73" i="8"/>
  <c r="F105" i="8"/>
  <c r="D102" i="3" a="1"/>
  <c r="D102" i="3" s="1"/>
  <c r="D45" i="9"/>
  <c r="F78" i="7"/>
  <c r="I41" i="4"/>
  <c r="J40" i="4"/>
  <c r="J46" i="3"/>
  <c r="K54" i="3"/>
  <c r="F105" i="10"/>
  <c r="G61" i="8"/>
  <c r="G63" i="8" s="1"/>
  <c r="E125" i="3" l="1"/>
  <c r="E131" i="3"/>
  <c r="D200" i="3"/>
  <c r="D154" i="3"/>
  <c r="L40" i="3"/>
  <c r="E109" i="7"/>
  <c r="E63" i="10" s="1"/>
  <c r="E71" i="10" s="1"/>
  <c r="E94" i="7"/>
  <c r="E91" i="7" a="1"/>
  <c r="E91" i="7" s="1"/>
  <c r="E115" i="7" s="1"/>
  <c r="E104" i="10" s="1"/>
  <c r="G64" i="8"/>
  <c r="H62" i="8"/>
  <c r="L54" i="3"/>
  <c r="K46" i="3"/>
  <c r="J41" i="4"/>
  <c r="K40" i="4"/>
  <c r="M40" i="3" l="1"/>
  <c r="E96" i="7"/>
  <c r="E112" i="7" s="1"/>
  <c r="E91" i="10" s="1"/>
  <c r="E110" i="7"/>
  <c r="E97" i="7"/>
  <c r="E92" i="7"/>
  <c r="F90" i="7" a="1"/>
  <c r="F90" i="7" s="1"/>
  <c r="G73" i="8"/>
  <c r="G105" i="8"/>
  <c r="L46" i="3"/>
  <c r="L40" i="4"/>
  <c r="K41" i="4"/>
  <c r="H61" i="8"/>
  <c r="H63" i="8" s="1"/>
  <c r="M54" i="3"/>
  <c r="N40" i="3" l="1"/>
  <c r="F109" i="7"/>
  <c r="F63" i="10" s="1"/>
  <c r="F71" i="10" s="1"/>
  <c r="F94" i="7"/>
  <c r="F91" i="7" a="1"/>
  <c r="F91" i="7" s="1"/>
  <c r="F115" i="7" s="1"/>
  <c r="F104" i="10" s="1"/>
  <c r="H64" i="8"/>
  <c r="I62" i="8"/>
  <c r="N54" i="3"/>
  <c r="L41" i="4"/>
  <c r="M40" i="4"/>
  <c r="M46" i="3"/>
  <c r="O40" i="3" l="1"/>
  <c r="F96" i="7"/>
  <c r="F112" i="7" s="1"/>
  <c r="F91" i="10" s="1"/>
  <c r="F97" i="7"/>
  <c r="F110" i="7"/>
  <c r="F92" i="7"/>
  <c r="H73" i="8"/>
  <c r="H105" i="8"/>
  <c r="N46" i="3"/>
  <c r="N40" i="4"/>
  <c r="M41" i="4"/>
  <c r="O54" i="3"/>
  <c r="I61" i="8"/>
  <c r="I63" i="8" s="1"/>
  <c r="P40" i="3" l="1"/>
  <c r="J62" i="8"/>
  <c r="I64" i="8"/>
  <c r="N41" i="4"/>
  <c r="O40" i="4"/>
  <c r="O46" i="3"/>
  <c r="P54" i="3"/>
  <c r="Q40" i="3" l="1"/>
  <c r="I73" i="8"/>
  <c r="I105" i="8"/>
  <c r="P46" i="3"/>
  <c r="O41" i="4"/>
  <c r="P40" i="4"/>
  <c r="Q54" i="3"/>
  <c r="J61" i="8"/>
  <c r="J63" i="8" s="1"/>
  <c r="R40" i="3" l="1"/>
  <c r="J64" i="8"/>
  <c r="K62" i="8"/>
  <c r="R54" i="3"/>
  <c r="P41" i="4"/>
  <c r="Q40" i="4"/>
  <c r="Q46" i="3"/>
  <c r="S40" i="3" l="1"/>
  <c r="J73" i="8"/>
  <c r="J105" i="8"/>
  <c r="R46" i="3"/>
  <c r="S54" i="3"/>
  <c r="K61" i="8"/>
  <c r="K63" i="8" s="1"/>
  <c r="Q41" i="4"/>
  <c r="R40" i="4"/>
  <c r="L62" i="8" l="1"/>
  <c r="K64" i="8"/>
  <c r="R41" i="4"/>
  <c r="S40" i="4"/>
  <c r="S46" i="3"/>
  <c r="K73" i="8" l="1"/>
  <c r="K105" i="8"/>
  <c r="S41" i="4"/>
  <c r="L61" i="8"/>
  <c r="L63" i="8" s="1"/>
  <c r="M62" i="8" l="1"/>
  <c r="L64" i="8"/>
  <c r="L73" i="8" l="1"/>
  <c r="L105" i="8"/>
  <c r="M61" i="8"/>
  <c r="M63" i="8" s="1"/>
  <c r="N62" i="8" l="1"/>
  <c r="M64" i="8"/>
  <c r="M73" i="8" l="1"/>
  <c r="M105" i="8"/>
  <c r="N61" i="8"/>
  <c r="N63" i="8" s="1"/>
  <c r="N64" i="8" l="1"/>
  <c r="O62" i="8"/>
  <c r="N73" i="8" l="1"/>
  <c r="N105" i="8"/>
  <c r="O61" i="8"/>
  <c r="O63" i="8" s="1"/>
  <c r="O64" i="8" l="1"/>
  <c r="P62" i="8"/>
  <c r="O73" i="8" l="1"/>
  <c r="O105" i="8"/>
  <c r="P61" i="8"/>
  <c r="P63" i="8" s="1"/>
  <c r="P64" i="8" l="1"/>
  <c r="Q62" i="8"/>
  <c r="P73" i="8" l="1"/>
  <c r="P105" i="8"/>
  <c r="Q61" i="8"/>
  <c r="Q63" i="8" s="1"/>
  <c r="Q64" i="8" l="1"/>
  <c r="R62" i="8"/>
  <c r="Q73" i="8" l="1"/>
  <c r="Q105" i="8"/>
  <c r="R61" i="8"/>
  <c r="R63" i="8" s="1"/>
  <c r="R64" i="8" l="1"/>
  <c r="S62" i="8"/>
  <c r="R73" i="8" l="1"/>
  <c r="R105" i="8"/>
  <c r="S61" i="8"/>
  <c r="S63" i="8" s="1"/>
  <c r="S64" i="8" l="1"/>
  <c r="S73" i="8" l="1"/>
  <c r="S105" i="8"/>
  <c r="G30" i="7" l="1"/>
  <c r="H30" i="7"/>
  <c r="G46" i="7"/>
  <c r="H46" i="7"/>
  <c r="G54" i="7"/>
  <c r="G55" i="7" s="1"/>
  <c r="H54" i="7"/>
  <c r="H55" i="7" s="1"/>
  <c r="G60" i="5" l="1"/>
  <c r="H60" i="5"/>
  <c r="H48" i="7"/>
  <c r="H72" i="7" s="1"/>
  <c r="H120" i="7"/>
  <c r="G47" i="7"/>
  <c r="G120" i="7"/>
  <c r="G84" i="7"/>
  <c r="G100" i="7" a="1"/>
  <c r="G100" i="7" s="1"/>
  <c r="H100" i="7" s="1" a="1"/>
  <c r="H100" i="7" s="1"/>
  <c r="G49" i="7"/>
  <c r="G67" i="7" s="1" a="1"/>
  <c r="G67" i="7" s="1"/>
  <c r="G70" i="7" s="1"/>
  <c r="G48" i="7"/>
  <c r="G72" i="7" s="1"/>
  <c r="H49" i="7"/>
  <c r="M64" i="7" s="1" a="1"/>
  <c r="M64" i="7" s="1"/>
  <c r="H85" i="7"/>
  <c r="H84" i="7"/>
  <c r="G85" i="7"/>
  <c r="G101" i="7" a="1"/>
  <c r="G101" i="7" s="1"/>
  <c r="H101" i="7" s="1" a="1"/>
  <c r="H101" i="7" s="1"/>
  <c r="H57" i="7"/>
  <c r="M65" i="7" s="1" a="1"/>
  <c r="M65" i="7" s="1"/>
  <c r="H88" i="7"/>
  <c r="H111" i="7" s="1"/>
  <c r="H83" i="10" s="1"/>
  <c r="G57" i="7"/>
  <c r="G88" i="7"/>
  <c r="G95" i="7" s="1"/>
  <c r="H56" i="7"/>
  <c r="H73" i="7" s="1"/>
  <c r="G56" i="7"/>
  <c r="G83" i="7"/>
  <c r="H47" i="7"/>
  <c r="H83" i="7"/>
  <c r="H114" i="7" l="1"/>
  <c r="H47" i="5" s="1"/>
  <c r="H11" i="13"/>
  <c r="G114" i="7"/>
  <c r="G47" i="5" s="1"/>
  <c r="G11" i="13"/>
  <c r="G86" i="7"/>
  <c r="G35" i="10" s="1"/>
  <c r="L64" i="7" a="1"/>
  <c r="L64" i="7" s="1"/>
  <c r="H86" i="7"/>
  <c r="H107" i="7" s="1"/>
  <c r="G74" i="7"/>
  <c r="G76" i="7" s="1" a="1"/>
  <c r="G76" i="7" s="1"/>
  <c r="H67" i="7" a="1"/>
  <c r="H67" i="7" s="1"/>
  <c r="H70" i="7" s="1"/>
  <c r="H74" i="7" s="1"/>
  <c r="G89" i="7" a="1"/>
  <c r="G89" i="7" s="1"/>
  <c r="G68" i="7" a="1"/>
  <c r="G68" i="7" s="1"/>
  <c r="L65" i="7" a="1"/>
  <c r="L65" i="7" s="1"/>
  <c r="G111" i="7"/>
  <c r="G83" i="10" s="1"/>
  <c r="G102" i="7"/>
  <c r="H102" i="7"/>
  <c r="H103" i="7"/>
  <c r="H95" i="7"/>
  <c r="G103" i="7"/>
  <c r="G73" i="7"/>
  <c r="H108" i="7"/>
  <c r="H42" i="10"/>
  <c r="G108" i="7"/>
  <c r="G42" i="10"/>
  <c r="G90" i="7" l="1" a="1"/>
  <c r="G90" i="7" s="1"/>
  <c r="G94" i="7" s="1"/>
  <c r="G97" i="7" s="1"/>
  <c r="H35" i="10"/>
  <c r="H55" i="10" s="1"/>
  <c r="G107" i="7"/>
  <c r="H76" i="7" a="1"/>
  <c r="H76" i="7" s="1"/>
  <c r="H89" i="7" a="1"/>
  <c r="H89" i="7" s="1"/>
  <c r="G55" i="10"/>
  <c r="H119" i="7"/>
  <c r="G71" i="7"/>
  <c r="G75" i="7" s="1"/>
  <c r="G77" i="7" s="1" a="1"/>
  <c r="G77" i="7" s="1"/>
  <c r="H68" i="7" a="1"/>
  <c r="H68" i="7" s="1"/>
  <c r="H71" i="7" s="1"/>
  <c r="H75" i="7" s="1"/>
  <c r="G119" i="7"/>
  <c r="G109" i="7" l="1"/>
  <c r="G63" i="10" s="1"/>
  <c r="G91" i="7" a="1"/>
  <c r="G91" i="7" s="1"/>
  <c r="G115" i="7" s="1"/>
  <c r="G104" i="10" s="1"/>
  <c r="G110" i="7"/>
  <c r="G96" i="7"/>
  <c r="G112" i="7" s="1"/>
  <c r="G91" i="10" s="1"/>
  <c r="H77" i="7" a="1"/>
  <c r="H77" i="7" s="1"/>
  <c r="H78" i="7" s="1"/>
  <c r="G105" i="10"/>
  <c r="G78" i="7"/>
  <c r="H90" i="7" l="1" a="1"/>
  <c r="H90" i="7" s="1"/>
  <c r="H109" i="7" s="1"/>
  <c r="H63" i="10" s="1"/>
  <c r="H71" i="10" s="1"/>
  <c r="G71" i="10"/>
  <c r="G92" i="7"/>
  <c r="H105" i="10"/>
  <c r="H91" i="7" l="1" a="1"/>
  <c r="H91" i="7" s="1"/>
  <c r="H94" i="7"/>
  <c r="H96" i="7" s="1"/>
  <c r="H112" i="7" s="1"/>
  <c r="H91" i="10" s="1"/>
  <c r="H92" i="7" l="1"/>
  <c r="H115" i="7"/>
  <c r="H104" i="10" s="1"/>
  <c r="H110" i="7"/>
  <c r="H97" i="7"/>
  <c r="D111" i="5"/>
  <c r="S15" i="6" l="1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I105" i="10"/>
  <c r="J105" i="10"/>
  <c r="K105" i="10"/>
  <c r="L105" i="10"/>
  <c r="M105" i="10"/>
  <c r="N105" i="10"/>
  <c r="O105" i="10"/>
  <c r="P105" i="10"/>
  <c r="Q105" i="10"/>
  <c r="R105" i="10"/>
  <c r="S105" i="10"/>
  <c r="AC94" i="10" l="1"/>
  <c r="AB94" i="10"/>
  <c r="AA94" i="10"/>
  <c r="Z94" i="10"/>
  <c r="Y94" i="10"/>
  <c r="X94" i="10"/>
  <c r="W94" i="10"/>
  <c r="V94" i="10"/>
  <c r="U94" i="10"/>
  <c r="T94" i="10"/>
  <c r="D94" i="10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S44" i="7"/>
  <c r="S52" i="7" s="1"/>
  <c r="R44" i="7"/>
  <c r="R52" i="7" s="1"/>
  <c r="Q44" i="7"/>
  <c r="Q52" i="7" s="1"/>
  <c r="P44" i="7"/>
  <c r="P52" i="7" s="1"/>
  <c r="O44" i="7"/>
  <c r="O52" i="7" s="1"/>
  <c r="N44" i="7"/>
  <c r="N52" i="7" s="1"/>
  <c r="M44" i="7"/>
  <c r="M52" i="7" s="1"/>
  <c r="L44" i="7"/>
  <c r="L52" i="7" s="1"/>
  <c r="K44" i="7"/>
  <c r="K52" i="7" s="1"/>
  <c r="J44" i="7"/>
  <c r="J52" i="7" s="1"/>
  <c r="I44" i="7"/>
  <c r="I52" i="7" s="1"/>
  <c r="H44" i="7"/>
  <c r="G44" i="7"/>
  <c r="F44" i="7"/>
  <c r="E44" i="7"/>
  <c r="D44" i="7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D74" i="5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E138" i="4" s="1"/>
  <c r="D12" i="4"/>
  <c r="D138" i="4" s="1"/>
  <c r="D145" i="2"/>
  <c r="D144" i="2"/>
  <c r="E53" i="3"/>
  <c r="E55" i="3" s="1"/>
  <c r="E43" i="3"/>
  <c r="E48" i="3" s="1"/>
  <c r="K138" i="4" l="1"/>
  <c r="K139" i="4" s="1"/>
  <c r="K141" i="4" s="1"/>
  <c r="L138" i="4"/>
  <c r="L139" i="4" s="1"/>
  <c r="L141" i="4" s="1"/>
  <c r="M138" i="4"/>
  <c r="M139" i="4" s="1"/>
  <c r="M141" i="4" s="1"/>
  <c r="N138" i="4"/>
  <c r="N139" i="4" s="1"/>
  <c r="N141" i="4" s="1"/>
  <c r="I138" i="4"/>
  <c r="I139" i="4" s="1"/>
  <c r="S138" i="4"/>
  <c r="S139" i="4" s="1"/>
  <c r="J138" i="4"/>
  <c r="J139" i="4" s="1"/>
  <c r="J141" i="4" s="1"/>
  <c r="AC139" i="4"/>
  <c r="AA139" i="4"/>
  <c r="V139" i="4"/>
  <c r="W139" i="4"/>
  <c r="Z139" i="4"/>
  <c r="X139" i="4"/>
  <c r="E139" i="4"/>
  <c r="E141" i="4" s="1"/>
  <c r="AB139" i="4"/>
  <c r="D139" i="4"/>
  <c r="D141" i="4" s="1"/>
  <c r="Y139" i="4"/>
  <c r="T139" i="4"/>
  <c r="U139" i="4"/>
  <c r="O138" i="4"/>
  <c r="O139" i="4" s="1"/>
  <c r="O141" i="4" s="1"/>
  <c r="F138" i="4"/>
  <c r="F139" i="4" s="1"/>
  <c r="P138" i="4"/>
  <c r="P139" i="4" s="1"/>
  <c r="G138" i="4"/>
  <c r="G139" i="4" s="1"/>
  <c r="Q138" i="4"/>
  <c r="Q139" i="4" s="1"/>
  <c r="H138" i="4"/>
  <c r="H139" i="4" s="1"/>
  <c r="R138" i="4"/>
  <c r="R139" i="4" s="1"/>
  <c r="H52" i="7"/>
  <c r="H53" i="7" s="1"/>
  <c r="H45" i="7"/>
  <c r="G52" i="7"/>
  <c r="G53" i="7" s="1"/>
  <c r="G45" i="7"/>
  <c r="D52" i="7"/>
  <c r="D53" i="7" s="1"/>
  <c r="D45" i="7"/>
  <c r="E52" i="7"/>
  <c r="E53" i="7" s="1"/>
  <c r="E45" i="7"/>
  <c r="F52" i="7"/>
  <c r="F53" i="7" s="1"/>
  <c r="F45" i="7"/>
  <c r="E177" i="3"/>
  <c r="E56" i="3"/>
  <c r="D147" i="2"/>
  <c r="D110" i="3" s="1" a="1"/>
  <c r="D110" i="3" s="1"/>
  <c r="D12" i="3" a="1"/>
  <c r="D12" i="3" s="1"/>
  <c r="D62" i="3" s="1"/>
  <c r="D11" i="3" a="1"/>
  <c r="D11" i="3" s="1"/>
  <c r="D61" i="3" s="1"/>
  <c r="D146" i="2"/>
  <c r="D109" i="3" s="1" a="1"/>
  <c r="D109" i="3" s="1"/>
  <c r="Y140" i="4" l="1"/>
  <c r="Y141" i="4"/>
  <c r="U140" i="4"/>
  <c r="U141" i="4"/>
  <c r="V140" i="4"/>
  <c r="V141" i="4"/>
  <c r="AA140" i="4"/>
  <c r="AA141" i="4"/>
  <c r="AC140" i="4"/>
  <c r="AC141" i="4"/>
  <c r="S140" i="4"/>
  <c r="S141" i="4"/>
  <c r="I140" i="4"/>
  <c r="I141" i="4"/>
  <c r="T140" i="4"/>
  <c r="T141" i="4"/>
  <c r="Q140" i="4"/>
  <c r="Q141" i="4"/>
  <c r="P140" i="4"/>
  <c r="P141" i="4"/>
  <c r="X140" i="4"/>
  <c r="X141" i="4"/>
  <c r="R140" i="4"/>
  <c r="R141" i="4"/>
  <c r="AB140" i="4"/>
  <c r="AB141" i="4"/>
  <c r="F140" i="4"/>
  <c r="F141" i="4"/>
  <c r="Z140" i="4"/>
  <c r="Z141" i="4"/>
  <c r="H140" i="4"/>
  <c r="H141" i="4"/>
  <c r="G140" i="4"/>
  <c r="G141" i="4"/>
  <c r="W140" i="4"/>
  <c r="W141" i="4"/>
  <c r="M37" i="4"/>
  <c r="M140" i="4"/>
  <c r="K36" i="4"/>
  <c r="K140" i="4"/>
  <c r="E37" i="4"/>
  <c r="E140" i="4"/>
  <c r="O37" i="4"/>
  <c r="O140" i="4"/>
  <c r="L37" i="4"/>
  <c r="L140" i="4"/>
  <c r="J36" i="4"/>
  <c r="J140" i="4"/>
  <c r="N36" i="4"/>
  <c r="N140" i="4"/>
  <c r="D37" i="4"/>
  <c r="D140" i="4"/>
  <c r="F36" i="4"/>
  <c r="F37" i="4"/>
  <c r="F100" i="5" s="1"/>
  <c r="E36" i="4"/>
  <c r="M36" i="4"/>
  <c r="L36" i="4"/>
  <c r="N37" i="4"/>
  <c r="G36" i="4"/>
  <c r="G37" i="4"/>
  <c r="Q36" i="4"/>
  <c r="Q37" i="4"/>
  <c r="P36" i="4"/>
  <c r="P37" i="4"/>
  <c r="R37" i="4"/>
  <c r="R36" i="4"/>
  <c r="S36" i="4"/>
  <c r="S37" i="4"/>
  <c r="H37" i="4"/>
  <c r="H36" i="4"/>
  <c r="I36" i="4"/>
  <c r="I37" i="4"/>
  <c r="U36" i="4"/>
  <c r="U37" i="4"/>
  <c r="V36" i="4"/>
  <c r="V37" i="4"/>
  <c r="D36" i="4"/>
  <c r="T36" i="4"/>
  <c r="T37" i="4"/>
  <c r="AA36" i="4"/>
  <c r="AA37" i="4"/>
  <c r="J37" i="4"/>
  <c r="X36" i="4"/>
  <c r="X37" i="4"/>
  <c r="Z36" i="4"/>
  <c r="Z37" i="4"/>
  <c r="AC36" i="4"/>
  <c r="AC37" i="4"/>
  <c r="O36" i="4"/>
  <c r="Y36" i="4"/>
  <c r="Y37" i="4"/>
  <c r="K37" i="4"/>
  <c r="W36" i="4"/>
  <c r="W37" i="4"/>
  <c r="AB36" i="4"/>
  <c r="AB37" i="4"/>
  <c r="E164" i="3"/>
  <c r="E143" i="2" a="1"/>
  <c r="E143" i="2" s="1"/>
  <c r="E145" i="2" s="1" a="1"/>
  <c r="E145" i="2" s="1"/>
  <c r="D184" i="3" a="1"/>
  <c r="D184" i="3" s="1"/>
  <c r="D173" i="3"/>
  <c r="D180" i="3" a="1"/>
  <c r="D180" i="3" s="1"/>
  <c r="D182" i="3" a="1"/>
  <c r="D182" i="3" s="1"/>
  <c r="D183" i="3" s="1"/>
  <c r="E181" i="3" a="1"/>
  <c r="E181" i="3" s="1"/>
  <c r="D185" i="3" a="1"/>
  <c r="D185" i="3" s="1"/>
  <c r="D66" i="3"/>
  <c r="D84" i="3" s="1"/>
  <c r="E100" i="5" l="1"/>
  <c r="Z142" i="4"/>
  <c r="AC142" i="4"/>
  <c r="AA142" i="4"/>
  <c r="E43" i="4"/>
  <c r="W142" i="4"/>
  <c r="AB142" i="4"/>
  <c r="T142" i="4"/>
  <c r="V142" i="4"/>
  <c r="U142" i="4"/>
  <c r="X142" i="4"/>
  <c r="Y142" i="4"/>
  <c r="M43" i="4"/>
  <c r="K100" i="5"/>
  <c r="J100" i="5"/>
  <c r="N43" i="4"/>
  <c r="L43" i="4"/>
  <c r="F43" i="4"/>
  <c r="L100" i="5"/>
  <c r="K43" i="4"/>
  <c r="N100" i="5"/>
  <c r="M100" i="5"/>
  <c r="R43" i="4"/>
  <c r="R100" i="5"/>
  <c r="J43" i="4"/>
  <c r="O43" i="4"/>
  <c r="O100" i="5"/>
  <c r="H100" i="5"/>
  <c r="H43" i="4"/>
  <c r="Q100" i="5"/>
  <c r="Q43" i="4"/>
  <c r="I100" i="5"/>
  <c r="I43" i="4"/>
  <c r="D43" i="4"/>
  <c r="D44" i="4" s="1"/>
  <c r="D100" i="5"/>
  <c r="S43" i="4"/>
  <c r="S100" i="5"/>
  <c r="P43" i="4"/>
  <c r="P100" i="5"/>
  <c r="G43" i="4"/>
  <c r="G100" i="5"/>
  <c r="E147" i="2"/>
  <c r="E110" i="3" s="1" a="1"/>
  <c r="E110" i="3" s="1"/>
  <c r="E12" i="3" a="1"/>
  <c r="E12" i="3" s="1"/>
  <c r="E62" i="3" s="1"/>
  <c r="E184" i="3" s="1" a="1"/>
  <c r="E184" i="3" s="1"/>
  <c r="D74" i="3"/>
  <c r="D32" i="9" a="1"/>
  <c r="D64" i="3"/>
  <c r="D65" i="3" s="1"/>
  <c r="D45" i="4" l="1"/>
  <c r="D46" i="4" s="1"/>
  <c r="D135" i="4"/>
  <c r="D76" i="3"/>
  <c r="D92" i="3"/>
  <c r="D83" i="3"/>
  <c r="D75" i="3"/>
  <c r="D172" i="3"/>
  <c r="D85" i="3"/>
  <c r="D86" i="3"/>
  <c r="D145" i="3"/>
  <c r="D9" i="10" s="1"/>
  <c r="D32" i="9"/>
  <c r="D33" i="9" s="1"/>
  <c r="D78" i="3" l="1"/>
  <c r="D146" i="3" s="1"/>
  <c r="D17" i="10" s="1"/>
  <c r="D25" i="10" s="1"/>
  <c r="D34" i="9"/>
  <c r="D35" i="9"/>
  <c r="E74" i="9" a="1"/>
  <c r="E74" i="9" s="1"/>
  <c r="D74" i="9" a="1"/>
  <c r="D74" i="9" s="1"/>
  <c r="D87" i="3"/>
  <c r="D150" i="3"/>
  <c r="D39" i="10" s="1"/>
  <c r="D79" i="3" l="1"/>
  <c r="D80" i="3" s="1"/>
  <c r="E35" i="9"/>
  <c r="E32" i="9" a="1"/>
  <c r="E32" i="9" s="1"/>
  <c r="D148" i="3"/>
  <c r="D32" i="10" s="1"/>
  <c r="D136" i="3"/>
  <c r="D130" i="3"/>
  <c r="D132" i="3" s="1"/>
  <c r="D118" i="3"/>
  <c r="D120" i="3" s="1"/>
  <c r="E189" i="3" s="1"/>
  <c r="E191" i="3" s="1"/>
  <c r="D112" i="3"/>
  <c r="D124" i="3"/>
  <c r="D126" i="3" s="1"/>
  <c r="D147" i="3"/>
  <c r="E33" i="9" l="1"/>
  <c r="E34" i="9" s="1"/>
  <c r="D88" i="3"/>
  <c r="D149" i="3" s="1"/>
  <c r="D114" i="3"/>
  <c r="D171" i="3"/>
  <c r="D52" i="10"/>
  <c r="F35" i="9"/>
  <c r="D89" i="3" l="1"/>
  <c r="E188" i="3"/>
  <c r="E190" i="3" s="1"/>
  <c r="D140" i="3"/>
  <c r="D160" i="3" s="1"/>
  <c r="E28" i="5" s="1"/>
  <c r="E67" i="5" l="1"/>
  <c r="E31" i="5"/>
  <c r="E107" i="5"/>
  <c r="E108" i="5" s="1"/>
  <c r="E109" i="5"/>
  <c r="E110" i="5" l="1"/>
  <c r="F106" i="5"/>
  <c r="E111" i="5"/>
  <c r="E113" i="3"/>
  <c r="E194" i="3" s="1"/>
  <c r="E119" i="3"/>
  <c r="E195" i="3" s="1"/>
  <c r="E137" i="3"/>
  <c r="E37" i="3" l="1"/>
  <c r="E64" i="5" s="1"/>
  <c r="E138" i="5"/>
  <c r="F138" i="5" s="1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D29" i="6" a="1"/>
  <c r="D29" i="6"/>
  <c r="E29" i="6" a="1"/>
  <c r="E29" i="6"/>
  <c r="F29" i="6" a="1"/>
  <c r="F29" i="6"/>
  <c r="G29" i="6" a="1"/>
  <c r="G29" i="6"/>
  <c r="H29" i="6" a="1"/>
  <c r="H29" i="6"/>
  <c r="I29" i="6" a="1"/>
  <c r="I29" i="6"/>
  <c r="J29" i="6" a="1"/>
  <c r="J29" i="6"/>
  <c r="K29" i="6" a="1"/>
  <c r="K29" i="6"/>
  <c r="L29" i="6" a="1"/>
  <c r="L29" i="6"/>
  <c r="M29" i="6" a="1"/>
  <c r="M29" i="6"/>
  <c r="N29" i="6" a="1"/>
  <c r="N29" i="6"/>
  <c r="O29" i="6" a="1"/>
  <c r="O29" i="6"/>
  <c r="P29" i="6" a="1"/>
  <c r="P29" i="6"/>
  <c r="Q29" i="6" a="1"/>
  <c r="Q29" i="6"/>
  <c r="R29" i="6" a="1"/>
  <c r="R29" i="6"/>
  <c r="S29" i="6" a="1"/>
  <c r="S29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I44" i="6"/>
  <c r="J44" i="6"/>
  <c r="K44" i="6"/>
  <c r="L44" i="6"/>
  <c r="M44" i="6"/>
  <c r="N44" i="6"/>
  <c r="O44" i="6"/>
  <c r="P44" i="6"/>
  <c r="Q44" i="6"/>
  <c r="R44" i="6"/>
  <c r="S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S193" i="6"/>
  <c r="S194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E20" i="5" a="1"/>
  <c r="E20" i="5"/>
  <c r="F20" i="5" a="1"/>
  <c r="F20" i="5"/>
  <c r="G20" i="5" a="1"/>
  <c r="G20" i="5"/>
  <c r="H20" i="5" a="1"/>
  <c r="H20" i="5"/>
  <c r="I20" i="5" a="1"/>
  <c r="I20" i="5"/>
  <c r="J20" i="5" a="1"/>
  <c r="J20" i="5"/>
  <c r="K20" i="5" a="1"/>
  <c r="K20" i="5"/>
  <c r="L20" i="5" a="1"/>
  <c r="L20" i="5"/>
  <c r="M20" i="5" a="1"/>
  <c r="M20" i="5"/>
  <c r="N20" i="5" a="1"/>
  <c r="N20" i="5"/>
  <c r="O20" i="5" a="1"/>
  <c r="O20" i="5"/>
  <c r="P20" i="5" a="1"/>
  <c r="P20" i="5"/>
  <c r="Q20" i="5" a="1"/>
  <c r="Q20" i="5"/>
  <c r="R20" i="5" a="1"/>
  <c r="R20" i="5"/>
  <c r="S20" i="5" a="1"/>
  <c r="S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I24" i="5"/>
  <c r="J24" i="5"/>
  <c r="K24" i="5"/>
  <c r="L24" i="5"/>
  <c r="M24" i="5"/>
  <c r="N24" i="5"/>
  <c r="O24" i="5"/>
  <c r="P24" i="5"/>
  <c r="Q24" i="5"/>
  <c r="R24" i="5"/>
  <c r="S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I47" i="5"/>
  <c r="J47" i="5"/>
  <c r="K47" i="5"/>
  <c r="L47" i="5"/>
  <c r="M47" i="5"/>
  <c r="N47" i="5"/>
  <c r="O47" i="5"/>
  <c r="P47" i="5"/>
  <c r="Q47" i="5"/>
  <c r="R47" i="5"/>
  <c r="S47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I60" i="5"/>
  <c r="J60" i="5"/>
  <c r="K60" i="5"/>
  <c r="L60" i="5"/>
  <c r="M60" i="5"/>
  <c r="N60" i="5"/>
  <c r="O60" i="5"/>
  <c r="P60" i="5"/>
  <c r="Q60" i="5"/>
  <c r="R60" i="5"/>
  <c r="S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E68" i="5"/>
  <c r="E69" i="5"/>
  <c r="E70" i="5"/>
  <c r="E71" i="5"/>
  <c r="D72" i="5"/>
  <c r="E72" i="5"/>
  <c r="E74" i="5" a="1"/>
  <c r="E74" i="5"/>
  <c r="F74" i="5" a="1"/>
  <c r="F74" i="5"/>
  <c r="G74" i="5" a="1"/>
  <c r="G74" i="5"/>
  <c r="H74" i="5" a="1"/>
  <c r="H74" i="5"/>
  <c r="I74" i="5" a="1"/>
  <c r="I74" i="5"/>
  <c r="J74" i="5" a="1"/>
  <c r="J74" i="5"/>
  <c r="K74" i="5" a="1"/>
  <c r="K74" i="5"/>
  <c r="L74" i="5" a="1"/>
  <c r="L74" i="5"/>
  <c r="M74" i="5" a="1"/>
  <c r="M74" i="5"/>
  <c r="N74" i="5" a="1"/>
  <c r="N74" i="5"/>
  <c r="O74" i="5" a="1"/>
  <c r="O74" i="5"/>
  <c r="P74" i="5" a="1"/>
  <c r="P74" i="5"/>
  <c r="Q74" i="5" a="1"/>
  <c r="Q74" i="5"/>
  <c r="R74" i="5" a="1"/>
  <c r="R74" i="5"/>
  <c r="S74" i="5" a="1"/>
  <c r="S74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I97" i="5"/>
  <c r="J97" i="5"/>
  <c r="K97" i="5"/>
  <c r="L97" i="5"/>
  <c r="M97" i="5"/>
  <c r="N97" i="5"/>
  <c r="O97" i="5"/>
  <c r="P97" i="5"/>
  <c r="Q97" i="5"/>
  <c r="R97" i="5"/>
  <c r="S97" i="5"/>
  <c r="I98" i="5"/>
  <c r="J98" i="5"/>
  <c r="K98" i="5"/>
  <c r="L98" i="5"/>
  <c r="M98" i="5"/>
  <c r="N98" i="5"/>
  <c r="O98" i="5"/>
  <c r="P98" i="5"/>
  <c r="Q98" i="5"/>
  <c r="R98" i="5"/>
  <c r="S98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F105" i="5"/>
  <c r="G105" i="5"/>
  <c r="H105" i="5"/>
  <c r="I105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G134" i="5"/>
  <c r="H134" i="5"/>
  <c r="I134" i="5"/>
  <c r="J134" i="5"/>
  <c r="K134" i="5"/>
  <c r="L134" i="5"/>
  <c r="M134" i="5"/>
  <c r="N134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E9" i="4" a="1"/>
  <c r="E9" i="4"/>
  <c r="F10" i="4" a="1"/>
  <c r="F10" i="4"/>
  <c r="G10" i="4" a="1"/>
  <c r="G10" i="4"/>
  <c r="H10" i="4" a="1"/>
  <c r="H10" i="4"/>
  <c r="I10" i="4" a="1"/>
  <c r="I10" i="4"/>
  <c r="J10" i="4" a="1"/>
  <c r="J10" i="4"/>
  <c r="K10" i="4" a="1"/>
  <c r="K10" i="4"/>
  <c r="L10" i="4" a="1"/>
  <c r="L10" i="4"/>
  <c r="M10" i="4" a="1"/>
  <c r="M10" i="4"/>
  <c r="N10" i="4" a="1"/>
  <c r="N10" i="4"/>
  <c r="O10" i="4" a="1"/>
  <c r="O10" i="4"/>
  <c r="P10" i="4" a="1"/>
  <c r="P10" i="4"/>
  <c r="Q10" i="4" a="1"/>
  <c r="Q10" i="4"/>
  <c r="R10" i="4" a="1"/>
  <c r="R10" i="4"/>
  <c r="S10" i="4" a="1"/>
  <c r="S10" i="4"/>
  <c r="D20" i="4" a="1"/>
  <c r="D20" i="4"/>
  <c r="E20" i="4" a="1"/>
  <c r="E20" i="4"/>
  <c r="F20" i="4" a="1"/>
  <c r="F20" i="4"/>
  <c r="G20" i="4" a="1"/>
  <c r="G20" i="4"/>
  <c r="H20" i="4" a="1"/>
  <c r="H20" i="4"/>
  <c r="I20" i="4" a="1"/>
  <c r="I20" i="4"/>
  <c r="J20" i="4" a="1"/>
  <c r="J20" i="4"/>
  <c r="K20" i="4" a="1"/>
  <c r="K20" i="4"/>
  <c r="L20" i="4" a="1"/>
  <c r="L20" i="4"/>
  <c r="M20" i="4" a="1"/>
  <c r="M20" i="4"/>
  <c r="N20" i="4" a="1"/>
  <c r="N20" i="4"/>
  <c r="O20" i="4" a="1"/>
  <c r="O20" i="4"/>
  <c r="P20" i="4" a="1"/>
  <c r="P20" i="4"/>
  <c r="Q20" i="4" a="1"/>
  <c r="Q20" i="4"/>
  <c r="R20" i="4" a="1"/>
  <c r="R20" i="4"/>
  <c r="S20" i="4" a="1"/>
  <c r="S20" i="4"/>
  <c r="D22" i="4" a="1"/>
  <c r="D22" i="4"/>
  <c r="E22" i="4" a="1"/>
  <c r="E22" i="4"/>
  <c r="F22" i="4" a="1"/>
  <c r="F22" i="4"/>
  <c r="G22" i="4" a="1"/>
  <c r="G22" i="4"/>
  <c r="H22" i="4" a="1"/>
  <c r="H22" i="4"/>
  <c r="I22" i="4" a="1"/>
  <c r="I22" i="4"/>
  <c r="J22" i="4" a="1"/>
  <c r="J22" i="4"/>
  <c r="K22" i="4" a="1"/>
  <c r="K22" i="4"/>
  <c r="L22" i="4" a="1"/>
  <c r="L22" i="4"/>
  <c r="M22" i="4" a="1"/>
  <c r="M22" i="4"/>
  <c r="N22" i="4" a="1"/>
  <c r="N22" i="4"/>
  <c r="O22" i="4" a="1"/>
  <c r="O22" i="4"/>
  <c r="P22" i="4" a="1"/>
  <c r="P22" i="4"/>
  <c r="Q22" i="4" a="1"/>
  <c r="Q22" i="4"/>
  <c r="R22" i="4" a="1"/>
  <c r="R22" i="4"/>
  <c r="S22" i="4" a="1"/>
  <c r="S22" i="4"/>
  <c r="E24" i="4" a="1"/>
  <c r="E24" i="4"/>
  <c r="F24" i="4" a="1"/>
  <c r="F24" i="4"/>
  <c r="G24" i="4" a="1"/>
  <c r="G24" i="4"/>
  <c r="H24" i="4" a="1"/>
  <c r="H24" i="4"/>
  <c r="I24" i="4" a="1"/>
  <c r="I24" i="4"/>
  <c r="J24" i="4" a="1"/>
  <c r="J24" i="4"/>
  <c r="K24" i="4" a="1"/>
  <c r="K24" i="4"/>
  <c r="L24" i="4" a="1"/>
  <c r="L24" i="4"/>
  <c r="M24" i="4" a="1"/>
  <c r="M24" i="4"/>
  <c r="N24" i="4" a="1"/>
  <c r="N24" i="4"/>
  <c r="O24" i="4" a="1"/>
  <c r="O24" i="4"/>
  <c r="P24" i="4" a="1"/>
  <c r="P24" i="4"/>
  <c r="Q24" i="4" a="1"/>
  <c r="Q24" i="4"/>
  <c r="R24" i="4" a="1"/>
  <c r="R24" i="4"/>
  <c r="S24" i="4" a="1"/>
  <c r="S24" i="4"/>
  <c r="D31" i="4" a="1"/>
  <c r="D31" i="4"/>
  <c r="E31" i="4" a="1"/>
  <c r="E31" i="4"/>
  <c r="F31" i="4" a="1"/>
  <c r="F31" i="4"/>
  <c r="G31" i="4" a="1"/>
  <c r="G31" i="4"/>
  <c r="H31" i="4" a="1"/>
  <c r="H31" i="4"/>
  <c r="I31" i="4" a="1"/>
  <c r="I31" i="4"/>
  <c r="J31" i="4" a="1"/>
  <c r="J31" i="4"/>
  <c r="K31" i="4" a="1"/>
  <c r="K31" i="4"/>
  <c r="L31" i="4" a="1"/>
  <c r="L31" i="4"/>
  <c r="M31" i="4" a="1"/>
  <c r="M31" i="4"/>
  <c r="N31" i="4" a="1"/>
  <c r="N31" i="4"/>
  <c r="O31" i="4" a="1"/>
  <c r="O31" i="4"/>
  <c r="P31" i="4" a="1"/>
  <c r="P31" i="4"/>
  <c r="Q31" i="4" a="1"/>
  <c r="Q31" i="4"/>
  <c r="R31" i="4" a="1"/>
  <c r="R31" i="4"/>
  <c r="S31" i="4" a="1"/>
  <c r="S31" i="4"/>
  <c r="D32" i="4" a="1"/>
  <c r="D32" i="4"/>
  <c r="E32" i="4" a="1"/>
  <c r="E32" i="4"/>
  <c r="F32" i="4" a="1"/>
  <c r="F32" i="4"/>
  <c r="G32" i="4" a="1"/>
  <c r="G32" i="4"/>
  <c r="H32" i="4" a="1"/>
  <c r="H32" i="4"/>
  <c r="I32" i="4" a="1"/>
  <c r="I32" i="4"/>
  <c r="J32" i="4" a="1"/>
  <c r="J32" i="4"/>
  <c r="K32" i="4" a="1"/>
  <c r="K32" i="4"/>
  <c r="L32" i="4" a="1"/>
  <c r="L32" i="4"/>
  <c r="M32" i="4" a="1"/>
  <c r="M32" i="4"/>
  <c r="N32" i="4" a="1"/>
  <c r="N32" i="4"/>
  <c r="O32" i="4" a="1"/>
  <c r="O32" i="4"/>
  <c r="P32" i="4" a="1"/>
  <c r="P32" i="4"/>
  <c r="Q32" i="4" a="1"/>
  <c r="Q32" i="4"/>
  <c r="R32" i="4" a="1"/>
  <c r="R32" i="4"/>
  <c r="S32" i="4" a="1"/>
  <c r="S3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E44" i="4" a="1"/>
  <c r="E44" i="4"/>
  <c r="F44" i="4" a="1"/>
  <c r="F44" i="4"/>
  <c r="G44" i="4" a="1"/>
  <c r="G44" i="4"/>
  <c r="H44" i="4" a="1"/>
  <c r="H44" i="4"/>
  <c r="I44" i="4" a="1"/>
  <c r="I44" i="4"/>
  <c r="J44" i="4" a="1"/>
  <c r="J44" i="4"/>
  <c r="K44" i="4" a="1"/>
  <c r="K44" i="4"/>
  <c r="L44" i="4" a="1"/>
  <c r="L44" i="4"/>
  <c r="M44" i="4" a="1"/>
  <c r="M44" i="4"/>
  <c r="N44" i="4" a="1"/>
  <c r="N44" i="4"/>
  <c r="O44" i="4" a="1"/>
  <c r="O44" i="4"/>
  <c r="P44" i="4" a="1"/>
  <c r="P44" i="4"/>
  <c r="Q44" i="4" a="1"/>
  <c r="Q44" i="4"/>
  <c r="R44" i="4" a="1"/>
  <c r="R44" i="4"/>
  <c r="S44" i="4" a="1"/>
  <c r="S44" i="4"/>
  <c r="E45" i="4" a="1"/>
  <c r="E45" i="4"/>
  <c r="F45" i="4" a="1"/>
  <c r="F45" i="4"/>
  <c r="G45" i="4" a="1"/>
  <c r="G45" i="4"/>
  <c r="H45" i="4" a="1"/>
  <c r="H45" i="4"/>
  <c r="I45" i="4" a="1"/>
  <c r="I45" i="4"/>
  <c r="J45" i="4" a="1"/>
  <c r="J45" i="4"/>
  <c r="K45" i="4" a="1"/>
  <c r="K45" i="4"/>
  <c r="L45" i="4" a="1"/>
  <c r="L45" i="4"/>
  <c r="M45" i="4" a="1"/>
  <c r="M45" i="4"/>
  <c r="N45" i="4" a="1"/>
  <c r="N45" i="4"/>
  <c r="O45" i="4" a="1"/>
  <c r="O45" i="4"/>
  <c r="P45" i="4" a="1"/>
  <c r="P45" i="4"/>
  <c r="Q45" i="4" a="1"/>
  <c r="Q45" i="4"/>
  <c r="R45" i="4" a="1"/>
  <c r="R45" i="4"/>
  <c r="S45" i="4" a="1"/>
  <c r="S45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D70" i="4" a="1"/>
  <c r="D70" i="4"/>
  <c r="E70" i="4" a="1"/>
  <c r="E70" i="4"/>
  <c r="F70" i="4" a="1"/>
  <c r="F70" i="4"/>
  <c r="G70" i="4" a="1"/>
  <c r="G70" i="4"/>
  <c r="H70" i="4" a="1"/>
  <c r="H70" i="4"/>
  <c r="I70" i="4" a="1"/>
  <c r="I70" i="4"/>
  <c r="J70" i="4" a="1"/>
  <c r="J70" i="4"/>
  <c r="K70" i="4" a="1"/>
  <c r="K70" i="4"/>
  <c r="L70" i="4" a="1"/>
  <c r="L70" i="4"/>
  <c r="M70" i="4" a="1"/>
  <c r="M70" i="4"/>
  <c r="N70" i="4" a="1"/>
  <c r="N70" i="4"/>
  <c r="O70" i="4" a="1"/>
  <c r="O70" i="4"/>
  <c r="P70" i="4" a="1"/>
  <c r="P70" i="4"/>
  <c r="Q70" i="4" a="1"/>
  <c r="Q70" i="4"/>
  <c r="R70" i="4" a="1"/>
  <c r="R70" i="4"/>
  <c r="S70" i="4" a="1"/>
  <c r="S70" i="4"/>
  <c r="T70" i="4" a="1"/>
  <c r="T70" i="4"/>
  <c r="U70" i="4" a="1"/>
  <c r="U70" i="4"/>
  <c r="V70" i="4" a="1"/>
  <c r="V70" i="4"/>
  <c r="W70" i="4" a="1"/>
  <c r="W70" i="4"/>
  <c r="X70" i="4" a="1"/>
  <c r="X70" i="4"/>
  <c r="Y70" i="4" a="1"/>
  <c r="Y70" i="4"/>
  <c r="Z70" i="4" a="1"/>
  <c r="Z70" i="4"/>
  <c r="AA70" i="4" a="1"/>
  <c r="AA70" i="4"/>
  <c r="AB70" i="4" a="1"/>
  <c r="AB70" i="4"/>
  <c r="AC70" i="4" a="1"/>
  <c r="AC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D82" i="4" a="1"/>
  <c r="D82" i="4"/>
  <c r="E82" i="4" a="1"/>
  <c r="E82" i="4"/>
  <c r="F82" i="4" a="1"/>
  <c r="F82" i="4"/>
  <c r="G82" i="4" a="1"/>
  <c r="G82" i="4"/>
  <c r="H82" i="4" a="1"/>
  <c r="H82" i="4"/>
  <c r="I82" i="4" a="1"/>
  <c r="I82" i="4"/>
  <c r="J82" i="4" a="1"/>
  <c r="J82" i="4"/>
  <c r="K82" i="4" a="1"/>
  <c r="K82" i="4"/>
  <c r="L82" i="4" a="1"/>
  <c r="L82" i="4"/>
  <c r="M82" i="4" a="1"/>
  <c r="M82" i="4"/>
  <c r="N82" i="4" a="1"/>
  <c r="N82" i="4"/>
  <c r="O82" i="4" a="1"/>
  <c r="O82" i="4"/>
  <c r="P82" i="4" a="1"/>
  <c r="P82" i="4"/>
  <c r="Q82" i="4" a="1"/>
  <c r="Q82" i="4"/>
  <c r="R82" i="4" a="1"/>
  <c r="R82" i="4"/>
  <c r="S82" i="4" a="1"/>
  <c r="S82" i="4"/>
  <c r="D83" i="4" a="1"/>
  <c r="D83" i="4"/>
  <c r="E83" i="4" a="1"/>
  <c r="E83" i="4"/>
  <c r="F83" i="4" a="1"/>
  <c r="F83" i="4"/>
  <c r="G83" i="4" a="1"/>
  <c r="G83" i="4"/>
  <c r="H83" i="4" a="1"/>
  <c r="H83" i="4"/>
  <c r="I83" i="4" a="1"/>
  <c r="I83" i="4"/>
  <c r="J83" i="4" a="1"/>
  <c r="J83" i="4"/>
  <c r="K83" i="4" a="1"/>
  <c r="K83" i="4"/>
  <c r="L83" i="4" a="1"/>
  <c r="L83" i="4"/>
  <c r="M83" i="4" a="1"/>
  <c r="M83" i="4"/>
  <c r="N83" i="4" a="1"/>
  <c r="N83" i="4"/>
  <c r="O83" i="4" a="1"/>
  <c r="O83" i="4"/>
  <c r="P83" i="4" a="1"/>
  <c r="P83" i="4"/>
  <c r="Q83" i="4" a="1"/>
  <c r="Q83" i="4"/>
  <c r="R83" i="4" a="1"/>
  <c r="R83" i="4"/>
  <c r="S83" i="4" a="1"/>
  <c r="S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D125" i="4"/>
  <c r="D126" i="4"/>
  <c r="D127" i="4"/>
  <c r="D128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E142" i="2" a="1"/>
  <c r="E142" i="2"/>
  <c r="F142" i="2" a="1"/>
  <c r="F142" i="2"/>
  <c r="G142" i="2" a="1"/>
  <c r="G142" i="2"/>
  <c r="H142" i="2" a="1"/>
  <c r="H142" i="2"/>
  <c r="I142" i="2" a="1"/>
  <c r="I142" i="2"/>
  <c r="J142" i="2" a="1"/>
  <c r="J142" i="2"/>
  <c r="K142" i="2" a="1"/>
  <c r="K142" i="2"/>
  <c r="L142" i="2" a="1"/>
  <c r="L142" i="2"/>
  <c r="M142" i="2" a="1"/>
  <c r="M142" i="2"/>
  <c r="N142" i="2" a="1"/>
  <c r="N142" i="2"/>
  <c r="O142" i="2" a="1"/>
  <c r="O142" i="2"/>
  <c r="P142" i="2" a="1"/>
  <c r="P142" i="2"/>
  <c r="Q142" i="2" a="1"/>
  <c r="Q142" i="2"/>
  <c r="R142" i="2" a="1"/>
  <c r="R142" i="2"/>
  <c r="S142" i="2" a="1"/>
  <c r="S142" i="2"/>
  <c r="F143" i="2" a="1"/>
  <c r="F143" i="2"/>
  <c r="G143" i="2" a="1"/>
  <c r="G143" i="2"/>
  <c r="H143" i="2" a="1"/>
  <c r="H143" i="2"/>
  <c r="I143" i="2" a="1"/>
  <c r="I143" i="2"/>
  <c r="J143" i="2" a="1"/>
  <c r="J143" i="2"/>
  <c r="K143" i="2" a="1"/>
  <c r="K143" i="2"/>
  <c r="L143" i="2" a="1"/>
  <c r="L143" i="2"/>
  <c r="M143" i="2" a="1"/>
  <c r="M143" i="2"/>
  <c r="N143" i="2" a="1"/>
  <c r="N143" i="2"/>
  <c r="O143" i="2" a="1"/>
  <c r="O143" i="2"/>
  <c r="P143" i="2" a="1"/>
  <c r="P143" i="2"/>
  <c r="Q143" i="2" a="1"/>
  <c r="Q143" i="2"/>
  <c r="R143" i="2" a="1"/>
  <c r="R143" i="2"/>
  <c r="S143" i="2" a="1"/>
  <c r="S143" i="2"/>
  <c r="E144" i="2" a="1"/>
  <c r="E144" i="2"/>
  <c r="F144" i="2" a="1"/>
  <c r="F144" i="2"/>
  <c r="G144" i="2" a="1"/>
  <c r="G144" i="2"/>
  <c r="H144" i="2" a="1"/>
  <c r="H144" i="2"/>
  <c r="I144" i="2" a="1"/>
  <c r="I144" i="2"/>
  <c r="J144" i="2" a="1"/>
  <c r="J144" i="2"/>
  <c r="K144" i="2" a="1"/>
  <c r="K144" i="2"/>
  <c r="L144" i="2" a="1"/>
  <c r="L144" i="2"/>
  <c r="M144" i="2" a="1"/>
  <c r="M144" i="2"/>
  <c r="N144" i="2" a="1"/>
  <c r="N144" i="2"/>
  <c r="O144" i="2" a="1"/>
  <c r="O144" i="2"/>
  <c r="P144" i="2" a="1"/>
  <c r="P144" i="2"/>
  <c r="Q144" i="2" a="1"/>
  <c r="Q144" i="2"/>
  <c r="R144" i="2" a="1"/>
  <c r="R144" i="2"/>
  <c r="S144" i="2" a="1"/>
  <c r="S144" i="2"/>
  <c r="F145" i="2" a="1"/>
  <c r="F145" i="2"/>
  <c r="G145" i="2" a="1"/>
  <c r="G145" i="2"/>
  <c r="H145" i="2" a="1"/>
  <c r="H145" i="2"/>
  <c r="I145" i="2" a="1"/>
  <c r="I145" i="2"/>
  <c r="J145" i="2" a="1"/>
  <c r="J145" i="2"/>
  <c r="K145" i="2" a="1"/>
  <c r="K145" i="2"/>
  <c r="L145" i="2" a="1"/>
  <c r="L145" i="2"/>
  <c r="M145" i="2" a="1"/>
  <c r="M145" i="2"/>
  <c r="N145" i="2" a="1"/>
  <c r="N145" i="2"/>
  <c r="O145" i="2" a="1"/>
  <c r="O145" i="2"/>
  <c r="P145" i="2" a="1"/>
  <c r="P145" i="2"/>
  <c r="Q145" i="2" a="1"/>
  <c r="Q145" i="2"/>
  <c r="R145" i="2" a="1"/>
  <c r="R145" i="2"/>
  <c r="S145" i="2" a="1"/>
  <c r="S145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E8" i="9" a="1"/>
  <c r="E8" i="9"/>
  <c r="F8" i="9" a="1"/>
  <c r="F8" i="9"/>
  <c r="G8" i="9" a="1"/>
  <c r="G8" i="9"/>
  <c r="H8" i="9" a="1"/>
  <c r="H8" i="9"/>
  <c r="I8" i="9" a="1"/>
  <c r="I8" i="9"/>
  <c r="J8" i="9" a="1"/>
  <c r="J8" i="9"/>
  <c r="K8" i="9" a="1"/>
  <c r="K8" i="9"/>
  <c r="L8" i="9" a="1"/>
  <c r="L8" i="9"/>
  <c r="M8" i="9" a="1"/>
  <c r="M8" i="9"/>
  <c r="N8" i="9" a="1"/>
  <c r="N8" i="9"/>
  <c r="O8" i="9" a="1"/>
  <c r="O8" i="9"/>
  <c r="P8" i="9" a="1"/>
  <c r="P8" i="9"/>
  <c r="Q8" i="9" a="1"/>
  <c r="Q8" i="9"/>
  <c r="R8" i="9" a="1"/>
  <c r="R8" i="9"/>
  <c r="S8" i="9" a="1"/>
  <c r="S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E12" i="9" a="1"/>
  <c r="E12" i="9"/>
  <c r="F12" i="9" a="1"/>
  <c r="F12" i="9"/>
  <c r="G12" i="9" a="1"/>
  <c r="G12" i="9"/>
  <c r="H12" i="9" a="1"/>
  <c r="H12" i="9"/>
  <c r="I12" i="9" a="1"/>
  <c r="I12" i="9"/>
  <c r="J12" i="9" a="1"/>
  <c r="J12" i="9"/>
  <c r="K12" i="9" a="1"/>
  <c r="K12" i="9"/>
  <c r="L12" i="9" a="1"/>
  <c r="L12" i="9"/>
  <c r="M12" i="9" a="1"/>
  <c r="M12" i="9"/>
  <c r="N12" i="9" a="1"/>
  <c r="N12" i="9"/>
  <c r="O12" i="9" a="1"/>
  <c r="O12" i="9"/>
  <c r="P12" i="9" a="1"/>
  <c r="P12" i="9"/>
  <c r="Q12" i="9" a="1"/>
  <c r="Q12" i="9"/>
  <c r="R12" i="9" a="1"/>
  <c r="R12" i="9"/>
  <c r="S12" i="9" a="1"/>
  <c r="S12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D18" i="9" a="1"/>
  <c r="D18" i="9"/>
  <c r="E18" i="9" a="1"/>
  <c r="E18" i="9"/>
  <c r="F18" i="9" a="1"/>
  <c r="F18" i="9"/>
  <c r="G18" i="9" a="1"/>
  <c r="G18" i="9"/>
  <c r="H18" i="9" a="1"/>
  <c r="H18" i="9"/>
  <c r="I18" i="9" a="1"/>
  <c r="I18" i="9"/>
  <c r="J18" i="9" a="1"/>
  <c r="J18" i="9"/>
  <c r="K18" i="9" a="1"/>
  <c r="K18" i="9"/>
  <c r="L18" i="9" a="1"/>
  <c r="L18" i="9"/>
  <c r="M18" i="9" a="1"/>
  <c r="M18" i="9"/>
  <c r="N18" i="9" a="1"/>
  <c r="N18" i="9"/>
  <c r="O18" i="9" a="1"/>
  <c r="O18" i="9"/>
  <c r="P18" i="9" a="1"/>
  <c r="P18" i="9"/>
  <c r="Q18" i="9" a="1"/>
  <c r="Q18" i="9"/>
  <c r="R18" i="9" a="1"/>
  <c r="R18" i="9"/>
  <c r="S18" i="9" a="1"/>
  <c r="S18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D24" i="9" a="1"/>
  <c r="D24" i="9"/>
  <c r="E24" i="9" a="1"/>
  <c r="E24" i="9"/>
  <c r="F24" i="9" a="1"/>
  <c r="F24" i="9"/>
  <c r="G24" i="9" a="1"/>
  <c r="G24" i="9"/>
  <c r="H24" i="9" a="1"/>
  <c r="H24" i="9"/>
  <c r="I24" i="9" a="1"/>
  <c r="I24" i="9"/>
  <c r="J24" i="9" a="1"/>
  <c r="J24" i="9"/>
  <c r="K24" i="9" a="1"/>
  <c r="K24" i="9"/>
  <c r="L24" i="9" a="1"/>
  <c r="L24" i="9"/>
  <c r="M24" i="9" a="1"/>
  <c r="M24" i="9"/>
  <c r="N24" i="9" a="1"/>
  <c r="N24" i="9"/>
  <c r="O24" i="9" a="1"/>
  <c r="O24" i="9"/>
  <c r="P24" i="9" a="1"/>
  <c r="P24" i="9"/>
  <c r="Q24" i="9" a="1"/>
  <c r="Q24" i="9"/>
  <c r="R24" i="9" a="1"/>
  <c r="R24" i="9"/>
  <c r="S24" i="9" a="1"/>
  <c r="S24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F32" i="9" a="1"/>
  <c r="F32" i="9"/>
  <c r="G32" i="9" a="1"/>
  <c r="G32" i="9"/>
  <c r="H32" i="9" a="1"/>
  <c r="H32" i="9"/>
  <c r="I32" i="9" a="1"/>
  <c r="I32" i="9"/>
  <c r="J32" i="9" a="1"/>
  <c r="J32" i="9"/>
  <c r="K32" i="9" a="1"/>
  <c r="K32" i="9"/>
  <c r="L32" i="9" a="1"/>
  <c r="L32" i="9"/>
  <c r="M32" i="9" a="1"/>
  <c r="M32" i="9"/>
  <c r="N32" i="9" a="1"/>
  <c r="N32" i="9"/>
  <c r="O32" i="9" a="1"/>
  <c r="O32" i="9"/>
  <c r="P32" i="9" a="1"/>
  <c r="P32" i="9"/>
  <c r="Q32" i="9" a="1"/>
  <c r="Q32" i="9"/>
  <c r="R32" i="9" a="1"/>
  <c r="R32" i="9"/>
  <c r="S32" i="9" a="1"/>
  <c r="S32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D38" i="9" a="1"/>
  <c r="D38" i="9"/>
  <c r="E38" i="9" a="1"/>
  <c r="E38" i="9"/>
  <c r="F38" i="9" a="1"/>
  <c r="F38" i="9"/>
  <c r="G38" i="9" a="1"/>
  <c r="G38" i="9"/>
  <c r="H38" i="9" a="1"/>
  <c r="H38" i="9"/>
  <c r="I38" i="9" a="1"/>
  <c r="I38" i="9"/>
  <c r="J38" i="9" a="1"/>
  <c r="J38" i="9"/>
  <c r="K38" i="9" a="1"/>
  <c r="K38" i="9"/>
  <c r="L38" i="9" a="1"/>
  <c r="L38" i="9"/>
  <c r="M38" i="9" a="1"/>
  <c r="M38" i="9"/>
  <c r="N38" i="9" a="1"/>
  <c r="N38" i="9"/>
  <c r="O38" i="9" a="1"/>
  <c r="O38" i="9"/>
  <c r="P38" i="9" a="1"/>
  <c r="P38" i="9"/>
  <c r="Q38" i="9" a="1"/>
  <c r="Q38" i="9"/>
  <c r="R38" i="9" a="1"/>
  <c r="R38" i="9"/>
  <c r="S38" i="9" a="1"/>
  <c r="S38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D53" i="9" a="1"/>
  <c r="D53" i="9"/>
  <c r="E53" i="9" a="1"/>
  <c r="E53" i="9"/>
  <c r="F53" i="9" a="1"/>
  <c r="F53" i="9"/>
  <c r="G53" i="9" a="1"/>
  <c r="G53" i="9"/>
  <c r="H53" i="9" a="1"/>
  <c r="H53" i="9"/>
  <c r="I53" i="9" a="1"/>
  <c r="I53" i="9"/>
  <c r="J53" i="9" a="1"/>
  <c r="J53" i="9"/>
  <c r="K53" i="9" a="1"/>
  <c r="K53" i="9"/>
  <c r="L53" i="9" a="1"/>
  <c r="L53" i="9"/>
  <c r="M53" i="9" a="1"/>
  <c r="M53" i="9"/>
  <c r="N53" i="9" a="1"/>
  <c r="N53" i="9"/>
  <c r="O53" i="9" a="1"/>
  <c r="O53" i="9"/>
  <c r="P53" i="9" a="1"/>
  <c r="P53" i="9"/>
  <c r="Q53" i="9" a="1"/>
  <c r="Q53" i="9"/>
  <c r="R53" i="9" a="1"/>
  <c r="R53" i="9"/>
  <c r="S53" i="9" a="1"/>
  <c r="S53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D71" i="9" a="1"/>
  <c r="D71" i="9"/>
  <c r="E71" i="9" a="1"/>
  <c r="E71" i="9"/>
  <c r="F71" i="9" a="1"/>
  <c r="F71" i="9"/>
  <c r="G71" i="9" a="1"/>
  <c r="G71" i="9"/>
  <c r="H71" i="9" a="1"/>
  <c r="H71" i="9"/>
  <c r="I71" i="9" a="1"/>
  <c r="I71" i="9"/>
  <c r="J71" i="9" a="1"/>
  <c r="J71" i="9"/>
  <c r="K71" i="9" a="1"/>
  <c r="K71" i="9"/>
  <c r="L71" i="9" a="1"/>
  <c r="L71" i="9"/>
  <c r="M71" i="9" a="1"/>
  <c r="M71" i="9"/>
  <c r="N71" i="9" a="1"/>
  <c r="N71" i="9"/>
  <c r="O71" i="9" a="1"/>
  <c r="O71" i="9"/>
  <c r="P71" i="9" a="1"/>
  <c r="P71" i="9"/>
  <c r="Q71" i="9" a="1"/>
  <c r="Q71" i="9"/>
  <c r="R71" i="9" a="1"/>
  <c r="R71" i="9"/>
  <c r="S71" i="9" a="1"/>
  <c r="S71" i="9"/>
  <c r="D72" i="9" a="1"/>
  <c r="D72" i="9"/>
  <c r="E72" i="9" a="1"/>
  <c r="E72" i="9"/>
  <c r="F72" i="9" a="1"/>
  <c r="F72" i="9"/>
  <c r="G72" i="9" a="1"/>
  <c r="G72" i="9"/>
  <c r="H72" i="9" a="1"/>
  <c r="H72" i="9"/>
  <c r="I72" i="9" a="1"/>
  <c r="I72" i="9"/>
  <c r="J72" i="9" a="1"/>
  <c r="J72" i="9"/>
  <c r="K72" i="9" a="1"/>
  <c r="K72" i="9"/>
  <c r="L72" i="9" a="1"/>
  <c r="L72" i="9"/>
  <c r="M72" i="9" a="1"/>
  <c r="M72" i="9"/>
  <c r="N72" i="9" a="1"/>
  <c r="N72" i="9"/>
  <c r="O72" i="9" a="1"/>
  <c r="O72" i="9"/>
  <c r="P72" i="9" a="1"/>
  <c r="P72" i="9"/>
  <c r="Q72" i="9" a="1"/>
  <c r="Q72" i="9"/>
  <c r="R72" i="9" a="1"/>
  <c r="R72" i="9"/>
  <c r="S72" i="9" a="1"/>
  <c r="S72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F74" i="9" a="1"/>
  <c r="F74" i="9"/>
  <c r="G74" i="9" a="1"/>
  <c r="G74" i="9"/>
  <c r="H74" i="9" a="1"/>
  <c r="H74" i="9"/>
  <c r="I74" i="9" a="1"/>
  <c r="I74" i="9"/>
  <c r="J74" i="9" a="1"/>
  <c r="J74" i="9"/>
  <c r="K74" i="9" a="1"/>
  <c r="K74" i="9"/>
  <c r="L74" i="9" a="1"/>
  <c r="L74" i="9"/>
  <c r="M74" i="9" a="1"/>
  <c r="M74" i="9"/>
  <c r="N74" i="9" a="1"/>
  <c r="N74" i="9"/>
  <c r="O74" i="9" a="1"/>
  <c r="O74" i="9"/>
  <c r="P74" i="9" a="1"/>
  <c r="P74" i="9"/>
  <c r="Q74" i="9" a="1"/>
  <c r="Q74" i="9"/>
  <c r="R74" i="9" a="1"/>
  <c r="R74" i="9"/>
  <c r="S74" i="9" a="1"/>
  <c r="S74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D82" i="9" a="1"/>
  <c r="D82" i="9"/>
  <c r="E82" i="9" a="1"/>
  <c r="E82" i="9"/>
  <c r="F82" i="9" a="1"/>
  <c r="F82" i="9"/>
  <c r="G82" i="9" a="1"/>
  <c r="G82" i="9"/>
  <c r="H82" i="9" a="1"/>
  <c r="H82" i="9"/>
  <c r="I82" i="9" a="1"/>
  <c r="I82" i="9"/>
  <c r="J82" i="9" a="1"/>
  <c r="J82" i="9"/>
  <c r="K82" i="9" a="1"/>
  <c r="K82" i="9"/>
  <c r="L82" i="9" a="1"/>
  <c r="L82" i="9"/>
  <c r="M82" i="9" a="1"/>
  <c r="M82" i="9"/>
  <c r="N82" i="9" a="1"/>
  <c r="N82" i="9"/>
  <c r="O82" i="9" a="1"/>
  <c r="O82" i="9"/>
  <c r="P82" i="9" a="1"/>
  <c r="P82" i="9"/>
  <c r="Q82" i="9" a="1"/>
  <c r="Q82" i="9"/>
  <c r="R82" i="9" a="1"/>
  <c r="R82" i="9"/>
  <c r="S82" i="9" a="1"/>
  <c r="S82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I35" i="10"/>
  <c r="J35" i="10"/>
  <c r="K35" i="10"/>
  <c r="L35" i="10"/>
  <c r="M35" i="10"/>
  <c r="N35" i="10"/>
  <c r="O35" i="10"/>
  <c r="P35" i="10"/>
  <c r="Q35" i="10"/>
  <c r="R35" i="10"/>
  <c r="S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I55" i="10"/>
  <c r="J55" i="10"/>
  <c r="K55" i="10"/>
  <c r="L55" i="10"/>
  <c r="M55" i="10"/>
  <c r="N55" i="10"/>
  <c r="O55" i="10"/>
  <c r="P55" i="10"/>
  <c r="Q55" i="10"/>
  <c r="R55" i="10"/>
  <c r="S55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I63" i="10"/>
  <c r="J63" i="10"/>
  <c r="K63" i="10"/>
  <c r="L63" i="10"/>
  <c r="M63" i="10"/>
  <c r="N63" i="10"/>
  <c r="O63" i="10"/>
  <c r="P63" i="10"/>
  <c r="Q63" i="10"/>
  <c r="R63" i="10"/>
  <c r="S63" i="10"/>
  <c r="D64" i="10" a="1"/>
  <c r="D64" i="10"/>
  <c r="E64" i="10" a="1"/>
  <c r="E64" i="10"/>
  <c r="F64" i="10" a="1"/>
  <c r="F64" i="10"/>
  <c r="G64" i="10" a="1"/>
  <c r="G64" i="10"/>
  <c r="H64" i="10" a="1"/>
  <c r="H64" i="10"/>
  <c r="I64" i="10" a="1"/>
  <c r="I64" i="10"/>
  <c r="J64" i="10" a="1"/>
  <c r="J64" i="10"/>
  <c r="K64" i="10" a="1"/>
  <c r="K64" i="10"/>
  <c r="L64" i="10" a="1"/>
  <c r="L64" i="10"/>
  <c r="M64" i="10" a="1"/>
  <c r="M64" i="10"/>
  <c r="N64" i="10" a="1"/>
  <c r="N64" i="10"/>
  <c r="O64" i="10" a="1"/>
  <c r="O64" i="10"/>
  <c r="P64" i="10" a="1"/>
  <c r="P64" i="10"/>
  <c r="Q64" i="10" a="1"/>
  <c r="Q64" i="10"/>
  <c r="R64" i="10" a="1"/>
  <c r="R64" i="10"/>
  <c r="S64" i="10" a="1"/>
  <c r="S64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I71" i="10"/>
  <c r="J71" i="10"/>
  <c r="K71" i="10"/>
  <c r="L71" i="10"/>
  <c r="M71" i="10"/>
  <c r="N71" i="10"/>
  <c r="O71" i="10"/>
  <c r="P71" i="10"/>
  <c r="Q71" i="10"/>
  <c r="R71" i="10"/>
  <c r="S71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I83" i="10"/>
  <c r="J83" i="10"/>
  <c r="K83" i="10"/>
  <c r="L83" i="10"/>
  <c r="M83" i="10"/>
  <c r="N83" i="10"/>
  <c r="O83" i="10"/>
  <c r="P83" i="10"/>
  <c r="Q83" i="10"/>
  <c r="R83" i="10"/>
  <c r="S83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I91" i="10"/>
  <c r="J91" i="10"/>
  <c r="K91" i="10"/>
  <c r="L91" i="10"/>
  <c r="M91" i="10"/>
  <c r="N91" i="10"/>
  <c r="O91" i="10"/>
  <c r="P91" i="10"/>
  <c r="Q91" i="10"/>
  <c r="R91" i="10"/>
  <c r="S91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E94" i="10" a="1"/>
  <c r="E94" i="10"/>
  <c r="F94" i="10" a="1"/>
  <c r="F94" i="10"/>
  <c r="G94" i="10" a="1"/>
  <c r="G94" i="10"/>
  <c r="H94" i="10" a="1"/>
  <c r="H94" i="10"/>
  <c r="I94" i="10" a="1"/>
  <c r="I94" i="10"/>
  <c r="J94" i="10" a="1"/>
  <c r="J94" i="10"/>
  <c r="K94" i="10" a="1"/>
  <c r="K94" i="10"/>
  <c r="L94" i="10" a="1"/>
  <c r="L94" i="10"/>
  <c r="M94" i="10" a="1"/>
  <c r="M94" i="10"/>
  <c r="N94" i="10" a="1"/>
  <c r="N94" i="10"/>
  <c r="O94" i="10" a="1"/>
  <c r="O94" i="10"/>
  <c r="P94" i="10" a="1"/>
  <c r="P94" i="10"/>
  <c r="Q94" i="10" a="1"/>
  <c r="Q94" i="10"/>
  <c r="R94" i="10" a="1"/>
  <c r="R94" i="10"/>
  <c r="S94" i="10" a="1"/>
  <c r="S94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I104" i="10"/>
  <c r="J104" i="10"/>
  <c r="K104" i="10"/>
  <c r="L104" i="10"/>
  <c r="M104" i="10"/>
  <c r="N104" i="10"/>
  <c r="O104" i="10"/>
  <c r="P104" i="10"/>
  <c r="Q104" i="10"/>
  <c r="R104" i="10"/>
  <c r="S104" i="10"/>
  <c r="D108" i="10"/>
  <c r="D109" i="10"/>
  <c r="D110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I11" i="13"/>
  <c r="J11" i="13"/>
  <c r="K11" i="13"/>
  <c r="L11" i="13"/>
  <c r="M11" i="13"/>
  <c r="N11" i="13"/>
  <c r="O11" i="13"/>
  <c r="P11" i="13"/>
  <c r="Q11" i="13"/>
  <c r="R11" i="13"/>
  <c r="S11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E21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I30" i="7"/>
  <c r="J30" i="7"/>
  <c r="K30" i="7"/>
  <c r="L30" i="7"/>
  <c r="M30" i="7"/>
  <c r="N30" i="7"/>
  <c r="O30" i="7"/>
  <c r="P30" i="7"/>
  <c r="Q30" i="7"/>
  <c r="R30" i="7"/>
  <c r="S30" i="7"/>
  <c r="I45" i="7"/>
  <c r="J45" i="7"/>
  <c r="K45" i="7"/>
  <c r="L45" i="7"/>
  <c r="M45" i="7"/>
  <c r="N45" i="7"/>
  <c r="O45" i="7"/>
  <c r="P45" i="7"/>
  <c r="Q45" i="7"/>
  <c r="R45" i="7"/>
  <c r="S45" i="7"/>
  <c r="I46" i="7"/>
  <c r="J46" i="7"/>
  <c r="K46" i="7"/>
  <c r="L46" i="7"/>
  <c r="M46" i="7"/>
  <c r="N46" i="7"/>
  <c r="O46" i="7"/>
  <c r="P46" i="7"/>
  <c r="Q46" i="7"/>
  <c r="R46" i="7"/>
  <c r="S46" i="7"/>
  <c r="I47" i="7"/>
  <c r="J47" i="7"/>
  <c r="K47" i="7"/>
  <c r="L47" i="7"/>
  <c r="M47" i="7"/>
  <c r="N47" i="7"/>
  <c r="O47" i="7"/>
  <c r="P47" i="7"/>
  <c r="Q47" i="7"/>
  <c r="R47" i="7"/>
  <c r="S47" i="7"/>
  <c r="I48" i="7"/>
  <c r="J48" i="7"/>
  <c r="K48" i="7"/>
  <c r="L48" i="7"/>
  <c r="M48" i="7"/>
  <c r="N48" i="7"/>
  <c r="O48" i="7"/>
  <c r="P48" i="7"/>
  <c r="Q48" i="7"/>
  <c r="R48" i="7"/>
  <c r="S48" i="7"/>
  <c r="I49" i="7"/>
  <c r="J49" i="7"/>
  <c r="K49" i="7"/>
  <c r="L49" i="7"/>
  <c r="M49" i="7"/>
  <c r="N49" i="7"/>
  <c r="O49" i="7"/>
  <c r="P49" i="7"/>
  <c r="Q49" i="7"/>
  <c r="R49" i="7"/>
  <c r="S49" i="7"/>
  <c r="I53" i="7"/>
  <c r="J53" i="7"/>
  <c r="K53" i="7"/>
  <c r="L53" i="7"/>
  <c r="M53" i="7"/>
  <c r="N53" i="7"/>
  <c r="O53" i="7"/>
  <c r="P53" i="7"/>
  <c r="Q53" i="7"/>
  <c r="R53" i="7"/>
  <c r="S53" i="7"/>
  <c r="I54" i="7"/>
  <c r="J54" i="7"/>
  <c r="K54" i="7"/>
  <c r="L54" i="7"/>
  <c r="M54" i="7"/>
  <c r="N54" i="7"/>
  <c r="O54" i="7"/>
  <c r="P54" i="7"/>
  <c r="Q54" i="7"/>
  <c r="R54" i="7"/>
  <c r="S54" i="7"/>
  <c r="I55" i="7"/>
  <c r="J55" i="7"/>
  <c r="K55" i="7"/>
  <c r="L55" i="7"/>
  <c r="M55" i="7"/>
  <c r="N55" i="7"/>
  <c r="O55" i="7"/>
  <c r="P55" i="7"/>
  <c r="Q55" i="7"/>
  <c r="R55" i="7"/>
  <c r="S55" i="7"/>
  <c r="I56" i="7"/>
  <c r="J56" i="7"/>
  <c r="K56" i="7"/>
  <c r="L56" i="7"/>
  <c r="M56" i="7"/>
  <c r="N56" i="7"/>
  <c r="O56" i="7"/>
  <c r="P56" i="7"/>
  <c r="Q56" i="7"/>
  <c r="R56" i="7"/>
  <c r="S56" i="7"/>
  <c r="I57" i="7"/>
  <c r="J57" i="7"/>
  <c r="K57" i="7"/>
  <c r="L57" i="7"/>
  <c r="M57" i="7"/>
  <c r="N57" i="7"/>
  <c r="O57" i="7"/>
  <c r="P57" i="7"/>
  <c r="Q57" i="7"/>
  <c r="R57" i="7"/>
  <c r="S57" i="7"/>
  <c r="N64" i="7" a="1"/>
  <c r="N64" i="7"/>
  <c r="O64" i="7" a="1"/>
  <c r="O64" i="7"/>
  <c r="P64" i="7" a="1"/>
  <c r="P64" i="7"/>
  <c r="Q64" i="7" a="1"/>
  <c r="Q64" i="7"/>
  <c r="R64" i="7" a="1"/>
  <c r="R64" i="7"/>
  <c r="S64" i="7" a="1"/>
  <c r="S64" i="7"/>
  <c r="N65" i="7" a="1"/>
  <c r="N65" i="7"/>
  <c r="O65" i="7" a="1"/>
  <c r="O65" i="7"/>
  <c r="P65" i="7" a="1"/>
  <c r="P65" i="7"/>
  <c r="Q65" i="7" a="1"/>
  <c r="Q65" i="7"/>
  <c r="R65" i="7" a="1"/>
  <c r="R65" i="7"/>
  <c r="S65" i="7" a="1"/>
  <c r="S65" i="7"/>
  <c r="I67" i="7" a="1"/>
  <c r="I67" i="7"/>
  <c r="J67" i="7" a="1"/>
  <c r="J67" i="7"/>
  <c r="K67" i="7" a="1"/>
  <c r="K67" i="7"/>
  <c r="L67" i="7" a="1"/>
  <c r="L67" i="7"/>
  <c r="M67" i="7" a="1"/>
  <c r="M67" i="7"/>
  <c r="N67" i="7" a="1"/>
  <c r="N67" i="7"/>
  <c r="O67" i="7" a="1"/>
  <c r="O67" i="7"/>
  <c r="P67" i="7" a="1"/>
  <c r="P67" i="7"/>
  <c r="Q67" i="7" a="1"/>
  <c r="Q67" i="7"/>
  <c r="R67" i="7" a="1"/>
  <c r="R67" i="7"/>
  <c r="S67" i="7" a="1"/>
  <c r="S67" i="7"/>
  <c r="I68" i="7" a="1"/>
  <c r="I68" i="7"/>
  <c r="J68" i="7" a="1"/>
  <c r="J68" i="7"/>
  <c r="K68" i="7" a="1"/>
  <c r="K68" i="7"/>
  <c r="L68" i="7" a="1"/>
  <c r="L68" i="7"/>
  <c r="M68" i="7" a="1"/>
  <c r="M68" i="7"/>
  <c r="N68" i="7" a="1"/>
  <c r="N68" i="7"/>
  <c r="O68" i="7" a="1"/>
  <c r="O68" i="7"/>
  <c r="P68" i="7" a="1"/>
  <c r="P68" i="7"/>
  <c r="Q68" i="7" a="1"/>
  <c r="Q68" i="7"/>
  <c r="R68" i="7" a="1"/>
  <c r="R68" i="7"/>
  <c r="S68" i="7" a="1"/>
  <c r="S68" i="7"/>
  <c r="I70" i="7"/>
  <c r="J70" i="7"/>
  <c r="K70" i="7"/>
  <c r="L70" i="7"/>
  <c r="M70" i="7"/>
  <c r="N70" i="7"/>
  <c r="O70" i="7"/>
  <c r="P70" i="7"/>
  <c r="Q70" i="7"/>
  <c r="R70" i="7"/>
  <c r="S70" i="7"/>
  <c r="I71" i="7"/>
  <c r="J71" i="7"/>
  <c r="K71" i="7"/>
  <c r="L71" i="7"/>
  <c r="M71" i="7"/>
  <c r="N71" i="7"/>
  <c r="O71" i="7"/>
  <c r="P71" i="7"/>
  <c r="Q71" i="7"/>
  <c r="R71" i="7"/>
  <c r="S71" i="7"/>
  <c r="I72" i="7"/>
  <c r="J72" i="7"/>
  <c r="K72" i="7"/>
  <c r="L72" i="7"/>
  <c r="M72" i="7"/>
  <c r="N72" i="7"/>
  <c r="O72" i="7"/>
  <c r="P72" i="7"/>
  <c r="Q72" i="7"/>
  <c r="R72" i="7"/>
  <c r="S72" i="7"/>
  <c r="I73" i="7"/>
  <c r="J73" i="7"/>
  <c r="K73" i="7"/>
  <c r="L73" i="7"/>
  <c r="M73" i="7"/>
  <c r="N73" i="7"/>
  <c r="O73" i="7"/>
  <c r="P73" i="7"/>
  <c r="Q73" i="7"/>
  <c r="R73" i="7"/>
  <c r="S73" i="7"/>
  <c r="I74" i="7"/>
  <c r="J74" i="7"/>
  <c r="K74" i="7"/>
  <c r="L74" i="7"/>
  <c r="M74" i="7"/>
  <c r="N74" i="7"/>
  <c r="O74" i="7"/>
  <c r="P74" i="7"/>
  <c r="Q74" i="7"/>
  <c r="R74" i="7"/>
  <c r="S74" i="7"/>
  <c r="I75" i="7"/>
  <c r="J75" i="7"/>
  <c r="K75" i="7"/>
  <c r="L75" i="7"/>
  <c r="M75" i="7"/>
  <c r="N75" i="7"/>
  <c r="O75" i="7"/>
  <c r="P75" i="7"/>
  <c r="Q75" i="7"/>
  <c r="R75" i="7"/>
  <c r="S75" i="7"/>
  <c r="I76" i="7" a="1"/>
  <c r="I76" i="7"/>
  <c r="J76" i="7" a="1"/>
  <c r="J76" i="7"/>
  <c r="K76" i="7" a="1"/>
  <c r="K76" i="7"/>
  <c r="L76" i="7" a="1"/>
  <c r="L76" i="7"/>
  <c r="M76" i="7" a="1"/>
  <c r="M76" i="7"/>
  <c r="N76" i="7" a="1"/>
  <c r="N76" i="7"/>
  <c r="O76" i="7" a="1"/>
  <c r="O76" i="7"/>
  <c r="P76" i="7" a="1"/>
  <c r="P76" i="7"/>
  <c r="Q76" i="7" a="1"/>
  <c r="Q76" i="7"/>
  <c r="R76" i="7" a="1"/>
  <c r="R76" i="7"/>
  <c r="S76" i="7" a="1"/>
  <c r="S76" i="7"/>
  <c r="I77" i="7" a="1"/>
  <c r="I77" i="7"/>
  <c r="J77" i="7" a="1"/>
  <c r="J77" i="7"/>
  <c r="K77" i="7" a="1"/>
  <c r="K77" i="7"/>
  <c r="L77" i="7" a="1"/>
  <c r="L77" i="7"/>
  <c r="M77" i="7" a="1"/>
  <c r="M77" i="7"/>
  <c r="N77" i="7" a="1"/>
  <c r="N77" i="7"/>
  <c r="O77" i="7" a="1"/>
  <c r="O77" i="7"/>
  <c r="P77" i="7" a="1"/>
  <c r="P77" i="7"/>
  <c r="Q77" i="7" a="1"/>
  <c r="Q77" i="7"/>
  <c r="R77" i="7" a="1"/>
  <c r="R77" i="7"/>
  <c r="S77" i="7" a="1"/>
  <c r="S77" i="7"/>
  <c r="I78" i="7"/>
  <c r="J78" i="7"/>
  <c r="K78" i="7"/>
  <c r="L78" i="7"/>
  <c r="M78" i="7"/>
  <c r="N78" i="7"/>
  <c r="O78" i="7"/>
  <c r="P78" i="7"/>
  <c r="Q78" i="7"/>
  <c r="R78" i="7"/>
  <c r="S78" i="7"/>
  <c r="I84" i="7"/>
  <c r="J84" i="7"/>
  <c r="K84" i="7"/>
  <c r="L84" i="7"/>
  <c r="M84" i="7"/>
  <c r="N84" i="7"/>
  <c r="O84" i="7"/>
  <c r="P84" i="7"/>
  <c r="Q84" i="7"/>
  <c r="R84" i="7"/>
  <c r="S84" i="7"/>
  <c r="I85" i="7"/>
  <c r="J85" i="7"/>
  <c r="K85" i="7"/>
  <c r="L85" i="7"/>
  <c r="M85" i="7"/>
  <c r="N85" i="7"/>
  <c r="O85" i="7"/>
  <c r="P85" i="7"/>
  <c r="Q85" i="7"/>
  <c r="R85" i="7"/>
  <c r="S85" i="7"/>
  <c r="I86" i="7"/>
  <c r="J86" i="7"/>
  <c r="K86" i="7"/>
  <c r="L86" i="7"/>
  <c r="M86" i="7"/>
  <c r="N86" i="7"/>
  <c r="O86" i="7"/>
  <c r="P86" i="7"/>
  <c r="Q86" i="7"/>
  <c r="R86" i="7"/>
  <c r="S86" i="7"/>
  <c r="I88" i="7"/>
  <c r="J88" i="7"/>
  <c r="K88" i="7"/>
  <c r="L88" i="7"/>
  <c r="M88" i="7"/>
  <c r="N88" i="7"/>
  <c r="O88" i="7"/>
  <c r="P88" i="7"/>
  <c r="Q88" i="7"/>
  <c r="R88" i="7"/>
  <c r="S88" i="7"/>
  <c r="I89" i="7" a="1"/>
  <c r="I89" i="7"/>
  <c r="J89" i="7" a="1"/>
  <c r="J89" i="7"/>
  <c r="K89" i="7" a="1"/>
  <c r="K89" i="7"/>
  <c r="L89" i="7" a="1"/>
  <c r="L89" i="7"/>
  <c r="M89" i="7" a="1"/>
  <c r="M89" i="7"/>
  <c r="N89" i="7" a="1"/>
  <c r="N89" i="7"/>
  <c r="O89" i="7" a="1"/>
  <c r="O89" i="7"/>
  <c r="P89" i="7" a="1"/>
  <c r="P89" i="7"/>
  <c r="Q89" i="7" a="1"/>
  <c r="Q89" i="7"/>
  <c r="R89" i="7" a="1"/>
  <c r="R89" i="7"/>
  <c r="S89" i="7" a="1"/>
  <c r="S89" i="7"/>
  <c r="I90" i="7" a="1"/>
  <c r="I90" i="7"/>
  <c r="J90" i="7" a="1"/>
  <c r="J90" i="7"/>
  <c r="K90" i="7" a="1"/>
  <c r="K90" i="7"/>
  <c r="L90" i="7" a="1"/>
  <c r="L90" i="7"/>
  <c r="M90" i="7" a="1"/>
  <c r="M90" i="7"/>
  <c r="N90" i="7" a="1"/>
  <c r="N90" i="7"/>
  <c r="O90" i="7" a="1"/>
  <c r="O90" i="7"/>
  <c r="P90" i="7" a="1"/>
  <c r="P90" i="7"/>
  <c r="Q90" i="7" a="1"/>
  <c r="Q90" i="7"/>
  <c r="R90" i="7" a="1"/>
  <c r="R90" i="7"/>
  <c r="S90" i="7" a="1"/>
  <c r="S90" i="7"/>
  <c r="I91" i="7" a="1"/>
  <c r="I91" i="7"/>
  <c r="J91" i="7" a="1"/>
  <c r="J91" i="7"/>
  <c r="K91" i="7" a="1"/>
  <c r="K91" i="7"/>
  <c r="L91" i="7" a="1"/>
  <c r="L91" i="7"/>
  <c r="M91" i="7" a="1"/>
  <c r="M91" i="7"/>
  <c r="N91" i="7" a="1"/>
  <c r="N91" i="7"/>
  <c r="O91" i="7" a="1"/>
  <c r="O91" i="7"/>
  <c r="P91" i="7" a="1"/>
  <c r="P91" i="7"/>
  <c r="Q91" i="7" a="1"/>
  <c r="Q91" i="7"/>
  <c r="R91" i="7" a="1"/>
  <c r="R91" i="7"/>
  <c r="S91" i="7" a="1"/>
  <c r="S91" i="7"/>
  <c r="I92" i="7"/>
  <c r="J92" i="7"/>
  <c r="K92" i="7"/>
  <c r="L92" i="7"/>
  <c r="M92" i="7"/>
  <c r="N92" i="7"/>
  <c r="O92" i="7"/>
  <c r="P92" i="7"/>
  <c r="Q92" i="7"/>
  <c r="R92" i="7"/>
  <c r="S92" i="7"/>
  <c r="I94" i="7"/>
  <c r="J94" i="7"/>
  <c r="K94" i="7"/>
  <c r="L94" i="7"/>
  <c r="M94" i="7"/>
  <c r="N94" i="7"/>
  <c r="O94" i="7"/>
  <c r="P94" i="7"/>
  <c r="Q94" i="7"/>
  <c r="R94" i="7"/>
  <c r="S94" i="7"/>
  <c r="I95" i="7"/>
  <c r="J95" i="7"/>
  <c r="K95" i="7"/>
  <c r="L95" i="7"/>
  <c r="M95" i="7"/>
  <c r="N95" i="7"/>
  <c r="O95" i="7"/>
  <c r="P95" i="7"/>
  <c r="Q95" i="7"/>
  <c r="R95" i="7"/>
  <c r="S95" i="7"/>
  <c r="I96" i="7"/>
  <c r="J96" i="7"/>
  <c r="K96" i="7"/>
  <c r="L96" i="7"/>
  <c r="M96" i="7"/>
  <c r="N96" i="7"/>
  <c r="O96" i="7"/>
  <c r="P96" i="7"/>
  <c r="Q96" i="7"/>
  <c r="R96" i="7"/>
  <c r="S96" i="7"/>
  <c r="I97" i="7"/>
  <c r="J97" i="7"/>
  <c r="K97" i="7"/>
  <c r="L97" i="7"/>
  <c r="M97" i="7"/>
  <c r="N97" i="7"/>
  <c r="O97" i="7"/>
  <c r="P97" i="7"/>
  <c r="Q97" i="7"/>
  <c r="R97" i="7"/>
  <c r="S97" i="7"/>
  <c r="I100" i="7" a="1"/>
  <c r="I100" i="7"/>
  <c r="J100" i="7" a="1"/>
  <c r="J100" i="7"/>
  <c r="K100" i="7" a="1"/>
  <c r="K100" i="7"/>
  <c r="L100" i="7" a="1"/>
  <c r="L100" i="7"/>
  <c r="M100" i="7" a="1"/>
  <c r="M100" i="7"/>
  <c r="N100" i="7" a="1"/>
  <c r="N100" i="7"/>
  <c r="O100" i="7" a="1"/>
  <c r="O100" i="7"/>
  <c r="P100" i="7" a="1"/>
  <c r="P100" i="7"/>
  <c r="Q100" i="7" a="1"/>
  <c r="Q100" i="7"/>
  <c r="R100" i="7" a="1"/>
  <c r="R100" i="7"/>
  <c r="S100" i="7" a="1"/>
  <c r="S100" i="7"/>
  <c r="I101" i="7" a="1"/>
  <c r="I101" i="7"/>
  <c r="J101" i="7" a="1"/>
  <c r="J101" i="7"/>
  <c r="K101" i="7" a="1"/>
  <c r="K101" i="7"/>
  <c r="L101" i="7" a="1"/>
  <c r="L101" i="7"/>
  <c r="M101" i="7" a="1"/>
  <c r="M101" i="7"/>
  <c r="N101" i="7" a="1"/>
  <c r="N101" i="7"/>
  <c r="O101" i="7" a="1"/>
  <c r="O101" i="7"/>
  <c r="P101" i="7" a="1"/>
  <c r="P101" i="7"/>
  <c r="Q101" i="7" a="1"/>
  <c r="Q101" i="7"/>
  <c r="R101" i="7" a="1"/>
  <c r="R101" i="7"/>
  <c r="S101" i="7" a="1"/>
  <c r="S101" i="7"/>
  <c r="I102" i="7"/>
  <c r="J102" i="7"/>
  <c r="K102" i="7"/>
  <c r="L102" i="7"/>
  <c r="M102" i="7"/>
  <c r="N102" i="7"/>
  <c r="O102" i="7"/>
  <c r="P102" i="7"/>
  <c r="Q102" i="7"/>
  <c r="R102" i="7"/>
  <c r="S102" i="7"/>
  <c r="I103" i="7"/>
  <c r="J103" i="7"/>
  <c r="K103" i="7"/>
  <c r="L103" i="7"/>
  <c r="M103" i="7"/>
  <c r="N103" i="7"/>
  <c r="O103" i="7"/>
  <c r="P103" i="7"/>
  <c r="Q103" i="7"/>
  <c r="R103" i="7"/>
  <c r="S103" i="7"/>
  <c r="I107" i="7"/>
  <c r="J107" i="7"/>
  <c r="K107" i="7"/>
  <c r="L107" i="7"/>
  <c r="M107" i="7"/>
  <c r="N107" i="7"/>
  <c r="O107" i="7"/>
  <c r="P107" i="7"/>
  <c r="Q107" i="7"/>
  <c r="R107" i="7"/>
  <c r="S107" i="7"/>
  <c r="I109" i="7"/>
  <c r="J109" i="7"/>
  <c r="K109" i="7"/>
  <c r="L109" i="7"/>
  <c r="M109" i="7"/>
  <c r="N109" i="7"/>
  <c r="O109" i="7"/>
  <c r="P109" i="7"/>
  <c r="Q109" i="7"/>
  <c r="R109" i="7"/>
  <c r="S109" i="7"/>
  <c r="I110" i="7"/>
  <c r="J110" i="7"/>
  <c r="K110" i="7"/>
  <c r="L110" i="7"/>
  <c r="M110" i="7"/>
  <c r="N110" i="7"/>
  <c r="O110" i="7"/>
  <c r="P110" i="7"/>
  <c r="Q110" i="7"/>
  <c r="R110" i="7"/>
  <c r="S110" i="7"/>
  <c r="I111" i="7"/>
  <c r="J111" i="7"/>
  <c r="K111" i="7"/>
  <c r="L111" i="7"/>
  <c r="M111" i="7"/>
  <c r="N111" i="7"/>
  <c r="O111" i="7"/>
  <c r="P111" i="7"/>
  <c r="Q111" i="7"/>
  <c r="R111" i="7"/>
  <c r="S111" i="7"/>
  <c r="I112" i="7"/>
  <c r="J112" i="7"/>
  <c r="K112" i="7"/>
  <c r="L112" i="7"/>
  <c r="M112" i="7"/>
  <c r="N112" i="7"/>
  <c r="O112" i="7"/>
  <c r="P112" i="7"/>
  <c r="Q112" i="7"/>
  <c r="R112" i="7"/>
  <c r="S112" i="7"/>
  <c r="I114" i="7"/>
  <c r="J114" i="7"/>
  <c r="K114" i="7"/>
  <c r="L114" i="7"/>
  <c r="M114" i="7"/>
  <c r="N114" i="7"/>
  <c r="O114" i="7"/>
  <c r="P114" i="7"/>
  <c r="Q114" i="7"/>
  <c r="R114" i="7"/>
  <c r="S114" i="7"/>
  <c r="I115" i="7"/>
  <c r="J115" i="7"/>
  <c r="K115" i="7"/>
  <c r="L115" i="7"/>
  <c r="M115" i="7"/>
  <c r="N115" i="7"/>
  <c r="O115" i="7"/>
  <c r="P115" i="7"/>
  <c r="Q115" i="7"/>
  <c r="R115" i="7"/>
  <c r="S115" i="7"/>
  <c r="I119" i="7"/>
  <c r="J119" i="7"/>
  <c r="K119" i="7"/>
  <c r="L119" i="7"/>
  <c r="M119" i="7"/>
  <c r="N119" i="7"/>
  <c r="O119" i="7"/>
  <c r="P119" i="7"/>
  <c r="Q119" i="7"/>
  <c r="R119" i="7"/>
  <c r="S119" i="7"/>
  <c r="I120" i="7"/>
  <c r="J120" i="7"/>
  <c r="K120" i="7"/>
  <c r="L120" i="7"/>
  <c r="M120" i="7"/>
  <c r="N120" i="7"/>
  <c r="O120" i="7"/>
  <c r="P120" i="7"/>
  <c r="Q120" i="7"/>
  <c r="R120" i="7"/>
  <c r="S120" i="7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I44" i="15"/>
  <c r="J44" i="15"/>
  <c r="K44" i="15"/>
  <c r="L44" i="15"/>
  <c r="M44" i="15"/>
  <c r="N44" i="15"/>
  <c r="O44" i="15"/>
  <c r="P44" i="15"/>
  <c r="Q44" i="15"/>
  <c r="R44" i="15"/>
  <c r="S44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R57" i="15"/>
  <c r="S57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I63" i="15"/>
  <c r="J63" i="15"/>
  <c r="K63" i="15"/>
  <c r="L63" i="15"/>
  <c r="M63" i="15"/>
  <c r="N63" i="15"/>
  <c r="O63" i="15"/>
  <c r="P63" i="15"/>
  <c r="Q63" i="15"/>
  <c r="R63" i="15"/>
  <c r="S63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I71" i="15"/>
  <c r="J71" i="15"/>
  <c r="K71" i="15"/>
  <c r="L71" i="15"/>
  <c r="M71" i="15"/>
  <c r="N71" i="15"/>
  <c r="O71" i="15"/>
  <c r="P71" i="15"/>
  <c r="Q71" i="15"/>
  <c r="R71" i="15"/>
  <c r="S71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I79" i="15"/>
  <c r="J79" i="15"/>
  <c r="K79" i="15"/>
  <c r="L79" i="15"/>
  <c r="M79" i="15"/>
  <c r="N79" i="15"/>
  <c r="O79" i="15"/>
  <c r="P79" i="15"/>
  <c r="Q79" i="15"/>
  <c r="R79" i="15"/>
  <c r="S79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R84" i="15"/>
  <c r="S84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R85" i="15"/>
  <c r="S85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R88" i="15"/>
  <c r="S88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R89" i="15"/>
  <c r="S89" i="15"/>
  <c r="D90" i="15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R90" i="15"/>
  <c r="S90" i="15"/>
  <c r="I91" i="15"/>
  <c r="J91" i="15"/>
  <c r="K91" i="15"/>
  <c r="L91" i="15"/>
  <c r="M91" i="15"/>
  <c r="N91" i="15"/>
  <c r="O91" i="15"/>
  <c r="P91" i="15"/>
  <c r="Q91" i="15"/>
  <c r="R91" i="15"/>
  <c r="S91" i="15"/>
  <c r="D92" i="15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S92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R93" i="15"/>
  <c r="S93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R96" i="15"/>
  <c r="S96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R97" i="15"/>
  <c r="S97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I99" i="15"/>
  <c r="J99" i="15"/>
  <c r="K99" i="15"/>
  <c r="L99" i="15"/>
  <c r="M99" i="15"/>
  <c r="N99" i="15"/>
  <c r="O99" i="15"/>
  <c r="P99" i="15"/>
  <c r="Q99" i="15"/>
  <c r="R99" i="15"/>
  <c r="S99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R104" i="15"/>
  <c r="S104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R106" i="15"/>
  <c r="S106" i="15"/>
  <c r="D108" i="15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Q108" i="15"/>
  <c r="R108" i="15"/>
  <c r="S108" i="15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Q112" i="15"/>
  <c r="R112" i="15"/>
  <c r="S112" i="15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Q113" i="15"/>
  <c r="R113" i="15"/>
  <c r="S113" i="15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Q114" i="15"/>
  <c r="R114" i="15"/>
  <c r="S114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D119" i="15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Q119" i="15"/>
  <c r="R119" i="15"/>
  <c r="S119" i="15"/>
  <c r="D120" i="15"/>
  <c r="E120" i="15"/>
  <c r="F120" i="15"/>
  <c r="G120" i="15"/>
  <c r="H120" i="15"/>
  <c r="I120" i="15"/>
  <c r="J120" i="15"/>
  <c r="K120" i="15"/>
  <c r="L120" i="15"/>
  <c r="M120" i="15"/>
  <c r="N120" i="15"/>
  <c r="O120" i="15"/>
  <c r="P120" i="15"/>
  <c r="Q120" i="15"/>
  <c r="R120" i="15"/>
  <c r="S120" i="15"/>
  <c r="D121" i="15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Q121" i="15"/>
  <c r="R121" i="15"/>
  <c r="S121" i="15"/>
  <c r="D122" i="15"/>
  <c r="E122" i="15"/>
  <c r="F122" i="15"/>
  <c r="G122" i="15"/>
  <c r="H122" i="15"/>
  <c r="I122" i="15"/>
  <c r="J122" i="15"/>
  <c r="K122" i="15"/>
  <c r="L122" i="15"/>
  <c r="M122" i="15"/>
  <c r="N122" i="15"/>
  <c r="O122" i="15"/>
  <c r="P122" i="15"/>
  <c r="Q122" i="15"/>
  <c r="R122" i="15"/>
  <c r="S122" i="15"/>
  <c r="D125" i="15"/>
  <c r="E125" i="15"/>
  <c r="F125" i="15"/>
  <c r="G125" i="15"/>
  <c r="H125" i="15"/>
  <c r="I125" i="15"/>
  <c r="J125" i="15"/>
  <c r="K125" i="15"/>
  <c r="L125" i="15"/>
  <c r="M125" i="15"/>
  <c r="N125" i="15"/>
  <c r="O125" i="15"/>
  <c r="P125" i="15"/>
  <c r="Q125" i="15"/>
  <c r="R125" i="15"/>
  <c r="S125" i="15"/>
  <c r="D126" i="15"/>
  <c r="E126" i="15"/>
  <c r="F126" i="15"/>
  <c r="G126" i="15"/>
  <c r="H126" i="15"/>
  <c r="I126" i="15"/>
  <c r="J126" i="15"/>
  <c r="K126" i="15"/>
  <c r="L126" i="15"/>
  <c r="M126" i="15"/>
  <c r="N126" i="15"/>
  <c r="O126" i="15"/>
  <c r="P126" i="15"/>
  <c r="Q126" i="15"/>
  <c r="R126" i="15"/>
  <c r="S126" i="15"/>
  <c r="D127" i="15"/>
  <c r="E127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D128" i="15"/>
  <c r="E128" i="15"/>
  <c r="F128" i="15"/>
  <c r="G128" i="15"/>
  <c r="H128" i="15"/>
  <c r="I128" i="15"/>
  <c r="J128" i="15"/>
  <c r="K128" i="15"/>
  <c r="L128" i="15"/>
  <c r="M128" i="15"/>
  <c r="N128" i="15"/>
  <c r="O128" i="15"/>
  <c r="P128" i="15"/>
  <c r="Q128" i="15"/>
  <c r="R128" i="15"/>
  <c r="S128" i="15"/>
  <c r="D129" i="15"/>
  <c r="E129" i="15"/>
  <c r="F129" i="15"/>
  <c r="G129" i="15"/>
  <c r="H129" i="15"/>
  <c r="I129" i="15"/>
  <c r="J129" i="15"/>
  <c r="K129" i="15"/>
  <c r="L129" i="15"/>
  <c r="M129" i="15"/>
  <c r="N129" i="15"/>
  <c r="O129" i="15"/>
  <c r="P129" i="15"/>
  <c r="Q129" i="15"/>
  <c r="R129" i="15"/>
  <c r="S129" i="15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B28" i="12"/>
  <c r="C28" i="12"/>
  <c r="E28" i="12"/>
  <c r="G28" i="12"/>
  <c r="H28" i="12"/>
  <c r="B29" i="12"/>
  <c r="C29" i="12"/>
  <c r="E29" i="12"/>
  <c r="G29" i="12"/>
  <c r="H29" i="12"/>
  <c r="B30" i="12"/>
  <c r="C30" i="12"/>
  <c r="E30" i="12"/>
  <c r="G30" i="12"/>
  <c r="H30" i="12"/>
  <c r="B31" i="12"/>
  <c r="C31" i="12"/>
  <c r="E31" i="12"/>
  <c r="H31" i="12"/>
  <c r="C35" i="12"/>
  <c r="D35" i="12"/>
  <c r="E35" i="12"/>
  <c r="F35" i="12"/>
  <c r="C36" i="12"/>
  <c r="D36" i="12"/>
  <c r="E36" i="12"/>
  <c r="F36" i="12"/>
  <c r="C37" i="12"/>
  <c r="D37" i="12"/>
  <c r="E37" i="12"/>
  <c r="F37" i="12"/>
  <c r="C38" i="12"/>
  <c r="D38" i="12"/>
  <c r="E38" i="12"/>
  <c r="F38" i="12"/>
  <c r="C39" i="12"/>
  <c r="D39" i="12"/>
  <c r="E39" i="12"/>
  <c r="F39" i="12"/>
  <c r="C40" i="12"/>
  <c r="D40" i="12"/>
  <c r="E40" i="12"/>
  <c r="F40" i="12"/>
  <c r="C41" i="12"/>
  <c r="D41" i="12"/>
  <c r="E41" i="12"/>
  <c r="F41" i="12"/>
  <c r="C45" i="12"/>
  <c r="D45" i="12"/>
  <c r="E45" i="12"/>
  <c r="F45" i="12"/>
  <c r="C46" i="12"/>
  <c r="D46" i="12"/>
  <c r="E46" i="12"/>
  <c r="F46" i="12"/>
  <c r="C47" i="12"/>
  <c r="D47" i="12"/>
  <c r="E47" i="12"/>
  <c r="F47" i="12"/>
  <c r="C48" i="12"/>
  <c r="D48" i="12"/>
  <c r="E48" i="12"/>
  <c r="F48" i="12"/>
  <c r="C49" i="12"/>
  <c r="D49" i="12"/>
  <c r="E49" i="12"/>
  <c r="F49" i="12"/>
  <c r="C50" i="12"/>
  <c r="D50" i="12"/>
  <c r="E50" i="12"/>
  <c r="F50" i="12"/>
  <c r="C51" i="12"/>
  <c r="D51" i="12"/>
  <c r="E51" i="12"/>
  <c r="F51" i="12"/>
  <c r="C55" i="12"/>
  <c r="D55" i="12"/>
  <c r="E55" i="12"/>
  <c r="F55" i="12"/>
  <c r="C56" i="12"/>
  <c r="D56" i="12"/>
  <c r="E56" i="12"/>
  <c r="F56" i="12"/>
  <c r="C57" i="12"/>
  <c r="D57" i="12"/>
  <c r="E57" i="12"/>
  <c r="F57" i="12"/>
  <c r="C58" i="12"/>
  <c r="D58" i="12"/>
  <c r="E58" i="12"/>
  <c r="F58" i="12"/>
  <c r="B61" i="12"/>
  <c r="B62" i="12"/>
  <c r="B63" i="12"/>
  <c r="B64" i="12"/>
  <c r="B65" i="12"/>
  <c r="B71" i="12"/>
  <c r="B72" i="12"/>
  <c r="B73" i="12"/>
  <c r="B74" i="12"/>
  <c r="B77" i="12"/>
  <c r="B78" i="12"/>
  <c r="C80" i="12" a="1"/>
  <c r="C80" i="12"/>
  <c r="D80" i="12" a="1"/>
  <c r="D80" i="12"/>
  <c r="E80" i="12" a="1"/>
  <c r="E80" i="12"/>
  <c r="F80" i="12" a="1"/>
  <c r="F80" i="12"/>
  <c r="G80" i="12" a="1"/>
  <c r="G80" i="12"/>
  <c r="C81" i="12" a="1"/>
  <c r="C81" i="12"/>
  <c r="D81" i="12" a="1"/>
  <c r="D81" i="12"/>
  <c r="E81" i="12" a="1"/>
  <c r="E81" i="12"/>
  <c r="F81" i="12" a="1"/>
  <c r="F81" i="12"/>
  <c r="G81" i="12" a="1"/>
  <c r="G81" i="12"/>
  <c r="C82" i="12" a="1"/>
  <c r="C82" i="12"/>
  <c r="D82" i="12" a="1"/>
  <c r="D82" i="12"/>
  <c r="E82" i="12" a="1"/>
  <c r="E82" i="12"/>
  <c r="F82" i="12" a="1"/>
  <c r="F82" i="12"/>
  <c r="G82" i="12" a="1"/>
  <c r="G82" i="12"/>
  <c r="C83" i="12" a="1"/>
  <c r="C83" i="12"/>
  <c r="D83" i="12" a="1"/>
  <c r="D83" i="12"/>
  <c r="E83" i="12" a="1"/>
  <c r="E83" i="12"/>
  <c r="F83" i="12" a="1"/>
  <c r="F83" i="12"/>
  <c r="G83" i="12" a="1"/>
  <c r="G83" i="12"/>
  <c r="C84" i="12" a="1"/>
  <c r="C84" i="12"/>
  <c r="D84" i="12" a="1"/>
  <c r="D84" i="12"/>
  <c r="E84" i="12" a="1"/>
  <c r="E84" i="12"/>
  <c r="F84" i="12" a="1"/>
  <c r="F84" i="12"/>
  <c r="G84" i="12" a="1"/>
  <c r="G84" i="12"/>
  <c r="B90" i="12"/>
  <c r="B91" i="12" a="1"/>
  <c r="B91" i="12"/>
  <c r="B92" i="12" a="1"/>
  <c r="B92" i="12"/>
  <c r="B93" i="12"/>
  <c r="B94" i="12"/>
  <c r="C98" i="12"/>
  <c r="D98" i="12"/>
  <c r="E98" i="12"/>
  <c r="F98" i="12"/>
  <c r="C99" i="12"/>
  <c r="D99" i="12"/>
  <c r="E99" i="12"/>
  <c r="F99" i="12"/>
  <c r="C100" i="12"/>
  <c r="D100" i="12"/>
  <c r="E100" i="12"/>
  <c r="F100" i="12"/>
  <c r="C101" i="12"/>
  <c r="D101" i="12"/>
  <c r="E101" i="12"/>
  <c r="F101" i="12"/>
  <c r="C102" i="12"/>
  <c r="D102" i="12"/>
  <c r="E102" i="12"/>
  <c r="F102" i="12"/>
  <c r="C103" i="12"/>
  <c r="D103" i="12"/>
  <c r="E103" i="12"/>
  <c r="F103" i="12"/>
  <c r="C104" i="12"/>
  <c r="D104" i="12"/>
  <c r="E104" i="12"/>
  <c r="F104" i="12"/>
  <c r="C108" i="12"/>
  <c r="D108" i="12"/>
  <c r="E108" i="12"/>
  <c r="F108" i="12"/>
  <c r="C109" i="12"/>
  <c r="D109" i="12"/>
  <c r="E109" i="12"/>
  <c r="F109" i="12"/>
  <c r="C110" i="12"/>
  <c r="D110" i="12"/>
  <c r="E110" i="12"/>
  <c r="F110" i="12"/>
  <c r="C111" i="12"/>
  <c r="D111" i="12"/>
  <c r="E111" i="12"/>
  <c r="F111" i="12"/>
  <c r="C112" i="12"/>
  <c r="D112" i="12"/>
  <c r="E112" i="12"/>
  <c r="F112" i="12"/>
  <c r="B114" i="12" a="1"/>
  <c r="B114" i="12"/>
  <c r="E11" i="3" a="1"/>
  <c r="E11" i="3"/>
  <c r="F11" i="3" a="1"/>
  <c r="F11" i="3"/>
  <c r="G11" i="3" a="1"/>
  <c r="G11" i="3"/>
  <c r="H11" i="3" a="1"/>
  <c r="H11" i="3"/>
  <c r="I11" i="3" a="1"/>
  <c r="I11" i="3"/>
  <c r="J11" i="3" a="1"/>
  <c r="J11" i="3"/>
  <c r="K11" i="3" a="1"/>
  <c r="K11" i="3"/>
  <c r="L11" i="3" a="1"/>
  <c r="L11" i="3"/>
  <c r="M11" i="3" a="1"/>
  <c r="M11" i="3"/>
  <c r="N11" i="3" a="1"/>
  <c r="N11" i="3"/>
  <c r="O11" i="3" a="1"/>
  <c r="O11" i="3"/>
  <c r="P11" i="3" a="1"/>
  <c r="P11" i="3"/>
  <c r="Q11" i="3" a="1"/>
  <c r="Q11" i="3"/>
  <c r="R11" i="3" a="1"/>
  <c r="R11" i="3"/>
  <c r="S11" i="3" a="1"/>
  <c r="S11" i="3"/>
  <c r="F12" i="3" a="1"/>
  <c r="F12" i="3"/>
  <c r="G12" i="3" a="1"/>
  <c r="G12" i="3"/>
  <c r="H12" i="3" a="1"/>
  <c r="H12" i="3"/>
  <c r="I12" i="3" a="1"/>
  <c r="I12" i="3"/>
  <c r="J12" i="3" a="1"/>
  <c r="J12" i="3"/>
  <c r="K12" i="3" a="1"/>
  <c r="K12" i="3"/>
  <c r="L12" i="3" a="1"/>
  <c r="L12" i="3"/>
  <c r="M12" i="3" a="1"/>
  <c r="M12" i="3"/>
  <c r="N12" i="3" a="1"/>
  <c r="N12" i="3"/>
  <c r="O12" i="3" a="1"/>
  <c r="O12" i="3"/>
  <c r="P12" i="3" a="1"/>
  <c r="P12" i="3"/>
  <c r="Q12" i="3" a="1"/>
  <c r="Q12" i="3"/>
  <c r="R12" i="3" a="1"/>
  <c r="R12" i="3"/>
  <c r="S12" i="3" a="1"/>
  <c r="S12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E32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E42" i="3" a="1"/>
  <c r="E42" i="3"/>
  <c r="F42" i="3" a="1"/>
  <c r="F42" i="3"/>
  <c r="G42" i="3" a="1"/>
  <c r="G42" i="3"/>
  <c r="H42" i="3" a="1"/>
  <c r="H42" i="3"/>
  <c r="I42" i="3" a="1"/>
  <c r="I42" i="3"/>
  <c r="J42" i="3" a="1"/>
  <c r="J42" i="3"/>
  <c r="K42" i="3" a="1"/>
  <c r="K42" i="3"/>
  <c r="L42" i="3" a="1"/>
  <c r="L42" i="3"/>
  <c r="M42" i="3" a="1"/>
  <c r="M42" i="3"/>
  <c r="N42" i="3" a="1"/>
  <c r="N42" i="3"/>
  <c r="O42" i="3" a="1"/>
  <c r="O42" i="3"/>
  <c r="P42" i="3" a="1"/>
  <c r="P42" i="3"/>
  <c r="Q42" i="3" a="1"/>
  <c r="Q42" i="3"/>
  <c r="R42" i="3" a="1"/>
  <c r="R42" i="3"/>
  <c r="S42" i="3" a="1"/>
  <c r="S42" i="3"/>
  <c r="F43" i="3" a="1"/>
  <c r="F43" i="3"/>
  <c r="G43" i="3" a="1"/>
  <c r="G43" i="3"/>
  <c r="H43" i="3" a="1"/>
  <c r="H43" i="3"/>
  <c r="I43" i="3" a="1"/>
  <c r="I43" i="3"/>
  <c r="J43" i="3" a="1"/>
  <c r="J43" i="3"/>
  <c r="K43" i="3" a="1"/>
  <c r="K43" i="3"/>
  <c r="L43" i="3" a="1"/>
  <c r="L43" i="3"/>
  <c r="M43" i="3" a="1"/>
  <c r="M43" i="3"/>
  <c r="N43" i="3" a="1"/>
  <c r="N43" i="3"/>
  <c r="O43" i="3" a="1"/>
  <c r="O43" i="3"/>
  <c r="P43" i="3" a="1"/>
  <c r="P43" i="3"/>
  <c r="Q43" i="3" a="1"/>
  <c r="Q43" i="3"/>
  <c r="R43" i="3" a="1"/>
  <c r="R43" i="3"/>
  <c r="S43" i="3" a="1"/>
  <c r="S43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F53" i="3" a="1"/>
  <c r="F53" i="3"/>
  <c r="G53" i="3" a="1"/>
  <c r="G53" i="3"/>
  <c r="H53" i="3" a="1"/>
  <c r="H53" i="3"/>
  <c r="I53" i="3" a="1"/>
  <c r="I53" i="3"/>
  <c r="J53" i="3" a="1"/>
  <c r="J53" i="3"/>
  <c r="K53" i="3" a="1"/>
  <c r="K53" i="3"/>
  <c r="L53" i="3" a="1"/>
  <c r="L53" i="3"/>
  <c r="M53" i="3" a="1"/>
  <c r="M53" i="3"/>
  <c r="N53" i="3" a="1"/>
  <c r="N53" i="3"/>
  <c r="O53" i="3" a="1"/>
  <c r="O53" i="3"/>
  <c r="P53" i="3" a="1"/>
  <c r="P53" i="3"/>
  <c r="Q53" i="3" a="1"/>
  <c r="Q53" i="3"/>
  <c r="R53" i="3" a="1"/>
  <c r="R53" i="3"/>
  <c r="S53" i="3" a="1"/>
  <c r="S53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E69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E77" i="3" a="1"/>
  <c r="E77" i="3"/>
  <c r="F77" i="3" a="1"/>
  <c r="F77" i="3"/>
  <c r="G77" i="3" a="1"/>
  <c r="G77" i="3"/>
  <c r="H77" i="3" a="1"/>
  <c r="H77" i="3"/>
  <c r="I77" i="3" a="1"/>
  <c r="I77" i="3"/>
  <c r="J77" i="3" a="1"/>
  <c r="J77" i="3"/>
  <c r="K77" i="3" a="1"/>
  <c r="K77" i="3"/>
  <c r="L77" i="3" a="1"/>
  <c r="L77" i="3"/>
  <c r="M77" i="3" a="1"/>
  <c r="M77" i="3"/>
  <c r="N77" i="3" a="1"/>
  <c r="N77" i="3"/>
  <c r="O77" i="3" a="1"/>
  <c r="O77" i="3"/>
  <c r="P77" i="3" a="1"/>
  <c r="P77" i="3"/>
  <c r="Q77" i="3" a="1"/>
  <c r="Q77" i="3"/>
  <c r="R77" i="3" a="1"/>
  <c r="R77" i="3"/>
  <c r="S77" i="3" a="1"/>
  <c r="S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D95" i="3" a="1"/>
  <c r="D95" i="3"/>
  <c r="E95" i="3" a="1"/>
  <c r="E95" i="3"/>
  <c r="F95" i="3" a="1"/>
  <c r="F95" i="3"/>
  <c r="G95" i="3" a="1"/>
  <c r="G95" i="3"/>
  <c r="H95" i="3" a="1"/>
  <c r="H95" i="3"/>
  <c r="I95" i="3" a="1"/>
  <c r="I95" i="3"/>
  <c r="J95" i="3" a="1"/>
  <c r="J95" i="3"/>
  <c r="K95" i="3" a="1"/>
  <c r="K95" i="3"/>
  <c r="L95" i="3" a="1"/>
  <c r="L95" i="3"/>
  <c r="M95" i="3" a="1"/>
  <c r="M95" i="3"/>
  <c r="N95" i="3" a="1"/>
  <c r="N95" i="3"/>
  <c r="O95" i="3" a="1"/>
  <c r="O95" i="3"/>
  <c r="P95" i="3" a="1"/>
  <c r="P95" i="3"/>
  <c r="Q95" i="3" a="1"/>
  <c r="Q95" i="3"/>
  <c r="R95" i="3" a="1"/>
  <c r="R95" i="3"/>
  <c r="S95" i="3" a="1"/>
  <c r="S95" i="3"/>
  <c r="D96" i="3" a="1"/>
  <c r="D96" i="3"/>
  <c r="E96" i="3" a="1"/>
  <c r="E96" i="3"/>
  <c r="F96" i="3" a="1"/>
  <c r="F96" i="3"/>
  <c r="G96" i="3" a="1"/>
  <c r="G96" i="3"/>
  <c r="H96" i="3" a="1"/>
  <c r="H96" i="3"/>
  <c r="I96" i="3" a="1"/>
  <c r="I96" i="3"/>
  <c r="J96" i="3" a="1"/>
  <c r="J96" i="3"/>
  <c r="K96" i="3" a="1"/>
  <c r="K96" i="3"/>
  <c r="L96" i="3" a="1"/>
  <c r="L96" i="3"/>
  <c r="M96" i="3" a="1"/>
  <c r="M96" i="3"/>
  <c r="N96" i="3" a="1"/>
  <c r="N96" i="3"/>
  <c r="O96" i="3" a="1"/>
  <c r="O96" i="3"/>
  <c r="P96" i="3" a="1"/>
  <c r="P96" i="3"/>
  <c r="Q96" i="3" a="1"/>
  <c r="Q96" i="3"/>
  <c r="R96" i="3" a="1"/>
  <c r="R96" i="3"/>
  <c r="S96" i="3" a="1"/>
  <c r="S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E102" i="3" a="1"/>
  <c r="E102" i="3"/>
  <c r="F102" i="3" a="1"/>
  <c r="F102" i="3"/>
  <c r="G102" i="3" a="1"/>
  <c r="G102" i="3"/>
  <c r="H102" i="3" a="1"/>
  <c r="H102" i="3"/>
  <c r="I102" i="3" a="1"/>
  <c r="I102" i="3"/>
  <c r="J102" i="3" a="1"/>
  <c r="J102" i="3"/>
  <c r="K102" i="3" a="1"/>
  <c r="K102" i="3"/>
  <c r="L102" i="3" a="1"/>
  <c r="L102" i="3"/>
  <c r="M102" i="3" a="1"/>
  <c r="M102" i="3"/>
  <c r="N102" i="3" a="1"/>
  <c r="N102" i="3"/>
  <c r="O102" i="3" a="1"/>
  <c r="O102" i="3"/>
  <c r="P102" i="3" a="1"/>
  <c r="P102" i="3"/>
  <c r="Q102" i="3" a="1"/>
  <c r="Q102" i="3"/>
  <c r="R102" i="3" a="1"/>
  <c r="R102" i="3"/>
  <c r="S102" i="3" a="1"/>
  <c r="S102" i="3"/>
  <c r="D103" i="3" a="1"/>
  <c r="D103" i="3"/>
  <c r="E103" i="3" a="1"/>
  <c r="E103" i="3"/>
  <c r="F103" i="3" a="1"/>
  <c r="F103" i="3"/>
  <c r="G103" i="3" a="1"/>
  <c r="G103" i="3"/>
  <c r="H103" i="3" a="1"/>
  <c r="H103" i="3"/>
  <c r="I103" i="3" a="1"/>
  <c r="I103" i="3"/>
  <c r="J103" i="3" a="1"/>
  <c r="J103" i="3"/>
  <c r="K103" i="3" a="1"/>
  <c r="K103" i="3"/>
  <c r="L103" i="3" a="1"/>
  <c r="L103" i="3"/>
  <c r="M103" i="3" a="1"/>
  <c r="M103" i="3"/>
  <c r="N103" i="3" a="1"/>
  <c r="N103" i="3"/>
  <c r="O103" i="3" a="1"/>
  <c r="O103" i="3"/>
  <c r="P103" i="3" a="1"/>
  <c r="P103" i="3"/>
  <c r="Q103" i="3" a="1"/>
  <c r="Q103" i="3"/>
  <c r="R103" i="3" a="1"/>
  <c r="R103" i="3"/>
  <c r="S103" i="3" a="1"/>
  <c r="S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E109" i="3" a="1"/>
  <c r="E109" i="3"/>
  <c r="F109" i="3" a="1"/>
  <c r="F109" i="3"/>
  <c r="G109" i="3" a="1"/>
  <c r="G109" i="3"/>
  <c r="H109" i="3" a="1"/>
  <c r="H109" i="3"/>
  <c r="I109" i="3" a="1"/>
  <c r="I109" i="3"/>
  <c r="J109" i="3" a="1"/>
  <c r="J109" i="3"/>
  <c r="K109" i="3" a="1"/>
  <c r="K109" i="3"/>
  <c r="L109" i="3" a="1"/>
  <c r="L109" i="3"/>
  <c r="M109" i="3" a="1"/>
  <c r="M109" i="3"/>
  <c r="N109" i="3" a="1"/>
  <c r="N109" i="3"/>
  <c r="O109" i="3" a="1"/>
  <c r="O109" i="3"/>
  <c r="P109" i="3" a="1"/>
  <c r="P109" i="3"/>
  <c r="Q109" i="3" a="1"/>
  <c r="Q109" i="3"/>
  <c r="R109" i="3" a="1"/>
  <c r="R109" i="3"/>
  <c r="S109" i="3" a="1"/>
  <c r="S109" i="3"/>
  <c r="F110" i="3" a="1"/>
  <c r="F110" i="3"/>
  <c r="G110" i="3" a="1"/>
  <c r="G110" i="3"/>
  <c r="H110" i="3" a="1"/>
  <c r="H110" i="3"/>
  <c r="I110" i="3" a="1"/>
  <c r="I110" i="3"/>
  <c r="J110" i="3" a="1"/>
  <c r="J110" i="3"/>
  <c r="K110" i="3" a="1"/>
  <c r="K110" i="3"/>
  <c r="L110" i="3" a="1"/>
  <c r="L110" i="3"/>
  <c r="M110" i="3" a="1"/>
  <c r="M110" i="3"/>
  <c r="N110" i="3" a="1"/>
  <c r="N110" i="3"/>
  <c r="O110" i="3" a="1"/>
  <c r="O110" i="3"/>
  <c r="P110" i="3" a="1"/>
  <c r="P110" i="3"/>
  <c r="Q110" i="3" a="1"/>
  <c r="Q110" i="3"/>
  <c r="R110" i="3" a="1"/>
  <c r="R110" i="3"/>
  <c r="S110" i="3" a="1"/>
  <c r="S110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E159" i="3" a="1"/>
  <c r="E159" i="3"/>
  <c r="F159" i="3" a="1"/>
  <c r="F159" i="3"/>
  <c r="G159" i="3" a="1"/>
  <c r="G159" i="3"/>
  <c r="H159" i="3" a="1"/>
  <c r="H159" i="3"/>
  <c r="I159" i="3" a="1"/>
  <c r="I159" i="3"/>
  <c r="J159" i="3" a="1"/>
  <c r="J159" i="3"/>
  <c r="K159" i="3" a="1"/>
  <c r="K159" i="3"/>
  <c r="L159" i="3" a="1"/>
  <c r="L159" i="3"/>
  <c r="M159" i="3" a="1"/>
  <c r="M159" i="3"/>
  <c r="N159" i="3" a="1"/>
  <c r="N159" i="3"/>
  <c r="O159" i="3" a="1"/>
  <c r="O159" i="3"/>
  <c r="P159" i="3" a="1"/>
  <c r="P159" i="3"/>
  <c r="Q159" i="3" a="1"/>
  <c r="Q159" i="3"/>
  <c r="R159" i="3" a="1"/>
  <c r="R159" i="3"/>
  <c r="S159" i="3" a="1"/>
  <c r="S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E165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E180" i="3" a="1"/>
  <c r="E180" i="3"/>
  <c r="F180" i="3" a="1"/>
  <c r="F180" i="3"/>
  <c r="G180" i="3" a="1"/>
  <c r="G180" i="3"/>
  <c r="H180" i="3" a="1"/>
  <c r="H180" i="3"/>
  <c r="I180" i="3" a="1"/>
  <c r="I180" i="3"/>
  <c r="J180" i="3" a="1"/>
  <c r="J180" i="3"/>
  <c r="K180" i="3" a="1"/>
  <c r="K180" i="3"/>
  <c r="L180" i="3" a="1"/>
  <c r="L180" i="3"/>
  <c r="M180" i="3" a="1"/>
  <c r="M180" i="3"/>
  <c r="N180" i="3" a="1"/>
  <c r="N180" i="3"/>
  <c r="O180" i="3" a="1"/>
  <c r="O180" i="3"/>
  <c r="P180" i="3" a="1"/>
  <c r="P180" i="3"/>
  <c r="Q180" i="3" a="1"/>
  <c r="Q180" i="3"/>
  <c r="R180" i="3" a="1"/>
  <c r="R180" i="3"/>
  <c r="S180" i="3" a="1"/>
  <c r="S180" i="3"/>
  <c r="F181" i="3" a="1"/>
  <c r="F181" i="3"/>
  <c r="G181" i="3" a="1"/>
  <c r="G181" i="3"/>
  <c r="H181" i="3" a="1"/>
  <c r="H181" i="3"/>
  <c r="I181" i="3" a="1"/>
  <c r="I181" i="3"/>
  <c r="J181" i="3" a="1"/>
  <c r="J181" i="3"/>
  <c r="K181" i="3" a="1"/>
  <c r="K181" i="3"/>
  <c r="L181" i="3" a="1"/>
  <c r="L181" i="3"/>
  <c r="M181" i="3" a="1"/>
  <c r="M181" i="3"/>
  <c r="N181" i="3" a="1"/>
  <c r="N181" i="3"/>
  <c r="O181" i="3" a="1"/>
  <c r="O181" i="3"/>
  <c r="P181" i="3" a="1"/>
  <c r="P181" i="3"/>
  <c r="Q181" i="3" a="1"/>
  <c r="Q181" i="3"/>
  <c r="R181" i="3" a="1"/>
  <c r="R181" i="3"/>
  <c r="S181" i="3" a="1"/>
  <c r="S181" i="3"/>
  <c r="E182" i="3" a="1"/>
  <c r="E182" i="3"/>
  <c r="F182" i="3" a="1"/>
  <c r="F182" i="3"/>
  <c r="G182" i="3" a="1"/>
  <c r="G182" i="3"/>
  <c r="H182" i="3" a="1"/>
  <c r="H182" i="3"/>
  <c r="I182" i="3" a="1"/>
  <c r="I182" i="3"/>
  <c r="J182" i="3" a="1"/>
  <c r="J182" i="3"/>
  <c r="K182" i="3" a="1"/>
  <c r="K182" i="3"/>
  <c r="L182" i="3" a="1"/>
  <c r="L182" i="3"/>
  <c r="M182" i="3" a="1"/>
  <c r="M182" i="3"/>
  <c r="N182" i="3" a="1"/>
  <c r="N182" i="3"/>
  <c r="O182" i="3" a="1"/>
  <c r="O182" i="3"/>
  <c r="P182" i="3" a="1"/>
  <c r="P182" i="3"/>
  <c r="Q182" i="3" a="1"/>
  <c r="Q182" i="3"/>
  <c r="R182" i="3" a="1"/>
  <c r="R182" i="3"/>
  <c r="S182" i="3" a="1"/>
  <c r="S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F184" i="3" a="1"/>
  <c r="F184" i="3"/>
  <c r="G184" i="3" a="1"/>
  <c r="G184" i="3"/>
  <c r="H184" i="3" a="1"/>
  <c r="H184" i="3"/>
  <c r="I184" i="3" a="1"/>
  <c r="I184" i="3"/>
  <c r="J184" i="3" a="1"/>
  <c r="J184" i="3"/>
  <c r="K184" i="3" a="1"/>
  <c r="K184" i="3"/>
  <c r="L184" i="3" a="1"/>
  <c r="L184" i="3"/>
  <c r="M184" i="3" a="1"/>
  <c r="M184" i="3"/>
  <c r="N184" i="3" a="1"/>
  <c r="N184" i="3"/>
  <c r="O184" i="3" a="1"/>
  <c r="O184" i="3"/>
  <c r="P184" i="3" a="1"/>
  <c r="P184" i="3"/>
  <c r="Q184" i="3" a="1"/>
  <c r="Q184" i="3"/>
  <c r="R184" i="3" a="1"/>
  <c r="R184" i="3"/>
  <c r="S184" i="3" a="1"/>
  <c r="S184" i="3"/>
  <c r="E185" i="3" a="1"/>
  <c r="E185" i="3"/>
  <c r="F185" i="3" a="1"/>
  <c r="F185" i="3"/>
  <c r="G185" i="3" a="1"/>
  <c r="G185" i="3"/>
  <c r="H185" i="3" a="1"/>
  <c r="H185" i="3"/>
  <c r="I185" i="3" a="1"/>
  <c r="I185" i="3"/>
  <c r="J185" i="3" a="1"/>
  <c r="J185" i="3"/>
  <c r="K185" i="3" a="1"/>
  <c r="K185" i="3"/>
  <c r="L185" i="3" a="1"/>
  <c r="L185" i="3"/>
  <c r="M185" i="3" a="1"/>
  <c r="M185" i="3"/>
  <c r="N185" i="3" a="1"/>
  <c r="N185" i="3"/>
  <c r="O185" i="3" a="1"/>
  <c r="O185" i="3"/>
  <c r="P185" i="3" a="1"/>
  <c r="P185" i="3"/>
  <c r="Q185" i="3" a="1"/>
  <c r="Q185" i="3"/>
  <c r="R185" i="3" a="1"/>
  <c r="R185" i="3"/>
  <c r="S185" i="3" a="1"/>
  <c r="S185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D16" i="8" a="1"/>
  <c r="D16" i="8"/>
  <c r="E16" i="8" a="1"/>
  <c r="E16" i="8"/>
  <c r="F16" i="8" a="1"/>
  <c r="F16" i="8"/>
  <c r="G16" i="8" a="1"/>
  <c r="G16" i="8"/>
  <c r="H16" i="8" a="1"/>
  <c r="H16" i="8"/>
  <c r="I16" i="8" a="1"/>
  <c r="I16" i="8"/>
  <c r="J16" i="8" a="1"/>
  <c r="J16" i="8"/>
  <c r="K16" i="8" a="1"/>
  <c r="K16" i="8"/>
  <c r="L16" i="8" a="1"/>
  <c r="L16" i="8"/>
  <c r="M16" i="8" a="1"/>
  <c r="M16" i="8"/>
  <c r="N16" i="8" a="1"/>
  <c r="N16" i="8"/>
  <c r="O16" i="8" a="1"/>
  <c r="O16" i="8"/>
  <c r="P16" i="8" a="1"/>
  <c r="P16" i="8"/>
  <c r="Q16" i="8" a="1"/>
  <c r="Q16" i="8"/>
  <c r="R16" i="8" a="1"/>
  <c r="R16" i="8"/>
  <c r="S16" i="8" a="1"/>
  <c r="S16" i="8"/>
  <c r="D20" i="8" a="1"/>
  <c r="D20" i="8"/>
  <c r="E20" i="8" a="1"/>
  <c r="E20" i="8"/>
  <c r="F20" i="8" a="1"/>
  <c r="F20" i="8"/>
  <c r="G20" i="8" a="1"/>
  <c r="G20" i="8"/>
  <c r="H20" i="8" a="1"/>
  <c r="H20" i="8"/>
  <c r="I20" i="8" a="1"/>
  <c r="I20" i="8"/>
  <c r="J20" i="8" a="1"/>
  <c r="J20" i="8"/>
  <c r="K20" i="8" a="1"/>
  <c r="K20" i="8"/>
  <c r="L20" i="8" a="1"/>
  <c r="L20" i="8"/>
  <c r="M20" i="8" a="1"/>
  <c r="M20" i="8"/>
  <c r="N20" i="8" a="1"/>
  <c r="N20" i="8"/>
  <c r="O20" i="8" a="1"/>
  <c r="O20" i="8"/>
  <c r="P20" i="8" a="1"/>
  <c r="P20" i="8"/>
  <c r="Q20" i="8" a="1"/>
  <c r="Q20" i="8"/>
  <c r="R20" i="8" a="1"/>
  <c r="R20" i="8"/>
  <c r="S20" i="8" a="1"/>
  <c r="S20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D29" i="8" a="1"/>
  <c r="D29" i="8"/>
  <c r="E29" i="8" a="1"/>
  <c r="E29" i="8"/>
  <c r="F29" i="8" a="1"/>
  <c r="F29" i="8"/>
  <c r="G29" i="8" a="1"/>
  <c r="G29" i="8"/>
  <c r="H29" i="8" a="1"/>
  <c r="H29" i="8"/>
  <c r="I29" i="8" a="1"/>
  <c r="I29" i="8"/>
  <c r="J29" i="8" a="1"/>
  <c r="J29" i="8"/>
  <c r="K29" i="8" a="1"/>
  <c r="K29" i="8"/>
  <c r="L29" i="8" a="1"/>
  <c r="L29" i="8"/>
  <c r="M29" i="8" a="1"/>
  <c r="M29" i="8"/>
  <c r="N29" i="8" a="1"/>
  <c r="N29" i="8"/>
  <c r="O29" i="8" a="1"/>
  <c r="O29" i="8"/>
  <c r="P29" i="8" a="1"/>
  <c r="P29" i="8"/>
  <c r="Q29" i="8" a="1"/>
  <c r="Q29" i="8"/>
  <c r="R29" i="8" a="1"/>
  <c r="R29" i="8"/>
  <c r="S29" i="8" a="1"/>
  <c r="S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D40" i="8" a="1"/>
  <c r="D40" i="8"/>
  <c r="E40" i="8" a="1"/>
  <c r="E40" i="8"/>
  <c r="F40" i="8" a="1"/>
  <c r="F40" i="8"/>
  <c r="G40" i="8" a="1"/>
  <c r="G40" i="8"/>
  <c r="H40" i="8" a="1"/>
  <c r="H40" i="8"/>
  <c r="I40" i="8" a="1"/>
  <c r="I40" i="8"/>
  <c r="J40" i="8" a="1"/>
  <c r="J40" i="8"/>
  <c r="K40" i="8" a="1"/>
  <c r="K40" i="8"/>
  <c r="L40" i="8" a="1"/>
  <c r="L40" i="8"/>
  <c r="M40" i="8" a="1"/>
  <c r="M40" i="8"/>
  <c r="N40" i="8" a="1"/>
  <c r="N40" i="8"/>
  <c r="O40" i="8" a="1"/>
  <c r="O40" i="8"/>
  <c r="P40" i="8" a="1"/>
  <c r="P40" i="8"/>
  <c r="Q40" i="8" a="1"/>
  <c r="Q40" i="8"/>
  <c r="R40" i="8" a="1"/>
  <c r="R40" i="8"/>
  <c r="S40" i="8" a="1"/>
  <c r="S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D42" i="8" a="1"/>
  <c r="D42" i="8"/>
  <c r="E42" i="8" a="1"/>
  <c r="E42" i="8"/>
  <c r="F42" i="8" a="1"/>
  <c r="F42" i="8"/>
  <c r="G42" i="8" a="1"/>
  <c r="G42" i="8"/>
  <c r="H42" i="8" a="1"/>
  <c r="H42" i="8"/>
  <c r="I42" i="8" a="1"/>
  <c r="I42" i="8"/>
  <c r="J42" i="8" a="1"/>
  <c r="J42" i="8"/>
  <c r="K42" i="8" a="1"/>
  <c r="K42" i="8"/>
  <c r="L42" i="8" a="1"/>
  <c r="L42" i="8"/>
  <c r="M42" i="8" a="1"/>
  <c r="M42" i="8"/>
  <c r="N42" i="8" a="1"/>
  <c r="N42" i="8"/>
  <c r="O42" i="8" a="1"/>
  <c r="O42" i="8"/>
  <c r="P42" i="8" a="1"/>
  <c r="P42" i="8"/>
  <c r="Q42" i="8" a="1"/>
  <c r="Q42" i="8"/>
  <c r="R42" i="8" a="1"/>
  <c r="R42" i="8"/>
  <c r="S42" i="8" a="1"/>
  <c r="S42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D57" i="8" a="1"/>
  <c r="D57" i="8"/>
  <c r="E57" i="8" a="1"/>
  <c r="E57" i="8"/>
  <c r="F57" i="8" a="1"/>
  <c r="F57" i="8"/>
  <c r="G57" i="8" a="1"/>
  <c r="G57" i="8"/>
  <c r="H57" i="8" a="1"/>
  <c r="H57" i="8"/>
  <c r="I57" i="8" a="1"/>
  <c r="I57" i="8"/>
  <c r="J57" i="8" a="1"/>
  <c r="J57" i="8"/>
  <c r="K57" i="8" a="1"/>
  <c r="K57" i="8"/>
  <c r="L57" i="8" a="1"/>
  <c r="L57" i="8"/>
  <c r="M57" i="8" a="1"/>
  <c r="M57" i="8"/>
  <c r="N57" i="8" a="1"/>
  <c r="N57" i="8"/>
  <c r="O57" i="8" a="1"/>
  <c r="O57" i="8"/>
  <c r="P57" i="8" a="1"/>
  <c r="P57" i="8"/>
  <c r="Q57" i="8" a="1"/>
  <c r="Q57" i="8"/>
  <c r="R57" i="8" a="1"/>
  <c r="R57" i="8"/>
  <c r="S57" i="8" a="1"/>
  <c r="S5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D67" i="8" a="1"/>
  <c r="D67" i="8"/>
  <c r="E67" i="8" a="1"/>
  <c r="E67" i="8"/>
  <c r="F67" i="8" a="1"/>
  <c r="F67" i="8"/>
  <c r="G67" i="8" a="1"/>
  <c r="G67" i="8"/>
  <c r="H67" i="8" a="1"/>
  <c r="H67" i="8"/>
  <c r="I67" i="8" a="1"/>
  <c r="I67" i="8"/>
  <c r="J67" i="8" a="1"/>
  <c r="J67" i="8"/>
  <c r="K67" i="8" a="1"/>
  <c r="K67" i="8"/>
  <c r="L67" i="8" a="1"/>
  <c r="L67" i="8"/>
  <c r="M67" i="8" a="1"/>
  <c r="M67" i="8"/>
  <c r="N67" i="8" a="1"/>
  <c r="N67" i="8"/>
  <c r="O67" i="8" a="1"/>
  <c r="O67" i="8"/>
  <c r="P67" i="8" a="1"/>
  <c r="P67" i="8"/>
  <c r="Q67" i="8" a="1"/>
  <c r="Q67" i="8"/>
  <c r="R67" i="8" a="1"/>
  <c r="R67" i="8"/>
  <c r="S67" i="8" a="1"/>
  <c r="S67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E70" i="8" a="1"/>
  <c r="E70" i="8"/>
  <c r="D71" i="8" a="1"/>
  <c r="D71" i="8"/>
  <c r="E71" i="8" a="1"/>
  <c r="E71" i="8"/>
  <c r="F71" i="8" a="1"/>
  <c r="F71" i="8"/>
  <c r="G71" i="8" a="1"/>
  <c r="G71" i="8"/>
  <c r="H71" i="8" a="1"/>
  <c r="H71" i="8"/>
  <c r="I71" i="8" a="1"/>
  <c r="I71" i="8"/>
  <c r="J71" i="8" a="1"/>
  <c r="J71" i="8"/>
  <c r="K71" i="8" a="1"/>
  <c r="K71" i="8"/>
  <c r="L71" i="8" a="1"/>
  <c r="L71" i="8"/>
  <c r="M71" i="8" a="1"/>
  <c r="M71" i="8"/>
  <c r="N71" i="8" a="1"/>
  <c r="N71" i="8"/>
  <c r="O71" i="8" a="1"/>
  <c r="O71" i="8"/>
  <c r="P71" i="8" a="1"/>
  <c r="P71" i="8"/>
  <c r="Q71" i="8" a="1"/>
  <c r="Q71" i="8"/>
  <c r="R71" i="8" a="1"/>
  <c r="R71" i="8"/>
  <c r="S71" i="8" a="1"/>
  <c r="S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D79" i="8"/>
  <c r="D80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D94" i="8" a="1"/>
  <c r="D94" i="8"/>
  <c r="E94" i="8" a="1"/>
  <c r="E94" i="8"/>
  <c r="F94" i="8" a="1"/>
  <c r="F94" i="8"/>
  <c r="G94" i="8" a="1"/>
  <c r="G94" i="8"/>
  <c r="H94" i="8" a="1"/>
  <c r="H94" i="8"/>
  <c r="I94" i="8" a="1"/>
  <c r="I94" i="8"/>
  <c r="J94" i="8" a="1"/>
  <c r="J94" i="8"/>
  <c r="K94" i="8" a="1"/>
  <c r="K94" i="8"/>
  <c r="L94" i="8" a="1"/>
  <c r="L94" i="8"/>
  <c r="M94" i="8" a="1"/>
  <c r="M94" i="8"/>
  <c r="N94" i="8" a="1"/>
  <c r="N94" i="8"/>
  <c r="O94" i="8" a="1"/>
  <c r="O94" i="8"/>
  <c r="P94" i="8" a="1"/>
  <c r="P94" i="8"/>
  <c r="Q94" i="8" a="1"/>
  <c r="Q94" i="8"/>
  <c r="R94" i="8" a="1"/>
  <c r="R94" i="8"/>
  <c r="S94" i="8" a="1"/>
  <c r="S94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B4" authorId="0" shapeId="0" xr:uid="{04DEDDDC-2FCF-AF4E-AAB6-026630E7D22A}">
      <text>
        <r>
          <rPr>
            <b/>
            <sz val="10"/>
            <color rgb="FF000000"/>
            <rFont val="Tahoma"/>
            <family val="2"/>
          </rPr>
          <t>Price-escalator start rate set to 0.035 (shared by broadband and direct-to-cell).</t>
        </r>
      </text>
    </comment>
    <comment ref="B5" authorId="0" shapeId="0" xr:uid="{072FDB89-257E-9140-841C-B2DBD3E31221}">
      <text>
        <r>
          <rPr>
            <b/>
            <sz val="10"/>
            <color rgb="FF000000"/>
            <rFont val="Tahoma"/>
            <family val="2"/>
          </rPr>
          <t>Price-escalator terminal (long-run) rate set to 0.025 (shared by broadband and direct-to-cell).</t>
        </r>
      </text>
    </comment>
    <comment ref="C54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Realized F9 launch price set to $54.8M (= Launch Services revenue $2,576M ÷ 47 external launches; rideshare and smallsat pull the average down). The $95M headline applies before Launch &amp; Delivery ($1,510M) is split into its own stream. Together these tie 2025 Space revenue to $4,086M.</t>
        </r>
      </text>
    </comment>
    <comment ref="B132" authorId="0" shapeId="0" xr:uid="{00000000-0006-0000-0000-000002000000}">
      <text>
        <r>
          <rPr>
            <sz val="12"/>
            <color theme="1"/>
            <rFont val="Aptos Narrow"/>
            <family val="2"/>
            <scheme val="minor"/>
          </rPr>
          <t>Optimus-class robot unit manufacturing cost. Single value; no learning-curve decline applied yet.</t>
        </r>
      </text>
    </comment>
    <comment ref="B133" authorId="0" shapeId="0" xr:uid="{00000000-0006-0000-0000-000003000000}">
      <text>
        <r>
          <rPr>
            <sz val="12"/>
            <color theme="1"/>
            <rFont val="Aptos Narrow"/>
            <family val="2"/>
            <scheme val="minor"/>
          </rPr>
          <t>Hardware value-add per kg landed (reference: ~$15K/kg). Single value; no year-by-year decline applied yet.</t>
        </r>
      </text>
    </comment>
    <comment ref="B246" authorId="0" shapeId="0" xr:uid="{8A1CEBE4-ABF3-C242-B27B-94C2A68A34ED}">
      <text>
        <r>
          <rPr>
            <b/>
            <sz val="10"/>
            <color rgb="FF000000"/>
            <rFont val="Tahoma"/>
            <family val="2"/>
          </rPr>
          <t>Cost to add one Gigabay of Starship production capacity (~100 ships/yr), set at $2,500M — about $25M per ship/yr of added capacity. Monte Carlo range 1,200–4,000.</t>
        </r>
      </text>
    </comment>
    <comment ref="B286" authorId="0" shapeId="0" xr:uid="{00000000-0006-0000-0000-000004000000}">
      <text>
        <r>
          <rPr>
            <sz val="12"/>
            <color theme="1"/>
            <rFont val="Aptos Narrow"/>
            <family val="2"/>
            <scheme val="minor"/>
          </rPr>
          <t>Revenue per broadband kit sold — a blend of $500 retail (non-subscriber) and $300 (subscriber). Monte Carlo range 300–500.</t>
        </r>
      </text>
    </comment>
    <comment ref="B311" authorId="0" shapeId="0" xr:uid="{00000000-0006-0000-0000-000005000000}">
      <text>
        <r>
          <rPr>
            <sz val="12"/>
            <color theme="1"/>
            <rFont val="Aptos Narrow"/>
            <family val="2"/>
            <scheme val="minor"/>
          </rPr>
          <t>Redmond satellite line, roughly 70/week, in place in 2025. Monte Carlo range 3,000–5,000.</t>
        </r>
      </text>
    </comment>
    <comment ref="B312" authorId="0" shapeId="0" xr:uid="{00000000-0006-0000-0000-000006000000}">
      <text>
        <r>
          <rPr>
            <sz val="12"/>
            <color theme="1"/>
            <rFont val="Aptos Narrow"/>
            <family val="2"/>
            <scheme val="minor"/>
          </rPr>
          <t>Operational-year build rate. Monte Carlo range 4–15.</t>
        </r>
      </text>
    </comment>
    <comment ref="B313" authorId="0" shapeId="0" xr:uid="{00000000-0006-0000-0000-000007000000}">
      <text>
        <r>
          <rPr>
            <sz val="12"/>
            <color theme="1"/>
            <rFont val="Aptos Narrow"/>
            <family val="2"/>
            <scheme val="minor"/>
          </rPr>
          <t>McGregor Raptor engine line, before a second factory (estimate). Monte Carlo range 365–2,000.</t>
        </r>
      </text>
    </comment>
    <comment ref="B314" authorId="0" shapeId="0" xr:uid="{00000000-0006-0000-0000-000008000000}">
      <text>
        <r>
          <rPr>
            <sz val="12"/>
            <color theme="1"/>
            <rFont val="Aptos Narrow"/>
            <family val="2"/>
            <scheme val="minor"/>
          </rPr>
          <t>Launch pads: Starbase OLP-A/B plus Cape SLC-37 under construction (estimate). Monte Carlo range 1–4.</t>
        </r>
      </text>
    </comment>
    <comment ref="B315" authorId="0" shapeId="0" xr:uid="{00000000-0006-0000-0000-000009000000}">
      <text>
        <r>
          <rPr>
            <sz val="12"/>
            <color theme="1"/>
            <rFont val="Aptos Narrow"/>
            <family val="2"/>
            <scheme val="minor"/>
          </rPr>
          <t>Space $3,800M + Connectivity $4,200M; used as a sanity-check denominator only.</t>
        </r>
      </text>
    </comment>
    <comment ref="B400" authorId="0" shapeId="0" xr:uid="{71697FB6-BE94-FE4B-8420-77B0BB446514}">
      <text>
        <r>
          <rPr>
            <b/>
            <sz val="10"/>
            <color rgb="FF000000"/>
            <rFont val="Tahoma"/>
            <family val="2"/>
          </rPr>
          <t>Vlad Saigau:</t>
        </r>
        <r>
          <rPr>
            <sz val="10"/>
            <color rgb="FF000000"/>
            <rFont val="Tahoma"/>
            <family val="2"/>
          </rPr>
          <t xml:space="preserve">
AI Apps consumer TAM. Raised 500→1000 (AI-Apps demand uplift patch). MC range 700–2000. With ceiling B401=0.6, sub ceiling = 600M.</t>
        </r>
      </text>
    </comment>
    <comment ref="B416" authorId="0" shapeId="0" xr:uid="{27155A7D-47DB-FA4A-BCBD-46335D87AD53}">
      <text>
        <r>
          <rPr>
            <b/>
            <sz val="10"/>
            <color rgb="FF000000"/>
            <rFont val="Tahoma"/>
            <family val="2"/>
          </rPr>
          <t>2025 installed merchant H100-equivalent compute the model can address — the demand anchor for orbital compute. Set to 3 to lift the demand ceiling toward the ~1M orbital-data-centre-satellite thesis. Monte Carlo range 1–6.</t>
        </r>
      </text>
    </comment>
    <comment ref="B418" authorId="0" shapeId="0" xr:uid="{F73276D6-8CCC-664A-987F-F858A4910911}">
      <text>
        <r>
          <rPr>
            <b/>
            <sz val="10"/>
            <color rgb="FF000000"/>
            <rFont val="Tahoma"/>
            <family val="2"/>
          </rPr>
          <t>Direct-to-cell market-size uplift set to 2.5×.</t>
        </r>
      </text>
    </comment>
    <comment ref="B423" authorId="0" shapeId="0" xr:uid="{F63A4BB9-A8FD-1246-A229-999A671CC3B3}">
      <text>
        <r>
          <rPr>
            <b/>
            <sz val="10"/>
            <color rgb="FF000000"/>
            <rFont val="Tahoma"/>
            <family val="2"/>
          </rPr>
          <t>Vlad Saigau:</t>
        </r>
        <r>
          <rPr>
            <sz val="10"/>
            <color rgb="FF000000"/>
            <rFont val="Tahoma"/>
            <family val="2"/>
          </rPr>
          <t xml:space="preserve">
Annual secular decline in chip cost per TFLOPS. Raised from 0.10 to 0.15 so the per-FLOP cost decline exceeds the +9.9%/yr FP8-per-chip growth (B456) — net ASP now falls ~6.6%/yr instead of staying flat, so chip $/sat declines over the horizon. Monte Carlo range 0.10–0.25 (triangle).</t>
        </r>
      </text>
    </comment>
    <comment ref="B426" authorId="0" shapeId="0" xr:uid="{C16E9116-15C4-C34E-8506-54B5CBC8B60F}">
      <text>
        <r>
          <rPr>
            <b/>
            <sz val="10"/>
            <color rgb="FF000000"/>
            <rFont val="Tahoma"/>
            <family val="2"/>
          </rPr>
          <t>Price-response exponent for compute: realized $/GPU-hr = base × MIN(1, (demand/supply)^b). Below 1, scaling grows revenue; above 1, oversupply erodes price. Kept above zero so price always responds. Monte Carlo range 0.2–1.2.</t>
        </r>
      </text>
    </comment>
    <comment ref="B434" authorId="0" shapeId="0" xr:uid="{705698CC-B13E-DA4B-8AA7-8F707B23D5CA}">
      <text>
        <r>
          <rPr>
            <b/>
            <sz val="10"/>
            <color rgb="FF000000"/>
            <rFont val="Tahoma"/>
            <family val="2"/>
          </rPr>
          <t>Broadband market-size uplift set to 1.0 (neutral — no uplift applied).</t>
        </r>
      </text>
    </comment>
    <comment ref="B435" authorId="0" shapeId="0" xr:uid="{F2C83E9F-6355-5246-982F-5A6A79D8BBA7}">
      <text>
        <r>
          <rPr>
            <b/>
            <sz val="10"/>
            <color rgb="FF000000"/>
            <rFont val="Tahoma"/>
            <family val="2"/>
          </rPr>
          <t>Year the market-size uplift reaches its target (offset 10 → 2035), ramping from 1.0 in 2025. Monte Carlo range 7–15.</t>
        </r>
      </text>
    </comment>
    <comment ref="B436" authorId="0" shapeId="0" xr:uid="{C0FA07B4-3590-E942-8B3B-5E7A55FAAABA}">
      <text>
        <r>
          <rPr>
            <b/>
            <sz val="10"/>
            <color rgb="FF000000"/>
            <rFont val="Tahoma"/>
            <family val="2"/>
          </rPr>
          <t>Factory expansion-rate limit — this sets the production ramp. Monte Carlo range 8–30.</t>
        </r>
      </text>
    </comment>
    <comment ref="B437" authorId="0" shapeId="0" xr:uid="{B893AA37-6141-254D-B689-D306C9ADF2E4}">
      <text>
        <r>
          <rPr>
            <b/>
            <sz val="10"/>
            <color rgb="FF000000"/>
            <rFont val="Tahoma"/>
            <family val="2"/>
          </rPr>
          <t>Mature annual build cap, set to 400 (about one per day by 2050). Monte Carlo range 200–600.</t>
        </r>
      </text>
    </comment>
    <comment ref="B439" authorId="0" shapeId="0" xr:uid="{A50714F3-D668-C947-997B-FE3DEBDC9486}">
      <text>
        <r>
          <rPr>
            <b/>
            <sz val="10"/>
            <color rgb="FF000000"/>
            <rFont val="Tahoma"/>
            <family val="2"/>
          </rPr>
          <t>Logistic ceiling for orbital-compute demand. Calibrated so the orbital-data-centre fleet plateaus around 1–3M satellites (consistent with the ~1M-satellite FCC filing plus headroom). Monte Carlo range 4,000–15,000.</t>
        </r>
      </text>
    </comment>
    <comment ref="B440" authorId="0" shapeId="0" xr:uid="{FD0948E8-0EA6-8340-A63C-C7B4BB908435}">
      <text>
        <r>
          <rPr>
            <b/>
            <sz val="10"/>
            <color rgb="FF000000"/>
            <rFont val="Tahoma"/>
            <family val="2"/>
          </rPr>
          <t>Adoption steepness for orbital-compute demand — higher values reach the market ceiling faster. Monte Carlo range 0.20–0.45.</t>
        </r>
      </text>
    </comment>
    <comment ref="B441" authorId="0" shapeId="0" xr:uid="{A50FCD0B-F209-AA41-850F-F9E65B4A0D4E}">
      <text>
        <r>
          <rPr>
            <b/>
            <sz val="10"/>
            <color rgb="FF000000"/>
            <rFont val="Tahoma"/>
            <family val="2"/>
          </rPr>
          <t>Terrestrial training carve-out, as a % of prior-year AI revenue. Funds frontier-training compute that books no revenue — a committed reinvestment that bypasses the IRR queue. Monte Carlo range 0.15–0.60.</t>
        </r>
      </text>
    </comment>
    <comment ref="B444" authorId="0" shapeId="0" xr:uid="{8AC5E8CD-3859-7542-BACD-AB0420C9272A}">
      <text>
        <r>
          <rPr>
            <b/>
            <sz val="10"/>
            <color rgb="FF000000"/>
            <rFont val="Tahoma"/>
            <family val="2"/>
          </rPr>
          <t>Corporate overhead: IT, internal systems, transport, security, shared test infrastructure and HQ. Monte Carlo range 0.02–0.06.</t>
        </r>
      </text>
    </comment>
    <comment ref="B445" authorId="0" shapeId="0" xr:uid="{4EADAE1C-89E2-E04D-9A6B-E19F7699AB4F}">
      <text>
        <r>
          <rPr>
            <b/>
            <sz val="10"/>
            <color rgb="FF000000"/>
            <rFont val="Tahoma"/>
            <family val="2"/>
          </rPr>
          <t>Launch-site infrastructure (towers/Mechazilla, recovery fleet and droneships, tank farm, deluge, ground support, sites), treated as a stock that grows with launch cadence. Monte Carlo range 6–25.</t>
        </r>
      </text>
    </comment>
    <comment ref="B446" authorId="0" shapeId="0" xr:uid="{C9510A04-9631-FD45-A6E2-572B6CD43106}">
      <text>
        <r>
          <rPr>
            <b/>
            <sz val="10"/>
            <color rgb="FF000000"/>
            <rFont val="Tahoma"/>
            <family val="2"/>
          </rPr>
          <t>Ground-network infrastructure: gateways, points of presence, peering, fibre backhaul. Monte Carlo range 0.02–0.07.</t>
        </r>
      </text>
    </comment>
    <comment ref="B447" authorId="0" shapeId="0" xr:uid="{BAB0B4C8-49BC-704F-BCE8-DAB51BBEC5D6}">
      <text>
        <r>
          <rPr>
            <b/>
            <sz val="10"/>
            <color rgb="FF000000"/>
            <rFont val="Tahoma"/>
            <family val="2"/>
          </rPr>
          <t>Depreciation life for the new facility buckets (years). Monte Carlo range 15–30.</t>
        </r>
      </text>
    </comment>
    <comment ref="B448" authorId="0" shapeId="0" xr:uid="{7AF668D1-4B46-AA4D-B94B-8E61629CA8AD}">
      <text>
        <r>
          <rPr>
            <b/>
            <sz val="10"/>
            <color rgb="FF000000"/>
            <rFont val="Tahoma"/>
            <family val="2"/>
          </rPr>
          <t>Dishes per new subscriber. Monte Carlo range 0.9–1.2.</t>
        </r>
      </text>
    </comment>
    <comment ref="B449" authorId="0" shapeId="0" xr:uid="{D7944AFF-DAE6-9449-9839-F2C48FCD17AB}">
      <text>
        <r>
          <rPr>
            <b/>
            <sz val="10"/>
            <color rgb="FF000000"/>
            <rFont val="Tahoma"/>
            <family val="2"/>
          </rPr>
          <t>Dish replacement / churn rate. Monte Carlo range 0.05–0.20.</t>
        </r>
      </text>
    </comment>
    <comment ref="B451" authorId="0" shapeId="0" xr:uid="{AD9F7937-DE38-EA43-97AB-3C61017637EE}">
      <text>
        <r>
          <rPr>
            <b/>
            <sz val="10"/>
            <color rgb="FF000000"/>
            <rFont val="Tahoma"/>
            <family val="2"/>
          </rPr>
          <t>2025 thermal power density (kW per ton) for compute satellites. Sets satellite dry mass = power ÷ kW-per-ton × 1000. Monte Carlo range 50–60.</t>
        </r>
      </text>
    </comment>
    <comment ref="B452" authorId="0" shapeId="0" xr:uid="{827C111F-258D-FB4F-94B4-66A8A14F0D74}">
      <text>
        <r>
          <rPr>
            <b/>
            <sz val="10"/>
            <color rgb="FF000000"/>
            <rFont val="Tahoma"/>
            <family val="2"/>
          </rPr>
          <t>Mature (target) thermal power density, kW per ton — the ceiling the glide approaches, reached around 2040. Monte Carlo range 80–120.</t>
        </r>
      </text>
    </comment>
    <comment ref="B453" authorId="0" shapeId="0" xr:uid="{7214DC6B-D5E4-9441-AB5E-B038F4A06F7A}">
      <text>
        <r>
          <rPr>
            <b/>
            <sz val="10"/>
            <color rgb="FF000000"/>
            <rFont val="Tahoma"/>
            <family val="2"/>
          </rPr>
          <t>Year the target kW/ton is reached; held flat thereafter. Monte Carlo range 2038–2045.</t>
        </r>
      </text>
    </comment>
    <comment ref="B454" authorId="0" shapeId="0" xr:uid="{4833C607-AD40-AE40-88A1-506938BC1E53}">
      <text>
        <r>
          <rPr>
            <b/>
            <sz val="10"/>
            <color rgb="FF000000"/>
            <rFont val="Tahoma"/>
            <family val="2"/>
          </rPr>
          <t>Calibrates 2025 chip power draw to ~700 W (2025 FP8 throughput ÷ 700 W). Drives the dynamic power-draw line (throughput ÷ performance-per-watt). Monte Carlo range 2.5–3.2.</t>
        </r>
      </text>
    </comment>
    <comment ref="B455" authorId="0" shapeId="0" xr:uid="{0C204E1D-0F86-C343-B46E-0D73373AE4D0}">
      <text>
        <r>
          <rPr>
            <b/>
            <sz val="10"/>
            <color rgb="FF000000"/>
            <rFont val="Tahoma"/>
            <family val="2"/>
          </rPr>
          <t>Annual chip-efficiency improvement: performance-per-watt = anchor × (1+rate)^years. As efficiency rises, power draw glides down. Monte Carlo range 0.08–0.15.</t>
        </r>
      </text>
    </comment>
    <comment ref="B456" authorId="0" shapeId="0" xr:uid="{E1660FA6-2B31-6347-A90A-E50040D4A225}">
      <text>
        <r>
          <rPr>
            <b/>
            <sz val="10"/>
            <color rgb="FF000000"/>
            <rFont val="Tahoma"/>
            <family val="2"/>
          </rPr>
          <t>Annual growth in chip FP8 throughput, calibrated to ~1,979 in 2025 rising to ~20,974 by 2050 (a smooth curve). Monte Carlo range 0.08–0.12.</t>
        </r>
      </text>
    </comment>
    <comment ref="B457" authorId="0" shapeId="0" xr:uid="{C0520FC7-00B5-994C-A858-7BE0D1031B3E}">
      <text>
        <r>
          <rPr>
            <b/>
            <sz val="10"/>
            <color rgb="FF000000"/>
            <rFont val="Tahoma"/>
            <family val="2"/>
          </rPr>
          <t>Dedicated orbital-data-centre satellite manufacturing CapEx, per sat/yr of capacity. These are 1.8-ton compute satellites, separate from the Starlink (Redmond) line. Monte Carlo range 0.15–0.60.</t>
        </r>
      </text>
    </comment>
    <comment ref="B460" authorId="0" shapeId="0" xr:uid="{6DFD7832-7BA9-A14A-865A-CD4D20134FF0}">
      <text>
        <r>
          <rPr>
            <b/>
            <sz val="10"/>
            <color rgb="FF000000"/>
            <rFont val="Tahoma"/>
            <family val="2"/>
          </rPr>
          <t>EV/EBITDA exit multiple for Starlink terminal value (applied to 2040 segment EBITDA). Monte Carlo range 9–15.</t>
        </r>
      </text>
    </comment>
    <comment ref="B461" authorId="0" shapeId="0" xr:uid="{C4D176BF-D502-2F40-A19D-801B3EC31182}">
      <text>
        <r>
          <rPr>
            <b/>
            <sz val="10"/>
            <color rgb="FF000000"/>
            <rFont val="Tahoma"/>
            <family val="2"/>
          </rPr>
          <t>EV/EBITDA exit multiple for Customer Launch terminal value (applied to 2040 segment EBITDA). Monte Carlo range 8–14.</t>
        </r>
      </text>
    </comment>
    <comment ref="B462" authorId="0" shapeId="0" xr:uid="{E17892F2-6F50-8144-80A4-D48CD0AC319D}">
      <text>
        <r>
          <rPr>
            <b/>
            <sz val="10"/>
            <color rgb="FF000000"/>
            <rFont val="Tahoma"/>
            <family val="2"/>
          </rPr>
          <t>EV/EBITDA exit multiple for AI-Compute terminal value (applied to 2040 segment EBITDA of ~$1.08T). This is the single biggest valuation driver — for a trillion-dollar-EBITDA business, 8–12x may be more appropriate. Monte Carlo range 8–15.</t>
        </r>
      </text>
    </comment>
    <comment ref="B465" authorId="0" shapeId="0" xr:uid="{E50C28E6-3726-7C47-BDA1-712D92B65EEF}">
      <text>
        <r>
          <rPr>
            <b/>
            <sz val="10"/>
            <color rgb="FF000000"/>
            <rFont val="Tahoma"/>
            <family val="2"/>
          </rPr>
          <t>Vlad Saigau:</t>
        </r>
        <r>
          <rPr>
            <sz val="10"/>
            <color rgb="FF000000"/>
            <rFont val="Tahoma"/>
            <family val="2"/>
          </rPr>
          <t xml:space="preserve">
Consumer AI ARPU drift. Base 3%; MC range 0%–6% (triangle). $170/yr ≈ $14/mo today is light. Feeds AI - Compute row 117.</t>
        </r>
      </text>
    </comment>
    <comment ref="B466" authorId="0" shapeId="0" xr:uid="{26367D53-F4C3-964D-AC15-05777FBADD7E}">
      <text>
        <r>
          <rPr>
            <b/>
            <sz val="10"/>
            <color rgb="FF000000"/>
            <rFont val="Tahoma"/>
            <family val="2"/>
          </rPr>
          <t>Vlad Saigau:</t>
        </r>
        <r>
          <rPr>
            <sz val="10"/>
            <color rgb="FF000000"/>
            <rFont val="Tahoma"/>
            <family val="2"/>
          </rPr>
          <t xml:space="preserve">
Per-user usage intensity growth. Base 18%; MC range 10%–25% (triangle). Supersedes the 6% in the V3 flat-fix. Feeds AI - Compute row 118.</t>
        </r>
      </text>
    </comment>
    <comment ref="B467" authorId="0" shapeId="0" xr:uid="{BB26439C-65B1-BC41-B5DD-99C9FAC36B96}">
      <text>
        <r>
          <rPr>
            <b/>
            <sz val="10"/>
            <color rgb="FF000000"/>
            <rFont val="Tahoma"/>
            <family val="2"/>
          </rPr>
          <t>Vlad Saigau:</t>
        </r>
        <r>
          <rPr>
            <sz val="10"/>
            <color rgb="FF000000"/>
            <rFont val="Tahoma"/>
            <family val="2"/>
          </rPr>
          <t xml:space="preserve">
Structural guard on cumulative usage multiple — no MC. Binds only beyond the 2040 horizon.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36" authorId="0" shapeId="0" xr:uid="{00000000-0006-0000-0200-000001000000}">
      <text>
        <r>
          <rPr>
            <sz val="12"/>
            <color theme="1"/>
            <rFont val="Aptos Narrow"/>
            <family val="2"/>
            <scheme val="minor"/>
          </rPr>
          <t>Starshield = 12% of new satellite deployment.</t>
        </r>
      </text>
    </comment>
    <comment ref="D40" authorId="0" shapeId="0" xr:uid="{00000000-0006-0000-0200-000002000000}">
      <text>
        <r>
          <rPr>
            <sz val="12"/>
            <color rgb="FF000000"/>
            <rFont val="Aptos Narrow"/>
            <family val="2"/>
          </rPr>
          <t>Year-chained: end-of-year fleet = start-of-year less straight-line retirements over the cohort's retirement window (5-year useful life).</t>
        </r>
      </text>
    </comment>
    <comment ref="D41" authorId="0" shapeId="0" xr:uid="{00000000-0006-0000-0200-000003000000}">
      <text>
        <r>
          <rPr>
            <sz val="12"/>
            <color rgb="FF000000"/>
            <rFont val="Aptos Narrow"/>
            <family val="2"/>
          </rPr>
          <t>Year-chained: end-of-year fleet = start-of-year less straight-line retirements over the cohort's retirement window.</t>
        </r>
      </text>
    </comment>
    <comment ref="D42" authorId="0" shapeId="0" xr:uid="{00000000-0006-0000-0200-000004000000}">
      <text>
        <r>
          <rPr>
            <sz val="12"/>
            <color rgb="FF000000"/>
            <rFont val="Aptos Narrow"/>
            <family val="2"/>
          </rPr>
          <t>Year-chained: V2 broadband end-of-year fleet = start-of-year + new deployments − retirements (retirements = deployments L years earlier).</t>
        </r>
      </text>
    </comment>
    <comment ref="D43" authorId="0" shapeId="0" xr:uid="{00000000-0006-0000-0200-000005000000}">
      <text>
        <r>
          <rPr>
            <sz val="12"/>
            <color rgb="FF000000"/>
            <rFont val="Aptos Narrow"/>
            <family val="2"/>
          </rPr>
          <t>Year-chained: V3 broadband end-of-year fleet = start-of-year + new deployments − retirements.</t>
        </r>
      </text>
    </comment>
    <comment ref="D52" authorId="0" shapeId="0" xr:uid="{00000000-0006-0000-0200-000006000000}">
      <text>
        <r>
          <rPr>
            <sz val="12"/>
            <color theme="1"/>
            <rFont val="Aptos Narrow"/>
            <family val="2"/>
            <scheme val="minor"/>
          </rPr>
          <t>Year-chained: V2 direct-to-cell end-of-year fleet = start-of-year less straight-line retirements. Closed cohort (no new V2 direct-to-cell); retirement window 2029–30.</t>
        </r>
      </text>
    </comment>
    <comment ref="D53" authorId="0" shapeId="0" xr:uid="{00000000-0006-0000-0200-000007000000}">
      <text>
        <r>
          <rPr>
            <sz val="12"/>
            <color rgb="FF000000"/>
            <rFont val="Aptos Narrow"/>
            <family val="2"/>
          </rPr>
          <t>Year-chained: V3 direct-to-cell end-of-year fleet = start-of-year + new deployments − retirements (L years earlier).</t>
        </r>
      </text>
    </comment>
    <comment ref="D63" authorId="0" shapeId="0" xr:uid="{00000000-0006-0000-0200-000008000000}">
      <text>
        <r>
          <rPr>
            <sz val="12"/>
            <color rgb="FF000000"/>
            <rFont val="Aptos Narrow"/>
            <family val="2"/>
          </rPr>
          <t>Bandwidth revenue = active Gbps × price per Gbps × utilisation, converted to $mm.</t>
        </r>
      </text>
    </comment>
    <comment ref="D64" authorId="0" shapeId="0" xr:uid="{00000000-0006-0000-0200-000084010000}">
      <text>
        <r>
          <rPr>
            <sz val="12"/>
            <color theme="1"/>
            <rFont val="Aptos Narrow"/>
            <family val="2"/>
            <scheme val="minor"/>
          </rPr>
          <t>Broadband hardware revenue = net new broadband subscribers (millions) × kit price. Broadband only — direct-to-cell has no hardware kit.</t>
        </r>
      </text>
    </comment>
    <comment ref="D71" authorId="0" shapeId="0" xr:uid="{00000000-0006-0000-0200-000009000000}">
      <text>
        <r>
          <rPr>
            <sz val="12"/>
            <color rgb="FF000000"/>
            <rFont val="Aptos Narrow"/>
            <family val="2"/>
          </rPr>
          <t>Active retail satellites = V2 Mini broadband + V3 broadband + V2 direct-to-cell + V3 direct-to-cell end-of-year fleet. Excludes Legacy (deorbiting) and Starshield (government). Feeds terminal cost of goods.</t>
        </r>
      </text>
    </comment>
    <comment ref="D74" authorId="0" shapeId="0" xr:uid="{00000000-0006-0000-0200-00009E010000}">
      <text>
        <r>
          <rPr>
            <sz val="12"/>
            <color theme="1"/>
            <rFont val="Aptos Narrow"/>
            <family val="2"/>
            <scheme val="minor"/>
          </rPr>
          <t>Broadband hardware cost = net new broadband subscribers (millions) × unit cost ($500). With a $400 sale price this reflects the roughly $100/kit subsidy.</t>
        </r>
      </text>
    </comment>
    <comment ref="D83" authorId="0" shapeId="0" xr:uid="{00000000-0006-0000-0200-00000A000000}">
      <text>
        <r>
          <rPr>
            <sz val="12"/>
            <color theme="1"/>
            <rFont val="Aptos Narrow"/>
            <family val="2"/>
            <scheme val="minor"/>
          </rPr>
          <t>Tapered rate applied to revenue: starts at the anchor percentage and trends toward a floor over time (the greater of the floor and anchor × (1+rate)^years).</t>
        </r>
      </text>
    </comment>
    <comment ref="D92" authorId="0" shapeId="0" xr:uid="{00000000-0006-0000-0200-00000B000000}">
      <text>
        <r>
          <rPr>
            <sz val="12"/>
            <color rgb="FF000000"/>
            <rFont val="Aptos Narrow"/>
            <family val="2"/>
          </rPr>
          <t>Revenue × a rate that starts at the anchor percentage and tapers toward a floor over time.</t>
        </r>
      </text>
    </comment>
    <comment ref="D93" authorId="0" shapeId="0" xr:uid="{00000000-0006-0000-0200-00000C000000}">
      <text>
        <r>
          <rPr>
            <sz val="12"/>
            <color theme="1"/>
            <rFont val="Aptos Narrow"/>
            <family val="2"/>
            <scheme val="minor"/>
          </rPr>
          <t>Satellite depreciation across the whole active fleet, mass-weighted: active sats per cohort × mass × depreciation per kg. Owned-launch and facility depreciation are tracked separately.</t>
        </r>
      </text>
    </comment>
    <comment ref="D94" authorId="0" shapeId="0" xr:uid="{00000000-0006-0000-0200-00000D000000}">
      <text>
        <r>
          <rPr>
            <sz val="12"/>
            <color theme="1"/>
            <rFont val="Aptos Narrow"/>
            <family val="2"/>
            <scheme val="minor"/>
          </rPr>
          <t>Straight-line depreciation on cumulative owned-launch CapEx over F9 booster life, capped at cumulative CapEx. Computes zero until launch build costs are populated.</t>
        </r>
      </text>
    </comment>
    <comment ref="D95" authorId="0" shapeId="0" xr:uid="{00000000-0006-0000-0200-00000E000000}">
      <text>
        <r>
          <rPr>
            <sz val="12"/>
            <color theme="1"/>
            <rFont val="Aptos Narrow"/>
            <family val="2"/>
            <scheme val="minor"/>
          </rPr>
          <t>Launch-facility share = Starlink internal launches ÷ (Starlink internal + Customer Launch external launches).</t>
        </r>
      </text>
    </comment>
    <comment ref="D96" authorId="0" shapeId="0" xr:uid="{00000000-0006-0000-0200-00000F000000}">
      <text>
        <r>
          <rPr>
            <sz val="12"/>
            <color theme="1"/>
            <rFont val="Aptos Narrow"/>
            <family val="2"/>
            <scheme val="minor"/>
          </rPr>
          <t>Satellite-manufacturing facility depreciation (all Starlink) plus Starlink's share of launch-facility depreciation.</t>
        </r>
      </text>
    </comment>
    <comment ref="D101" authorId="0" shapeId="0" xr:uid="{00000000-0006-0000-0200-000010000000}">
      <text>
        <r>
          <rPr>
            <sz val="12"/>
            <color theme="1"/>
            <rFont val="Aptos Narrow"/>
            <family val="2"/>
            <scheme val="minor"/>
          </rPr>
          <t>Satellite build CapEx = satellites built per cohort × build cost. V3 direct-to-cell uses the V3 broadband build cost (same satellite bus).</t>
        </r>
      </text>
    </comment>
    <comment ref="D103" authorId="0" shapeId="0" xr:uid="{00000000-0006-0000-0200-00002A000000}">
      <text>
        <r>
          <rPr>
            <sz val="12"/>
            <color theme="1"/>
            <rFont val="Aptos Narrow"/>
            <family val="2"/>
            <scheme val="minor"/>
          </rPr>
          <t>Owned launch-vehicle CapEx. Reads the launch build-cost lines; computes zero until those build costs are populated.</t>
        </r>
      </text>
    </comment>
    <comment ref="D104" authorId="0" shapeId="0" xr:uid="{00000000-0006-0000-0200-000044000000}">
      <text>
        <r>
          <rPr>
            <sz val="12"/>
            <color theme="1"/>
            <rFont val="Aptos Narrow"/>
            <family val="2"/>
            <scheme val="minor"/>
          </rPr>
          <t>Change in working capital = total new satellites this year × working capital per satellite.</t>
        </r>
      </text>
    </comment>
    <comment ref="D106" authorId="0" shapeId="0" xr:uid="{00000000-0006-0000-0200-000045000000}">
      <text>
        <r>
          <rPr>
            <sz val="12"/>
            <color theme="1"/>
            <rFont val="Aptos Narrow"/>
            <family val="2"/>
            <scheme val="minor"/>
          </rPr>
          <t>Module free cash flow = module EBIT + total depreciation − total CapEx.</t>
        </r>
      </text>
    </comment>
    <comment ref="D112" authorId="0" shapeId="0" xr:uid="{00000000-0006-0000-0200-000046000000}">
      <text>
        <r>
          <rPr>
            <sz val="12"/>
            <color theme="1"/>
            <rFont val="Aptos Narrow"/>
            <family val="2"/>
            <scheme val="minor"/>
          </rPr>
          <t>Margin per satellite (one cost base): revenue/sat = price × Gbps/sat × utilisation, less operating costs and R&amp;D (applied as a blended ratio of OpEx+R&amp;D to revenue) and bandwidth cost per sat. Depreciation is excluded here — it is recovered through the annuity calculation.</t>
        </r>
      </text>
    </comment>
    <comment ref="D118" authorId="0" shapeId="0" xr:uid="{00000000-0006-0000-0200-000060000000}">
      <text>
        <r>
          <rPr>
            <sz val="12"/>
            <color theme="1"/>
            <rFont val="Aptos Narrow"/>
            <family val="2"/>
            <scheme val="minor"/>
          </rPr>
          <t>Direct-to-cell revenue per satellite uses the same effective-Gbps lever as revenue, so the IRR and P&amp;L share a single cost base.</t>
        </r>
      </text>
    </comment>
    <comment ref="D125" authorId="0" shapeId="0" xr:uid="{00000000-0006-0000-0200-00007A000000}">
      <text>
        <r>
          <rPr>
            <sz val="12"/>
            <color theme="1"/>
            <rFont val="Aptos Narrow"/>
            <family val="2"/>
            <scheme val="minor"/>
          </rPr>
          <t>V3 build cost falls along a Wright's-law learning curve (anchor cost × learning rate ^ log2 of cumulative V3 sats ÷ anchor). This drives V3's return overtaking V2.</t>
        </r>
      </text>
    </comment>
    <comment ref="D135" authorId="0" shapeId="0" xr:uid="{00000000-0006-0000-0200-000094000000}">
      <text>
        <r>
          <rPr>
            <sz val="12"/>
            <color theme="1"/>
            <rFont val="Aptos Narrow"/>
            <family val="2"/>
            <scheme val="minor"/>
          </rPr>
          <t>Year-chained: Starshield end-of-year fleet = start-of-year + new − retirements (L years earlier).</t>
        </r>
      </text>
    </comment>
    <comment ref="D138" authorId="0" shapeId="0" xr:uid="{00000000-0006-0000-0200-000095000000}">
      <text>
        <r>
          <rPr>
            <sz val="12"/>
            <color theme="1"/>
            <rFont val="Aptos Narrow"/>
            <family val="2"/>
            <scheme val="minor"/>
          </rPr>
          <t>IRR safeguard: if annual margin per satellite exceeds the CapEx outlay, payback is under a year and the return is effectively unbounded, so it is capped at 300%. Otherwise the IRR is solved across a range of rate guesses. This prevents very high returns from being reported as zero.</t>
        </r>
      </text>
    </comment>
    <comment ref="D140" authorId="0" shapeId="0" xr:uid="{00000000-0006-0000-0200-0000AF000000}">
      <text>
        <r>
          <rPr>
            <sz val="12"/>
            <color theme="1"/>
            <rFont val="Aptos Narrow"/>
            <family val="2"/>
            <scheme val="minor"/>
          </rPr>
          <t>Revenue-weighted module spot IRR: each stream's IRR (broadband, direct-to-cell, Starshield) weighted by its revenue and divided by total revenue.</t>
        </r>
      </text>
    </comment>
    <comment ref="D158" authorId="0" shapeId="0" xr:uid="{00000000-0006-0000-0200-0000C9000000}">
      <text>
        <r>
          <rPr>
            <sz val="12"/>
            <color theme="1"/>
            <rFont val="Aptos Narrow"/>
            <family val="2"/>
            <scheme val="minor"/>
          </rPr>
          <t>Cumulative capital deployed = running total of module CapEx.</t>
        </r>
      </text>
    </comment>
    <comment ref="D159" authorId="0" shapeId="0" xr:uid="{00000000-0006-0000-0200-0000CA000000}">
      <text>
        <r>
          <rPr>
            <sz val="12"/>
            <color theme="1"/>
            <rFont val="Aptos Narrow"/>
            <family val="2"/>
            <scheme val="minor"/>
          </rPr>
          <t>Same-year launch-mass demand = this year's total new satellites × satellite mass. This feeds the Vehicle Build launch-capacity engine. (Label still reads 'year N+1' but the value is same-year.)</t>
        </r>
      </text>
    </comment>
    <comment ref="D162" authorId="0" shapeId="0" xr:uid="{00000000-0006-0000-0200-0000E4000000}">
      <text>
        <r>
          <rPr>
            <sz val="12"/>
            <color theme="1"/>
            <rFont val="Aptos Narrow"/>
            <family val="2"/>
            <scheme val="minor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D170" authorId="0" shapeId="0" xr:uid="{00000000-0006-0000-0200-0000FE000000}">
      <text>
        <r>
          <rPr>
            <sz val="12"/>
            <color theme="1"/>
            <rFont val="Aptos Narrow"/>
            <family val="2"/>
            <scheme val="minor"/>
          </rPr>
          <t>Compares variable launch cost + owned launch CapEx against the older bundled at-cost transfer (internal launches × at-cost rate). The gap is the owned-launch CapEx that appears once launch build costs are populated.</t>
        </r>
      </text>
    </comment>
    <comment ref="D171" authorId="0" shapeId="0" xr:uid="{00000000-0006-0000-0200-0000FF000000}">
      <text>
        <r>
          <rPr>
            <sz val="12"/>
            <color theme="1"/>
            <rFont val="Aptos Narrow"/>
            <family val="2"/>
            <scheme val="minor"/>
          </rPr>
          <t>Cross-check: per-satellite margin before R&amp;D × active sats vs (gross profit − operating costs). Tolerance 5% — the two use slightly different price bases, so a small gap is expected.</t>
        </r>
      </text>
    </comment>
    <comment ref="D176" authorId="0" shapeId="0" xr:uid="{00000000-0006-0000-0200-000000010000}">
      <text>
        <r>
          <rPr>
            <sz val="12"/>
            <color theme="1"/>
            <rFont val="Aptos Narrow"/>
            <family val="2"/>
            <scheme val="minor"/>
          </rPr>
          <t>Ground-station capacity driver = V2 + V3 broadband Gbps (excludes Legacy). Reference row — exclude from sums.</t>
        </r>
      </text>
    </comment>
    <comment ref="D177" authorId="0" shapeId="0" xr:uid="{00000000-0006-0000-0200-000001010000}">
      <text>
        <r>
          <rPr>
            <sz val="12"/>
            <color theme="1"/>
            <rFont val="Aptos Narrow"/>
            <family val="2"/>
            <scheme val="minor"/>
          </rPr>
          <t>Terminal-factory capacity driver = V2 + V3 direct-to-cell effective Gbps. Reference row — exclude from sums.</t>
        </r>
      </text>
    </comment>
    <comment ref="D180" authorId="0" shapeId="0" xr:uid="{00000000-0006-0000-0200-000002010000}">
      <text>
        <r>
          <rPr>
            <sz val="12"/>
            <color rgb="FF000000"/>
            <rFont val="Aptos Narrow"/>
            <family val="2"/>
          </rPr>
          <t>Implied broadband subscribers = broadband service revenue ($mm) ÷ annual ARPU (monthly ARPU × 12). The result is already in millions of subscribers.</t>
        </r>
      </text>
    </comment>
    <comment ref="D181" authorId="0" shapeId="0" xr:uid="{00000000-0006-0000-0200-00001C010000}">
      <text>
        <r>
          <rPr>
            <sz val="12"/>
            <color theme="1"/>
            <rFont val="Aptos Narrow"/>
            <family val="2"/>
            <scheme val="minor"/>
          </rPr>
          <t>2025 starting subscribers = 4.4M; later years chain off the prior year's end-of-year value.</t>
        </r>
      </text>
    </comment>
    <comment ref="E181" authorId="0" shapeId="0" xr:uid="{00000000-0006-0000-0200-00001D010000}">
      <text>
        <r>
          <rPr>
            <sz val="12"/>
            <color theme="1"/>
            <rFont val="Aptos Narrow"/>
            <family val="2"/>
            <scheme val="minor"/>
          </rPr>
          <t>Implied broadband subscribers = broadband service revenue ($mm) ÷ annual ARPU (monthly ARPU × 12). The result is already in millions of subscribers.</t>
        </r>
      </text>
    </comment>
    <comment ref="D182" authorId="0" shapeId="0" xr:uid="{00000000-0006-0000-0200-000036010000}">
      <text>
        <r>
          <rPr>
            <sz val="12"/>
            <color theme="1"/>
            <rFont val="Aptos Narrow"/>
            <family val="2"/>
            <scheme val="minor"/>
          </rPr>
          <t>End-of-year value derived from the average: if average = (start + end) ÷ 2, then end = 2 × average − start.</t>
        </r>
      </text>
    </comment>
    <comment ref="D183" authorId="0" shapeId="0" xr:uid="{00000000-0006-0000-0200-000050010000}">
      <text>
        <r>
          <rPr>
            <sz val="12"/>
            <color theme="1"/>
            <rFont val="Aptos Narrow"/>
            <family val="2"/>
            <scheme val="minor"/>
          </rPr>
          <t>Net subscriber adds = end-of-year − start-of-year, floored at zero. One hardware kit per net new subscriber.</t>
        </r>
      </text>
    </comment>
    <comment ref="D184" authorId="0" shapeId="0" xr:uid="{00000000-0006-0000-0200-00006A010000}">
      <text>
        <r>
          <rPr>
            <sz val="12"/>
            <color theme="1"/>
            <rFont val="Aptos Narrow"/>
            <family val="2"/>
            <scheme val="minor"/>
          </rPr>
          <t>Implied direct-to-cell subscribers = direct-to-cell service revenue ÷ annual ARPU ($16/mo × 12). Reporting check only; it does not drive hardware revenue.</t>
        </r>
      </text>
    </comment>
    <comment ref="D185" authorId="0" shapeId="0" xr:uid="{00000000-0006-0000-0200-0000B8010000}">
      <text>
        <r>
          <rPr>
            <sz val="12"/>
            <color rgb="FF000000"/>
            <rFont val="Aptos Narrow"/>
            <family val="2"/>
          </rPr>
          <t>Calibration check: model-implied broadband subscribers vs the 8.9M disclosed for 2025. The model's 9.34M runs about 5% high.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44" authorId="0" shapeId="0" xr:uid="{00000000-0006-0000-0600-000001000000}">
      <text>
        <r>
          <rPr>
            <sz val="12"/>
            <color rgb="FF000000"/>
            <rFont val="Aptos Narrow"/>
            <family val="2"/>
          </rPr>
          <t>Lunar share set to 100%; the Lunar/Mars split is handled in the Cash Allocation Engine. Mars deployment is zero across the forecast horizon.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A10" authorId="0" shapeId="0" xr:uid="{00000000-0006-0000-0700-000001000000}">
      <text>
        <r>
          <rPr>
            <sz val="12"/>
            <color theme="1"/>
            <rFont val="Aptos Narrow"/>
            <family val="2"/>
            <scheme val="minor"/>
          </rPr>
          <t>Legacy passthrough of the fully-reusable Starship payload line. The label is kept exactly because other tabs look it up by this text.</t>
        </r>
      </text>
    </comment>
    <comment ref="A16" authorId="0" shapeId="0" xr:uid="{00000000-0006-0000-0700-000002000000}">
      <text>
        <r>
          <rPr>
            <sz val="12"/>
            <color theme="1"/>
            <rFont val="Aptos Narrow"/>
            <family val="2"/>
            <scheme val="minor"/>
          </rPr>
          <t>Passthrough of the fully-reusable Starship at-cost rate. The label is kept exactly because other tabs look it up by this text.</t>
        </r>
      </text>
    </comment>
    <comment ref="D28" authorId="0" shapeId="0" xr:uid="{00000000-0006-0000-0700-000003000000}">
      <text>
        <r>
          <rPr>
            <sz val="12"/>
            <color theme="1"/>
            <rFont val="Aptos Narrow"/>
            <family val="2"/>
            <scheme val="minor"/>
          </rPr>
          <t>Roll-up of each module's owned launch CapEx, summed by label. Vehicle Build books no CapEx of its own.</t>
        </r>
      </text>
    </comment>
    <comment ref="D29" authorId="0" shapeId="0" xr:uid="{00000000-0006-0000-0700-00001D000000}">
      <text>
        <r>
          <rPr>
            <sz val="12"/>
            <color theme="1"/>
            <rFont val="Aptos Narrow"/>
            <family val="2"/>
            <scheme val="minor"/>
          </rPr>
          <t>Each module's owned launch CapEx = its share of Starship launches × total Starship build CapEx. The module shares sum to 1, so the modules sum back to the engine total. Note: if AI-Compute or Lunar-Mars begin pulling Starship launches, they must add the matching CapEx share or the reconciliation breaks.</t>
        </r>
      </text>
    </comment>
    <comment ref="D33" authorId="0" shapeId="0" xr:uid="{00000000-0006-0000-0700-00001E000000}">
      <text>
        <r>
          <rPr>
            <sz val="12"/>
            <color theme="1"/>
            <rFont val="Aptos Narrow"/>
            <family val="2"/>
            <scheme val="minor"/>
          </rPr>
          <t>The learning curve is driven by cumulative ships built (the larger production volume). 2025 is unaffected: builds = 0, cumulative = anchor 4 + seed 21 = 25, preserving the $58.5M cost calibration.</t>
        </r>
      </text>
    </comment>
    <comment ref="E33" authorId="0" shapeId="0" xr:uid="{00000000-0006-0000-0700-00001F000000}">
      <text>
        <r>
          <rPr>
            <sz val="12"/>
            <color theme="1"/>
            <rFont val="Aptos Narrow"/>
            <family val="2"/>
            <scheme val="minor"/>
          </rPr>
          <t>Cumulative Starship stacks = prior cumulative + ships built this year (a true running sum). This cumulative-experience figure drives the learning curve; the 2025 starting point is anchor 4 + seed 21 = 25.</t>
        </r>
      </text>
    </comment>
    <comment ref="E53" authorId="0" shapeId="0" xr:uid="{00000000-0006-0000-0700-000038000000}">
      <text>
        <r>
          <rPr>
            <sz val="12"/>
            <color theme="1"/>
            <rFont val="Aptos Narrow"/>
            <family val="2"/>
            <scheme val="minor"/>
          </rPr>
          <t>Cumulative up-mass = prior cumulative + this year's launches × payload (a true running sum, so it never falls). Launch cadence reads the prior-year cumulative to avoid a circular reference.</t>
        </r>
      </text>
    </comment>
    <comment ref="E56" authorId="0" shapeId="0" xr:uid="{00000000-0006-0000-0700-000051000000}">
      <text>
        <r>
          <rPr>
            <sz val="12"/>
            <color theme="1"/>
            <rFont val="Aptos Narrow"/>
            <family val="2"/>
            <scheme val="minor"/>
          </rPr>
          <t>Year-chained: start-of-year equals the prior year's end-of-year.</t>
        </r>
      </text>
    </comment>
    <comment ref="D61" authorId="0" shapeId="0" xr:uid="{00000000-0006-0000-0700-00006A000000}">
      <text>
        <r>
          <rPr>
            <sz val="12"/>
            <color theme="1"/>
            <rFont val="Aptos Narrow"/>
            <family val="2"/>
            <scheme val="minor"/>
          </rPr>
          <t>Booster retirement = the greater of usage wear (launches ÷ 35-flight reuse life) and calendar age-out (start-of-year ÷ 10-year life). The calendar term ensures the fleet ages toward zero once launches stop, rather than plateauing.</t>
        </r>
      </text>
    </comment>
    <comment ref="E61" authorId="0" shapeId="0" xr:uid="{00000000-0006-0000-0700-00006B000000}">
      <text>
        <r>
          <rPr>
            <sz val="12"/>
            <color theme="1"/>
            <rFont val="Aptos Narrow"/>
            <family val="2"/>
            <scheme val="minor"/>
          </rPr>
          <t>Booster retirement = F9 launches ÷ reuse life (35 flights per booster).</t>
        </r>
      </text>
    </comment>
    <comment ref="E62" authorId="0" shapeId="0" xr:uid="{00000000-0006-0000-0700-000084000000}">
      <text>
        <r>
          <rPr>
            <sz val="12"/>
            <color theme="1"/>
            <rFont val="Aptos Narrow"/>
            <family val="2"/>
            <scheme val="minor"/>
          </rPr>
          <t>Year-chained: F9 start-of-year equals the prior year's end-of-year.</t>
        </r>
      </text>
    </comment>
    <comment ref="D75" authorId="0" shapeId="0" xr:uid="{00000000-0006-0000-0700-00009D000000}">
      <text>
        <r>
          <rPr>
            <sz val="12"/>
            <color theme="1"/>
            <rFont val="Aptos Narrow"/>
            <family val="2"/>
            <scheme val="minor"/>
          </rPr>
          <t>Starship mass uses full Config-1 payload (no utilisation haircut; Starship mass is zero in 2025, so 2025 calibration is unaffected). F9 mass uses average realized payload of 12,900 kg, not the 22,800 kg engineering maximum.</t>
        </r>
      </text>
    </comment>
    <comment ref="D78" authorId="0" shapeId="0" xr:uid="{00000000-0006-0000-0700-00009E000000}">
      <text>
        <r>
          <rPr>
            <sz val="12"/>
            <color theme="1"/>
            <rFont val="Aptos Narrow"/>
            <family val="2"/>
            <scheme val="minor"/>
          </rPr>
          <t>Model F9 internal launches = 148, reconciling to the 132 core Starlink launches plus ~16 Starshield (132 + 16 = 148).</t>
        </r>
      </text>
    </comment>
    <comment ref="D79" authorId="0" shapeId="0" xr:uid="{00000000-0006-0000-0700-00009F000000}">
      <text>
        <r>
          <rPr>
            <sz val="12"/>
            <color theme="1"/>
            <rFont val="Aptos Narrow"/>
            <family val="2"/>
            <scheme val="minor"/>
          </rPr>
          <t>Model F9 customer launches = 47 vs 38.6 disclosed — a residual of about 8–9, carried as a documented difference rather than forced to match.</t>
        </r>
      </text>
    </comment>
    <comment ref="D80" authorId="0" shapeId="0" xr:uid="{00000000-0006-0000-0700-0000A0000000}">
      <text>
        <r>
          <rPr>
            <sz val="12"/>
            <color theme="1"/>
            <rFont val="Aptos Narrow"/>
            <family val="2"/>
            <scheme val="minor"/>
          </rPr>
          <t>Model total F9 launches = 195 vs 171 disclosed (132 + 38.6) — a residual of about 24, driven mainly by the customer-launch overshoot, and carried as a documented difference.</t>
        </r>
      </text>
    </comment>
    <comment ref="E85" authorId="0" shapeId="0" xr:uid="{00000000-0006-0000-0700-0000A1000000}">
      <text>
        <r>
          <rPr>
            <sz val="12"/>
            <color theme="1"/>
            <rFont val="Aptos Narrow"/>
            <family val="2"/>
            <scheme val="minor"/>
          </rPr>
          <t>Year-chained ship fleet: start-of-year equals the prior year's end-of-year.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51" authorId="0" shapeId="0" xr:uid="{00000000-0006-0000-0800-000001000000}">
      <text>
        <r>
          <rPr>
            <sz val="12"/>
            <color theme="1"/>
            <rFont val="Aptos Narrow"/>
            <family val="2"/>
            <scheme val="minor"/>
          </rPr>
          <t>Starfactory one-time build cost, spread over the 2025–2026 build window. A second Starfactory (triggered by volume, ~1,000 ships/yr cap) stays at zero until ship builds begin.</t>
        </r>
      </text>
    </comment>
    <comment ref="D52" authorId="0" shapeId="0" xr:uid="{00000000-0006-0000-0800-00001B000000}">
      <text>
        <r>
          <rPr>
            <sz val="12"/>
            <color theme="1"/>
            <rFont val="Aptos Narrow"/>
            <family val="2"/>
            <scheme val="minor"/>
          </rPr>
          <t>Straight-line depreciation on cumulative Starfactory CapEx over a 30-year facility life, capped so cumulative depreciation never exceeds cumulative CapEx.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99" authorId="0" shapeId="0" xr:uid="{3516184D-3F8D-D040-94A7-C3DCC9FBC8E2}">
      <text>
        <r>
          <rPr>
            <b/>
            <sz val="10"/>
            <color rgb="FF000000"/>
            <rFont val="Tahoma"/>
            <family val="2"/>
          </rPr>
          <t>Orbital-compute-to-Starlink bandwidth elimination is left at zero as immaterial (peak ≤$142M vs ~$289bn AI revenue, under 0.05%).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<sst xmlns="http://schemas.openxmlformats.org/spreadsheetml/2006/main" count="2816" uniqueCount="2188">
  <si>
    <t>Tax rate (corporate, US federal + state blended)</t>
  </si>
  <si>
    <t>Standard US corporate rate; S-1 silent on effective rate split.</t>
  </si>
  <si>
    <t>triangle</t>
  </si>
  <si>
    <t>▸ Cash pool boundary inputs</t>
  </si>
  <si>
    <t>Starting cash position EoY 2024 ($mm)</t>
  </si>
  <si>
    <t>IPO injection amount ($mm)</t>
  </si>
  <si>
    <t>lognormal</t>
  </si>
  <si>
    <t>IPO injection year</t>
  </si>
  <si>
    <t>S-1 filed May 2026 implies pricing 2H 2026 / early 2027. Holding 2027 pending S-1/A.</t>
  </si>
  <si>
    <t>discrete</t>
  </si>
  <si>
    <t>Lunar/Mars carve-out % of prior-year Group FCF</t>
  </si>
  <si>
    <t>Lunar/Mars carve-out floor ($mm/yr)</t>
  </si>
  <si>
    <t>Floor below which carve-out doesn't drop even if prior FCF is small.</t>
  </si>
  <si>
    <t>Lunar/Mars carve-out uses prior-year FCF (0/1)</t>
  </si>
  <si>
    <t>1 = prior year (breaks circularity per Principle 22). Structural input.</t>
  </si>
  <si>
    <t>fixed</t>
  </si>
  <si>
    <t>Structural lock</t>
  </si>
  <si>
    <t>Q4'25 R425 anchored. Pre-2028 no missions; carve-out = R&amp;D-only $700M.</t>
  </si>
  <si>
    <t>Q4'25 ANCHOR</t>
  </si>
  <si>
    <t>▸ Per-module asset life L (canonical IRR formula input)</t>
  </si>
  <si>
    <t>NO S-1 DATA</t>
  </si>
  <si>
    <t>Same.</t>
  </si>
  <si>
    <t>F9 booster analog (lifetime reuses ramp).</t>
  </si>
  <si>
    <t>Sat-based; matches Starlink sat life.</t>
  </si>
  <si>
    <t>Industry norm for DC infrastructure.</t>
  </si>
  <si>
    <t>Customer subscription life / CAC payback.</t>
  </si>
  <si>
    <t>Structural</t>
  </si>
  <si>
    <t>▸ Starship vehicle physical + cost parameters</t>
  </si>
  <si>
    <t>Starship 2nd-stage manufacturing cost ($mm/unit, base)</t>
  </si>
  <si>
    <t>Reusability matrix anchor.</t>
  </si>
  <si>
    <t>Ship refurb % of manufacturing</t>
  </si>
  <si>
    <t>Per-reuse refurb cost.</t>
  </si>
  <si>
    <t>Expendable ship config. S-1 (p.92) confirms 100 mt V3 → 200 mt V4 potentially. 150K kg booster-only sits between V3 and V4.</t>
  </si>
  <si>
    <t>S-1 p.92 EXPLICIT: V3 design 100 mt. Match.</t>
  </si>
  <si>
    <t>S-1 CONFIRMS p.92</t>
  </si>
  <si>
    <t>S-1 PARTIAL p.4</t>
  </si>
  <si>
    <t>▸ Starship cadence (Wright's Law on cum upmass)</t>
  </si>
  <si>
    <t>Base turnaround time per booster (years/flight)</t>
  </si>
  <si>
    <t>2025 starting point.</t>
  </si>
  <si>
    <t>Cadence ceiling (flights/booster/year)</t>
  </si>
  <si>
    <t>Physical refly ceiling at full maturity.</t>
  </si>
  <si>
    <t>▸ Starship time-varying inputs (year-rows)</t>
  </si>
  <si>
    <t>fixed-yearrow</t>
  </si>
  <si>
    <t>Lifetime reuses per booster (year cap)</t>
  </si>
  <si>
    <t>Ramps 5 → 100. S-1 anchors F9 at 34x (p.4); soft-anchor 2025 to ~30-35 for F9-class maturity.</t>
  </si>
  <si>
    <t>▸ Falcon 9 physical + cost parameters</t>
  </si>
  <si>
    <t>F9 booster (1st stage) mfg cost ($mm/unit)</t>
  </si>
  <si>
    <t>60% of total per reusability matrix source notes. S-1 silent.</t>
  </si>
  <si>
    <t>F9 2nd stage mfg cost ($mm/unit)</t>
  </si>
  <si>
    <t>Expendable each flight.</t>
  </si>
  <si>
    <t>F9 fairing cost net of 75% recovery ($mm/flight)</t>
  </si>
  <si>
    <t>$5M × 25% non-recovered.</t>
  </si>
  <si>
    <t>F9 per-launch ops cost ($mm)</t>
  </si>
  <si>
    <t>Range, propellant, recovery.</t>
  </si>
  <si>
    <t>F9 booster refurb % of mfg</t>
  </si>
  <si>
    <t>Reusability matrix.</t>
  </si>
  <si>
    <t>F9 payload to LEO (kg)</t>
  </si>
  <si>
    <t>S-1 CONFIRMS p.85</t>
  </si>
  <si>
    <t>F9 lifetime reuses per booster</t>
  </si>
  <si>
    <t>S-1 p.4 reports 34 reflights demonstrated. Lowered Base from 50 to 35 to match demonstrated; upper MC tail to 100.</t>
  </si>
  <si>
    <t>F9 Wright's Law mfg learning rate</t>
  </si>
  <si>
    <t>Mature production line; minimal further learning.</t>
  </si>
  <si>
    <t>F9 cadence per booster (flights/year, flat)</t>
  </si>
  <si>
    <t>S-1 implies actual 2025 = ~5.9 flights/booster (165 launches ÷ 28 boosters). Build Plan 12 was mature ceiling; Base lowered to 8 to reflect actual ramp; MC top retained to 15.</t>
  </si>
  <si>
    <t>F9 base booster build rate (boosters/year, pre-V3-trigger)</t>
  </si>
  <si>
    <t>V3 Starlink launch trigger year</t>
  </si>
  <si>
    <t>F9 build-rate decay window (years)</t>
  </si>
  <si>
    <t>Linear decay over 8 yrs post-trigger.</t>
  </si>
  <si>
    <t>F9 starting fleet at 2025 SoY (boosters)</t>
  </si>
  <si>
    <t>S-1 CONFIRMS (math) / Q4'25 ANCHOR</t>
  </si>
  <si>
    <t>▸ F9 launch glide path (Customer Launch IN to Vehicle Build)</t>
  </si>
  <si>
    <t>F9 customer launch price ($mm/launch)</t>
  </si>
  <si>
    <t>S-1 p.5 confirms first commercial Starship payload delivery 2H 2026. Customer revenue from 2027 (1yr after first delivery). $100M stub stands; 8%/yr decline.</t>
  </si>
  <si>
    <t>SpaceX commercial market share %</t>
  </si>
  <si>
    <t>S-1 p.81 supports higher share than Build Plan's 70%. New trajectory: 75% (2025) → 80% (2040, linear).</t>
  </si>
  <si>
    <t>SpaceX government market share %</t>
  </si>
  <si>
    <t>Customer A 20.9% concentration trend supports declining gov share. 90% → 80% linear.</t>
  </si>
  <si>
    <t>Launch insurance % of external rev</t>
  </si>
  <si>
    <t>Internal.</t>
  </si>
  <si>
    <t>Launch other COGS % of external rev</t>
  </si>
  <si>
    <t>▸ NEW S-1 derived inputs</t>
  </si>
  <si>
    <t>triangle-yearrow</t>
  </si>
  <si>
    <t>Memo: Avg customer payload size (mt/mission)</t>
  </si>
  <si>
    <t>S-1 p.85: 13 mt average customer mission since 2023. Useful for kg-pool calibration.</t>
  </si>
  <si>
    <t>memo</t>
  </si>
  <si>
    <t>▸ Satellite physical</t>
  </si>
  <si>
    <t>▸ Wright's Law parameters</t>
  </si>
  <si>
    <t>S-1 CONFIRMS (within ±10%)</t>
  </si>
  <si>
    <t>Satellite cost floor ($/kg)</t>
  </si>
  <si>
    <t>▸ Starshield</t>
  </si>
  <si>
    <t>S-1 PARTIAL p.247</t>
  </si>
  <si>
    <t>▸ Depreciation parameters</t>
  </si>
  <si>
    <t>Derived</t>
  </si>
  <si>
    <t>Derived.</t>
  </si>
  <si>
    <t>▸ Deorbit parameters</t>
  </si>
  <si>
    <t>▸ Subscribers + ARPU + Terminals (BIG S-1 IMPACTS)</t>
  </si>
  <si>
    <t>Starting BoY 2025 subscribers (millions)</t>
  </si>
  <si>
    <t>S-1 OVERRIDE p.22, p.87</t>
  </si>
  <si>
    <t>S-1 p.22, p.87: 2025 = $81 (audited); Q1'26 = $66 (audited); mgmt guidance: continued decline as international growth + lower-priced plans land. Build Plan $100→$75 by 2030 OVERRIDDEN. New trajectory: $81 → $55 by 2030 → flat.</t>
  </si>
  <si>
    <t>S-1 doesn't break out DTC ARPU. Hold Build Plan trajectory $16 → $10 by 2030 flat.</t>
  </si>
  <si>
    <t>Terminal COGS per unit ($)</t>
  </si>
  <si>
    <t>S-1 p.247 Connectivity products $1,510M is terminal-sales channel. No unit cost disclosed.</t>
  </si>
  <si>
    <t>▸ BB/DTC market mix</t>
  </si>
  <si>
    <t>▸ NEW Starlink rows from S-1 disclosures</t>
  </si>
  <si>
    <t>Memo: MNO partner count</t>
  </si>
  <si>
    <t>S-1 p.85: T-Mobile, Optus, Telstra, Rogers, KDDI, Kyivstar, ~24 others. Drives MNO-side TAM expansion.</t>
  </si>
  <si>
    <t>Memo: MNO addressable population (millions)</t>
  </si>
  <si>
    <t>S-1 p.85. Sanity-check upper bound on Mobile TAM.</t>
  </si>
  <si>
    <t>Memo: Countries served</t>
  </si>
  <si>
    <t>S-1 p.4. Coverage anchor for international ARPU mix.</t>
  </si>
  <si>
    <t>S-1 p.82: "no Enterprise customer &gt;$750k rev has voluntarily churned since 2023." Moat narrative for Enterprise/Gov.</t>
  </si>
  <si>
    <t>Memo: Connectivity Consumer revenue 2025 ($M)</t>
  </si>
  <si>
    <t>S-1 p.247. Calibration spine.</t>
  </si>
  <si>
    <t>Memo: Connectivity E&amp;G incl Mobile revenue 2025 ($M)</t>
  </si>
  <si>
    <t>Memo: Connectivity COGS 2025 ($M)</t>
  </si>
  <si>
    <t>S-1 p.111. Calibration target.</t>
  </si>
  <si>
    <t>Memo: Connectivity SG&amp;A 2025 ($M)</t>
  </si>
  <si>
    <t>Memo: Connectivity R&amp;D 2025 ($M)</t>
  </si>
  <si>
    <t>Compute power per sat (kW)</t>
  </si>
  <si>
    <t>Industry anchor.</t>
  </si>
  <si>
    <t>Solar array $/W</t>
  </si>
  <si>
    <t>Structure $/sat</t>
  </si>
  <si>
    <t>Battery $/sat</t>
  </si>
  <si>
    <t>Shielding $/sat</t>
  </si>
  <si>
    <t>PUE_base (terrestrial colo)</t>
  </si>
  <si>
    <t>Industry standard.</t>
  </si>
  <si>
    <t>Orbital PUE</t>
  </si>
  <si>
    <t>First-principles.</t>
  </si>
  <si>
    <t>S-1 p.3, p.10. Cash flows to ODC starting 2027 (1-yr build lead).</t>
  </si>
  <si>
    <t>S-1 NEW p.3, p.10</t>
  </si>
  <si>
    <t>S-1 p.22, p.89: 0.3 EoY 2023 → 0.8 EoY 2025 → 1.0 Q1'26. COLOSSUS + COLOSSUS II buildout. Memo for AI Stack TAM sizing.</t>
  </si>
  <si>
    <t>Catch-all.</t>
  </si>
  <si>
    <t>Memo: AI segment total revenue 2025 ($M)</t>
  </si>
  <si>
    <t>S-1 p.21, p.247. Material; not in current Mach33 SpaceX-only frame.</t>
  </si>
  <si>
    <t>Memo: AI segment Advertising 2025 ($M)</t>
  </si>
  <si>
    <t>S-1 p.247. Declining trend.</t>
  </si>
  <si>
    <t>Memo: AI segment AI Solutions &amp; Infra 2025 ($M)</t>
  </si>
  <si>
    <t>Memo: AI segment Adj EBITDA 2025 ($M)</t>
  </si>
  <si>
    <t>S-1 p.22. Margin deteriorating as R&amp;D ramps.</t>
  </si>
  <si>
    <t>Memo: AI segment R&amp;D 2025 ($M)</t>
  </si>
  <si>
    <t>S-1 p.111. +330% YoY.</t>
  </si>
  <si>
    <t>Memo: AI segment CapEx 2025 ($M)</t>
  </si>
  <si>
    <t>S-1 p.22. COLOSSUS terrestrial buildout.</t>
  </si>
  <si>
    <t>Memo: AI segment nameplate compute draw EoY 2025 (GW)</t>
  </si>
  <si>
    <t>S-1 p.22. Q1'26 = 1.0 GW.</t>
  </si>
  <si>
    <t>▸ Module-wide parameters</t>
  </si>
  <si>
    <t>Reuses Asset Life L from R31. Q4'25 R205.</t>
  </si>
  <si>
    <t>5% mission ops.</t>
  </si>
  <si>
    <t>First mission year (Lunar Mars)</t>
  </si>
  <si>
    <t>▸ Labour unit shared parameters (Optimus-class proxy)</t>
  </si>
  <si>
    <t>Labour unit mass (kg)</t>
  </si>
  <si>
    <t>Robotic class proxy.</t>
  </si>
  <si>
    <t>Labour unit base hourly output ($/hr; burdened $22/0.7)</t>
  </si>
  <si>
    <t>Labour unit daily working hours</t>
  </si>
  <si>
    <t>Robots don't sleep.</t>
  </si>
  <si>
    <t>Labour unit productivity factor vs human baseline</t>
  </si>
  <si>
    <t>Parity stub.</t>
  </si>
  <si>
    <t>Wide MC per Q4'25</t>
  </si>
  <si>
    <t>Labour unit productivity learning rate (%/yr)</t>
  </si>
  <si>
    <t>5%/yr productivity gain.</t>
  </si>
  <si>
    <t>Labour unit operational lifespan on surface (years)</t>
  </si>
  <si>
    <t>Retirement vintage.</t>
  </si>
  <si>
    <t>▸ Lunar-specific</t>
  </si>
  <si>
    <t>Lunar fuel depot multiplier per outbound Starship</t>
  </si>
  <si>
    <t>1 tanker per moon ship.</t>
  </si>
  <si>
    <t>Lunar payload per surface-landed Starship (kg)</t>
  </si>
  <si>
    <t>Translunar with landing reserve.</t>
  </si>
  <si>
    <t>Lunar % payload as labour units</t>
  </si>
  <si>
    <t>30% labour / 70% hardware.</t>
  </si>
  <si>
    <t>▸ Mars-specific</t>
  </si>
  <si>
    <t>Mars fuel depot multiplier per outbound Starship</t>
  </si>
  <si>
    <t>Rocket equation; 5 tankers per Mars ship.</t>
  </si>
  <si>
    <t>Mars payload per surface-landed Starship (kg)</t>
  </si>
  <si>
    <t>Cargo Starship Mars landing.</t>
  </si>
  <si>
    <t>Mars % payload as labour units</t>
  </si>
  <si>
    <t>Same as Lunar.</t>
  </si>
  <si>
    <t>▸ Year-row cost curves</t>
  </si>
  <si>
    <t>▸ Lunar / Mars share of carve-out cash (derived deployment)</t>
  </si>
  <si>
    <t>Lunar continuous (year-round); fills lower-cost end. Stub: high initially, drops as Mars windows arrive.</t>
  </si>
  <si>
    <t>S-1 PARTIAL p.111</t>
  </si>
  <si>
    <t>Mature satcom peer floor.</t>
  </si>
  <si>
    <t>10%/yr taper toward floor.</t>
  </si>
  <si>
    <t>Mature post-Starship-commercial.</t>
  </si>
  <si>
    <t>Sharp taper from 60% toward 4%.</t>
  </si>
  <si>
    <t>Taper.</t>
  </si>
  <si>
    <t>S-1 p.103, p.109: Space R&amp;D 2025 = $3,004M (Starship-driven). Trajectory ramps then declines as Starship matures.</t>
  </si>
  <si>
    <t>S-1 OVERRIDE p.103, p.109</t>
  </si>
  <si>
    <t>▸ Shared / unattributable corporate R&amp;D (Group, residual)</t>
  </si>
  <si>
    <t>Backed into from total observed R&amp;D − attributed. HR, IT, basic research, exec. Modest growth.</t>
  </si>
  <si>
    <t>▸ SG&amp;A by function (Group-level)</t>
  </si>
  <si>
    <t>Mature.</t>
  </si>
  <si>
    <t>S-1 p.111 Connectivity SG&amp;A $468M / Conn rev $11,387M = 4.1%. Hold 5%.</t>
  </si>
  <si>
    <t>2% CS on Starlink subs.</t>
  </si>
  <si>
    <t>S-1 p.103, p.109. +63.7% YoY.</t>
  </si>
  <si>
    <t>S-1 p.111.</t>
  </si>
  <si>
    <t>S-1 p.245 Note 5.</t>
  </si>
  <si>
    <t>S-1 p.21.</t>
  </si>
  <si>
    <t>S-1 p.21. AI segment drag.</t>
  </si>
  <si>
    <t>S-1 p.22. Starship R&amp;D drove this.</t>
  </si>
  <si>
    <t>S-1 p.22.</t>
  </si>
  <si>
    <t>▸ Corporate facilities CapEx ($mm/yr)</t>
  </si>
  <si>
    <t>▸ Corporate useful lives</t>
  </si>
  <si>
    <t>▸ Corporate historical capital base</t>
  </si>
  <si>
    <t>Memo: EchoStar spectrum deal total ($M, S-1 audited)</t>
  </si>
  <si>
    <t>S-1 p.93-94: "$19.6B in equity and cash; closes November 2027." Underpins the $1,333.33M/yr × 15-yr licence fee form.</t>
  </si>
  <si>
    <t>Memo: Spectrum licence fee renewal flag (2042)</t>
  </si>
  <si>
    <t>▸ S-1 NEW CapEx calibration targets</t>
  </si>
  <si>
    <t>Memo: Space segment CapEx 2025 ($M)</t>
  </si>
  <si>
    <t>S-1 p.22. Starship facility/pad build doubled in 2025.</t>
  </si>
  <si>
    <t>Memo: Connectivity segment CapEx 2025 ($M)</t>
  </si>
  <si>
    <t>S-1 p.22. Constellation + ground network.</t>
  </si>
  <si>
    <t>S-1 p.22 sum. Mach33-comparable scope.</t>
  </si>
  <si>
    <t>Memo: Total backlog (Dec 31 2025) ($M)</t>
  </si>
  <si>
    <t>S-1 p.247. 32% expected to convert within 12 months.</t>
  </si>
  <si>
    <t>Memo: Deferred revenue (Dec 31 2025) ($M)</t>
  </si>
  <si>
    <t>S-1 p.247.</t>
  </si>
  <si>
    <t>Memo: PP&amp;E net Dec 31 2025 ($M)</t>
  </si>
  <si>
    <t>S-1 p.21, p.248.</t>
  </si>
  <si>
    <t>Memo: Accumulated depreciation Dec 31 2025 ($M)</t>
  </si>
  <si>
    <t>S-1 p.248.</t>
  </si>
  <si>
    <t>▸ WACC + risk premia</t>
  </si>
  <si>
    <t>Group WACC</t>
  </si>
  <si>
    <t>▸ WACC component memos (not used in formulas)</t>
  </si>
  <si>
    <t>▸ Terminal value parameters</t>
  </si>
  <si>
    <t>Terminal growth rate g (group + most modules)</t>
  </si>
  <si>
    <t>Gordon Growth perpetuity.</t>
  </si>
  <si>
    <t>Terminal FCF averaging window (years pre-2050)</t>
  </si>
  <si>
    <t>Smooths the FCF cliff.</t>
  </si>
  <si>
    <t>Smoothing parameter</t>
  </si>
  <si>
    <t>▸ Comparables anchors ($B)</t>
  </si>
  <si>
    <t>Pre-IPO sell-side note.</t>
  </si>
  <si>
    <t>EV/Rev ~10× × $15B rev.</t>
  </si>
  <si>
    <t>Pre-revenue placeholder.</t>
  </si>
  <si>
    <t>Auto-wakes when AI Stack revenue lights up.</t>
  </si>
  <si>
    <t>Auto-wakes</t>
  </si>
  <si>
    <t>Lifetime HLS + Mars TAM.</t>
  </si>
  <si>
    <t>▸ SoTP multiples (EV/Revenue at 2050)</t>
  </si>
  <si>
    <t>Rocket Lab proxy.</t>
  </si>
  <si>
    <t>Mature satcom.</t>
  </si>
  <si>
    <t>CoreWeave proxy.</t>
  </si>
  <si>
    <t>▸ S-1 derived valuation triangulation memos</t>
  </si>
  <si>
    <t>Memo: Customer A concentration risk (US Gov NASA+DoW % consol)</t>
  </si>
  <si>
    <t>S-1 p.247. MC triangle [0.15, 0.30] for scenario sensitivity.</t>
  </si>
  <si>
    <t>Memo: Subsequent events check (S-1/A)</t>
  </si>
  <si>
    <t>0=pending S-1/A. Flag any post-period restructuring (Starlink spin-off etc.) per S-1 Subsequent Events note.</t>
  </si>
  <si>
    <t>F9 cadence per booster (flights/year)</t>
  </si>
  <si>
    <t>Triangle bounded by S-1-implied actual (5.9) on the low side and Build Plan mature ceiling (12) on the high side.</t>
  </si>
  <si>
    <t>F9 at-cost rate per launch ($mm)</t>
  </si>
  <si>
    <t>Starship at-cost rate per launch ($mm)</t>
  </si>
  <si>
    <t>Triangle bounded by aggressive Wright's outcome (build cost approaches materials floor) and conservative outcome (commercial-price-ish $50M reflects allocated R&amp;D + facility). 2027 anchor is the median build-up case.</t>
  </si>
  <si>
    <t>F9 launches glide path (per year)</t>
  </si>
  <si>
    <t>triangle (per-year ±25%)</t>
  </si>
  <si>
    <t>F9 booster economic life (years)</t>
  </si>
  <si>
    <t>Realistic range for mature F9 platform.</t>
  </si>
  <si>
    <t>F9 variable cost per launch ($mm/launch)</t>
  </si>
  <si>
    <t>Starship customer launch price ($mm/launch)</t>
  </si>
  <si>
    <t>Starship variable cost per launch ($mm/launch)</t>
  </si>
  <si>
    <t>Full-reuse architecture much cheaper than F9.</t>
  </si>
  <si>
    <t>STRUCTURAL</t>
  </si>
  <si>
    <t>Sat operational life L (years)</t>
  </si>
  <si>
    <t>Starlink R&amp;D as % of revenue (frac)</t>
  </si>
  <si>
    <t>Starship operational year</t>
  </si>
  <si>
    <t>F9 launches V2-Starlink final year</t>
  </si>
  <si>
    <t>V2 BB sat mass (kg)</t>
  </si>
  <si>
    <t>Q4'25 V2 Mini anchor.</t>
  </si>
  <si>
    <t>V2 DTC sat mass (kg)</t>
  </si>
  <si>
    <t>V2 Mini DTC same bus as BB.</t>
  </si>
  <si>
    <t>V3 BB sat mass (kg)</t>
  </si>
  <si>
    <t>V3 DTC sat mass (kg)</t>
  </si>
  <si>
    <t>V3 DTC same bus as V3 BB.</t>
  </si>
  <si>
    <t>V2 BB Gbps per sat</t>
  </si>
  <si>
    <t>Q4'25 V2 Mini anchor (96 Gbps).</t>
  </si>
  <si>
    <t>V3 BB Gbps per sat</t>
  </si>
  <si>
    <t>T=0 WC in CapEx slug (small for sat business per canonical rule 7).</t>
  </si>
  <si>
    <t>Bandwidth/peering cost per Gbps ($mm/Gbps-yr)</t>
  </si>
  <si>
    <t>Sat utilization (frac)</t>
  </si>
  <si>
    <t>Average served fraction of sat capacity. Drives revenue + COGS (NOT OpEx).</t>
  </si>
  <si>
    <t>Starshield $/Gbps ($/Gbps-yr)</t>
  </si>
  <si>
    <t>Starshield active Gbps (year-row)</t>
  </si>
  <si>
    <t>MC range ±25% on the 2025 anchor; growth rate is separate input.</t>
  </si>
  <si>
    <t>Starshield Gbps growth (frac)</t>
  </si>
  <si>
    <t>Starshield sat mass (kg)</t>
  </si>
  <si>
    <t>Starlink deployment 2025 anchor (sats)</t>
  </si>
  <si>
    <t>V2 BB share of new deployment (frac)</t>
  </si>
  <si>
    <t>V2 DTC share of new deployment (frac)</t>
  </si>
  <si>
    <t>V3 BB share of new deployment (frac)</t>
  </si>
  <si>
    <t>BB share of new V3 sats (2027+).</t>
  </si>
  <si>
    <t>V3 DTC share of new deployment (frac)</t>
  </si>
  <si>
    <t>DTC share of new V3 sats (2027+).</t>
  </si>
  <si>
    <t>Pre-2025 active Starshield installed base (sats)</t>
  </si>
  <si>
    <t>Starshield utilization (frac)</t>
  </si>
  <si>
    <t>F9 sats per launch (V2 packing)</t>
  </si>
  <si>
    <t>Sat factory cost per capacity increment ($mm)</t>
  </si>
  <si>
    <t>Sat factory capacity (sats/yr per increment)</t>
  </si>
  <si>
    <t>Sat factory useful life (years)</t>
  </si>
  <si>
    <t>Sat facility capacity-ratio CapEx exponent</t>
  </si>
  <si>
    <t>Starship facility cost per Gigabay increment ($mm)</t>
  </si>
  <si>
    <t>Starship facility capacity (ships/yr per Gigabay)</t>
  </si>
  <si>
    <t>Starship facility useful life (years)</t>
  </si>
  <si>
    <t>Launch pad build/upgrade cost ($mm per pad)</t>
  </si>
  <si>
    <t>Launch pad useful life (years)</t>
  </si>
  <si>
    <t>Starship launches per pad per year</t>
  </si>
  <si>
    <t>Engine facility cost per capacity increment ($mm)</t>
  </si>
  <si>
    <t>Engine facility capacity (engines/yr per increment)</t>
  </si>
  <si>
    <t>Engine facility useful life (years)</t>
  </si>
  <si>
    <t>Terminal factory cost per capacity increment ($mm)</t>
  </si>
  <si>
    <t>Terminal factory capacity (kits/yr per increment)</t>
  </si>
  <si>
    <t>Terminal factory useful life (years)</t>
  </si>
  <si>
    <t>Terminal factory CapEx toggle (1=on,0=off)</t>
  </si>
  <si>
    <t>Ground station build CapEx per station ($mm)</t>
  </si>
  <si>
    <t>Ground station useful life (years)</t>
  </si>
  <si>
    <t>Ground stations built per year (placeholder, flat)</t>
  </si>
  <si>
    <t>HQ facility CapEx (% of revenue)</t>
  </si>
  <si>
    <t>HQ facility useful life (years)</t>
  </si>
  <si>
    <t>Ground-network ops COGS (% of revenue)</t>
  </si>
  <si>
    <t>Asset insurance COGS (% of revenue)</t>
  </si>
  <si>
    <t>Spectrum licence OpEx (% of revenue)</t>
  </si>
  <si>
    <t>Starfactory build cost ($mm)</t>
  </si>
  <si>
    <t>Starfactory build window (years)</t>
  </si>
  <si>
    <t>Effective DTC Gbps per sat (revenue calibration)</t>
  </si>
  <si>
    <t>Network ops &amp; G&amp;A (% of revenue)</t>
  </si>
  <si>
    <t>Legacy V1 active sats end-2025</t>
  </si>
  <si>
    <t>Legacy V1 Gbps per sat</t>
  </si>
  <si>
    <t>Legacy V1.5 active sats end-2025</t>
  </si>
  <si>
    <t>Legacy V1.5 Gbps per sat</t>
  </si>
  <si>
    <t>V2 DTC active sats end-2025</t>
  </si>
  <si>
    <t>V2 Mini BB sats end-2025</t>
  </si>
  <si>
    <t>Legacy V1 sat mass (kg)</t>
  </si>
  <si>
    <t>Legacy V1.5 sat mass (kg)</t>
  </si>
  <si>
    <t>Customer Launch module SG&amp;A (% of external rev)</t>
  </si>
  <si>
    <t>BB demand curve level multiplier</t>
  </si>
  <si>
    <t>DTC demand curve level multiplier</t>
  </si>
  <si>
    <t>Blended kit sale price ($/kit)</t>
  </si>
  <si>
    <t>Starship manufacturing cost anchor ($mm/stack, 2024 baseline)</t>
  </si>
  <si>
    <t>Starship booster share of manufacturing cost (% of stack mfg)</t>
  </si>
  <si>
    <t>Starship cost WL anchor cum units (= cum stacks at end-2024 baseline)</t>
  </si>
  <si>
    <t>Starship F9-inherited experience seed (F9-equiv cum stacks at 2025 entry)</t>
  </si>
  <si>
    <t>Starship manufacturing WL learning rate (% reduction per doubling cum stacks)</t>
  </si>
  <si>
    <t>Starship ops + fuel cost anchor ($mm/launch, 2024 baseline)</t>
  </si>
  <si>
    <t>Starship booster refurb cost anchor ($mm/flight, 2024 baseline)</t>
  </si>
  <si>
    <t>Starship ship refurb cost anchor ($mm/flight, 2024 baseline)</t>
  </si>
  <si>
    <t>Starship ops/refurb WL learning rate (% reduction per doubling cum stacks)</t>
  </si>
  <si>
    <t>Starship ship reuse life (flights per ship)</t>
  </si>
  <si>
    <t>Starship cum-upmass Wright's anchor (kg)</t>
  </si>
  <si>
    <t>Starship payload ramp 2030 anchor (kg-to-LEO, fully reusable)</t>
  </si>
  <si>
    <t>Starship payload max cap (kg-to-LEO, fully reusable)</t>
  </si>
  <si>
    <t>Booster cadence floor (flights/yr, operational)</t>
  </si>
  <si>
    <t>Ship cadence floor (flights/yr, operational)</t>
  </si>
  <si>
    <t>Ship-to-booster cadence ratio</t>
  </si>
  <si>
    <t>Launch vehicle calendar life (years)</t>
  </si>
  <si>
    <t>Raptor engines per booster (Super Heavy)</t>
  </si>
  <si>
    <t>Raptor engines per ship (2nd stage)</t>
  </si>
  <si>
    <t>F9 average realized payload per launch (kg)</t>
  </si>
  <si>
    <t>Pre-IPO bridge loan ($mm)</t>
  </si>
  <si>
    <t>Sat factory base capacity 2025 (sats/yr)</t>
  </si>
  <si>
    <t>Gigabay base capacity 2025 (ships/yr)</t>
  </si>
  <si>
    <t>Engine facility base capacity 2025 (engines/yr)</t>
  </si>
  <si>
    <t>Launch pads base in service 2025 (Starship-capable)</t>
  </si>
  <si>
    <t>S-1 2025 SpaceX total CapEx ($mm)</t>
  </si>
  <si>
    <t>Lookup form: INDEX/MATCH(..., 1) bracket-find + manual linear interp. NO FORECAST / TREND. Per Memory Snapshot v3 §2.4.</t>
  </si>
  <si>
    <t>DTC DEMAND CURVE (piecewise-linear Q→Revenue lookup)</t>
  </si>
  <si>
    <t>Constellation Bandwidth (Gbps)</t>
  </si>
  <si>
    <t>Q (Gbps)</t>
  </si>
  <si>
    <t>Annual DTC Revenue ($mm)</t>
  </si>
  <si>
    <t>DTC Q breakpoint #1 (Gbps)</t>
  </si>
  <si>
    <t>DTC Q breakpoint #2 (Gbps)</t>
  </si>
  <si>
    <t>DTC Q breakpoint #3 (Gbps)</t>
  </si>
  <si>
    <t>DTC Q breakpoint #4 (Gbps)</t>
  </si>
  <si>
    <t>DTC Q breakpoint #5 (Gbps)</t>
  </si>
  <si>
    <t>DTC Q breakpoint #6 (Gbps)</t>
  </si>
  <si>
    <t>DTC Q breakpoint #7 (Gbps)</t>
  </si>
  <si>
    <t>DTC Q breakpoint #8 (Gbps)</t>
  </si>
  <si>
    <t>DTC Q breakpoint #9 (Gbps)</t>
  </si>
  <si>
    <t>DTC Q breakpoint #10 (Gbps)</t>
  </si>
  <si>
    <t>DTC Q breakpoint #11 (Gbps)</t>
  </si>
  <si>
    <t>DTC Q breakpoint #12 (Gbps)</t>
  </si>
  <si>
    <t>DTC Q breakpoint #13 (Gbps)</t>
  </si>
  <si>
    <t>DTC Q breakpoint #14 (Gbps)</t>
  </si>
  <si>
    <t>DTC Q breakpoint #15 (Gbps)</t>
  </si>
  <si>
    <t>DTC Q breakpoint #16 (Gbps)</t>
  </si>
  <si>
    <t>DTC Q breakpoint #17 (Gbps)</t>
  </si>
  <si>
    <t>DTC Q breakpoint #18 (Gbps)</t>
  </si>
  <si>
    <t>DTC Q breakpoint #19 (Gbps)</t>
  </si>
  <si>
    <t>DTC Q breakpoint #20 (Gbps)</t>
  </si>
  <si>
    <t>DTC Q breakpoint #21 (Gbps)</t>
  </si>
  <si>
    <t>DTC Q breakpoint #22 (Gbps)</t>
  </si>
  <si>
    <t>DTC Q breakpoint #23 (Gbps)</t>
  </si>
  <si>
    <t>DTC Q breakpoint #24 (Gbps)</t>
  </si>
  <si>
    <t>DTC Q breakpoint #25 (Gbps)</t>
  </si>
  <si>
    <t>DTC Q breakpoint #26 (Gbps)</t>
  </si>
  <si>
    <t>DTC Q breakpoint #27 (Gbps)</t>
  </si>
  <si>
    <t>DTC Q breakpoint #28 (Gbps)</t>
  </si>
  <si>
    <t>DTC Q breakpoint #29 (Gbps)</t>
  </si>
  <si>
    <t>DTC Q breakpoint #30 (Gbps)</t>
  </si>
  <si>
    <t>DTC Q breakpoint #31 (Gbps)</t>
  </si>
  <si>
    <t>DTC Q breakpoint #32 (Gbps)</t>
  </si>
  <si>
    <t>DTC Q breakpoint #33 (Gbps)</t>
  </si>
  <si>
    <t>DTC Q breakpoint #34 (Gbps)</t>
  </si>
  <si>
    <t>DTC Q breakpoint #35 (Gbps)</t>
  </si>
  <si>
    <t>DTC Q breakpoint #36 (Gbps)</t>
  </si>
  <si>
    <t>DTC Q breakpoint #37 (Gbps)</t>
  </si>
  <si>
    <t>DTC Q breakpoint #38 (Gbps)</t>
  </si>
  <si>
    <t>DTC Q breakpoint #39 (Gbps)</t>
  </si>
  <si>
    <t>DTC Q breakpoint #40 (Gbps)</t>
  </si>
  <si>
    <t>DTC Q breakpoint #41 (Gbps)</t>
  </si>
  <si>
    <t>DTC Q breakpoint #42 (Gbps)</t>
  </si>
  <si>
    <t>DTC Q breakpoint #43 (Gbps)</t>
  </si>
  <si>
    <t>DTC Q breakpoint #44 (Gbps)</t>
  </si>
  <si>
    <t>DTC Q breakpoint #45 (Gbps)</t>
  </si>
  <si>
    <t>DTC Q breakpoint #46 (Gbps)</t>
  </si>
  <si>
    <t>DTC Q breakpoint #47 (Gbps)</t>
  </si>
  <si>
    <t>DTC Q breakpoint #48 (Gbps)</t>
  </si>
  <si>
    <t>DTC Q breakpoint #49 (Gbps)</t>
  </si>
  <si>
    <t>DTC Q breakpoint #50 (Gbps)</t>
  </si>
  <si>
    <t>DTC Q breakpoint #51 (Gbps)</t>
  </si>
  <si>
    <t>DTC Q breakpoint #52 (Gbps)</t>
  </si>
  <si>
    <t>DTC Q breakpoint #53 (Gbps)</t>
  </si>
  <si>
    <t>DTC Q breakpoint #54 (Gbps)</t>
  </si>
  <si>
    <t>DTC Q breakpoint #55 (Gbps)</t>
  </si>
  <si>
    <t>DTC Q breakpoint #56 (Gbps)</t>
  </si>
  <si>
    <t>DTC Q breakpoint #57 (Gbps)</t>
  </si>
  <si>
    <t>DTC Q breakpoint #58 (Gbps)</t>
  </si>
  <si>
    <t>DTC Q breakpoint #59 (Gbps)</t>
  </si>
  <si>
    <t>DTC Q breakpoint #60 (Gbps)</t>
  </si>
  <si>
    <t>DTC Q breakpoint #61 (Gbps)</t>
  </si>
  <si>
    <t>BB DEMAND CURVE (piecewise-linear Q→Revenue lookup)</t>
  </si>
  <si>
    <t>Capacity (Gbps)</t>
  </si>
  <si>
    <t>BB TAM/Revenue ($mm)</t>
  </si>
  <si>
    <t>BB Q breakpoint #1 (Gbps)</t>
  </si>
  <si>
    <t>BB Q breakpoint #2 (Gbps)</t>
  </si>
  <si>
    <t>BB Q breakpoint #3 (Gbps)</t>
  </si>
  <si>
    <t>BB Q breakpoint #4 (Gbps)</t>
  </si>
  <si>
    <t>BB Q breakpoint #5 (Gbps)</t>
  </si>
  <si>
    <t>BB Q breakpoint #6 (Gbps)</t>
  </si>
  <si>
    <t>BB Q breakpoint #7 (Gbps)</t>
  </si>
  <si>
    <t>BB Q breakpoint #8 (Gbps)</t>
  </si>
  <si>
    <t>BB Q breakpoint #9 (Gbps)</t>
  </si>
  <si>
    <t>BB Q breakpoint #10 (Gbps)</t>
  </si>
  <si>
    <t>BB Q breakpoint #11 (Gbps)</t>
  </si>
  <si>
    <t>BB Q breakpoint #12 (Gbps)</t>
  </si>
  <si>
    <t>BB Q breakpoint #13 (Gbps)</t>
  </si>
  <si>
    <t>BB Q breakpoint #14 (Gbps)</t>
  </si>
  <si>
    <t>BB Q breakpoint #15 (Gbps)</t>
  </si>
  <si>
    <t>BB Q breakpoint #16 (Gbps)</t>
  </si>
  <si>
    <t>BB Q breakpoint #17 (Gbps)</t>
  </si>
  <si>
    <t>BB Q breakpoint #18 (Gbps)</t>
  </si>
  <si>
    <t>BB Q breakpoint #19 (Gbps)</t>
  </si>
  <si>
    <t>BB Q breakpoint #20 (Gbps)</t>
  </si>
  <si>
    <t>BB Q breakpoint #21 (Gbps)</t>
  </si>
  <si>
    <t>BB Q breakpoint #22 (Gbps)</t>
  </si>
  <si>
    <t>BB Q breakpoint #23 (Gbps)</t>
  </si>
  <si>
    <t>BB Q breakpoint #24 (Gbps)</t>
  </si>
  <si>
    <t>BB Q breakpoint #25 (Gbps)</t>
  </si>
  <si>
    <t>BB Q breakpoint #26 (Gbps)</t>
  </si>
  <si>
    <t>BB Q breakpoint #27 (Gbps)</t>
  </si>
  <si>
    <t>BB Q breakpoint #28 (Gbps)</t>
  </si>
  <si>
    <t>BB Q breakpoint #29 (Gbps)</t>
  </si>
  <si>
    <t>BB Q breakpoint #30 (Gbps)</t>
  </si>
  <si>
    <t>BB Q breakpoint #31 (Gbps)</t>
  </si>
  <si>
    <t>BB Q breakpoint #32 (Gbps)</t>
  </si>
  <si>
    <t>BB Q breakpoint #33 (Gbps)</t>
  </si>
  <si>
    <t>BB Q breakpoint #34 (Gbps)</t>
  </si>
  <si>
    <t>BB Q breakpoint #35 (Gbps)</t>
  </si>
  <si>
    <t>BB Q breakpoint #36 (Gbps)</t>
  </si>
  <si>
    <t>BB Q breakpoint #37 (Gbps)</t>
  </si>
  <si>
    <t>BB Q breakpoint #38 (Gbps)</t>
  </si>
  <si>
    <t>BB Q breakpoint #39 (Gbps)</t>
  </si>
  <si>
    <t>BB Q breakpoint #40 (Gbps)</t>
  </si>
  <si>
    <t>BB Q breakpoint #41 (Gbps)</t>
  </si>
  <si>
    <t>BB Q breakpoint #42 (Gbps)</t>
  </si>
  <si>
    <t>BB Q breakpoint #43 (Gbps)</t>
  </si>
  <si>
    <t>BB Q breakpoint #44 (Gbps)</t>
  </si>
  <si>
    <t>BB Q breakpoint #45 (Gbps)</t>
  </si>
  <si>
    <t>BB Q breakpoint #46 (Gbps)</t>
  </si>
  <si>
    <t>BB Q breakpoint #47 (Gbps)</t>
  </si>
  <si>
    <t>BB Q breakpoint #48 (Gbps)</t>
  </si>
  <si>
    <t>BB Q breakpoint #49 (Gbps)</t>
  </si>
  <si>
    <t>BB Q breakpoint #50 (Gbps)</t>
  </si>
  <si>
    <t>BB Q breakpoint #51 (Gbps)</t>
  </si>
  <si>
    <t>BB Q breakpoint #52 (Gbps)</t>
  </si>
  <si>
    <t>BB Q breakpoint #53 (Gbps)</t>
  </si>
  <si>
    <t>BB Q breakpoint #54 (Gbps)</t>
  </si>
  <si>
    <t>BB Q breakpoint #55 (Gbps)</t>
  </si>
  <si>
    <t>BB Q breakpoint #56 (Gbps)</t>
  </si>
  <si>
    <t>Annual TAM shift multiplier</t>
  </si>
  <si>
    <t>Starlink BB capacity input (Gbps)</t>
  </si>
  <si>
    <t>Starlink DTC capacity input (Gbps)</t>
  </si>
  <si>
    <t>Starlink BB Revenue from curve ($mm)</t>
  </si>
  <si>
    <t>Starlink DTC Revenue from curve ($mm)</t>
  </si>
  <si>
    <t>Memo: Average $/Gbps BB from curve</t>
  </si>
  <si>
    <t>Memo: Average $/Gbps DTC from curve</t>
  </si>
  <si>
    <t>▸ ALLOCATOR IN (cross-tab reads)</t>
  </si>
  <si>
    <t>F9 payload per launch (kg)</t>
  </si>
  <si>
    <t>Starship payload per launch (kg)</t>
  </si>
  <si>
    <t>▸ CONSTELLATION BUILD (real cohorts → total bandwidth)</t>
  </si>
  <si>
    <t>V2 launch window active (1/0)</t>
  </si>
  <si>
    <t>V3 deployment active (1/0)</t>
  </si>
  <si>
    <t>Total new Starlink deployment (sats/yr)</t>
  </si>
  <si>
    <t>New V2 BB deployment (sats/yr)</t>
  </si>
  <si>
    <t>New V2 DTC deployment (sats/yr)</t>
  </si>
  <si>
    <t>New V3 BB deployment (sats/yr)</t>
  </si>
  <si>
    <t>New V3 DTC deployment (sats/yr)</t>
  </si>
  <si>
    <t>New Starshield deployment (sats/yr)</t>
  </si>
  <si>
    <t>BB FLEET (active sats by cohort)</t>
  </si>
  <si>
    <t>Legacy V1 active sats</t>
  </si>
  <si>
    <t>Legacy V1.5 active sats</t>
  </si>
  <si>
    <t>V2 Mini BB active sats</t>
  </si>
  <si>
    <t>V3 BB active sats EoY</t>
  </si>
  <si>
    <t>BB BANDWIDTH (Gbps by cohort)</t>
  </si>
  <si>
    <t>Legacy BB Gbps</t>
  </si>
  <si>
    <t>V2 BB Gbps</t>
  </si>
  <si>
    <t>V3 BB Gbps</t>
  </si>
  <si>
    <t>BB Gbps available for external Starlink revenue</t>
  </si>
  <si>
    <t>DTC FLEET + BANDWIDTH</t>
  </si>
  <si>
    <t>V2 DTC active sats</t>
  </si>
  <si>
    <t>V3 DTC active sats EoY</t>
  </si>
  <si>
    <t>V2 DTC effective Gbps</t>
  </si>
  <si>
    <t>V3 DTC effective Gbps</t>
  </si>
  <si>
    <t>DTC Gbps available for external Starlink revenue</t>
  </si>
  <si>
    <t>▸ REVENUE</t>
  </si>
  <si>
    <t>Starshield active Gbps (working)</t>
  </si>
  <si>
    <t>Starshield $/Gbps ($/Gbps-yr) (working)</t>
  </si>
  <si>
    <t>Total BB revenue ($mm)</t>
  </si>
  <si>
    <t>Total DTC revenue ($mm)</t>
  </si>
  <si>
    <t>Starshield revenue ($mm)</t>
  </si>
  <si>
    <t>Revenue</t>
  </si>
  <si>
    <t>Memo: Starlink+DTC revenue (excl. Starshield)</t>
  </si>
  <si>
    <t>▸ INTERNAL LAUNCHES + RETAIL FLEET (working)</t>
  </si>
  <si>
    <t>F9 internal launches per year (Starlink-driven)</t>
  </si>
  <si>
    <t>Starship internal launches per year (Starlink-driven)</t>
  </si>
  <si>
    <t>Active retail sats (BB + DTC, EoY)</t>
  </si>
  <si>
    <t>▸ COGS → GROSS PROFIT</t>
  </si>
  <si>
    <t>Ground-network ops COGS ($mm)</t>
  </si>
  <si>
    <t>Asset insurance COGS ($mm)</t>
  </si>
  <si>
    <t>Variable launch COGS ($mm)</t>
  </si>
  <si>
    <t>COGS total ($mm)</t>
  </si>
  <si>
    <t>Gross Profit ($mm)</t>
  </si>
  <si>
    <t>Memo: Gross Margin %</t>
  </si>
  <si>
    <t>▸ MODULE OpEx</t>
  </si>
  <si>
    <t>Sales &amp; Marketing ($mm)</t>
  </si>
  <si>
    <t>Customer support &amp; billing ($mm)</t>
  </si>
  <si>
    <t>Spectrum licence OpEx ($mm)</t>
  </si>
  <si>
    <t>Module EBITDA ($mm)</t>
  </si>
  <si>
    <t>EBITDA Margin % (memo)</t>
  </si>
  <si>
    <t>Attributed R&amp;D ($mm)</t>
  </si>
  <si>
    <t>Constellation D&amp;A ($mm)</t>
  </si>
  <si>
    <t>Owned launch-fleet D&amp;A ($mm)</t>
  </si>
  <si>
    <t>Launch facility share (frac)</t>
  </si>
  <si>
    <t>Facility / ground D&amp;A ($mm)</t>
  </si>
  <si>
    <t>D&amp;A total ($mm)</t>
  </si>
  <si>
    <t>Module EBIT ($mm)</t>
  </si>
  <si>
    <t>▸ CAPEX → MODULE FCF</t>
  </si>
  <si>
    <t>Satellite build CapEx ($mm)</t>
  </si>
  <si>
    <t>Facility / ground CapEx ($mm)</t>
  </si>
  <si>
    <t>Owned launch-vehicle CapEx ($mm)</t>
  </si>
  <si>
    <t>Working capital ΔWC ($mm)</t>
  </si>
  <si>
    <t>Module CapEx total ($mm)</t>
  </si>
  <si>
    <t>Module FCF ($mm)</t>
  </si>
  <si>
    <t>Avg $/Gbps BB at Q (price-at-Q)</t>
  </si>
  <si>
    <t>Avg $/Gbps DTC at Q (price-at-Q)</t>
  </si>
  <si>
    <t>Module Spot IRR (rev-weighted)</t>
  </si>
  <si>
    <t>Cumulative Starlink sats built (sats)</t>
  </si>
  <si>
    <t>Sat cost $/kg (Wright's, floored)</t>
  </si>
  <si>
    <t>COGS total</t>
  </si>
  <si>
    <t>Gross Profit</t>
  </si>
  <si>
    <t>Module OpEx</t>
  </si>
  <si>
    <t>Module EBITDA</t>
  </si>
  <si>
    <t>Attributed R&amp;D</t>
  </si>
  <si>
    <t>D&amp;A</t>
  </si>
  <si>
    <t>Module EBIT</t>
  </si>
  <si>
    <t>Satellite/unit build CapEx</t>
  </si>
  <si>
    <t>Ground/facility CapEx</t>
  </si>
  <si>
    <t>Working capital ΔWC</t>
  </si>
  <si>
    <t>Module CapEx</t>
  </si>
  <si>
    <t>Module FCF</t>
  </si>
  <si>
    <t>Capital Deployed (cumulative)</t>
  </si>
  <si>
    <t>Kg demand year N+1</t>
  </si>
  <si>
    <t>Spot marginal IRR</t>
  </si>
  <si>
    <t>▸ CONSERVATION MEMOS</t>
  </si>
  <si>
    <t>Memo: reclassification conservation</t>
  </si>
  <si>
    <t>Memo: P&amp;L↔IRR conservation</t>
  </si>
  <si>
    <t>Memo: 2025 revenue reconciliation</t>
  </si>
  <si>
    <t>Memo: 2025 DTC sub-line reconciliation</t>
  </si>
  <si>
    <t>BB active Gbps (V2+V3 combined)</t>
  </si>
  <si>
    <t>DTC active Gbps (V2+V3 combined)</t>
  </si>
  <si>
    <t>BB BoY subscribers (M)</t>
  </si>
  <si>
    <t>BB net adds (M)</t>
  </si>
  <si>
    <t>DTC avg subscribers (implied, M)</t>
  </si>
  <si>
    <t>Hardware / kit revenue ($mm)</t>
  </si>
  <si>
    <t>Hardware / kit COGS ($mm)</t>
  </si>
  <si>
    <t>Memo: implied total Starlink subscribers (BB, M) vs S-1 8.9M</t>
  </si>
  <si>
    <t>YEAR</t>
  </si>
  <si>
    <t>Year offset</t>
  </si>
  <si>
    <t>Commercial launch market size ($mm/yr)</t>
  </si>
  <si>
    <t>Government launch market size ($mm/yr)</t>
  </si>
  <si>
    <t>SpaceX commercial market share</t>
  </si>
  <si>
    <t>SpaceX government market share</t>
  </si>
  <si>
    <t>Launch &amp; Development revenue ($mm/yr)</t>
  </si>
  <si>
    <t>Starship commercial-readiness factor</t>
  </si>
  <si>
    <t>F9 booster build cost ($mm)</t>
  </si>
  <si>
    <t>Starship vehicle build cost ($mm)</t>
  </si>
  <si>
    <t>F9 cadence per booster (flights/yr)</t>
  </si>
  <si>
    <t>Starship cadence per vehicle (flights/yr)</t>
  </si>
  <si>
    <t>F9 vehicle life L (years)</t>
  </si>
  <si>
    <t>Starship vehicle life L (years)</t>
  </si>
  <si>
    <t>Customer Launch R&amp;D % (start)</t>
  </si>
  <si>
    <t>Customer Launch R&amp;D % (floor)</t>
  </si>
  <si>
    <t>Customer Launch R&amp;D % (CAGR)</t>
  </si>
  <si>
    <t>Launch / vehicle facility CapEx ($mm)</t>
  </si>
  <si>
    <t>Launch / vehicle facility D&amp;A ($mm)</t>
  </si>
  <si>
    <t>External commercial launch demand (count)</t>
  </si>
  <si>
    <t>External government launch demand (count)</t>
  </si>
  <si>
    <t>F9 boosters built (yr)</t>
  </si>
  <si>
    <t>F9 boosters retired (yr)</t>
  </si>
  <si>
    <t>F9 booster fleet EoY</t>
  </si>
  <si>
    <t>F9 total launch capacity (launches/yr)</t>
  </si>
  <si>
    <t>F9 customer launches (residual)</t>
  </si>
  <si>
    <t>Starship target launches (internal + commercial demand)</t>
  </si>
  <si>
    <t>Starship vehicles built (yr)</t>
  </si>
  <si>
    <t>Starship vehicle fleet EoY</t>
  </si>
  <si>
    <t>Starship total capacity (launches/yr)</t>
  </si>
  <si>
    <t>Starship commercial launches</t>
  </si>
  <si>
    <t>Memo: total external launches</t>
  </si>
  <si>
    <t>Launch Services revenue ($mm)</t>
  </si>
  <si>
    <t>Launch &amp; Development revenue ($mm)</t>
  </si>
  <si>
    <t>Revenue   ◄ Allocator OUT</t>
  </si>
  <si>
    <t>Memo: avg $/launch (LS)</t>
  </si>
  <si>
    <t>Launch insurance ($mm)</t>
  </si>
  <si>
    <t>Other launch COGS ($mm)</t>
  </si>
  <si>
    <t>COGS total ($mm)   ◄ Allocator OUT</t>
  </si>
  <si>
    <t>Gross Profit ($mm)   ◄ Allocator OUT</t>
  </si>
  <si>
    <t>Selling, general &amp; administrative ($mm)</t>
  </si>
  <si>
    <t>Module OpEx total ($mm)   ◄ Allocator OUT</t>
  </si>
  <si>
    <t>Attributed R&amp;D ($mm)   ◄ Allocator OUT</t>
  </si>
  <si>
    <t>Module EBITDA ($mm)   ◄ Allocator OUT</t>
  </si>
  <si>
    <t>Memo: EBITDA Margin %</t>
  </si>
  <si>
    <t>F9 owned-vehicle D&amp;A ($mm)</t>
  </si>
  <si>
    <t>Starship owned-vehicle D&amp;A ($mm)</t>
  </si>
  <si>
    <t>Launch / facility D&amp;A ($mm)</t>
  </si>
  <si>
    <t>D&amp;A total ($mm)   ◄ Allocator OUT</t>
  </si>
  <si>
    <t>Module EBIT ($mm)   ◄ Allocator OUT</t>
  </si>
  <si>
    <t>F9 owned-vehicle build CapEx ($mm)   ◄ Allocator OUT</t>
  </si>
  <si>
    <t>Starship owned-vehicle build CapEx ($mm)   ◄ Allocator OUT</t>
  </si>
  <si>
    <t>Ground/facility CapEx ($mm)   ◄ Allocator OUT</t>
  </si>
  <si>
    <t>Working capital ΔWC ($mm)   ◄ Allocator OUT</t>
  </si>
  <si>
    <t>Module CapEx total ($mm)   ◄ Allocator OUT</t>
  </si>
  <si>
    <t>Module FCF ($mm)   ◄ Allocator OUT</t>
  </si>
  <si>
    <t>Module Spot IRR   ◄ Allocator OUT</t>
  </si>
  <si>
    <t>F9 owned-vehicle build CapEx</t>
  </si>
  <si>
    <t>Starship owned-vehicle build CapEx</t>
  </si>
  <si>
    <t>Memo: P&amp;L↔IRR operating-margin</t>
  </si>
  <si>
    <t>Memo: R&amp;D dual-track divergence</t>
  </si>
  <si>
    <t>Memo: 2025 EBIT reconciliation</t>
  </si>
  <si>
    <t>Memo: 2025 D&amp;A reconciliation</t>
  </si>
  <si>
    <t>Memo: 2025 CapEx reconciliation</t>
  </si>
  <si>
    <t>F9 customer launches per year</t>
  </si>
  <si>
    <t>Starship customer launches per year</t>
  </si>
  <si>
    <t>Cash BoY ($mm)</t>
  </si>
  <si>
    <t>IPO injection ($mm)</t>
  </si>
  <si>
    <t>Cash available for year ($mm)</t>
  </si>
  <si>
    <t>Memo: Group revenue (claims base) ($mm)</t>
  </si>
  <si>
    <t>Corporate SG&amp;A ($mm)</t>
  </si>
  <si>
    <t>Shared / unattributable R&amp;D ($mm)</t>
  </si>
  <si>
    <t>Corporate CapEx ($mm)</t>
  </si>
  <si>
    <t>Spectrum licence fee ($mm)</t>
  </si>
  <si>
    <t>Taxes ($mm)</t>
  </si>
  <si>
    <t>Queue gate non-module claims total ($mm)</t>
  </si>
  <si>
    <t>Pool after queue gate ($mm)</t>
  </si>
  <si>
    <t>Lunar/Mars carve-out cash ($mm)</t>
  </si>
  <si>
    <t>Σ exp(β·IRR)</t>
  </si>
  <si>
    <t>Memo: share sum (must=1)</t>
  </si>
  <si>
    <t>Allocated cash to Starlink ($mm)</t>
  </si>
  <si>
    <t>Allocated cash to Customer Launch ($mm)</t>
  </si>
  <si>
    <t>Allocated cash to AI-Compute ($mm)</t>
  </si>
  <si>
    <t>Memo: cash deployed by modules ($mm)</t>
  </si>
  <si>
    <t>Leftover cash ($mm)</t>
  </si>
  <si>
    <t>▸ KG-RATIONING GATE</t>
  </si>
  <si>
    <t>Memo: total kg demand (kg)</t>
  </si>
  <si>
    <t>LM kg reserved off-top (kg)</t>
  </si>
  <si>
    <t>Capacity available after LM (kg)</t>
  </si>
  <si>
    <t>kg-binding flag (1=capacity binds)</t>
  </si>
  <si>
    <t>Group FCF ($mm)</t>
  </si>
  <si>
    <t>Cash EoY ($mm)</t>
  </si>
  <si>
    <t>▸ CONSERVATION</t>
  </si>
  <si>
    <t>Memo: carve-out tie (engine − LM receipt, must=0)</t>
  </si>
  <si>
    <t>Memo: VB fleet CapEx conservation (=VB R53)</t>
  </si>
  <si>
    <t>Higher-rank caps ahead of Starlink ($mm)</t>
  </si>
  <si>
    <t>Higher-rank caps ahead of Customer Launch ($mm)</t>
  </si>
  <si>
    <t>Higher-rank caps ahead of AI-Compute ($mm)</t>
  </si>
  <si>
    <t>▸ INPUTS READ FROM ASSUMPTIONS</t>
  </si>
  <si>
    <t>Carve-out % of prior-year Group FCF</t>
  </si>
  <si>
    <t>Carve-out floor ($mm/yr)</t>
  </si>
  <si>
    <t>Carve-out pre-2028 R&amp;D-only override ($mm/yr)</t>
  </si>
  <si>
    <t>Labour unit base hourly output ($/hr)</t>
  </si>
  <si>
    <t>Labour unit productivity factor</t>
  </si>
  <si>
    <t>Labour unit useful life (yrs)</t>
  </si>
  <si>
    <t>Labour unit cost ($/unit)</t>
  </si>
  <si>
    <t>Hardware value-add ($/kg landed)</t>
  </si>
  <si>
    <t>Carve-out cash receipt ($mm)</t>
  </si>
  <si>
    <t>▸ PER-SHIP COST BUILD</t>
  </si>
  <si>
    <t>Lunar labour mass per ship (kg)</t>
  </si>
  <si>
    <t>Lunar hardware mass per ship (kg)</t>
  </si>
  <si>
    <t>Lunar labour units per ship (count)</t>
  </si>
  <si>
    <t>Mars labour mass per ship (kg)</t>
  </si>
  <si>
    <t>Mars hardware mass per ship (kg)</t>
  </si>
  <si>
    <t>Mars labour units per ship (count)</t>
  </si>
  <si>
    <t>▸ LUNAR MISSION DEPLOYMENT (first-mission-year gated)</t>
  </si>
  <si>
    <t>Lunar share of carve-out cash (year-row)</t>
  </si>
  <si>
    <t>Lunar carve-out cash this year ($mm)</t>
  </si>
  <si>
    <t>Lunar surface missions deployed (count)</t>
  </si>
  <si>
    <t>Lunar labour mass landed this year (kg)</t>
  </si>
  <si>
    <t>Lunar hardware mass landed this year (kg)</t>
  </si>
  <si>
    <t>Lunar labour units landed this year (count)</t>
  </si>
  <si>
    <t>▸ MARS MISSION DEPLOYMENT (first-mission-year gated)</t>
  </si>
  <si>
    <t>Mars share of carve-out cash (year-row)</t>
  </si>
  <si>
    <t>Mars carve-out cash this year ($mm)</t>
  </si>
  <si>
    <t>Mars surface missions deployed (count)</t>
  </si>
  <si>
    <t>Mars labour mass landed this year (kg)</t>
  </si>
  <si>
    <t>Mars hardware mass landed this year (kg)</t>
  </si>
  <si>
    <t>Mars labour units landed this year (count)</t>
  </si>
  <si>
    <t>Labour annual output per unit, base year ($mm/yr)</t>
  </si>
  <si>
    <t>Productivity multiplier (year-row, anchor-offset)</t>
  </si>
  <si>
    <t>Labour annual output per unit this year ($mm/yr)</t>
  </si>
  <si>
    <t>LUNAR labour units retired this year (cohort lookback)</t>
  </si>
  <si>
    <t>MARS labour units retired this year (cohort lookback)</t>
  </si>
  <si>
    <t>LUNAR active labour fleet EoY (running sum, net retire)</t>
  </si>
  <si>
    <t>MARS active labour fleet EoY (running sum, net retire)</t>
  </si>
  <si>
    <t>LUNAR annual production output ($mm/yr)</t>
  </si>
  <si>
    <t>MARS annual production output ($mm/yr)</t>
  </si>
  <si>
    <t>LUNAR annual hardware value-add ($mm/yr)</t>
  </si>
  <si>
    <t>MARS annual hardware value-add ($mm/yr)</t>
  </si>
  <si>
    <t>LUNAR annual BV contribution ($mm/yr)</t>
  </si>
  <si>
    <t>MARS annual BV contribution ($mm/yr)</t>
  </si>
  <si>
    <t>Total Revenue ($mm)</t>
  </si>
  <si>
    <t>Module OpEx ($mm)</t>
  </si>
  <si>
    <t>Module CapEx ($mm)</t>
  </si>
  <si>
    <t>Cumulative Module CapEx ($mm)</t>
  </si>
  <si>
    <t>Lunar Mars Module D&amp;A ($mm)</t>
  </si>
  <si>
    <t>Cumulative Module D&amp;A ($mm)</t>
  </si>
  <si>
    <t>Σ-D&amp;A ≤ Σ-CapEx check (1=OK)</t>
  </si>
  <si>
    <t>Module CapEx (FCF input) ($mm)</t>
  </si>
  <si>
    <t>Module EBITDA Margin %</t>
  </si>
  <si>
    <t>▸ MEMO / DIAGNOSTICS</t>
  </si>
  <si>
    <t>Memo: Lunar surface missions cumulative</t>
  </si>
  <si>
    <t>Memo: Mars surface missions cumulative</t>
  </si>
  <si>
    <t>Memo: Carve-out reserved vs Module CapEx gap ($mm)</t>
  </si>
  <si>
    <t>Memo: Total Lunar+Mars kg landed this year</t>
  </si>
  <si>
    <t>Revenue ($mm)</t>
  </si>
  <si>
    <t>Kg demand year N+1 (off-the-top reservation)</t>
  </si>
  <si>
    <t>Starship launches per year (Lunar/Mars)</t>
  </si>
  <si>
    <t>VEHICLE PHYSICAL PARAMETERS (F9 + Starship payload + cadence)</t>
  </si>
  <si>
    <t>F9 annual cadence per booster in service</t>
  </si>
  <si>
    <t>Starship BOOSTER cadence per vehicle in service</t>
  </si>
  <si>
    <t>Starship SHIP cadence per vehicle in service</t>
  </si>
  <si>
    <t>F9 launches per year</t>
  </si>
  <si>
    <t>Starship launches per year</t>
  </si>
  <si>
    <t>Total launch capacity (kg)</t>
  </si>
  <si>
    <t>Vehicle Build CapEx ($mm)</t>
  </si>
  <si>
    <t>Memo: Σ module owned launch CapEx (all modules)</t>
  </si>
  <si>
    <t>Memo: fleet CapEx conservation (engine − Σ module; must = 0)</t>
  </si>
  <si>
    <t>Starship manufacturing cost per stack ($mm)</t>
  </si>
  <si>
    <t>Booster mfg per stack ($mm)</t>
  </si>
  <si>
    <t>Ship mfg per stack ($mm)</t>
  </si>
  <si>
    <t>Starship ops + fuel per launch ($mm)</t>
  </si>
  <si>
    <t>Starship booster refurb per flight ($mm)</t>
  </si>
  <si>
    <t>Starship ship refurb per flight ($mm)</t>
  </si>
  <si>
    <t>Starship amortized mfg per launch, fully reusable ($mm)</t>
  </si>
  <si>
    <t>Starship at-cost rate, fully reusable ($mm/launch)</t>
  </si>
  <si>
    <t>Starship at-cost rate, expendable ship / reusable booster ($mm/launch)</t>
  </si>
  <si>
    <t>Starship at-cost rate, fully expendable ($mm/launch)</t>
  </si>
  <si>
    <t>Starship payload, fully reusable (kg)</t>
  </si>
  <si>
    <t>Starship payload, expendable ship (kg)</t>
  </si>
  <si>
    <t>Starship payload, fully expendable (kg)</t>
  </si>
  <si>
    <t>Starship $/kg, fully reusable</t>
  </si>
  <si>
    <t>Starship $/kg, expendable ship</t>
  </si>
  <si>
    <t>Starship $/kg, fully expendable</t>
  </si>
  <si>
    <t>Starship build cost ($mm/stack)</t>
  </si>
  <si>
    <t>Cum Starship upmass (fleet, end-of-year, kg)</t>
  </si>
  <si>
    <t>Boosters needed (fleet)</t>
  </si>
  <si>
    <t>Boosters built (fleet)</t>
  </si>
  <si>
    <t>Booster fleet BoY (units)</t>
  </si>
  <si>
    <t>Boosters retired (fleet)</t>
  </si>
  <si>
    <t>Booster fleet EoY (units)</t>
  </si>
  <si>
    <t>F9 boosters built per year</t>
  </si>
  <si>
    <t>F9 boosters retired per year</t>
  </si>
  <si>
    <t>F9 fleet BoY (boosters)</t>
  </si>
  <si>
    <t>F9 fleet EoY (boosters)</t>
  </si>
  <si>
    <t>F9 launch capacity (launches/yr)</t>
  </si>
  <si>
    <t>Total launch kg demand year N+1 (fleet)</t>
  </si>
  <si>
    <t>Memo: F9 internal launches (Starlink-driven)</t>
  </si>
  <si>
    <t>Memo: F9 customer launches (Customer Launch)</t>
  </si>
  <si>
    <t>Memo: Total F9 launches (internal + customer)</t>
  </si>
  <si>
    <t>Memo: F9 launch capacity (launches/yr)</t>
  </si>
  <si>
    <t>Memo: Total mass to orbit (mt)</t>
  </si>
  <si>
    <t>Ships needed (fleet)</t>
  </si>
  <si>
    <t>Ships built (fleet)</t>
  </si>
  <si>
    <t>Ship fleet BoY (units)</t>
  </si>
  <si>
    <t>Ships retired (fleet)</t>
  </si>
  <si>
    <t>Ship fleet EoY (units)</t>
  </si>
  <si>
    <t>Booster build CapEx ($mm)</t>
  </si>
  <si>
    <t>Ship build CapEx ($mm)</t>
  </si>
  <si>
    <t>Total Starship build CapEx ($mm)</t>
  </si>
  <si>
    <t>Memo: launch/vehicle facility CapEx (from Facilities Build)</t>
  </si>
  <si>
    <t>Memo: total launch + facility CapEx</t>
  </si>
  <si>
    <t>▸ SATELLITE-MFG FACILITY ENGINE (Redmond)</t>
  </si>
  <si>
    <t>Sat-factory capacity ratio</t>
  </si>
  <si>
    <t>New sat-factory CapEx this year ($mm)</t>
  </si>
  <si>
    <t>Ground stations built this year</t>
  </si>
  <si>
    <t>Ground station CapEx this year ($mm)</t>
  </si>
  <si>
    <t>Sat-mfg facility CapEx total ($mm)  ◄ Starlink</t>
  </si>
  <si>
    <t>Sat-mfg facility D&amp;A ($mm)  ◄ Starlink</t>
  </si>
  <si>
    <t>Ships built this year (= Vehicle Build Ships built (fleet), unified)</t>
  </si>
  <si>
    <t>New Gigabay CapEx this year ($mm)</t>
  </si>
  <si>
    <t>Engines demanded this year (= ships × engines/vehicle)</t>
  </si>
  <si>
    <t>New engine-facility CapEx this year ($mm)</t>
  </si>
  <si>
    <t>Launch pads needed (= Starship launches ÷ launches/pad)</t>
  </si>
  <si>
    <t>New launch-pad CapEx this year ($mm)</t>
  </si>
  <si>
    <t>Launch/vehicle facility CapEx total ($mm)  ◄ launch/vehicle</t>
  </si>
  <si>
    <t>Launch/vehicle facility D&amp;A total ($mm)  ◄ launch/vehicle</t>
  </si>
  <si>
    <t>New terminal-factory CapEx this year ($mm) × toggle</t>
  </si>
  <si>
    <t>Terminal facility D&amp;A ($mm) × toggle  ◄ Starlink</t>
  </si>
  <si>
    <t>▸ HQ FACILITY (CORPORATE → GROUP)</t>
  </si>
  <si>
    <t>HQ facility CapEx ($mm)  ◄ Group P&amp;L</t>
  </si>
  <si>
    <t>HQ facility D&amp;A ($mm)  ◄ Group P&amp;L</t>
  </si>
  <si>
    <t>▸ CONSERVATION + CALIBRATION</t>
  </si>
  <si>
    <t>Total facility CapEx ($mm) = sat-mfg + launch/vehicle + terminal + HQ</t>
  </si>
  <si>
    <t>Top-down sanity: Total facility CapEx vs S-1 2025 SpaceX capex $8,000M (must be a fraction)</t>
  </si>
  <si>
    <t>Starfactory CapEx this year ($mm)</t>
  </si>
  <si>
    <t>Starfactory D&amp;A ($mm)</t>
  </si>
  <si>
    <t>Boosters built this year (= Vehicle Build Boosters built (fleet))</t>
  </si>
  <si>
    <t>Total Starship airframes built (booster + ship)</t>
  </si>
  <si>
    <t>Starlink</t>
  </si>
  <si>
    <t>▸ REVENUE ($mm)</t>
  </si>
  <si>
    <t>less inter-module eliminations</t>
  </si>
  <si>
    <t>Group Revenue ($mm)</t>
  </si>
  <si>
    <t>▸ COGS ($mm)</t>
  </si>
  <si>
    <t>Group COGS ($mm)</t>
  </si>
  <si>
    <t>▸ GROSS PROFIT ($mm)</t>
  </si>
  <si>
    <t>Group Gross Profit ($mm)</t>
  </si>
  <si>
    <t>Total Module OpEx ($mm)</t>
  </si>
  <si>
    <t>▸ R&amp;D ($mm)</t>
  </si>
  <si>
    <t>Total R&amp;D ($mm)</t>
  </si>
  <si>
    <t>▸ CORPORATE OpEx ($mm)</t>
  </si>
  <si>
    <t>Corporate SG&amp;A</t>
  </si>
  <si>
    <t>Spectrum licence fee</t>
  </si>
  <si>
    <t>Total corporate OpEx ($mm)</t>
  </si>
  <si>
    <t>Group EBITDA ($mm)</t>
  </si>
  <si>
    <t>▸ D&amp;A ($mm)</t>
  </si>
  <si>
    <t>Group D&amp;A ($mm)</t>
  </si>
  <si>
    <t>Group EBIT ($mm)</t>
  </si>
  <si>
    <t>▸ TAXES &amp; NOPAT ($mm)</t>
  </si>
  <si>
    <t>Group Taxes ($mm)</t>
  </si>
  <si>
    <t>NOPAT ($mm)</t>
  </si>
  <si>
    <t>▸ CAPEX ($mm)</t>
  </si>
  <si>
    <t>Memo: Engine cash Group FCF ($mm)</t>
  </si>
  <si>
    <t>Internal bandwidth eliminated, ODC→Starlink</t>
  </si>
  <si>
    <t>Internal compute eliminated, ODC→AI</t>
  </si>
  <si>
    <t>Total inter-module eliminations ($mm)</t>
  </si>
  <si>
    <t>▸ DIAGNOSTIC: 2025 vs Q4'25 anchors (narrow-gate, non-halt)</t>
  </si>
  <si>
    <t>Memo: Group FCF 2025 variance vs $3,670M</t>
  </si>
  <si>
    <t>Revenue tie</t>
  </si>
  <si>
    <t>EBITDA foot</t>
  </si>
  <si>
    <t>Accrual↔cash FCF reconciliation</t>
  </si>
  <si>
    <t>FCF foot vs NOPAT+D&amp;A−CapEx walk</t>
  </si>
  <si>
    <t>Elimination conservation (Rule 21)</t>
  </si>
  <si>
    <t>ALL OK (R108-equivalent)</t>
  </si>
  <si>
    <t>Memo: Σ Group FCF cumulative (Rule 23 yr-chained)</t>
  </si>
  <si>
    <t>Legacy V1 base deorbit start year</t>
  </si>
  <si>
    <t>Legacy V1 base deorbit end year</t>
  </si>
  <si>
    <t>Legacy V1.5 base deorbit start year</t>
  </si>
  <si>
    <t>Legacy V1.5 base deorbit end year</t>
  </si>
  <si>
    <t>V2 Mini BB base deorbit start year</t>
  </si>
  <si>
    <t>V2 Mini BB base deorbit end year</t>
  </si>
  <si>
    <t>V2 DTC base deorbit start year</t>
  </si>
  <si>
    <t>V2 DTC base deorbit end year</t>
  </si>
  <si>
    <t>Launch-pacing year (apply caps in this year only)</t>
  </si>
  <si>
    <t>F9 Starlink launches YTD in pacing year (actual)</t>
  </si>
  <si>
    <t>Months elapsed in pacing year (for annualization)</t>
  </si>
  <si>
    <t>Starship pre-build buffer multiple (x)</t>
  </si>
  <si>
    <t>Starship payload for pre-build sizing (kg)</t>
  </si>
  <si>
    <t>Starship booster cadence for pre-build sizing (flights/yr)</t>
  </si>
  <si>
    <t>needs MC</t>
  </si>
  <si>
    <t>Hours per year (AI/Compute utilization)</t>
  </si>
  <si>
    <t>Sat solar generation (W)</t>
  </si>
  <si>
    <t>Effective Compute Ratio (ratio)</t>
  </si>
  <si>
    <t>AI-C</t>
  </si>
  <si>
    <t>Thermal system $/kg</t>
  </si>
  <si>
    <t>Comms ISL set $/sat</t>
  </si>
  <si>
    <t>ADCS+avionics $/sat</t>
  </si>
  <si>
    <t>Integration &amp; Test $/sat</t>
  </si>
  <si>
    <t>LR subsystems (learning rate, per doubling)</t>
  </si>
  <si>
    <t>Wright's Law anchor cum sats</t>
  </si>
  <si>
    <t>Wright's Law floor pct (of base subsystem cost)</t>
  </si>
  <si>
    <t>GPU effective-capacity degradation (per yr)</t>
  </si>
  <si>
    <t>Chip cost basis ($/TFLOPS, gen anchor @2025)</t>
  </si>
  <si>
    <t>Next-gen R&amp;D uplift (peak, × extra R&amp;D at gen jump)</t>
  </si>
  <si>
    <t>Gbps per GWh/yr</t>
  </si>
  <si>
    <t>BB-share of bandwidth (ratio)</t>
  </si>
  <si>
    <t>BB pool at-cost $/Gbps/yr</t>
  </si>
  <si>
    <t>DTC pool at-cost $/Gbps/yr</t>
  </si>
  <si>
    <t>Ground/network opex pct rev</t>
  </si>
  <si>
    <t>ODC insurance pct rev</t>
  </si>
  <si>
    <t>ODC other COGS pct rev</t>
  </si>
  <si>
    <t>Terrestrial $/MW build</t>
  </si>
  <si>
    <t>AI Apps CAC ($/customer)</t>
  </si>
  <si>
    <t>AI Stack insurance pct rev</t>
  </si>
  <si>
    <t>AI Stack other COGS pct rev</t>
  </si>
  <si>
    <t>AI Apps GPU-hr per trillion tokens</t>
  </si>
  <si>
    <t>AI Apps tokens-per-query intensity CAGR</t>
  </si>
  <si>
    <t>ODC R&amp;D start pct</t>
  </si>
  <si>
    <t>ODC R&amp;D floor pct</t>
  </si>
  <si>
    <t>ODC R&amp;D CAGR</t>
  </si>
  <si>
    <t>ODC pre-launch R&amp;D ($mm/yr, 2025-27)</t>
  </si>
  <si>
    <t>AI Stack R&amp;D start pct</t>
  </si>
  <si>
    <t>AI Stack R&amp;D floor pct</t>
  </si>
  <si>
    <t>AI Stack R&amp;D CAGR</t>
  </si>
  <si>
    <t>Terafab R&amp;D start pct</t>
  </si>
  <si>
    <t>Terafab R&amp;D floor pct</t>
  </si>
  <si>
    <t>Terafab R&amp;D CAGR</t>
  </si>
  <si>
    <t>AI-C R&amp;D</t>
  </si>
  <si>
    <t>Terafab toggle (1=NVIDIA-parity ON, 0=buy NVIDIA, 0.5=blend)</t>
  </si>
  <si>
    <t>discrete {0, 0.5, 1}</t>
  </si>
  <si>
    <t>Terafab fab CapEx (blended all-in $/wspm)</t>
  </si>
  <si>
    <t>Terafab capacity per fab phase (wspm/phase)</t>
  </si>
  <si>
    <t>Terafab fab useful life (depreciation, years)</t>
  </si>
  <si>
    <t>Terafab good chips per wspm per yr</t>
  </si>
  <si>
    <t>Terafab fab construction window (years)</t>
  </si>
  <si>
    <t>Terafab production cost frac (chip at-cost, → DC CapEx)</t>
  </si>
  <si>
    <t>FAB ◄ Facilities Build (chip-fab, A4)</t>
  </si>
  <si>
    <t>FAB ◄ Facilities Build (chip-fab, A4). Cam Low=High; structural.</t>
  </si>
  <si>
    <t>AI-C ◄ AI-Compute DC CapEx; confirm ex-fab-D&amp;A basis in A4 (double-count gate)</t>
  </si>
  <si>
    <t>Chip TDP per chip (W)</t>
  </si>
  <si>
    <t>Chip FP8 per chip (TFLOPS)</t>
  </si>
  <si>
    <t>GPU-hr price ($/GPU-hr)</t>
  </si>
  <si>
    <t>Utilization (%)</t>
  </si>
  <si>
    <t>Launch cost ($mm/launch)</t>
  </si>
  <si>
    <t>Power cost ($/kWh)</t>
  </si>
  <si>
    <t>Memo: ODC first deployment year (anchor)</t>
  </si>
  <si>
    <t>Sats added (target)</t>
  </si>
  <si>
    <t>Chips per sat</t>
  </si>
  <si>
    <t>Subsystem cost pre-WL ($/sat)</t>
  </si>
  <si>
    <t>Sats per Starship launch</t>
  </si>
  <si>
    <t>Cumulative sats (target, WL)</t>
  </si>
  <si>
    <t>Wright's Law multiplier</t>
  </si>
  <si>
    <t>Subsystem cost w/ WL ($/sat)</t>
  </si>
  <si>
    <t>Chip cost at-cost ($/sat)</t>
  </si>
  <si>
    <t>Sat total cost ($mm/sat)</t>
  </si>
  <si>
    <t>Launch cost per sat ($mm)</t>
  </si>
  <si>
    <t>Sats fundable from cash</t>
  </si>
  <si>
    <t>Sats fundable from launch kg</t>
  </si>
  <si>
    <t>Sat retirements (5y cohort)</t>
  </si>
  <si>
    <t>Sats deployed (actual)</t>
  </si>
  <si>
    <t>Active sat fleet (EoY)</t>
  </si>
  <si>
    <t>Chips deployed (count)</t>
  </si>
  <si>
    <t>Billable H100-eq GPU-hrs/sat</t>
  </si>
  <si>
    <t>Revenue per sat ($mm/yr, incl orbital PUE)</t>
  </si>
  <si>
    <t>Fleet gross compute revenue ($mm)</t>
  </si>
  <si>
    <t>Internal compute share</t>
  </si>
  <si>
    <t>Launch services cost ($mm)</t>
  </si>
  <si>
    <t>Fleet energy (GWh/yr)</t>
  </si>
  <si>
    <t>Gbps demand</t>
  </si>
  <si>
    <t>Bandwidth cost ($mm)</t>
  </si>
  <si>
    <t>Ground/network cost ($mm)</t>
  </si>
  <si>
    <t>R&amp;D % of revenue</t>
  </si>
  <si>
    <t>Chip purchase internal ($mm)</t>
  </si>
  <si>
    <t>Kg demand year N (kg)</t>
  </si>
  <si>
    <t>External revenue ($mm)</t>
  </si>
  <si>
    <t>COGS ($mm)</t>
  </si>
  <si>
    <t xml:space="preserve">  Launch services</t>
  </si>
  <si>
    <t xml:space="preserve">  Bandwidth</t>
  </si>
  <si>
    <t xml:space="preserve">  Ground / network</t>
  </si>
  <si>
    <t>OpEx ($mm)</t>
  </si>
  <si>
    <t>D&amp;A ($mm)</t>
  </si>
  <si>
    <t>Running cost (COGS+OpEx) ($mm)</t>
  </si>
  <si>
    <t>Fully-allocated cost ($mm)</t>
  </si>
  <si>
    <t>Internal transfer revenue ($mm)</t>
  </si>
  <si>
    <t>Total revenue ($mm)</t>
  </si>
  <si>
    <t>EBIT ($mm)</t>
  </si>
  <si>
    <t>CapEx - sat fleet incl chips ($mm)</t>
  </si>
  <si>
    <t>Chip purchases (internal transfer) ($mm)</t>
  </si>
  <si>
    <t>FCF ($mm)</t>
  </si>
  <si>
    <t>Margin per sat per yr ($mm)</t>
  </si>
  <si>
    <t>CapEx slug per sat ($mm)</t>
  </si>
  <si>
    <t>Spot IRR</t>
  </si>
  <si>
    <t>Starship launches per year (ODC-driven)</t>
  </si>
  <si>
    <t>MW added</t>
  </si>
  <si>
    <t>GPUs added (count)</t>
  </si>
  <si>
    <t>Internal share</t>
  </si>
  <si>
    <t>Effective compute (H100-eq, vintage-locked)</t>
  </si>
  <si>
    <t>Billable H100-eq GPU-hrs</t>
  </si>
  <si>
    <t>Gross compute revenue ($mm)</t>
  </si>
  <si>
    <t>CapEx - facility + chips ($mm)</t>
  </si>
  <si>
    <t>Margin per MW per yr ($mm)</t>
  </si>
  <si>
    <t>CapEx slug per MW ($mm)</t>
  </si>
  <si>
    <t>Paying customers (M)</t>
  </si>
  <si>
    <t>Net-new customers (M)</t>
  </si>
  <si>
    <t>S&amp;M - customer acquisition ($mm)</t>
  </si>
  <si>
    <t>CapEx ($mm)</t>
  </si>
  <si>
    <t>Total AI-stack tokens (T)</t>
  </si>
  <si>
    <t>GPU-hrs required (H100-eq)</t>
  </si>
  <si>
    <t>Total DC compute available (GPU-hrs)</t>
  </si>
  <si>
    <t>AI Apps served (GPU-hrs, capped)</t>
  </si>
  <si>
    <t>AI Apps share of DC compute</t>
  </si>
  <si>
    <t>Net margin per customer (excl CAC) ($)</t>
  </si>
  <si>
    <t>CAC slug per customer ($)</t>
  </si>
  <si>
    <t>▸ MODULE ROLL-UP (consolidated; external rev only; internal compute transfer eliminated; Terafab off-tab → A4/A5)</t>
  </si>
  <si>
    <t>Roll-up Revenue (external, consol)</t>
  </si>
  <si>
    <t>Roll-up COGS (consol)</t>
  </si>
  <si>
    <t>Roll-up Gross Profit</t>
  </si>
  <si>
    <t>Roll-up Gross margin %</t>
  </si>
  <si>
    <t>Roll-up Module OpEx</t>
  </si>
  <si>
    <t>Roll-up Attributed R&amp;D</t>
  </si>
  <si>
    <t>Roll-up D&amp;A</t>
  </si>
  <si>
    <t>Roll-up Module EBIT</t>
  </si>
  <si>
    <t>Roll-up Module CapEx</t>
  </si>
  <si>
    <t>Roll-up Module FCF</t>
  </si>
  <si>
    <t>Roll-up Kg demand year N+1</t>
  </si>
  <si>
    <t>Roll-up Starship launches per year (ODC-driven)</t>
  </si>
  <si>
    <t>Roll-up Owned launch-vehicle CapEx ($mm)</t>
  </si>
  <si>
    <t>Compute transfer: DC internal rev − AI Apps COGS (=0)</t>
  </si>
  <si>
    <t>FCF identity: (EBIT + D&amp;A − CapEx) − FCF (=0)</t>
  </si>
  <si>
    <t>AI - Compute</t>
  </si>
  <si>
    <t>COGS</t>
  </si>
  <si>
    <t>Active-gen BB Spot IRR (prior yr)</t>
  </si>
  <si>
    <t>Active-gen DTC Spot IRR (prior yr)</t>
  </si>
  <si>
    <t>exp(β·IRR) BB</t>
  </si>
  <si>
    <t>exp(β·IRR) DTC</t>
  </si>
  <si>
    <t>Active-gen BB CapEx slug ($mm/sat)</t>
  </si>
  <si>
    <t>Active-gen DTC CapEx slug ($mm/sat)</t>
  </si>
  <si>
    <t>Cash → BB ($mm)</t>
  </si>
  <si>
    <t>Cash → DTC ($mm)</t>
  </si>
  <si>
    <t>Desired BB sats (pre-cap)</t>
  </si>
  <si>
    <t>Desired DTC sats (pre-cap)</t>
  </si>
  <si>
    <t>Total desired sats (pre-cap)</t>
  </si>
  <si>
    <t>Cap scale factor (≤1, pro-rata)</t>
  </si>
  <si>
    <t>Final BB sats</t>
  </si>
  <si>
    <t>Final DTC sats</t>
  </si>
  <si>
    <t>▸ CHIP-FAB FACILITY ENGINE (Terafab)</t>
  </si>
  <si>
    <t>Chips demanded this year (count)  ◄ AI-Compute</t>
  </si>
  <si>
    <t>Required fab capacity (wspm)</t>
  </si>
  <si>
    <t>New fab capacity added (wspm)</t>
  </si>
  <si>
    <t>Fab slug cost (online-year, $mm)</t>
  </si>
  <si>
    <t>Chip-fab facility CapEx total ($mm)  ◄ AI-Compute</t>
  </si>
  <si>
    <t>Chip-fab facility D&amp;A total ($mm)  ◄ AI-Compute</t>
  </si>
  <si>
    <t>Conservation: fab chips − DC chips×toggle; must = 0</t>
  </si>
  <si>
    <t>Memo: DC chips deployed (ODC R55 + Terr R94)</t>
  </si>
  <si>
    <t>Top-down sanity ex-chip-fab: (Total − chip-fab) vs S-1 2025 capex</t>
  </si>
  <si>
    <t>Terafab R&amp;D % of chip-supply (glide)</t>
  </si>
  <si>
    <t>Terafab chip-supply R&amp;D ($mm) → roll-up R&amp;D</t>
  </si>
  <si>
    <t>Boundary tie: 'Facilities Build' chips − (ODC R55 + Terr R94)×toggle; must = 0</t>
  </si>
  <si>
    <t>Memo: full JV fab CapEx (100%, pre-share) ($mm)</t>
  </si>
  <si>
    <t>Memo: Tesla-funded fab CapEx ((1−share)) ($mm)</t>
  </si>
  <si>
    <t>AI Apps attributed compute capital per sub ($)</t>
  </si>
  <si>
    <t>AI Apps subs (M)</t>
  </si>
  <si>
    <t>AI Apps revenue ($mm)</t>
  </si>
  <si>
    <t>AI Apps tokens (T)</t>
  </si>
  <si>
    <t>Demand-vs-supply CHECK (not a cap)</t>
  </si>
  <si>
    <t>Memo: roll-up margin per GPU-hr ($mm)</t>
  </si>
  <si>
    <t>Memo: roll-up cumulative CapEx ($mm)</t>
  </si>
  <si>
    <t>Memo: roll-up capex slug per GPU-hr ($mm)</t>
  </si>
  <si>
    <t>Memo: roll-up blended life L (yrs)</t>
  </si>
  <si>
    <t>Roll-up Spot marginal IRR (external, consol)</t>
  </si>
  <si>
    <t>Memo: within-AI share sum (=1)</t>
  </si>
  <si>
    <t>Desired cash → ODC ($mm)</t>
  </si>
  <si>
    <t>Desired cash → Terrestrial ($mm)</t>
  </si>
  <si>
    <t>Allocated cash → ODC ($mm)</t>
  </si>
  <si>
    <t>Allocated cash → Terrestrial ($mm)</t>
  </si>
  <si>
    <t>Memo: chip-supply check (soft)</t>
  </si>
  <si>
    <t>Carve-out IRR-response start year</t>
  </si>
  <si>
    <t>Carve-out IRR-response high-IRR anchor (base % at/above)</t>
  </si>
  <si>
    <t>Carve-out IRR-response low-IRR anchor (ceiling % at/below)</t>
  </si>
  <si>
    <t>Carve-out IRR-response ceiling % (max carve-out at low anchor)</t>
  </si>
  <si>
    <t>Carve-out IRR-response ramp [0,1]</t>
  </si>
  <si>
    <t>Carve-out effective % (IRR-responsive)</t>
  </si>
  <si>
    <t>GPU-hr price CAGR</t>
  </si>
  <si>
    <t>Power cost CAGR</t>
  </si>
  <si>
    <t>Terrestrial facility cost CAGR</t>
  </si>
  <si>
    <t>Lunar/Mars carve-out pre-first-mission-year R&amp;D-only override ($mm/yr)</t>
  </si>
  <si>
    <t>Annual escalator rate (derived, year-row)</t>
  </si>
  <si>
    <t>External compute 2025 seed (M H100-eq GPU)</t>
  </si>
  <si>
    <t>Compute build headroom buffer (frac)</t>
  </si>
  <si>
    <t>External compute demand (GPU-hrs, H100-eq)</t>
  </si>
  <si>
    <t>Total compute demand (GPU-hrs)</t>
  </si>
  <si>
    <t>Required installed compute w/ buffer (GPU-hrs)</t>
  </si>
  <si>
    <t>Memo: Total-demand-vs-supply CHECK</t>
  </si>
  <si>
    <t>MW retirements (15y cohort)</t>
  </si>
  <si>
    <t>GPU retirements (15y cohort)</t>
  </si>
  <si>
    <t>Memo: Terr MW demand-implied (pre-cash)</t>
  </si>
  <si>
    <t>MW fleet (EoY, 15y cohort)</t>
  </si>
  <si>
    <t>GPU fleet (EoY, 15y cohort)</t>
  </si>
  <si>
    <t>Demand-buildable CapEx ($mm)</t>
  </si>
  <si>
    <t>ODC target fleet (sats, demand-share)</t>
  </si>
  <si>
    <t>Terr target MW (demand-share)</t>
  </si>
  <si>
    <t>ODC demand-buildable CapEx ($mm)</t>
  </si>
  <si>
    <t>Terr demand-buildable CapEx ($mm)</t>
  </si>
  <si>
    <t>Chip FP8 density CAGR (post-2030)</t>
  </si>
  <si>
    <t>Chip TDP CAGR (post-2027, W/chip)</t>
  </si>
  <si>
    <t>Chip cost-per-TFLOPS decline rate g (per-FLOP, A8.2)</t>
  </si>
  <si>
    <t>AI compute demand-curve elasticity b</t>
  </si>
  <si>
    <t>Memo: Demand dampener (price-at-Q, =MIN(1,(demand/supply)^b))</t>
  </si>
  <si>
    <t>Memo: Realized $/GPU-hr (base × dampener)</t>
  </si>
  <si>
    <t>As-of valuation dates →</t>
  </si>
  <si>
    <t>WACC (Group)</t>
  </si>
  <si>
    <t>Terminal growth g</t>
  </si>
  <si>
    <t>Terminal FCF avg window (yrs, =5)</t>
  </si>
  <si>
    <t>Lunar/Mars BV multiplier</t>
  </si>
  <si>
    <t>(by module)</t>
  </si>
  <si>
    <t>NormTermFCF(5y)</t>
  </si>
  <si>
    <t>Gordon TV</t>
  </si>
  <si>
    <t>Exit mult</t>
  </si>
  <si>
    <t>Exit-mult TV</t>
  </si>
  <si>
    <t>Customer Launch</t>
  </si>
  <si>
    <t>Corporate</t>
  </si>
  <si>
    <t>n/a (cost centre)</t>
  </si>
  <si>
    <t>(cols C:F = as-of)</t>
  </si>
  <si>
    <t>Lunar / Mars (BV×mult)</t>
  </si>
  <si>
    <t>Spread (Exit − Gordon)</t>
  </si>
  <si>
    <t>Spread %</t>
  </si>
  <si>
    <t>Memo: explicit-DCF of Group FCF incl L/M (no TV)</t>
  </si>
  <si>
    <t>Memo: explicit-DCF of SoTP modules (SL+CL+AI+Corp)</t>
  </si>
  <si>
    <t>Memo: PV of L/M FCF drain embedded in Group FCF</t>
  </si>
  <si>
    <t>Memo: L/M strategic premium over cash-drain PV</t>
  </si>
  <si>
    <t>▸ COMPARABLES CROSS-CHECK ($B)</t>
  </si>
  <si>
    <t>Σ standalone analyst anchors (SL+AI+CL+AIStack+L/M)</t>
  </si>
  <si>
    <t>Model (Gordon) vs MS</t>
  </si>
  <si>
    <t>Model (Gordon) vs Brant</t>
  </si>
  <si>
    <t>Helper: Σ NormTermFCF (SL+CL+AI+Corp) $mm</t>
  </si>
  <si>
    <t>g ＼ WACC →</t>
  </si>
  <si>
    <t>▸ CHECKS (Rule 4/5/15)</t>
  </si>
  <si>
    <t>WACC&gt;g (1=OK; HALT if 0)</t>
  </si>
  <si>
    <t>Explicit-PV tie (subtotal vs Σ modules) = 0</t>
  </si>
  <si>
    <t>Total desired launch kg</t>
  </si>
  <si>
    <t>Terafab facility cap ($mm)</t>
  </si>
  <si>
    <t>Terafab facility interest rate (annual)</t>
  </si>
  <si>
    <t>Minimum cash buffer ($mm)</t>
  </si>
  <si>
    <t>FCF repayment sweep (% of excess FCF)</t>
  </si>
  <si>
    <t>Terafab facility repaid-by year</t>
  </si>
  <si>
    <t>Terafab facility draw-window end year</t>
  </si>
  <si>
    <t>S-1/A bridge sizing; MC-variable cap.</t>
  </si>
  <si>
    <t>S-1/A effective 4.58%; rate-environment range.</t>
  </si>
  <si>
    <t>Min cash buffer; liquidity-policy range.</t>
  </si>
  <si>
    <t>FCF sweep share; repayment-aggressiveness range.</t>
  </si>
  <si>
    <t>Repaid-by backstop year; discrete MC.</t>
  </si>
  <si>
    <t>Terafab CapEx to fund ($mm)</t>
  </si>
  <si>
    <t>Facility draw ($mm)</t>
  </si>
  <si>
    <t>Facility interest ($mm)</t>
  </si>
  <si>
    <t>Facility repayment ($mm)</t>
  </si>
  <si>
    <t>Facility balance EoY ($mm)</t>
  </si>
  <si>
    <t>Memo: cumulative draws ($mm)</t>
  </si>
  <si>
    <t>Memo: cumulative repayments ($mm)</t>
  </si>
  <si>
    <t>Conservation: Σdraw − Σrepay − balance (must = 0)</t>
  </si>
  <si>
    <t>Memo: cumulative (Start+ΣIPO+ΣBridge+ΣFCF+Facility net) ($mm)</t>
  </si>
  <si>
    <t>▸ LUNAR/MARS BRIDGE &amp; GROUP-FCF RECON (memo, as-of 2026)</t>
  </si>
  <si>
    <t>Memo: L/M SoTP (BV-based, as-of 2026)</t>
  </si>
  <si>
    <t>DF as-of2026 @2026 = 1.000</t>
  </si>
  <si>
    <t>Flag: rev-module SoTP&lt;0, as-of2026 Gordon (cnt, expect 0)</t>
  </si>
  <si>
    <t>Flag: rev-module SoTP&lt;0, as-of2026 Exit (cnt, expect 0)</t>
  </si>
  <si>
    <t>Memo: Group EV as-of2026 Gordon $B</t>
  </si>
  <si>
    <t>Memo: Group EV as-of2026 Exit $B</t>
  </si>
  <si>
    <t>Cum Starship ships built (cumulative, from 0)</t>
  </si>
  <si>
    <t>Cum Starship ships retired (cumulative, from 0)</t>
  </si>
  <si>
    <t>Cum Starship boosters built (cumulative, from 0)</t>
  </si>
  <si>
    <t>Cum Starship boosters retired (cumulative, from 0)</t>
  </si>
  <si>
    <t>Memo: ship fleet reconciliation ((cum built − cum retired) − Ship fleet EoY; must = 0)</t>
  </si>
  <si>
    <t>Memo: booster fleet reconciliation ((cum built − cum retired) − Booster fleet EoY; must = 0)</t>
  </si>
  <si>
    <t>DTC TAM uplift ramp-end (yrs from 2025)</t>
  </si>
  <si>
    <t>DTC TAM uplift multiplier (Starlink Mobile, derived year-row)</t>
  </si>
  <si>
    <t>BB TAM uplift ramp-end (yrs from 2025)</t>
  </si>
  <si>
    <t>BB TAM uplift multiplier (data-intensity, derived year-row)</t>
  </si>
  <si>
    <t>Total desired upmass kg (fleet, current yr)  ◄ Cash Allocation Engine</t>
  </si>
  <si>
    <t>Memo: F9 available capacity (kg)</t>
  </si>
  <si>
    <t>Desired Starship launches (current yr)</t>
  </si>
  <si>
    <t>Gigabay installed Starship build capacity (ships/yr)  ◄ Assumptions</t>
  </si>
  <si>
    <t>Max Starship build-capacity added per year (ships/yr)</t>
  </si>
  <si>
    <t>Starship build-capacity ceiling (ships/yr)</t>
  </si>
  <si>
    <t>New Starship build-capacity added (ships/yr)</t>
  </si>
  <si>
    <t>AI orbital compute TAM ceiling (M H100-eq GPU)</t>
  </si>
  <si>
    <t>AI orbital compute adoption steepness k</t>
  </si>
  <si>
    <t>Terrestrial training carve-out (% of prior-yr AI revenue)</t>
  </si>
  <si>
    <t>Corporate, IT &amp; HQ CapEx (% of Group revenue)</t>
  </si>
  <si>
    <t>Launch-site infra CapEx ($mm per annual launch of capacity)</t>
  </si>
  <si>
    <t>Starlink ground-network CapEx (% of Starlink revenue)</t>
  </si>
  <si>
    <t>Infrastructure useful life (years)</t>
  </si>
  <si>
    <t>Terminal kits per net subscriber add</t>
  </si>
  <si>
    <t>Terminal replacement rate (% installed/yr)</t>
  </si>
  <si>
    <t>Corporate, IT &amp; HQ CapEx ($mm)</t>
  </si>
  <si>
    <t>Launch-infra capacity installed (launches/yr)</t>
  </si>
  <si>
    <t>Launch-site infrastructure CapEx ($mm)</t>
  </si>
  <si>
    <t>Starlink ground-network CapEx ($mm)</t>
  </si>
  <si>
    <t>Corporate &amp; infrastructure CapEx total ($mm)</t>
  </si>
  <si>
    <t>Corporate &amp; infrastructure D&amp;A total ($mm)</t>
  </si>
  <si>
    <t>ODC power density ramp-end year</t>
  </si>
  <si>
    <t>Chip perf-per-watt anchor 2025 (TFLOPS/W)</t>
  </si>
  <si>
    <t>Chip perf-per-watt CAGR (/yr)</t>
  </si>
  <si>
    <t>▸ TERMINAL VALUE @2040 (both methods, $mm)</t>
  </si>
  <si>
    <t>Helper: L/M BV×mult @2040 (undiscounted) $mm</t>
  </si>
  <si>
    <t>DF as-of2040 @2040 = 1.000</t>
  </si>
  <si>
    <t>ODC sat-factory CapEx ($mm per sat/yr of capacity)</t>
  </si>
  <si>
    <t>ODC sat-mfg facility CapEx ($mm)  ◄ infra/Group</t>
  </si>
  <si>
    <t>n/a (2040 horizon edge)</t>
  </si>
  <si>
    <t>Negative taper: G&amp;A % falls at scale (reversed from +1%/yr drift).</t>
  </si>
  <si>
    <t>Re-anchored to S-1 ~5.3% (was 8%). Now tapers via B261/B262.</t>
  </si>
  <si>
    <t>Network operations ($mm)</t>
  </si>
  <si>
    <t>Memo: cum launch-site infra CapEx ($mm)</t>
  </si>
  <si>
    <t>Memo: cum active launch vehicles (F9 + Starship)</t>
  </si>
  <si>
    <t>Memo: launch-infra allocable per vehicle ($mm)</t>
  </si>
  <si>
    <t>Starship payload ramp plateau year</t>
  </si>
  <si>
    <t>Lunar+Mars Net Book Value ($mm)</t>
  </si>
  <si>
    <t>(retired)</t>
  </si>
  <si>
    <t>Module OpEx total (incl. R&amp;D) ($mm)</t>
  </si>
  <si>
    <t>▸ EBITDA → EBIT (R&amp;D is in Module OpEx above; only D&amp;A below)</t>
  </si>
  <si>
    <t>▸ SoTP EV/EBITDA multiples (terminal, at horizon)</t>
  </si>
  <si>
    <t>EV/EBITDA mult</t>
  </si>
  <si>
    <t>EBITDA @2040 ($mm)</t>
  </si>
  <si>
    <t>EBITDA-mult TV</t>
  </si>
  <si>
    <t>n/a</t>
  </si>
  <si>
    <t>Range (max − min)</t>
  </si>
  <si>
    <t>Midpoint (mean of 3)</t>
  </si>
  <si>
    <t>Flag: rev-module SoTP&lt;0, as-of2026 EBITDA (cnt, expect 0)</t>
  </si>
  <si>
    <t>Demand curve escalator: start rate (annual)</t>
  </si>
  <si>
    <t>Demand curve escalator: terminal rate (annual)</t>
  </si>
  <si>
    <t>S-1 p.21 BS audited cash &amp; equivalents 12-31-24. Build Plan had $5,000, corrected by S-1.</t>
  </si>
  <si>
    <t>S-1 OVERRIDE p.21: MC top widened to capture EoY 2025 = $24,747M</t>
  </si>
  <si>
    <t>NO S-1 DATA: refresh on S-1/A pricing range</t>
  </si>
  <si>
    <t>NO S-1 DATA: MC tunes concentration vs diversification</t>
  </si>
  <si>
    <t>Asset life L: Customer Launch Starship (years)</t>
  </si>
  <si>
    <t>Asset life L: Customer Launch F9 (years)</t>
  </si>
  <si>
    <t>Asset life L: AI/Compute Orbital DC (years)</t>
  </si>
  <si>
    <t>Asset life L: AI/Compute Terrestrial DC (years)</t>
  </si>
  <si>
    <t>Asset life L: AI/Compute AI Apps (years)</t>
  </si>
  <si>
    <t>Payload: fully reusable mode (kg-to-LEO)</t>
  </si>
  <si>
    <t>WL learning rate: turnaround vs cum upmass doubling</t>
  </si>
  <si>
    <t>Block 5 advertised. S-1 mass-to-orbit decomposition triangulates (p.85): 1,901 mt internal / 122 launches = 15.6 mt/launch, well below F9 stretch limit.</t>
  </si>
  <si>
    <t>Q4'25 had 17 manufactured in 2025, but that's pre-decay. Build floor stub.</t>
  </si>
  <si>
    <t>S-1 p.5, p.93 EXPLICIT: "V3 deployment begins 2H 2026 on Starship; 60 V3 sats per Starship launch." Build Plan had 2027, overridden.</t>
  </si>
  <si>
    <t>Q4'25 Earth R29 anchored. S-1 doesn't disclose fleet count but cadence math (165 launches ÷ 28 = 5.9 flights/booster) is plausible. V30.5 had 24, corrected.</t>
  </si>
  <si>
    <t>Starship customer launch price ($mm/launch): year-row</t>
  </si>
  <si>
    <t>Commercial launch market size ($mm/year): year-row</t>
  </si>
  <si>
    <t>Government launch market size ($mm/year): year-row</t>
  </si>
  <si>
    <t>Q4'25 $643.50; S-1 PP&amp;E sat gross $11,949M / 9,600 sats × 575 kg ≈ $720/kg, within tolerance.</t>
  </si>
  <si>
    <t>Satellite Dep per kg: base year ($/kg/yr)</t>
  </si>
  <si>
    <t>▸ Constellation opening balances (Mach33 historical anchors: hard)</t>
  </si>
  <si>
    <t>S-1 p.22, p.87 audited EoY 2024 = BoY 2025 = 4.4M. Build Plan had 5.0M, overridden.</t>
  </si>
  <si>
    <t>S-1 OVERRIDE p.22, p.87: Triangle MC ±10</t>
  </si>
  <si>
    <t>Memo: Connectivity Adj EBITDA margin 2025: calibration target</t>
  </si>
  <si>
    <t>F_ref: reference compute unit (TFLOPS, H100 FP8)</t>
  </si>
  <si>
    <t>Memo: Terrestrial AI compute draw (GW): year-row</t>
  </si>
  <si>
    <t>Capital lifetime: BV straight-line depreciation (years)</t>
  </si>
  <si>
    <t>Module operating cost: Lunar (% of Lunar CapEx)</t>
  </si>
  <si>
    <t>Module operating cost: Mars (% of Mars CapEx)</t>
  </si>
  <si>
    <t>Labour unit cost ($/unit): declining curve</t>
  </si>
  <si>
    <t>Hardware replacement cost factor ($/kg landed): declining</t>
  </si>
  <si>
    <t>Lunar share of Mars/Moon carve-out cash: year-row</t>
  </si>
  <si>
    <t>Starlink R&amp;D: start % of (Starlink+Starshield) rev</t>
  </si>
  <si>
    <t>Customer Launch R&amp;D: start % of external rev</t>
  </si>
  <si>
    <t>Customer Launch R&amp;D: end-state % (floor)</t>
  </si>
  <si>
    <t>S-1 PARTIAL: steeper than original -0.20</t>
  </si>
  <si>
    <t>▸ R&amp;D: Lunar/Mars ($-profile year-row, pre-revenue)</t>
  </si>
  <si>
    <t>Sales &amp; Marketing: start % of (Starlink+Starshield+CL ext) rev</t>
  </si>
  <si>
    <t>General &amp; Administrative: start % of group rev</t>
  </si>
  <si>
    <t>General &amp; Administrative: end-state % (floor)</t>
  </si>
  <si>
    <t>Customer Service: flat % of Starlink subscription rev</t>
  </si>
  <si>
    <t>Other corporate operating: flat % of group rev</t>
  </si>
  <si>
    <t>Memo: Connectivity R&amp;D 2025 ($M): calibration</t>
  </si>
  <si>
    <t>Memo: Connectivity COGS 2025 ($M): calibration</t>
  </si>
  <si>
    <t>Memo: Connectivity SG&amp;A 2025 ($M): calibration</t>
  </si>
  <si>
    <t>Memo: Total depreciation 2025 ($M): calibration</t>
  </si>
  <si>
    <t>Memo: Operating cash flow 2025 ($M): calibration</t>
  </si>
  <si>
    <t>Memo: Loss from operations 2025 ($M): calibration</t>
  </si>
  <si>
    <t>Memo: Space segment income from ops 2025 ($M): calibration</t>
  </si>
  <si>
    <t>Memo: Connectivity segment income from ops 2025 ($M): calibration</t>
  </si>
  <si>
    <t>Comp anchor: Group EV (Morgan Stanley public)</t>
  </si>
  <si>
    <t>Comp anchor: Starlink standalone (Bernstein/JPM)</t>
  </si>
  <si>
    <t>Comp anchor: AI/Compute standalone (CoreWeave-anchored)</t>
  </si>
  <si>
    <t>Comp anchor: Customer Launch standalone (Rocket Lab)</t>
  </si>
  <si>
    <t>EV/Rev ~5× × $8B Build-Plan TAM (flagged high, see R78).</t>
  </si>
  <si>
    <t>Comp anchor: Lunar / Mars (NASA HLS lifetime)</t>
  </si>
  <si>
    <t>Multiple: Customer Launch (EV/Rev at 2050)</t>
  </si>
  <si>
    <t>Memo: Interface contract: Module OUT canonical labels</t>
  </si>
  <si>
    <t>Working capital per sat ($mm/sat): ΔWC T0</t>
  </si>
  <si>
    <t>Launch &amp; Development revenue ($mm/yr): year-row</t>
  </si>
  <si>
    <t>Starship commercial-readiness factor: year-row</t>
  </si>
  <si>
    <t>STRUCTURAL, no MC. Hard ceiling on payload ramp.</t>
  </si>
  <si>
    <t>Placeholder AI/strategic CapEx (% of Group revenue): TEMP</t>
  </si>
  <si>
    <t>F9 Starlink launch cap, annualized (launches/yr): derived</t>
  </si>
  <si>
    <t>Starship pre-build target: planned next-yr upmass (kg)</t>
  </si>
  <si>
    <t>Rule 14 lift of Cam's embedded 8760. Structural constant, no MC. A2 repoints Cam's inline 8760 to this cell. Unit: hr/yr.</t>
  </si>
  <si>
    <t>AI-C R&amp;D: [Q6] default; A5 may re-route to Group shared R&amp;D</t>
  </si>
  <si>
    <t>▸ AI: Terafab chip-fab (→ Facilities Build, A4)</t>
  </si>
  <si>
    <t>FAB ◄ Facilities Build (chip-fab, A4). MC: 280,000-1,393,615, low = ext 2nm benchmark ($28bn/100k wspm); base = Cam report (vertical-integration/bleeding-edge/onshore premium). A9 scale pass to resolve base.</t>
  </si>
  <si>
    <t>▸ AI: year-row inputs (Cam G:AF → Group D:AC)</t>
  </si>
  <si>
    <t>▸ AI: Terafab JV split + calibration (A4.1)</t>
  </si>
  <si>
    <t>Terafab: SpaceX cost/capacity share (frac)</t>
  </si>
  <si>
    <t>▸ AI: exogenous cost CAGRs (CAM port, MC)</t>
  </si>
  <si>
    <t>Demand curve escalator: taper end (yrs from 2025)</t>
  </si>
  <si>
    <t>▸ AI: external compute demand (A8 endogenisation)</t>
  </si>
  <si>
    <t>DTC TAM uplift target: Starlink Mobile premium (×)</t>
  </si>
  <si>
    <t>▸ AI: chip improvement + lightweighting CAGRs (A8.1)</t>
  </si>
  <si>
    <t>Structural, no MC. Draw window locked to Terafab build+ramp.</t>
  </si>
  <si>
    <t>BB TAM uplift target: data-intensity / value-per-connection (×)</t>
  </si>
  <si>
    <t>▸ AI: orbital serving S-curve + training carve-out (A8.5)</t>
  </si>
  <si>
    <t>▸ §A8.6: ODC THERMAL RECALIBRATION (kW/ton glide + dynamic TDP)</t>
  </si>
  <si>
    <t>Chip FP8 per chip CAGR (/yr): smooth curve</t>
  </si>
  <si>
    <t>Multiple: Starlink (EV/EBITDA at horizon)</t>
  </si>
  <si>
    <t>Multiple: Customer Launch (EV/EBITDA at horizon)</t>
  </si>
  <si>
    <t>Multiple: AI/Compute (EV/EBITDA at horizon)</t>
  </si>
  <si>
    <t>Starlink module allocated cash ($mm/yr): live from Cash Allocation Engine</t>
  </si>
  <si>
    <t>Blended new-sat CapEx slug ($mm/sat): MEMO ONLY (feeds CAE R88 cap; no longer drives deployment)</t>
  </si>
  <si>
    <t>Attributed R&amp;D ($mm): component of Module OpEx total (row 87)</t>
  </si>
  <si>
    <t>▸ PER-SAT IRR ENGINE (v4 canonical): per cohort, one cost base</t>
  </si>
  <si>
    <t>Starshield: active fleet EoY (sats) (working)</t>
  </si>
  <si>
    <t>▸ ALLOCATOR OUT (canonical labels: Rule 12 sources)</t>
  </si>
  <si>
    <t>Blended new-sat mass (kg/sat): share-weighted, regime-gated (acyclic)</t>
  </si>
  <si>
    <t>RESIDUAL: rev $14252M vs S-1 $11,387M; tune curves/Network ops&amp;G&amp;A: calibration decision</t>
  </si>
  <si>
    <t>RESIDUAL: rev $54068M vs S-1 $11,387M; tune curves/Network ops&amp;G&amp;A: calibration decision</t>
  </si>
  <si>
    <t>RESIDUAL: rev $106456M vs S-1 $11,387M; tune curves/Network ops&amp;G&amp;A: calibration decision</t>
  </si>
  <si>
    <t>RESIDUAL: rev $126533M vs S-1 $11,387M; tune curves/Network ops&amp;G&amp;A: calibration decision</t>
  </si>
  <si>
    <t>RESIDUAL: rev $184189M vs S-1 $11,387M; tune curves/Network ops&amp;G&amp;A: calibration decision</t>
  </si>
  <si>
    <t>RESIDUAL: rev $209407M vs S-1 $11,387M; tune curves/Network ops&amp;G&amp;A: calibration decision</t>
  </si>
  <si>
    <t>RESIDUAL: rev $261600M vs S-1 $11,387M; tune curves/Network ops&amp;G&amp;A: calibration decision</t>
  </si>
  <si>
    <t>RESIDUAL: rev $266753M vs S-1 $11,387M; tune curves/Network ops&amp;G&amp;A: calibration decision</t>
  </si>
  <si>
    <t>RESIDUAL: rev $300396M vs S-1 $11,387M; tune curves/Network ops&amp;G&amp;A: calibration decision</t>
  </si>
  <si>
    <t>RESIDUAL: rev $309166M vs S-1 $11,387M; tune curves/Network ops&amp;G&amp;A: calibration decision</t>
  </si>
  <si>
    <t>RESIDUAL: rev $327745M vs S-1 $11,387M; tune curves/Network ops&amp;G&amp;A: calibration decision</t>
  </si>
  <si>
    <t>RESIDUAL: rev $349663M vs S-1 $11,387M; tune curves/Network ops&amp;G&amp;A: calibration decision</t>
  </si>
  <si>
    <t>RESIDUAL: rev $367436M vs S-1 $11,387M; tune curves/Network ops&amp;G&amp;A: calibration decision</t>
  </si>
  <si>
    <t>RESIDUAL: rev $374020M vs S-1 $11,387M; tune curves/Network ops&amp;G&amp;A: calibration decision</t>
  </si>
  <si>
    <t>RESIDUAL: rev $385224M vs S-1 $11,387M; tune curves/Network ops&amp;G&amp;A: calibration decision</t>
  </si>
  <si>
    <t>BB subscribers: revenue-implied level (M)</t>
  </si>
  <si>
    <t>BB EoY subscribers (= revenue-implied level, M): stabilised</t>
  </si>
  <si>
    <t>Deployment cap: MIN(demand, launch, pacing) (sats)</t>
  </si>
  <si>
    <t>▸ BLOCK A: ALLOCATOR IN (cross-tab reads)</t>
  </si>
  <si>
    <t>▸ BLOCK E: MODULE OpEx + R&amp;D → MODULE EBITDA (R&amp;D ABOVE EBITDA, Hard Rule 7)</t>
  </si>
  <si>
    <t>▸ BLOCK F: EBITDA → EBIT (only D&amp;A below EBITDA)</t>
  </si>
  <si>
    <t>▸ BLOCK H: PER-VEHICLE IRR ENGINE (v4 canonical, Spot only)</t>
  </si>
  <si>
    <t>F9: margin per vehicle per yr ($mm, ex-D&amp;A)</t>
  </si>
  <si>
    <t>Starship: revenue per vehicle per yr ($mm)</t>
  </si>
  <si>
    <t>Starship: margin per vehicle per yr ($mm, ex-D&amp;A)</t>
  </si>
  <si>
    <t>▸ BLOCK I: ALLOCATOR OUT (amended canonical labels)</t>
  </si>
  <si>
    <t>▸ BLOCK J, CONSERVATION MEMOS (verification only, excl. sums)</t>
  </si>
  <si>
    <t>Reported R&amp;D=0 (full dev); IRR R&amp;D=sustaining 4.0%: documented divergence, not a bug</t>
  </si>
  <si>
    <t>PER-LAUNCH AT-COST RATES ($mm): internal transfer pricing source</t>
  </si>
  <si>
    <t>Total fleet launch CapEx ($mm): independent (engine)</t>
  </si>
  <si>
    <t>Cum Starship experience units (Wright's-Law cost basis, incl. 2024 baseline + F9-inherited seed; NOT the standing fleet)</t>
  </si>
  <si>
    <t>Total launch capacity: start-of-year stock (kg)</t>
  </si>
  <si>
    <t>Memo: Vehicle Build FCF ($mm): must = 0 by construction</t>
  </si>
  <si>
    <t>Installed sat-factory capacity (sats/yr): EoY ratchet, ≥ current build</t>
  </si>
  <si>
    <t>▸ STARSHIP PRODUCTION FACILITY (Starfactory/Gigabay): capacity + scaling</t>
  </si>
  <si>
    <t>Installed Starship build capacity (ships/yr): rate-limited ramp</t>
  </si>
  <si>
    <t>Installed engine-facility capacity (engines/yr): EoY ratchet, ≥ current demand, memo</t>
  </si>
  <si>
    <t>Installed launch pads (Starship): cumulative, ≥ base, memo</t>
  </si>
  <si>
    <t>Terminal kits demanded this year (placeholder: Gbps-growth scaled)</t>
  </si>
  <si>
    <t>Installed terminal-factory capacity (kits/yr): cumulative, memo</t>
  </si>
  <si>
    <t>Group revenue base ($mm): placeholder (Starlink rev; swap to Group total in 4.5)</t>
  </si>
  <si>
    <t>Conservation: max bucket (cum D&amp;A − cum CapEx): must be ≤ 0</t>
  </si>
  <si>
    <t>▸ STARFACTORY: initial production facility (base capacity, one-time)</t>
  </si>
  <si>
    <t>Installed fab capacity (wspm): EoY ratchet / phase step</t>
  </si>
  <si>
    <t>New fab CapEx this year ($mm): 3yr window spread</t>
  </si>
  <si>
    <t>ODC sat-factory capacity installed (sats/yr): EoY ratchet</t>
  </si>
  <si>
    <t>Demand Curves: Starlink BB + DTC piecewise-linear lookup</t>
  </si>
  <si>
    <t>▸ CASH POOL: LIVE every year (2025 = starting cash $11,385M + $20B bridge)</t>
  </si>
  <si>
    <t>Launch capacity allotment: Starlink (kg)</t>
  </si>
  <si>
    <t>Launch capacity allotment: Customer Launch (kg)</t>
  </si>
  <si>
    <t>Launch capacity allotment: AI-Compute (kg)</t>
  </si>
  <si>
    <t>▸ CASH EoY: LIVE every year; 2025 EoY feeds 2026 Cash BoY (the cash spine)</t>
  </si>
  <si>
    <t>Cap: Customer Launch max deployable ($mm)</t>
  </si>
  <si>
    <t>Placeholder AI/strategic CapEx ($mm): TEMP (retire when AI-Compute loaded)</t>
  </si>
  <si>
    <t>▸ LEVEL-2: WITHIN-AI ODC vs TERRESTRIAL SPLIT (A7)</t>
  </si>
  <si>
    <t>Memo: ODC kg-buildable (diagnostic: unused after A7.1)</t>
  </si>
  <si>
    <t>Memo: ODC→Terr spillover ($mm): A8.3 (consumed by R114)</t>
  </si>
  <si>
    <t>Memo: AI kg ration (diagnostic: ODC self-supplies, A7.1)</t>
  </si>
  <si>
    <t>Conservation: Level-2 cash tie: allocated ≤ desired, no creation (≥0 = OK), A8.3</t>
  </si>
  <si>
    <t>Memo: Terr→ODC spillover ($mm): A8.3 (consumed by R112)</t>
  </si>
  <si>
    <t>Carve-out IRR signal: avg prior-yr spot IRR (3 modules)</t>
  </si>
  <si>
    <t>GPU-hr price ($/GPU-hr): base (pre-dampener)</t>
  </si>
  <si>
    <t>▸ ORBITAL DC: per compute sat-year (sub-line 1, L=5)</t>
  </si>
  <si>
    <t>Orbital DC: allocated cash ($mm) ◄ CAE Level-2</t>
  </si>
  <si>
    <t>Launch-kg available (= (target + retirements) × dry mass): ODC</t>
  </si>
  <si>
    <t>▸ TERRESTRIAL DC: per MW-year (sub-line 2, L=15)</t>
  </si>
  <si>
    <t>▸ AI APPS: per customer-year (sub-line 3, L=3)</t>
  </si>
  <si>
    <t>Memo: AI Apps per-customer Spot IRR (diagnostic: no allocation consumer)</t>
  </si>
  <si>
    <t>▸ CONSERVATION (intra-tab; must = 0: Rule 5/21)</t>
  </si>
  <si>
    <t>▸ CHIP-FAB INTEGRATION (A5): Terafab R&amp;D + boundary tie</t>
  </si>
  <si>
    <t>Terrestrial DC: allocated cash ($mm) ◄ CAE Level-2 [drives R93]</t>
  </si>
  <si>
    <t>▸ AI: COMPUTE DEMAND BASIS (A8 endogenisation)</t>
  </si>
  <si>
    <t>AI compute demand reference (M H100-eq GPU): seed-anchored S-curve (A8.5)</t>
  </si>
  <si>
    <t>Memo: Terr share of net demand gap: RETIRED A8.0.1 (superseded by IRR-share demand split)</t>
  </si>
  <si>
    <t>Memo: ODC demand share: RETIRED A8.3 (demand not split; ODC-priority)</t>
  </si>
  <si>
    <t>Memo: Terr demand share: RETIRED A8.3 (demand not split)</t>
  </si>
  <si>
    <t>Memo: roll-up CapEx: IRR slug basis (fab on D&amp;A) ($mm)</t>
  </si>
  <si>
    <t>Terrestrial training CapEx ($mm): % × prior-yr AI revenue (A8.5)</t>
  </si>
  <si>
    <t>Terrestrial training D&amp;A ($mm): cumulative ÷ life, MIN-capped (A8.5)</t>
  </si>
  <si>
    <t>Capital lifetime: BV straight-line dep (yrs)</t>
  </si>
  <si>
    <t>Mission ops cost: Lunar (% of Lunar CapEx)</t>
  </si>
  <si>
    <t>Mission ops cost: Mars (% of Mars CapEx)</t>
  </si>
  <si>
    <t>Memo: (retired: carve-out computed on Cash Allocation Engine R24)</t>
  </si>
  <si>
    <t>▸ BV ENGINE: SoTP / VALUATION TRACK (off-P&amp;L)</t>
  </si>
  <si>
    <t>LUNAR economic-output proxy ($mm): MEMO ONLY, NOT used in valuation</t>
  </si>
  <si>
    <t>MARS economic-output proxy ($mm): MEMO ONLY, NOT used in valuation</t>
  </si>
  <si>
    <t>Memo: Total Lunar + Mars Accumulated BV ($mm): SoTP terminal input</t>
  </si>
  <si>
    <t>Lunar+Mars Net Book Value ($mm): SoTP terminal (cumCapEx − cum D&amp;A)</t>
  </si>
  <si>
    <t>(retired: NBV reported as total on R115; output-BV memo on R76/R77)</t>
  </si>
  <si>
    <t>▸ VEHICLE BUILD EXPOSURES (added 2026-06-01: resolve VB fleet pulls; canonical uniform labels)</t>
  </si>
  <si>
    <t>Memo: Attributed R&amp;D, Starlink (now in Module OpEx; excl. from Total R&amp;D)</t>
  </si>
  <si>
    <t>Attributed R&amp;D: Customer Launch (Starship R&amp;D lifted to Shared)</t>
  </si>
  <si>
    <t>Shared / unattributable R&amp;D: corporate (incl Starship platform R&amp;D)</t>
  </si>
  <si>
    <t>FCF: Customer Launch (ex-Starship R&amp;D; lifted to corporate)</t>
  </si>
  <si>
    <t>FCF: less corporate (SG&amp;A+shared R&amp;D+spectrum+taxes+corp CapEx)</t>
  </si>
  <si>
    <t>Memo: AI placeholder strategic CapEx ($mm): engine, TEMP</t>
  </si>
  <si>
    <t>Group FCF: normalized walk (NOPAT+D&amp;A−CapEx) ($mm)</t>
  </si>
  <si>
    <t>▸ INTER-MODULE ELIMINATIONS (Rule 21: $0 in current build)</t>
  </si>
  <si>
    <t>Internal launch services: RETIRED by 4.5 inversion</t>
  </si>
  <si>
    <t>Memo: AI EBITDA tie: Group EBITDA-AI (R54) − module ('AI - Compute' R169+R168); must = 0</t>
  </si>
  <si>
    <t>▸ MODULE FCF: DCF inputs (direct from Group P&amp;L, $mm)</t>
  </si>
  <si>
    <t>FCF: Group DCF subtotal (SL+CL+AI+Corp; excl L/M)</t>
  </si>
  <si>
    <t>▸ DISCOUNT FACTORS: 1/(1+WACC)^(year−asof); 0 before asof</t>
  </si>
  <si>
    <t>▸ MODULE SoTP: GORDON (perpetuity-growth) terminal, $mm</t>
  </si>
  <si>
    <t>▸ MODULE SoTP: EXIT-MULTIPLE terminal, $mm</t>
  </si>
  <si>
    <t>▸ DUAL-TRACK SUMMARY: Group EV by as-of ($B)</t>
  </si>
  <si>
    <t>Group EV anchor: Morgan Stanley (public)</t>
  </si>
  <si>
    <t>▸ SENSITIVITY: Group EV as-of 2026, GORDON ($B)</t>
  </si>
  <si>
    <t>▸ MODULE SoTP: EBITDA-MULTIPLE terminal, $mm</t>
  </si>
  <si>
    <t>▸ TRI-TRACK SUMMARY: Group EV by as-of ($B)</t>
  </si>
  <si>
    <t>NO S-1 DATA: keep 21% federal stat</t>
  </si>
  <si>
    <t>S-1 PARTIAL: filed 2026-05-20</t>
  </si>
  <si>
    <t>NO S-1 DATA: MC-variable</t>
  </si>
  <si>
    <t>Payload: booster-only mode (kg-to-LEO)</t>
  </si>
  <si>
    <t>S-1 PARTIAL: keep, flag V4 upgrade</t>
  </si>
  <si>
    <t>NO S-1 DATA: Q4'25 R18 range</t>
  </si>
  <si>
    <t>S-1 PARTIAL p.4: base to demonstrated</t>
  </si>
  <si>
    <t>S-1 PARTIAL: actual &lt;&lt; prior Base</t>
  </si>
  <si>
    <t>S-1 OVERRIDE p.5, p.93: was 2027</t>
  </si>
  <si>
    <t>S-1 PARTIAL p.5-2027 start confirmed</t>
  </si>
  <si>
    <t>S-1 PARTIAL p.81: lifted to 75%</t>
  </si>
  <si>
    <t>Satellite cost per kg: base year ($/kg)</t>
  </si>
  <si>
    <t>Satellite cost per kg: learning rate</t>
  </si>
  <si>
    <t>Broadband ARPU ($/sub/mo): year-row</t>
  </si>
  <si>
    <t>DTC ARPU ($/sub/mo): year-row</t>
  </si>
  <si>
    <t>Memo: Enterprise churn: qualitative</t>
  </si>
  <si>
    <t>S-1 p.247. Growing, xAI commercial.</t>
  </si>
  <si>
    <t>Starlink R&amp;D: end-state % (floor)</t>
  </si>
  <si>
    <t>Starlink R&amp;D: CAGR (taper)</t>
  </si>
  <si>
    <t>S-1 OVERRIDE p.103, p.109: was 0.25</t>
  </si>
  <si>
    <t>Customer Launch R&amp;D: CAGR (taper)</t>
  </si>
  <si>
    <t>Starship R&amp;D total ($mm/yr): year-row</t>
  </si>
  <si>
    <t>Shared corporate R&amp;D ($mm/yr): year-row</t>
  </si>
  <si>
    <t>NO S-1 DATA: residual</t>
  </si>
  <si>
    <t>Sales &amp; Marketing: end-state % (floor)</t>
  </si>
  <si>
    <t>Sales &amp; Marketing: CAGR (taper)</t>
  </si>
  <si>
    <t>General &amp; Administrative: CAGR (taper)</t>
  </si>
  <si>
    <t>Memo: Space R&amp;D 2025 ($M): calibration</t>
  </si>
  <si>
    <t>Lunar / Mars: terminal BV multiplier</t>
  </si>
  <si>
    <t>Comp anchor: Group EV (Brant internal)</t>
  </si>
  <si>
    <t>⚠ Memo only, DO NOT QUOTE EXTERNALLY.</t>
  </si>
  <si>
    <t>Memo only: internal anchor</t>
  </si>
  <si>
    <t>Comp anchor: AI Stack standalone</t>
  </si>
  <si>
    <t>Multiple: Starlink (EV/Rev at 2050)</t>
  </si>
  <si>
    <t>Multiple: AI/Compute (EV/Rev at 2050)</t>
  </si>
  <si>
    <t>▸ AI: Orbital DC physical anchors</t>
  </si>
  <si>
    <t>▸ AI: Orbital DC subsystem unit costs</t>
  </si>
  <si>
    <t>AI-C: structural anchor (Cam MC blank)</t>
  </si>
  <si>
    <t>▸ AI: Orbital DC ops cost rates</t>
  </si>
  <si>
    <t>▸ AI: Terrestrial DC</t>
  </si>
  <si>
    <t>▸ AI: AI Apps</t>
  </si>
  <si>
    <t>▸ AI: R&amp;D attribution glides</t>
  </si>
  <si>
    <t>▸ AI: Terafab toggle</t>
  </si>
  <si>
    <t>year-row: MC via multiplier</t>
  </si>
  <si>
    <t>▸ AI: AI Apps (consolidated, A2.2)</t>
  </si>
  <si>
    <t>AI: ODC first compute-sat build year</t>
  </si>
  <si>
    <t>▸ AI: compute demand curve (A8.3)</t>
  </si>
  <si>
    <t>V2 BB: margin per sat-yr ($mm)</t>
  </si>
  <si>
    <t>V2 BB: CapEx slug per sat ($mm)</t>
  </si>
  <si>
    <t>V2 BB: Spot IRR</t>
  </si>
  <si>
    <t>V2 DTC: margin per sat-yr ($mm)</t>
  </si>
  <si>
    <t>V2 DTC: CapEx slug per sat ($mm)</t>
  </si>
  <si>
    <t>V2 DTC: Spot IRR</t>
  </si>
  <si>
    <t>V3 BB: margin per sat-yr ($mm)</t>
  </si>
  <si>
    <t>V3 BB: CapEx slug per sat ($mm)</t>
  </si>
  <si>
    <t>V3 BB: Spot IRR</t>
  </si>
  <si>
    <t>V3 DTC: margin per sat-yr ($mm)</t>
  </si>
  <si>
    <t>V3 DTC: CapEx slug per sat ($mm)</t>
  </si>
  <si>
    <t>V3 DTC: Spot IRR</t>
  </si>
  <si>
    <t>Starshield: margin per sat-yr ($mm)</t>
  </si>
  <si>
    <t>Starshield: CapEx slug per sat ($mm)</t>
  </si>
  <si>
    <t>▸ BLOCK B: LAUNCH DEMAND &amp; FLEET BUILD</t>
  </si>
  <si>
    <t>▸ BLOCK C: REVENUE (external only)</t>
  </si>
  <si>
    <t>▸ BLOCK D: COGS → GROSS PROFIT</t>
  </si>
  <si>
    <t>Variable launch cost: F9 ($mm)</t>
  </si>
  <si>
    <t>Variable launch cost: Starship ($mm)</t>
  </si>
  <si>
    <t>▸ BLOCK G: CAPEX → MODULE FCF</t>
  </si>
  <si>
    <t>F9: revenue per vehicle per yr ($mm)</t>
  </si>
  <si>
    <t>F9: CapEx slug per vehicle ($mm)</t>
  </si>
  <si>
    <t>Starship: CapEx slug per vehicle ($mm)</t>
  </si>
  <si>
    <t>Memo: Mass to orbit: F9 (kg)</t>
  </si>
  <si>
    <t>Memo: Mass to orbit: Starship (kg)</t>
  </si>
  <si>
    <t>Sats built: Starlink (sats/yr)</t>
  </si>
  <si>
    <t>▸ TERMINALS (Bastrop): toggle-gated</t>
  </si>
  <si>
    <t>ODC sats built: driver (sats/yr)</t>
  </si>
  <si>
    <t>▸ QUEUE GATE: LIVE every year</t>
  </si>
  <si>
    <t>▸ CARVE-OUT: LIVE every year</t>
  </si>
  <si>
    <t>Spot IRR: Starlink</t>
  </si>
  <si>
    <t>Spot IRR: Customer Launch</t>
  </si>
  <si>
    <t>Spot IRR: AI-Compute</t>
  </si>
  <si>
    <t>exp(β·IRR): Starlink</t>
  </si>
  <si>
    <t>exp(β·IRR): Customer Launch</t>
  </si>
  <si>
    <t>exp(β·IRR): AI-Compute</t>
  </si>
  <si>
    <t>Cap: Starlink max deployable ($mm)</t>
  </si>
  <si>
    <t>Cap: AI-Compute max deployable ($mm)</t>
  </si>
  <si>
    <t>Rank key: Starlink</t>
  </si>
  <si>
    <t>Rank key: Customer Launch</t>
  </si>
  <si>
    <t>Rank key: AI-Compute</t>
  </si>
  <si>
    <t>Spot IRR: ODC (prior yr)</t>
  </si>
  <si>
    <t>Spot IRR: Terrestrial (prior yr)</t>
  </si>
  <si>
    <t>exp(β·IRR): ODC</t>
  </si>
  <si>
    <t>exp(β·IRR): Terrestrial</t>
  </si>
  <si>
    <t>Σ exp: within-AI</t>
  </si>
  <si>
    <t>Desired launch kg: Starlink</t>
  </si>
  <si>
    <t>Desired launch kg: Customer Launch</t>
  </si>
  <si>
    <t>Desired launch kg: AI-Compute</t>
  </si>
  <si>
    <t>Chip cost ASP ($/chip): derived</t>
  </si>
  <si>
    <t>Sat thermal mass (kg): derived</t>
  </si>
  <si>
    <t>Total sat dry mass (kg): derived</t>
  </si>
  <si>
    <t>Asset life L: Orbital DC (yrs)</t>
  </si>
  <si>
    <t>Asset life L: Terrestrial DC (yrs)</t>
  </si>
  <si>
    <t>Asset life L: AI Apps (yrs)</t>
  </si>
  <si>
    <t>Total existing compute (GPU-hrs): A8.3</t>
  </si>
  <si>
    <t>Total compute gap (GPU-hrs): A8.3</t>
  </si>
  <si>
    <t>Training carve-out % (= input): A8.5</t>
  </si>
  <si>
    <t>Per-ship cost: Lunar ($mm/ship)</t>
  </si>
  <si>
    <t>Per-ship cost: Mars ($mm/ship)</t>
  </si>
  <si>
    <t>Mission ops cost: Lunar ($mm)</t>
  </si>
  <si>
    <t>Mission ops cost: Mars ($mm)</t>
  </si>
  <si>
    <t>Revenue: Starlink</t>
  </si>
  <si>
    <t>Revenue: Customer Launch</t>
  </si>
  <si>
    <t>Revenue: AI - Compute</t>
  </si>
  <si>
    <t>Revenue: Lunar - Mars</t>
  </si>
  <si>
    <t>COGS: Starlink</t>
  </si>
  <si>
    <t>COGS: Customer Launch</t>
  </si>
  <si>
    <t>COGS: AI - Compute</t>
  </si>
  <si>
    <t>COGS: Lunar - Mars</t>
  </si>
  <si>
    <t>Gross Profit: Starlink</t>
  </si>
  <si>
    <t>Gross Profit: Customer Launch</t>
  </si>
  <si>
    <t>Gross Profit: AI - Compute</t>
  </si>
  <si>
    <t>Gross Profit: Lunar - Mars</t>
  </si>
  <si>
    <t>▸ MODULE OpEx: direct ($mm)</t>
  </si>
  <si>
    <t>Module OpEx: Starlink</t>
  </si>
  <si>
    <t>Module OpEx: Customer Launch</t>
  </si>
  <si>
    <t>Module OpEx: AI - Compute</t>
  </si>
  <si>
    <t>Module OpEx: Lunar - Mars</t>
  </si>
  <si>
    <t>Attributed R&amp;D: AI - Compute</t>
  </si>
  <si>
    <t>Attributed R&amp;D: Lunar - Mars</t>
  </si>
  <si>
    <t>▸ EBITDA: by segment ($mm)</t>
  </si>
  <si>
    <t>EBITDA: Starlink</t>
  </si>
  <si>
    <t>EBITDA: Customer Launch</t>
  </si>
  <si>
    <t>EBITDA: AI - Compute</t>
  </si>
  <si>
    <t>EBITDA: Lunar - Mars</t>
  </si>
  <si>
    <t>EBITDA: Corporate</t>
  </si>
  <si>
    <t>D&amp;A: Starlink</t>
  </si>
  <si>
    <t>D&amp;A: Customer Launch</t>
  </si>
  <si>
    <t>D&amp;A: AI - Compute</t>
  </si>
  <si>
    <t>D&amp;A: Lunar - Mars</t>
  </si>
  <si>
    <t>D&amp;A: Corporate / facilities</t>
  </si>
  <si>
    <t>▸ EBIT: by segment ($mm)</t>
  </si>
  <si>
    <t>EBIT: Starlink</t>
  </si>
  <si>
    <t>EBIT: Customer Launch</t>
  </si>
  <si>
    <t>EBIT: AI - Compute</t>
  </si>
  <si>
    <t>EBIT: Lunar - Mars</t>
  </si>
  <si>
    <t>EBIT: Corporate</t>
  </si>
  <si>
    <t>CapEx: Starlink</t>
  </si>
  <si>
    <t>CapEx: Customer Launch</t>
  </si>
  <si>
    <t>CapEx: AI - Compute</t>
  </si>
  <si>
    <t>CapEx: Lunar - Mars</t>
  </si>
  <si>
    <t>CapEx: Corporate</t>
  </si>
  <si>
    <t>Group CapEx: accrual ($mm)</t>
  </si>
  <si>
    <t>▸ FREE CASH FLOW: by segment ($mm)</t>
  </si>
  <si>
    <t>FCF: Starlink</t>
  </si>
  <si>
    <t>FCF: AI - Compute</t>
  </si>
  <si>
    <t>FCF: Lunar - Mars</t>
  </si>
  <si>
    <t>Group FCF: accrual walk ($mm)</t>
  </si>
  <si>
    <t>FCF: Customer Launch</t>
  </si>
  <si>
    <t>FCF: Corporate (cost centre)</t>
  </si>
  <si>
    <t>DF: as-of 2026</t>
  </si>
  <si>
    <t>DF: as-of 2030</t>
  </si>
  <si>
    <t>DF: as-of 2035</t>
  </si>
  <si>
    <t>DF: as-of 2040</t>
  </si>
  <si>
    <t>GROUP EV: Gordon ($mm)</t>
  </si>
  <si>
    <t>GROUP EV: Gordon ($B)</t>
  </si>
  <si>
    <t>GROUP EV: Exit-mult ($mm)</t>
  </si>
  <si>
    <t>GROUP EV: Exit-mult ($B)</t>
  </si>
  <si>
    <t>Group EV: Gordon</t>
  </si>
  <si>
    <t>Group EV: Exit-multiple</t>
  </si>
  <si>
    <t>Group EV anchor: Brant (internal)</t>
  </si>
  <si>
    <t>Model EV as-of 2026: Gordon</t>
  </si>
  <si>
    <t>Model EV as-of 2026: Exit-mult</t>
  </si>
  <si>
    <t>GROUP EV: EBITDA-mult ($mm)</t>
  </si>
  <si>
    <t>GROUP EV: EBITDA-mult ($B)</t>
  </si>
  <si>
    <t>Group EV: Gordon (perpetuity-growth)</t>
  </si>
  <si>
    <t>Group EV: Exit-multiple (revenue)</t>
  </si>
  <si>
    <t>Group EV: EBITDA-multiple</t>
  </si>
  <si>
    <t>Vehicle Build: demand-pulled Starship + F9 launch capacity</t>
  </si>
  <si>
    <t>Roll-up / reconciliation tab — modules own launch CapEx. Books no FCF; aggregates module-owned launch CapEx + fleet.</t>
  </si>
  <si>
    <t>LAUNCHES PER YEAR (F9 glide path + Starship demand-pulled)</t>
  </si>
  <si>
    <t>CAPACITY + CapEx + TRANSFER REVENUE</t>
  </si>
  <si>
    <t>Vehicle Build at-cost transfer revenue ($mm) — RETIRED (modules own launch CapEx)</t>
  </si>
  <si>
    <t>▸ LAUNCH CAPEX ROLL-UP (books no FCF)</t>
  </si>
  <si>
    <t>FLEET WRIGHT'S COST CURVES + CONFIG LINES</t>
  </si>
  <si>
    <t>CUM-UPMASS + FLEET ROLL-FORWARD</t>
  </si>
  <si>
    <t>TOTAL KG DEMAND</t>
  </si>
  <si>
    <t>F9 INTERNAL-VS-CUSTOMER RECONCILIATION (memo)</t>
  </si>
  <si>
    <t>SHIP FLEET ROLL-FORWARD (booster / ship split)</t>
  </si>
  <si>
    <t>STARSHIP BUILD CapEx SPLIT</t>
  </si>
  <si>
    <t>FLEET PRODUCTION ↔ STANDING-FLEET RECONCILIATION</t>
  </si>
  <si>
    <t>▸ Vehicle build claim (demand-pulled, one-period lag)</t>
  </si>
  <si>
    <t>▸ Dual revenue model</t>
  </si>
  <si>
    <t>▸ AI segment data</t>
  </si>
  <si>
    <t>▸ R&amp;D attribution rules</t>
  </si>
  <si>
    <t>▸ OpEx calibration targets</t>
  </si>
  <si>
    <t>▸ EchoStar spectrum reclassified as recurring OpEx licence fee</t>
  </si>
  <si>
    <t>Memo: Space + Connectivity CapEx 2025 ($M)</t>
  </si>
  <si>
    <t>F9 cadence + at-cost rates + glide path (separate from commercial price)</t>
  </si>
  <si>
    <t>▸ STARLINK MODULE</t>
  </si>
  <si>
    <t>▸ FACILITIES BUILD: capacity-step facility CapEx</t>
  </si>
  <si>
    <t>▸ STARLINK: real cohorts + DTC effective lever</t>
  </si>
  <si>
    <t>▸ CUSTOMER LAUNCH: module = Space segment, 2-stream revenue, R&amp;D above EBITDA</t>
  </si>
  <si>
    <t>▸ VEHICLE BUILD: Starship fleet Wright's cost + cadence (fleet-level launch learning)</t>
  </si>
  <si>
    <t>▸ Cash Allocation Engine inputs</t>
  </si>
  <si>
    <t>▸ FACILITIES BASE ANCHORS (2025 standing capacity + sanity denominator)</t>
  </si>
  <si>
    <t>▸ 2026 LAUNCH PACING &amp; CASH RESERVE</t>
  </si>
  <si>
    <t>▸ AI / COMPUTE MODULE</t>
  </si>
  <si>
    <t>▸ ALLOCATOR: Terafab Construction Facility (debt layer)</t>
  </si>
  <si>
    <t>Starlink module — real cohorts + total-bandwidth revenue + full waterfall + 4-line OpEx + per-sat IRR</t>
  </si>
  <si>
    <t>▸ SUBSCRIBERS + HARDWARE</t>
  </si>
  <si>
    <t>Customer Launch module — module = Space segment · 2-stream revenue $4,086M · full waterfall, R&amp;D above EBITDA · separate F9 + Starship D&amp;A · Spot IRR · per-launch D&amp;A interface</t>
  </si>
  <si>
    <t>▸ INTERFACE ALIASES (label-fidelity for downstream tabs)</t>
  </si>
  <si>
    <t>▸ CAPACITY-PRIORITY ALLOCATION</t>
  </si>
  <si>
    <t>▸ CARVE-OUT IRR RESPONSE (operative 2030 onward)</t>
  </si>
  <si>
    <t>▸ TERAFAB CONSTRUCTION FACILITY (debt layer)</t>
  </si>
  <si>
    <t>▸ LUNAR–MARS REPORTED P&amp;L</t>
  </si>
  <si>
    <t>▸ INTERFACE CONTRACT (exposed labels)</t>
  </si>
  <si>
    <t>Facilities Build: capacity-step facility CapEx engine</t>
  </si>
  <si>
    <t>7 buckets: sat-mfg (Redmond), Starship-vehicle (Gigabay @100/yr), pads, engines, terminals (toggle-OFF), ground stations, HQ→Group. Exposes CapEx + D&amp;A totals by label.</t>
  </si>
  <si>
    <t>GROUP P&amp;L: segment consolidation</t>
  </si>
  <si>
    <t>▸ SoTP TERMINAL MEMO</t>
  </si>
  <si>
    <t>CONSERVATION: identity checks</t>
  </si>
  <si>
    <t>SoTP / VALUATION: dual-track terminal · single WACC · EV only</t>
  </si>
  <si>
    <t>Early willingness-to-pay growth above inflation. Targets 2050 total Starlink revenue of roughly $640–660bn (before direct-to-cell). Monte Carlo range 0.045–0.060.</t>
  </si>
  <si>
    <t>Escalator start rate; early willingness-to-pay growth above inflation</t>
  </si>
  <si>
    <t>Mature-market escalator ≈ inflation. The tapered curve converges here after the taper ends. Monte Carlo range 0.035–0.045.</t>
  </si>
  <si>
    <t>Escalator terminal rate ≈ inflation</t>
  </si>
  <si>
    <t>Mars spend is not broken out separately (Starship R&amp;D is co-mingled), so it is held here.</t>
  </si>
  <si>
    <t>At β = 10, a 10pp IRR gap implies roughly a 73/27 share split — moderate concentration.</t>
  </si>
  <si>
    <t>Booster learning rate (0.21). Cumulative experience compounds faster than an annual proxy. Monte Carlo range 0.15–0.28. Holds the rising 6→~22 booster cadence ramp.</t>
  </si>
  <si>
    <t>2025 Space segment revenue = $4,086M (Launch Services $2,576M + Launch &amp; Delivery $1,510M) ÷ 43 commercial customer launches = $95.0M blended. Split: commercial ~$85.9M × ~30 launches + government/defense ~$116.2M × ~13 launches. Declines 3%/yr. Calibration target: 2025 Customer Launch revenue = $4,086M ±5%.</t>
  </si>
  <si>
    <t>Source: S-1 p.247</t>
  </si>
  <si>
    <t>Build plan $8B base + 8%/yr growth. The S-1 implies a ~70% SpaceX share of a ~$5.5B 2025 market, so this build plan may be too high.</t>
  </si>
  <si>
    <t>Source: S-1 p.81</t>
  </si>
  <si>
    <t>Build plan $4B + 5%/yr. 2025 Launch &amp; Delivery of $1,510M (NASA CRS + DoW) implies a ~$1.7B market at 90% share, so this build plan looks high.</t>
  </si>
  <si>
    <t>Source: S-1</t>
  </si>
  <si>
    <t>Constellation depreciation. S-1 property, plant &amp; equipment: satellite gross $11,949M → ~$2,390M at a 5-year life; 2025 target ≈ $706.9M.</t>
  </si>
  <si>
    <t>Source: S-1 p.245, p.248</t>
  </si>
  <si>
    <t>Target margin 61.4%, per the S-1.</t>
  </si>
  <si>
    <t>Gates deployment before 2028 to zero.</t>
  </si>
  <si>
    <t>Optimus-class robot unit manufacturing cost. Single value; no learning-curve decline applied yet.</t>
  </si>
  <si>
    <t>Hardware value-add per kg landed. Single value; no year-by-year decline applied yet.</t>
  </si>
  <si>
    <t>R&amp;D as % of revenue (0.735). S-1 Space R&amp;D $3,004M ÷ Space revenue $4,086M = 73.5%. Full Starship development R&amp;D sits above EBITDA. Floor 0.04, decline rate -0.25.</t>
  </si>
  <si>
    <t>Module-only sales &amp; marketing (Starlink). Corporate S&amp;M is held elsewhere.</t>
  </si>
  <si>
    <t>G&amp;A is a floor that declines with scale (previously a 6% ceiling that drifted up).</t>
  </si>
  <si>
    <t>Renewal terms not yet known.</t>
  </si>
  <si>
    <t>10% placeholder for high-growth tech — a single workbook-wide scalar.</t>
  </si>
  <si>
    <t>Valuation precedent (sum-of-the-parts).</t>
  </si>
  <si>
    <t>Module interface line-up: Revenue / Module OpEx / Attributed R&amp;D / D&amp;A / Module EBIT / Module CapEx / Module FCF / Kg demand / Spot marginal IRR. Reference only.</t>
  </si>
  <si>
    <t>Range bounded by marginal-only ($17.75M, no allocated fixed cost) on the low side and the S-1 implied Launch Services average ($59.9M ÷ 43 launches) on the high side.</t>
  </si>
  <si>
    <t>2025 anchor: 171 F9 launches (customer/commercial 38.58 + internal Starlink balance). Glide path: 2025 = 171, 2026 = 150, 2027 = 100 (Starship operational), 2028 = 60, 2029 = 30, 2030 = 10, 2031+ = 0 (Starship absorbs both customer and Starlink internal).</t>
  </si>
  <si>
    <t>Per-year ±25% range on each non-zero year's anchor; 2031+ stays at 0.</t>
  </si>
  <si>
    <t>Placeholder Group revenue, later replaced by a live Group P&amp;L read. Schedule: $14,650M (2025) × 12%/yr through 2035, then 5%/yr from 2036. Drives total Starship R&amp;D.</t>
  </si>
  <si>
    <t>Placeholder; replaced by a live read.</t>
  </si>
  <si>
    <t>Shared across V2/V3; satellite life is independent of vehicle generation.</t>
  </si>
  <si>
    <t>Vehicle-availability gate. Operational from H2-2026. Read by both Starlink and Vehicle Build.</t>
  </si>
  <si>
    <t>Utilisation re-anchored to 0.875, absorbing the 4.5% shifted from direct-to-cell. Preserves the 9,832 fleet anchor and bandwidth-limited direct-to-cell.</t>
  </si>
  <si>
    <t>Closed cohort — no further V2 direct-to-cell launches after 2025. Monte Carlo range 0–0.005. Set to 0 so the model stops adding new V2 direct-to-cell sats.</t>
  </si>
  <si>
    <t>Ground-network operations cost as % of module revenue. Monte Carlo range 0.015–0.03.</t>
  </si>
  <si>
    <t>Asset/fleet insurance as % of module revenue. Monte Carlo range 0.005–0.02.</t>
  </si>
  <si>
    <t>Spectrum licence cost as % of revenue. Monte Carlo range 0.008–0.02.</t>
  </si>
  <si>
    <t>Revenue per broadband kit sold (broadband only; direct-to-cell is direct-to-phone, no kit). Blend of $500 retail (non-subscriber) and $300 (subscriber). Monte Carlo range 300–500.</t>
  </si>
  <si>
    <t>Cumulative up-mass anchor (200,000), the running-sum driver of the learning curve. Monte Carlo range 100,000–400,000.</t>
  </si>
  <si>
    <t>Booster reuse life. Returns fast; at least F9-like once operational. Monte Carlo range 4–12.</t>
  </si>
  <si>
    <t>Ship reuse life. Reentry/refurbishment is slower (at least 2 once design is complete). Monte Carlo range 1–6.</t>
  </si>
  <si>
    <t>Ship flies roughly half as often as its booster. Monte Carlo range 0.3–0.8.</t>
  </si>
  <si>
    <t>Idle/phase-out term; binds only when usage wear (launches ÷ reuse life) is low. Shared across F9 booster, Starship booster and Starship ship. Monte Carlo range 7–15.</t>
  </si>
  <si>
    <t>Super Heavy engine count (structural).</t>
  </si>
  <si>
    <t>Starship upper-stage Raptor count (3 sea-level + 3 vacuum nominal). Monte Carlo range 3–9.</t>
  </si>
  <si>
    <t>Average realized payload per F9 launch. 2025: 2,213,000 kg ÷ 171 launches ≈ 12.9 t/launch. Distinct from the 22,800 kg max-to-LEO used for capacity. Monte Carlo range 10,000–16,000.</t>
  </si>
  <si>
    <t>Interim stand-in for AI-Compute CapEx until that module is loaded. Gated 2026+. Set to 0 to retire. Monte Carlo range 0.00–0.30.</t>
  </si>
  <si>
    <t>V1 launched 2019–21; survivors over 4 years old end-2025. Monte Carlo range 2026–2027.</t>
  </si>
  <si>
    <t>Monte Carlo range 2026–2028.</t>
  </si>
  <si>
    <t>V1.5 launched 2021–23. Monte Carlo range 2026–2027.</t>
  </si>
  <si>
    <t>= latest launch (2023) + 5. Monte Carlo range 2027–2029.</t>
  </si>
  <si>
    <t>V2 Mini launched 2023–25. Monte Carlo range 2027–2029.</t>
  </si>
  <si>
    <t>= 2025 + 5. Monte Carlo range 2029–2031.</t>
  </si>
  <si>
    <t>Direct-to-cell first launch Jan 2024 (+5 = 2029). Monte Carlo range 2028–2030.</t>
  </si>
  <si>
    <t>Latest launch 2025 (+5 = 2030). Monte Carlo range 2029–2031.</t>
  </si>
  <si>
    <t>Offset year at which the escalator rate reaches terminal; 10 → 2035, then holds flat.</t>
  </si>
  <si>
    <t>Year (offset) at which the rate reaches terminal</t>
  </si>
  <si>
    <t>Direct-to-cell market uplift. Starlink Mobile is a primary connection plus a premium for owning the customer relationship, so it is a multiple of the coverage-gap market. Ramps from 1.0 in 2025. Monte Carlo range 2.0–4.0.</t>
  </si>
  <si>
    <t>Year (offset from 2025) the direct-to-cell uplift reaches target as Mobile rolls out; 7 → 2032, then holds flat. Ramps from 1.0 in 2025. Monte Carlo range 5–10.</t>
  </si>
  <si>
    <t>Bridge sizing ≈ peak cumulative SpaceX-share Terafab draw (~$70bn).</t>
  </si>
  <si>
    <t>Cash spine floor; breaching it triggers a facility draw.</t>
  </si>
  <si>
    <t>Share of prior-year Group free cash flow above the buffer swept to repay debt each year.</t>
  </si>
  <si>
    <t>Monte Carlo range to be set</t>
  </si>
  <si>
    <t>Check: launch build costs not yet populated, so variable cost only partly reconstructs the at-cost transfer; gap = unbuilt CapEx ≈ $418M</t>
  </si>
  <si>
    <t>Check: launch build costs not yet populated, so variable cost only partly reconstructs the at-cost transfer; gap = unbuilt CapEx ≈ $361M</t>
  </si>
  <si>
    <t>Check: launch build costs not yet populated, so variable cost only partly reconstructs the at-cost transfer; gap = unbuilt CapEx ≈ $-1817M</t>
  </si>
  <si>
    <t>Check: launch build costs not yet populated, so variable cost only partly reconstructs the at-cost transfer; gap = unbuilt CapEx ≈ $-1699M</t>
  </si>
  <si>
    <t>Check: launch build costs not yet populated, so variable cost only partly reconstructs the at-cost transfer; gap = unbuilt CapEx ≈ $-3094M</t>
  </si>
  <si>
    <t>Check: launch build costs not yet populated, so variable cost only partly reconstructs the at-cost transfer; gap = unbuilt CapEx ≈ $-296M</t>
  </si>
  <si>
    <t>Check: launch build costs not yet populated, so variable cost only partly reconstructs the at-cost transfer; gap = unbuilt CapEx ≈ $441M</t>
  </si>
  <si>
    <t>Check: launch build costs not yet populated, so variable cost only partly reconstructs the at-cost transfer; gap = unbuilt CapEx ≈ $4820M</t>
  </si>
  <si>
    <t>Check: launch build costs not yet populated, so variable cost only partly reconstructs the at-cost transfer; gap = unbuilt CapEx ≈ $5173M</t>
  </si>
  <si>
    <t>Check: launch build costs not yet populated, so variable cost only partly reconstructs the at-cost transfer; gap = unbuilt CapEx ≈ $7723M</t>
  </si>
  <si>
    <t>Check: launch build costs not yet populated, so variable cost only partly reconstructs the at-cost transfer; gap = unbuilt CapEx ≈ $9590M</t>
  </si>
  <si>
    <t>Check: launch build costs not yet populated, so variable cost only partly reconstructs the at-cost transfer; gap = unbuilt CapEx ≈ $11102M</t>
  </si>
  <si>
    <t>Check: launch build costs not yet populated, so variable cost only partly reconstructs the at-cost transfer; gap = unbuilt CapEx ≈ $14011M</t>
  </si>
  <si>
    <t>Check: launch build costs not yet populated, so variable cost only partly reconstructs the at-cost transfer; gap = unbuilt CapEx ≈ $12176M</t>
  </si>
  <si>
    <t>Check: launch build costs not yet populated, so variable cost only partly reconstructs the at-cost transfer; gap = unbuilt CapEx ≈ $6947M</t>
  </si>
  <si>
    <t>Check: launch build costs not yet populated, so variable cost only partly reconstructs the at-cost transfer; gap = unbuilt CapEx ≈ $4844M</t>
  </si>
  <si>
    <t>Check</t>
  </si>
  <si>
    <t>Demand-saturation deployment headroom (sats)</t>
  </si>
  <si>
    <t>Launch-capacity deployment ceiling (sats): same-year demand vs start-of-year capacity</t>
  </si>
  <si>
    <t>Memo: post-rebuild capacity state (Demand Curves now prices this tab)</t>
  </si>
  <si>
    <t>IPO proceeds target not disclosed; placeholder.</t>
  </si>
  <si>
    <t>▸ Lunar/Mars strategic carve-out (Monte Carlo variable)</t>
  </si>
  <si>
    <t>No S-1 data: dedicated spend unknown</t>
  </si>
  <si>
    <t>No S-1 data: default</t>
  </si>
  <si>
    <t>S-1 actual ramp: 165 launches ÷ 28 boosters ≈ 5.9 flights/booster (2025 calibration).</t>
  </si>
  <si>
    <t>F9 launches V2 through year-end 2026, stops 2027. New-V2 deployment is live up to this year.</t>
  </si>
  <si>
    <t>No 2025 anchor (V3 pre-launch). Default; heavier bus, higher Gbps.</t>
  </si>
  <si>
    <t>No 2025 anchor. Roughly 10× V2 per public V3 guidance; default.</t>
  </si>
  <si>
    <t>Government bus is heavier (hardened). Default.</t>
  </si>
  <si>
    <t>Starship payload 100,000 kg ÷ V3 1,500 kg ≈ 60 sats/launch (volume-limited).</t>
  </si>
  <si>
    <t>Double-count flag: default OFF until confirmed terminal-factory CapEx isn't double-counted.</t>
  </si>
  <si>
    <t>Placeholder: driver = derive from Starlink bandwidth (Gbps) year-over-year growth. Flat ~56/yr in 2025.</t>
  </si>
  <si>
    <t>▸ MISSING-CAPEX PROGRAMS</t>
  </si>
  <si>
    <t>▸ Curve evaluators (year-row, read by the Starlink module)</t>
  </si>
  <si>
    <t>Memo: F9 price set to $54.8M lands 2025 Launch Services = $2,575.6M (target $2,576M) + Launch &amp; Delivery $1,510M → revenue $4,085.6M ≈ S-1 Space $4,086M.</t>
  </si>
  <si>
    <t>F9 owned-vehicle D&amp;A per launch ($mm)            ◄ interface to Starlink</t>
  </si>
  <si>
    <t>Starship owned-vehicle D&amp;A per launch ($mm)      ◄ interface to Starlink</t>
  </si>
  <si>
    <t>Memo: launch cadence (Wright's Law) is driven by total fleet cumulative up-mass (row 76 = Σ row 32 Starship launches × payload) — all flights, internal Starlink + commercial, not customer-launch flights only. Do not repoint.</t>
  </si>
  <si>
    <t>Memo: F9 internal (model) vs S-1 core Starlink + Starshield</t>
  </si>
  <si>
    <t>Memo: F9 customer (model) vs S-1 customer − Starshield</t>
  </si>
  <si>
    <t>Memo: total F9 (model) vs S-1 total 171 (132 internal + 38.6 customer)</t>
  </si>
  <si>
    <t>▸ MISSING-CAPEX BUCKETS (prior-year-driven; 2025 = current-year anchor)</t>
  </si>
  <si>
    <t>RETIRED (orbital-data-centre ground stations installed)</t>
  </si>
  <si>
    <t>RETIRED (orbital-data-centre ground stations CapEx)</t>
  </si>
  <si>
    <t>Memo: Σ new infrastructure CapEx ex-terminal ($mm)</t>
  </si>
  <si>
    <t>Memo: Group EBITDA 2025 variance vs $8,690M</t>
  </si>
  <si>
    <t>Memo: Group D&amp;A 2025 variance vs $1,060M</t>
  </si>
  <si>
    <t>D&amp;A + Lunar-Mars book-value guard</t>
  </si>
  <si>
    <t>EBIT consistency</t>
  </si>
  <si>
    <t>Cash-flow identity</t>
  </si>
  <si>
    <t>Memo: normalization delta (accrual walk − normalized walk) ($mm)</t>
  </si>
  <si>
    <t>▸ Starlink R&amp;D attribution rule</t>
  </si>
  <si>
    <t>▸ Starship R&amp;D total ($mm/yr): splits across modules by launch share</t>
  </si>
  <si>
    <t>Fully-loaded marginal cost build-up: $10M 2nd stage (consumed) + $5M per-launch ops + $1.25M fairing net of 75% recovery + $0.9M booster refurb + $0.6M amortized booster + ~$2.25M allocated fixed (insurance/range/facility) = $20M. Distinct from F9 customer launch price ($111M; commercial margin $91M = 82%).</t>
  </si>
  <si>
    <t>Build-up at 2027 first-commercial year: $23.4M 2nd stage (consumed each flight) + $0.05M amortized Super Heavy over 24 cadence × 30 reuses + $0.7M Super Heavy refurb (2% × $35.1M) + ~$1M per-launch ops = $25M. Distinct from Starship customer launch price ($100M; commercial margin $75M = 75%). Learning-curve decline 8%/yr on cumulative up-mass.</t>
  </si>
  <si>
    <t>F9 booster realized service life given cadence 6.0 × life 8 = 48 launches per booster.</t>
  </si>
  <si>
    <t>Cost decomposition: 2nd stage $10M + ops $5M + fairing net $1.25M = $16.25M. Declines 2%/yr.</t>
  </si>
  <si>
    <t>Decomposition: propellant $1.5 + tiles/consumables $3.5 = $5M. Full-reuse architecture much cheaper than F9.</t>
  </si>
  <si>
    <t>Cost decomposition; decline matches the at-cost learning curve.</t>
  </si>
  <si>
    <t>Variable cost of goods, scales with served Gbps × utilisation. Single de-duplicated input.</t>
  </si>
  <si>
    <t>Starshield fixed price ($164,699), no demand curve. Raw $ (not $mm), preserving the exact 2025 figure.</t>
  </si>
  <si>
    <t>2025 anchor solved: 15,300 × $164,699 ÷ 1e6 × utilisation 1.0 = $2,519.9M ≈ $2,520M. Growth via the input below.</t>
  </si>
  <si>
    <t>Drives the year-row Starshield growth from the 2025 anchor.</t>
  </si>
  <si>
    <t>New sats deployed 2025 (= cumulative end-2025 11,326 − cumulative end-2024 7,486 = 3,840). Splits V2 broadband / V2 direct-to-cell / Starshield per the deployment-split inputs.</t>
  </si>
  <si>
    <t>Starshield largely 2025-on; seed near 0, calibrate to $2,520M 2025 revenue via active-Gbps instead.</t>
  </si>
  <si>
    <t>Reconciliation: government take-or-pay ≈ 100%. With active Gbps 15,300 × $164,699 × 1.0 = $2,520M.</t>
  </si>
  <si>
    <t>F9 manifests ~23–26 V2 Mini per launch. Calibrates F9-internal to ≈132 (2025).</t>
  </si>
  <si>
    <t>Booster 54 + ship 36 (60/40 split). Produces ~$58.5M in 2025 via the F9 seed. Monte Carlo range 70–110.</t>
  </si>
  <si>
    <t>≈4 successful integrated flight tests at end-2024. Denominator of the cost learning-curve ratio. Monte Carlo range 2–10.</t>
  </si>
  <si>
    <t>GLOBAL</t>
  </si>
  <si>
    <t>ALLOCATOR</t>
  </si>
  <si>
    <t>Customer Launch IRR anchor.</t>
  </si>
  <si>
    <t>CAPACITY (Starship + F9)</t>
  </si>
  <si>
    <t>CUSTOMER LAUNCH</t>
  </si>
  <si>
    <t>STARLINK</t>
  </si>
  <si>
    <t>▸ Bandwidth flow → superseded by the AI/Compute section; see orbital-compute↔Starlink elimination</t>
  </si>
  <si>
    <t>ODC — RETIRED, superseded by the AI/Compute section. Memos below retained.</t>
  </si>
  <si>
    <t>AI STACK — RETIRED, superseded by the AI/Compute section. Memos below retained.</t>
  </si>
  <si>
    <t>LUNAR / MARS (strategic carve-out: not in the IRR queue)</t>
  </si>
  <si>
    <t>OPEX (Group-level + module-attributed R&amp;D parameters)</t>
  </si>
  <si>
    <t>CAPEX (corporate + spectrum + module aggregation)</t>
  </si>
  <si>
    <t>VALUATION</t>
  </si>
  <si>
    <t>Diagnostic only; not an allocator input. Monte Carlo range 120–400.</t>
  </si>
  <si>
    <t>▸ AI-COMPUTE SHARED DRIVERS (derived on-tab; no demand curve)</t>
  </si>
  <si>
    <t>▸ CARVE-OUT CASH RECEIPT (taken off the top, before the IRR allocation)</t>
  </si>
  <si>
    <t>▸ DEMAND-DRIVEN FLEET SIZING (forward-demand pull, no circular reference)</t>
  </si>
  <si>
    <t>Redmond opening value ~$425M (estimate). Monte Carlo range 250–800.</t>
  </si>
  <si>
    <t>~70/week at Redmond; grows with V3. Monte Carlo range 3,000–10,000.</t>
  </si>
  <si>
    <t>Structural.</t>
  </si>
  <si>
    <t>Smoothing factor. Monte Carlo range 0.7–1.3.</t>
  </si>
  <si>
    <t>TX Gigabay $250M; FL $1.8B bundles launch infrastructure (wide range). Monte Carlo range 250–1,800.</t>
  </si>
  <si>
    <t>100 ships/yr throughput now; 365 = “ship a day” ceiling. Monte Carlo range 50–365.</t>
  </si>
  <si>
    <t>SLC-4E ~$20–30M (Falcon); Starship pads (towers + tank farm) far higher, no public figure, base 200 mid-estimate. Monte Carlo range 20–500.</t>
  </si>
  <si>
    <t>SLC-37 approved for up to 76/yr. Monte Carlo range 40–120.</t>
  </si>
  <si>
    <t>McGregor 2nd Raptor factory; no public figure (estimate). Monte Carlo range 100–500.</t>
  </si>
  <si>
    <t>800–1,000/yr 2nd factory. Monte Carlo range 800–2,000.</t>
  </si>
  <si>
    <t>Bastrop $280M expansion. Monte Carlo range 100–500.</t>
  </si>
  <si>
    <t>~8.5M/yr, doubling in 2026. Monte Carlo range 4,000,000–17,000,000.</t>
  </si>
  <si>
    <t>Estimate.</t>
  </si>
  <si>
    <t>HQ ~$53M / ~$10B revenue (estimate). Monte Carlo range 0.003–0.01.</t>
  </si>
  <si>
    <t>Full production line, ~1,000 ships/yr (estimate, under construction late 2025/2026 — awaiting real figure). One-time capital project, not volume-triggered. Monte Carlo range 500–3,000.</t>
  </si>
  <si>
    <t>Spreads the one-time Starfactory CapEx over its 2025–2026 construction (structural).</t>
  </si>
  <si>
    <t>Effective-Gbps lever (not physical throughput). Derived: 2025 Starlink Mobile revenue $632M inverted through the direct-to-cell demand curve → 577.6 total direct-to-cell Gbps ÷ 655 V2 direct-to-cell sats = 0.882. Monte Carlo range 0.5–1.4.</t>
  </si>
  <si>
    <t>Module-level fixed network operations + network admin, distinct from the %-of-traffic ground cost line. Not corporate G&amp;A. Free variable for the $4,423M operating-income tie-out. Monte Carlo range 0.015–0.04.</t>
  </si>
  <si>
    <t>Real snapshot (2025-12-26). Deorbits to 0; no new launches. Monte Carlo range 800–920.</t>
  </si>
  <si>
    <t>Satellite spec sheet (structural).</t>
  </si>
  <si>
    <t>Real snapshot. Deorbits to 0. Monte Carlo range 2,500–2,800.</t>
  </si>
  <si>
    <t>Satellite spec (structural).</t>
  </si>
  <si>
    <t>Real snapshot. Fixed cohort, no new V2 direct-to-cell ever. Deorbits. Monte Carlo range 640–670.</t>
  </si>
  <si>
    <t>Real snapshot count (4,314 V2 Mini broadband sats × 96 Gbps = 414,144). Used by Constellation Build. Monte Carlo range 4,200–4,400.</t>
  </si>
  <si>
    <t>Real V1 spec mass (structural).</t>
  </si>
  <si>
    <t>Real V1.5 spec mass (structural).</t>
  </si>
  <si>
    <t>Calibrated to Space segment SG&amp;A $349M ÷ $4,086M = 8.5%. Single module OpEx line (launch site/ground ops + segment SG&amp;A). Free variable for OpEx calibration; corporate-unallocated G&amp;A stays at Group level. Monte Carlo range 0.05–0.12.</t>
  </si>
  <si>
    <t>Over-time stream (NASA CRS Dragon cargo + DoW development). Base 1,510 (2025), grows +5%/yr with the government launch/CRS pipeline. Monte Carlo range 1,200–1,800.</t>
  </si>
  <si>
    <t>Operator-confidence lag behind internal Starship ops. Logistic ramp: ≈0 in 2027, ≈1 by 2033, then flat; forced to 0 for 2025–2027. Monte Carlo range 0–1.0.</t>
  </si>
  <si>
    <t>Flat scaler on broadband curve revenue. Base calibrates implied broadband subscribers to the disclosed 8.9M (2025). Represents demand variance, independent of the time-based market escalator. Monte Carlo range 0.9–1.3.</t>
  </si>
  <si>
    <t>Same as broadband, for direct-to-cell. Base = 1.0 to preserve the $632M direct-to-cell calibration (the 0.882 effective-Gbps lever already ties it). Represents direct-to-cell demand variance. Monte Carlo range 0.9–1.3.</t>
  </si>
  <si>
    <t>Monte Carlo range 0.50–0.70.</t>
  </si>
  <si>
    <t>Reconciles the prior 0.10 manufacturing-learning row for the manufacturing curve. Monte Carlo range 0.10–0.25.</t>
  </si>
  <si>
    <t>Split out of the prior $12M combined ops + fuel + refurb. Monte Carlo range 6–16.</t>
  </si>
  <si>
    <t>Split from $12M; applies only when the booster is reused. Monte Carlo range 0.8–2.0.</t>
  </si>
  <si>
    <t>Split from $12M; applies only in Config 1 (ship reused). Monte Carlo range 0.4–1.5.</t>
  </si>
  <si>
    <t>Applies to all three ops/refurb split rows. Monte Carlo range 0.05–0.15.</t>
  </si>
  <si>
    <t>Orbital reentry makes the ship harder to reuse than the booster (50). Monte Carlo range 10–40.</t>
  </si>
  <si>
    <t>Mid-horizon payload anchor; 2025 base = fully-reusable payload 100,000; cap 250,000. Monte Carlo range 150,000–250,000.</t>
  </si>
  <si>
    <t>Sharpness of the V3 broadband-vs-direct-to-cell IRR weighting. Parallel to the top-level concentration parameter. Monte Carlo range 0.5–3.</t>
  </si>
  <si>
    <t>Joint venture with Tesla. SpaceX books this share of fab CapEx + D&amp;A; Tesla funds the rest. Placeholder, set from the Tesla deal terms. Monte Carlo range 0.40–0.60.</t>
  </si>
  <si>
    <t>2025 paying AI-app customers (current). Monte Carlo range 2–5.</t>
  </si>
  <si>
    <t>Total addressable AI-app subscribers. Monte Carlo range 300–900.</t>
  </si>
  <si>
    <t>Maximum penetration. Monte Carlo range 0.40–0.80.</t>
  </si>
  <si>
    <t>Adoption slope (per yr). Monte Carlo range 0.30–0.60.</t>
  </si>
  <si>
    <t>Blended AI-app pricing; calibrate ~2030 revenue. Monte Carlo range 120–240.</t>
  </si>
  <si>
    <t>Blended usage intensity. Monte Carlo range 5–15.</t>
  </si>
  <si>
    <t>Year the IRR scaling switches on; before this year the carve-out stays at the base % (structural).</t>
  </si>
  <si>
    <t>At or above this average prior-year spot IRR (3 modules), the carve-out stays at the base %. Monte Carlo range 0.40–0.70.</t>
  </si>
  <si>
    <t>At or below this average prior-year spot IRR, the carve-out hits the ceiling %. Must be below the high anchor. Monte Carlo range 0.05–0.15.</t>
  </si>
  <si>
    <t>Maximum carve-out % of prior-year free cash flow in a depressed-IRR world. Must be ≥ the base % (0.15). Monte Carlo range 0.25–0.50.</t>
  </si>
  <si>
    <t>Re-derives the GPU-hour year-row from the 2025 anchor of $2.00. −5%/yr is the current implied schedule. Monte Carlo range −0.08 to −0.02.</t>
  </si>
  <si>
    <t>Re-derives the power year-row from the anchor of $0.06/kWh. +5% is the current implied schedule. Monte Carlo range 0.03–0.10.</t>
  </si>
  <si>
    <t>Escalates the terrestrial $/MW build ($20mm) via (1+rate)^years. 4.7% is the data-centre construction-escalation consensus, net of 40% chips. Monte Carlo range 0.02–0.08. Anchor $/MW Monte Carlo range 14–26mm.</t>
  </si>
  <si>
    <t>2025 installed merchant H100-equivalent compute the model can address. Set to 3 (consistent with the ~1M-satellite ceiling). Monte Carlo range 1–6.</t>
  </si>
  <si>
    <t>Build to (1+buffer)× demand so capacity isn't pinned exactly at demand. Monte Carlo range 0.05–0.30.</t>
  </si>
  <si>
    <t>Applied to the chip-throughput (FP8) year-row from the 2030 anchor (4,500 TFLOPS, B200-class): 4,500×(1+rate)^(yr−2030). +8%/yr ≈ a generational doubling every ~9 years, slowing from history. Lifts compute per sat and terrestrial compute. Monte Carlo range 0.04–0.14.</t>
  </si>
  <si>
    <t>Applied to chip power draw from the 2027 anchor (600W) forward. −1%/yr is mild efficiency gain (more chips per fixed satellite power budget). Net compute-per-sat growth ≈ throughput growth − power-draw change. Monte Carlo range −0.03 to 0.02.</t>
  </si>
  <si>
    <t>Annual secular decline in chip cost per TFLOPS. Calibrated to 0.10 (above the +8%/yr throughput growth) so the cost line declines in out-years. Note: a 15–35% orbital-compute IRR target band is structurally unreachable through this rate alone — out-year returns run ~78–161% across the full range. Monte Carlo range 0.04–0.12.</t>
  </si>
  <si>
    <t>Structural toggle. For years before the gate, orbital compute gets zero cash and builds zero sats; that cash redirects to terrestrial data centres. Set the gate year to 2025 to disable it.</t>
  </si>
  <si>
    <t>$20bn Goldman-led bridge at ~4.58% effective rate.</t>
  </si>
  <si>
    <t>Hard backstop: forced straight-line amortisation of the residual balance to reach 0 by this year.</t>
  </si>
  <si>
    <t>Draws permitted only up to this year (Terafab build + ramp). Structural.</t>
  </si>
  <si>
    <t>Sharpness of the within-AI orbital-vs-terrestrial IRR weighting. Decoupled from the top-level 3-module parameter for independent tuning. 1.0 = prior behaviour. Monte Carlo range 0.5–3.</t>
  </si>
  <si>
    <t>Year the V4 / stretched-payload plateau (~200t) is reached. Pairs with the payload anchor (150k–250k) and the 250k cap. Monte Carlo range 2028–2033.</t>
  </si>
  <si>
    <t>▸ IRR-weighted allocation parameters</t>
  </si>
  <si>
    <t>Allocation sharpness β (top-level 3-module blend)</t>
  </si>
  <si>
    <t>▸ Customer Launch IRR life clamps</t>
  </si>
  <si>
    <t>Calibration knob set to 21 (from a base of 25) so 2025 manufacturing/stack cost = $58.5M. Monte Carlo range 10–50.</t>
  </si>
  <si>
    <t>Allocation sharpness β: Starlink broadband / direct-to-cell sub-split</t>
  </si>
  <si>
    <t>Allocation sharpness β: AI orbital / terrestrial sub-split</t>
  </si>
  <si>
    <t>▸ IRR-DRIVEN COHORT ALLOCATION: prior-year spot IRR weights per-cohort affordability (broadband vs direct-to-cell)</t>
  </si>
  <si>
    <t>Allocation weight: broadband (V2 era = 1)</t>
  </si>
  <si>
    <t>Allocation weight: direct-to-cell</t>
  </si>
  <si>
    <t>F9 Spot IRR (reporting only, excluded from allocation)</t>
  </si>
  <si>
    <t>Starship Spot IRR (competes in the IRR-weighted allocation)</t>
  </si>
  <si>
    <t>Remaining pool for IRR-weighted allocation ($mm): gated to 0 in the 2025 anchor year; allocation operative 2026 onward</t>
  </si>
  <si>
    <t>▸ TOP-LEVEL IRR-WEIGHTED ALLOCATION: allocated cash = 0 in the 2025 anchor year; operative 2026→2050 (shares sum to 1)</t>
  </si>
  <si>
    <t>Allocation share: Starlink</t>
  </si>
  <si>
    <t>Allocation share: Customer Launch</t>
  </si>
  <si>
    <t>Allocation share: AI-Compute</t>
  </si>
  <si>
    <t>Allocation share: orbital (ODC)</t>
  </si>
  <si>
    <t>Allocation share: terrestrial</t>
  </si>
  <si>
    <t>Memo: satellite-manufacturing CapEx (2025 ≈ $200M reference)</t>
  </si>
  <si>
    <t>Memo: launch/vehicle CapEx (2025 ≈ $593M reference; low today: Starship ships = 0)</t>
  </si>
  <si>
    <t>Memo: HQ CapEx (2025 ≈ $53M reference)</t>
  </si>
  <si>
    <t>▸ AI - COMPUTE OUT CONTRACT — extended</t>
  </si>
  <si>
    <t>▸ AI - COMPUTE OUT CONTRACT</t>
  </si>
  <si>
    <t>▸ AI: AI Apps demand uplift (un-flatten ARPU + tokens/sub)</t>
  </si>
  <si>
    <t>Launch demand price elasticity e (extra, on $/kg)</t>
  </si>
  <si>
    <t>Launch demand elasticity multiplier cap (x)</t>
  </si>
  <si>
    <t>Launch IRR slug working-capital % of build</t>
  </si>
  <si>
    <t>Canonical T=0 working capital per vehicle as a % of that vehicle's build cost. Completes the IRR CapEx slug. Immaterial to IRR; included for formula completeness. Base 0.05; MC range 0.02–0.10 (triangle). Feeds Customer Launch rows 92/96.</t>
  </si>
  <si>
    <t>Memo: best-available launch $/kg index ($mm/kg, readiness-blended)</t>
  </si>
  <si>
    <t>Memo: launch demand elasticity multiplier (x)</t>
  </si>
  <si>
    <t>▸ §IRR allocation soft floor</t>
  </si>
  <si>
    <t>Allocator min softmax share floor per module (frac)</t>
  </si>
  <si>
    <t>Floor on each top-level module's allocation share via share = floor + (1−N·floor)·softmax, N=3. 0.00 reproduces pure softmax. Structural cap: floor &lt; 1/N = 0.333 so (1−3·floor) &gt; 0. Base 0.05; MC range 0.00–0.10 (triangle). Lets AI-Compute seed/ramp and funds late-Starlink replacement capex instead of zeroing it.</t>
  </si>
  <si>
    <t>Memo: expanded commercial launch $TAM ($mm, elastic — baseline row 13 × multiplier)</t>
  </si>
  <si>
    <t>Memo: expanded government launch $TAM ($mm, elastic — baseline row 14 × multiplier)</t>
  </si>
  <si>
    <t>Memo: SpaceX Launch-Services rev as % of expanded $TAM (coherence check, must be &lt;100%)</t>
  </si>
  <si>
    <t>Notes:</t>
  </si>
  <si>
    <t xml:space="preserve">Despite </t>
  </si>
  <si>
    <t>Chip operating temp (K)</t>
  </si>
  <si>
    <t>A8.7 ODC thermal rebuild. Radiator hot-side temp. MC range 350–375 (triangle). Feeds AI - Compute R216.</t>
  </si>
  <si>
    <t>Radiator delta-T (K)</t>
  </si>
  <si>
    <t>A8.7. Temperature drop hot-side to radiating surface. MC range 10–25 (triangle). Feeds AI - Compute R216.</t>
  </si>
  <si>
    <t>Radiator emissivity (0-1)</t>
  </si>
  <si>
    <t>A8.7. Radiating surface emissivity ε. MC range 0.85–0.95 (triangle). Feeds AI - Compute R216.</t>
  </si>
  <si>
    <t>Environmental heat load q_env (W/m²)</t>
  </si>
  <si>
    <t>A8.7. Absorbed environmental flux subtracted from gross rejection. MC range 100–240 (triangle). Feeds AI - Compute R216.</t>
  </si>
  <si>
    <t>Two-sided radiator factor</t>
  </si>
  <si>
    <t>A8.7. Both faces radiate. Structural — no MC. Feeds AI - Compute R216.</t>
  </si>
  <si>
    <t>Radiator areal density anchor 2025 (kg/m²)</t>
  </si>
  <si>
    <t>A8.7. 2025 radiator mass per m². MC range 5.0–6.5 (triangle). Glides to mature (B480). Feeds AI - Compute R218.</t>
  </si>
  <si>
    <t>Radiator areal density mature (kg/m²)</t>
  </si>
  <si>
    <t>A8.7. Mature radiator areal density (reached B453=2040). Near McKenzie frontier — flag as aggressive external-facing. MC range 2.5–5.0 (triangle). Feeds AI - Compute R218.</t>
  </si>
  <si>
    <t>Heat transport anchor 2025 (kg/kW)</t>
  </si>
  <si>
    <t>A8.7. 2025 heat-transport (heat pipe / pump loop) mass per kW. MC range 2.0–3.0 (triangle). Glides to mature (B482). Feeds AI - Compute R219.</t>
  </si>
  <si>
    <t>Heat transport mature (kg/kW)</t>
  </si>
  <si>
    <t>A8.7. Mature heat-transport mass per kW (report Base). Aggressive — flag external-facing. MC range 0.8–2.0 (triangle). Feeds AI - Compute R219.</t>
  </si>
  <si>
    <t>Deployable area penalty (kg/m²)</t>
  </si>
  <si>
    <t>A8.7. Extra structural mass per m² for deployable radiator. MC range 0.1–0.5 (triangle). Feeds AI - Compute R25.</t>
  </si>
  <si>
    <t>Solar specific power anchor 2025 (W/kg)</t>
  </si>
  <si>
    <t>A8.7. 2025 solar array specific power. MC range 130–250 (triangle). Glides to mature (B485). Feeds AI - Compute R220.</t>
  </si>
  <si>
    <t>Solar specific power mature (W/kg)</t>
  </si>
  <si>
    <t>A8.7. Mature solar specific power (reached B453=2040). MC range 300–450 (triangle). Feeds AI - Compute R220.</t>
  </si>
  <si>
    <t>Other non-thermal mass: bus+structure+compute (kg)</t>
  </si>
  <si>
    <t>A8.7. Bus + primary structure + compute payload mass per sat. MC range 400–750 (triangle). Feeds AI - Compute R222.</t>
  </si>
  <si>
    <t>[SUPERSEDED A8.7] Sat base mass (non-thermal) (kg)</t>
  </si>
  <si>
    <t>SUPERSEDED by A8.7 bottom-up rebuild. Old 750 kg residual base; orphaned (R25 no longer reads it). Retained to avoid ref breakage; do not delete.</t>
  </si>
  <si>
    <t>[SUPERSEDED A8.7] ODC power density anchor 2025 (kW/ton)</t>
  </si>
  <si>
    <t>SUPERSEDED by A8.7. Was a DRIVER of dry mass; R215 is now an OUTPUT memo (=B336/R26*1000). Orphaned as a driver. Retained to avoid ref breakage. (Old note: 2025 kW/ton, MC 50–60.)</t>
  </si>
  <si>
    <t>[SUPERSEDED A8.7] ODC power density target (kW/ton)</t>
  </si>
  <si>
    <t>SUPERSEDED by A8.7. Was the mature kW/ton driver target; R215 now emerges as output bounded by areal-density floor. Orphaned as a driver. Retained to avoid ref breakage. (Old note: mature kW/ton ~2040, MC 80–120.)</t>
  </si>
  <si>
    <t>Radiator net rejection (W/m²): A8.7</t>
  </si>
  <si>
    <t>Radiator area (m²): A8.7</t>
  </si>
  <si>
    <t>Radiator areal density (kg/m², glide): A8.7</t>
  </si>
  <si>
    <t>Heat transport (kg/kW, glide): A8.7</t>
  </si>
  <si>
    <t>Solar specific power (W/kg, glide): A8.7</t>
  </si>
  <si>
    <t>Solar array mass (kg): A8.7</t>
  </si>
  <si>
    <t>Non-thermal base mass (kg): A8.7</t>
  </si>
  <si>
    <t>ODC power density (kW/ton): OUTPUT memo (A8.7)</t>
  </si>
  <si>
    <t>Launch Dashboard — actual launches flown, by module, per year</t>
  </si>
  <si>
    <t>Read-only. Direct pulls from module tabs. Each module row is the realized (capped) launch count; total = their sum.</t>
  </si>
  <si>
    <t>▸ STARSHIP LAUNCHES FLOWN (count/yr)</t>
  </si>
  <si>
    <t>Starlink (internal)</t>
  </si>
  <si>
    <t>Customer Launch (commercial)</t>
  </si>
  <si>
    <t>AI-Compute / ODC</t>
  </si>
  <si>
    <t>Lunar / Mars</t>
  </si>
  <si>
    <t>Total Starship launches</t>
  </si>
  <si>
    <t>▸ MODULE SHARE OF STARSHIP LAUNCHES (%)</t>
  </si>
  <si>
    <t>▸ F9 LAUNCHES FLOWN (count/yr) — legacy, winding down</t>
  </si>
  <si>
    <t>Starlink (internal) F9</t>
  </si>
  <si>
    <t>Customer Launch F9</t>
  </si>
  <si>
    <t>Total F9 launches</t>
  </si>
  <si>
    <t>▸ TOTAL LAUNCHES, ALL VEHICLES (count/yr)</t>
  </si>
  <si>
    <t>Starship</t>
  </si>
  <si>
    <t>F9</t>
  </si>
  <si>
    <t>Grand total</t>
  </si>
  <si>
    <t>Starship sats per launch (V3, mass-derived)</t>
  </si>
  <si>
    <t>Starship sats per launch (V3 packing): RETIRED — superseded by mass-derived sats/launch (Starlink R205)</t>
  </si>
  <si>
    <t>▸ ABSORPTIVE-CAPACITY WATER-FILL (top-level, A-refresh V4.102)</t>
  </si>
  <si>
    <t>Desired cash: Starlink ($mm)</t>
  </si>
  <si>
    <t>Desired cash: Customer Launch ($mm)</t>
  </si>
  <si>
    <t>Desired cash: AI-Compute ($mm)</t>
  </si>
  <si>
    <t>Capped: Starlink ($mm)</t>
  </si>
  <si>
    <t>Capped: Customer Launch ($mm)</t>
  </si>
  <si>
    <t>Capped: AI-Compute ($mm)</t>
  </si>
  <si>
    <t>Water-fill residual ($mm)</t>
  </si>
  <si>
    <t>Headroom: Starlink ($mm)</t>
  </si>
  <si>
    <t>Headroom: Customer Launch ($mm)</t>
  </si>
  <si>
    <t>Headroom: AI-Compute ($mm)</t>
  </si>
  <si>
    <t>Spillover weight: Starlink</t>
  </si>
  <si>
    <t>Spillover weight: Customer Launch</t>
  </si>
  <si>
    <t>Spillover weight: AI-Compute</t>
  </si>
  <si>
    <t>Σ spillover weight</t>
  </si>
  <si>
    <t>Allocated final: Starlink ($mm)</t>
  </si>
  <si>
    <t>Allocated final: Customer Launch ($mm)</t>
  </si>
  <si>
    <t>Allocated final: AI-Compute ($mm)</t>
  </si>
  <si>
    <t>Date</t>
  </si>
  <si>
    <t>Sprint</t>
  </si>
  <si>
    <t>Tabs touched</t>
  </si>
  <si>
    <t>Summary</t>
  </si>
  <si>
    <t>Outstanding</t>
  </si>
  <si>
    <t>Next sprint</t>
  </si>
  <si>
    <t>CAE Absorptive-Capacity Water-Fill (V4.102 refresh)</t>
  </si>
  <si>
    <t>Cash Allocation Engine (+ new Claude Log tab)</t>
  </si>
  <si>
    <t>Wired empty caps R64 (Starlink=SL!38xSL!37) and R65 (CL=CL!113) across F:AC (D/E pre-wired). Appended top-level capacity-capped softmax water-fill block R112:R129 (desired/capped/residual/headroom/spillover-weight/final). Repointed R39&lt;-R127, R40&lt;-R128, AI L2 R85&lt;-R82*R129 / R86&lt;-R83*R129, and R90 Terr-cap third arg to R129 (was raw R37*R25). RESULT: CL allocated collapses from $228B/$496B/$656B (2033/35/37) to its ~$1.4-1.8B deployable cap; AI-Compute allocated rises to $69.6B-$187B; no cash stranded. ODC sats deployed (AI R45) ~49k/21k/52.6k; 2037 binder flips cash-&gt;launch-kg. VERIFY: 0 errors; Sigma final&lt;=pool all yrs (no creation); 5x round-trip maxMove=$0; 2025 anchor preserved; R60=0; R93 no negatives. Iteration ON (1000/1e-7).</t>
  </si>
  <si>
    <t>ODC launch ramp is multi-year (prior-yr IRR lag) per spec sec7 - not a one-year jump. R61 VB CapEx shows pre-existing $487.8M residual (2026), out of scope (Rule 8). 2045+ SL/CL caps=0 where source=0; AI absorbs.</t>
  </si>
  <si>
    <t>Constant-elasticity exponent on best-available launch $/kg vs 2025 reference. Total price-elasticity of demand ≈ 1+e once the (currently inert, constant-price) ÷price term is reactivated. Dialled down to reduce low-value CL launch inflation. Base 0.35; MC range 0.2–0.6 (triangle). Feeds Customer Launch row 139.</t>
  </si>
  <si>
    <t>Maximum cheap-launch market-expansion factor. The row-139 multiplier is bounded here. Dialled down from 2.0 to curb low-value CL launch count. 1.0 = expansion off (reverts to pure-CAGR market). Base 1.2; MC range 1.0–1.5 (triangle). Feeds Customer Launch row 139.</t>
  </si>
  <si>
    <t>Max Starship launch capacity (kg/yr ceiling): 0 = off</t>
  </si>
  <si>
    <t>Optional finite ceiling on annual Starship launch capacity available to the allocator (CAE R48). 0 disables (no ceiling → behaviour identical to today). Set to a finite kg/yr to force scarcity; high-value ODC+Starlink fill first, Customer Launch (residual) absorbs the cut. Structural — no MC. Feeds Cash Allocation Engine R48.</t>
  </si>
  <si>
    <t>Patch Launch-Rebalancing</t>
  </si>
  <si>
    <t>Assumptions, Cash Allocation Engine</t>
  </si>
  <si>
    <t>Part 1: dialled CL elasticity cap B469 2.0-&gt;1.2 and price-elasticity B468 0.5-&gt;0.35 (notes updated to MC 1.0-1.5 / 0.2-0.6). CL R139 multiplier 2030=1.16, 2035/40=1.20 (at cap); CL commercial launches R47 2040 fell 984-&gt;590. Part 2: rewired kg gate R50/R51/R52 to value-priority waterfall using direct same-tab refs - Starlink (R50=G99*MIN(1,cap/(G99+G101))) + ODC/AI (R52=G101*MIN(1,...)) fill first pro-rata; Customer Launch = pure RESIDUAL (R51=MAX(0,G48-G50-G52)). Binding yrs (2028/2030, R49=1): CL-&gt;0, SL+ODC=cap. Surplus yrs (2035/2040): SL &amp; ODC get full desired, CL takes leftover (&gt;0). Part 3: appended optional capacity-ceiling input B488 (default 0=off) and rewired R48 to MIN(IF(ceiling=0,1E30,ceiling),MAX(0,VB!68-LM)). VERIFY: 0 errors workbook-wide; R50+R51+R52&lt;=R48 every yr, none negative; 5x round-trip maxMove=$0; R48 byte-identical to pre-patch with ceiling off; 2025 anchor preserved. Iteration ON (1000/1e-7).</t>
  </si>
  <si>
    <t>Part 2 value-gate is latent in surplus yrs 2032-2040 (capacity not binding) - reduces CL launches via Part 1 there, reallocates only when capacity binds. Part 3 ceiling left at 0 (off): tune below ~2035 total desired kg to force scarcity and watch CL absorb the cut. ODC near-term launch growth still cash-gated by V4.104 water-fill ramp. Pre-existing S17 conservation flag = '2040 horizon-edge n/a' on revenue-tie row, not patch-related (Rule 8).</t>
  </si>
  <si>
    <t>▸ ALLOCATOR: ODC Construction Facility (debt layer)</t>
  </si>
  <si>
    <t>ODC construction facility cap ($mm)</t>
  </si>
  <si>
    <t>ODC facility interest rate (annual)</t>
  </si>
  <si>
    <t>ODC facility draw-window end year</t>
  </si>
  <si>
    <t>ODC facility repaid-by year</t>
  </si>
  <si>
    <t>ODC facility FCF repayment sweep (%)</t>
  </si>
  <si>
    <t>Max outstanding ODC construction debt. Early-ramp gap (2028–2033) ≈ $250–300bn. Large by design — funds a ~$190bn/yr sat build; partly self-funding via ODC compute FCF sweep. MC 100000–600000. Raise when demand-cap lifts.</t>
  </si>
  <si>
    <t>Annual interest on outstanding ODC facility balance. Matches Terafab (B429). MC 0.03–0.07.</t>
  </si>
  <si>
    <t>Draws permitted only through this year. Structural. Extend to 2040+ once the demand update lands so it funds the late-year rollout.</t>
  </si>
  <si>
    <t>Straight-line backstop year if FCF sweep hasn't cleared the balance. Structural.</t>
  </si>
  <si>
    <t>Share of positive prior-year AI-module FCF swept to repay the ODC facility. MC 0.3–0.7.</t>
  </si>
  <si>
    <t>▸ ODC CONSTRUCTION FACILITY (debt layer — funds ODC sat rollout)</t>
  </si>
  <si>
    <t>ODC pool allocation ($mm)</t>
  </si>
  <si>
    <t>ODC facility draw ($mm)</t>
  </si>
  <si>
    <t>ODC facility interest ($mm)</t>
  </si>
  <si>
    <t>ODC facility repayment ($mm)</t>
  </si>
  <si>
    <t>ODC facility balance EoY ($mm)</t>
  </si>
  <si>
    <t>Memo: ODC cum draws ($mm)</t>
  </si>
  <si>
    <t>Memo: ODC cum repayments ($mm)</t>
  </si>
  <si>
    <t>Conservation: ODC Σdraw − Σrepay − balance (must = 0)</t>
  </si>
  <si>
    <t>Patch ODC-Construction-Facility</t>
  </si>
  <si>
    <t>Assumptions, Cash Allocation Engine, AI - Compute</t>
  </si>
  <si>
    <t>Added ODC construction debt facility (CAE R131:R140) mirroring the Terafab block but earmarked straight into ODC deployable cash: draw R134 = MIN(need R132 - pool R133, headroom B490-prior bal) within the draw window (B492=2035). 5 Assumptions inputs B490:B494 (cap $300B, rate 4.58%, draw-window 2035, repaid-by 2045, FCF sweep 50%). Routed draw into AI R30 (+CAE R134) and onto the cash spine R56 (+R134 -R135 interest -R136 repay). RESULT: draw fires 2026 $100.2B / 2027 $101.1B / 2028 $98.7B, balance hits the $300B cap by 2028 and holds through 2031, then FCF sweep amortizes it to 0 by 2038 (no backstop needed). ODC deployable cash (AI R30) jumps from ~$1.1B to ~$105B in 2028; sats deployed (AI R45) 2032 = 23,683 vs 25,615 target (was ~24,653 vs 60,500 pre-cash-fix). VERIFY: conservation R140=0 all yrs; cap=0 identity exact (max draw 0, spine byte-identical to V4.105); 0 errors; 5x round-trip maxMove=$0; 2025 anchor preserved (D56=24,700). Iteration ON (1000/1e-7).</t>
  </si>
  <si>
    <t>Residual ODC deployment gap in some early years is now launch-kg/demand-bound, not cash-bound (out of this facility's scope) - pair with the deployment-smoothing patch. 2040 endpoint stays demand-bound at ~301k by design (demand-cap increase NOT pursued). Extend draw-window B492 to 2040+ once the demand update lands.</t>
  </si>
  <si>
    <t>Deployment-smoothing patch; tune cap/window to taste.</t>
  </si>
  <si>
    <t>ODC CapEx need ($mm): launch-feasible deploy × cost</t>
  </si>
  <si>
    <t>Patch ODC-Facility-DrawSizing-Fix</t>
  </si>
  <si>
    <t>Cash Allocation Engine</t>
  </si>
  <si>
    <t>Fixed the facility over-draw. R132 need re-sized from demand-buildable (AI R202 target×cost, $87–181B) to launch-feasible deploy × cost = MIN(AI R32 target, R52 kg-allotment/AI R26 dry mass) × AI R40; label updated. R134 draw gated to AND(year&gt;=B424=2028, year&lt;=B492). RESULT: pre-launch draw now 0 in 2025/26/27 (was $100B/yr); 2028 need $4.66B = 1,150 sats × $4.05M (was $124B); balance peaks ~$102B in 2033 (was pinned at $300B cap from 2028) and amortizes to 0 by 2036. Draw fires only when launch capacity is available but the pool underfunds it ($3.5B 2028 → $45B 2032). ODC deployed R45 ramps 1,150/3,969/11,208/23,659 in 2028–31. VERIFY: pre-launch draw=0; conservation R140=0 all yrs; cap=0 identity exact (max draw 0); 0 errors; 5x round-trip maxMove=$0; 2025 anchor D56=24,700. Iteration ON (1000/1e-7).</t>
  </si>
  <si>
    <t>Tune cap/window; pair with deployment-smoothing patch. Residual early-year deployment gap is now correctly launch-kg-bound, not cash-bound (out of facility scope).</t>
  </si>
  <si>
    <t>Deployment-smoothing patch.</t>
  </si>
  <si>
    <t>▸ AI: AI Apps 5-bucket demand build</t>
  </si>
  <si>
    <t>AIApps Free: users 2025 (M)</t>
  </si>
  <si>
    <t>AIApps Free: user CAGR (/yr)</t>
  </si>
  <si>
    <t>AIApps Free: ARPU ($/user/yr)</t>
  </si>
  <si>
    <t>AIApps Free: ARPU CAGR (/yr)</t>
  </si>
  <si>
    <t>AIApps Free: tokens/user 2025 (M/yr)</t>
  </si>
  <si>
    <t>AIApps Free: tokens/user CAGR (/yr)</t>
  </si>
  <si>
    <t>AIApps Indiv: users 2025 (M)</t>
  </si>
  <si>
    <t>AIApps Indiv: user CAGR (/yr)</t>
  </si>
  <si>
    <t>AIApps Indiv: ARPU ($/user/yr)</t>
  </si>
  <si>
    <t>AIApps Indiv: ARPU CAGR (/yr)</t>
  </si>
  <si>
    <t>AIApps Indiv: tokens/user 2025 (M/yr)</t>
  </si>
  <si>
    <t>AIApps Indiv: tokens/user CAGR (/yr)</t>
  </si>
  <si>
    <t>AIApps API: users 2025 (M)</t>
  </si>
  <si>
    <t>AIApps API: user CAGR (/yr)</t>
  </si>
  <si>
    <t>AIApps API: ARPU ($/acct/yr)</t>
  </si>
  <si>
    <t>AIApps API: ARPU CAGR (/yr)</t>
  </si>
  <si>
    <t>AIApps API: tokens/user 2025 (M/yr)</t>
  </si>
  <si>
    <t>AIApps API: tokens/user CAGR (/yr)</t>
  </si>
  <si>
    <t>AIApps Ent: seats 2025 (M)</t>
  </si>
  <si>
    <t>AIApps Ent: user CAGR (/yr)</t>
  </si>
  <si>
    <t>AIApps Ent: ARPU ($/seat/yr)</t>
  </si>
  <si>
    <t>AIApps Ent: ARPU CAGR (/yr)</t>
  </si>
  <si>
    <t>AIApps Ent: tokens/user 2025 (M/yr)</t>
  </si>
  <si>
    <t>AIApps Ent: tokens/user CAGR (/yr)</t>
  </si>
  <si>
    <t>AIApps Agentic: users 2025 (M)</t>
  </si>
  <si>
    <t>AIApps Agentic: user CAGR (/yr)</t>
  </si>
  <si>
    <t>AIApps Agentic: ARPU ($/user/yr)</t>
  </si>
  <si>
    <t>AIApps Agentic: ARPU CAGR (/yr)</t>
  </si>
  <si>
    <t>AIApps Agentic: tokens/user 2025 (M/yr)</t>
  </si>
  <si>
    <t>AIApps Agentic: tokens/user CAGR (/yr)</t>
  </si>
  <si>
    <t>AIApps Ads: ARPU ($/user/yr)</t>
  </si>
  <si>
    <t>AIApps Ads: ARPU CAGR (/yr)</t>
  </si>
  <si>
    <t>MC 80-130 triangle. ≈ Grok 117M MAU (Mar-26 IPO filing), mostly free.</t>
  </si>
  <si>
    <t>MC 0.15-0.28 triangle. Lands ~2,000M @2040.</t>
  </si>
  <si>
    <t>Structural, no MC. Revenue = 0; free compute cost flows via tokens→COGS (do NOT book as negative ARPU).</t>
  </si>
  <si>
    <t>Structural, no MC.</t>
  </si>
  <si>
    <t>MC 1.0-3.0 triangle. Light/dormant blended (ChatGPT free behaviour).</t>
  </si>
  <si>
    <t>MC 0.5-1.5 triangle. Back-into ~$350M 2025 paid rev.</t>
  </si>
  <si>
    <t>MC 0.38-0.55 triangle. Lands 273M @2040.</t>
  </si>
  <si>
    <t>MC 150-480 triangle. Blended SuperGrok Lite $120 → Premium+ $480.</t>
  </si>
  <si>
    <t>MC 0.00-0.03 triangle. Real prices ~stable.</t>
  </si>
  <si>
    <t>MC 20-60 triangle. Merged Plus(21)+Power(67) weighted.</t>
  </si>
  <si>
    <t>MC 0.08-0.30 triangle. Nascent dev base.</t>
  </si>
  <si>
    <t>MC 0.25-0.55 triangle. Lands 49M @2040; widest range (model-quality dependent).</t>
  </si>
  <si>
    <t>MC 200-600 triangle. Per-token spend.</t>
  </si>
  <si>
    <t>MC 0.00-0.03 triangle.</t>
  </si>
  <si>
    <t>MC 150-400 triangle. High intensity.</t>
  </si>
  <si>
    <t>MC 0.03-0.12 triangle. Nascent.</t>
  </si>
  <si>
    <t>MC 0.40-0.70 triangle. Lands 68M @2040.</t>
  </si>
  <si>
    <t>MC 400-900 triangle. Seat/contract; likely low.</t>
  </si>
  <si>
    <t>MC 100-300 triangle.</t>
  </si>
  <si>
    <t>MC 0.005-0.040 triangle. Near-zero start (Claude Code analogue).</t>
  </si>
  <si>
    <t>MC 0.50-0.90 triangle. Lands 58M @2040; steepest - gut-check.</t>
  </si>
  <si>
    <t>MC 1800-3000 triangle. Claude-Code-style $150-250/mo.</t>
  </si>
  <si>
    <t>MC 150-500 triangle. Richest; ramps hardest.</t>
  </si>
  <si>
    <t>MC 0.5-3.0 triangle. On whole base; Meta RoW floor ~$14 is the ceiling story.</t>
  </si>
  <si>
    <t>MC 0.12-0.28 triangle. Drifts $1→$18 by 2040 (toward Meta RoW).</t>
  </si>
  <si>
    <t>▸ AI APPS: 5-BUCKET DEMAND BUILD (replaces blended R116-118)</t>
  </si>
  <si>
    <t>Free: users (M)</t>
  </si>
  <si>
    <t>Free: ARPU ($/user/yr)</t>
  </si>
  <si>
    <t>Free: tokens/user (M/yr)</t>
  </si>
  <si>
    <t>Free: revenue ($mm)</t>
  </si>
  <si>
    <t>Free: tokens (T)</t>
  </si>
  <si>
    <t>Individual paid: users (M)</t>
  </si>
  <si>
    <t>Individual paid: ARPU ($/user/yr)</t>
  </si>
  <si>
    <t>Individual paid: tokens/user (M/yr)</t>
  </si>
  <si>
    <t>Individual paid: revenue ($mm)</t>
  </si>
  <si>
    <t>Individual paid: tokens (T)</t>
  </si>
  <si>
    <t>Developer/API: users (M)</t>
  </si>
  <si>
    <t>Developer/API: ARPU ($/acct/yr)</t>
  </si>
  <si>
    <t>Developer/API: tokens/user (M/yr)</t>
  </si>
  <si>
    <t>Developer/API: revenue ($mm)</t>
  </si>
  <si>
    <t>Developer/API: tokens (T)</t>
  </si>
  <si>
    <t>Enterprise: seats (M)</t>
  </si>
  <si>
    <t>Enterprise: ARPU ($/seat/yr)</t>
  </si>
  <si>
    <t>Enterprise: tokens/user (M/yr)</t>
  </si>
  <si>
    <t>Enterprise: revenue ($mm)</t>
  </si>
  <si>
    <t>Enterprise: tokens (T)</t>
  </si>
  <si>
    <t>Agentic coding: users (M)</t>
  </si>
  <si>
    <t>Agentic coding: ARPU ($/user/yr)</t>
  </si>
  <si>
    <t>Agentic coding: tokens/user (M/yr)</t>
  </si>
  <si>
    <t>Agentic coding: revenue ($mm)</t>
  </si>
  <si>
    <t>Agentic coding: tokens (T)</t>
  </si>
  <si>
    <t>Ads: monetizable base (M)</t>
  </si>
  <si>
    <t>Ads: ARPU ($/user/yr)</t>
  </si>
  <si>
    <t>Ads: revenue ($mm)</t>
  </si>
  <si>
    <t>AI Apps: paying users (M)</t>
  </si>
  <si>
    <t>AI Apps: total revenue ($mm)</t>
  </si>
  <si>
    <t>AI Apps: total tokens (T)</t>
  </si>
  <si>
    <t>AI Apps 5-bucket demand rebuild</t>
  </si>
  <si>
    <t>Assumptions, AI - Compute</t>
  </si>
  <si>
    <t>Replaced blended AI Apps driver (R116 logistic / R117 blended ARPU / R118 blended tokens-per-sub) with 5 demand buckets (Free, Individual paid, Developer/API, Enterprise, Agentic coding) + ads overlay, on AI - Compute rows 224-255, all 2025-anchored with per-bucket user/ARPU/token-intensity CAGRs (anchor-and-offset, zero OFFSET/INDEX-MATCH, same-tab direct refs). 32 new MC'd Assumptions inputs appended rows 497-528. Subtotals (R253 paying users, R254 total revenue, R255 total tokens) now feed the three rewired rollups R116=D253, R119=D254, R137=D255 (D:S). Free ARPU=0 (free compute cost flows endogenously via tokens-&gt;R142-&gt;R145-&gt;R129 COGS; not booked as negative ARPU). Retired R117/R118 (cleared + Memo-relabelled) and Assumptions B403/B404/B465/B466/B467 + orphaned B399-B402 (blanked + [retired]); B405 CAC slug kept. VERIFY: 2025 total rev $483M (target ~$480M), tokens 289T; 2040 rev $319B (target $300-320B), tokens 92,313T (~1.8x pre-patch 52,400). Bucket users 2040 within 2% of endpoints (Free 1,999M/Indiv 272M/API 49M/Ent 68M/Agentic 58M). Internal compute share R145 3.5%-&gt;6.0% by 2040 (not &gt;25%; merchant R189 byte-identical, formula references own seed B339/B334/D23). Conservation R169 &amp; R170 = 0 every year. Zero #REF/#VALUE/#NUM/#DIV0 on AI-Compute or Assumptions. Iteration ON (1000/1e-7).</t>
  </si>
  <si>
    <t>MC-finalize the 32 inputs; Agentic 73.4% user CAGR aggressive (gut-check). Per-bucket COGS split deferred (IRR diagnostic). Whether to push internal share above ~6% is a separate magnitude/R189 decision. Conservation tab row-14 (cash-flow identity, CAE R56/R11/R55/R106/R107) FAILs in 2028-2036 are PRE-EXISTING on the V4.109 de-circularized line - untouched by this spec (Rule 8); AI Apps COGS/transfer path clean (R169/R170=0).</t>
  </si>
  <si>
    <t>calibration / MC</t>
  </si>
  <si>
    <t>⊘ REDUNDANT — blended ARPU (superseded by 5-bucket block, rows 224-255)</t>
  </si>
  <si>
    <t>⊘ REDUNDANT — blended tokens/sub (superseded by 5-bucket block, rows 224-255)</t>
  </si>
  <si>
    <t>⊘ REDUNDANT — AI Apps subs 2025 seed (M)</t>
  </si>
  <si>
    <t>⊘ REDUNDANT — AI Apps TAM (M subs)</t>
  </si>
  <si>
    <t>⊘ REDUNDANT — AI Apps adoption ceiling (% of TAM)</t>
  </si>
  <si>
    <t>⊘ REDUNDANT — AI Apps adoption steepness k</t>
  </si>
  <si>
    <t>⊘ REDUNDANT — AI Apps blended ARPU ($/sub/yr)</t>
  </si>
  <si>
    <t>⊘ REDUNDANT — AI Apps blended tokens per sub (M/sub/yr)</t>
  </si>
  <si>
    <t>⊘ REDUNDANT — AI Apps blended ARPU CAGR (/yr)</t>
  </si>
  <si>
    <t>⊘ REDUNDANT — AI Apps tokens-per-sub CAGR (/yr)</t>
  </si>
  <si>
    <t>⊘ REDUNDANT — AI Apps tokens-per-sub growth cap (×)</t>
  </si>
  <si>
    <t>AI Apps mark-redundant stubs</t>
  </si>
  <si>
    <t>Relabelled 11 orphaned AI Apps stubs (AI-Compute R117/R118 + Assumptions B399-404/465-467) with the ⊘ REDUNDANT — marker. Label-only (col A); zero formula/value/format/reference change, nothing deleted; all confirmed 0-reference in V4.111. Existing grey-italic styling preserved. AI-Compute D117/D118 still blank; Assumptions B-cell values still blank; notes on B400/B465/B466/B467 untouched.</t>
  </si>
  <si>
    <t>Row-compaction (actual deletion) deferred to a dedicated hygiene sprint.</t>
  </si>
  <si>
    <t>—</t>
  </si>
  <si>
    <t>MC 0.00-0.10 triangle. Demand lever — drives AI % of supply.</t>
  </si>
  <si>
    <t>MC 0.02-0.20 triangle. Demand lever — drives AI % of supply.</t>
  </si>
  <si>
    <t>MC 0.04-0.25 triangle. Demand lever — drives AI % of supply.</t>
  </si>
  <si>
    <t>▸ AI: merchant-IaaS supply-share lever</t>
  </si>
  <si>
    <t>AIApps Merchant IaaS demand scale (×)</t>
  </si>
  <si>
    <t>MC 0.30-1.00 triangle. Strategic: fraction of raw compute rented to 3rd parties vs reserved for own AI Apps. 1.0 = rent-everything; 0.30 = mostly own-model. Base &lt;1.0 hair-cuts merchant revenue + fleet.</t>
  </si>
  <si>
    <t>AI Apps supply-share levers</t>
  </si>
  <si>
    <t>Two MC-able levers to raise AI % of supply: (1) bumped 5 per-bucket token-intensity CAGRs (B502 0.02→0.05, B508 0.04→0.09, B514/520 0.04→0.10, B526 0.04→0.12; MC ranges to 0.20–0.25) → AI demand R142 2.4× (S 93.4bn→224.9bn), tokens R137 92,313→222,310 T; (2) new Merchant IaaS demand scale B530 (base 0.75, MC 0.30–1.00, blue 0.00 fmt) appended *Assumptions!$B$530 to R189 D:S. 2040 AI share R145 6.0%→16.5% base; MC envelope ~6%–73%. AI Apps revenue R119 byte-identical ($319,025 2040); COGS R129 up (15,658→37,975) so margin compresses off 95% (realism). Merchant base-case haircut -25% cascades to DC external rev R60/R96 + fleet. VERIFY: R189 exactly pre-patch×0.75 every yr (D 6.307bn→4.730bn, S 1,162.1bn→871.6bn); conservation R169/R170=0 all yrs; 2025 col D Group unchanged; 0 errors; no INDEX/MATCH/OFFSET. Iteration ON.</t>
  </si>
  <si>
    <t>If base-case merchant cut unwanted, set B530 base=1.0 (AI share ~16% from Lever 1 alone). MC-finalize the 6 ranges.</t>
  </si>
  <si>
    <t>Segment P&amp;L — full Group waterfall with revenue broken to module sub-segments (read-only presentation; ties to Group P&amp;L)</t>
  </si>
  <si>
    <t>▸ REVENUE — SEGMENT SUB-LINES ($mm)</t>
  </si>
  <si>
    <t>Revenue: Starlink — Broadband (BB)</t>
  </si>
  <si>
    <t>Revenue: Starlink — Direct-to-Cell (DTC)</t>
  </si>
  <si>
    <t>Revenue: Starlink — Starshield</t>
  </si>
  <si>
    <t>Revenue: Starlink — Hardware / kit</t>
  </si>
  <si>
    <t>Subtotal: Starlink Revenue ($mm)</t>
  </si>
  <si>
    <t>Revenue: Customer Launch — Launch Services</t>
  </si>
  <si>
    <t>Revenue: Customer Launch — Launch &amp; Development</t>
  </si>
  <si>
    <t>Subtotal: Customer Launch Revenue ($mm)</t>
  </si>
  <si>
    <t>Revenue: AI - Compute — Orbital DC (external)</t>
  </si>
  <si>
    <t>Revenue: AI - Compute — Terrestrial DC (external)</t>
  </si>
  <si>
    <t>Revenue: AI - Compute — AI Apps (external)</t>
  </si>
  <si>
    <t>Subtotal: AI - Compute Revenue ($mm)</t>
  </si>
  <si>
    <t>Subtotal: Lunar - Mars Revenue ($mm)</t>
  </si>
  <si>
    <t>Memo: Attributed R&amp;D, Starlink (in Module OpEx; excl. Total R&amp;D)</t>
  </si>
  <si>
    <t>Attributed R&amp;D: Customer Launch</t>
  </si>
  <si>
    <t>Shared / unattributable R&amp;D: corporate</t>
  </si>
  <si>
    <t>FCF: less corporate</t>
  </si>
  <si>
    <t>▸ TIE-OUT CHECKS (must = 0 within $1mm)</t>
  </si>
  <si>
    <t>Memo: Starlink sub-lines − module Revenue</t>
  </si>
  <si>
    <t>Memo: Customer Launch sub-lines − module Revenue</t>
  </si>
  <si>
    <t>Memo: AI - Compute sub-lines − module Revenue</t>
  </si>
  <si>
    <t>Memo: Lunar - Mars sub-line − module Revenue</t>
  </si>
  <si>
    <t>Memo: Group Revenue − Group P&amp;L Group Revenue</t>
  </si>
  <si>
    <t>Segment P&amp;L tab</t>
  </si>
  <si>
    <t>Segment P&amp;L (new)</t>
  </si>
  <si>
    <t>Full Group waterfall mirrored by direct ref + revenue block sub-segmented to module sub-lines; ties to Group P&amp;L and module OUT revenue. Revenue rows 8-23 pull at module grain (Starlink BB/DTC/Starshield/kit R61-64; CL Launch Svcs/L&amp;D R52-53; AI ODC/Terr/Apps external R60/96/126; LM R81), subtotalled and tied. Waterfall rows 26-101 are direct ='Group P&amp;L'! pulls (COGS/GP/Module OpEx/R&amp;D/Corp OpEx/EBITDA/D&amp;A/EBIT/Tax-NOPAT/CapEx/FCF). VERIFY: read-back R12/15/19/23 = 10,879/3,099/483/14,461 (2025) &amp; 220,836/16,723/47,485/285,044 (2030); tie-out checks R104-108 = 0 every yr (max abs 0); Group Rev/EBITDA/FCF tie to Group P&amp;L exactly (max diff 0) D:AC; 0 errors. Source 2050(AC) blank in live build (data ends 2049/AB) - tab mirrors faithfully.</t>
  </si>
  <si>
    <t>Refs are direct (row-fragile) - re-validate §1.1 row map on any module rebuild. AI Apps not exploded to 5 buckets; Starlink BB/DTC not split V2/V3 (out of scope, one-block extension if wanted).</t>
  </si>
  <si>
    <t>Starlink — Broadband (BB)</t>
  </si>
  <si>
    <t>Starlink — Direct-to-Cell (DTC)</t>
  </si>
  <si>
    <t>Starlink — Starshield</t>
  </si>
  <si>
    <t>Starlink — Hardware / kit</t>
  </si>
  <si>
    <t>Starlink — total</t>
  </si>
  <si>
    <t>Customer Launch — Launch Services</t>
  </si>
  <si>
    <t>Customer Launch — Launch &amp; Development</t>
  </si>
  <si>
    <t>Customer Launch — total</t>
  </si>
  <si>
    <t>AI - Compute — Orbital DC (external)</t>
  </si>
  <si>
    <t>AI - Compute — Terrestrial DC (external)</t>
  </si>
  <si>
    <t>AI - Compute — AI Apps (external)</t>
  </si>
  <si>
    <t>AI - Compute — total</t>
  </si>
  <si>
    <t>Lunar - Mars</t>
  </si>
  <si>
    <t>▸ SUB-SEGMENT MIX — % OF OWN SEGMENT REVENUE</t>
  </si>
  <si>
    <t>▸ SEGMENT MIX — % OF GROUP REVENUE</t>
  </si>
  <si>
    <t>Group Revenue —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</si>
</sst>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"/>
    <numFmt numFmtId="165" formatCode="0.000"/>
    <numFmt numFmtId="166" formatCode="#,##0.000"/>
    <numFmt numFmtId="167" formatCode="0.0%"/>
    <numFmt numFmtId="168" formatCode="&quot;$&quot;#,##0"/>
    <numFmt numFmtId="169" formatCode="0.0"/>
    <numFmt numFmtId="170" formatCode="0.000%"/>
    <numFmt numFmtId="171" formatCode="&quot;$&quot;#,##0;\(&quot;$&quot;#,##0\);\-"/>
    <numFmt numFmtId="172" formatCode="#,##0;\(#,##0\);\-"/>
    <numFmt numFmtId="173" formatCode="0.0%;\(0.0%\);\-"/>
    <numFmt numFmtId="174" formatCode="#,##0.0;\(#,##0.0\);\-"/>
    <numFmt numFmtId="175" formatCode="#,##0.00;\(#,##0.00\);\-"/>
    <numFmt numFmtId="176" formatCode="&quot;$&quot;#,##0.0;\(&quot;$&quot;#,##0.0\);\-"/>
    <numFmt numFmtId="177" formatCode="0.000000000%"/>
    <numFmt numFmtId="178" formatCode="&quot;$&quot;#,##0.00;\(&quot;$&quot;#,##0.00\);\-"/>
    <numFmt numFmtId="179" formatCode="#,##0.000000;\(#,##0.000000\);\-"/>
    <numFmt numFmtId="180" formatCode="0.0&quot;x&quot;"/>
    <numFmt numFmtId="181" formatCode="#,##0;\(#,##0\)"/>
    <numFmt numFmtId="182" formatCode="#,##0.000;\(#,##0.000\);\-"/>
    <numFmt numFmtId="183" formatCode="_-* #,##0_-;\(#,##0\)_-;_-* &quot;-&quot;_-;_-@"/>
    <numFmt numFmtId="184" formatCode="0.000000"/>
    <numFmt numFmtId="185" formatCode="0.00&quot;x&quot;"/>
    <numFmt numFmtId="186" formatCode="yyyy\-mm\-dd"/>
  </numFmts>
  <fonts count="4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404040"/>
      <name val="Arial"/>
      <family val="2"/>
    </font>
    <font>
      <b/>
      <i/>
      <sz val="10"/>
      <color rgb="FF404040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2"/>
      <color rgb="FFFFFFFF"/>
      <name val="Arial"/>
      <family val="2"/>
    </font>
    <font>
      <b/>
      <i/>
      <sz val="12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808080"/>
      <name val="Arial"/>
      <family val="2"/>
    </font>
    <font>
      <b/>
      <i/>
      <sz val="10"/>
      <color rgb="FF808080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  <font>
      <b/>
      <i/>
      <sz val="10"/>
      <color rgb="FF000000"/>
      <name val="Arial"/>
      <family val="2"/>
    </font>
    <font>
      <i/>
      <sz val="10"/>
      <color rgb="FFC0000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008000"/>
      <name val="Arial"/>
      <family val="2"/>
    </font>
    <font>
      <i/>
      <sz val="8"/>
      <color rgb="FF404040"/>
      <name val="Arial"/>
      <family val="2"/>
    </font>
    <font>
      <sz val="10"/>
      <color rgb="FF000000"/>
      <name val="Tahoma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40404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2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7" borderId="0" xfId="0" applyFill="1"/>
    <xf numFmtId="9" fontId="1" fillId="0" borderId="0" xfId="1" applyFont="1"/>
    <xf numFmtId="0" fontId="0" fillId="9" borderId="0" xfId="0" applyFill="1"/>
    <xf numFmtId="0" fontId="7" fillId="0" borderId="0" xfId="0" applyFont="1"/>
    <xf numFmtId="0" fontId="8" fillId="0" borderId="0" xfId="0" applyFont="1"/>
    <xf numFmtId="172" fontId="7" fillId="0" borderId="0" xfId="0" applyNumberFormat="1" applyFont="1"/>
    <xf numFmtId="0" fontId="10" fillId="0" borderId="0" xfId="0" applyFont="1"/>
    <xf numFmtId="172" fontId="11" fillId="0" borderId="0" xfId="0" applyNumberFormat="1" applyFont="1"/>
    <xf numFmtId="183" fontId="7" fillId="0" borderId="0" xfId="0" applyNumberFormat="1" applyFont="1"/>
    <xf numFmtId="183" fontId="10" fillId="0" borderId="0" xfId="0" applyNumberFormat="1" applyFont="1"/>
    <xf numFmtId="183" fontId="11" fillId="0" borderId="0" xfId="0" applyNumberFormat="1" applyFont="1"/>
    <xf numFmtId="0" fontId="13" fillId="4" borderId="0" xfId="0" applyFont="1" applyFill="1"/>
    <xf numFmtId="183" fontId="13" fillId="4" borderId="0" xfId="0" applyNumberFormat="1" applyFont="1" applyFill="1"/>
    <xf numFmtId="0" fontId="14" fillId="8" borderId="0" xfId="0" applyFont="1" applyFill="1"/>
    <xf numFmtId="183" fontId="14" fillId="8" borderId="0" xfId="0" applyNumberFormat="1" applyFont="1" applyFill="1"/>
    <xf numFmtId="0" fontId="8" fillId="0" borderId="3" xfId="0" applyFont="1" applyBorder="1"/>
    <xf numFmtId="0" fontId="9" fillId="0" borderId="3" xfId="0" applyFont="1" applyBorder="1"/>
    <xf numFmtId="0" fontId="7" fillId="0" borderId="0" xfId="0" applyFont="1" applyAlignment="1">
      <alignment indent="1"/>
    </xf>
    <xf numFmtId="0" fontId="8" fillId="0" borderId="0" xfId="0" applyFont="1" applyAlignment="1">
      <alignment indent="1"/>
    </xf>
    <xf numFmtId="0" fontId="10" fillId="0" borderId="0" xfId="0" applyFont="1" applyAlignment="1">
      <alignment indent="1"/>
    </xf>
    <xf numFmtId="183" fontId="16" fillId="0" borderId="0" xfId="0" applyNumberFormat="1" applyFont="1"/>
    <xf numFmtId="183" fontId="17" fillId="0" borderId="0" xfId="0" applyNumberFormat="1" applyFont="1"/>
    <xf numFmtId="183" fontId="18" fillId="0" borderId="3" xfId="0" applyNumberFormat="1" applyFont="1" applyBorder="1"/>
    <xf numFmtId="183" fontId="19" fillId="0" borderId="0" xfId="0" applyNumberFormat="1" applyFont="1"/>
    <xf numFmtId="0" fontId="11" fillId="0" borderId="0" xfId="0" applyFont="1" applyAlignment="1">
      <alignment indent="1"/>
    </xf>
    <xf numFmtId="0" fontId="9" fillId="0" borderId="4" xfId="0" applyFont="1" applyBorder="1"/>
    <xf numFmtId="0" fontId="8" fillId="0" borderId="4" xfId="0" applyFont="1" applyBorder="1"/>
    <xf numFmtId="183" fontId="18" fillId="0" borderId="4" xfId="0" applyNumberFormat="1" applyFont="1" applyBorder="1"/>
    <xf numFmtId="0" fontId="9" fillId="0" borderId="4" xfId="0" applyFont="1" applyBorder="1" applyAlignment="1">
      <alignment indent="1"/>
    </xf>
    <xf numFmtId="0" fontId="10" fillId="0" borderId="5" xfId="0" applyFont="1" applyBorder="1" applyAlignment="1">
      <alignment indent="1"/>
    </xf>
    <xf numFmtId="0" fontId="7" fillId="0" borderId="5" xfId="0" applyFont="1" applyBorder="1"/>
    <xf numFmtId="183" fontId="16" fillId="0" borderId="5" xfId="0" applyNumberFormat="1" applyFont="1" applyBorder="1"/>
    <xf numFmtId="167" fontId="23" fillId="0" borderId="0" xfId="0" applyNumberFormat="1" applyFont="1"/>
    <xf numFmtId="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70" fontId="23" fillId="0" borderId="0" xfId="0" applyNumberFormat="1" applyFont="1"/>
    <xf numFmtId="3" fontId="17" fillId="0" borderId="0" xfId="0" applyNumberFormat="1" applyFont="1"/>
    <xf numFmtId="165" fontId="23" fillId="0" borderId="0" xfId="0" applyNumberFormat="1" applyFont="1"/>
    <xf numFmtId="165" fontId="17" fillId="0" borderId="0" xfId="0" applyNumberFormat="1" applyFont="1"/>
    <xf numFmtId="0" fontId="18" fillId="0" borderId="0" xfId="0" applyFont="1"/>
    <xf numFmtId="1" fontId="23" fillId="0" borderId="0" xfId="0" applyNumberFormat="1" applyFont="1"/>
    <xf numFmtId="1" fontId="17" fillId="0" borderId="0" xfId="0" applyNumberFormat="1" applyFont="1"/>
    <xf numFmtId="169" fontId="23" fillId="0" borderId="0" xfId="0" applyNumberFormat="1" applyFont="1"/>
    <xf numFmtId="2" fontId="23" fillId="0" borderId="0" xfId="0" applyNumberFormat="1" applyFont="1"/>
    <xf numFmtId="171" fontId="23" fillId="0" borderId="0" xfId="0" applyNumberFormat="1" applyFont="1"/>
    <xf numFmtId="1" fontId="7" fillId="0" borderId="0" xfId="0" applyNumberFormat="1" applyFont="1"/>
    <xf numFmtId="167" fontId="7" fillId="0" borderId="0" xfId="0" applyNumberFormat="1" applyFont="1"/>
    <xf numFmtId="180" fontId="23" fillId="0" borderId="0" xfId="0" applyNumberFormat="1" applyFont="1"/>
    <xf numFmtId="167" fontId="23" fillId="3" borderId="0" xfId="0" applyNumberFormat="1" applyFont="1" applyFill="1"/>
    <xf numFmtId="1" fontId="23" fillId="3" borderId="0" xfId="0" applyNumberFormat="1" applyFont="1" applyFill="1"/>
    <xf numFmtId="2" fontId="17" fillId="0" borderId="0" xfId="0" applyNumberFormat="1" applyFont="1"/>
    <xf numFmtId="2" fontId="7" fillId="0" borderId="0" xfId="0" applyNumberFormat="1" applyFont="1"/>
    <xf numFmtId="3" fontId="16" fillId="0" borderId="0" xfId="0" applyNumberFormat="1" applyFont="1"/>
    <xf numFmtId="165" fontId="16" fillId="0" borderId="0" xfId="0" applyNumberFormat="1" applyFont="1"/>
    <xf numFmtId="2" fontId="16" fillId="0" borderId="0" xfId="0" applyNumberFormat="1" applyFont="1"/>
    <xf numFmtId="166" fontId="11" fillId="0" borderId="0" xfId="0" applyNumberFormat="1" applyFont="1"/>
    <xf numFmtId="171" fontId="16" fillId="0" borderId="0" xfId="0" applyNumberFormat="1" applyFont="1"/>
    <xf numFmtId="0" fontId="16" fillId="0" borderId="0" xfId="0" applyFont="1"/>
    <xf numFmtId="171" fontId="10" fillId="0" borderId="0" xfId="0" applyNumberFormat="1" applyFont="1"/>
    <xf numFmtId="173" fontId="7" fillId="0" borderId="0" xfId="0" applyNumberFormat="1" applyFont="1"/>
    <xf numFmtId="172" fontId="16" fillId="0" borderId="0" xfId="0" applyNumberFormat="1" applyFont="1"/>
    <xf numFmtId="172" fontId="17" fillId="0" borderId="0" xfId="0" applyNumberFormat="1" applyFont="1"/>
    <xf numFmtId="174" fontId="7" fillId="0" borderId="0" xfId="0" applyNumberFormat="1" applyFont="1"/>
    <xf numFmtId="166" fontId="7" fillId="0" borderId="0" xfId="0" applyNumberFormat="1" applyFont="1"/>
    <xf numFmtId="172" fontId="23" fillId="0" borderId="0" xfId="0" applyNumberFormat="1" applyFont="1"/>
    <xf numFmtId="174" fontId="23" fillId="0" borderId="0" xfId="0" applyNumberFormat="1" applyFont="1"/>
    <xf numFmtId="173" fontId="23" fillId="0" borderId="0" xfId="0" applyNumberFormat="1" applyFont="1"/>
    <xf numFmtId="168" fontId="16" fillId="0" borderId="0" xfId="0" applyNumberFormat="1" applyFont="1"/>
    <xf numFmtId="174" fontId="16" fillId="0" borderId="0" xfId="0" applyNumberFormat="1" applyFont="1"/>
    <xf numFmtId="172" fontId="18" fillId="0" borderId="0" xfId="0" applyNumberFormat="1" applyFont="1"/>
    <xf numFmtId="171" fontId="17" fillId="0" borderId="0" xfId="0" applyNumberFormat="1" applyFont="1"/>
    <xf numFmtId="171" fontId="18" fillId="7" borderId="0" xfId="0" applyNumberFormat="1" applyFont="1" applyFill="1"/>
    <xf numFmtId="171" fontId="11" fillId="0" borderId="0" xfId="0" applyNumberFormat="1" applyFont="1"/>
    <xf numFmtId="171" fontId="18" fillId="0" borderId="0" xfId="0" applyNumberFormat="1" applyFont="1"/>
    <xf numFmtId="173" fontId="11" fillId="0" borderId="0" xfId="0" applyNumberFormat="1" applyFont="1"/>
    <xf numFmtId="173" fontId="17" fillId="0" borderId="0" xfId="0" applyNumberFormat="1" applyFont="1"/>
    <xf numFmtId="174" fontId="17" fillId="0" borderId="0" xfId="0" applyNumberFormat="1" applyFont="1"/>
    <xf numFmtId="166" fontId="17" fillId="0" borderId="0" xfId="0" applyNumberFormat="1" applyFont="1"/>
    <xf numFmtId="0" fontId="20" fillId="0" borderId="3" xfId="0" applyFont="1" applyBorder="1"/>
    <xf numFmtId="172" fontId="18" fillId="0" borderId="3" xfId="0" applyNumberFormat="1" applyFont="1" applyBorder="1"/>
    <xf numFmtId="172" fontId="8" fillId="0" borderId="3" xfId="0" applyNumberFormat="1" applyFont="1" applyBorder="1"/>
    <xf numFmtId="171" fontId="18" fillId="0" borderId="3" xfId="0" applyNumberFormat="1" applyFont="1" applyBorder="1"/>
    <xf numFmtId="173" fontId="28" fillId="0" borderId="3" xfId="0" applyNumberFormat="1" applyFont="1" applyBorder="1"/>
    <xf numFmtId="173" fontId="18" fillId="0" borderId="3" xfId="0" applyNumberFormat="1" applyFont="1" applyBorder="1"/>
    <xf numFmtId="171" fontId="20" fillId="0" borderId="3" xfId="0" applyNumberFormat="1" applyFont="1" applyBorder="1"/>
    <xf numFmtId="174" fontId="28" fillId="0" borderId="3" xfId="0" applyNumberFormat="1" applyFont="1" applyBorder="1"/>
    <xf numFmtId="167" fontId="16" fillId="0" borderId="0" xfId="0" applyNumberFormat="1" applyFont="1"/>
    <xf numFmtId="1" fontId="16" fillId="0" borderId="0" xfId="0" applyNumberFormat="1" applyFont="1"/>
    <xf numFmtId="164" fontId="17" fillId="0" borderId="0" xfId="0" applyNumberFormat="1" applyFont="1"/>
    <xf numFmtId="167" fontId="31" fillId="0" borderId="0" xfId="0" applyNumberFormat="1" applyFont="1"/>
    <xf numFmtId="175" fontId="7" fillId="0" borderId="0" xfId="0" applyNumberFormat="1" applyFont="1"/>
    <xf numFmtId="167" fontId="17" fillId="0" borderId="0" xfId="0" applyNumberFormat="1" applyFont="1"/>
    <xf numFmtId="175" fontId="17" fillId="0" borderId="0" xfId="0" applyNumberFormat="1" applyFont="1"/>
    <xf numFmtId="167" fontId="18" fillId="0" borderId="0" xfId="0" applyNumberFormat="1" applyFont="1"/>
    <xf numFmtId="167" fontId="20" fillId="0" borderId="3" xfId="0" applyNumberFormat="1" applyFont="1" applyBorder="1"/>
    <xf numFmtId="164" fontId="18" fillId="0" borderId="3" xfId="0" applyNumberFormat="1" applyFont="1" applyBorder="1"/>
    <xf numFmtId="164" fontId="28" fillId="0" borderId="3" xfId="0" applyNumberFormat="1" applyFont="1" applyBorder="1"/>
    <xf numFmtId="167" fontId="18" fillId="0" borderId="3" xfId="0" applyNumberFormat="1" applyFont="1" applyBorder="1"/>
    <xf numFmtId="167" fontId="8" fillId="0" borderId="3" xfId="0" applyNumberFormat="1" applyFont="1" applyBorder="1"/>
    <xf numFmtId="3" fontId="16" fillId="6" borderId="0" xfId="0" applyNumberFormat="1" applyFont="1" applyFill="1"/>
    <xf numFmtId="3" fontId="17" fillId="6" borderId="0" xfId="0" applyNumberFormat="1" applyFont="1" applyFill="1"/>
    <xf numFmtId="177" fontId="7" fillId="0" borderId="0" xfId="0" applyNumberFormat="1" applyFont="1"/>
    <xf numFmtId="167" fontId="11" fillId="0" borderId="0" xfId="0" applyNumberFormat="1" applyFont="1"/>
    <xf numFmtId="172" fontId="27" fillId="0" borderId="0" xfId="0" applyNumberFormat="1" applyFont="1"/>
    <xf numFmtId="177" fontId="17" fillId="0" borderId="0" xfId="0" applyNumberFormat="1" applyFont="1"/>
    <xf numFmtId="182" fontId="17" fillId="0" borderId="0" xfId="0" applyNumberFormat="1" applyFont="1"/>
    <xf numFmtId="3" fontId="20" fillId="0" borderId="3" xfId="0" applyNumberFormat="1" applyFont="1" applyBorder="1"/>
    <xf numFmtId="3" fontId="18" fillId="0" borderId="3" xfId="0" applyNumberFormat="1" applyFont="1" applyBorder="1"/>
    <xf numFmtId="3" fontId="8" fillId="0" borderId="3" xfId="0" applyNumberFormat="1" applyFont="1" applyBorder="1"/>
    <xf numFmtId="165" fontId="11" fillId="0" borderId="0" xfId="0" applyNumberFormat="1" applyFont="1"/>
    <xf numFmtId="173" fontId="27" fillId="0" borderId="0" xfId="0" applyNumberFormat="1" applyFont="1"/>
    <xf numFmtId="178" fontId="16" fillId="0" borderId="0" xfId="0" applyNumberFormat="1" applyFont="1"/>
    <xf numFmtId="169" fontId="16" fillId="0" borderId="0" xfId="0" applyNumberFormat="1" applyFont="1"/>
    <xf numFmtId="165" fontId="19" fillId="0" borderId="0" xfId="0" applyNumberFormat="1" applyFont="1"/>
    <xf numFmtId="173" fontId="16" fillId="0" borderId="0" xfId="0" applyNumberFormat="1" applyFont="1"/>
    <xf numFmtId="167" fontId="18" fillId="0" borderId="0" xfId="1" applyNumberFormat="1" applyFont="1"/>
    <xf numFmtId="172" fontId="18" fillId="8" borderId="0" xfId="0" applyNumberFormat="1" applyFont="1" applyFill="1"/>
    <xf numFmtId="179" fontId="17" fillId="0" borderId="0" xfId="0" applyNumberFormat="1" applyFont="1"/>
    <xf numFmtId="172" fontId="20" fillId="0" borderId="3" xfId="0" applyNumberFormat="1" applyFont="1" applyBorder="1"/>
    <xf numFmtId="2" fontId="18" fillId="0" borderId="3" xfId="0" applyNumberFormat="1" applyFont="1" applyBorder="1"/>
    <xf numFmtId="172" fontId="18" fillId="8" borderId="3" xfId="0" applyNumberFormat="1" applyFont="1" applyFill="1" applyBorder="1"/>
    <xf numFmtId="3" fontId="10" fillId="0" borderId="0" xfId="0" applyNumberFormat="1" applyFont="1"/>
    <xf numFmtId="164" fontId="10" fillId="0" borderId="0" xfId="0" applyNumberFormat="1" applyFont="1"/>
    <xf numFmtId="3" fontId="9" fillId="0" borderId="3" xfId="0" applyNumberFormat="1" applyFont="1" applyBorder="1"/>
    <xf numFmtId="164" fontId="8" fillId="0" borderId="3" xfId="0" applyNumberFormat="1" applyFont="1" applyBorder="1"/>
    <xf numFmtId="171" fontId="27" fillId="0" borderId="0" xfId="0" applyNumberFormat="1" applyFont="1"/>
    <xf numFmtId="176" fontId="23" fillId="0" borderId="0" xfId="0" applyNumberFormat="1" applyFont="1"/>
    <xf numFmtId="176" fontId="16" fillId="0" borderId="0" xfId="0" applyNumberFormat="1" applyFont="1"/>
    <xf numFmtId="176" fontId="17" fillId="0" borderId="0" xfId="0" applyNumberFormat="1" applyFont="1"/>
    <xf numFmtId="182" fontId="11" fillId="0" borderId="0" xfId="0" applyNumberFormat="1" applyFont="1"/>
    <xf numFmtId="171" fontId="28" fillId="0" borderId="3" xfId="0" applyNumberFormat="1" applyFont="1" applyBorder="1"/>
    <xf numFmtId="171" fontId="16" fillId="9" borderId="0" xfId="0" applyNumberFormat="1" applyFont="1" applyFill="1"/>
    <xf numFmtId="172" fontId="19" fillId="0" borderId="0" xfId="0" applyNumberFormat="1" applyFont="1"/>
    <xf numFmtId="167" fontId="32" fillId="0" borderId="3" xfId="0" applyNumberFormat="1" applyFont="1" applyBorder="1"/>
    <xf numFmtId="172" fontId="32" fillId="0" borderId="3" xfId="0" applyNumberFormat="1" applyFont="1" applyBorder="1"/>
    <xf numFmtId="180" fontId="16" fillId="0" borderId="0" xfId="0" applyNumberFormat="1" applyFont="1"/>
    <xf numFmtId="181" fontId="16" fillId="0" borderId="0" xfId="0" applyNumberFormat="1" applyFont="1"/>
    <xf numFmtId="181" fontId="17" fillId="0" borderId="0" xfId="0" applyNumberFormat="1" applyFont="1"/>
    <xf numFmtId="167" fontId="26" fillId="0" borderId="0" xfId="0" applyNumberFormat="1" applyFont="1"/>
    <xf numFmtId="181" fontId="11" fillId="0" borderId="0" xfId="0" applyNumberFormat="1" applyFont="1"/>
    <xf numFmtId="181" fontId="18" fillId="0" borderId="3" xfId="0" applyNumberFormat="1" applyFont="1" applyBorder="1"/>
    <xf numFmtId="181" fontId="32" fillId="0" borderId="3" xfId="0" applyNumberFormat="1" applyFont="1" applyBorder="1"/>
    <xf numFmtId="181" fontId="28" fillId="0" borderId="3" xfId="0" applyNumberFormat="1" applyFont="1" applyBorder="1"/>
    <xf numFmtId="1" fontId="18" fillId="0" borderId="3" xfId="0" applyNumberFormat="1" applyFont="1" applyBorder="1"/>
    <xf numFmtId="167" fontId="7" fillId="0" borderId="0" xfId="0" applyNumberFormat="1" applyFont="1" applyAlignment="1">
      <alignment indent="1"/>
    </xf>
    <xf numFmtId="0" fontId="18" fillId="0" borderId="0" xfId="0" applyFont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33" fillId="2" borderId="4" xfId="0" applyFont="1" applyFill="1" applyBorder="1" applyAlignment="1">
      <alignment horizontal="left"/>
    </xf>
    <xf numFmtId="1" fontId="18" fillId="0" borderId="0" xfId="0" applyNumberFormat="1" applyFont="1" applyAlignment="1">
      <alignment horizontal="center"/>
    </xf>
    <xf numFmtId="1" fontId="33" fillId="2" borderId="4" xfId="0" applyNumberFormat="1" applyFont="1" applyFill="1" applyBorder="1" applyAlignment="1">
      <alignment horizontal="center"/>
    </xf>
    <xf numFmtId="174" fontId="14" fillId="8" borderId="5" xfId="0" applyNumberFormat="1" applyFont="1" applyFill="1" applyBorder="1"/>
    <xf numFmtId="174" fontId="32" fillId="0" borderId="3" xfId="0" applyNumberFormat="1" applyFont="1" applyBorder="1"/>
    <xf numFmtId="0" fontId="26" fillId="0" borderId="1" xfId="0" applyFont="1" applyBorder="1"/>
    <xf numFmtId="0" fontId="21" fillId="4" borderId="0" xfId="0" applyFont="1" applyFill="1"/>
    <xf numFmtId="0" fontId="23" fillId="0" borderId="0" xfId="0" applyFont="1"/>
    <xf numFmtId="0" fontId="23" fillId="3" borderId="0" xfId="0" applyFont="1" applyFill="1"/>
    <xf numFmtId="0" fontId="7" fillId="3" borderId="0" xfId="0" applyFont="1" applyFill="1"/>
    <xf numFmtId="0" fontId="26" fillId="0" borderId="2" xfId="0" applyFont="1" applyBorder="1"/>
    <xf numFmtId="0" fontId="8" fillId="0" borderId="2" xfId="0" applyFont="1" applyBorder="1"/>
    <xf numFmtId="0" fontId="23" fillId="2" borderId="0" xfId="0" applyFont="1" applyFill="1"/>
    <xf numFmtId="0" fontId="7" fillId="2" borderId="0" xfId="0" applyFont="1" applyFill="1"/>
    <xf numFmtId="0" fontId="15" fillId="8" borderId="0" xfId="0" applyFont="1" applyFill="1"/>
    <xf numFmtId="175" fontId="23" fillId="0" borderId="0" xfId="0" applyNumberFormat="1" applyFont="1"/>
    <xf numFmtId="0" fontId="24" fillId="0" borderId="0" xfId="0" applyFont="1" applyAlignment="1">
      <alignment indent="1"/>
    </xf>
    <xf numFmtId="0" fontId="27" fillId="0" borderId="0" xfId="0" applyFont="1"/>
    <xf numFmtId="0" fontId="24" fillId="0" borderId="0" xfId="0" applyFont="1"/>
    <xf numFmtId="0" fontId="22" fillId="4" borderId="0" xfId="0" applyFont="1" applyFill="1"/>
    <xf numFmtId="174" fontId="27" fillId="0" borderId="0" xfId="0" applyNumberFormat="1" applyFont="1"/>
    <xf numFmtId="0" fontId="17" fillId="0" borderId="0" xfId="0" applyFont="1"/>
    <xf numFmtId="0" fontId="18" fillId="8" borderId="0" xfId="0" applyFont="1" applyFill="1"/>
    <xf numFmtId="0" fontId="17" fillId="0" borderId="0" xfId="0" applyFont="1" applyAlignment="1">
      <alignment indent="1"/>
    </xf>
    <xf numFmtId="0" fontId="23" fillId="6" borderId="0" xfId="0" applyFont="1" applyFill="1"/>
    <xf numFmtId="0" fontId="11" fillId="0" borderId="0" xfId="0" quotePrefix="1" applyFont="1"/>
    <xf numFmtId="0" fontId="17" fillId="0" borderId="0" xfId="0" quotePrefix="1" applyFont="1"/>
    <xf numFmtId="172" fontId="23" fillId="3" borderId="0" xfId="0" applyNumberFormat="1" applyFont="1" applyFill="1"/>
    <xf numFmtId="0" fontId="12" fillId="4" borderId="0" xfId="0" applyFont="1" applyFill="1" applyAlignment="1">
      <alignment indent="1"/>
    </xf>
    <xf numFmtId="0" fontId="10" fillId="5" borderId="0" xfId="0" applyFont="1" applyFill="1" applyAlignment="1">
      <alignment indent="1"/>
    </xf>
    <xf numFmtId="0" fontId="10" fillId="5" borderId="0" xfId="0" applyFont="1" applyFill="1"/>
    <xf numFmtId="0" fontId="19" fillId="0" borderId="0" xfId="0" applyFont="1"/>
    <xf numFmtId="0" fontId="9" fillId="0" borderId="0" xfId="0" applyFont="1" applyAlignment="1">
      <alignment indent="1"/>
    </xf>
    <xf numFmtId="0" fontId="8" fillId="7" borderId="0" xfId="0" applyFont="1" applyFill="1" applyAlignment="1">
      <alignment indent="1"/>
    </xf>
    <xf numFmtId="0" fontId="7" fillId="7" borderId="0" xfId="0" applyFont="1" applyFill="1"/>
    <xf numFmtId="0" fontId="11" fillId="0" borderId="0" xfId="0" applyFont="1"/>
    <xf numFmtId="175" fontId="16" fillId="0" borderId="0" xfId="0" applyNumberFormat="1" applyFont="1"/>
    <xf numFmtId="0" fontId="18" fillId="0" borderId="0" xfId="0" applyFont="1" applyAlignment="1">
      <alignment horizontal="left" indent="1"/>
    </xf>
    <xf numFmtId="0" fontId="33" fillId="2" borderId="4" xfId="0" applyFont="1" applyFill="1" applyBorder="1" applyAlignment="1">
      <alignment horizontal="left" indent="1"/>
    </xf>
    <xf numFmtId="174" fontId="18" fillId="0" borderId="3" xfId="0" applyNumberFormat="1" applyFont="1" applyBorder="1"/>
    <xf numFmtId="0" fontId="29" fillId="0" borderId="0" xfId="0" applyFont="1" applyAlignment="1">
      <alignment indent="1"/>
    </xf>
    <xf numFmtId="0" fontId="30" fillId="0" borderId="0" xfId="0" applyFont="1" applyAlignment="1">
      <alignment indent="1"/>
    </xf>
    <xf numFmtId="0" fontId="31" fillId="0" borderId="0" xfId="0" applyFont="1"/>
    <xf numFmtId="0" fontId="28" fillId="0" borderId="3" xfId="0" applyFont="1" applyBorder="1"/>
    <xf numFmtId="172" fontId="17" fillId="6" borderId="0" xfId="0" applyNumberFormat="1" applyFont="1" applyFill="1"/>
    <xf numFmtId="0" fontId="31" fillId="0" borderId="0" xfId="0" applyFont="1" applyAlignment="1">
      <alignment indent="1"/>
    </xf>
    <xf numFmtId="0" fontId="10" fillId="10" borderId="0" xfId="0" applyFont="1" applyFill="1" applyAlignment="1">
      <alignment indent="1"/>
    </xf>
    <xf numFmtId="0" fontId="7" fillId="10" borderId="0" xfId="0" applyFont="1" applyFill="1" applyAlignment="1">
      <alignment indent="1"/>
    </xf>
    <xf numFmtId="0" fontId="14" fillId="8" borderId="0" xfId="0" quotePrefix="1" applyFont="1" applyFill="1" applyAlignment="1">
      <alignment indent="1"/>
    </xf>
    <xf numFmtId="0" fontId="7" fillId="9" borderId="0" xfId="0" applyFont="1" applyFill="1"/>
    <xf numFmtId="9" fontId="8" fillId="0" borderId="0" xfId="1" applyFont="1" applyAlignment="1">
      <alignment indent="1"/>
    </xf>
    <xf numFmtId="9" fontId="8" fillId="0" borderId="0" xfId="1" applyFont="1"/>
    <xf numFmtId="0" fontId="7" fillId="8" borderId="0" xfId="0" applyFont="1" applyFill="1" applyAlignment="1">
      <alignment indent="1"/>
    </xf>
    <xf numFmtId="0" fontId="7" fillId="8" borderId="0" xfId="0" applyFont="1" applyFill="1"/>
    <xf numFmtId="0" fontId="8" fillId="8" borderId="3" xfId="0" applyFont="1" applyFill="1" applyBorder="1"/>
    <xf numFmtId="0" fontId="28" fillId="0" borderId="3" xfId="0" applyFont="1" applyBorder="1" applyAlignment="1">
      <alignment horizontal="center"/>
    </xf>
    <xf numFmtId="0" fontId="18" fillId="0" borderId="3" xfId="0" applyFont="1" applyBorder="1"/>
    <xf numFmtId="172" fontId="28" fillId="0" borderId="3" xfId="0" applyNumberFormat="1" applyFont="1" applyBorder="1"/>
    <xf numFmtId="174" fontId="11" fillId="0" borderId="0" xfId="0" applyNumberFormat="1" applyFont="1"/>
    <xf numFmtId="0" fontId="18" fillId="5" borderId="0" xfId="0" applyFont="1" applyFill="1" applyAlignment="1">
      <alignment indent="1"/>
    </xf>
    <xf numFmtId="0" fontId="18" fillId="5" borderId="0" xfId="0" applyFont="1" applyFill="1"/>
    <xf numFmtId="0" fontId="14" fillId="8" borderId="5" xfId="0" applyFont="1" applyFill="1" applyBorder="1"/>
    <xf numFmtId="0" fontId="15" fillId="8" borderId="5" xfId="0" applyFont="1" applyFill="1" applyBorder="1"/>
    <xf numFmtId="0" fontId="25" fillId="0" borderId="3" xfId="0" applyFont="1" applyBorder="1"/>
    <xf numFmtId="0" fontId="17" fillId="9" borderId="0" xfId="0" applyFont="1" applyFill="1" applyAlignment="1">
      <alignment indent="1"/>
    </xf>
    <xf numFmtId="0" fontId="26" fillId="0" borderId="0" xfId="0" applyFont="1"/>
    <xf numFmtId="174" fontId="20" fillId="0" borderId="3" xfId="0" applyNumberFormat="1" applyFont="1" applyBorder="1"/>
    <xf numFmtId="174" fontId="18" fillId="0" borderId="0" xfId="0" applyNumberFormat="1" applyFont="1"/>
    <xf numFmtId="0" fontId="14" fillId="8" borderId="0" xfId="0" applyFont="1" applyFill="1" applyAlignment="1">
      <alignment indent="1"/>
    </xf>
    <xf numFmtId="0" fontId="0" fillId="8" borderId="0" xfId="0" applyFill="1"/>
    <xf numFmtId="184" fontId="24" fillId="0" borderId="0" xfId="0" applyNumberFormat="1" applyFont="1" applyAlignment="1">
      <alignment indent="1"/>
    </xf>
    <xf numFmtId="185" fontId="24" fillId="0" borderId="0" xfId="0" applyNumberFormat="1" applyFont="1"/>
    <xf numFmtId="0" fontId="15" fillId="8" borderId="0" xfId="0" applyFont="1" applyFill="1" applyAlignment="1">
      <alignment indent="1"/>
    </xf>
    <xf numFmtId="10" fontId="23" fillId="0" borderId="0" xfId="0" applyNumberFormat="1" applyFont="1"/>
    <xf numFmtId="172" fontId="24" fillId="0" borderId="0" xfId="0" applyNumberFormat="1" applyFont="1"/>
    <xf numFmtId="9" fontId="24" fillId="0" borderId="0" xfId="0" applyNumberFormat="1" applyFont="1"/>
    <xf numFmtId="0" fontId="35" fillId="0" borderId="0" xfId="0" applyFont="1"/>
    <xf numFmtId="172" fontId="0" fillId="0" borderId="0" xfId="0" applyNumberFormat="1"/>
    <xf numFmtId="167" fontId="0" fillId="0" borderId="0" xfId="0" applyNumberFormat="1"/>
    <xf numFmtId="1" fontId="0" fillId="0" borderId="0" xfId="0" applyNumberFormat="1"/>
    <xf numFmtId="0" fontId="37" fillId="0" borderId="0" xfId="0" applyFont="1"/>
    <xf numFmtId="0" fontId="36" fillId="0" borderId="0" xfId="0" applyFont="1"/>
    <xf numFmtId="14" fontId="0" fillId="0" borderId="0" xfId="0" applyNumberFormat="1"/>
    <xf numFmtId="14" fontId="2" fillId="0" borderId="0" xfId="0" applyNumberFormat="1" applyFont="1"/>
    <xf numFmtId="186" fontId="0" fillId="0" borderId="0" xfId="0" applyNumberFormat="1"/>
    <xf numFmtId="0" fontId="21" fillId="4" borderId="0" xfId="0" applyFont="1" applyFill="1" applyAlignment="1">
      <alignment indent="1"/>
    </xf>
    <xf numFmtId="178" fontId="23" fillId="0" borderId="0" xfId="0" applyNumberFormat="1" applyFont="1"/>
    <xf numFmtId="0" fontId="28" fillId="0" borderId="0" xfId="0" applyFont="1" applyAlignment="1">
      <alignment indent="1"/>
    </xf>
    <xf numFmtId="2" fontId="18" fillId="0" borderId="0" xfId="0" applyNumberFormat="1" applyFont="1"/>
    <xf numFmtId="0" fontId="0" fillId="0" borderId="0" xfId="0" applyFont="1"/>
    <xf numFmtId="186" fontId="2" fillId="0" borderId="0" xfId="0" applyNumberFormat="1" applyFont="1"/>
    <xf numFmtId="0" fontId="18" fillId="0" borderId="0" xfId="0" applyFont="1" applyAlignment="1">
      <alignment indent="1"/>
    </xf>
    <xf numFmtId="1" fontId="36" fillId="0" borderId="0" xfId="0" applyNumberFormat="1" applyFont="1" applyAlignment="1">
      <alignment horizontal="center"/>
    </xf>
    <xf numFmtId="183" fontId="0" fillId="0" borderId="0" xfId="0" applyNumberFormat="1"/>
    <xf numFmtId="0" fontId="38" fillId="8" borderId="0" xfId="0" applyFont="1" applyFill="1"/>
    <xf numFmtId="183" fontId="36" fillId="0" borderId="0" xfId="0" applyNumberFormat="1" applyFont="1"/>
    <xf numFmtId="0" fontId="39" fillId="0" borderId="0" xfId="0" applyFont="1"/>
    <xf numFmtId="167" fontId="36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178F695-687E-9444-9899-4060B45B425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559cef0-f230-4270-ba4b-c2714ef8143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591A8BF-1C6B-44D3-92C8-45286F37D76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7fc9a031-0047-4f68-80e3-1a7167e8ed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0"/>
  <sheetViews>
    <sheetView showGridLines="0" workbookViewId="0">
      <selection activeCell="B18" sqref="B18"/>
    </sheetView>
  </sheetViews>
  <sheetFormatPr baseColWidth="10" defaultColWidth="10.6640625" defaultRowHeight="16" outlineLevelCol="7" x14ac:dyDescent="0.2"/>
  <cols>
    <col min="1" max="1" width="50" customWidth="1" outlineLevel="4" collapsed="1"/>
    <col min="3" max="3" width="50" customWidth="1"/>
    <col min="16" max="16" width="10.83203125" hidden="1" customWidth="1" outlineLevel="3" collapsed="1"/>
    <col min="17" max="17" width="10.6640625" collapsed="1"/>
    <col min="29" max="29" width="10.83203125" hidden="1" customWidth="1" outlineLevel="7"/>
    <col min="30" max="30" width="10.83203125" collapsed="1"/>
  </cols>
  <sheetData>
    <row r="1" spans="1:36" x14ac:dyDescent="0.2">
      <c r="A1" s="8"/>
      <c r="B1" s="8"/>
      <c r="C1" s="8"/>
      <c r="D1" s="159">
        <v>2025</v>
      </c>
      <c r="E1" s="159">
        <v>2026</v>
      </c>
      <c r="F1" s="159">
        <v>2027</v>
      </c>
      <c r="G1" s="159">
        <v>2028</v>
      </c>
      <c r="H1" s="159">
        <v>2029</v>
      </c>
      <c r="I1" s="159">
        <v>2030</v>
      </c>
      <c r="J1" s="159">
        <v>2031</v>
      </c>
      <c r="K1" s="159">
        <v>2032</v>
      </c>
      <c r="L1" s="159">
        <v>2033</v>
      </c>
      <c r="M1" s="159">
        <v>2034</v>
      </c>
      <c r="N1" s="159">
        <v>2035</v>
      </c>
      <c r="O1" s="159">
        <v>2036</v>
      </c>
      <c r="P1" s="159">
        <v>2037</v>
      </c>
      <c r="Q1" s="159">
        <v>2038</v>
      </c>
      <c r="R1" s="159">
        <v>2039</v>
      </c>
      <c r="S1" s="159">
        <v>2040</v>
      </c>
      <c r="T1" s="159">
        <v>2041</v>
      </c>
      <c r="U1" s="159">
        <v>2042</v>
      </c>
      <c r="V1" s="159">
        <v>2043</v>
      </c>
      <c r="W1" s="159">
        <v>2044</v>
      </c>
      <c r="X1" s="159">
        <v>2045</v>
      </c>
      <c r="Y1" s="159">
        <v>2046</v>
      </c>
      <c r="Z1" s="159">
        <v>2047</v>
      </c>
      <c r="AA1" s="159">
        <v>2048</v>
      </c>
      <c r="AB1" s="159">
        <v>2049</v>
      </c>
      <c r="AC1" s="159">
        <v>2050</v>
      </c>
      <c r="AD1" s="8"/>
      <c r="AE1" s="8"/>
      <c r="AF1" s="8"/>
      <c r="AG1" s="8"/>
      <c r="AH1" s="8"/>
      <c r="AI1" s="8"/>
      <c r="AJ1" s="8"/>
    </row>
    <row r="2" spans="1:36" x14ac:dyDescent="0.2">
      <c r="A2" s="160" t="s">
        <v>1778</v>
      </c>
      <c r="B2" s="160"/>
      <c r="C2" s="160"/>
      <c r="D2" s="160">
        <v>0</v>
      </c>
      <c r="E2" s="160">
        <v>1</v>
      </c>
      <c r="F2" s="160">
        <v>2</v>
      </c>
      <c r="G2" s="160">
        <v>3</v>
      </c>
      <c r="H2" s="160">
        <v>4</v>
      </c>
      <c r="I2" s="160">
        <v>5</v>
      </c>
      <c r="J2" s="160">
        <v>6</v>
      </c>
      <c r="K2" s="160">
        <v>7</v>
      </c>
      <c r="L2" s="160">
        <v>8</v>
      </c>
      <c r="M2" s="160">
        <v>9</v>
      </c>
      <c r="N2" s="160">
        <v>10</v>
      </c>
      <c r="O2" s="160">
        <v>11</v>
      </c>
      <c r="P2" s="160">
        <v>12</v>
      </c>
      <c r="Q2" s="160">
        <v>13</v>
      </c>
      <c r="R2" s="160">
        <v>14</v>
      </c>
      <c r="S2" s="160">
        <v>15</v>
      </c>
      <c r="T2" s="160">
        <v>16</v>
      </c>
      <c r="U2" s="160">
        <v>17</v>
      </c>
      <c r="V2" s="160">
        <v>18</v>
      </c>
      <c r="W2" s="160">
        <v>19</v>
      </c>
      <c r="X2" s="160">
        <v>20</v>
      </c>
      <c r="Y2" s="160">
        <v>21</v>
      </c>
      <c r="Z2" s="160">
        <v>22</v>
      </c>
      <c r="AA2" s="160">
        <v>23</v>
      </c>
      <c r="AB2" s="160">
        <v>24</v>
      </c>
      <c r="AC2" s="160">
        <v>25</v>
      </c>
      <c r="AD2" s="160"/>
      <c r="AE2" s="160"/>
      <c r="AF2" s="160"/>
      <c r="AG2" s="160"/>
      <c r="AH2" s="160"/>
      <c r="AI2" s="160"/>
      <c r="AJ2" s="160"/>
    </row>
    <row r="3" spans="1:36" x14ac:dyDescent="0.2">
      <c r="A3" s="22" t="s">
        <v>0</v>
      </c>
      <c r="B3" s="161">
        <v>0.21</v>
      </c>
      <c r="C3" s="8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162">
        <v>0.18</v>
      </c>
      <c r="AH3" s="162">
        <v>0.27</v>
      </c>
      <c r="AI3" s="163" t="s">
        <v>2</v>
      </c>
      <c r="AJ3" s="163" t="s">
        <v>1423</v>
      </c>
    </row>
    <row r="4" spans="1:36" ht="17" customHeight="1" thickBot="1" x14ac:dyDescent="0.25">
      <c r="A4" s="22" t="s">
        <v>1219</v>
      </c>
      <c r="B4" s="37">
        <v>3.5000000000000003E-2</v>
      </c>
      <c r="C4" s="8" t="s">
        <v>1645</v>
      </c>
      <c r="D4" s="164">
        <v>2025</v>
      </c>
      <c r="E4" s="164">
        <v>2026</v>
      </c>
      <c r="F4" s="164">
        <v>2027</v>
      </c>
      <c r="G4" s="164">
        <v>2028</v>
      </c>
      <c r="H4" s="164">
        <v>2029</v>
      </c>
      <c r="I4" s="164">
        <v>2030</v>
      </c>
      <c r="J4" s="164">
        <v>2031</v>
      </c>
      <c r="K4" s="164">
        <v>2032</v>
      </c>
      <c r="L4" s="164">
        <v>2033</v>
      </c>
      <c r="M4" s="164">
        <v>2034</v>
      </c>
      <c r="N4" s="164">
        <v>2035</v>
      </c>
      <c r="O4" s="164">
        <v>2036</v>
      </c>
      <c r="P4" s="164">
        <v>2037</v>
      </c>
      <c r="Q4" s="164">
        <v>2038</v>
      </c>
      <c r="R4" s="164">
        <v>2039</v>
      </c>
      <c r="S4" s="164">
        <v>2040</v>
      </c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8"/>
      <c r="AE4" s="8"/>
      <c r="AF4" s="8"/>
      <c r="AG4" s="54">
        <v>2.5000000000000001E-2</v>
      </c>
      <c r="AH4" s="54">
        <v>0.05</v>
      </c>
      <c r="AI4" s="163" t="s">
        <v>2</v>
      </c>
      <c r="AJ4" s="163" t="s">
        <v>1646</v>
      </c>
    </row>
    <row r="5" spans="1:36" x14ac:dyDescent="0.2">
      <c r="A5" s="22" t="s">
        <v>1220</v>
      </c>
      <c r="B5" s="37">
        <v>2.5000000000000001E-2</v>
      </c>
      <c r="C5" s="8" t="s">
        <v>1647</v>
      </c>
      <c r="D5" s="166">
        <v>0</v>
      </c>
      <c r="E5" s="166">
        <v>1</v>
      </c>
      <c r="F5" s="166">
        <v>2</v>
      </c>
      <c r="G5" s="166">
        <v>3</v>
      </c>
      <c r="H5" s="166">
        <v>4</v>
      </c>
      <c r="I5" s="166">
        <v>5</v>
      </c>
      <c r="J5" s="166">
        <v>6</v>
      </c>
      <c r="K5" s="166">
        <v>7</v>
      </c>
      <c r="L5" s="166">
        <v>8</v>
      </c>
      <c r="M5" s="166">
        <v>9</v>
      </c>
      <c r="N5" s="166">
        <v>10</v>
      </c>
      <c r="O5" s="166">
        <v>11</v>
      </c>
      <c r="P5" s="166">
        <v>12</v>
      </c>
      <c r="Q5" s="166">
        <v>13</v>
      </c>
      <c r="R5" s="166">
        <v>14</v>
      </c>
      <c r="S5" s="166">
        <v>15</v>
      </c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8"/>
      <c r="AE5" s="8"/>
      <c r="AF5" s="8"/>
      <c r="AG5" s="54">
        <v>0.02</v>
      </c>
      <c r="AH5" s="54">
        <v>0.03</v>
      </c>
      <c r="AI5" s="163" t="s">
        <v>2</v>
      </c>
      <c r="AJ5" s="163" t="s">
        <v>1648</v>
      </c>
    </row>
    <row r="6" spans="1:36" x14ac:dyDescent="0.2">
      <c r="A6" s="160" t="s">
        <v>1779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</row>
    <row r="7" spans="1:36" x14ac:dyDescent="0.2">
      <c r="A7" s="168" t="s">
        <v>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spans="1:36" x14ac:dyDescent="0.2">
      <c r="A8" s="22" t="s">
        <v>4</v>
      </c>
      <c r="B8" s="161">
        <v>11385</v>
      </c>
      <c r="C8" s="8" t="s">
        <v>1221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62">
        <v>8000</v>
      </c>
      <c r="AH8" s="162">
        <v>25000</v>
      </c>
      <c r="AI8" s="163" t="s">
        <v>2</v>
      </c>
      <c r="AJ8" s="163" t="s">
        <v>1222</v>
      </c>
    </row>
    <row r="9" spans="1:36" x14ac:dyDescent="0.2">
      <c r="A9" s="22" t="s">
        <v>5</v>
      </c>
      <c r="B9" s="161">
        <v>45000</v>
      </c>
      <c r="C9" s="8" t="s">
        <v>1729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62">
        <v>30000</v>
      </c>
      <c r="AH9" s="162">
        <v>60000</v>
      </c>
      <c r="AI9" s="163" t="s">
        <v>6</v>
      </c>
      <c r="AJ9" s="163" t="s">
        <v>1223</v>
      </c>
    </row>
    <row r="10" spans="1:36" x14ac:dyDescent="0.2">
      <c r="A10" s="22" t="s">
        <v>7</v>
      </c>
      <c r="B10" s="161">
        <v>2027</v>
      </c>
      <c r="C10" s="8" t="s">
        <v>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62">
        <v>2026</v>
      </c>
      <c r="AH10" s="162">
        <v>2028</v>
      </c>
      <c r="AI10" s="163" t="s">
        <v>9</v>
      </c>
      <c r="AJ10" s="163" t="s">
        <v>1424</v>
      </c>
    </row>
    <row r="11" spans="1:36" x14ac:dyDescent="0.2">
      <c r="A11" s="168" t="s">
        <v>1730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 spans="1:36" x14ac:dyDescent="0.2">
      <c r="A12" s="22" t="s">
        <v>10</v>
      </c>
      <c r="B12" s="161">
        <v>0.15</v>
      </c>
      <c r="C12" s="8" t="s">
        <v>1649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62">
        <v>0.03</v>
      </c>
      <c r="AH12" s="162">
        <v>0.35</v>
      </c>
      <c r="AI12" s="163" t="s">
        <v>2</v>
      </c>
      <c r="AJ12" s="163" t="s">
        <v>1731</v>
      </c>
    </row>
    <row r="13" spans="1:36" x14ac:dyDescent="0.2">
      <c r="A13" s="22" t="s">
        <v>11</v>
      </c>
      <c r="B13" s="161">
        <v>1000</v>
      </c>
      <c r="C13" s="8" t="s">
        <v>12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62">
        <v>500</v>
      </c>
      <c r="AH13" s="162">
        <v>2500</v>
      </c>
      <c r="AI13" s="163" t="s">
        <v>2</v>
      </c>
      <c r="AJ13" s="163" t="s">
        <v>1425</v>
      </c>
    </row>
    <row r="14" spans="1:36" x14ac:dyDescent="0.2">
      <c r="A14" s="22" t="s">
        <v>13</v>
      </c>
      <c r="B14" s="161">
        <v>1</v>
      </c>
      <c r="C14" s="8" t="s">
        <v>14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 t="s">
        <v>15</v>
      </c>
      <c r="AJ14" s="8" t="s">
        <v>16</v>
      </c>
    </row>
    <row r="15" spans="1:36" x14ac:dyDescent="0.2">
      <c r="A15" s="22" t="s">
        <v>1077</v>
      </c>
      <c r="B15" s="161">
        <v>700</v>
      </c>
      <c r="C15" s="8" t="s">
        <v>17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 t="s">
        <v>15</v>
      </c>
      <c r="AJ15" s="8" t="s">
        <v>18</v>
      </c>
    </row>
    <row r="16" spans="1:36" x14ac:dyDescent="0.2">
      <c r="A16" s="168" t="s">
        <v>1860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 spans="1:36" x14ac:dyDescent="0.2">
      <c r="A17" s="22" t="s">
        <v>1861</v>
      </c>
      <c r="B17" s="161">
        <v>3</v>
      </c>
      <c r="C17" s="8" t="s">
        <v>1650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62">
        <v>3</v>
      </c>
      <c r="AH17" s="162">
        <v>20</v>
      </c>
      <c r="AI17" s="163" t="s">
        <v>2</v>
      </c>
      <c r="AJ17" s="163" t="s">
        <v>1224</v>
      </c>
    </row>
    <row r="18" spans="1:36" x14ac:dyDescent="0.2">
      <c r="A18" s="168" t="s">
        <v>19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</row>
    <row r="19" spans="1:36" x14ac:dyDescent="0.2">
      <c r="A19" s="22" t="s">
        <v>1225</v>
      </c>
      <c r="B19" s="161">
        <v>8</v>
      </c>
      <c r="C19" s="8" t="s">
        <v>22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62">
        <v>6</v>
      </c>
      <c r="AH19" s="162">
        <v>10</v>
      </c>
      <c r="AI19" s="163" t="s">
        <v>2</v>
      </c>
      <c r="AJ19" s="163" t="s">
        <v>20</v>
      </c>
    </row>
    <row r="20" spans="1:36" x14ac:dyDescent="0.2">
      <c r="A20" s="22" t="s">
        <v>1226</v>
      </c>
      <c r="B20" s="161">
        <v>8</v>
      </c>
      <c r="C20" s="8" t="s">
        <v>1780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62">
        <v>6</v>
      </c>
      <c r="AH20" s="162">
        <v>10</v>
      </c>
      <c r="AI20" s="163" t="s">
        <v>2</v>
      </c>
      <c r="AJ20" s="163" t="s">
        <v>20</v>
      </c>
    </row>
    <row r="21" spans="1:36" x14ac:dyDescent="0.2">
      <c r="A21" s="22" t="s">
        <v>1227</v>
      </c>
      <c r="B21" s="161">
        <v>5</v>
      </c>
      <c r="C21" s="8" t="s">
        <v>23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62">
        <v>4</v>
      </c>
      <c r="AH21" s="162">
        <v>7</v>
      </c>
      <c r="AI21" s="163" t="s">
        <v>2</v>
      </c>
      <c r="AJ21" s="163" t="s">
        <v>20</v>
      </c>
    </row>
    <row r="22" spans="1:36" x14ac:dyDescent="0.2">
      <c r="A22" s="22" t="s">
        <v>1228</v>
      </c>
      <c r="B22" s="161">
        <v>15</v>
      </c>
      <c r="C22" s="8" t="s">
        <v>24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62">
        <v>10</v>
      </c>
      <c r="AH22" s="162">
        <v>20</v>
      </c>
      <c r="AI22" s="163" t="s">
        <v>2</v>
      </c>
      <c r="AJ22" s="163" t="s">
        <v>20</v>
      </c>
    </row>
    <row r="23" spans="1:36" x14ac:dyDescent="0.2">
      <c r="A23" s="22" t="s">
        <v>1229</v>
      </c>
      <c r="B23" s="161">
        <v>3</v>
      </c>
      <c r="C23" s="8" t="s">
        <v>25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62">
        <v>2</v>
      </c>
      <c r="AH23" s="162">
        <v>5</v>
      </c>
      <c r="AI23" s="163" t="s">
        <v>2</v>
      </c>
      <c r="AJ23" s="163" t="s">
        <v>20</v>
      </c>
    </row>
    <row r="24" spans="1:36" x14ac:dyDescent="0.2">
      <c r="A24" s="168" t="s">
        <v>1862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 spans="1:36" x14ac:dyDescent="0.2">
      <c r="A25" s="168" t="s">
        <v>1612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</row>
    <row r="26" spans="1:36" x14ac:dyDescent="0.2">
      <c r="A26" s="160" t="s">
        <v>1781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</row>
    <row r="27" spans="1:36" x14ac:dyDescent="0.2">
      <c r="A27" s="168" t="s">
        <v>27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spans="1:36" x14ac:dyDescent="0.2">
      <c r="A28" s="22" t="s">
        <v>28</v>
      </c>
      <c r="B28" s="161">
        <v>23.4</v>
      </c>
      <c r="C28" s="8" t="s">
        <v>29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62">
        <v>18</v>
      </c>
      <c r="AH28" s="162">
        <v>30</v>
      </c>
      <c r="AI28" s="163" t="s">
        <v>2</v>
      </c>
      <c r="AJ28" s="163" t="s">
        <v>20</v>
      </c>
    </row>
    <row r="29" spans="1:36" x14ac:dyDescent="0.2">
      <c r="A29" s="22" t="s">
        <v>30</v>
      </c>
      <c r="B29" s="161">
        <v>0.02</v>
      </c>
      <c r="C29" s="8" t="s">
        <v>31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62">
        <v>0.01</v>
      </c>
      <c r="AH29" s="162">
        <v>0.05</v>
      </c>
      <c r="AI29" s="163" t="s">
        <v>2</v>
      </c>
      <c r="AJ29" s="163" t="s">
        <v>20</v>
      </c>
    </row>
    <row r="30" spans="1:36" x14ac:dyDescent="0.2">
      <c r="A30" s="22" t="s">
        <v>1426</v>
      </c>
      <c r="B30" s="161">
        <v>150000</v>
      </c>
      <c r="C30" s="8" t="s">
        <v>32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62">
        <v>130000</v>
      </c>
      <c r="AH30" s="162">
        <v>200000</v>
      </c>
      <c r="AI30" s="163" t="s">
        <v>2</v>
      </c>
      <c r="AJ30" s="163" t="s">
        <v>1427</v>
      </c>
    </row>
    <row r="31" spans="1:36" x14ac:dyDescent="0.2">
      <c r="A31" s="22" t="s">
        <v>1230</v>
      </c>
      <c r="B31" s="161">
        <v>100000</v>
      </c>
      <c r="C31" s="8" t="s">
        <v>33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62">
        <v>80000</v>
      </c>
      <c r="AH31" s="162">
        <v>150000</v>
      </c>
      <c r="AI31" s="163" t="s">
        <v>2</v>
      </c>
      <c r="AJ31" s="163" t="s">
        <v>34</v>
      </c>
    </row>
    <row r="32" spans="1:36" x14ac:dyDescent="0.2">
      <c r="A32" s="168" t="s">
        <v>36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</row>
    <row r="33" spans="1:36" x14ac:dyDescent="0.2">
      <c r="A33" s="22" t="s">
        <v>37</v>
      </c>
      <c r="B33" s="161">
        <v>1</v>
      </c>
      <c r="C33" s="8" t="s">
        <v>38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62">
        <v>0.8</v>
      </c>
      <c r="AH33" s="162">
        <v>1.5</v>
      </c>
      <c r="AI33" s="163" t="s">
        <v>2</v>
      </c>
      <c r="AJ33" s="163" t="s">
        <v>20</v>
      </c>
    </row>
    <row r="34" spans="1:36" x14ac:dyDescent="0.2">
      <c r="A34" s="22" t="s">
        <v>1231</v>
      </c>
      <c r="B34" s="161">
        <v>0.21</v>
      </c>
      <c r="C34" s="8" t="s">
        <v>1651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62">
        <v>0.05</v>
      </c>
      <c r="AH34" s="162">
        <v>0.25</v>
      </c>
      <c r="AI34" s="163" t="s">
        <v>2</v>
      </c>
      <c r="AJ34" s="163" t="s">
        <v>1428</v>
      </c>
    </row>
    <row r="35" spans="1:36" x14ac:dyDescent="0.2">
      <c r="A35" s="22" t="s">
        <v>39</v>
      </c>
      <c r="B35" s="161">
        <v>60</v>
      </c>
      <c r="C35" s="8" t="s">
        <v>40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62">
        <v>40</v>
      </c>
      <c r="AH35" s="162">
        <v>100</v>
      </c>
      <c r="AI35" s="163" t="s">
        <v>2</v>
      </c>
      <c r="AJ35" s="163" t="s">
        <v>20</v>
      </c>
    </row>
    <row r="36" spans="1:36" x14ac:dyDescent="0.2">
      <c r="A36" s="168" t="s">
        <v>41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 spans="1:36" x14ac:dyDescent="0.2">
      <c r="A37" s="22" t="s">
        <v>43</v>
      </c>
      <c r="B37" s="8"/>
      <c r="C37" s="8" t="s">
        <v>44</v>
      </c>
      <c r="D37" s="161">
        <v>5</v>
      </c>
      <c r="E37" s="161">
        <v>8</v>
      </c>
      <c r="F37" s="161">
        <v>12</v>
      </c>
      <c r="G37" s="161">
        <v>18</v>
      </c>
      <c r="H37" s="161">
        <v>25</v>
      </c>
      <c r="I37" s="161">
        <v>30</v>
      </c>
      <c r="J37" s="161">
        <v>35</v>
      </c>
      <c r="K37" s="161">
        <v>42</v>
      </c>
      <c r="L37" s="161">
        <v>50</v>
      </c>
      <c r="M37" s="161">
        <v>58</v>
      </c>
      <c r="N37" s="161">
        <v>65</v>
      </c>
      <c r="O37" s="161">
        <v>70</v>
      </c>
      <c r="P37" s="161">
        <v>75</v>
      </c>
      <c r="Q37" s="161">
        <v>80</v>
      </c>
      <c r="R37" s="161">
        <v>85</v>
      </c>
      <c r="S37" s="161">
        <v>90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63" t="s">
        <v>42</v>
      </c>
      <c r="AJ37" s="163" t="s">
        <v>35</v>
      </c>
    </row>
    <row r="38" spans="1:36" x14ac:dyDescent="0.2">
      <c r="A38" s="168" t="s">
        <v>45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</row>
    <row r="39" spans="1:36" x14ac:dyDescent="0.2">
      <c r="A39" s="22" t="s">
        <v>46</v>
      </c>
      <c r="B39" s="161">
        <v>30</v>
      </c>
      <c r="C39" s="8" t="s">
        <v>47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62">
        <v>25</v>
      </c>
      <c r="AH39" s="162">
        <v>35</v>
      </c>
      <c r="AI39" s="163" t="s">
        <v>2</v>
      </c>
      <c r="AJ39" s="163" t="s">
        <v>20</v>
      </c>
    </row>
    <row r="40" spans="1:36" x14ac:dyDescent="0.2">
      <c r="A40" s="22" t="s">
        <v>48</v>
      </c>
      <c r="B40" s="161">
        <v>10</v>
      </c>
      <c r="C40" s="8" t="s">
        <v>49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62">
        <v>8</v>
      </c>
      <c r="AH40" s="162">
        <v>13</v>
      </c>
      <c r="AI40" s="163" t="s">
        <v>2</v>
      </c>
      <c r="AJ40" s="163" t="s">
        <v>20</v>
      </c>
    </row>
    <row r="41" spans="1:36" x14ac:dyDescent="0.2">
      <c r="A41" s="22" t="s">
        <v>50</v>
      </c>
      <c r="B41" s="161">
        <v>1.25</v>
      </c>
      <c r="C41" s="8" t="s">
        <v>51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62">
        <v>1</v>
      </c>
      <c r="AH41" s="162">
        <v>2</v>
      </c>
      <c r="AI41" s="163" t="s">
        <v>2</v>
      </c>
      <c r="AJ41" s="163" t="s">
        <v>20</v>
      </c>
    </row>
    <row r="42" spans="1:36" x14ac:dyDescent="0.2">
      <c r="A42" s="22" t="s">
        <v>52</v>
      </c>
      <c r="B42" s="161">
        <v>5</v>
      </c>
      <c r="C42" s="8" t="s">
        <v>53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62">
        <v>3</v>
      </c>
      <c r="AH42" s="162">
        <v>8</v>
      </c>
      <c r="AI42" s="163" t="s">
        <v>2</v>
      </c>
      <c r="AJ42" s="163" t="s">
        <v>20</v>
      </c>
    </row>
    <row r="43" spans="1:36" x14ac:dyDescent="0.2">
      <c r="A43" s="22" t="s">
        <v>54</v>
      </c>
      <c r="B43" s="161">
        <v>0.03</v>
      </c>
      <c r="C43" s="8" t="s">
        <v>55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62">
        <v>0.02</v>
      </c>
      <c r="AH43" s="162">
        <v>0.05</v>
      </c>
      <c r="AI43" s="163" t="s">
        <v>2</v>
      </c>
      <c r="AJ43" s="163" t="s">
        <v>20</v>
      </c>
    </row>
    <row r="44" spans="1:36" x14ac:dyDescent="0.2">
      <c r="A44" s="22" t="s">
        <v>56</v>
      </c>
      <c r="B44" s="161">
        <v>22800</v>
      </c>
      <c r="C44" s="8" t="s">
        <v>1232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 t="s">
        <v>15</v>
      </c>
      <c r="AJ44" s="8" t="s">
        <v>57</v>
      </c>
    </row>
    <row r="45" spans="1:36" x14ac:dyDescent="0.2">
      <c r="A45" s="22" t="s">
        <v>58</v>
      </c>
      <c r="B45" s="161">
        <v>35</v>
      </c>
      <c r="C45" s="8" t="s">
        <v>59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62">
        <v>30</v>
      </c>
      <c r="AH45" s="162">
        <v>100</v>
      </c>
      <c r="AI45" s="163" t="s">
        <v>2</v>
      </c>
      <c r="AJ45" s="163" t="s">
        <v>1429</v>
      </c>
    </row>
    <row r="46" spans="1:36" x14ac:dyDescent="0.2">
      <c r="A46" s="22" t="s">
        <v>60</v>
      </c>
      <c r="B46" s="161">
        <v>0.02</v>
      </c>
      <c r="C46" s="8" t="s">
        <v>61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62">
        <v>0</v>
      </c>
      <c r="AH46" s="162">
        <v>0.05</v>
      </c>
      <c r="AI46" s="163" t="s">
        <v>2</v>
      </c>
      <c r="AJ46" s="163" t="s">
        <v>20</v>
      </c>
    </row>
    <row r="47" spans="1:36" x14ac:dyDescent="0.2">
      <c r="A47" s="22" t="s">
        <v>62</v>
      </c>
      <c r="B47" s="161">
        <v>8</v>
      </c>
      <c r="C47" s="8" t="s">
        <v>63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62">
        <v>6</v>
      </c>
      <c r="AH47" s="162">
        <v>15</v>
      </c>
      <c r="AI47" s="163" t="s">
        <v>2</v>
      </c>
      <c r="AJ47" s="163" t="s">
        <v>1430</v>
      </c>
    </row>
    <row r="48" spans="1:36" x14ac:dyDescent="0.2">
      <c r="A48" s="22" t="s">
        <v>64</v>
      </c>
      <c r="B48" s="161">
        <v>8</v>
      </c>
      <c r="C48" s="8" t="s">
        <v>1233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62">
        <v>6</v>
      </c>
      <c r="AH48" s="162">
        <v>10</v>
      </c>
      <c r="AI48" s="163" t="s">
        <v>2</v>
      </c>
      <c r="AJ48" s="163" t="s">
        <v>20</v>
      </c>
    </row>
    <row r="49" spans="1:36" x14ac:dyDescent="0.2">
      <c r="A49" s="22" t="s">
        <v>65</v>
      </c>
      <c r="B49" s="161">
        <v>2026</v>
      </c>
      <c r="C49" s="8" t="s">
        <v>1234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62">
        <v>2026</v>
      </c>
      <c r="AH49" s="162">
        <v>2027</v>
      </c>
      <c r="AI49" s="163" t="s">
        <v>9</v>
      </c>
      <c r="AJ49" s="163" t="s">
        <v>1431</v>
      </c>
    </row>
    <row r="50" spans="1:36" x14ac:dyDescent="0.2">
      <c r="A50" s="22" t="s">
        <v>66</v>
      </c>
      <c r="B50" s="161">
        <v>8</v>
      </c>
      <c r="C50" s="8" t="s">
        <v>67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62">
        <v>6</v>
      </c>
      <c r="AH50" s="162">
        <v>12</v>
      </c>
      <c r="AI50" s="163" t="s">
        <v>2</v>
      </c>
      <c r="AJ50" s="163" t="s">
        <v>20</v>
      </c>
    </row>
    <row r="51" spans="1:36" x14ac:dyDescent="0.2">
      <c r="A51" s="22" t="s">
        <v>68</v>
      </c>
      <c r="B51" s="161">
        <v>28</v>
      </c>
      <c r="C51" s="8" t="s">
        <v>1235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 t="s">
        <v>15</v>
      </c>
      <c r="AJ51" s="8" t="s">
        <v>69</v>
      </c>
    </row>
    <row r="52" spans="1:36" x14ac:dyDescent="0.2">
      <c r="A52" s="168" t="s">
        <v>70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</row>
    <row r="53" spans="1:36" x14ac:dyDescent="0.2">
      <c r="A53" s="160" t="s">
        <v>1782</v>
      </c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</row>
    <row r="54" spans="1:36" x14ac:dyDescent="0.2">
      <c r="A54" s="22" t="s">
        <v>71</v>
      </c>
      <c r="B54" s="169">
        <v>54.8</v>
      </c>
      <c r="C54" s="8" t="s">
        <v>1652</v>
      </c>
      <c r="D54" s="169">
        <v>54.8</v>
      </c>
      <c r="E54" s="98">
        <f t="shared" ref="E54:S54" si="0">$D$54*(1-0.03)^E$5</f>
        <v>53.155999999999999</v>
      </c>
      <c r="F54" s="98">
        <f t="shared" si="0"/>
        <v>51.561319999999995</v>
      </c>
      <c r="G54" s="98">
        <f t="shared" si="0"/>
        <v>50.014480399999997</v>
      </c>
      <c r="H54" s="98">
        <f t="shared" si="0"/>
        <v>48.514045987999992</v>
      </c>
      <c r="I54" s="98">
        <f t="shared" si="0"/>
        <v>47.058624608359992</v>
      </c>
      <c r="J54" s="98">
        <f t="shared" si="0"/>
        <v>45.646865870109195</v>
      </c>
      <c r="K54" s="98">
        <f t="shared" si="0"/>
        <v>44.277459894005915</v>
      </c>
      <c r="L54" s="98">
        <f t="shared" si="0"/>
        <v>42.949136097185736</v>
      </c>
      <c r="M54" s="98">
        <f t="shared" si="0"/>
        <v>41.660662014270166</v>
      </c>
      <c r="N54" s="98">
        <f t="shared" si="0"/>
        <v>40.410842153842061</v>
      </c>
      <c r="O54" s="98">
        <f t="shared" si="0"/>
        <v>39.198516889226802</v>
      </c>
      <c r="P54" s="98">
        <f t="shared" si="0"/>
        <v>38.022561382549995</v>
      </c>
      <c r="Q54" s="98">
        <f t="shared" si="0"/>
        <v>36.881884541073489</v>
      </c>
      <c r="R54" s="98">
        <f t="shared" si="0"/>
        <v>35.775428004841288</v>
      </c>
      <c r="S54" s="98">
        <f t="shared" si="0"/>
        <v>34.702165164696048</v>
      </c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8"/>
      <c r="AE54" s="8"/>
      <c r="AF54" s="8"/>
      <c r="AG54" s="8"/>
      <c r="AH54" s="8"/>
      <c r="AI54" s="163" t="s">
        <v>42</v>
      </c>
      <c r="AJ54" s="163" t="s">
        <v>1653</v>
      </c>
    </row>
    <row r="55" spans="1:36" x14ac:dyDescent="0.2">
      <c r="A55" s="22" t="s">
        <v>1236</v>
      </c>
      <c r="B55" s="8"/>
      <c r="C55" s="8" t="s">
        <v>72</v>
      </c>
      <c r="D55" s="161">
        <v>0</v>
      </c>
      <c r="E55" s="161">
        <v>0</v>
      </c>
      <c r="F55" s="161">
        <v>100</v>
      </c>
      <c r="G55" s="161">
        <v>92</v>
      </c>
      <c r="H55" s="161">
        <v>84.64</v>
      </c>
      <c r="I55" s="161">
        <v>77.87</v>
      </c>
      <c r="J55" s="161">
        <v>71.64</v>
      </c>
      <c r="K55" s="161">
        <v>65.91</v>
      </c>
      <c r="L55" s="161">
        <v>60.64</v>
      </c>
      <c r="M55" s="161">
        <v>55.79</v>
      </c>
      <c r="N55" s="161">
        <v>51.32</v>
      </c>
      <c r="O55" s="161">
        <v>47.21</v>
      </c>
      <c r="P55" s="161">
        <v>43.44</v>
      </c>
      <c r="Q55" s="161">
        <v>39.96</v>
      </c>
      <c r="R55" s="161">
        <v>36.770000000000003</v>
      </c>
      <c r="S55" s="161">
        <v>33.83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63" t="s">
        <v>42</v>
      </c>
      <c r="AJ55" s="163" t="s">
        <v>1432</v>
      </c>
    </row>
    <row r="56" spans="1:36" x14ac:dyDescent="0.2">
      <c r="A56" s="22" t="s">
        <v>1237</v>
      </c>
      <c r="B56" s="8"/>
      <c r="C56" s="8" t="s">
        <v>1654</v>
      </c>
      <c r="D56" s="161">
        <v>8000</v>
      </c>
      <c r="E56" s="161">
        <v>8640</v>
      </c>
      <c r="F56" s="161">
        <v>9331.2000000000007</v>
      </c>
      <c r="G56" s="161">
        <v>10077.700000000001</v>
      </c>
      <c r="H56" s="161">
        <v>10883.9</v>
      </c>
      <c r="I56" s="161">
        <v>11754.6</v>
      </c>
      <c r="J56" s="161">
        <v>12695</v>
      </c>
      <c r="K56" s="161">
        <v>13710.6</v>
      </c>
      <c r="L56" s="161">
        <v>14807.4</v>
      </c>
      <c r="M56" s="161">
        <v>15992</v>
      </c>
      <c r="N56" s="161">
        <v>17271.400000000001</v>
      </c>
      <c r="O56" s="161">
        <v>18653.099999999999</v>
      </c>
      <c r="P56" s="161">
        <v>20145.400000000001</v>
      </c>
      <c r="Q56" s="161">
        <v>21757</v>
      </c>
      <c r="R56" s="161">
        <v>23497.5</v>
      </c>
      <c r="S56" s="161">
        <v>25377.4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63" t="s">
        <v>42</v>
      </c>
      <c r="AJ56" s="163" t="s">
        <v>1655</v>
      </c>
    </row>
    <row r="57" spans="1:36" x14ac:dyDescent="0.2">
      <c r="A57" s="22" t="s">
        <v>1238</v>
      </c>
      <c r="B57" s="8"/>
      <c r="C57" s="8" t="s">
        <v>1656</v>
      </c>
      <c r="D57" s="161">
        <v>4000</v>
      </c>
      <c r="E57" s="161">
        <v>4200</v>
      </c>
      <c r="F57" s="161">
        <v>4410</v>
      </c>
      <c r="G57" s="161">
        <v>4630.5</v>
      </c>
      <c r="H57" s="161">
        <v>4862.0200000000004</v>
      </c>
      <c r="I57" s="161">
        <v>5105.13</v>
      </c>
      <c r="J57" s="161">
        <v>5360.38</v>
      </c>
      <c r="K57" s="161">
        <v>5628.4</v>
      </c>
      <c r="L57" s="161">
        <v>5909.82</v>
      </c>
      <c r="M57" s="161">
        <v>6205.31</v>
      </c>
      <c r="N57" s="161">
        <v>6515.58</v>
      </c>
      <c r="O57" s="161">
        <v>6841.36</v>
      </c>
      <c r="P57" s="161">
        <v>7183.43</v>
      </c>
      <c r="Q57" s="161">
        <v>7542.6</v>
      </c>
      <c r="R57" s="161">
        <v>7919.73</v>
      </c>
      <c r="S57" s="161">
        <v>8315.7099999999991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63" t="s">
        <v>42</v>
      </c>
      <c r="AJ57" s="163" t="s">
        <v>1657</v>
      </c>
    </row>
    <row r="58" spans="1:36" x14ac:dyDescent="0.2">
      <c r="A58" s="22" t="s">
        <v>73</v>
      </c>
      <c r="B58" s="8"/>
      <c r="C58" s="8" t="s">
        <v>74</v>
      </c>
      <c r="D58" s="161">
        <v>0.75</v>
      </c>
      <c r="E58" s="161">
        <v>0.75329999999999997</v>
      </c>
      <c r="F58" s="161">
        <v>0.75670000000000004</v>
      </c>
      <c r="G58" s="161">
        <v>0.76</v>
      </c>
      <c r="H58" s="161">
        <v>0.76329999999999998</v>
      </c>
      <c r="I58" s="161">
        <v>0.76670000000000005</v>
      </c>
      <c r="J58" s="161">
        <v>0.77</v>
      </c>
      <c r="K58" s="161">
        <v>0.77329999999999999</v>
      </c>
      <c r="L58" s="161">
        <v>0.77669999999999995</v>
      </c>
      <c r="M58" s="161">
        <v>0.78</v>
      </c>
      <c r="N58" s="161">
        <v>0.7833</v>
      </c>
      <c r="O58" s="161">
        <v>0.78669999999999995</v>
      </c>
      <c r="P58" s="161">
        <v>0.79</v>
      </c>
      <c r="Q58" s="161">
        <v>0.79330000000000001</v>
      </c>
      <c r="R58" s="161">
        <v>0.79669999999999996</v>
      </c>
      <c r="S58" s="161">
        <v>0.8</v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63" t="s">
        <v>42</v>
      </c>
      <c r="AJ58" s="163" t="s">
        <v>1433</v>
      </c>
    </row>
    <row r="59" spans="1:36" x14ac:dyDescent="0.2">
      <c r="A59" s="22" t="s">
        <v>75</v>
      </c>
      <c r="B59" s="8"/>
      <c r="C59" s="8" t="s">
        <v>76</v>
      </c>
      <c r="D59" s="161">
        <v>0.9</v>
      </c>
      <c r="E59" s="161">
        <v>0.89329999999999998</v>
      </c>
      <c r="F59" s="161">
        <v>0.88670000000000004</v>
      </c>
      <c r="G59" s="161">
        <v>0.88</v>
      </c>
      <c r="H59" s="161">
        <v>0.87329999999999997</v>
      </c>
      <c r="I59" s="161">
        <v>0.86670000000000003</v>
      </c>
      <c r="J59" s="161">
        <v>0.86</v>
      </c>
      <c r="K59" s="161">
        <v>0.85329999999999995</v>
      </c>
      <c r="L59" s="161">
        <v>0.84670000000000001</v>
      </c>
      <c r="M59" s="161">
        <v>0.84</v>
      </c>
      <c r="N59" s="161">
        <v>0.83330000000000004</v>
      </c>
      <c r="O59" s="161">
        <v>0.82669999999999999</v>
      </c>
      <c r="P59" s="161">
        <v>0.82</v>
      </c>
      <c r="Q59" s="161">
        <v>0.81330000000000002</v>
      </c>
      <c r="R59" s="161">
        <v>0.80669999999999997</v>
      </c>
      <c r="S59" s="161">
        <v>0.8</v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63" t="s">
        <v>42</v>
      </c>
      <c r="AJ59" s="163" t="s">
        <v>20</v>
      </c>
    </row>
    <row r="60" spans="1:36" x14ac:dyDescent="0.2">
      <c r="A60" s="22" t="s">
        <v>77</v>
      </c>
      <c r="B60" s="161">
        <v>0.05</v>
      </c>
      <c r="C60" s="8" t="s">
        <v>78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62">
        <v>0.03</v>
      </c>
      <c r="AH60" s="162">
        <v>0.08</v>
      </c>
      <c r="AI60" s="163" t="s">
        <v>2</v>
      </c>
      <c r="AJ60" s="163" t="s">
        <v>20</v>
      </c>
    </row>
    <row r="61" spans="1:36" x14ac:dyDescent="0.2">
      <c r="A61" s="22" t="s">
        <v>79</v>
      </c>
      <c r="B61" s="161">
        <v>0.02</v>
      </c>
      <c r="C61" s="8" t="s">
        <v>78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62">
        <v>0.01</v>
      </c>
      <c r="AH61" s="162">
        <v>0.04</v>
      </c>
      <c r="AI61" s="163" t="s">
        <v>2</v>
      </c>
      <c r="AJ61" s="163" t="s">
        <v>20</v>
      </c>
    </row>
    <row r="62" spans="1:36" x14ac:dyDescent="0.2">
      <c r="A62" s="168" t="s">
        <v>80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spans="1:36" x14ac:dyDescent="0.2">
      <c r="A63" s="170" t="s">
        <v>82</v>
      </c>
      <c r="B63" s="171">
        <v>13</v>
      </c>
      <c r="C63" s="172" t="s">
        <v>83</v>
      </c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 t="s">
        <v>15</v>
      </c>
      <c r="AJ63" s="172" t="s">
        <v>84</v>
      </c>
    </row>
    <row r="64" spans="1:36" x14ac:dyDescent="0.2">
      <c r="A64" s="160" t="s">
        <v>1783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</row>
    <row r="65" spans="1:36" x14ac:dyDescent="0.2">
      <c r="A65" s="168" t="s">
        <v>85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</row>
    <row r="66" spans="1:36" x14ac:dyDescent="0.2">
      <c r="A66" s="168" t="s">
        <v>86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</row>
    <row r="67" spans="1:36" x14ac:dyDescent="0.2">
      <c r="A67" s="22" t="s">
        <v>1434</v>
      </c>
      <c r="B67" s="161">
        <v>650</v>
      </c>
      <c r="C67" s="8" t="s">
        <v>1239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62">
        <v>500</v>
      </c>
      <c r="AH67" s="162">
        <v>800</v>
      </c>
      <c r="AI67" s="163" t="s">
        <v>2</v>
      </c>
      <c r="AJ67" s="163" t="s">
        <v>87</v>
      </c>
    </row>
    <row r="68" spans="1:36" x14ac:dyDescent="0.2">
      <c r="A68" s="22" t="s">
        <v>1435</v>
      </c>
      <c r="B68" s="161">
        <v>0.05</v>
      </c>
      <c r="C68" s="8" t="s">
        <v>78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62">
        <v>0.03</v>
      </c>
      <c r="AH68" s="162">
        <v>0.17</v>
      </c>
      <c r="AI68" s="163" t="s">
        <v>2</v>
      </c>
      <c r="AJ68" s="163" t="s">
        <v>20</v>
      </c>
    </row>
    <row r="69" spans="1:36" x14ac:dyDescent="0.2">
      <c r="A69" s="22" t="s">
        <v>88</v>
      </c>
      <c r="B69" s="161">
        <v>400</v>
      </c>
      <c r="C69" s="8" t="s">
        <v>78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62">
        <v>300</v>
      </c>
      <c r="AH69" s="162">
        <v>500</v>
      </c>
      <c r="AI69" s="163" t="s">
        <v>2</v>
      </c>
      <c r="AJ69" s="163" t="s">
        <v>20</v>
      </c>
    </row>
    <row r="70" spans="1:36" x14ac:dyDescent="0.2">
      <c r="A70" s="168" t="s">
        <v>89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</row>
    <row r="71" spans="1:36" x14ac:dyDescent="0.2">
      <c r="A71" s="168" t="s">
        <v>91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</row>
    <row r="72" spans="1:36" x14ac:dyDescent="0.2">
      <c r="A72" s="22" t="s">
        <v>1240</v>
      </c>
      <c r="B72" s="161">
        <v>128.80000000000001</v>
      </c>
      <c r="C72" s="8" t="s">
        <v>1658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62">
        <v>110</v>
      </c>
      <c r="AH72" s="162">
        <v>150</v>
      </c>
      <c r="AI72" s="163" t="s">
        <v>2</v>
      </c>
      <c r="AJ72" s="163" t="s">
        <v>1659</v>
      </c>
    </row>
    <row r="73" spans="1:36" x14ac:dyDescent="0.2">
      <c r="A73" s="168" t="s">
        <v>1241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</row>
    <row r="74" spans="1:36" x14ac:dyDescent="0.2">
      <c r="A74" s="168" t="s">
        <v>94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</row>
    <row r="75" spans="1:36" x14ac:dyDescent="0.2">
      <c r="A75" s="168" t="s">
        <v>95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</row>
    <row r="76" spans="1:36" x14ac:dyDescent="0.2">
      <c r="A76" s="22" t="s">
        <v>96</v>
      </c>
      <c r="B76" s="161">
        <v>4.4000000000000004</v>
      </c>
      <c r="C76" s="8" t="s">
        <v>1242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62">
        <v>3.5</v>
      </c>
      <c r="AH76" s="162">
        <v>6</v>
      </c>
      <c r="AI76" s="163" t="s">
        <v>2</v>
      </c>
      <c r="AJ76" s="163" t="s">
        <v>97</v>
      </c>
    </row>
    <row r="77" spans="1:36" x14ac:dyDescent="0.2">
      <c r="A77" s="22" t="s">
        <v>1436</v>
      </c>
      <c r="B77" s="8"/>
      <c r="C77" s="8" t="s">
        <v>98</v>
      </c>
      <c r="D77" s="161">
        <v>81</v>
      </c>
      <c r="E77" s="161">
        <v>75</v>
      </c>
      <c r="F77" s="161">
        <v>70</v>
      </c>
      <c r="G77" s="161">
        <v>65</v>
      </c>
      <c r="H77" s="161">
        <v>60</v>
      </c>
      <c r="I77" s="161">
        <v>55</v>
      </c>
      <c r="J77" s="161">
        <v>54</v>
      </c>
      <c r="K77" s="161">
        <v>53</v>
      </c>
      <c r="L77" s="161">
        <v>52</v>
      </c>
      <c r="M77" s="161">
        <v>51</v>
      </c>
      <c r="N77" s="161">
        <v>50</v>
      </c>
      <c r="O77" s="161">
        <v>49.5</v>
      </c>
      <c r="P77" s="161">
        <v>49</v>
      </c>
      <c r="Q77" s="161">
        <v>48.5</v>
      </c>
      <c r="R77" s="161">
        <v>48</v>
      </c>
      <c r="S77" s="161">
        <v>47.5</v>
      </c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63" t="s">
        <v>81</v>
      </c>
      <c r="AJ77" s="163" t="s">
        <v>1243</v>
      </c>
    </row>
    <row r="78" spans="1:36" x14ac:dyDescent="0.2">
      <c r="A78" s="22" t="s">
        <v>1437</v>
      </c>
      <c r="B78" s="8"/>
      <c r="C78" s="8" t="s">
        <v>99</v>
      </c>
      <c r="D78" s="161">
        <v>16</v>
      </c>
      <c r="E78" s="161">
        <v>14.8</v>
      </c>
      <c r="F78" s="161">
        <v>13.6</v>
      </c>
      <c r="G78" s="161">
        <v>12.4</v>
      </c>
      <c r="H78" s="161">
        <v>11.2</v>
      </c>
      <c r="I78" s="161">
        <v>10</v>
      </c>
      <c r="J78" s="161">
        <v>10</v>
      </c>
      <c r="K78" s="161">
        <v>10</v>
      </c>
      <c r="L78" s="161">
        <v>10</v>
      </c>
      <c r="M78" s="161">
        <v>10</v>
      </c>
      <c r="N78" s="161">
        <v>10</v>
      </c>
      <c r="O78" s="161">
        <v>10</v>
      </c>
      <c r="P78" s="161">
        <v>10</v>
      </c>
      <c r="Q78" s="161">
        <v>10</v>
      </c>
      <c r="R78" s="161">
        <v>10</v>
      </c>
      <c r="S78" s="161">
        <v>10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63" t="s">
        <v>42</v>
      </c>
      <c r="AJ78" s="163" t="s">
        <v>20</v>
      </c>
    </row>
    <row r="79" spans="1:36" x14ac:dyDescent="0.2">
      <c r="A79" s="22" t="s">
        <v>100</v>
      </c>
      <c r="B79" s="161">
        <v>500</v>
      </c>
      <c r="C79" s="8" t="s">
        <v>101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62">
        <v>400</v>
      </c>
      <c r="AH79" s="162">
        <v>700</v>
      </c>
      <c r="AI79" s="163" t="s">
        <v>2</v>
      </c>
      <c r="AJ79" s="163" t="s">
        <v>90</v>
      </c>
    </row>
    <row r="80" spans="1:36" x14ac:dyDescent="0.2">
      <c r="A80" s="168" t="s">
        <v>102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</row>
    <row r="81" spans="1:36" x14ac:dyDescent="0.2">
      <c r="A81" s="168" t="s">
        <v>1784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</row>
    <row r="82" spans="1:36" x14ac:dyDescent="0.2">
      <c r="A82" s="168" t="s">
        <v>103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</row>
    <row r="83" spans="1:36" x14ac:dyDescent="0.2">
      <c r="A83" s="170" t="s">
        <v>104</v>
      </c>
      <c r="B83" s="171">
        <v>30</v>
      </c>
      <c r="C83" s="172" t="s">
        <v>105</v>
      </c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 t="s">
        <v>15</v>
      </c>
      <c r="AJ83" s="172" t="s">
        <v>84</v>
      </c>
    </row>
    <row r="84" spans="1:36" x14ac:dyDescent="0.2">
      <c r="A84" s="170" t="s">
        <v>106</v>
      </c>
      <c r="B84" s="171">
        <v>1900</v>
      </c>
      <c r="C84" s="172" t="s">
        <v>107</v>
      </c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 t="s">
        <v>15</v>
      </c>
      <c r="AJ84" s="172" t="s">
        <v>84</v>
      </c>
    </row>
    <row r="85" spans="1:36" x14ac:dyDescent="0.2">
      <c r="A85" s="170" t="s">
        <v>108</v>
      </c>
      <c r="B85" s="171">
        <v>164</v>
      </c>
      <c r="C85" s="172" t="s">
        <v>109</v>
      </c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 t="s">
        <v>15</v>
      </c>
      <c r="AJ85" s="172" t="s">
        <v>84</v>
      </c>
    </row>
    <row r="86" spans="1:36" x14ac:dyDescent="0.2">
      <c r="A86" s="170" t="s">
        <v>1438</v>
      </c>
      <c r="B86" s="171">
        <v>0</v>
      </c>
      <c r="C86" s="172" t="s">
        <v>110</v>
      </c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 t="s">
        <v>15</v>
      </c>
      <c r="AJ86" s="172" t="s">
        <v>84</v>
      </c>
    </row>
    <row r="87" spans="1:36" x14ac:dyDescent="0.2">
      <c r="A87" s="170" t="s">
        <v>1244</v>
      </c>
      <c r="B87" s="171">
        <v>0.629</v>
      </c>
      <c r="C87" s="172" t="s">
        <v>1660</v>
      </c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 t="s">
        <v>15</v>
      </c>
      <c r="AJ87" s="172" t="s">
        <v>84</v>
      </c>
    </row>
    <row r="88" spans="1:36" x14ac:dyDescent="0.2">
      <c r="A88" s="170" t="s">
        <v>111</v>
      </c>
      <c r="B88" s="171">
        <v>7208</v>
      </c>
      <c r="C88" s="172" t="s">
        <v>112</v>
      </c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 t="s">
        <v>15</v>
      </c>
      <c r="AJ88" s="172" t="s">
        <v>84</v>
      </c>
    </row>
    <row r="89" spans="1:36" x14ac:dyDescent="0.2">
      <c r="A89" s="170" t="s">
        <v>113</v>
      </c>
      <c r="B89" s="171">
        <v>4179</v>
      </c>
      <c r="C89" s="172" t="s">
        <v>112</v>
      </c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 t="s">
        <v>15</v>
      </c>
      <c r="AJ89" s="172" t="s">
        <v>84</v>
      </c>
    </row>
    <row r="90" spans="1:36" x14ac:dyDescent="0.2">
      <c r="A90" s="170" t="s">
        <v>114</v>
      </c>
      <c r="B90" s="171">
        <v>5921</v>
      </c>
      <c r="C90" s="172" t="s">
        <v>115</v>
      </c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 t="s">
        <v>15</v>
      </c>
      <c r="AJ90" s="172" t="s">
        <v>84</v>
      </c>
    </row>
    <row r="91" spans="1:36" x14ac:dyDescent="0.2">
      <c r="A91" s="170" t="s">
        <v>116</v>
      </c>
      <c r="B91" s="171">
        <v>468</v>
      </c>
      <c r="C91" s="172" t="s">
        <v>115</v>
      </c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 t="s">
        <v>15</v>
      </c>
      <c r="AJ91" s="172" t="s">
        <v>84</v>
      </c>
    </row>
    <row r="92" spans="1:36" x14ac:dyDescent="0.2">
      <c r="A92" s="170" t="s">
        <v>117</v>
      </c>
      <c r="B92" s="171">
        <v>575</v>
      </c>
      <c r="C92" s="172" t="s">
        <v>115</v>
      </c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 t="s">
        <v>15</v>
      </c>
      <c r="AJ92" s="172" t="s">
        <v>84</v>
      </c>
    </row>
    <row r="93" spans="1:36" x14ac:dyDescent="0.2">
      <c r="A93" s="168" t="s">
        <v>1760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spans="1:36" x14ac:dyDescent="0.2">
      <c r="A94" s="173" t="s">
        <v>1785</v>
      </c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0"/>
      <c r="AJ94" s="160"/>
    </row>
    <row r="95" spans="1:36" x14ac:dyDescent="0.2">
      <c r="A95" s="22" t="s">
        <v>1245</v>
      </c>
      <c r="B95" s="161">
        <v>1979</v>
      </c>
      <c r="C95" s="8" t="s">
        <v>119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 t="s">
        <v>15</v>
      </c>
      <c r="AJ95" s="8" t="s">
        <v>26</v>
      </c>
    </row>
    <row r="96" spans="1:36" x14ac:dyDescent="0.2">
      <c r="A96" s="168" t="s">
        <v>1613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</row>
    <row r="97" spans="1:36" x14ac:dyDescent="0.2">
      <c r="A97" s="22" t="s">
        <v>124</v>
      </c>
      <c r="B97" s="161">
        <v>1.4</v>
      </c>
      <c r="C97" s="8" t="s">
        <v>125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62">
        <v>1.3</v>
      </c>
      <c r="AH97" s="162">
        <v>1.6</v>
      </c>
      <c r="AI97" s="163" t="s">
        <v>2</v>
      </c>
      <c r="AJ97" s="163" t="s">
        <v>20</v>
      </c>
    </row>
    <row r="98" spans="1:36" x14ac:dyDescent="0.2">
      <c r="A98" s="22" t="s">
        <v>126</v>
      </c>
      <c r="B98" s="161">
        <v>1.1200000000000001</v>
      </c>
      <c r="C98" s="8" t="s">
        <v>127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62">
        <v>1.05</v>
      </c>
      <c r="AH98" s="162">
        <v>1.25</v>
      </c>
      <c r="AI98" s="163" t="s">
        <v>2</v>
      </c>
      <c r="AJ98" s="163" t="s">
        <v>20</v>
      </c>
    </row>
    <row r="99" spans="1:36" x14ac:dyDescent="0.2">
      <c r="A99" s="24" t="s">
        <v>937</v>
      </c>
      <c r="B99" s="161">
        <v>2028</v>
      </c>
      <c r="C99" s="8" t="s">
        <v>128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 t="s">
        <v>15</v>
      </c>
      <c r="AJ99" s="8" t="s">
        <v>129</v>
      </c>
    </row>
    <row r="100" spans="1:36" x14ac:dyDescent="0.2">
      <c r="A100" s="170" t="s">
        <v>1246</v>
      </c>
      <c r="B100" s="172"/>
      <c r="C100" s="172" t="s">
        <v>130</v>
      </c>
      <c r="D100" s="171">
        <v>0.8</v>
      </c>
      <c r="E100" s="171">
        <v>1.5</v>
      </c>
      <c r="F100" s="171">
        <v>2.5</v>
      </c>
      <c r="G100" s="171">
        <v>4</v>
      </c>
      <c r="H100" s="171">
        <v>6</v>
      </c>
      <c r="I100" s="171">
        <v>8</v>
      </c>
      <c r="J100" s="171">
        <v>10</v>
      </c>
      <c r="K100" s="171">
        <v>12</v>
      </c>
      <c r="L100" s="171">
        <v>14</v>
      </c>
      <c r="M100" s="171">
        <v>16</v>
      </c>
      <c r="N100" s="171">
        <v>18</v>
      </c>
      <c r="O100" s="171">
        <v>20</v>
      </c>
      <c r="P100" s="171">
        <v>22</v>
      </c>
      <c r="Q100" s="171">
        <v>24</v>
      </c>
      <c r="R100" s="171">
        <v>26</v>
      </c>
      <c r="S100" s="171">
        <v>28</v>
      </c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 t="s">
        <v>42</v>
      </c>
      <c r="AJ100" s="172" t="s">
        <v>84</v>
      </c>
    </row>
    <row r="101" spans="1:36" x14ac:dyDescent="0.2">
      <c r="A101" s="160" t="s">
        <v>1786</v>
      </c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  <c r="AE101" s="160"/>
      <c r="AF101" s="160"/>
      <c r="AG101" s="160"/>
      <c r="AH101" s="160"/>
      <c r="AI101" s="160"/>
      <c r="AJ101" s="160"/>
    </row>
    <row r="102" spans="1:36" x14ac:dyDescent="0.2">
      <c r="A102" s="168" t="s">
        <v>1614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</row>
    <row r="103" spans="1:36" x14ac:dyDescent="0.2">
      <c r="A103" s="170" t="s">
        <v>132</v>
      </c>
      <c r="B103" s="171">
        <v>3201</v>
      </c>
      <c r="C103" s="172" t="s">
        <v>133</v>
      </c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 t="s">
        <v>15</v>
      </c>
      <c r="AJ103" s="172" t="s">
        <v>84</v>
      </c>
    </row>
    <row r="104" spans="1:36" x14ac:dyDescent="0.2">
      <c r="A104" s="170" t="s">
        <v>134</v>
      </c>
      <c r="B104" s="171">
        <v>1844</v>
      </c>
      <c r="C104" s="172" t="s">
        <v>135</v>
      </c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 t="s">
        <v>15</v>
      </c>
      <c r="AJ104" s="172" t="s">
        <v>84</v>
      </c>
    </row>
    <row r="105" spans="1:36" x14ac:dyDescent="0.2">
      <c r="A105" s="170" t="s">
        <v>136</v>
      </c>
      <c r="B105" s="171">
        <v>1357</v>
      </c>
      <c r="C105" s="172" t="s">
        <v>1439</v>
      </c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 t="s">
        <v>15</v>
      </c>
      <c r="AJ105" s="172" t="s">
        <v>84</v>
      </c>
    </row>
    <row r="106" spans="1:36" x14ac:dyDescent="0.2">
      <c r="A106" s="170" t="s">
        <v>137</v>
      </c>
      <c r="B106" s="171">
        <v>-1237</v>
      </c>
      <c r="C106" s="172" t="s">
        <v>138</v>
      </c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 t="s">
        <v>15</v>
      </c>
      <c r="AJ106" s="172" t="s">
        <v>84</v>
      </c>
    </row>
    <row r="107" spans="1:36" x14ac:dyDescent="0.2">
      <c r="A107" s="170" t="s">
        <v>139</v>
      </c>
      <c r="B107" s="171">
        <v>5064</v>
      </c>
      <c r="C107" s="172" t="s">
        <v>140</v>
      </c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 t="s">
        <v>15</v>
      </c>
      <c r="AJ107" s="172" t="s">
        <v>84</v>
      </c>
    </row>
    <row r="108" spans="1:36" x14ac:dyDescent="0.2">
      <c r="A108" s="170" t="s">
        <v>141</v>
      </c>
      <c r="B108" s="171">
        <v>12727</v>
      </c>
      <c r="C108" s="172" t="s">
        <v>142</v>
      </c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 t="s">
        <v>15</v>
      </c>
      <c r="AJ108" s="172" t="s">
        <v>84</v>
      </c>
    </row>
    <row r="109" spans="1:36" x14ac:dyDescent="0.2">
      <c r="A109" s="170" t="s">
        <v>143</v>
      </c>
      <c r="B109" s="171">
        <v>0.8</v>
      </c>
      <c r="C109" s="172" t="s">
        <v>144</v>
      </c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 t="s">
        <v>15</v>
      </c>
      <c r="AJ109" s="172" t="s">
        <v>84</v>
      </c>
    </row>
    <row r="110" spans="1:36" x14ac:dyDescent="0.2">
      <c r="A110" s="173" t="s">
        <v>1787</v>
      </c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</row>
    <row r="111" spans="1:36" x14ac:dyDescent="0.2">
      <c r="A111" s="168" t="s">
        <v>145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spans="1:36" x14ac:dyDescent="0.2">
      <c r="A112" s="22" t="s">
        <v>1247</v>
      </c>
      <c r="B112" s="161">
        <v>10</v>
      </c>
      <c r="C112" s="8" t="s">
        <v>146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62">
        <v>7</v>
      </c>
      <c r="AH112" s="162">
        <v>15</v>
      </c>
      <c r="AI112" s="163" t="s">
        <v>2</v>
      </c>
      <c r="AJ112" s="163" t="s">
        <v>18</v>
      </c>
    </row>
    <row r="113" spans="1:36" x14ac:dyDescent="0.2">
      <c r="A113" s="22" t="s">
        <v>1248</v>
      </c>
      <c r="B113" s="161">
        <v>0.05</v>
      </c>
      <c r="C113" s="8" t="s">
        <v>147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162">
        <v>0.03</v>
      </c>
      <c r="AH113" s="162">
        <v>0.1</v>
      </c>
      <c r="AI113" s="163" t="s">
        <v>2</v>
      </c>
      <c r="AJ113" s="163" t="s">
        <v>20</v>
      </c>
    </row>
    <row r="114" spans="1:36" x14ac:dyDescent="0.2">
      <c r="A114" s="22" t="s">
        <v>1249</v>
      </c>
      <c r="B114" s="161">
        <v>0.05</v>
      </c>
      <c r="C114" s="8" t="s">
        <v>21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162">
        <v>0.03</v>
      </c>
      <c r="AH114" s="162">
        <v>0.1</v>
      </c>
      <c r="AI114" s="163" t="s">
        <v>2</v>
      </c>
      <c r="AJ114" s="163" t="s">
        <v>20</v>
      </c>
    </row>
    <row r="115" spans="1:36" x14ac:dyDescent="0.2">
      <c r="A115" s="22" t="s">
        <v>148</v>
      </c>
      <c r="B115" s="161">
        <v>2030</v>
      </c>
      <c r="C115" s="8" t="s">
        <v>1661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 t="s">
        <v>15</v>
      </c>
      <c r="AJ115" s="8" t="s">
        <v>26</v>
      </c>
    </row>
    <row r="116" spans="1:36" x14ac:dyDescent="0.2">
      <c r="A116" s="168" t="s">
        <v>149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</row>
    <row r="117" spans="1:36" x14ac:dyDescent="0.2">
      <c r="A117" s="22" t="s">
        <v>150</v>
      </c>
      <c r="B117" s="161">
        <v>60</v>
      </c>
      <c r="C117" s="8" t="s">
        <v>151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162">
        <v>40</v>
      </c>
      <c r="AH117" s="162">
        <v>100</v>
      </c>
      <c r="AI117" s="163" t="s">
        <v>2</v>
      </c>
      <c r="AJ117" s="163" t="s">
        <v>20</v>
      </c>
    </row>
    <row r="118" spans="1:36" x14ac:dyDescent="0.2">
      <c r="A118" s="22" t="s">
        <v>152</v>
      </c>
      <c r="B118" s="161">
        <v>31.43</v>
      </c>
      <c r="C118" s="8" t="s">
        <v>93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 t="s">
        <v>15</v>
      </c>
      <c r="AJ118" s="8" t="s">
        <v>92</v>
      </c>
    </row>
    <row r="119" spans="1:36" x14ac:dyDescent="0.2">
      <c r="A119" s="22" t="s">
        <v>153</v>
      </c>
      <c r="B119" s="161">
        <v>22</v>
      </c>
      <c r="C119" s="8" t="s">
        <v>154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162">
        <v>18</v>
      </c>
      <c r="AH119" s="162">
        <v>24</v>
      </c>
      <c r="AI119" s="163" t="s">
        <v>2</v>
      </c>
      <c r="AJ119" s="163" t="s">
        <v>20</v>
      </c>
    </row>
    <row r="120" spans="1:36" x14ac:dyDescent="0.2">
      <c r="A120" s="22" t="s">
        <v>155</v>
      </c>
      <c r="B120" s="161">
        <v>1</v>
      </c>
      <c r="C120" s="8" t="s">
        <v>156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162">
        <v>0.25</v>
      </c>
      <c r="AH120" s="162">
        <v>2</v>
      </c>
      <c r="AI120" s="163" t="s">
        <v>2</v>
      </c>
      <c r="AJ120" s="163" t="s">
        <v>157</v>
      </c>
    </row>
    <row r="121" spans="1:36" x14ac:dyDescent="0.2">
      <c r="A121" s="22" t="s">
        <v>158</v>
      </c>
      <c r="B121" s="161">
        <v>0.05</v>
      </c>
      <c r="C121" s="8" t="s">
        <v>159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162">
        <v>0.02</v>
      </c>
      <c r="AH121" s="162">
        <v>0.15</v>
      </c>
      <c r="AI121" s="163" t="s">
        <v>2</v>
      </c>
      <c r="AJ121" s="163" t="s">
        <v>20</v>
      </c>
    </row>
    <row r="122" spans="1:36" x14ac:dyDescent="0.2">
      <c r="A122" s="22" t="s">
        <v>160</v>
      </c>
      <c r="B122" s="161">
        <v>5</v>
      </c>
      <c r="C122" s="8" t="s">
        <v>161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162">
        <v>3</v>
      </c>
      <c r="AH122" s="162">
        <v>8</v>
      </c>
      <c r="AI122" s="163" t="s">
        <v>2</v>
      </c>
      <c r="AJ122" s="163" t="s">
        <v>20</v>
      </c>
    </row>
    <row r="123" spans="1:36" x14ac:dyDescent="0.2">
      <c r="A123" s="168" t="s">
        <v>162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spans="1:36" x14ac:dyDescent="0.2">
      <c r="A124" s="22" t="s">
        <v>163</v>
      </c>
      <c r="B124" s="161">
        <v>1</v>
      </c>
      <c r="C124" s="8" t="s">
        <v>164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162">
        <v>0.5</v>
      </c>
      <c r="AH124" s="162">
        <v>2</v>
      </c>
      <c r="AI124" s="163" t="s">
        <v>2</v>
      </c>
      <c r="AJ124" s="163" t="s">
        <v>20</v>
      </c>
    </row>
    <row r="125" spans="1:36" x14ac:dyDescent="0.2">
      <c r="A125" s="22" t="s">
        <v>165</v>
      </c>
      <c r="B125" s="161">
        <v>50000</v>
      </c>
      <c r="C125" s="8" t="s">
        <v>166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162">
        <v>40000</v>
      </c>
      <c r="AH125" s="162">
        <v>60000</v>
      </c>
      <c r="AI125" s="163" t="s">
        <v>2</v>
      </c>
      <c r="AJ125" s="163" t="s">
        <v>20</v>
      </c>
    </row>
    <row r="126" spans="1:36" x14ac:dyDescent="0.2">
      <c r="A126" s="22" t="s">
        <v>167</v>
      </c>
      <c r="B126" s="161">
        <v>0.3</v>
      </c>
      <c r="C126" s="8" t="s">
        <v>168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162">
        <v>0.1</v>
      </c>
      <c r="AH126" s="162">
        <v>0.5</v>
      </c>
      <c r="AI126" s="163" t="s">
        <v>2</v>
      </c>
      <c r="AJ126" s="163" t="s">
        <v>20</v>
      </c>
    </row>
    <row r="127" spans="1:36" x14ac:dyDescent="0.2">
      <c r="A127" s="168" t="s">
        <v>169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</row>
    <row r="128" spans="1:36" x14ac:dyDescent="0.2">
      <c r="A128" s="22" t="s">
        <v>170</v>
      </c>
      <c r="B128" s="161">
        <v>5</v>
      </c>
      <c r="C128" s="8" t="s">
        <v>171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162">
        <v>3</v>
      </c>
      <c r="AH128" s="162">
        <v>8</v>
      </c>
      <c r="AI128" s="163" t="s">
        <v>2</v>
      </c>
      <c r="AJ128" s="163" t="s">
        <v>20</v>
      </c>
    </row>
    <row r="129" spans="1:36" x14ac:dyDescent="0.2">
      <c r="A129" s="22" t="s">
        <v>172</v>
      </c>
      <c r="B129" s="161">
        <v>100000</v>
      </c>
      <c r="C129" s="8" t="s">
        <v>173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162">
        <v>70000</v>
      </c>
      <c r="AH129" s="162">
        <v>130000</v>
      </c>
      <c r="AI129" s="163" t="s">
        <v>2</v>
      </c>
      <c r="AJ129" s="163" t="s">
        <v>20</v>
      </c>
    </row>
    <row r="130" spans="1:36" x14ac:dyDescent="0.2">
      <c r="A130" s="22" t="s">
        <v>174</v>
      </c>
      <c r="B130" s="161">
        <v>0.3</v>
      </c>
      <c r="C130" s="8" t="s">
        <v>175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162">
        <v>0.1</v>
      </c>
      <c r="AH130" s="162">
        <v>0.5</v>
      </c>
      <c r="AI130" s="163" t="s">
        <v>2</v>
      </c>
      <c r="AJ130" s="163" t="s">
        <v>20</v>
      </c>
    </row>
    <row r="131" spans="1:36" x14ac:dyDescent="0.2">
      <c r="A131" s="168" t="s">
        <v>176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</row>
    <row r="132" spans="1:36" x14ac:dyDescent="0.2">
      <c r="A132" s="22" t="s">
        <v>1250</v>
      </c>
      <c r="B132" s="70">
        <v>40000</v>
      </c>
      <c r="C132" s="8" t="s">
        <v>1662</v>
      </c>
      <c r="D132" s="161">
        <v>30000</v>
      </c>
      <c r="E132" s="161">
        <v>30000</v>
      </c>
      <c r="F132" s="161">
        <v>27500</v>
      </c>
      <c r="G132" s="161">
        <v>25000</v>
      </c>
      <c r="H132" s="161">
        <v>22500</v>
      </c>
      <c r="I132" s="161">
        <v>20000</v>
      </c>
      <c r="J132" s="161">
        <v>18400</v>
      </c>
      <c r="K132" s="161">
        <v>16800</v>
      </c>
      <c r="L132" s="161">
        <v>15200</v>
      </c>
      <c r="M132" s="161">
        <v>13600</v>
      </c>
      <c r="N132" s="161">
        <v>12000</v>
      </c>
      <c r="O132" s="161">
        <v>11200</v>
      </c>
      <c r="P132" s="161">
        <v>10400</v>
      </c>
      <c r="Q132" s="161">
        <v>9600</v>
      </c>
      <c r="R132" s="161">
        <v>8800</v>
      </c>
      <c r="S132" s="161">
        <v>8000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162">
        <v>20000</v>
      </c>
      <c r="AH132" s="162">
        <v>80000</v>
      </c>
      <c r="AI132" s="163" t="s">
        <v>2</v>
      </c>
      <c r="AJ132" s="163" t="s">
        <v>20</v>
      </c>
    </row>
    <row r="133" spans="1:36" x14ac:dyDescent="0.2">
      <c r="A133" s="22" t="s">
        <v>1251</v>
      </c>
      <c r="B133" s="70">
        <v>15000</v>
      </c>
      <c r="C133" s="8" t="s">
        <v>1663</v>
      </c>
      <c r="D133" s="161">
        <v>1000</v>
      </c>
      <c r="E133" s="161">
        <v>1000</v>
      </c>
      <c r="F133" s="161">
        <v>950</v>
      </c>
      <c r="G133" s="161">
        <v>900</v>
      </c>
      <c r="H133" s="161">
        <v>850</v>
      </c>
      <c r="I133" s="161">
        <v>800</v>
      </c>
      <c r="J133" s="161">
        <v>740</v>
      </c>
      <c r="K133" s="161">
        <v>680</v>
      </c>
      <c r="L133" s="161">
        <v>620</v>
      </c>
      <c r="M133" s="161">
        <v>560</v>
      </c>
      <c r="N133" s="161">
        <v>500</v>
      </c>
      <c r="O133" s="161">
        <v>486.66699999999997</v>
      </c>
      <c r="P133" s="161">
        <v>473.33300000000003</v>
      </c>
      <c r="Q133" s="161">
        <v>460</v>
      </c>
      <c r="R133" s="161">
        <v>446.66699999999997</v>
      </c>
      <c r="S133" s="161">
        <v>433.33300000000003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162">
        <v>8000</v>
      </c>
      <c r="AH133" s="162">
        <v>25000</v>
      </c>
      <c r="AI133" s="163" t="s">
        <v>2</v>
      </c>
      <c r="AJ133" s="163" t="s">
        <v>20</v>
      </c>
    </row>
    <row r="134" spans="1:36" x14ac:dyDescent="0.2">
      <c r="A134" s="168" t="s">
        <v>177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</row>
    <row r="135" spans="1:36" x14ac:dyDescent="0.2">
      <c r="A135" s="22" t="s">
        <v>1252</v>
      </c>
      <c r="B135" s="8"/>
      <c r="C135" s="8" t="s">
        <v>178</v>
      </c>
      <c r="D135" s="161">
        <v>1</v>
      </c>
      <c r="E135" s="161">
        <v>0.85</v>
      </c>
      <c r="F135" s="161">
        <v>0.7</v>
      </c>
      <c r="G135" s="161">
        <v>0.6</v>
      </c>
      <c r="H135" s="161">
        <v>0.5</v>
      </c>
      <c r="I135" s="161">
        <v>0.4</v>
      </c>
      <c r="J135" s="161">
        <v>0.36</v>
      </c>
      <c r="K135" s="161">
        <v>0.32</v>
      </c>
      <c r="L135" s="161">
        <v>0.28000000000000003</v>
      </c>
      <c r="M135" s="161">
        <v>0.24</v>
      </c>
      <c r="N135" s="161">
        <v>0.2</v>
      </c>
      <c r="O135" s="161">
        <v>0.19670000000000001</v>
      </c>
      <c r="P135" s="161">
        <v>0.1933</v>
      </c>
      <c r="Q135" s="161">
        <v>0.19</v>
      </c>
      <c r="R135" s="161">
        <v>0.1867</v>
      </c>
      <c r="S135" s="161">
        <v>0.18329999999999999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63" t="s">
        <v>81</v>
      </c>
      <c r="AJ135" s="163" t="s">
        <v>20</v>
      </c>
    </row>
    <row r="136" spans="1:36" x14ac:dyDescent="0.2">
      <c r="A136" s="160" t="s">
        <v>1788</v>
      </c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</row>
    <row r="137" spans="1:36" x14ac:dyDescent="0.2">
      <c r="A137" s="168" t="s">
        <v>1615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</row>
    <row r="138" spans="1:36" x14ac:dyDescent="0.2">
      <c r="A138" s="22" t="s">
        <v>1253</v>
      </c>
      <c r="B138" s="161">
        <v>5.2999999999999999E-2</v>
      </c>
      <c r="C138" s="8" t="s">
        <v>1201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162">
        <v>0.03</v>
      </c>
      <c r="AH138" s="162">
        <v>0.12</v>
      </c>
      <c r="AI138" s="163" t="s">
        <v>2</v>
      </c>
      <c r="AJ138" s="163" t="s">
        <v>179</v>
      </c>
    </row>
    <row r="139" spans="1:36" x14ac:dyDescent="0.2">
      <c r="A139" s="22" t="s">
        <v>1440</v>
      </c>
      <c r="B139" s="161">
        <v>0.03</v>
      </c>
      <c r="C139" s="8" t="s">
        <v>180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162">
        <v>0.02</v>
      </c>
      <c r="AH139" s="162">
        <v>0.05</v>
      </c>
      <c r="AI139" s="163" t="s">
        <v>2</v>
      </c>
      <c r="AJ139" s="163" t="s">
        <v>20</v>
      </c>
    </row>
    <row r="140" spans="1:36" x14ac:dyDescent="0.2">
      <c r="A140" s="22" t="s">
        <v>1441</v>
      </c>
      <c r="B140" s="161">
        <v>-0.1</v>
      </c>
      <c r="C140" s="8" t="s">
        <v>181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162">
        <v>-0.2</v>
      </c>
      <c r="AH140" s="162">
        <v>-0.05</v>
      </c>
      <c r="AI140" s="163" t="s">
        <v>2</v>
      </c>
      <c r="AJ140" s="163" t="s">
        <v>20</v>
      </c>
    </row>
    <row r="141" spans="1:36" x14ac:dyDescent="0.2">
      <c r="A141" s="22" t="s">
        <v>1254</v>
      </c>
      <c r="B141" s="37">
        <v>0.73499999999999999</v>
      </c>
      <c r="C141" s="172" t="s">
        <v>1664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162">
        <v>0.4</v>
      </c>
      <c r="AH141" s="162">
        <v>0.85</v>
      </c>
      <c r="AI141" s="163" t="s">
        <v>2</v>
      </c>
      <c r="AJ141" s="163" t="s">
        <v>1442</v>
      </c>
    </row>
    <row r="142" spans="1:36" x14ac:dyDescent="0.2">
      <c r="A142" s="22" t="s">
        <v>1255</v>
      </c>
      <c r="B142" s="161">
        <v>0.04</v>
      </c>
      <c r="C142" s="8" t="s">
        <v>182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162">
        <v>0.02</v>
      </c>
      <c r="AH142" s="162">
        <v>0.08</v>
      </c>
      <c r="AI142" s="163" t="s">
        <v>2</v>
      </c>
      <c r="AJ142" s="163" t="s">
        <v>20</v>
      </c>
    </row>
    <row r="143" spans="1:36" x14ac:dyDescent="0.2">
      <c r="A143" s="22" t="s">
        <v>1443</v>
      </c>
      <c r="B143" s="161">
        <v>-0.25</v>
      </c>
      <c r="C143" s="8" t="s">
        <v>183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162">
        <v>-0.35</v>
      </c>
      <c r="AH143" s="162">
        <v>-0.15</v>
      </c>
      <c r="AI143" s="163" t="s">
        <v>2</v>
      </c>
      <c r="AJ143" s="163" t="s">
        <v>1256</v>
      </c>
    </row>
    <row r="144" spans="1:36" x14ac:dyDescent="0.2">
      <c r="A144" s="168" t="s">
        <v>1257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</row>
    <row r="145" spans="1:36" x14ac:dyDescent="0.2">
      <c r="A145" s="168" t="s">
        <v>1761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</row>
    <row r="146" spans="1:36" x14ac:dyDescent="0.2">
      <c r="A146" s="22" t="s">
        <v>1444</v>
      </c>
      <c r="B146" s="8"/>
      <c r="C146" s="8" t="s">
        <v>185</v>
      </c>
      <c r="D146" s="161">
        <v>3004</v>
      </c>
      <c r="E146" s="161">
        <v>3500</v>
      </c>
      <c r="F146" s="161">
        <v>3800</v>
      </c>
      <c r="G146" s="161">
        <v>3500</v>
      </c>
      <c r="H146" s="161">
        <v>3000</v>
      </c>
      <c r="I146" s="161">
        <v>2500</v>
      </c>
      <c r="J146" s="161">
        <v>2200</v>
      </c>
      <c r="K146" s="161">
        <v>1900</v>
      </c>
      <c r="L146" s="161">
        <v>1700</v>
      </c>
      <c r="M146" s="161">
        <v>1500</v>
      </c>
      <c r="N146" s="161">
        <v>1300</v>
      </c>
      <c r="O146" s="161">
        <v>1200</v>
      </c>
      <c r="P146" s="161">
        <v>1100</v>
      </c>
      <c r="Q146" s="161">
        <v>1000</v>
      </c>
      <c r="R146" s="161">
        <v>950</v>
      </c>
      <c r="S146" s="161">
        <v>900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63" t="s">
        <v>81</v>
      </c>
      <c r="AJ146" s="163" t="s">
        <v>186</v>
      </c>
    </row>
    <row r="147" spans="1:36" x14ac:dyDescent="0.2">
      <c r="A147" s="168" t="s">
        <v>187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</row>
    <row r="148" spans="1:36" x14ac:dyDescent="0.2">
      <c r="A148" s="22" t="s">
        <v>1445</v>
      </c>
      <c r="B148" s="8"/>
      <c r="C148" s="8" t="s">
        <v>188</v>
      </c>
      <c r="D148" s="161">
        <v>100</v>
      </c>
      <c r="E148" s="161">
        <v>110</v>
      </c>
      <c r="F148" s="161">
        <v>121</v>
      </c>
      <c r="G148" s="161">
        <v>133.1</v>
      </c>
      <c r="H148" s="161">
        <v>146.41</v>
      </c>
      <c r="I148" s="161">
        <v>161.05000000000001</v>
      </c>
      <c r="J148" s="161">
        <v>177.16</v>
      </c>
      <c r="K148" s="161">
        <v>194.87</v>
      </c>
      <c r="L148" s="161">
        <v>214.36</v>
      </c>
      <c r="M148" s="161">
        <v>235.79</v>
      </c>
      <c r="N148" s="161">
        <v>259.37</v>
      </c>
      <c r="O148" s="161">
        <v>285.31</v>
      </c>
      <c r="P148" s="161">
        <v>313.83999999999997</v>
      </c>
      <c r="Q148" s="161">
        <v>345.23</v>
      </c>
      <c r="R148" s="161">
        <v>379.75</v>
      </c>
      <c r="S148" s="161">
        <v>417.72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63" t="s">
        <v>81</v>
      </c>
      <c r="AJ148" s="163" t="s">
        <v>1446</v>
      </c>
    </row>
    <row r="149" spans="1:36" x14ac:dyDescent="0.2">
      <c r="A149" s="168" t="s">
        <v>189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</row>
    <row r="150" spans="1:36" x14ac:dyDescent="0.2">
      <c r="A150" s="22" t="s">
        <v>1258</v>
      </c>
      <c r="B150" s="161">
        <v>0.03</v>
      </c>
      <c r="C150" s="8" t="s">
        <v>1665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162">
        <v>0.02</v>
      </c>
      <c r="AH150" s="162">
        <v>0.06</v>
      </c>
      <c r="AI150" s="163" t="s">
        <v>2</v>
      </c>
      <c r="AJ150" s="163" t="s">
        <v>20</v>
      </c>
    </row>
    <row r="151" spans="1:36" x14ac:dyDescent="0.2">
      <c r="A151" s="22" t="s">
        <v>1447</v>
      </c>
      <c r="B151" s="161">
        <v>0.02</v>
      </c>
      <c r="C151" s="8" t="s">
        <v>190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162">
        <v>0.01</v>
      </c>
      <c r="AH151" s="162">
        <v>0.04</v>
      </c>
      <c r="AI151" s="163" t="s">
        <v>2</v>
      </c>
      <c r="AJ151" s="163" t="s">
        <v>20</v>
      </c>
    </row>
    <row r="152" spans="1:36" x14ac:dyDescent="0.2">
      <c r="A152" s="22" t="s">
        <v>1448</v>
      </c>
      <c r="B152" s="161">
        <v>-0.08</v>
      </c>
      <c r="C152" s="8" t="s">
        <v>184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162">
        <v>-0.15</v>
      </c>
      <c r="AH152" s="162">
        <v>-0.04</v>
      </c>
      <c r="AI152" s="163" t="s">
        <v>2</v>
      </c>
      <c r="AJ152" s="163" t="s">
        <v>20</v>
      </c>
    </row>
    <row r="153" spans="1:36" x14ac:dyDescent="0.2">
      <c r="A153" s="22" t="s">
        <v>1259</v>
      </c>
      <c r="B153" s="161">
        <v>0.03</v>
      </c>
      <c r="C153" s="8" t="s">
        <v>191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162">
        <v>0.03</v>
      </c>
      <c r="AH153" s="162">
        <v>7.0000000000000007E-2</v>
      </c>
      <c r="AI153" s="163" t="s">
        <v>2</v>
      </c>
      <c r="AJ153" s="163" t="s">
        <v>179</v>
      </c>
    </row>
    <row r="154" spans="1:36" x14ac:dyDescent="0.2">
      <c r="A154" s="22" t="s">
        <v>1260</v>
      </c>
      <c r="B154" s="161">
        <v>1.4999999999999999E-2</v>
      </c>
      <c r="C154" s="8" t="s">
        <v>1666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162">
        <v>0.04</v>
      </c>
      <c r="AH154" s="162">
        <v>0.08</v>
      </c>
      <c r="AI154" s="163" t="s">
        <v>2</v>
      </c>
      <c r="AJ154" s="163" t="s">
        <v>20</v>
      </c>
    </row>
    <row r="155" spans="1:36" x14ac:dyDescent="0.2">
      <c r="A155" s="22" t="s">
        <v>1449</v>
      </c>
      <c r="B155" s="161">
        <v>-0.06</v>
      </c>
      <c r="C155" s="8" t="s">
        <v>1200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162">
        <v>0</v>
      </c>
      <c r="AH155" s="162">
        <v>0.03</v>
      </c>
      <c r="AI155" s="163" t="s">
        <v>2</v>
      </c>
      <c r="AJ155" s="163" t="s">
        <v>20</v>
      </c>
    </row>
    <row r="156" spans="1:36" x14ac:dyDescent="0.2">
      <c r="A156" s="22" t="s">
        <v>1261</v>
      </c>
      <c r="B156" s="161">
        <v>0.02</v>
      </c>
      <c r="C156" s="8" t="s">
        <v>192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162">
        <v>0.01</v>
      </c>
      <c r="AH156" s="162">
        <v>0.04</v>
      </c>
      <c r="AI156" s="163" t="s">
        <v>2</v>
      </c>
      <c r="AJ156" s="163" t="s">
        <v>20</v>
      </c>
    </row>
    <row r="157" spans="1:36" x14ac:dyDescent="0.2">
      <c r="A157" s="22" t="s">
        <v>1262</v>
      </c>
      <c r="B157" s="161">
        <v>5.0000000000000001E-3</v>
      </c>
      <c r="C157" s="8" t="s">
        <v>131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162">
        <v>5.0000000000000001E-3</v>
      </c>
      <c r="AH157" s="162">
        <v>2.5000000000000001E-2</v>
      </c>
      <c r="AI157" s="163" t="s">
        <v>2</v>
      </c>
      <c r="AJ157" s="163" t="s">
        <v>20</v>
      </c>
    </row>
    <row r="158" spans="1:36" x14ac:dyDescent="0.2">
      <c r="A158" s="168" t="s">
        <v>1616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spans="1:36" x14ac:dyDescent="0.2">
      <c r="A159" s="170" t="s">
        <v>1450</v>
      </c>
      <c r="B159" s="171">
        <v>3004</v>
      </c>
      <c r="C159" s="172" t="s">
        <v>193</v>
      </c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 t="s">
        <v>15</v>
      </c>
      <c r="AJ159" s="172" t="s">
        <v>84</v>
      </c>
    </row>
    <row r="160" spans="1:36" x14ac:dyDescent="0.2">
      <c r="A160" s="170" t="s">
        <v>1263</v>
      </c>
      <c r="B160" s="171">
        <v>575</v>
      </c>
      <c r="C160" s="172" t="s">
        <v>194</v>
      </c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 t="s">
        <v>15</v>
      </c>
      <c r="AJ160" s="172" t="s">
        <v>84</v>
      </c>
    </row>
    <row r="161" spans="1:36" x14ac:dyDescent="0.2">
      <c r="A161" s="170" t="s">
        <v>1264</v>
      </c>
      <c r="B161" s="171">
        <v>5921</v>
      </c>
      <c r="C161" s="172" t="s">
        <v>194</v>
      </c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 t="s">
        <v>15</v>
      </c>
      <c r="AJ161" s="172" t="s">
        <v>84</v>
      </c>
    </row>
    <row r="162" spans="1:36" x14ac:dyDescent="0.2">
      <c r="A162" s="170" t="s">
        <v>1265</v>
      </c>
      <c r="B162" s="171">
        <v>468</v>
      </c>
      <c r="C162" s="172" t="s">
        <v>194</v>
      </c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 t="s">
        <v>15</v>
      </c>
      <c r="AJ162" s="172" t="s">
        <v>84</v>
      </c>
    </row>
    <row r="163" spans="1:36" x14ac:dyDescent="0.2">
      <c r="A163" s="170" t="s">
        <v>1266</v>
      </c>
      <c r="B163" s="171">
        <v>5915</v>
      </c>
      <c r="C163" s="172" t="s">
        <v>195</v>
      </c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 t="s">
        <v>15</v>
      </c>
      <c r="AJ163" s="172" t="s">
        <v>84</v>
      </c>
    </row>
    <row r="164" spans="1:36" x14ac:dyDescent="0.2">
      <c r="A164" s="170" t="s">
        <v>1267</v>
      </c>
      <c r="B164" s="171">
        <v>6785</v>
      </c>
      <c r="C164" s="172" t="s">
        <v>196</v>
      </c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 t="s">
        <v>15</v>
      </c>
      <c r="AJ164" s="172" t="s">
        <v>84</v>
      </c>
    </row>
    <row r="165" spans="1:36" x14ac:dyDescent="0.2">
      <c r="A165" s="170" t="s">
        <v>1268</v>
      </c>
      <c r="B165" s="171">
        <v>-2589</v>
      </c>
      <c r="C165" s="172" t="s">
        <v>197</v>
      </c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 t="s">
        <v>15</v>
      </c>
      <c r="AJ165" s="172" t="s">
        <v>84</v>
      </c>
    </row>
    <row r="166" spans="1:36" x14ac:dyDescent="0.2">
      <c r="A166" s="170" t="s">
        <v>1269</v>
      </c>
      <c r="B166" s="171">
        <v>-657</v>
      </c>
      <c r="C166" s="172" t="s">
        <v>198</v>
      </c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 t="s">
        <v>15</v>
      </c>
      <c r="AJ166" s="172" t="s">
        <v>84</v>
      </c>
    </row>
    <row r="167" spans="1:36" x14ac:dyDescent="0.2">
      <c r="A167" s="170" t="s">
        <v>1270</v>
      </c>
      <c r="B167" s="171">
        <v>4423</v>
      </c>
      <c r="C167" s="172" t="s">
        <v>199</v>
      </c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 t="s">
        <v>15</v>
      </c>
      <c r="AJ167" s="172" t="s">
        <v>84</v>
      </c>
    </row>
    <row r="168" spans="1:36" x14ac:dyDescent="0.2">
      <c r="A168" s="173" t="s">
        <v>1789</v>
      </c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</row>
    <row r="169" spans="1:36" x14ac:dyDescent="0.2">
      <c r="A169" s="168" t="s">
        <v>200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</row>
    <row r="170" spans="1:36" x14ac:dyDescent="0.2">
      <c r="A170" s="168" t="s">
        <v>201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</row>
    <row r="171" spans="1:36" x14ac:dyDescent="0.2">
      <c r="A171" s="168" t="s">
        <v>202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</row>
    <row r="172" spans="1:36" x14ac:dyDescent="0.2">
      <c r="A172" s="168" t="s">
        <v>1617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</row>
    <row r="173" spans="1:36" x14ac:dyDescent="0.2">
      <c r="A173" s="170" t="s">
        <v>203</v>
      </c>
      <c r="B173" s="171">
        <v>19600</v>
      </c>
      <c r="C173" s="172" t="s">
        <v>204</v>
      </c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 t="s">
        <v>15</v>
      </c>
      <c r="AJ173" s="172" t="s">
        <v>84</v>
      </c>
    </row>
    <row r="174" spans="1:36" x14ac:dyDescent="0.2">
      <c r="A174" s="170" t="s">
        <v>205</v>
      </c>
      <c r="B174" s="171">
        <v>1</v>
      </c>
      <c r="C174" s="172" t="s">
        <v>1667</v>
      </c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 t="s">
        <v>15</v>
      </c>
      <c r="AJ174" s="172" t="s">
        <v>84</v>
      </c>
    </row>
    <row r="175" spans="1:36" x14ac:dyDescent="0.2">
      <c r="A175" s="168" t="s">
        <v>206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</row>
    <row r="176" spans="1:36" x14ac:dyDescent="0.2">
      <c r="A176" s="170" t="s">
        <v>207</v>
      </c>
      <c r="B176" s="171">
        <v>3832</v>
      </c>
      <c r="C176" s="172" t="s">
        <v>208</v>
      </c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 t="s">
        <v>15</v>
      </c>
      <c r="AJ176" s="172" t="s">
        <v>84</v>
      </c>
    </row>
    <row r="177" spans="1:36" x14ac:dyDescent="0.2">
      <c r="A177" s="170" t="s">
        <v>209</v>
      </c>
      <c r="B177" s="171">
        <v>4178</v>
      </c>
      <c r="C177" s="172" t="s">
        <v>210</v>
      </c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 t="s">
        <v>15</v>
      </c>
      <c r="AJ177" s="172" t="s">
        <v>84</v>
      </c>
    </row>
    <row r="178" spans="1:36" x14ac:dyDescent="0.2">
      <c r="A178" s="170" t="s">
        <v>1618</v>
      </c>
      <c r="B178" s="171">
        <v>8010</v>
      </c>
      <c r="C178" s="172" t="s">
        <v>211</v>
      </c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 t="s">
        <v>15</v>
      </c>
      <c r="AJ178" s="172" t="s">
        <v>84</v>
      </c>
    </row>
    <row r="179" spans="1:36" x14ac:dyDescent="0.2">
      <c r="A179" s="170" t="s">
        <v>212</v>
      </c>
      <c r="B179" s="171">
        <v>28377</v>
      </c>
      <c r="C179" s="172" t="s">
        <v>213</v>
      </c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 t="s">
        <v>15</v>
      </c>
      <c r="AJ179" s="172" t="s">
        <v>84</v>
      </c>
    </row>
    <row r="180" spans="1:36" x14ac:dyDescent="0.2">
      <c r="A180" s="170" t="s">
        <v>214</v>
      </c>
      <c r="B180" s="171">
        <v>12116</v>
      </c>
      <c r="C180" s="172" t="s">
        <v>215</v>
      </c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 t="s">
        <v>15</v>
      </c>
      <c r="AJ180" s="172" t="s">
        <v>84</v>
      </c>
    </row>
    <row r="181" spans="1:36" x14ac:dyDescent="0.2">
      <c r="A181" s="170" t="s">
        <v>216</v>
      </c>
      <c r="B181" s="171">
        <v>42602</v>
      </c>
      <c r="C181" s="172" t="s">
        <v>217</v>
      </c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 t="s">
        <v>15</v>
      </c>
      <c r="AJ181" s="172" t="s">
        <v>84</v>
      </c>
    </row>
    <row r="182" spans="1:36" x14ac:dyDescent="0.2">
      <c r="A182" s="170" t="s">
        <v>218</v>
      </c>
      <c r="B182" s="171">
        <v>-12701</v>
      </c>
      <c r="C182" s="172" t="s">
        <v>219</v>
      </c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 t="s">
        <v>15</v>
      </c>
      <c r="AJ182" s="172" t="s">
        <v>84</v>
      </c>
    </row>
    <row r="183" spans="1:36" x14ac:dyDescent="0.2">
      <c r="A183" s="173" t="s">
        <v>1790</v>
      </c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</row>
    <row r="184" spans="1:36" x14ac:dyDescent="0.2">
      <c r="A184" s="168" t="s">
        <v>220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</row>
    <row r="185" spans="1:36" x14ac:dyDescent="0.2">
      <c r="A185" s="22" t="s">
        <v>221</v>
      </c>
      <c r="B185" s="161">
        <v>0.1</v>
      </c>
      <c r="C185" s="8" t="s">
        <v>1668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162">
        <v>0.08</v>
      </c>
      <c r="AH185" s="162">
        <v>0.14000000000000001</v>
      </c>
      <c r="AI185" s="163" t="s">
        <v>2</v>
      </c>
      <c r="AJ185" s="163" t="s">
        <v>1732</v>
      </c>
    </row>
    <row r="186" spans="1:36" x14ac:dyDescent="0.2">
      <c r="A186" s="168" t="s">
        <v>222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</row>
    <row r="187" spans="1:36" x14ac:dyDescent="0.2">
      <c r="A187" s="168" t="s">
        <v>223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</row>
    <row r="188" spans="1:36" x14ac:dyDescent="0.2">
      <c r="A188" s="22" t="s">
        <v>224</v>
      </c>
      <c r="B188" s="161">
        <v>2.5000000000000001E-2</v>
      </c>
      <c r="C188" s="8" t="s">
        <v>225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162">
        <v>1.4999999999999999E-2</v>
      </c>
      <c r="AH188" s="162">
        <v>3.5000000000000003E-2</v>
      </c>
      <c r="AI188" s="163" t="s">
        <v>2</v>
      </c>
      <c r="AJ188" s="163" t="s">
        <v>20</v>
      </c>
    </row>
    <row r="189" spans="1:36" x14ac:dyDescent="0.2">
      <c r="A189" s="22" t="s">
        <v>1451</v>
      </c>
      <c r="B189" s="161">
        <v>1.5</v>
      </c>
      <c r="C189" s="8" t="s">
        <v>1669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162">
        <v>0.5</v>
      </c>
      <c r="AH189" s="162">
        <v>3</v>
      </c>
      <c r="AI189" s="163" t="s">
        <v>2</v>
      </c>
      <c r="AJ189" s="163" t="s">
        <v>20</v>
      </c>
    </row>
    <row r="190" spans="1:36" x14ac:dyDescent="0.2">
      <c r="A190" s="22" t="s">
        <v>226</v>
      </c>
      <c r="B190" s="161">
        <v>5</v>
      </c>
      <c r="C190" s="8" t="s">
        <v>227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 t="s">
        <v>15</v>
      </c>
      <c r="AJ190" s="8" t="s">
        <v>228</v>
      </c>
    </row>
    <row r="191" spans="1:36" x14ac:dyDescent="0.2">
      <c r="A191" s="168" t="s">
        <v>229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</row>
    <row r="192" spans="1:36" x14ac:dyDescent="0.2">
      <c r="A192" s="22" t="s">
        <v>1271</v>
      </c>
      <c r="B192" s="161">
        <v>350</v>
      </c>
      <c r="C192" s="8" t="s">
        <v>230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162">
        <v>200</v>
      </c>
      <c r="AH192" s="162">
        <v>500</v>
      </c>
      <c r="AI192" s="163" t="s">
        <v>2</v>
      </c>
      <c r="AJ192" s="163" t="s">
        <v>20</v>
      </c>
    </row>
    <row r="193" spans="1:36" x14ac:dyDescent="0.2">
      <c r="A193" s="22" t="s">
        <v>1452</v>
      </c>
      <c r="B193" s="161">
        <v>2500</v>
      </c>
      <c r="C193" s="8" t="s">
        <v>1453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 t="s">
        <v>15</v>
      </c>
      <c r="AJ193" s="8" t="s">
        <v>1454</v>
      </c>
    </row>
    <row r="194" spans="1:36" x14ac:dyDescent="0.2">
      <c r="A194" s="22" t="s">
        <v>1272</v>
      </c>
      <c r="B194" s="161">
        <v>150</v>
      </c>
      <c r="C194" s="8" t="s">
        <v>231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162">
        <v>100</v>
      </c>
      <c r="AH194" s="162">
        <v>250</v>
      </c>
      <c r="AI194" s="163" t="s">
        <v>2</v>
      </c>
      <c r="AJ194" s="163" t="s">
        <v>20</v>
      </c>
    </row>
    <row r="195" spans="1:36" x14ac:dyDescent="0.2">
      <c r="A195" s="22" t="s">
        <v>1273</v>
      </c>
      <c r="B195" s="161">
        <v>50</v>
      </c>
      <c r="C195" s="8" t="s">
        <v>232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162">
        <v>20</v>
      </c>
      <c r="AH195" s="162">
        <v>100</v>
      </c>
      <c r="AI195" s="163" t="s">
        <v>2</v>
      </c>
      <c r="AJ195" s="163" t="s">
        <v>20</v>
      </c>
    </row>
    <row r="196" spans="1:36" x14ac:dyDescent="0.2">
      <c r="A196" s="22" t="s">
        <v>1274</v>
      </c>
      <c r="B196" s="161">
        <v>40</v>
      </c>
      <c r="C196" s="8" t="s">
        <v>1275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162">
        <v>20</v>
      </c>
      <c r="AH196" s="162">
        <v>80</v>
      </c>
      <c r="AI196" s="163" t="s">
        <v>2</v>
      </c>
      <c r="AJ196" s="163" t="s">
        <v>1657</v>
      </c>
    </row>
    <row r="197" spans="1:36" x14ac:dyDescent="0.2">
      <c r="A197" s="22" t="s">
        <v>1455</v>
      </c>
      <c r="B197" s="161">
        <v>0</v>
      </c>
      <c r="C197" s="8" t="s">
        <v>233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 t="s">
        <v>15</v>
      </c>
      <c r="AJ197" s="8" t="s">
        <v>234</v>
      </c>
    </row>
    <row r="198" spans="1:36" x14ac:dyDescent="0.2">
      <c r="A198" s="22" t="s">
        <v>1276</v>
      </c>
      <c r="B198" s="161">
        <v>50</v>
      </c>
      <c r="C198" s="8" t="s">
        <v>235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162">
        <v>10</v>
      </c>
      <c r="AH198" s="162">
        <v>200</v>
      </c>
      <c r="AI198" s="163" t="s">
        <v>2</v>
      </c>
      <c r="AJ198" s="163" t="s">
        <v>20</v>
      </c>
    </row>
    <row r="199" spans="1:36" x14ac:dyDescent="0.2">
      <c r="A199" s="168" t="s">
        <v>236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</row>
    <row r="200" spans="1:36" x14ac:dyDescent="0.2">
      <c r="A200" s="22" t="s">
        <v>1277</v>
      </c>
      <c r="B200" s="161">
        <v>5</v>
      </c>
      <c r="C200" s="8" t="s">
        <v>237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162">
        <v>3</v>
      </c>
      <c r="AH200" s="162">
        <v>8</v>
      </c>
      <c r="AI200" s="163" t="s">
        <v>2</v>
      </c>
      <c r="AJ200" s="163" t="s">
        <v>20</v>
      </c>
    </row>
    <row r="201" spans="1:36" x14ac:dyDescent="0.2">
      <c r="A201" s="22" t="s">
        <v>1456</v>
      </c>
      <c r="B201" s="161">
        <v>10</v>
      </c>
      <c r="C201" s="8" t="s">
        <v>238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162">
        <v>6</v>
      </c>
      <c r="AH201" s="162">
        <v>14</v>
      </c>
      <c r="AI201" s="163" t="s">
        <v>2</v>
      </c>
      <c r="AJ201" s="163" t="s">
        <v>20</v>
      </c>
    </row>
    <row r="202" spans="1:36" x14ac:dyDescent="0.2">
      <c r="A202" s="22" t="s">
        <v>1457</v>
      </c>
      <c r="B202" s="161">
        <v>6</v>
      </c>
      <c r="C202" s="8" t="s">
        <v>239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162">
        <v>3</v>
      </c>
      <c r="AH202" s="162">
        <v>10</v>
      </c>
      <c r="AI202" s="163" t="s">
        <v>2</v>
      </c>
      <c r="AJ202" s="163" t="s">
        <v>20</v>
      </c>
    </row>
    <row r="203" spans="1:36" x14ac:dyDescent="0.2">
      <c r="A203" s="168" t="s">
        <v>240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</row>
    <row r="204" spans="1:36" x14ac:dyDescent="0.2">
      <c r="A204" s="170" t="s">
        <v>241</v>
      </c>
      <c r="B204" s="171">
        <v>0.20899999999999999</v>
      </c>
      <c r="C204" s="172" t="s">
        <v>242</v>
      </c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 t="s">
        <v>15</v>
      </c>
      <c r="AJ204" s="172" t="s">
        <v>84</v>
      </c>
    </row>
    <row r="205" spans="1:36" x14ac:dyDescent="0.2">
      <c r="A205" s="170" t="s">
        <v>243</v>
      </c>
      <c r="B205" s="171">
        <v>0</v>
      </c>
      <c r="C205" s="172" t="s">
        <v>244</v>
      </c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 t="s">
        <v>15</v>
      </c>
      <c r="AJ205" s="172" t="s">
        <v>84</v>
      </c>
    </row>
    <row r="206" spans="1:36" x14ac:dyDescent="0.2">
      <c r="A206" s="170" t="s">
        <v>1278</v>
      </c>
      <c r="B206" s="171">
        <v>9</v>
      </c>
      <c r="C206" s="172" t="s">
        <v>1670</v>
      </c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 t="s">
        <v>15</v>
      </c>
      <c r="AJ206" s="172" t="s">
        <v>84</v>
      </c>
    </row>
    <row r="207" spans="1:36" x14ac:dyDescent="0.2">
      <c r="A207" s="173" t="s">
        <v>1619</v>
      </c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</row>
    <row r="208" spans="1:36" x14ac:dyDescent="0.2">
      <c r="A208" s="170" t="s">
        <v>245</v>
      </c>
      <c r="B208" s="174">
        <v>6</v>
      </c>
      <c r="C208" s="172" t="s">
        <v>1733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71">
        <v>4</v>
      </c>
      <c r="AH208" s="71">
        <v>12</v>
      </c>
      <c r="AI208" s="172" t="s">
        <v>2</v>
      </c>
      <c r="AJ208" s="172" t="s">
        <v>246</v>
      </c>
    </row>
    <row r="209" spans="1:36" x14ac:dyDescent="0.2">
      <c r="A209" s="170" t="s">
        <v>247</v>
      </c>
      <c r="B209" s="169">
        <v>20</v>
      </c>
      <c r="C209" s="172" t="s">
        <v>1762</v>
      </c>
      <c r="D209" s="169">
        <v>20</v>
      </c>
      <c r="E209" s="169">
        <v>19.600000000000001</v>
      </c>
      <c r="F209" s="169">
        <v>19.207999999999998</v>
      </c>
      <c r="G209" s="169">
        <v>18.824000000000002</v>
      </c>
      <c r="H209" s="169">
        <v>18.446999999999999</v>
      </c>
      <c r="I209" s="169">
        <v>18.077999999999999</v>
      </c>
      <c r="J209" s="169">
        <v>17.716999999999999</v>
      </c>
      <c r="K209" s="169">
        <v>17.363</v>
      </c>
      <c r="L209" s="169">
        <v>17.015000000000001</v>
      </c>
      <c r="M209" s="169">
        <v>16.675000000000001</v>
      </c>
      <c r="N209" s="169">
        <v>16.341999999999999</v>
      </c>
      <c r="O209" s="169">
        <v>16.015000000000001</v>
      </c>
      <c r="P209" s="169">
        <v>15.695</v>
      </c>
      <c r="Q209" s="169">
        <v>15.381</v>
      </c>
      <c r="R209" s="169">
        <v>15.073</v>
      </c>
      <c r="S209" s="169">
        <v>14.772</v>
      </c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8"/>
      <c r="AE209" s="8"/>
      <c r="AF209" s="8"/>
      <c r="AG209" s="169">
        <v>12</v>
      </c>
      <c r="AH209" s="169">
        <v>40</v>
      </c>
      <c r="AI209" s="172" t="s">
        <v>2</v>
      </c>
      <c r="AJ209" s="172" t="s">
        <v>1671</v>
      </c>
    </row>
    <row r="210" spans="1:36" x14ac:dyDescent="0.2">
      <c r="A210" s="170" t="s">
        <v>248</v>
      </c>
      <c r="B210" s="169">
        <v>25</v>
      </c>
      <c r="C210" s="172" t="s">
        <v>1763</v>
      </c>
      <c r="D210" s="169">
        <v>0</v>
      </c>
      <c r="E210" s="169">
        <v>0</v>
      </c>
      <c r="F210" s="169">
        <v>25</v>
      </c>
      <c r="G210" s="169">
        <v>23</v>
      </c>
      <c r="H210" s="169">
        <v>21.16</v>
      </c>
      <c r="I210" s="169">
        <v>19.466999999999999</v>
      </c>
      <c r="J210" s="169">
        <v>17.91</v>
      </c>
      <c r="K210" s="169">
        <v>16.477</v>
      </c>
      <c r="L210" s="169">
        <v>15.159000000000001</v>
      </c>
      <c r="M210" s="169">
        <v>13.946</v>
      </c>
      <c r="N210" s="169">
        <v>12.83</v>
      </c>
      <c r="O210" s="169">
        <v>11.804</v>
      </c>
      <c r="P210" s="169">
        <v>10.859</v>
      </c>
      <c r="Q210" s="169">
        <v>9.99</v>
      </c>
      <c r="R210" s="169">
        <v>9.1910000000000007</v>
      </c>
      <c r="S210" s="169">
        <v>8.4559999999999995</v>
      </c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8"/>
      <c r="AE210" s="8"/>
      <c r="AF210" s="8"/>
      <c r="AG210" s="169">
        <v>15</v>
      </c>
      <c r="AH210" s="169">
        <v>50</v>
      </c>
      <c r="AI210" s="172" t="s">
        <v>2</v>
      </c>
      <c r="AJ210" s="172" t="s">
        <v>249</v>
      </c>
    </row>
    <row r="211" spans="1:36" x14ac:dyDescent="0.2">
      <c r="A211" s="170" t="s">
        <v>250</v>
      </c>
      <c r="B211" s="70">
        <v>171</v>
      </c>
      <c r="C211" s="172" t="s">
        <v>1672</v>
      </c>
      <c r="D211" s="70">
        <v>171</v>
      </c>
      <c r="E211" s="70">
        <v>150</v>
      </c>
      <c r="F211" s="70">
        <v>100</v>
      </c>
      <c r="G211" s="70">
        <v>60</v>
      </c>
      <c r="H211" s="70">
        <v>30</v>
      </c>
      <c r="I211" s="70">
        <v>10</v>
      </c>
      <c r="J211" s="70">
        <v>0</v>
      </c>
      <c r="K211" s="70">
        <v>0</v>
      </c>
      <c r="L211" s="70">
        <v>0</v>
      </c>
      <c r="M211" s="70">
        <v>0</v>
      </c>
      <c r="N211" s="70">
        <v>0</v>
      </c>
      <c r="O211" s="70">
        <v>0</v>
      </c>
      <c r="P211" s="70">
        <v>0</v>
      </c>
      <c r="Q211" s="70">
        <v>0</v>
      </c>
      <c r="R211" s="70">
        <v>0</v>
      </c>
      <c r="S211" s="70">
        <v>0</v>
      </c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8"/>
      <c r="AE211" s="8"/>
      <c r="AF211" s="8"/>
      <c r="AG211" s="70">
        <v>0</v>
      </c>
      <c r="AH211" s="70">
        <v>215</v>
      </c>
      <c r="AI211" s="172" t="s">
        <v>251</v>
      </c>
      <c r="AJ211" s="172" t="s">
        <v>1673</v>
      </c>
    </row>
    <row r="212" spans="1:36" x14ac:dyDescent="0.2">
      <c r="A212" s="170" t="s">
        <v>252</v>
      </c>
      <c r="B212" s="161">
        <v>8</v>
      </c>
      <c r="C212" s="172" t="s">
        <v>1764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161">
        <v>6</v>
      </c>
      <c r="AH212" s="161">
        <v>10</v>
      </c>
      <c r="AI212" s="172" t="s">
        <v>2</v>
      </c>
      <c r="AJ212" s="172" t="s">
        <v>253</v>
      </c>
    </row>
    <row r="213" spans="1:36" x14ac:dyDescent="0.2">
      <c r="A213" s="170" t="s">
        <v>254</v>
      </c>
      <c r="B213" s="8"/>
      <c r="C213" s="172" t="s">
        <v>1765</v>
      </c>
      <c r="D213" s="161">
        <v>16.25</v>
      </c>
      <c r="E213" s="175">
        <f t="shared" ref="E213:S213" si="1">$D213*(1+-0.02)^E$5</f>
        <v>15.924999999999999</v>
      </c>
      <c r="F213" s="175">
        <f t="shared" si="1"/>
        <v>15.606499999999999</v>
      </c>
      <c r="G213" s="175">
        <f t="shared" si="1"/>
        <v>15.294369999999999</v>
      </c>
      <c r="H213" s="175">
        <f t="shared" si="1"/>
        <v>14.988482599999998</v>
      </c>
      <c r="I213" s="175">
        <f t="shared" si="1"/>
        <v>14.688712947999997</v>
      </c>
      <c r="J213" s="175">
        <f t="shared" si="1"/>
        <v>14.394938689039996</v>
      </c>
      <c r="K213" s="175">
        <f t="shared" si="1"/>
        <v>14.107039915259197</v>
      </c>
      <c r="L213" s="175">
        <f t="shared" si="1"/>
        <v>13.824899116954013</v>
      </c>
      <c r="M213" s="175">
        <f t="shared" si="1"/>
        <v>13.548401134614933</v>
      </c>
      <c r="N213" s="175">
        <f t="shared" si="1"/>
        <v>13.277433111922631</v>
      </c>
      <c r="O213" s="175">
        <f t="shared" si="1"/>
        <v>13.011884449684178</v>
      </c>
      <c r="P213" s="175">
        <f t="shared" si="1"/>
        <v>12.751646760690496</v>
      </c>
      <c r="Q213" s="175">
        <f t="shared" si="1"/>
        <v>12.496613825476684</v>
      </c>
      <c r="R213" s="175">
        <f t="shared" si="1"/>
        <v>12.246681548967151</v>
      </c>
      <c r="S213" s="175">
        <f t="shared" si="1"/>
        <v>12.001747917987808</v>
      </c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161">
        <v>12</v>
      </c>
      <c r="AH213" s="161">
        <v>20</v>
      </c>
      <c r="AI213" s="172" t="s">
        <v>2</v>
      </c>
      <c r="AJ213" s="172" t="s">
        <v>1767</v>
      </c>
    </row>
    <row r="214" spans="1:36" x14ac:dyDescent="0.2">
      <c r="A214" s="170" t="s">
        <v>256</v>
      </c>
      <c r="B214" s="8"/>
      <c r="C214" s="172" t="s">
        <v>1766</v>
      </c>
      <c r="D214" s="161">
        <v>0</v>
      </c>
      <c r="E214" s="161">
        <v>0</v>
      </c>
      <c r="F214" s="161">
        <v>5</v>
      </c>
      <c r="G214" s="175">
        <f t="shared" ref="G214:S214" si="2">$F214*(1+-0.08)^(G$5-2)</f>
        <v>4.6000000000000005</v>
      </c>
      <c r="H214" s="175">
        <f t="shared" si="2"/>
        <v>4.2320000000000002</v>
      </c>
      <c r="I214" s="175">
        <f t="shared" si="2"/>
        <v>3.89344</v>
      </c>
      <c r="J214" s="175">
        <f t="shared" si="2"/>
        <v>3.5819648000000006</v>
      </c>
      <c r="K214" s="175">
        <f t="shared" si="2"/>
        <v>3.2954076160000008</v>
      </c>
      <c r="L214" s="175">
        <f t="shared" si="2"/>
        <v>3.0317750067200007</v>
      </c>
      <c r="M214" s="175">
        <f t="shared" si="2"/>
        <v>2.7892330061824007</v>
      </c>
      <c r="N214" s="175">
        <f t="shared" si="2"/>
        <v>2.5660943656878086</v>
      </c>
      <c r="O214" s="175">
        <f t="shared" si="2"/>
        <v>2.3608068164327842</v>
      </c>
      <c r="P214" s="175">
        <f t="shared" si="2"/>
        <v>2.1719422711181617</v>
      </c>
      <c r="Q214" s="175">
        <f t="shared" si="2"/>
        <v>1.9981868894287085</v>
      </c>
      <c r="R214" s="175">
        <f t="shared" si="2"/>
        <v>1.8383319382744121</v>
      </c>
      <c r="S214" s="175">
        <f t="shared" si="2"/>
        <v>1.6912653832124591</v>
      </c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161">
        <v>3</v>
      </c>
      <c r="AH214" s="161">
        <v>8</v>
      </c>
      <c r="AI214" s="172" t="s">
        <v>2</v>
      </c>
      <c r="AJ214" s="172" t="s">
        <v>257</v>
      </c>
    </row>
    <row r="215" spans="1:36" x14ac:dyDescent="0.2">
      <c r="A215" s="168" t="s">
        <v>1620</v>
      </c>
      <c r="B215" s="18"/>
      <c r="C215" s="168" t="s">
        <v>1674</v>
      </c>
      <c r="D215" s="18">
        <v>14650</v>
      </c>
      <c r="E215" s="176">
        <f t="shared" ref="E215:S215" si="3">IF(E$5&lt;=10, $D$215*(1+0.12)^E$5, $D$215*(1+0.12)^10*(1+0.05)^(E$5-10))</f>
        <v>16408</v>
      </c>
      <c r="F215" s="176">
        <f t="shared" si="3"/>
        <v>18376.960000000003</v>
      </c>
      <c r="G215" s="176">
        <f t="shared" si="3"/>
        <v>20582.195200000006</v>
      </c>
      <c r="H215" s="176">
        <f t="shared" si="3"/>
        <v>23052.058624000005</v>
      </c>
      <c r="I215" s="176">
        <f t="shared" si="3"/>
        <v>25818.305658880006</v>
      </c>
      <c r="J215" s="176">
        <f t="shared" si="3"/>
        <v>28916.502337945611</v>
      </c>
      <c r="K215" s="176">
        <f t="shared" si="3"/>
        <v>32386.482618499085</v>
      </c>
      <c r="L215" s="176">
        <f t="shared" si="3"/>
        <v>36272.86053271898</v>
      </c>
      <c r="M215" s="176">
        <f t="shared" si="3"/>
        <v>40625.603796645257</v>
      </c>
      <c r="N215" s="176">
        <f t="shared" si="3"/>
        <v>45500.676252242694</v>
      </c>
      <c r="O215" s="176">
        <f t="shared" si="3"/>
        <v>47775.710064854829</v>
      </c>
      <c r="P215" s="176">
        <f t="shared" si="3"/>
        <v>50164.495568097569</v>
      </c>
      <c r="Q215" s="176">
        <f t="shared" si="3"/>
        <v>52672.720346502458</v>
      </c>
      <c r="R215" s="176">
        <f t="shared" si="3"/>
        <v>55306.356363827574</v>
      </c>
      <c r="S215" s="176">
        <f t="shared" si="3"/>
        <v>58071.674182018956</v>
      </c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 t="s">
        <v>258</v>
      </c>
      <c r="AH215" s="18" t="s">
        <v>258</v>
      </c>
      <c r="AI215" s="168" t="s">
        <v>15</v>
      </c>
      <c r="AJ215" s="168" t="s">
        <v>1675</v>
      </c>
    </row>
    <row r="216" spans="1:36" x14ac:dyDescent="0.2">
      <c r="A216" s="170" t="s">
        <v>259</v>
      </c>
      <c r="B216" s="161">
        <v>5</v>
      </c>
      <c r="C216" s="172" t="s">
        <v>1676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161">
        <v>4</v>
      </c>
      <c r="AH216" s="161">
        <v>7</v>
      </c>
      <c r="AI216" s="172" t="s">
        <v>2</v>
      </c>
      <c r="AJ216" s="8"/>
    </row>
    <row r="217" spans="1:36" x14ac:dyDescent="0.2">
      <c r="A217" s="22" t="s">
        <v>261</v>
      </c>
      <c r="B217" s="161">
        <v>2026</v>
      </c>
      <c r="C217" s="172" t="s">
        <v>1677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161">
        <v>2026</v>
      </c>
      <c r="AH217" s="161">
        <v>2028</v>
      </c>
      <c r="AI217" s="172" t="s">
        <v>2</v>
      </c>
      <c r="AJ217" s="8"/>
    </row>
    <row r="218" spans="1:36" x14ac:dyDescent="0.2">
      <c r="A218" s="22" t="s">
        <v>262</v>
      </c>
      <c r="B218" s="161">
        <v>2026</v>
      </c>
      <c r="C218" s="172" t="s">
        <v>1734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161">
        <v>2026</v>
      </c>
      <c r="AH218" s="161">
        <v>2027</v>
      </c>
      <c r="AI218" s="172" t="s">
        <v>9</v>
      </c>
      <c r="AJ218" s="8"/>
    </row>
    <row r="219" spans="1:36" x14ac:dyDescent="0.2">
      <c r="A219" s="22" t="s">
        <v>263</v>
      </c>
      <c r="B219" s="161">
        <v>575</v>
      </c>
      <c r="C219" s="172" t="s">
        <v>264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161">
        <v>500</v>
      </c>
      <c r="AH219" s="161">
        <v>650</v>
      </c>
      <c r="AI219" s="172" t="s">
        <v>2</v>
      </c>
      <c r="AJ219" s="8"/>
    </row>
    <row r="220" spans="1:36" x14ac:dyDescent="0.2">
      <c r="A220" s="22" t="s">
        <v>265</v>
      </c>
      <c r="B220" s="161">
        <v>575</v>
      </c>
      <c r="C220" s="172" t="s">
        <v>266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161">
        <v>500</v>
      </c>
      <c r="AH220" s="161">
        <v>650</v>
      </c>
      <c r="AI220" s="172" t="s">
        <v>2</v>
      </c>
      <c r="AJ220" s="8"/>
    </row>
    <row r="221" spans="1:36" x14ac:dyDescent="0.2">
      <c r="A221" s="22" t="s">
        <v>267</v>
      </c>
      <c r="B221" s="161">
        <v>2000</v>
      </c>
      <c r="C221" s="172" t="s">
        <v>1735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161">
        <v>1000</v>
      </c>
      <c r="AH221" s="161">
        <v>2000</v>
      </c>
      <c r="AI221" s="172" t="s">
        <v>2</v>
      </c>
      <c r="AJ221" s="8"/>
    </row>
    <row r="222" spans="1:36" x14ac:dyDescent="0.2">
      <c r="A222" s="22" t="s">
        <v>268</v>
      </c>
      <c r="B222" s="161">
        <v>2000</v>
      </c>
      <c r="C222" s="172" t="s">
        <v>269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161">
        <v>1000</v>
      </c>
      <c r="AH222" s="161">
        <v>2000</v>
      </c>
      <c r="AI222" s="172" t="s">
        <v>2</v>
      </c>
      <c r="AJ222" s="8"/>
    </row>
    <row r="223" spans="1:36" x14ac:dyDescent="0.2">
      <c r="A223" s="22" t="s">
        <v>270</v>
      </c>
      <c r="B223" s="161">
        <v>96</v>
      </c>
      <c r="C223" s="172" t="s">
        <v>271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161">
        <v>80</v>
      </c>
      <c r="AH223" s="161">
        <v>120</v>
      </c>
      <c r="AI223" s="172" t="s">
        <v>2</v>
      </c>
      <c r="AJ223" s="8"/>
    </row>
    <row r="224" spans="1:36" x14ac:dyDescent="0.2">
      <c r="A224" s="22" t="s">
        <v>272</v>
      </c>
      <c r="B224" s="161">
        <v>1000</v>
      </c>
      <c r="C224" s="172" t="s">
        <v>1736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161">
        <v>600</v>
      </c>
      <c r="AH224" s="161">
        <v>1500</v>
      </c>
      <c r="AI224" s="172" t="s">
        <v>2</v>
      </c>
      <c r="AJ224" s="8"/>
    </row>
    <row r="225" spans="1:36" x14ac:dyDescent="0.2">
      <c r="A225" s="22" t="s">
        <v>1279</v>
      </c>
      <c r="B225" s="161">
        <v>5.0000000000000001E-3</v>
      </c>
      <c r="C225" s="172" t="s">
        <v>273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161">
        <v>2E-3</v>
      </c>
      <c r="AH225" s="161">
        <v>1.4999999999999999E-2</v>
      </c>
      <c r="AI225" s="172" t="s">
        <v>2</v>
      </c>
      <c r="AJ225" s="8"/>
    </row>
    <row r="226" spans="1:36" x14ac:dyDescent="0.2">
      <c r="A226" s="22" t="s">
        <v>274</v>
      </c>
      <c r="B226" s="161">
        <v>2E-3</v>
      </c>
      <c r="C226" s="172" t="s">
        <v>1768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161">
        <v>1E-3</v>
      </c>
      <c r="AH226" s="161">
        <v>5.0000000000000001E-3</v>
      </c>
      <c r="AI226" s="172" t="s">
        <v>2</v>
      </c>
      <c r="AJ226" s="8"/>
    </row>
    <row r="227" spans="1:36" x14ac:dyDescent="0.2">
      <c r="A227" s="22" t="s">
        <v>275</v>
      </c>
      <c r="B227" s="161">
        <v>0.7</v>
      </c>
      <c r="C227" s="172" t="s">
        <v>276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161">
        <v>0.4</v>
      </c>
      <c r="AH227" s="161">
        <v>0.95</v>
      </c>
      <c r="AI227" s="172" t="s">
        <v>2</v>
      </c>
      <c r="AJ227" s="8"/>
    </row>
    <row r="228" spans="1:36" x14ac:dyDescent="0.2">
      <c r="A228" s="22" t="s">
        <v>277</v>
      </c>
      <c r="B228" s="161">
        <v>164699</v>
      </c>
      <c r="C228" s="172" t="s">
        <v>1769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161">
        <v>140000</v>
      </c>
      <c r="AH228" s="161">
        <v>190000</v>
      </c>
      <c r="AI228" s="172" t="s">
        <v>2</v>
      </c>
      <c r="AJ228" s="8"/>
    </row>
    <row r="229" spans="1:36" x14ac:dyDescent="0.2">
      <c r="A229" s="22" t="s">
        <v>278</v>
      </c>
      <c r="B229" s="8"/>
      <c r="C229" s="172" t="s">
        <v>1770</v>
      </c>
      <c r="D229" s="161">
        <v>15300</v>
      </c>
      <c r="E229" s="175">
        <f t="shared" ref="E229:S229" si="4">$D$229*(1+$B$230)^(E$1-$D$1)</f>
        <v>16524</v>
      </c>
      <c r="F229" s="175">
        <f t="shared" si="4"/>
        <v>17845.920000000002</v>
      </c>
      <c r="G229" s="175">
        <f t="shared" si="4"/>
        <v>19273.593600000004</v>
      </c>
      <c r="H229" s="175">
        <f t="shared" si="4"/>
        <v>20815.481088000004</v>
      </c>
      <c r="I229" s="175">
        <f t="shared" si="4"/>
        <v>22480.719575040006</v>
      </c>
      <c r="J229" s="175">
        <f t="shared" si="4"/>
        <v>24279.177141043208</v>
      </c>
      <c r="K229" s="175">
        <f t="shared" si="4"/>
        <v>26221.511312326667</v>
      </c>
      <c r="L229" s="175">
        <f t="shared" si="4"/>
        <v>28319.232217312798</v>
      </c>
      <c r="M229" s="175">
        <f t="shared" si="4"/>
        <v>30584.770794697826</v>
      </c>
      <c r="N229" s="175">
        <f t="shared" si="4"/>
        <v>33031.552458273654</v>
      </c>
      <c r="O229" s="175">
        <f t="shared" si="4"/>
        <v>35674.076654935547</v>
      </c>
      <c r="P229" s="175">
        <f t="shared" si="4"/>
        <v>38528.002787330392</v>
      </c>
      <c r="Q229" s="175">
        <f t="shared" si="4"/>
        <v>41610.243010316823</v>
      </c>
      <c r="R229" s="175">
        <f t="shared" si="4"/>
        <v>44939.062451142177</v>
      </c>
      <c r="S229" s="175">
        <f t="shared" si="4"/>
        <v>48534.187447233555</v>
      </c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161">
        <v>11475</v>
      </c>
      <c r="AH229" s="161">
        <v>19125</v>
      </c>
      <c r="AI229" s="172" t="s">
        <v>2</v>
      </c>
      <c r="AJ229" s="8" t="s">
        <v>279</v>
      </c>
    </row>
    <row r="230" spans="1:36" x14ac:dyDescent="0.2">
      <c r="A230" s="22" t="s">
        <v>280</v>
      </c>
      <c r="B230" s="161">
        <v>0.08</v>
      </c>
      <c r="C230" s="172" t="s">
        <v>1771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161">
        <v>0.03</v>
      </c>
      <c r="AH230" s="161">
        <v>0.15</v>
      </c>
      <c r="AI230" s="172" t="s">
        <v>2</v>
      </c>
      <c r="AJ230" s="8"/>
    </row>
    <row r="231" spans="1:36" x14ac:dyDescent="0.2">
      <c r="A231" s="22" t="s">
        <v>281</v>
      </c>
      <c r="B231" s="161">
        <v>800</v>
      </c>
      <c r="C231" s="172" t="s">
        <v>1737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161">
        <v>600</v>
      </c>
      <c r="AH231" s="161">
        <v>1200</v>
      </c>
      <c r="AI231" s="172" t="s">
        <v>2</v>
      </c>
      <c r="AJ231" s="8"/>
    </row>
    <row r="232" spans="1:36" x14ac:dyDescent="0.2">
      <c r="A232" s="22" t="s">
        <v>282</v>
      </c>
      <c r="B232" s="161">
        <v>3840</v>
      </c>
      <c r="C232" s="172" t="s">
        <v>1772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161">
        <v>3648</v>
      </c>
      <c r="AH232" s="161">
        <v>4032</v>
      </c>
      <c r="AI232" s="172" t="s">
        <v>2</v>
      </c>
      <c r="AJ232" s="8"/>
    </row>
    <row r="233" spans="1:36" x14ac:dyDescent="0.2">
      <c r="A233" s="22" t="s">
        <v>283</v>
      </c>
      <c r="B233" s="161">
        <v>0.875</v>
      </c>
      <c r="C233" s="172" t="s">
        <v>1678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161">
        <v>0.75</v>
      </c>
      <c r="AH233" s="161">
        <v>0.9</v>
      </c>
      <c r="AI233" s="172" t="s">
        <v>2</v>
      </c>
      <c r="AJ233" s="8"/>
    </row>
    <row r="234" spans="1:36" x14ac:dyDescent="0.2">
      <c r="A234" s="22" t="s">
        <v>284</v>
      </c>
      <c r="B234" s="161">
        <v>0</v>
      </c>
      <c r="C234" s="172" t="s">
        <v>1679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161">
        <v>0.02</v>
      </c>
      <c r="AH234" s="161">
        <v>0.1</v>
      </c>
      <c r="AI234" s="172" t="s">
        <v>2</v>
      </c>
      <c r="AJ234" s="8"/>
    </row>
    <row r="235" spans="1:36" x14ac:dyDescent="0.2">
      <c r="A235" s="22" t="s">
        <v>285</v>
      </c>
      <c r="B235" s="161">
        <v>0.88</v>
      </c>
      <c r="C235" s="172" t="s">
        <v>286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161">
        <v>0.8</v>
      </c>
      <c r="AH235" s="161">
        <v>0.93</v>
      </c>
      <c r="AI235" s="172" t="s">
        <v>2</v>
      </c>
      <c r="AJ235" s="8"/>
    </row>
    <row r="236" spans="1:36" x14ac:dyDescent="0.2">
      <c r="A236" s="22" t="s">
        <v>287</v>
      </c>
      <c r="B236" s="161">
        <v>0.12</v>
      </c>
      <c r="C236" s="172" t="s">
        <v>288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161">
        <v>7.0000000000000007E-2</v>
      </c>
      <c r="AH236" s="161">
        <v>0.2</v>
      </c>
      <c r="AI236" s="172" t="s">
        <v>2</v>
      </c>
      <c r="AJ236" s="8"/>
    </row>
    <row r="237" spans="1:36" x14ac:dyDescent="0.2">
      <c r="A237" s="22" t="s">
        <v>289</v>
      </c>
      <c r="B237" s="161">
        <v>0</v>
      </c>
      <c r="C237" s="172" t="s">
        <v>1773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161">
        <v>0</v>
      </c>
      <c r="AH237" s="161">
        <v>200</v>
      </c>
      <c r="AI237" s="172" t="s">
        <v>2</v>
      </c>
      <c r="AJ237" s="8"/>
    </row>
    <row r="238" spans="1:36" x14ac:dyDescent="0.2">
      <c r="A238" s="22" t="s">
        <v>290</v>
      </c>
      <c r="B238" s="161">
        <v>1</v>
      </c>
      <c r="C238" s="172" t="s">
        <v>1774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161">
        <v>0.85</v>
      </c>
      <c r="AH238" s="161">
        <v>1</v>
      </c>
      <c r="AI238" s="172" t="s">
        <v>2</v>
      </c>
      <c r="AJ238" s="8"/>
    </row>
    <row r="239" spans="1:36" x14ac:dyDescent="0.2">
      <c r="A239" s="22" t="s">
        <v>291</v>
      </c>
      <c r="B239" s="161">
        <v>26</v>
      </c>
      <c r="C239" s="172" t="s">
        <v>1775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161">
        <v>22</v>
      </c>
      <c r="AH239" s="161">
        <v>30</v>
      </c>
      <c r="AI239" s="172" t="s">
        <v>2</v>
      </c>
      <c r="AJ239" s="8"/>
    </row>
    <row r="240" spans="1:36" x14ac:dyDescent="0.2">
      <c r="A240" s="22" t="s">
        <v>1956</v>
      </c>
      <c r="B240" s="161">
        <v>60</v>
      </c>
      <c r="C240" s="172" t="s">
        <v>1738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161">
        <v>40</v>
      </c>
      <c r="AH240" s="161">
        <v>100</v>
      </c>
      <c r="AI240" s="172" t="s">
        <v>2</v>
      </c>
      <c r="AJ240" s="8"/>
    </row>
    <row r="241" spans="1:36" x14ac:dyDescent="0.2">
      <c r="A241" s="168" t="s">
        <v>1621</v>
      </c>
      <c r="B241" s="168"/>
      <c r="C241" s="16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 spans="1:36" x14ac:dyDescent="0.2">
      <c r="A242" s="177" t="s">
        <v>292</v>
      </c>
      <c r="B242" s="161">
        <v>425</v>
      </c>
      <c r="C242" s="172" t="s">
        <v>1795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 spans="1:36" x14ac:dyDescent="0.2">
      <c r="A243" s="177" t="s">
        <v>293</v>
      </c>
      <c r="B243" s="161">
        <v>3640</v>
      </c>
      <c r="C243" s="172" t="s">
        <v>1796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</row>
    <row r="244" spans="1:36" x14ac:dyDescent="0.2">
      <c r="A244" s="177" t="s">
        <v>294</v>
      </c>
      <c r="B244" s="161">
        <v>30</v>
      </c>
      <c r="C244" s="172" t="s">
        <v>1797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 spans="1:36" x14ac:dyDescent="0.2">
      <c r="A245" s="177" t="s">
        <v>295</v>
      </c>
      <c r="B245" s="161">
        <v>1</v>
      </c>
      <c r="C245" s="172" t="s">
        <v>1798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</row>
    <row r="246" spans="1:36" x14ac:dyDescent="0.2">
      <c r="A246" s="177" t="s">
        <v>296</v>
      </c>
      <c r="B246" s="161">
        <v>2500</v>
      </c>
      <c r="C246" s="172" t="s">
        <v>1799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 spans="1:36" x14ac:dyDescent="0.2">
      <c r="A247" s="177" t="s">
        <v>297</v>
      </c>
      <c r="B247" s="161">
        <v>100</v>
      </c>
      <c r="C247" s="172" t="s">
        <v>1800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</row>
    <row r="248" spans="1:36" x14ac:dyDescent="0.2">
      <c r="A248" s="177" t="s">
        <v>298</v>
      </c>
      <c r="B248" s="161">
        <v>30</v>
      </c>
      <c r="C248" s="172" t="s">
        <v>1797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 spans="1:36" x14ac:dyDescent="0.2">
      <c r="A249" s="177" t="s">
        <v>299</v>
      </c>
      <c r="B249" s="161">
        <v>200</v>
      </c>
      <c r="C249" s="172" t="s">
        <v>1801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</row>
    <row r="250" spans="1:36" x14ac:dyDescent="0.2">
      <c r="A250" s="177" t="s">
        <v>300</v>
      </c>
      <c r="B250" s="161">
        <v>30</v>
      </c>
      <c r="C250" s="172" t="s">
        <v>1797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 spans="1:36" x14ac:dyDescent="0.2">
      <c r="A251" s="177" t="s">
        <v>301</v>
      </c>
      <c r="B251" s="161">
        <v>76</v>
      </c>
      <c r="C251" s="172" t="s">
        <v>1802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</row>
    <row r="252" spans="1:36" x14ac:dyDescent="0.2">
      <c r="A252" s="177" t="s">
        <v>302</v>
      </c>
      <c r="B252" s="161">
        <v>200</v>
      </c>
      <c r="C252" s="172" t="s">
        <v>1803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 x14ac:dyDescent="0.2">
      <c r="A253" s="177" t="s">
        <v>303</v>
      </c>
      <c r="B253" s="161">
        <v>1000</v>
      </c>
      <c r="C253" s="172" t="s">
        <v>1804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</row>
    <row r="254" spans="1:36" x14ac:dyDescent="0.2">
      <c r="A254" s="177" t="s">
        <v>304</v>
      </c>
      <c r="B254" s="161">
        <v>30</v>
      </c>
      <c r="C254" s="172" t="s">
        <v>1797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161">
        <v>0.15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 x14ac:dyDescent="0.2">
      <c r="A255" s="177" t="s">
        <v>305</v>
      </c>
      <c r="B255" s="161">
        <v>280</v>
      </c>
      <c r="C255" s="172" t="s">
        <v>1805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161">
        <v>0.15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</row>
    <row r="256" spans="1:36" x14ac:dyDescent="0.2">
      <c r="A256" s="177" t="s">
        <v>306</v>
      </c>
      <c r="B256" s="161">
        <v>8500000</v>
      </c>
      <c r="C256" s="172" t="s">
        <v>1806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 spans="1:36" x14ac:dyDescent="0.2">
      <c r="A257" s="177" t="s">
        <v>307</v>
      </c>
      <c r="B257" s="161">
        <v>20</v>
      </c>
      <c r="C257" s="172" t="s">
        <v>1797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</row>
    <row r="258" spans="1:36" x14ac:dyDescent="0.2">
      <c r="A258" s="177" t="s">
        <v>308</v>
      </c>
      <c r="B258" s="178">
        <v>1</v>
      </c>
      <c r="C258" s="172" t="s">
        <v>1739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 spans="1:36" x14ac:dyDescent="0.2">
      <c r="A259" s="177" t="s">
        <v>309</v>
      </c>
      <c r="B259" s="161">
        <v>1.5</v>
      </c>
      <c r="C259" s="172" t="s">
        <v>1807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</row>
    <row r="260" spans="1:36" x14ac:dyDescent="0.2">
      <c r="A260" s="177" t="s">
        <v>310</v>
      </c>
      <c r="B260" s="161">
        <v>20</v>
      </c>
      <c r="C260" s="17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 spans="1:36" x14ac:dyDescent="0.2">
      <c r="A261" s="177" t="s">
        <v>311</v>
      </c>
      <c r="B261" s="178">
        <v>56</v>
      </c>
      <c r="C261" s="172" t="s">
        <v>1740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</row>
    <row r="262" spans="1:36" x14ac:dyDescent="0.2">
      <c r="A262" s="177" t="s">
        <v>312</v>
      </c>
      <c r="B262" s="41">
        <v>5.0000000000000001E-3</v>
      </c>
      <c r="C262" s="172" t="s">
        <v>1808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 spans="1:36" x14ac:dyDescent="0.2">
      <c r="A263" s="177" t="s">
        <v>313</v>
      </c>
      <c r="B263" s="161">
        <v>30</v>
      </c>
      <c r="C263" s="172" t="s">
        <v>1797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</row>
    <row r="264" spans="1:36" x14ac:dyDescent="0.2">
      <c r="A264" s="177" t="s">
        <v>314</v>
      </c>
      <c r="B264" s="161">
        <v>0.02</v>
      </c>
      <c r="C264" s="172" t="s">
        <v>1680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 spans="1:36" x14ac:dyDescent="0.2">
      <c r="A265" s="177" t="s">
        <v>315</v>
      </c>
      <c r="B265" s="161">
        <v>0.01</v>
      </c>
      <c r="C265" s="172" t="s">
        <v>1681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</row>
    <row r="266" spans="1:36" x14ac:dyDescent="0.2">
      <c r="A266" s="177" t="s">
        <v>316</v>
      </c>
      <c r="B266" s="161">
        <v>1.2999999999999999E-2</v>
      </c>
      <c r="C266" s="172" t="s">
        <v>1682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 spans="1:36" x14ac:dyDescent="0.2">
      <c r="A267" s="177" t="s">
        <v>317</v>
      </c>
      <c r="B267" s="161">
        <v>1500</v>
      </c>
      <c r="C267" s="172" t="s">
        <v>1809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161">
        <v>0.15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</row>
    <row r="268" spans="1:36" x14ac:dyDescent="0.2">
      <c r="A268" s="177" t="s">
        <v>318</v>
      </c>
      <c r="B268" s="161">
        <v>2</v>
      </c>
      <c r="C268" s="172" t="s">
        <v>1810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161">
        <v>0.15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 spans="1:36" x14ac:dyDescent="0.2">
      <c r="A269" s="160" t="s">
        <v>1622</v>
      </c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>
        <v>0.15</v>
      </c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  <c r="AE269" s="160"/>
      <c r="AF269" s="160"/>
      <c r="AG269" s="160"/>
      <c r="AH269" s="160"/>
      <c r="AI269" s="160"/>
      <c r="AJ269" s="160"/>
    </row>
    <row r="270" spans="1:36" x14ac:dyDescent="0.2">
      <c r="A270" s="177" t="s">
        <v>319</v>
      </c>
      <c r="B270" s="161">
        <v>0.88200000000000001</v>
      </c>
      <c r="C270" s="172" t="s">
        <v>1811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161">
        <v>0.15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 spans="1:36" x14ac:dyDescent="0.2">
      <c r="A271" s="177" t="s">
        <v>320</v>
      </c>
      <c r="B271" s="161">
        <v>2.5000000000000001E-2</v>
      </c>
      <c r="C271" s="172" t="s">
        <v>1812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161">
        <v>0.15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</row>
    <row r="272" spans="1:36" x14ac:dyDescent="0.2">
      <c r="A272" s="177" t="s">
        <v>321</v>
      </c>
      <c r="B272" s="161">
        <v>866</v>
      </c>
      <c r="C272" s="172" t="s">
        <v>1813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161">
        <v>0.15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 spans="1:36" x14ac:dyDescent="0.2">
      <c r="A273" s="177" t="s">
        <v>322</v>
      </c>
      <c r="B273" s="161">
        <v>12</v>
      </c>
      <c r="C273" s="172" t="s">
        <v>1814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161">
        <v>0.15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</row>
    <row r="274" spans="1:36" x14ac:dyDescent="0.2">
      <c r="A274" s="177" t="s">
        <v>323</v>
      </c>
      <c r="B274" s="161">
        <v>2692</v>
      </c>
      <c r="C274" s="172" t="s">
        <v>1815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161">
        <v>0.15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 spans="1:36" x14ac:dyDescent="0.2">
      <c r="A275" s="177" t="s">
        <v>324</v>
      </c>
      <c r="B275" s="161">
        <v>24</v>
      </c>
      <c r="C275" s="172" t="s">
        <v>1816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161">
        <v>0.15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</row>
    <row r="276" spans="1:36" x14ac:dyDescent="0.2">
      <c r="A276" s="177" t="s">
        <v>325</v>
      </c>
      <c r="B276" s="161">
        <v>655</v>
      </c>
      <c r="C276" s="172" t="s">
        <v>1817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161">
        <v>0.15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spans="1:36" x14ac:dyDescent="0.2">
      <c r="A277" s="177" t="s">
        <v>326</v>
      </c>
      <c r="B277" s="161">
        <v>4314</v>
      </c>
      <c r="C277" s="172" t="s">
        <v>1818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</row>
    <row r="278" spans="1:36" x14ac:dyDescent="0.2">
      <c r="A278" s="177" t="s">
        <v>327</v>
      </c>
      <c r="B278" s="161">
        <v>260</v>
      </c>
      <c r="C278" s="172" t="s">
        <v>1819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spans="1:36" x14ac:dyDescent="0.2">
      <c r="A279" s="177" t="s">
        <v>328</v>
      </c>
      <c r="B279" s="161">
        <v>306</v>
      </c>
      <c r="C279" s="172" t="s">
        <v>1820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</row>
    <row r="280" spans="1:36" x14ac:dyDescent="0.2">
      <c r="A280" s="160" t="s">
        <v>1623</v>
      </c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  <c r="AE280" s="160"/>
      <c r="AF280" s="160"/>
      <c r="AG280" s="160"/>
      <c r="AH280" s="160"/>
      <c r="AI280" s="160"/>
      <c r="AJ280" s="160"/>
    </row>
    <row r="281" spans="1:36" x14ac:dyDescent="0.2">
      <c r="A281" s="177" t="s">
        <v>329</v>
      </c>
      <c r="B281" s="37">
        <v>8.5000000000000006E-2</v>
      </c>
      <c r="C281" s="172" t="s">
        <v>1821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</row>
    <row r="282" spans="1:36" x14ac:dyDescent="0.2">
      <c r="A282" s="177" t="s">
        <v>1280</v>
      </c>
      <c r="B282" s="8"/>
      <c r="C282" s="172" t="s">
        <v>1822</v>
      </c>
      <c r="D282" s="70">
        <v>1510</v>
      </c>
      <c r="E282" s="67">
        <f t="shared" ref="E282:S282" si="5">$D$282*(1.05)^E$5</f>
        <v>1585.5</v>
      </c>
      <c r="F282" s="67">
        <f t="shared" si="5"/>
        <v>1664.7750000000001</v>
      </c>
      <c r="G282" s="67">
        <f t="shared" si="5"/>
        <v>1748.0137500000003</v>
      </c>
      <c r="H282" s="67">
        <f t="shared" si="5"/>
        <v>1835.4144375000001</v>
      </c>
      <c r="I282" s="67">
        <f t="shared" si="5"/>
        <v>1927.1851593750002</v>
      </c>
      <c r="J282" s="67">
        <f t="shared" si="5"/>
        <v>2023.54441734375</v>
      </c>
      <c r="K282" s="67">
        <f t="shared" si="5"/>
        <v>2124.7216382109377</v>
      </c>
      <c r="L282" s="67">
        <f t="shared" si="5"/>
        <v>2230.9577201214843</v>
      </c>
      <c r="M282" s="67">
        <f t="shared" si="5"/>
        <v>2342.5056061275586</v>
      </c>
      <c r="N282" s="67">
        <f t="shared" si="5"/>
        <v>2459.6308864339367</v>
      </c>
      <c r="O282" s="67">
        <f t="shared" si="5"/>
        <v>2582.6124307556338</v>
      </c>
      <c r="P282" s="67">
        <f t="shared" si="5"/>
        <v>2711.7430522934151</v>
      </c>
      <c r="Q282" s="67">
        <f t="shared" si="5"/>
        <v>2847.3302049080862</v>
      </c>
      <c r="R282" s="67">
        <f t="shared" si="5"/>
        <v>2989.69671515349</v>
      </c>
      <c r="S282" s="67">
        <f t="shared" si="5"/>
        <v>3139.1815509111657</v>
      </c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8"/>
      <c r="AE282" s="8"/>
      <c r="AF282" s="8"/>
      <c r="AG282" s="8"/>
      <c r="AH282" s="8"/>
      <c r="AI282" s="8"/>
      <c r="AJ282" s="8"/>
    </row>
    <row r="283" spans="1:36" x14ac:dyDescent="0.2">
      <c r="A283" s="177" t="s">
        <v>1281</v>
      </c>
      <c r="B283" s="8"/>
      <c r="C283" s="172" t="s">
        <v>1823</v>
      </c>
      <c r="D283" s="43">
        <v>0</v>
      </c>
      <c r="E283" s="43">
        <v>0</v>
      </c>
      <c r="F283" s="43">
        <v>0</v>
      </c>
      <c r="G283" s="44">
        <f t="shared" ref="G283:S283" si="6">MIN(1,1/(1+EXP(-1*(G$4-2030.5))))</f>
        <v>7.5858180021243546E-2</v>
      </c>
      <c r="H283" s="44">
        <f t="shared" si="6"/>
        <v>0.18242552380635635</v>
      </c>
      <c r="I283" s="44">
        <f t="shared" si="6"/>
        <v>0.37754066879814541</v>
      </c>
      <c r="J283" s="44">
        <f t="shared" si="6"/>
        <v>0.62245933120185459</v>
      </c>
      <c r="K283" s="44">
        <f t="shared" si="6"/>
        <v>0.81757447619364365</v>
      </c>
      <c r="L283" s="44">
        <f t="shared" si="6"/>
        <v>0.92414181997875655</v>
      </c>
      <c r="M283" s="44">
        <f t="shared" si="6"/>
        <v>0.97068776924864364</v>
      </c>
      <c r="N283" s="44">
        <f t="shared" si="6"/>
        <v>0.98901305736940681</v>
      </c>
      <c r="O283" s="44">
        <f t="shared" si="6"/>
        <v>0.99592986228410396</v>
      </c>
      <c r="P283" s="44">
        <f t="shared" si="6"/>
        <v>0.99849881774326299</v>
      </c>
      <c r="Q283" s="44">
        <f t="shared" si="6"/>
        <v>0.9994472213630764</v>
      </c>
      <c r="R283" s="44">
        <f t="shared" si="6"/>
        <v>0.9997965730219448</v>
      </c>
      <c r="S283" s="44">
        <f t="shared" si="6"/>
        <v>0.99992515377248947</v>
      </c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8"/>
      <c r="AE283" s="8"/>
      <c r="AF283" s="8"/>
      <c r="AG283" s="8"/>
      <c r="AH283" s="8"/>
      <c r="AI283" s="8"/>
      <c r="AJ283" s="8"/>
    </row>
    <row r="284" spans="1:36" x14ac:dyDescent="0.2">
      <c r="A284" s="177" t="s">
        <v>330</v>
      </c>
      <c r="B284" s="43">
        <v>1.107</v>
      </c>
      <c r="C284" s="172" t="s">
        <v>1824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spans="1:36" x14ac:dyDescent="0.2">
      <c r="A285" s="177" t="s">
        <v>331</v>
      </c>
      <c r="B285" s="43">
        <v>1</v>
      </c>
      <c r="C285" s="172" t="s">
        <v>1825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</row>
    <row r="286" spans="1:36" x14ac:dyDescent="0.2">
      <c r="A286" s="177" t="s">
        <v>332</v>
      </c>
      <c r="B286" s="161">
        <v>400</v>
      </c>
      <c r="C286" s="172" t="s">
        <v>1683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spans="1:36" x14ac:dyDescent="0.2">
      <c r="A287" s="160" t="s">
        <v>1624</v>
      </c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  <c r="AE287" s="160"/>
      <c r="AF287" s="160"/>
      <c r="AG287" s="160"/>
      <c r="AH287" s="160"/>
      <c r="AI287" s="160"/>
      <c r="AJ287" s="160"/>
    </row>
    <row r="288" spans="1:36" x14ac:dyDescent="0.2">
      <c r="A288" s="177" t="s">
        <v>333</v>
      </c>
      <c r="B288" s="161">
        <v>100</v>
      </c>
      <c r="C288" s="172" t="s">
        <v>1776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161">
        <v>0.15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 spans="1:36" x14ac:dyDescent="0.2">
      <c r="A289" s="177" t="s">
        <v>334</v>
      </c>
      <c r="B289" s="161">
        <v>0.6</v>
      </c>
      <c r="C289" s="172" t="s">
        <v>1826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161">
        <v>0.15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</row>
    <row r="290" spans="1:36" x14ac:dyDescent="0.2">
      <c r="A290" s="177" t="s">
        <v>335</v>
      </c>
      <c r="B290" s="161">
        <v>4</v>
      </c>
      <c r="C290" s="172" t="s">
        <v>1777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 spans="1:36" x14ac:dyDescent="0.2">
      <c r="A291" s="177" t="s">
        <v>336</v>
      </c>
      <c r="B291" s="178">
        <v>21</v>
      </c>
      <c r="C291" s="172" t="s">
        <v>1863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</row>
    <row r="292" spans="1:36" x14ac:dyDescent="0.2">
      <c r="A292" s="177" t="s">
        <v>337</v>
      </c>
      <c r="B292" s="161">
        <v>0.15</v>
      </c>
      <c r="C292" s="172" t="s">
        <v>1827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 spans="1:36" x14ac:dyDescent="0.2">
      <c r="A293" s="177" t="s">
        <v>338</v>
      </c>
      <c r="B293" s="161">
        <v>10</v>
      </c>
      <c r="C293" s="172" t="s">
        <v>1828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</row>
    <row r="294" spans="1:36" x14ac:dyDescent="0.2">
      <c r="A294" s="177" t="s">
        <v>339</v>
      </c>
      <c r="B294" s="161">
        <v>1.2</v>
      </c>
      <c r="C294" s="172" t="s">
        <v>1829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 spans="1:36" x14ac:dyDescent="0.2">
      <c r="A295" s="177" t="s">
        <v>340</v>
      </c>
      <c r="B295" s="161">
        <v>0.8</v>
      </c>
      <c r="C295" s="172" t="s">
        <v>1830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</row>
    <row r="296" spans="1:36" x14ac:dyDescent="0.2">
      <c r="A296" s="177" t="s">
        <v>341</v>
      </c>
      <c r="B296" s="161">
        <v>0.1</v>
      </c>
      <c r="C296" s="172" t="s">
        <v>1831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 spans="1:36" x14ac:dyDescent="0.2">
      <c r="A297" s="177" t="s">
        <v>342</v>
      </c>
      <c r="B297" s="161">
        <v>20</v>
      </c>
      <c r="C297" s="172" t="s">
        <v>1832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</row>
    <row r="298" spans="1:36" x14ac:dyDescent="0.2">
      <c r="A298" s="177" t="s">
        <v>343</v>
      </c>
      <c r="B298" s="178">
        <v>200000</v>
      </c>
      <c r="C298" s="172" t="s">
        <v>1684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 spans="1:36" x14ac:dyDescent="0.2">
      <c r="A299" s="177" t="s">
        <v>344</v>
      </c>
      <c r="B299" s="161">
        <v>200000</v>
      </c>
      <c r="C299" s="172" t="s">
        <v>1833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</row>
    <row r="300" spans="1:36" x14ac:dyDescent="0.2">
      <c r="A300" s="177" t="s">
        <v>345</v>
      </c>
      <c r="B300" s="161">
        <v>250000</v>
      </c>
      <c r="C300" s="172" t="s">
        <v>1282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spans="1:36" x14ac:dyDescent="0.2">
      <c r="A301" s="177" t="s">
        <v>346</v>
      </c>
      <c r="B301" s="161">
        <v>2</v>
      </c>
      <c r="C301" s="172" t="s">
        <v>1685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</row>
    <row r="302" spans="1:36" x14ac:dyDescent="0.2">
      <c r="A302" s="177" t="s">
        <v>347</v>
      </c>
      <c r="B302" s="161">
        <v>1</v>
      </c>
      <c r="C302" s="172" t="s">
        <v>1686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 spans="1:36" x14ac:dyDescent="0.2">
      <c r="A303" s="177" t="s">
        <v>348</v>
      </c>
      <c r="B303" s="161">
        <v>0.5</v>
      </c>
      <c r="C303" s="172" t="s">
        <v>1687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</row>
    <row r="304" spans="1:36" x14ac:dyDescent="0.2">
      <c r="A304" s="177" t="s">
        <v>349</v>
      </c>
      <c r="B304" s="161">
        <v>10</v>
      </c>
      <c r="C304" s="172" t="s">
        <v>1688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 spans="1:36" x14ac:dyDescent="0.2">
      <c r="A305" s="177" t="s">
        <v>350</v>
      </c>
      <c r="B305" s="161">
        <v>33</v>
      </c>
      <c r="C305" s="172" t="s">
        <v>1689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</row>
    <row r="306" spans="1:36" x14ac:dyDescent="0.2">
      <c r="A306" s="177" t="s">
        <v>351</v>
      </c>
      <c r="B306" s="161">
        <v>6</v>
      </c>
      <c r="C306" s="172" t="s">
        <v>1690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 spans="1:36" x14ac:dyDescent="0.2">
      <c r="A307" s="177" t="s">
        <v>352</v>
      </c>
      <c r="B307" s="161">
        <v>12900</v>
      </c>
      <c r="C307" s="172" t="s">
        <v>1691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</row>
    <row r="308" spans="1:36" x14ac:dyDescent="0.2">
      <c r="A308" s="168" t="s">
        <v>1625</v>
      </c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 spans="1:36" x14ac:dyDescent="0.2">
      <c r="A309" s="177" t="s">
        <v>1283</v>
      </c>
      <c r="B309" s="37">
        <v>0</v>
      </c>
      <c r="C309" s="172" t="s">
        <v>1692</v>
      </c>
      <c r="D309" s="37">
        <v>0</v>
      </c>
      <c r="E309" s="37">
        <v>0.3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</row>
    <row r="310" spans="1:36" x14ac:dyDescent="0.2">
      <c r="A310" s="18" t="s">
        <v>1626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 spans="1:36" x14ac:dyDescent="0.2">
      <c r="A311" s="177" t="s">
        <v>354</v>
      </c>
      <c r="B311" s="161">
        <v>3640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</row>
    <row r="312" spans="1:36" x14ac:dyDescent="0.2">
      <c r="A312" s="177" t="s">
        <v>355</v>
      </c>
      <c r="B312" s="46">
        <v>8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 spans="1:36" x14ac:dyDescent="0.2">
      <c r="A313" s="177" t="s">
        <v>356</v>
      </c>
      <c r="B313" s="161">
        <v>1000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</row>
    <row r="314" spans="1:36" x14ac:dyDescent="0.2">
      <c r="A314" s="177" t="s">
        <v>357</v>
      </c>
      <c r="B314" s="161">
        <v>2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 spans="1:36" x14ac:dyDescent="0.2">
      <c r="A315" s="177" t="s">
        <v>358</v>
      </c>
      <c r="B315" s="161">
        <v>8000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</row>
    <row r="316" spans="1:36" x14ac:dyDescent="0.2">
      <c r="A316" s="177" t="s">
        <v>867</v>
      </c>
      <c r="B316" s="161">
        <v>2026</v>
      </c>
      <c r="C316" s="172" t="s">
        <v>1693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 spans="1:36" x14ac:dyDescent="0.2">
      <c r="A317" s="177" t="s">
        <v>868</v>
      </c>
      <c r="B317" s="161">
        <v>2026</v>
      </c>
      <c r="C317" s="172" t="s">
        <v>1694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</row>
    <row r="318" spans="1:36" x14ac:dyDescent="0.2">
      <c r="A318" s="177" t="s">
        <v>869</v>
      </c>
      <c r="B318" s="161">
        <v>2026</v>
      </c>
      <c r="C318" s="172" t="s">
        <v>1695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161">
        <v>0.15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 spans="1:36" x14ac:dyDescent="0.2">
      <c r="A319" s="177" t="s">
        <v>870</v>
      </c>
      <c r="B319" s="161">
        <v>2028</v>
      </c>
      <c r="C319" s="179" t="s">
        <v>1696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161">
        <v>0.15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</row>
    <row r="320" spans="1:36" x14ac:dyDescent="0.2">
      <c r="A320" s="177" t="s">
        <v>871</v>
      </c>
      <c r="B320" s="161">
        <v>2028</v>
      </c>
      <c r="C320" s="172" t="s">
        <v>1697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161">
        <v>0.15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 spans="1:36" x14ac:dyDescent="0.2">
      <c r="A321" s="177" t="s">
        <v>872</v>
      </c>
      <c r="B321" s="161">
        <v>2030</v>
      </c>
      <c r="C321" s="179" t="s">
        <v>1698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161">
        <v>0.15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</row>
    <row r="322" spans="1:36" x14ac:dyDescent="0.2">
      <c r="A322" s="177" t="s">
        <v>873</v>
      </c>
      <c r="B322" s="161">
        <v>2029</v>
      </c>
      <c r="C322" s="172" t="s">
        <v>1699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161">
        <v>0.15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 spans="1:36" x14ac:dyDescent="0.2">
      <c r="A323" s="177" t="s">
        <v>874</v>
      </c>
      <c r="B323" s="161">
        <v>2030</v>
      </c>
      <c r="C323" s="172" t="s">
        <v>1700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161">
        <v>0.15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</row>
    <row r="324" spans="1:36" x14ac:dyDescent="0.2">
      <c r="A324" s="18" t="s">
        <v>1627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>
        <v>0.15</v>
      </c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 spans="1:36" x14ac:dyDescent="0.2">
      <c r="A325" s="177" t="s">
        <v>875</v>
      </c>
      <c r="B325" s="46">
        <v>2026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161">
        <v>0.15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</row>
    <row r="326" spans="1:36" x14ac:dyDescent="0.2">
      <c r="A326" s="177" t="s">
        <v>876</v>
      </c>
      <c r="B326" s="46">
        <v>50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161">
        <v>0.15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 spans="1:36" x14ac:dyDescent="0.2">
      <c r="A327" s="177" t="s">
        <v>877</v>
      </c>
      <c r="B327" s="46">
        <v>5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161">
        <v>0.15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</row>
    <row r="328" spans="1:36" x14ac:dyDescent="0.2">
      <c r="A328" s="177" t="s">
        <v>1284</v>
      </c>
      <c r="B328" s="47">
        <f>ROUND($B$326/$B$327*12,0)</f>
        <v>120</v>
      </c>
      <c r="C328" s="8" t="s">
        <v>881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161">
        <v>0.15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 spans="1:36" x14ac:dyDescent="0.2">
      <c r="A329" s="177" t="s">
        <v>1285</v>
      </c>
      <c r="B329" s="70">
        <v>6000000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161">
        <v>0.15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</row>
    <row r="330" spans="1:36" x14ac:dyDescent="0.2">
      <c r="A330" s="177" t="s">
        <v>878</v>
      </c>
      <c r="B330" s="48">
        <v>1.5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161">
        <v>0.15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 spans="1:36" x14ac:dyDescent="0.2">
      <c r="A331" s="177" t="s">
        <v>879</v>
      </c>
      <c r="B331" s="70">
        <v>100000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 spans="1:36" x14ac:dyDescent="0.2">
      <c r="A332" s="177" t="s">
        <v>880</v>
      </c>
      <c r="B332" s="46">
        <v>6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 spans="1:36" x14ac:dyDescent="0.2">
      <c r="A333" s="160" t="s">
        <v>1628</v>
      </c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  <c r="AE333" s="160"/>
      <c r="AF333" s="160"/>
      <c r="AG333" s="160"/>
      <c r="AH333" s="160"/>
      <c r="AI333" s="160"/>
      <c r="AJ333" s="160"/>
    </row>
    <row r="334" spans="1:36" x14ac:dyDescent="0.2">
      <c r="A334" s="177" t="s">
        <v>882</v>
      </c>
      <c r="B334" s="161">
        <v>8760</v>
      </c>
      <c r="C334" s="8" t="s">
        <v>1286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 t="s">
        <v>15</v>
      </c>
      <c r="AJ334" s="8"/>
    </row>
    <row r="335" spans="1:36" x14ac:dyDescent="0.2">
      <c r="A335" s="18" t="s">
        <v>1458</v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 spans="1:36" x14ac:dyDescent="0.2">
      <c r="A336" s="22" t="s">
        <v>118</v>
      </c>
      <c r="B336" s="161">
        <v>140</v>
      </c>
      <c r="C336" s="8" t="s">
        <v>885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161">
        <v>120</v>
      </c>
      <c r="AH336" s="161">
        <v>160</v>
      </c>
      <c r="AI336" s="8" t="s">
        <v>2</v>
      </c>
      <c r="AJ336" s="8"/>
    </row>
    <row r="337" spans="1:36" x14ac:dyDescent="0.2">
      <c r="A337" s="22" t="s">
        <v>883</v>
      </c>
      <c r="B337" s="161">
        <v>160000</v>
      </c>
      <c r="C337" s="8" t="s">
        <v>885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161">
        <v>140000</v>
      </c>
      <c r="AH337" s="161">
        <v>180000</v>
      </c>
      <c r="AI337" s="8" t="s">
        <v>2</v>
      </c>
      <c r="AJ337" s="8"/>
    </row>
    <row r="338" spans="1:36" x14ac:dyDescent="0.2">
      <c r="A338" s="22" t="s">
        <v>1924</v>
      </c>
      <c r="B338" s="161">
        <v>750</v>
      </c>
      <c r="C338" s="8" t="s">
        <v>1925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161">
        <v>680</v>
      </c>
      <c r="AH338" s="161">
        <v>850</v>
      </c>
      <c r="AI338" s="8" t="s">
        <v>2</v>
      </c>
      <c r="AJ338" s="8"/>
    </row>
    <row r="339" spans="1:36" x14ac:dyDescent="0.2">
      <c r="A339" s="22" t="s">
        <v>884</v>
      </c>
      <c r="B339" s="161">
        <v>0.6</v>
      </c>
      <c r="C339" s="8" t="s">
        <v>885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161">
        <v>0.5</v>
      </c>
      <c r="AH339" s="161">
        <v>0.7</v>
      </c>
      <c r="AI339" s="8" t="s">
        <v>2</v>
      </c>
      <c r="AJ339" s="8"/>
    </row>
    <row r="340" spans="1:36" x14ac:dyDescent="0.2">
      <c r="A340" s="18" t="s">
        <v>1459</v>
      </c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 spans="1:36" x14ac:dyDescent="0.2">
      <c r="A341" s="22" t="s">
        <v>120</v>
      </c>
      <c r="B341" s="161">
        <v>8</v>
      </c>
      <c r="C341" s="8" t="s">
        <v>885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161">
        <v>6</v>
      </c>
      <c r="AH341" s="161">
        <v>10</v>
      </c>
      <c r="AI341" s="8" t="s">
        <v>2</v>
      </c>
      <c r="AJ341" s="8"/>
    </row>
    <row r="342" spans="1:36" x14ac:dyDescent="0.2">
      <c r="A342" s="22" t="s">
        <v>886</v>
      </c>
      <c r="B342" s="161">
        <v>3000</v>
      </c>
      <c r="C342" s="8" t="s">
        <v>885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161">
        <v>2400</v>
      </c>
      <c r="AH342" s="161">
        <v>3900</v>
      </c>
      <c r="AI342" s="8" t="s">
        <v>2</v>
      </c>
      <c r="AJ342" s="8"/>
    </row>
    <row r="343" spans="1:36" x14ac:dyDescent="0.2">
      <c r="A343" s="22" t="s">
        <v>887</v>
      </c>
      <c r="B343" s="161">
        <v>75000</v>
      </c>
      <c r="C343" s="8" t="s">
        <v>885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161">
        <v>60000</v>
      </c>
      <c r="AH343" s="161">
        <v>97500</v>
      </c>
      <c r="AI343" s="8" t="s">
        <v>2</v>
      </c>
      <c r="AJ343" s="8"/>
    </row>
    <row r="344" spans="1:36" x14ac:dyDescent="0.2">
      <c r="A344" s="22" t="s">
        <v>888</v>
      </c>
      <c r="B344" s="161">
        <v>150000</v>
      </c>
      <c r="C344" s="8" t="s">
        <v>885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161">
        <v>120000</v>
      </c>
      <c r="AH344" s="161">
        <v>195000</v>
      </c>
      <c r="AI344" s="8" t="s">
        <v>2</v>
      </c>
      <c r="AJ344" s="8"/>
    </row>
    <row r="345" spans="1:36" x14ac:dyDescent="0.2">
      <c r="A345" s="22" t="s">
        <v>121</v>
      </c>
      <c r="B345" s="161">
        <v>65000</v>
      </c>
      <c r="C345" s="8" t="s">
        <v>885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161">
        <v>52000</v>
      </c>
      <c r="AH345" s="161">
        <v>84500</v>
      </c>
      <c r="AI345" s="8" t="s">
        <v>2</v>
      </c>
      <c r="AJ345" s="8"/>
    </row>
    <row r="346" spans="1:36" x14ac:dyDescent="0.2">
      <c r="A346" s="22" t="s">
        <v>122</v>
      </c>
      <c r="B346" s="161">
        <v>40000</v>
      </c>
      <c r="C346" s="8" t="s">
        <v>885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161">
        <v>32000</v>
      </c>
      <c r="AH346" s="161">
        <v>52000</v>
      </c>
      <c r="AI346" s="8" t="s">
        <v>2</v>
      </c>
      <c r="AJ346" s="8"/>
    </row>
    <row r="347" spans="1:36" x14ac:dyDescent="0.2">
      <c r="A347" s="22" t="s">
        <v>123</v>
      </c>
      <c r="B347" s="161">
        <v>25000</v>
      </c>
      <c r="C347" s="8" t="s">
        <v>885</v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161">
        <v>20000</v>
      </c>
      <c r="AH347" s="161">
        <v>32500</v>
      </c>
      <c r="AI347" s="8" t="s">
        <v>2</v>
      </c>
      <c r="AJ347" s="8"/>
    </row>
    <row r="348" spans="1:36" x14ac:dyDescent="0.2">
      <c r="A348" s="22" t="s">
        <v>889</v>
      </c>
      <c r="B348" s="161">
        <v>150000</v>
      </c>
      <c r="C348" s="8" t="s">
        <v>885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161">
        <v>120000</v>
      </c>
      <c r="AH348" s="161">
        <v>195000</v>
      </c>
      <c r="AI348" s="8" t="s">
        <v>2</v>
      </c>
      <c r="AJ348" s="8"/>
    </row>
    <row r="349" spans="1:36" x14ac:dyDescent="0.2">
      <c r="A349" s="22" t="s">
        <v>890</v>
      </c>
      <c r="B349" s="161">
        <v>0.15</v>
      </c>
      <c r="C349" s="8" t="s">
        <v>885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161">
        <v>0.1</v>
      </c>
      <c r="AH349" s="161">
        <v>0.2</v>
      </c>
      <c r="AI349" s="8" t="s">
        <v>2</v>
      </c>
      <c r="AJ349" s="8"/>
    </row>
    <row r="350" spans="1:36" x14ac:dyDescent="0.2">
      <c r="A350" s="22" t="s">
        <v>891</v>
      </c>
      <c r="B350" s="161">
        <v>2000</v>
      </c>
      <c r="C350" s="8" t="s">
        <v>1460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 t="s">
        <v>15</v>
      </c>
      <c r="AJ350" s="8"/>
    </row>
    <row r="351" spans="1:36" x14ac:dyDescent="0.2">
      <c r="A351" s="22" t="s">
        <v>892</v>
      </c>
      <c r="B351" s="161">
        <v>0.2</v>
      </c>
      <c r="C351" s="8" t="s">
        <v>885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161">
        <v>0.12</v>
      </c>
      <c r="AH351" s="161">
        <v>0.3</v>
      </c>
      <c r="AI351" s="8" t="s">
        <v>2</v>
      </c>
      <c r="AJ351" s="8"/>
    </row>
    <row r="352" spans="1:36" x14ac:dyDescent="0.2">
      <c r="A352" s="22" t="s">
        <v>893</v>
      </c>
      <c r="B352" s="161">
        <v>0.09</v>
      </c>
      <c r="C352" s="8" t="s">
        <v>885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161">
        <v>0.05</v>
      </c>
      <c r="AH352" s="161">
        <v>0.12</v>
      </c>
      <c r="AI352" s="8" t="s">
        <v>2</v>
      </c>
      <c r="AJ352" s="8"/>
    </row>
    <row r="353" spans="1:36" x14ac:dyDescent="0.2">
      <c r="A353" s="22" t="s">
        <v>894</v>
      </c>
      <c r="B353" s="161">
        <v>15.16</v>
      </c>
      <c r="C353" s="8" t="s">
        <v>885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161">
        <v>9.85</v>
      </c>
      <c r="AH353" s="161">
        <v>22.74</v>
      </c>
      <c r="AI353" s="8" t="s">
        <v>2</v>
      </c>
      <c r="AJ353" s="8"/>
    </row>
    <row r="354" spans="1:36" x14ac:dyDescent="0.2">
      <c r="A354" s="22" t="s">
        <v>895</v>
      </c>
      <c r="B354" s="161">
        <v>0.4</v>
      </c>
      <c r="C354" s="8" t="s">
        <v>885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161">
        <v>0.2</v>
      </c>
      <c r="AH354" s="161">
        <v>0.6</v>
      </c>
      <c r="AI354" s="8" t="s">
        <v>2</v>
      </c>
      <c r="AJ354" s="8"/>
    </row>
    <row r="355" spans="1:36" x14ac:dyDescent="0.2">
      <c r="A355" s="18" t="s">
        <v>1461</v>
      </c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 spans="1:36" x14ac:dyDescent="0.2">
      <c r="A356" s="22" t="s">
        <v>896</v>
      </c>
      <c r="B356" s="161">
        <v>0.05</v>
      </c>
      <c r="C356" s="8" t="s">
        <v>885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161">
        <v>0.04</v>
      </c>
      <c r="AH356" s="161">
        <v>0.06</v>
      </c>
      <c r="AI356" s="8" t="s">
        <v>2</v>
      </c>
      <c r="AJ356" s="8"/>
    </row>
    <row r="357" spans="1:36" x14ac:dyDescent="0.2">
      <c r="A357" s="22" t="s">
        <v>897</v>
      </c>
      <c r="B357" s="161">
        <v>0.5</v>
      </c>
      <c r="C357" s="8" t="s">
        <v>885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161">
        <v>0.4</v>
      </c>
      <c r="AH357" s="161">
        <v>0.6</v>
      </c>
      <c r="AI357" s="8" t="s">
        <v>2</v>
      </c>
      <c r="AJ357" s="8"/>
    </row>
    <row r="358" spans="1:36" x14ac:dyDescent="0.2">
      <c r="A358" s="22" t="s">
        <v>898</v>
      </c>
      <c r="B358" s="161">
        <v>50000</v>
      </c>
      <c r="C358" s="8" t="s">
        <v>885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161">
        <v>40000</v>
      </c>
      <c r="AH358" s="161">
        <v>65000</v>
      </c>
      <c r="AI358" s="8" t="s">
        <v>2</v>
      </c>
      <c r="AJ358" s="8"/>
    </row>
    <row r="359" spans="1:36" x14ac:dyDescent="0.2">
      <c r="A359" s="22" t="s">
        <v>899</v>
      </c>
      <c r="B359" s="161">
        <v>50000</v>
      </c>
      <c r="C359" s="8" t="s">
        <v>885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161">
        <v>40000</v>
      </c>
      <c r="AH359" s="161">
        <v>65000</v>
      </c>
      <c r="AI359" s="8" t="s">
        <v>2</v>
      </c>
      <c r="AJ359" s="8"/>
    </row>
    <row r="360" spans="1:36" x14ac:dyDescent="0.2">
      <c r="A360" s="22" t="s">
        <v>900</v>
      </c>
      <c r="B360" s="161">
        <v>0.02</v>
      </c>
      <c r="C360" s="8" t="s">
        <v>885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161">
        <v>1.4999999999999999E-2</v>
      </c>
      <c r="AH360" s="161">
        <v>0.03</v>
      </c>
      <c r="AI360" s="8" t="s">
        <v>2</v>
      </c>
      <c r="AJ360" s="8"/>
    </row>
    <row r="361" spans="1:36" x14ac:dyDescent="0.2">
      <c r="A361" s="22" t="s">
        <v>901</v>
      </c>
      <c r="B361" s="161">
        <v>0.01</v>
      </c>
      <c r="C361" s="8" t="s">
        <v>885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161">
        <v>8.0000000000000002E-3</v>
      </c>
      <c r="AH361" s="161">
        <v>1.4999999999999999E-2</v>
      </c>
      <c r="AI361" s="8" t="s">
        <v>2</v>
      </c>
      <c r="AJ361" s="8"/>
    </row>
    <row r="362" spans="1:36" x14ac:dyDescent="0.2">
      <c r="A362" s="22" t="s">
        <v>902</v>
      </c>
      <c r="B362" s="161">
        <v>0.03</v>
      </c>
      <c r="C362" s="8" t="s">
        <v>885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161">
        <v>0.02</v>
      </c>
      <c r="AH362" s="161">
        <v>4.4999999999999998E-2</v>
      </c>
      <c r="AI362" s="8" t="s">
        <v>2</v>
      </c>
      <c r="AJ362" s="8"/>
    </row>
    <row r="363" spans="1:36" x14ac:dyDescent="0.2">
      <c r="A363" s="18" t="s">
        <v>1462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 spans="1:36" x14ac:dyDescent="0.2">
      <c r="A364" s="22" t="s">
        <v>903</v>
      </c>
      <c r="B364" s="161">
        <v>20000000</v>
      </c>
      <c r="C364" s="8" t="s">
        <v>885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161">
        <v>15000000</v>
      </c>
      <c r="AH364" s="161">
        <v>26000000</v>
      </c>
      <c r="AI364" s="8" t="s">
        <v>2</v>
      </c>
      <c r="AJ364" s="8"/>
    </row>
    <row r="365" spans="1:36" x14ac:dyDescent="0.2">
      <c r="A365" s="18" t="s">
        <v>1463</v>
      </c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 spans="1:36" x14ac:dyDescent="0.2">
      <c r="A366" s="22" t="s">
        <v>904</v>
      </c>
      <c r="B366" s="161">
        <v>30</v>
      </c>
      <c r="C366" s="8" t="s">
        <v>885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161">
        <v>20</v>
      </c>
      <c r="AH366" s="161">
        <v>45</v>
      </c>
      <c r="AI366" s="8" t="s">
        <v>2</v>
      </c>
      <c r="AJ366" s="8" t="s">
        <v>1708</v>
      </c>
    </row>
    <row r="367" spans="1:36" x14ac:dyDescent="0.2">
      <c r="A367" s="22" t="s">
        <v>905</v>
      </c>
      <c r="B367" s="161">
        <v>0.01</v>
      </c>
      <c r="C367" s="8" t="s">
        <v>885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161">
        <v>8.0000000000000002E-3</v>
      </c>
      <c r="AH367" s="161">
        <v>1.4999999999999999E-2</v>
      </c>
      <c r="AI367" s="8" t="s">
        <v>2</v>
      </c>
      <c r="AJ367" s="8" t="s">
        <v>1708</v>
      </c>
    </row>
    <row r="368" spans="1:36" x14ac:dyDescent="0.2">
      <c r="A368" s="22" t="s">
        <v>906</v>
      </c>
      <c r="B368" s="161">
        <v>0.03</v>
      </c>
      <c r="C368" s="8" t="s">
        <v>885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161">
        <v>0.02</v>
      </c>
      <c r="AH368" s="161">
        <v>4.4999999999999998E-2</v>
      </c>
      <c r="AI368" s="8" t="s">
        <v>2</v>
      </c>
      <c r="AJ368" s="8" t="s">
        <v>1708</v>
      </c>
    </row>
    <row r="369" spans="1:36" x14ac:dyDescent="0.2">
      <c r="A369" s="22" t="s">
        <v>907</v>
      </c>
      <c r="B369" s="161">
        <v>277778</v>
      </c>
      <c r="C369" s="8" t="s">
        <v>885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161">
        <v>138889</v>
      </c>
      <c r="AH369" s="161">
        <v>416667</v>
      </c>
      <c r="AI369" s="8" t="s">
        <v>2</v>
      </c>
      <c r="AJ369" s="8"/>
    </row>
    <row r="370" spans="1:36" x14ac:dyDescent="0.2">
      <c r="A370" s="22" t="s">
        <v>908</v>
      </c>
      <c r="B370" s="161">
        <v>0.09</v>
      </c>
      <c r="C370" s="8" t="s">
        <v>885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161">
        <v>0.05</v>
      </c>
      <c r="AH370" s="161">
        <v>0.13</v>
      </c>
      <c r="AI370" s="8" t="s">
        <v>2</v>
      </c>
      <c r="AJ370" s="8"/>
    </row>
    <row r="371" spans="1:36" x14ac:dyDescent="0.2">
      <c r="A371" s="18" t="s">
        <v>1464</v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 spans="1:36" x14ac:dyDescent="0.2">
      <c r="A372" s="22" t="s">
        <v>909</v>
      </c>
      <c r="B372" s="161">
        <v>0.3</v>
      </c>
      <c r="C372" s="8" t="s">
        <v>919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161">
        <v>0.2</v>
      </c>
      <c r="AH372" s="161">
        <v>0.4</v>
      </c>
      <c r="AI372" s="8" t="s">
        <v>2</v>
      </c>
      <c r="AJ372" s="8" t="s">
        <v>1708</v>
      </c>
    </row>
    <row r="373" spans="1:36" x14ac:dyDescent="0.2">
      <c r="A373" s="22" t="s">
        <v>910</v>
      </c>
      <c r="B373" s="161">
        <v>0.08</v>
      </c>
      <c r="C373" s="8" t="s">
        <v>919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161">
        <v>0.05</v>
      </c>
      <c r="AH373" s="161">
        <v>0.12</v>
      </c>
      <c r="AI373" s="8" t="s">
        <v>2</v>
      </c>
      <c r="AJ373" s="8" t="s">
        <v>1708</v>
      </c>
    </row>
    <row r="374" spans="1:36" x14ac:dyDescent="0.2">
      <c r="A374" s="22" t="s">
        <v>911</v>
      </c>
      <c r="B374" s="161">
        <v>-0.15</v>
      </c>
      <c r="C374" s="8" t="s">
        <v>919</v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161">
        <v>-0.2</v>
      </c>
      <c r="AH374" s="161">
        <v>-0.1</v>
      </c>
      <c r="AI374" s="8" t="s">
        <v>2</v>
      </c>
      <c r="AJ374" s="8" t="s">
        <v>1708</v>
      </c>
    </row>
    <row r="375" spans="1:36" x14ac:dyDescent="0.2">
      <c r="A375" s="22" t="s">
        <v>912</v>
      </c>
      <c r="B375" s="161">
        <v>2000</v>
      </c>
      <c r="C375" s="8" t="s">
        <v>919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161">
        <v>1000</v>
      </c>
      <c r="AH375" s="161">
        <v>3500</v>
      </c>
      <c r="AI375" s="8" t="s">
        <v>2</v>
      </c>
      <c r="AJ375" s="8"/>
    </row>
    <row r="376" spans="1:36" x14ac:dyDescent="0.2">
      <c r="A376" s="22" t="s">
        <v>913</v>
      </c>
      <c r="B376" s="161">
        <v>0.15</v>
      </c>
      <c r="C376" s="8" t="s">
        <v>919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161">
        <v>0.1</v>
      </c>
      <c r="AH376" s="161">
        <v>0.2</v>
      </c>
      <c r="AI376" s="8" t="s">
        <v>2</v>
      </c>
      <c r="AJ376" s="8" t="s">
        <v>1708</v>
      </c>
    </row>
    <row r="377" spans="1:36" x14ac:dyDescent="0.2">
      <c r="A377" s="22" t="s">
        <v>914</v>
      </c>
      <c r="B377" s="161">
        <v>0.05</v>
      </c>
      <c r="C377" s="8" t="s">
        <v>919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161">
        <v>0.03</v>
      </c>
      <c r="AH377" s="161">
        <v>0.08</v>
      </c>
      <c r="AI377" s="8" t="s">
        <v>2</v>
      </c>
      <c r="AJ377" s="8" t="s">
        <v>1708</v>
      </c>
    </row>
    <row r="378" spans="1:36" x14ac:dyDescent="0.2">
      <c r="A378" s="22" t="s">
        <v>915</v>
      </c>
      <c r="B378" s="161">
        <v>-0.1</v>
      </c>
      <c r="C378" s="8" t="s">
        <v>919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161">
        <v>-0.15</v>
      </c>
      <c r="AH378" s="161">
        <v>-0.06</v>
      </c>
      <c r="AI378" s="8" t="s">
        <v>2</v>
      </c>
      <c r="AJ378" s="8" t="s">
        <v>1708</v>
      </c>
    </row>
    <row r="379" spans="1:36" x14ac:dyDescent="0.2">
      <c r="A379" s="22" t="s">
        <v>916</v>
      </c>
      <c r="B379" s="161">
        <v>0.1</v>
      </c>
      <c r="C379" s="8" t="s">
        <v>1287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161">
        <v>0.06</v>
      </c>
      <c r="AH379" s="161">
        <v>0.15</v>
      </c>
      <c r="AI379" s="8" t="s">
        <v>2</v>
      </c>
      <c r="AJ379" s="8" t="s">
        <v>1708</v>
      </c>
    </row>
    <row r="380" spans="1:36" x14ac:dyDescent="0.2">
      <c r="A380" s="22" t="s">
        <v>917</v>
      </c>
      <c r="B380" s="161">
        <v>0.05</v>
      </c>
      <c r="C380" s="8" t="s">
        <v>1287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161">
        <v>0.03</v>
      </c>
      <c r="AH380" s="161">
        <v>0.08</v>
      </c>
      <c r="AI380" s="8" t="s">
        <v>2</v>
      </c>
      <c r="AJ380" s="8" t="s">
        <v>1708</v>
      </c>
    </row>
    <row r="381" spans="1:36" x14ac:dyDescent="0.2">
      <c r="A381" s="22" t="s">
        <v>918</v>
      </c>
      <c r="B381" s="161">
        <v>-0.1</v>
      </c>
      <c r="C381" s="8" t="s">
        <v>1287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161">
        <v>-0.15</v>
      </c>
      <c r="AH381" s="161">
        <v>-0.06</v>
      </c>
      <c r="AI381" s="8" t="s">
        <v>2</v>
      </c>
      <c r="AJ381" s="8" t="s">
        <v>1708</v>
      </c>
    </row>
    <row r="382" spans="1:36" x14ac:dyDescent="0.2">
      <c r="A382" s="18" t="s">
        <v>1465</v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 spans="1:36" x14ac:dyDescent="0.2">
      <c r="A383" s="22" t="s">
        <v>920</v>
      </c>
      <c r="B383" s="161">
        <v>1</v>
      </c>
      <c r="C383" s="8" t="s">
        <v>885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161">
        <v>0</v>
      </c>
      <c r="AH383" s="161">
        <v>1</v>
      </c>
      <c r="AI383" s="8" t="s">
        <v>9</v>
      </c>
      <c r="AJ383" s="8" t="s">
        <v>921</v>
      </c>
    </row>
    <row r="384" spans="1:36" x14ac:dyDescent="0.2">
      <c r="A384" s="18" t="s">
        <v>1288</v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 spans="1:36" x14ac:dyDescent="0.2">
      <c r="A385" s="22" t="s">
        <v>922</v>
      </c>
      <c r="B385" s="161">
        <v>1393615</v>
      </c>
      <c r="C385" s="8" t="s">
        <v>1289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161">
        <v>870000</v>
      </c>
      <c r="AH385" s="161">
        <v>1913000</v>
      </c>
      <c r="AI385" s="8" t="s">
        <v>2</v>
      </c>
      <c r="AJ385" s="8"/>
    </row>
    <row r="386" spans="1:36" x14ac:dyDescent="0.2">
      <c r="A386" s="22" t="s">
        <v>923</v>
      </c>
      <c r="B386" s="161">
        <v>100000</v>
      </c>
      <c r="C386" s="8" t="s">
        <v>929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161">
        <v>100000</v>
      </c>
      <c r="AH386" s="161">
        <v>100000</v>
      </c>
      <c r="AI386" s="8" t="s">
        <v>15</v>
      </c>
      <c r="AJ386" s="8"/>
    </row>
    <row r="387" spans="1:36" x14ac:dyDescent="0.2">
      <c r="A387" s="22" t="s">
        <v>924</v>
      </c>
      <c r="B387" s="161">
        <v>8</v>
      </c>
      <c r="C387" s="8" t="s">
        <v>928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161">
        <v>5</v>
      </c>
      <c r="AH387" s="161">
        <v>7</v>
      </c>
      <c r="AI387" s="8" t="s">
        <v>2</v>
      </c>
      <c r="AJ387" s="8"/>
    </row>
    <row r="388" spans="1:36" x14ac:dyDescent="0.2">
      <c r="A388" s="22" t="s">
        <v>925</v>
      </c>
      <c r="B388" s="161">
        <v>437.8</v>
      </c>
      <c r="C388" s="8" t="s">
        <v>928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161">
        <v>343</v>
      </c>
      <c r="AH388" s="161">
        <v>500.3</v>
      </c>
      <c r="AI388" s="8" t="s">
        <v>2</v>
      </c>
      <c r="AJ388" s="8"/>
    </row>
    <row r="389" spans="1:36" x14ac:dyDescent="0.2">
      <c r="A389" s="22" t="s">
        <v>926</v>
      </c>
      <c r="B389" s="161">
        <v>3</v>
      </c>
      <c r="C389" s="8" t="s">
        <v>928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161">
        <v>2</v>
      </c>
      <c r="AH389" s="161">
        <v>4</v>
      </c>
      <c r="AI389" s="8" t="s">
        <v>2</v>
      </c>
      <c r="AJ389" s="8"/>
    </row>
    <row r="390" spans="1:36" x14ac:dyDescent="0.2">
      <c r="A390" s="22" t="s">
        <v>927</v>
      </c>
      <c r="B390" s="161">
        <v>0.33</v>
      </c>
      <c r="C390" s="8" t="s">
        <v>930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161">
        <v>0.27</v>
      </c>
      <c r="AH390" s="161">
        <v>0.4</v>
      </c>
      <c r="AI390" s="8" t="s">
        <v>2</v>
      </c>
      <c r="AJ390" s="8"/>
    </row>
    <row r="391" spans="1:36" x14ac:dyDescent="0.2">
      <c r="A391" s="18" t="s">
        <v>1290</v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 spans="1:36" x14ac:dyDescent="0.2">
      <c r="A392" s="22" t="s">
        <v>933</v>
      </c>
      <c r="B392" s="8"/>
      <c r="C392" s="8" t="s">
        <v>885</v>
      </c>
      <c r="D392" s="161">
        <v>2</v>
      </c>
      <c r="E392" s="175">
        <f t="shared" ref="E392:S392" si="7">$D$392*(1+$B$411)^E$2</f>
        <v>1.9</v>
      </c>
      <c r="F392" s="175">
        <f t="shared" si="7"/>
        <v>1.8049999999999999</v>
      </c>
      <c r="G392" s="175">
        <f t="shared" si="7"/>
        <v>1.7147499999999998</v>
      </c>
      <c r="H392" s="175">
        <f t="shared" si="7"/>
        <v>1.6290125</v>
      </c>
      <c r="I392" s="175">
        <f t="shared" si="7"/>
        <v>1.547561875</v>
      </c>
      <c r="J392" s="175">
        <f t="shared" si="7"/>
        <v>1.4701837812499998</v>
      </c>
      <c r="K392" s="175">
        <f t="shared" si="7"/>
        <v>1.3966745921874999</v>
      </c>
      <c r="L392" s="175">
        <f t="shared" si="7"/>
        <v>1.3268408625781249</v>
      </c>
      <c r="M392" s="175">
        <f t="shared" si="7"/>
        <v>1.2604988194492186</v>
      </c>
      <c r="N392" s="175">
        <f t="shared" si="7"/>
        <v>1.1974738784767578</v>
      </c>
      <c r="O392" s="175">
        <f t="shared" si="7"/>
        <v>1.1376001845529198</v>
      </c>
      <c r="P392" s="175">
        <f t="shared" si="7"/>
        <v>1.0807201753252738</v>
      </c>
      <c r="Q392" s="175">
        <f t="shared" si="7"/>
        <v>1.0266841665590101</v>
      </c>
      <c r="R392" s="175">
        <f t="shared" si="7"/>
        <v>0.97534995823105952</v>
      </c>
      <c r="S392" s="175">
        <f t="shared" si="7"/>
        <v>0.92658246031950664</v>
      </c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8"/>
      <c r="AE392" s="8"/>
      <c r="AF392" s="8"/>
      <c r="AG392" s="8"/>
      <c r="AH392" s="8"/>
      <c r="AI392" s="8" t="s">
        <v>1466</v>
      </c>
      <c r="AJ392" s="8" t="s">
        <v>1466</v>
      </c>
    </row>
    <row r="393" spans="1:36" x14ac:dyDescent="0.2">
      <c r="A393" s="22" t="s">
        <v>934</v>
      </c>
      <c r="B393" s="8"/>
      <c r="C393" s="8" t="s">
        <v>885</v>
      </c>
      <c r="D393" s="161">
        <v>0.4</v>
      </c>
      <c r="E393" s="175">
        <f t="shared" ref="E393:S393" si="8">MIN(0.85,$D$393+0.09*E$2)</f>
        <v>0.49</v>
      </c>
      <c r="F393" s="175">
        <f t="shared" si="8"/>
        <v>0.58000000000000007</v>
      </c>
      <c r="G393" s="175">
        <f t="shared" si="8"/>
        <v>0.67</v>
      </c>
      <c r="H393" s="175">
        <f t="shared" si="8"/>
        <v>0.76</v>
      </c>
      <c r="I393" s="175">
        <f t="shared" si="8"/>
        <v>0.85</v>
      </c>
      <c r="J393" s="175">
        <f t="shared" si="8"/>
        <v>0.85</v>
      </c>
      <c r="K393" s="175">
        <f t="shared" si="8"/>
        <v>0.85</v>
      </c>
      <c r="L393" s="175">
        <f t="shared" si="8"/>
        <v>0.85</v>
      </c>
      <c r="M393" s="175">
        <f t="shared" si="8"/>
        <v>0.85</v>
      </c>
      <c r="N393" s="175">
        <f t="shared" si="8"/>
        <v>0.85</v>
      </c>
      <c r="O393" s="175">
        <f t="shared" si="8"/>
        <v>0.85</v>
      </c>
      <c r="P393" s="175">
        <f t="shared" si="8"/>
        <v>0.85</v>
      </c>
      <c r="Q393" s="175">
        <f t="shared" si="8"/>
        <v>0.85</v>
      </c>
      <c r="R393" s="175">
        <f t="shared" si="8"/>
        <v>0.85</v>
      </c>
      <c r="S393" s="175">
        <f t="shared" si="8"/>
        <v>0.85</v>
      </c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8"/>
      <c r="AE393" s="8"/>
      <c r="AF393" s="8"/>
      <c r="AG393" s="8"/>
      <c r="AH393" s="8"/>
      <c r="AI393" s="8" t="s">
        <v>1466</v>
      </c>
      <c r="AJ393" s="8" t="s">
        <v>1466</v>
      </c>
    </row>
    <row r="394" spans="1:36" x14ac:dyDescent="0.2">
      <c r="A394" s="22" t="s">
        <v>936</v>
      </c>
      <c r="B394" s="8"/>
      <c r="C394" s="8" t="s">
        <v>885</v>
      </c>
      <c r="D394" s="161">
        <v>0.06</v>
      </c>
      <c r="E394" s="175">
        <f>$D$394*(1+$B$412)^E$2</f>
        <v>6.3E-2</v>
      </c>
      <c r="F394" s="161">
        <v>6.615E-2</v>
      </c>
      <c r="G394" s="161">
        <v>6.9458000000000006E-2</v>
      </c>
      <c r="H394" s="161">
        <v>7.2929999999999995E-2</v>
      </c>
      <c r="I394" s="161">
        <v>7.6577000000000006E-2</v>
      </c>
      <c r="J394" s="161">
        <v>8.0406000000000005E-2</v>
      </c>
      <c r="K394" s="161">
        <v>8.4426000000000001E-2</v>
      </c>
      <c r="L394" s="161">
        <v>8.8647000000000004E-2</v>
      </c>
      <c r="M394" s="161">
        <v>9.3079999999999996E-2</v>
      </c>
      <c r="N394" s="161">
        <v>9.7734000000000001E-2</v>
      </c>
      <c r="O394" s="161">
        <v>0.10262</v>
      </c>
      <c r="P394" s="161">
        <v>0.107751</v>
      </c>
      <c r="Q394" s="161">
        <v>0.113139</v>
      </c>
      <c r="R394" s="161">
        <v>0.118796</v>
      </c>
      <c r="S394" s="161">
        <v>0.124736</v>
      </c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8"/>
      <c r="AE394" s="8"/>
      <c r="AF394" s="8"/>
      <c r="AG394" s="8"/>
      <c r="AH394" s="8"/>
      <c r="AI394" s="8" t="s">
        <v>1466</v>
      </c>
      <c r="AJ394" s="8" t="s">
        <v>1466</v>
      </c>
    </row>
    <row r="395" spans="1:36" x14ac:dyDescent="0.2">
      <c r="A395" s="22" t="s">
        <v>1864</v>
      </c>
      <c r="B395" s="161">
        <v>3</v>
      </c>
      <c r="C395" s="8" t="s">
        <v>1834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</row>
    <row r="396" spans="1:36" x14ac:dyDescent="0.2">
      <c r="A396" s="18" t="s">
        <v>1291</v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 spans="1:36" x14ac:dyDescent="0.2">
      <c r="A397" s="22" t="s">
        <v>1292</v>
      </c>
      <c r="B397" s="49">
        <v>0.5</v>
      </c>
      <c r="C397" s="8" t="s">
        <v>1835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</row>
    <row r="398" spans="1:36" x14ac:dyDescent="0.2">
      <c r="A398" s="18" t="s">
        <v>1467</v>
      </c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 spans="1:36" x14ac:dyDescent="0.2">
      <c r="A399" s="170" t="s">
        <v>2121</v>
      </c>
      <c r="B399" s="48"/>
      <c r="C399" s="180" t="s">
        <v>1836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</row>
    <row r="400" spans="1:36" x14ac:dyDescent="0.2">
      <c r="A400" s="170" t="s">
        <v>2122</v>
      </c>
      <c r="B400" s="70"/>
      <c r="C400" s="8" t="s">
        <v>1837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</row>
    <row r="401" spans="1:36" x14ac:dyDescent="0.2">
      <c r="A401" s="170" t="s">
        <v>2123</v>
      </c>
      <c r="B401" s="37"/>
      <c r="C401" s="8" t="s">
        <v>1838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</row>
    <row r="402" spans="1:36" x14ac:dyDescent="0.2">
      <c r="A402" s="170" t="s">
        <v>2124</v>
      </c>
      <c r="B402" s="49"/>
      <c r="C402" s="8" t="s">
        <v>1839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</row>
    <row r="403" spans="1:36" x14ac:dyDescent="0.2">
      <c r="A403" s="170" t="s">
        <v>2125</v>
      </c>
      <c r="B403" s="50"/>
      <c r="C403" s="8" t="s">
        <v>1840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</row>
    <row r="404" spans="1:36" x14ac:dyDescent="0.2">
      <c r="A404" s="170" t="s">
        <v>2126</v>
      </c>
      <c r="B404" s="48"/>
      <c r="C404" s="8" t="s">
        <v>1841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</row>
    <row r="405" spans="1:36" x14ac:dyDescent="0.2">
      <c r="A405" s="22" t="s">
        <v>1052</v>
      </c>
      <c r="B405" s="50">
        <v>235</v>
      </c>
      <c r="C405" s="8" t="s">
        <v>1791</v>
      </c>
      <c r="D405" s="161">
        <v>0.1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</row>
    <row r="406" spans="1:36" x14ac:dyDescent="0.2">
      <c r="A406" s="22" t="s">
        <v>1068</v>
      </c>
      <c r="B406" s="46">
        <v>2030</v>
      </c>
      <c r="C406" s="8" t="s">
        <v>1842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161">
        <v>0.15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</row>
    <row r="407" spans="1:36" x14ac:dyDescent="0.2">
      <c r="A407" s="22" t="s">
        <v>1069</v>
      </c>
      <c r="B407" s="37">
        <v>0.5</v>
      </c>
      <c r="C407" s="8" t="s">
        <v>1843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161">
        <v>0.15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</row>
    <row r="408" spans="1:36" x14ac:dyDescent="0.2">
      <c r="A408" s="22" t="s">
        <v>1070</v>
      </c>
      <c r="B408" s="37">
        <v>0.1</v>
      </c>
      <c r="C408" s="8" t="s">
        <v>1844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161">
        <v>0.15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</row>
    <row r="409" spans="1:36" x14ac:dyDescent="0.2">
      <c r="A409" s="22" t="s">
        <v>1071</v>
      </c>
      <c r="B409" s="37">
        <v>0.35</v>
      </c>
      <c r="C409" s="8" t="s">
        <v>1845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161">
        <v>0.15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</row>
    <row r="410" spans="1:36" x14ac:dyDescent="0.2">
      <c r="A410" s="18" t="s">
        <v>1293</v>
      </c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>
        <v>0.15</v>
      </c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 spans="1:36" x14ac:dyDescent="0.2">
      <c r="A411" s="22" t="s">
        <v>1074</v>
      </c>
      <c r="B411" s="37">
        <v>-0.05</v>
      </c>
      <c r="C411" s="8" t="s">
        <v>1846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161">
        <v>0.15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</row>
    <row r="412" spans="1:36" x14ac:dyDescent="0.2">
      <c r="A412" s="22" t="s">
        <v>1075</v>
      </c>
      <c r="B412" s="37">
        <v>0.05</v>
      </c>
      <c r="C412" s="8" t="s">
        <v>1847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161">
        <v>0.15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</row>
    <row r="413" spans="1:36" x14ac:dyDescent="0.2">
      <c r="A413" s="22" t="s">
        <v>1076</v>
      </c>
      <c r="B413" s="37">
        <v>4.7E-2</v>
      </c>
      <c r="C413" s="8" t="s">
        <v>1848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161">
        <v>0.15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</row>
    <row r="414" spans="1:36" x14ac:dyDescent="0.2">
      <c r="A414" s="22" t="s">
        <v>1294</v>
      </c>
      <c r="B414" s="46">
        <v>10</v>
      </c>
      <c r="C414" s="8" t="s">
        <v>1701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161">
        <v>0.15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46">
        <v>8</v>
      </c>
      <c r="AH414" s="46">
        <v>15</v>
      </c>
      <c r="AI414" s="8" t="s">
        <v>2</v>
      </c>
      <c r="AJ414" s="8" t="s">
        <v>1702</v>
      </c>
    </row>
    <row r="415" spans="1:36" x14ac:dyDescent="0.2">
      <c r="A415" s="18" t="s">
        <v>1295</v>
      </c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>
        <v>0.15</v>
      </c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 spans="1:36" x14ac:dyDescent="0.2">
      <c r="A416" s="22" t="s">
        <v>1079</v>
      </c>
      <c r="B416" s="37">
        <v>3</v>
      </c>
      <c r="C416" s="8" t="s">
        <v>1849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161">
        <v>0.15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</row>
    <row r="417" spans="1:36" x14ac:dyDescent="0.2">
      <c r="A417" s="22" t="s">
        <v>1080</v>
      </c>
      <c r="B417" s="37">
        <v>0.15</v>
      </c>
      <c r="C417" s="8" t="s">
        <v>1850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161">
        <v>0.15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</row>
    <row r="418" spans="1:36" x14ac:dyDescent="0.2">
      <c r="A418" s="177" t="s">
        <v>1296</v>
      </c>
      <c r="B418" s="43">
        <v>2.5</v>
      </c>
      <c r="C418" s="172" t="s">
        <v>1703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</row>
    <row r="419" spans="1:36" x14ac:dyDescent="0.2">
      <c r="A419" s="177" t="s">
        <v>1165</v>
      </c>
      <c r="B419" s="46">
        <v>7</v>
      </c>
      <c r="C419" s="172" t="s">
        <v>1704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</row>
    <row r="420" spans="1:36" x14ac:dyDescent="0.2">
      <c r="A420" s="18" t="s">
        <v>1297</v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>
        <v>0.15</v>
      </c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 spans="1:36" x14ac:dyDescent="0.2">
      <c r="A421" s="22" t="s">
        <v>1095</v>
      </c>
      <c r="B421" s="37">
        <v>0.08</v>
      </c>
      <c r="C421" s="8" t="s">
        <v>1851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161">
        <v>0.15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</row>
    <row r="422" spans="1:36" x14ac:dyDescent="0.2">
      <c r="A422" s="22" t="s">
        <v>1096</v>
      </c>
      <c r="B422" s="37">
        <v>-0.01</v>
      </c>
      <c r="C422" s="8" t="s">
        <v>1852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161">
        <v>0.15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</row>
    <row r="423" spans="1:36" x14ac:dyDescent="0.2">
      <c r="A423" s="22" t="s">
        <v>1097</v>
      </c>
      <c r="B423" s="37">
        <v>0.15</v>
      </c>
      <c r="C423" s="175" t="s">
        <v>1853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</row>
    <row r="424" spans="1:36" x14ac:dyDescent="0.2">
      <c r="A424" s="22" t="s">
        <v>1468</v>
      </c>
      <c r="B424" s="46">
        <v>2028</v>
      </c>
      <c r="C424" s="8" t="s">
        <v>1854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</row>
    <row r="425" spans="1:36" x14ac:dyDescent="0.2">
      <c r="A425" s="18" t="s">
        <v>1469</v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 spans="1:36" x14ac:dyDescent="0.2">
      <c r="A426" s="177" t="s">
        <v>1098</v>
      </c>
      <c r="B426" s="48">
        <v>0.6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</row>
    <row r="427" spans="1:36" x14ac:dyDescent="0.2">
      <c r="A427" s="168" t="s">
        <v>1629</v>
      </c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 spans="1:36" x14ac:dyDescent="0.2">
      <c r="A428" s="22" t="s">
        <v>1132</v>
      </c>
      <c r="B428" s="70">
        <v>70000</v>
      </c>
      <c r="C428" s="8" t="s">
        <v>1705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181">
        <v>50000</v>
      </c>
      <c r="AH428" s="181">
        <v>90000</v>
      </c>
      <c r="AI428" s="163" t="s">
        <v>2</v>
      </c>
      <c r="AJ428" s="163" t="s">
        <v>1138</v>
      </c>
    </row>
    <row r="429" spans="1:36" x14ac:dyDescent="0.2">
      <c r="A429" s="22" t="s">
        <v>1133</v>
      </c>
      <c r="B429" s="37">
        <v>4.58E-2</v>
      </c>
      <c r="C429" s="8" t="s">
        <v>1855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54">
        <v>3.5000000000000003E-2</v>
      </c>
      <c r="AH429" s="54">
        <v>7.0000000000000007E-2</v>
      </c>
      <c r="AI429" s="163" t="s">
        <v>2</v>
      </c>
      <c r="AJ429" s="163" t="s">
        <v>1139</v>
      </c>
    </row>
    <row r="430" spans="1:36" x14ac:dyDescent="0.2">
      <c r="A430" s="22" t="s">
        <v>1134</v>
      </c>
      <c r="B430" s="70">
        <v>40000</v>
      </c>
      <c r="C430" s="8" t="s">
        <v>1706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181">
        <v>5000</v>
      </c>
      <c r="AH430" s="181">
        <v>20000</v>
      </c>
      <c r="AI430" s="163" t="s">
        <v>2</v>
      </c>
      <c r="AJ430" s="163" t="s">
        <v>1140</v>
      </c>
    </row>
    <row r="431" spans="1:36" x14ac:dyDescent="0.2">
      <c r="A431" s="22" t="s">
        <v>1135</v>
      </c>
      <c r="B431" s="37">
        <v>0.5</v>
      </c>
      <c r="C431" s="8" t="s">
        <v>1707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54">
        <v>0.25</v>
      </c>
      <c r="AH431" s="54">
        <v>0.75</v>
      </c>
      <c r="AI431" s="163" t="s">
        <v>2</v>
      </c>
      <c r="AJ431" s="163" t="s">
        <v>1141</v>
      </c>
    </row>
    <row r="432" spans="1:36" x14ac:dyDescent="0.2">
      <c r="A432" s="22" t="s">
        <v>1136</v>
      </c>
      <c r="B432" s="46">
        <v>2035</v>
      </c>
      <c r="C432" s="8" t="s">
        <v>1856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55">
        <v>2032</v>
      </c>
      <c r="AH432" s="55">
        <v>2040</v>
      </c>
      <c r="AI432" s="163" t="s">
        <v>9</v>
      </c>
      <c r="AJ432" s="163" t="s">
        <v>1142</v>
      </c>
    </row>
    <row r="433" spans="1:36" x14ac:dyDescent="0.2">
      <c r="A433" s="22" t="s">
        <v>1137</v>
      </c>
      <c r="B433" s="46">
        <v>2030</v>
      </c>
      <c r="C433" s="8" t="s">
        <v>1857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163" t="s">
        <v>15</v>
      </c>
      <c r="AJ433" s="163" t="s">
        <v>1298</v>
      </c>
    </row>
    <row r="434" spans="1:36" x14ac:dyDescent="0.2">
      <c r="A434" s="22" t="s">
        <v>1299</v>
      </c>
      <c r="B434" s="43">
        <v>1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</row>
    <row r="435" spans="1:36" x14ac:dyDescent="0.2">
      <c r="A435" s="22" t="s">
        <v>1167</v>
      </c>
      <c r="B435" s="46">
        <v>10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</row>
    <row r="436" spans="1:36" x14ac:dyDescent="0.2">
      <c r="A436" s="177" t="s">
        <v>1173</v>
      </c>
      <c r="B436" s="46">
        <v>15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</row>
    <row r="437" spans="1:36" x14ac:dyDescent="0.2">
      <c r="A437" s="177" t="s">
        <v>1174</v>
      </c>
      <c r="B437" s="46">
        <v>400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</row>
    <row r="438" spans="1:36" x14ac:dyDescent="0.2">
      <c r="A438" s="18" t="s">
        <v>1300</v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 spans="1:36" x14ac:dyDescent="0.2">
      <c r="A439" s="22" t="s">
        <v>1176</v>
      </c>
      <c r="B439" s="70">
        <v>7000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</row>
    <row r="440" spans="1:36" x14ac:dyDescent="0.2">
      <c r="A440" s="22" t="s">
        <v>1177</v>
      </c>
      <c r="B440" s="49">
        <v>0.3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</row>
    <row r="441" spans="1:36" x14ac:dyDescent="0.2">
      <c r="A441" s="22" t="s">
        <v>1178</v>
      </c>
      <c r="B441" s="37">
        <v>0.35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</row>
    <row r="442" spans="1:36" x14ac:dyDescent="0.2">
      <c r="A442" s="22" t="s">
        <v>1865</v>
      </c>
      <c r="B442" s="49">
        <v>3</v>
      </c>
      <c r="C442" s="175" t="s">
        <v>1858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</row>
    <row r="443" spans="1:36" x14ac:dyDescent="0.2">
      <c r="A443" s="18" t="s">
        <v>1741</v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 spans="1:36" x14ac:dyDescent="0.2">
      <c r="A444" s="22" t="s">
        <v>1179</v>
      </c>
      <c r="B444" s="37">
        <v>3.5000000000000003E-2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</row>
    <row r="445" spans="1:36" x14ac:dyDescent="0.2">
      <c r="A445" s="22" t="s">
        <v>1180</v>
      </c>
      <c r="B445" s="70">
        <v>13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</row>
    <row r="446" spans="1:36" x14ac:dyDescent="0.2">
      <c r="A446" s="22" t="s">
        <v>1181</v>
      </c>
      <c r="B446" s="37">
        <v>0.04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</row>
    <row r="447" spans="1:36" x14ac:dyDescent="0.2">
      <c r="A447" s="22" t="s">
        <v>1182</v>
      </c>
      <c r="B447" s="70">
        <v>20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</row>
    <row r="448" spans="1:36" x14ac:dyDescent="0.2">
      <c r="A448" s="22" t="s">
        <v>1183</v>
      </c>
      <c r="B448" s="48">
        <v>1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</row>
    <row r="449" spans="1:36" x14ac:dyDescent="0.2">
      <c r="A449" s="22" t="s">
        <v>1184</v>
      </c>
      <c r="B449" s="37">
        <v>0.1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</row>
    <row r="450" spans="1:36" x14ac:dyDescent="0.2">
      <c r="A450" s="18" t="s">
        <v>1301</v>
      </c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 spans="1:36" x14ac:dyDescent="0.2">
      <c r="A451" s="22" t="s">
        <v>1926</v>
      </c>
      <c r="B451" s="70">
        <v>55</v>
      </c>
      <c r="C451" s="8" t="s">
        <v>1927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</row>
    <row r="452" spans="1:36" x14ac:dyDescent="0.2">
      <c r="A452" s="22" t="s">
        <v>1928</v>
      </c>
      <c r="B452" s="70">
        <v>100</v>
      </c>
      <c r="C452" s="8" t="s">
        <v>1929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</row>
    <row r="453" spans="1:36" x14ac:dyDescent="0.2">
      <c r="A453" s="22" t="s">
        <v>1191</v>
      </c>
      <c r="B453" s="46">
        <v>2040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</row>
    <row r="454" spans="1:36" x14ac:dyDescent="0.2">
      <c r="A454" s="22" t="s">
        <v>1192</v>
      </c>
      <c r="B454" s="49">
        <v>2.83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</row>
    <row r="455" spans="1:36" x14ac:dyDescent="0.2">
      <c r="A455" s="22" t="s">
        <v>1193</v>
      </c>
      <c r="B455" s="37">
        <v>0.11600000000000001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</row>
    <row r="456" spans="1:36" x14ac:dyDescent="0.2">
      <c r="A456" s="22" t="s">
        <v>1302</v>
      </c>
      <c r="B456" s="37">
        <v>9.9000000000000005E-2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</row>
    <row r="457" spans="1:36" x14ac:dyDescent="0.2">
      <c r="A457" s="177" t="s">
        <v>1197</v>
      </c>
      <c r="B457" s="49">
        <v>0.3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</row>
    <row r="458" spans="1:36" x14ac:dyDescent="0.2">
      <c r="A458" s="22" t="s">
        <v>1206</v>
      </c>
      <c r="B458" s="46">
        <v>2030</v>
      </c>
      <c r="C458" s="172" t="s">
        <v>1859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</row>
    <row r="459" spans="1:36" x14ac:dyDescent="0.2">
      <c r="A459" s="18" t="s">
        <v>1211</v>
      </c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 spans="1:36" x14ac:dyDescent="0.2">
      <c r="A460" s="177" t="s">
        <v>1303</v>
      </c>
      <c r="B460" s="53">
        <v>13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</row>
    <row r="461" spans="1:36" x14ac:dyDescent="0.2">
      <c r="A461" s="177" t="s">
        <v>1304</v>
      </c>
      <c r="B461" s="53">
        <v>11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</row>
    <row r="462" spans="1:36" x14ac:dyDescent="0.2">
      <c r="A462" s="177" t="s">
        <v>1305</v>
      </c>
      <c r="B462" s="53">
        <v>13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</row>
    <row r="464" spans="1:36" x14ac:dyDescent="0.2">
      <c r="A464" s="222" t="s">
        <v>1883</v>
      </c>
      <c r="B464" s="223"/>
    </row>
    <row r="465" spans="1:6" x14ac:dyDescent="0.2">
      <c r="A465" s="170" t="s">
        <v>2127</v>
      </c>
      <c r="B465" s="37"/>
    </row>
    <row r="466" spans="1:6" x14ac:dyDescent="0.2">
      <c r="A466" s="170" t="s">
        <v>2128</v>
      </c>
      <c r="B466" s="37"/>
    </row>
    <row r="467" spans="1:6" x14ac:dyDescent="0.2">
      <c r="A467" s="170" t="s">
        <v>2129</v>
      </c>
      <c r="B467" s="53"/>
    </row>
    <row r="468" spans="1:6" x14ac:dyDescent="0.2">
      <c r="A468" s="177" t="s">
        <v>1884</v>
      </c>
      <c r="B468" s="37">
        <v>0.35</v>
      </c>
      <c r="C468" s="172" t="s">
        <v>1985</v>
      </c>
    </row>
    <row r="469" spans="1:6" x14ac:dyDescent="0.2">
      <c r="A469" s="177" t="s">
        <v>1885</v>
      </c>
      <c r="B469" s="53">
        <v>1.2</v>
      </c>
      <c r="C469" s="172" t="s">
        <v>1986</v>
      </c>
    </row>
    <row r="470" spans="1:6" x14ac:dyDescent="0.2">
      <c r="A470" s="177" t="s">
        <v>1886</v>
      </c>
      <c r="B470" s="37">
        <v>0.05</v>
      </c>
      <c r="C470" s="172" t="s">
        <v>1887</v>
      </c>
    </row>
    <row r="472" spans="1:6" x14ac:dyDescent="0.2">
      <c r="A472" s="226" t="s">
        <v>1890</v>
      </c>
      <c r="B472" s="18"/>
      <c r="C472" s="18"/>
      <c r="D472" s="223"/>
      <c r="E472" s="223"/>
      <c r="F472" s="223"/>
    </row>
    <row r="473" spans="1:6" x14ac:dyDescent="0.2">
      <c r="A473" s="177" t="s">
        <v>1891</v>
      </c>
      <c r="B473" s="227">
        <v>0.05</v>
      </c>
      <c r="C473" s="189" t="s">
        <v>1892</v>
      </c>
    </row>
    <row r="474" spans="1:6" x14ac:dyDescent="0.2">
      <c r="A474" s="177" t="s">
        <v>1898</v>
      </c>
      <c r="B474">
        <v>370</v>
      </c>
      <c r="C474" t="s">
        <v>1899</v>
      </c>
    </row>
    <row r="475" spans="1:6" x14ac:dyDescent="0.2">
      <c r="A475" s="177" t="s">
        <v>1900</v>
      </c>
      <c r="B475">
        <v>15</v>
      </c>
      <c r="C475" t="s">
        <v>1901</v>
      </c>
    </row>
    <row r="476" spans="1:6" x14ac:dyDescent="0.2">
      <c r="A476" s="177" t="s">
        <v>1902</v>
      </c>
      <c r="B476">
        <v>0.9</v>
      </c>
      <c r="C476" t="s">
        <v>1903</v>
      </c>
    </row>
    <row r="477" spans="1:6" x14ac:dyDescent="0.2">
      <c r="A477" s="177" t="s">
        <v>1904</v>
      </c>
      <c r="B477">
        <v>200</v>
      </c>
      <c r="C477" t="s">
        <v>1905</v>
      </c>
    </row>
    <row r="478" spans="1:6" x14ac:dyDescent="0.2">
      <c r="A478" s="177" t="s">
        <v>1906</v>
      </c>
      <c r="B478">
        <v>2</v>
      </c>
      <c r="C478" t="s">
        <v>1907</v>
      </c>
    </row>
    <row r="479" spans="1:6" x14ac:dyDescent="0.2">
      <c r="A479" s="177" t="s">
        <v>1908</v>
      </c>
      <c r="B479">
        <v>5.5</v>
      </c>
      <c r="C479" t="s">
        <v>1909</v>
      </c>
    </row>
    <row r="480" spans="1:6" x14ac:dyDescent="0.2">
      <c r="A480" s="177" t="s">
        <v>1910</v>
      </c>
      <c r="B480">
        <v>3.5</v>
      </c>
      <c r="C480" t="s">
        <v>1911</v>
      </c>
    </row>
    <row r="481" spans="1:3" x14ac:dyDescent="0.2">
      <c r="A481" s="177" t="s">
        <v>1912</v>
      </c>
      <c r="B481">
        <v>2.5</v>
      </c>
      <c r="C481" t="s">
        <v>1913</v>
      </c>
    </row>
    <row r="482" spans="1:3" x14ac:dyDescent="0.2">
      <c r="A482" s="177" t="s">
        <v>1914</v>
      </c>
      <c r="B482">
        <v>1</v>
      </c>
      <c r="C482" t="s">
        <v>1915</v>
      </c>
    </row>
    <row r="483" spans="1:3" x14ac:dyDescent="0.2">
      <c r="A483" s="177" t="s">
        <v>1916</v>
      </c>
      <c r="B483">
        <v>0.15</v>
      </c>
      <c r="C483" t="s">
        <v>1917</v>
      </c>
    </row>
    <row r="484" spans="1:3" x14ac:dyDescent="0.2">
      <c r="A484" s="177" t="s">
        <v>1918</v>
      </c>
      <c r="B484">
        <v>180</v>
      </c>
      <c r="C484" t="s">
        <v>1919</v>
      </c>
    </row>
    <row r="485" spans="1:3" x14ac:dyDescent="0.2">
      <c r="A485" s="177" t="s">
        <v>1920</v>
      </c>
      <c r="B485">
        <v>420</v>
      </c>
      <c r="C485" t="s">
        <v>1921</v>
      </c>
    </row>
    <row r="486" spans="1:3" x14ac:dyDescent="0.2">
      <c r="A486" s="177" t="s">
        <v>1922</v>
      </c>
      <c r="B486">
        <v>560</v>
      </c>
      <c r="C486" t="s">
        <v>1923</v>
      </c>
    </row>
    <row r="488" spans="1:3" x14ac:dyDescent="0.2">
      <c r="A488" s="177" t="s">
        <v>1987</v>
      </c>
      <c r="B488" s="70">
        <v>0</v>
      </c>
      <c r="C488" s="172" t="s">
        <v>1988</v>
      </c>
    </row>
    <row r="489" spans="1:3" x14ac:dyDescent="0.2">
      <c r="A489" s="226" t="s">
        <v>1993</v>
      </c>
    </row>
    <row r="490" spans="1:3" x14ac:dyDescent="0.2">
      <c r="A490" s="177" t="s">
        <v>1994</v>
      </c>
      <c r="B490" s="70">
        <v>300000</v>
      </c>
      <c r="C490" s="172" t="s">
        <v>1999</v>
      </c>
    </row>
    <row r="491" spans="1:3" x14ac:dyDescent="0.2">
      <c r="A491" s="177" t="s">
        <v>1995</v>
      </c>
      <c r="B491" s="37">
        <v>4.58E-2</v>
      </c>
      <c r="C491" s="172" t="s">
        <v>2000</v>
      </c>
    </row>
    <row r="492" spans="1:3" x14ac:dyDescent="0.2">
      <c r="A492" s="177" t="s">
        <v>1996</v>
      </c>
      <c r="B492" s="46">
        <v>2035</v>
      </c>
      <c r="C492" s="172" t="s">
        <v>2001</v>
      </c>
    </row>
    <row r="493" spans="1:3" x14ac:dyDescent="0.2">
      <c r="A493" s="177" t="s">
        <v>1997</v>
      </c>
      <c r="B493" s="46">
        <v>2045</v>
      </c>
      <c r="C493" s="172" t="s">
        <v>2002</v>
      </c>
    </row>
    <row r="494" spans="1:3" x14ac:dyDescent="0.2">
      <c r="A494" s="177" t="s">
        <v>1998</v>
      </c>
      <c r="B494" s="37">
        <v>0.5</v>
      </c>
      <c r="C494" s="172" t="s">
        <v>2003</v>
      </c>
    </row>
    <row r="496" spans="1:3" x14ac:dyDescent="0.2">
      <c r="A496" s="239" t="s">
        <v>2024</v>
      </c>
    </row>
    <row r="497" spans="1:3" x14ac:dyDescent="0.2">
      <c r="A497" s="177" t="s">
        <v>2025</v>
      </c>
      <c r="B497" s="49">
        <v>100</v>
      </c>
      <c r="C497" s="172" t="s">
        <v>2057</v>
      </c>
    </row>
    <row r="498" spans="1:3" x14ac:dyDescent="0.2">
      <c r="A498" s="177" t="s">
        <v>2026</v>
      </c>
      <c r="B498" s="37">
        <v>0.221</v>
      </c>
      <c r="C498" s="172" t="s">
        <v>2058</v>
      </c>
    </row>
    <row r="499" spans="1:3" x14ac:dyDescent="0.2">
      <c r="A499" s="177" t="s">
        <v>2027</v>
      </c>
      <c r="B499" s="50">
        <v>0</v>
      </c>
      <c r="C499" s="172" t="s">
        <v>2059</v>
      </c>
    </row>
    <row r="500" spans="1:3" x14ac:dyDescent="0.2">
      <c r="A500" s="177" t="s">
        <v>2028</v>
      </c>
      <c r="B500" s="37">
        <v>0</v>
      </c>
      <c r="C500" s="172" t="s">
        <v>2060</v>
      </c>
    </row>
    <row r="501" spans="1:3" x14ac:dyDescent="0.2">
      <c r="A501" s="177" t="s">
        <v>2029</v>
      </c>
      <c r="B501" s="48">
        <v>2</v>
      </c>
      <c r="C501" s="172" t="s">
        <v>2061</v>
      </c>
    </row>
    <row r="502" spans="1:3" x14ac:dyDescent="0.2">
      <c r="A502" s="177" t="s">
        <v>2030</v>
      </c>
      <c r="B502" s="37">
        <v>0.05</v>
      </c>
      <c r="C502" s="172" t="s">
        <v>2134</v>
      </c>
    </row>
    <row r="503" spans="1:3" x14ac:dyDescent="0.2">
      <c r="A503" s="177" t="s">
        <v>2031</v>
      </c>
      <c r="B503" s="49">
        <v>0.85</v>
      </c>
      <c r="C503" s="172" t="s">
        <v>2062</v>
      </c>
    </row>
    <row r="504" spans="1:3" x14ac:dyDescent="0.2">
      <c r="A504" s="177" t="s">
        <v>2032</v>
      </c>
      <c r="B504" s="37">
        <v>0.46899999999999997</v>
      </c>
      <c r="C504" s="172" t="s">
        <v>2063</v>
      </c>
    </row>
    <row r="505" spans="1:3" x14ac:dyDescent="0.2">
      <c r="A505" s="177" t="s">
        <v>2033</v>
      </c>
      <c r="B505" s="50">
        <v>300</v>
      </c>
      <c r="C505" s="172" t="s">
        <v>2064</v>
      </c>
    </row>
    <row r="506" spans="1:3" x14ac:dyDescent="0.2">
      <c r="A506" s="177" t="s">
        <v>2034</v>
      </c>
      <c r="B506" s="37">
        <v>0</v>
      </c>
      <c r="C506" s="172" t="s">
        <v>2065</v>
      </c>
    </row>
    <row r="507" spans="1:3" x14ac:dyDescent="0.2">
      <c r="A507" s="177" t="s">
        <v>2035</v>
      </c>
      <c r="B507" s="48">
        <v>35</v>
      </c>
      <c r="C507" s="172" t="s">
        <v>2066</v>
      </c>
    </row>
    <row r="508" spans="1:3" x14ac:dyDescent="0.2">
      <c r="A508" s="177" t="s">
        <v>2036</v>
      </c>
      <c r="B508" s="37">
        <v>0.09</v>
      </c>
      <c r="C508" s="172" t="s">
        <v>2135</v>
      </c>
    </row>
    <row r="509" spans="1:3" x14ac:dyDescent="0.2">
      <c r="A509" s="177" t="s">
        <v>2037</v>
      </c>
      <c r="B509" s="49">
        <v>0.16</v>
      </c>
      <c r="C509" s="172" t="s">
        <v>2067</v>
      </c>
    </row>
    <row r="510" spans="1:3" x14ac:dyDescent="0.2">
      <c r="A510" s="177" t="s">
        <v>2038</v>
      </c>
      <c r="B510" s="37">
        <v>0.46500000000000002</v>
      </c>
      <c r="C510" s="172" t="s">
        <v>2068</v>
      </c>
    </row>
    <row r="511" spans="1:3" x14ac:dyDescent="0.2">
      <c r="A511" s="177" t="s">
        <v>2039</v>
      </c>
      <c r="B511" s="50">
        <v>368</v>
      </c>
      <c r="C511" s="172" t="s">
        <v>2069</v>
      </c>
    </row>
    <row r="512" spans="1:3" x14ac:dyDescent="0.2">
      <c r="A512" s="177" t="s">
        <v>2040</v>
      </c>
      <c r="B512" s="37">
        <v>0</v>
      </c>
      <c r="C512" s="172" t="s">
        <v>2070</v>
      </c>
    </row>
    <row r="513" spans="1:3" x14ac:dyDescent="0.2">
      <c r="A513" s="177" t="s">
        <v>2041</v>
      </c>
      <c r="B513" s="48">
        <v>285</v>
      </c>
      <c r="C513" s="172" t="s">
        <v>2071</v>
      </c>
    </row>
    <row r="514" spans="1:3" x14ac:dyDescent="0.2">
      <c r="A514" s="177" t="s">
        <v>2042</v>
      </c>
      <c r="B514" s="37">
        <v>0.1</v>
      </c>
      <c r="C514" s="172" t="s">
        <v>2135</v>
      </c>
    </row>
    <row r="515" spans="1:3" x14ac:dyDescent="0.2">
      <c r="A515" s="177" t="s">
        <v>2043</v>
      </c>
      <c r="B515" s="49">
        <v>0.06</v>
      </c>
      <c r="C515" s="172" t="s">
        <v>2072</v>
      </c>
    </row>
    <row r="516" spans="1:3" x14ac:dyDescent="0.2">
      <c r="A516" s="177" t="s">
        <v>2044</v>
      </c>
      <c r="B516" s="37">
        <v>0.59799999999999998</v>
      </c>
      <c r="C516" s="172" t="s">
        <v>2073</v>
      </c>
    </row>
    <row r="517" spans="1:3" x14ac:dyDescent="0.2">
      <c r="A517" s="177" t="s">
        <v>2045</v>
      </c>
      <c r="B517" s="50">
        <v>535</v>
      </c>
      <c r="C517" s="172" t="s">
        <v>2074</v>
      </c>
    </row>
    <row r="518" spans="1:3" x14ac:dyDescent="0.2">
      <c r="A518" s="177" t="s">
        <v>2046</v>
      </c>
      <c r="B518" s="37">
        <v>0</v>
      </c>
      <c r="C518" s="172" t="s">
        <v>2070</v>
      </c>
    </row>
    <row r="519" spans="1:3" x14ac:dyDescent="0.2">
      <c r="A519" s="177" t="s">
        <v>2047</v>
      </c>
      <c r="B519" s="48">
        <v>166</v>
      </c>
      <c r="C519" s="172" t="s">
        <v>2075</v>
      </c>
    </row>
    <row r="520" spans="1:3" x14ac:dyDescent="0.2">
      <c r="A520" s="177" t="s">
        <v>2048</v>
      </c>
      <c r="B520" s="37">
        <v>0.1</v>
      </c>
      <c r="C520" s="172" t="s">
        <v>2135</v>
      </c>
    </row>
    <row r="521" spans="1:3" x14ac:dyDescent="0.2">
      <c r="A521" s="177" t="s">
        <v>2049</v>
      </c>
      <c r="B521" s="43">
        <v>1.4999999999999999E-2</v>
      </c>
      <c r="C521" s="172" t="s">
        <v>2076</v>
      </c>
    </row>
    <row r="522" spans="1:3" x14ac:dyDescent="0.2">
      <c r="A522" s="177" t="s">
        <v>2050</v>
      </c>
      <c r="B522" s="37">
        <v>0.73399999999999999</v>
      </c>
      <c r="C522" s="172" t="s">
        <v>2077</v>
      </c>
    </row>
    <row r="523" spans="1:3" x14ac:dyDescent="0.2">
      <c r="A523" s="177" t="s">
        <v>2051</v>
      </c>
      <c r="B523" s="50">
        <v>2400</v>
      </c>
      <c r="C523" s="172" t="s">
        <v>2078</v>
      </c>
    </row>
    <row r="524" spans="1:3" x14ac:dyDescent="0.2">
      <c r="A524" s="177" t="s">
        <v>2052</v>
      </c>
      <c r="B524" s="37">
        <v>0</v>
      </c>
      <c r="C524" s="172" t="s">
        <v>2070</v>
      </c>
    </row>
    <row r="525" spans="1:3" x14ac:dyDescent="0.2">
      <c r="A525" s="177" t="s">
        <v>2053</v>
      </c>
      <c r="B525" s="48">
        <v>233</v>
      </c>
      <c r="C525" s="172" t="s">
        <v>2079</v>
      </c>
    </row>
    <row r="526" spans="1:3" x14ac:dyDescent="0.2">
      <c r="A526" s="177" t="s">
        <v>2054</v>
      </c>
      <c r="B526" s="37">
        <v>0.12</v>
      </c>
      <c r="C526" s="172" t="s">
        <v>2136</v>
      </c>
    </row>
    <row r="527" spans="1:3" x14ac:dyDescent="0.2">
      <c r="A527" s="177" t="s">
        <v>2055</v>
      </c>
      <c r="B527" s="240">
        <v>1</v>
      </c>
      <c r="C527" s="172" t="s">
        <v>2080</v>
      </c>
    </row>
    <row r="528" spans="1:3" x14ac:dyDescent="0.2">
      <c r="A528" s="177" t="s">
        <v>2056</v>
      </c>
      <c r="B528" s="37">
        <v>0.21299999999999999</v>
      </c>
      <c r="C528" s="172" t="s">
        <v>2081</v>
      </c>
    </row>
    <row r="529" spans="1:3" x14ac:dyDescent="0.2">
      <c r="A529" s="245" t="s">
        <v>2137</v>
      </c>
    </row>
    <row r="530" spans="1:3" x14ac:dyDescent="0.2">
      <c r="A530" s="177" t="s">
        <v>2138</v>
      </c>
      <c r="B530" s="49">
        <v>0.75</v>
      </c>
      <c r="C530" s="172" t="s">
        <v>2139</v>
      </c>
    </row>
  </sheetData>
  <autoFilter ref="A1:A462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1"/>
  <sheetViews>
    <sheetView showGridLines="0" topLeftCell="A13" workbookViewId="0">
      <selection activeCell="E161" sqref="E161"/>
    </sheetView>
  </sheetViews>
  <sheetFormatPr baseColWidth="10" defaultColWidth="10.6640625" defaultRowHeight="16" x14ac:dyDescent="0.2"/>
  <cols>
    <col min="1" max="1" width="28.1640625" customWidth="1"/>
    <col min="3" max="3" width="29.6640625" customWidth="1"/>
  </cols>
  <sheetData>
    <row r="1" spans="1:19" ht="19" customHeight="1" x14ac:dyDescent="0.2">
      <c r="A1" s="182" t="s">
        <v>1359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2">
      <c r="A2" s="170" t="s">
        <v>359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</row>
    <row r="5" spans="1:19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</row>
    <row r="6" spans="1:1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2">
      <c r="A15" s="182" t="s">
        <v>360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">
      <c r="A16" s="183" t="s">
        <v>361</v>
      </c>
      <c r="B16" s="184" t="s">
        <v>362</v>
      </c>
      <c r="C16" s="184" t="s">
        <v>363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2">
      <c r="A17" s="22" t="s">
        <v>364</v>
      </c>
      <c r="B17" s="71">
        <v>280.2</v>
      </c>
      <c r="C17" s="70">
        <v>307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2">
      <c r="A18" s="22" t="s">
        <v>365</v>
      </c>
      <c r="B18" s="71">
        <v>560.29999999999995</v>
      </c>
      <c r="C18" s="70">
        <v>613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2">
      <c r="A19" s="22" t="s">
        <v>366</v>
      </c>
      <c r="B19" s="71">
        <v>840.5</v>
      </c>
      <c r="C19" s="70">
        <v>920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x14ac:dyDescent="0.2">
      <c r="A20" s="22" t="s">
        <v>367</v>
      </c>
      <c r="B20" s="71">
        <v>1120.5999999999999</v>
      </c>
      <c r="C20" s="70">
        <v>1227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2">
      <c r="A21" s="22" t="s">
        <v>368</v>
      </c>
      <c r="B21" s="71">
        <v>1400.8</v>
      </c>
      <c r="C21" s="70">
        <v>1534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x14ac:dyDescent="0.2">
      <c r="A22" s="22" t="s">
        <v>369</v>
      </c>
      <c r="B22" s="71">
        <v>1680.9</v>
      </c>
      <c r="C22" s="70">
        <v>1840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2">
      <c r="A23" s="22" t="s">
        <v>370</v>
      </c>
      <c r="B23" s="71">
        <v>1961.1</v>
      </c>
      <c r="C23" s="70">
        <v>2147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2">
      <c r="A24" s="22" t="s">
        <v>371</v>
      </c>
      <c r="B24" s="71">
        <v>2241.1999999999998</v>
      </c>
      <c r="C24" s="70">
        <v>2454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2">
      <c r="A25" s="22" t="s">
        <v>372</v>
      </c>
      <c r="B25" s="71">
        <v>2521.4</v>
      </c>
      <c r="C25" s="70">
        <v>2760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x14ac:dyDescent="0.2">
      <c r="A26" s="22" t="s">
        <v>373</v>
      </c>
      <c r="B26" s="71">
        <v>2801.5</v>
      </c>
      <c r="C26" s="70">
        <v>3067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22" t="s">
        <v>374</v>
      </c>
      <c r="B27" s="71">
        <v>3501.9</v>
      </c>
      <c r="C27" s="70">
        <v>3827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22" t="s">
        <v>375</v>
      </c>
      <c r="B28" s="71">
        <v>4202.3</v>
      </c>
      <c r="C28" s="70">
        <v>4587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2">
      <c r="A29" s="22" t="s">
        <v>376</v>
      </c>
      <c r="B29" s="71">
        <v>4902.7</v>
      </c>
      <c r="C29" s="70">
        <v>5347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2">
      <c r="A30" s="22" t="s">
        <v>377</v>
      </c>
      <c r="B30" s="71">
        <v>5603.1</v>
      </c>
      <c r="C30" s="70">
        <v>6107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22" t="s">
        <v>378</v>
      </c>
      <c r="B31" s="71">
        <v>6303.5</v>
      </c>
      <c r="C31" s="70">
        <v>6867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2">
      <c r="A32" s="22" t="s">
        <v>379</v>
      </c>
      <c r="B32" s="71">
        <v>7003.9</v>
      </c>
      <c r="C32" s="70">
        <v>7627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2">
      <c r="A33" s="22" t="s">
        <v>380</v>
      </c>
      <c r="B33" s="71">
        <v>7704.2</v>
      </c>
      <c r="C33" s="70">
        <v>8387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2">
      <c r="A34" s="22" t="s">
        <v>381</v>
      </c>
      <c r="B34" s="71">
        <v>8404.6</v>
      </c>
      <c r="C34" s="70">
        <v>9147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2">
      <c r="A35" s="22" t="s">
        <v>382</v>
      </c>
      <c r="B35" s="71">
        <v>9105</v>
      </c>
      <c r="C35" s="70">
        <v>9453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2">
      <c r="A36" s="22" t="s">
        <v>383</v>
      </c>
      <c r="B36" s="71">
        <v>9805.4</v>
      </c>
      <c r="C36" s="70">
        <v>9760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">
      <c r="A37" s="22" t="s">
        <v>384</v>
      </c>
      <c r="B37" s="71">
        <v>10505.8</v>
      </c>
      <c r="C37" s="70">
        <v>10067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2">
      <c r="A38" s="22" t="s">
        <v>385</v>
      </c>
      <c r="B38" s="71">
        <v>11206.2</v>
      </c>
      <c r="C38" s="70">
        <v>10373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2">
      <c r="A39" s="22" t="s">
        <v>386</v>
      </c>
      <c r="B39" s="71">
        <v>11906.6</v>
      </c>
      <c r="C39" s="70">
        <v>10680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22" t="s">
        <v>387</v>
      </c>
      <c r="B40" s="71">
        <v>12606.9</v>
      </c>
      <c r="C40" s="70">
        <v>10987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2">
      <c r="A41" s="22" t="s">
        <v>388</v>
      </c>
      <c r="B41" s="71">
        <v>13307.3</v>
      </c>
      <c r="C41" s="70">
        <v>11293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2">
      <c r="A42" s="22" t="s">
        <v>389</v>
      </c>
      <c r="B42" s="71">
        <v>14007.7</v>
      </c>
      <c r="C42" s="70">
        <v>11600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">
      <c r="A43" s="22" t="s">
        <v>390</v>
      </c>
      <c r="B43" s="71">
        <v>15408.5</v>
      </c>
      <c r="C43" s="70">
        <v>11760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x14ac:dyDescent="0.2">
      <c r="A44" s="22" t="s">
        <v>391</v>
      </c>
      <c r="B44" s="71">
        <v>16809.3</v>
      </c>
      <c r="C44" s="70">
        <v>11920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">
      <c r="A45" s="22" t="s">
        <v>392</v>
      </c>
      <c r="B45" s="71">
        <v>18210</v>
      </c>
      <c r="C45" s="70">
        <v>12080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">
      <c r="A46" s="22" t="s">
        <v>393</v>
      </c>
      <c r="B46" s="71">
        <v>19610.8</v>
      </c>
      <c r="C46" s="70">
        <v>12240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">
      <c r="A47" s="22" t="s">
        <v>394</v>
      </c>
      <c r="B47" s="71">
        <v>21011.599999999999</v>
      </c>
      <c r="C47" s="70">
        <v>12400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">
      <c r="A48" s="22" t="s">
        <v>395</v>
      </c>
      <c r="B48" s="71">
        <v>22412.3</v>
      </c>
      <c r="C48" s="70">
        <v>12560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">
      <c r="A49" s="22" t="s">
        <v>396</v>
      </c>
      <c r="B49" s="71">
        <v>23813.1</v>
      </c>
      <c r="C49" s="70">
        <v>12720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">
      <c r="A50" s="22" t="s">
        <v>397</v>
      </c>
      <c r="B50" s="71">
        <v>25213.9</v>
      </c>
      <c r="C50" s="70">
        <v>12880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2">
      <c r="A51" s="22" t="s">
        <v>398</v>
      </c>
      <c r="B51" s="71">
        <v>26614.6</v>
      </c>
      <c r="C51" s="70">
        <v>13040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">
      <c r="A52" s="22" t="s">
        <v>399</v>
      </c>
      <c r="B52" s="71">
        <v>28015.4</v>
      </c>
      <c r="C52" s="70">
        <v>13200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">
      <c r="A53" s="22" t="s">
        <v>400</v>
      </c>
      <c r="B53" s="71">
        <v>29416.2</v>
      </c>
      <c r="C53" s="70">
        <v>13360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x14ac:dyDescent="0.2">
      <c r="A54" s="22" t="s">
        <v>401</v>
      </c>
      <c r="B54" s="71">
        <v>30817</v>
      </c>
      <c r="C54" s="70">
        <v>13467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2">
      <c r="A55" s="22" t="s">
        <v>402</v>
      </c>
      <c r="B55" s="71">
        <v>32217.7</v>
      </c>
      <c r="C55" s="70">
        <v>13573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x14ac:dyDescent="0.2">
      <c r="A56" s="22" t="s">
        <v>403</v>
      </c>
      <c r="B56" s="71">
        <v>33618.5</v>
      </c>
      <c r="C56" s="70">
        <v>13680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x14ac:dyDescent="0.2">
      <c r="A57" s="22" t="s">
        <v>404</v>
      </c>
      <c r="B57" s="71">
        <v>35019.300000000003</v>
      </c>
      <c r="C57" s="70">
        <v>13787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x14ac:dyDescent="0.2">
      <c r="A58" s="22" t="s">
        <v>405</v>
      </c>
      <c r="B58" s="71">
        <v>36420</v>
      </c>
      <c r="C58" s="70">
        <v>13893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x14ac:dyDescent="0.2">
      <c r="A59" s="22" t="s">
        <v>406</v>
      </c>
      <c r="B59" s="71">
        <v>37820.800000000003</v>
      </c>
      <c r="C59" s="70">
        <v>14000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x14ac:dyDescent="0.2">
      <c r="A60" s="22" t="s">
        <v>407</v>
      </c>
      <c r="B60" s="71">
        <v>39221.599999999999</v>
      </c>
      <c r="C60" s="70">
        <v>14107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2">
      <c r="A61" s="22" t="s">
        <v>408</v>
      </c>
      <c r="B61" s="71">
        <v>40622.400000000001</v>
      </c>
      <c r="C61" s="70">
        <v>14213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x14ac:dyDescent="0.2">
      <c r="A62" s="22" t="s">
        <v>409</v>
      </c>
      <c r="B62" s="71">
        <v>42023.1</v>
      </c>
      <c r="C62" s="70">
        <v>14320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x14ac:dyDescent="0.2">
      <c r="A63" s="22" t="s">
        <v>410</v>
      </c>
      <c r="B63" s="71">
        <v>44824.7</v>
      </c>
      <c r="C63" s="70">
        <v>14427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x14ac:dyDescent="0.2">
      <c r="A64" s="22" t="s">
        <v>411</v>
      </c>
      <c r="B64" s="71">
        <v>47626.2</v>
      </c>
      <c r="C64" s="70">
        <v>14533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x14ac:dyDescent="0.2">
      <c r="A65" s="22" t="s">
        <v>412</v>
      </c>
      <c r="B65" s="71">
        <v>50427.8</v>
      </c>
      <c r="C65" s="70">
        <v>14640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x14ac:dyDescent="0.2">
      <c r="A66" s="22" t="s">
        <v>413</v>
      </c>
      <c r="B66" s="71">
        <v>53229.3</v>
      </c>
      <c r="C66" s="70">
        <v>14747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x14ac:dyDescent="0.2">
      <c r="A67" s="22" t="s">
        <v>414</v>
      </c>
      <c r="B67" s="71">
        <v>56030.8</v>
      </c>
      <c r="C67" s="70">
        <v>14853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x14ac:dyDescent="0.2">
      <c r="A68" s="22" t="s">
        <v>415</v>
      </c>
      <c r="B68" s="71">
        <v>58832.4</v>
      </c>
      <c r="C68" s="70">
        <v>14960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">
      <c r="A69" s="22" t="s">
        <v>416</v>
      </c>
      <c r="B69" s="71">
        <v>61633.9</v>
      </c>
      <c r="C69" s="70">
        <v>15067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x14ac:dyDescent="0.2">
      <c r="A70" s="22" t="s">
        <v>417</v>
      </c>
      <c r="B70" s="71">
        <v>64435.5</v>
      </c>
      <c r="C70" s="70">
        <v>15173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x14ac:dyDescent="0.2">
      <c r="A71" s="22" t="s">
        <v>418</v>
      </c>
      <c r="B71" s="71">
        <v>67237</v>
      </c>
      <c r="C71" s="70">
        <v>15280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x14ac:dyDescent="0.2">
      <c r="A72" s="22" t="s">
        <v>419</v>
      </c>
      <c r="B72" s="71">
        <v>70038.5</v>
      </c>
      <c r="C72" s="70">
        <v>15387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2">
      <c r="A73" s="22" t="s">
        <v>420</v>
      </c>
      <c r="B73" s="71">
        <v>72840.100000000006</v>
      </c>
      <c r="C73" s="70">
        <v>15493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x14ac:dyDescent="0.2">
      <c r="A74" s="22" t="s">
        <v>421</v>
      </c>
      <c r="B74" s="71">
        <v>75641.600000000006</v>
      </c>
      <c r="C74" s="70">
        <v>15600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x14ac:dyDescent="0.2">
      <c r="A75" s="22" t="s">
        <v>422</v>
      </c>
      <c r="B75" s="71">
        <v>78443.199999999997</v>
      </c>
      <c r="C75" s="70">
        <v>15707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x14ac:dyDescent="0.2">
      <c r="A76" s="22" t="s">
        <v>423</v>
      </c>
      <c r="B76" s="71">
        <v>81244.7</v>
      </c>
      <c r="C76" s="70">
        <v>15813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x14ac:dyDescent="0.2">
      <c r="A77" s="22" t="s">
        <v>424</v>
      </c>
      <c r="B77" s="71">
        <v>84046.3</v>
      </c>
      <c r="C77" s="70">
        <v>15920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x14ac:dyDescent="0.2">
      <c r="A80" s="182" t="s">
        <v>425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x14ac:dyDescent="0.2">
      <c r="A81" s="183" t="s">
        <v>426</v>
      </c>
      <c r="B81" s="184" t="s">
        <v>362</v>
      </c>
      <c r="C81" s="184" t="s">
        <v>427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22" t="s">
        <v>428</v>
      </c>
      <c r="B82" s="70">
        <v>100000</v>
      </c>
      <c r="C82" s="70">
        <v>2936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x14ac:dyDescent="0.2">
      <c r="A83" s="22" t="s">
        <v>429</v>
      </c>
      <c r="B83" s="70">
        <v>200000</v>
      </c>
      <c r="C83" s="70">
        <v>3748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22" t="s">
        <v>430</v>
      </c>
      <c r="B84" s="70">
        <v>300000</v>
      </c>
      <c r="C84" s="70">
        <v>4559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x14ac:dyDescent="0.2">
      <c r="A85" s="22" t="s">
        <v>431</v>
      </c>
      <c r="B85" s="70">
        <v>400000</v>
      </c>
      <c r="C85" s="70">
        <v>5370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x14ac:dyDescent="0.2">
      <c r="A86" s="22" t="s">
        <v>432</v>
      </c>
      <c r="B86" s="70">
        <v>500000</v>
      </c>
      <c r="C86" s="70">
        <v>6157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x14ac:dyDescent="0.2">
      <c r="A87" s="22" t="s">
        <v>433</v>
      </c>
      <c r="B87" s="70">
        <v>1000000</v>
      </c>
      <c r="C87" s="70">
        <v>10055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x14ac:dyDescent="0.2">
      <c r="A88" s="22" t="s">
        <v>434</v>
      </c>
      <c r="B88" s="70">
        <v>2000000</v>
      </c>
      <c r="C88" s="70">
        <v>17173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x14ac:dyDescent="0.2">
      <c r="A89" s="22" t="s">
        <v>435</v>
      </c>
      <c r="B89" s="70">
        <v>3000000</v>
      </c>
      <c r="C89" s="70">
        <v>23037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x14ac:dyDescent="0.2">
      <c r="A90" s="22" t="s">
        <v>436</v>
      </c>
      <c r="B90" s="70">
        <v>4000000</v>
      </c>
      <c r="C90" s="70">
        <v>28430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x14ac:dyDescent="0.2">
      <c r="A91" s="22" t="s">
        <v>437</v>
      </c>
      <c r="B91" s="70">
        <v>5000000</v>
      </c>
      <c r="C91" s="70">
        <v>33451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x14ac:dyDescent="0.2">
      <c r="A92" s="22" t="s">
        <v>438</v>
      </c>
      <c r="B92" s="70">
        <v>6000000</v>
      </c>
      <c r="C92" s="70">
        <v>38244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x14ac:dyDescent="0.2">
      <c r="A93" s="22" t="s">
        <v>439</v>
      </c>
      <c r="B93" s="70">
        <v>7000000</v>
      </c>
      <c r="C93" s="70">
        <v>42520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x14ac:dyDescent="0.2">
      <c r="A94" s="22" t="s">
        <v>440</v>
      </c>
      <c r="B94" s="70">
        <v>8000000</v>
      </c>
      <c r="C94" s="70">
        <v>46242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x14ac:dyDescent="0.2">
      <c r="A95" s="22" t="s">
        <v>441</v>
      </c>
      <c r="B95" s="70">
        <v>9000000</v>
      </c>
      <c r="C95" s="70">
        <v>49844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x14ac:dyDescent="0.2">
      <c r="A96" s="22" t="s">
        <v>442</v>
      </c>
      <c r="B96" s="70">
        <v>10000000</v>
      </c>
      <c r="C96" s="70">
        <v>53440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x14ac:dyDescent="0.2">
      <c r="A97" s="22" t="s">
        <v>443</v>
      </c>
      <c r="B97" s="70">
        <v>11000000</v>
      </c>
      <c r="C97" s="70">
        <v>56885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x14ac:dyDescent="0.2">
      <c r="A98" s="22" t="s">
        <v>444</v>
      </c>
      <c r="B98" s="70">
        <v>12000000</v>
      </c>
      <c r="C98" s="70">
        <v>60203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x14ac:dyDescent="0.2">
      <c r="A99" s="22" t="s">
        <v>445</v>
      </c>
      <c r="B99" s="70">
        <v>13000000</v>
      </c>
      <c r="C99" s="70">
        <v>63410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x14ac:dyDescent="0.2">
      <c r="A100" s="22" t="s">
        <v>446</v>
      </c>
      <c r="B100" s="70">
        <v>14000000</v>
      </c>
      <c r="C100" s="70">
        <v>66053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x14ac:dyDescent="0.2">
      <c r="A101" s="22" t="s">
        <v>447</v>
      </c>
      <c r="B101" s="70">
        <v>15000000</v>
      </c>
      <c r="C101" s="70">
        <v>68595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x14ac:dyDescent="0.2">
      <c r="A102" s="22" t="s">
        <v>448</v>
      </c>
      <c r="B102" s="70">
        <v>16000000</v>
      </c>
      <c r="C102" s="70">
        <v>71081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x14ac:dyDescent="0.2">
      <c r="A103" s="22" t="s">
        <v>449</v>
      </c>
      <c r="B103" s="70">
        <v>17000000</v>
      </c>
      <c r="C103" s="70">
        <v>73421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x14ac:dyDescent="0.2">
      <c r="A104" s="22" t="s">
        <v>450</v>
      </c>
      <c r="B104" s="70">
        <v>18000000</v>
      </c>
      <c r="C104" s="70">
        <v>75685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x14ac:dyDescent="0.2">
      <c r="A105" s="22" t="s">
        <v>451</v>
      </c>
      <c r="B105" s="70">
        <v>19000000</v>
      </c>
      <c r="C105" s="70">
        <v>77883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x14ac:dyDescent="0.2">
      <c r="A106" s="22" t="s">
        <v>452</v>
      </c>
      <c r="B106" s="70">
        <v>20000000</v>
      </c>
      <c r="C106" s="70">
        <v>80041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x14ac:dyDescent="0.2">
      <c r="A107" s="22" t="s">
        <v>453</v>
      </c>
      <c r="B107" s="70">
        <v>25000000</v>
      </c>
      <c r="C107" s="70">
        <v>90064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x14ac:dyDescent="0.2">
      <c r="A108" s="22" t="s">
        <v>454</v>
      </c>
      <c r="B108" s="70">
        <v>30000000</v>
      </c>
      <c r="C108" s="70">
        <v>98998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x14ac:dyDescent="0.2">
      <c r="A109" s="22" t="s">
        <v>455</v>
      </c>
      <c r="B109" s="70">
        <v>35000000</v>
      </c>
      <c r="C109" s="70">
        <v>107341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x14ac:dyDescent="0.2">
      <c r="A110" s="22" t="s">
        <v>456</v>
      </c>
      <c r="B110" s="70">
        <v>40000000</v>
      </c>
      <c r="C110" s="70">
        <v>115429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x14ac:dyDescent="0.2">
      <c r="A111" s="22" t="s">
        <v>457</v>
      </c>
      <c r="B111" s="70">
        <v>45000000</v>
      </c>
      <c r="C111" s="70">
        <v>123061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x14ac:dyDescent="0.2">
      <c r="A112" s="22" t="s">
        <v>458</v>
      </c>
      <c r="B112" s="70">
        <v>50000000</v>
      </c>
      <c r="C112" s="70">
        <v>129757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x14ac:dyDescent="0.2">
      <c r="A113" s="22" t="s">
        <v>459</v>
      </c>
      <c r="B113" s="70">
        <v>55000000</v>
      </c>
      <c r="C113" s="70">
        <v>134938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x14ac:dyDescent="0.2">
      <c r="A114" s="22" t="s">
        <v>460</v>
      </c>
      <c r="B114" s="70">
        <v>60000000</v>
      </c>
      <c r="C114" s="70">
        <v>139138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x14ac:dyDescent="0.2">
      <c r="A115" s="22" t="s">
        <v>461</v>
      </c>
      <c r="B115" s="70">
        <v>65000000</v>
      </c>
      <c r="C115" s="70">
        <v>142624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x14ac:dyDescent="0.2">
      <c r="A116" s="22" t="s">
        <v>462</v>
      </c>
      <c r="B116" s="70">
        <v>70000000</v>
      </c>
      <c r="C116" s="70">
        <v>145964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x14ac:dyDescent="0.2">
      <c r="A117" s="22" t="s">
        <v>463</v>
      </c>
      <c r="B117" s="70">
        <v>75000000</v>
      </c>
      <c r="C117" s="70">
        <v>149301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x14ac:dyDescent="0.2">
      <c r="A118" s="22" t="s">
        <v>464</v>
      </c>
      <c r="B118" s="70">
        <v>80000000</v>
      </c>
      <c r="C118" s="70">
        <v>152637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x14ac:dyDescent="0.2">
      <c r="A119" s="22" t="s">
        <v>465</v>
      </c>
      <c r="B119" s="70">
        <v>85000000</v>
      </c>
      <c r="C119" s="70">
        <v>155870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x14ac:dyDescent="0.2">
      <c r="A120" s="22" t="s">
        <v>466</v>
      </c>
      <c r="B120" s="70">
        <v>88000000</v>
      </c>
      <c r="C120" s="70">
        <v>157698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x14ac:dyDescent="0.2">
      <c r="A121" s="22" t="s">
        <v>467</v>
      </c>
      <c r="B121" s="70">
        <v>90000000</v>
      </c>
      <c r="C121" s="70">
        <v>158912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x14ac:dyDescent="0.2">
      <c r="A122" s="22" t="s">
        <v>468</v>
      </c>
      <c r="B122" s="70">
        <v>100000000</v>
      </c>
      <c r="C122" s="70">
        <v>163656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x14ac:dyDescent="0.2">
      <c r="A123" s="22" t="s">
        <v>469</v>
      </c>
      <c r="B123" s="70">
        <v>110000000</v>
      </c>
      <c r="C123" s="70">
        <v>166065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x14ac:dyDescent="0.2">
      <c r="A124" s="22" t="s">
        <v>470</v>
      </c>
      <c r="B124" s="70">
        <v>120000000</v>
      </c>
      <c r="C124" s="70">
        <v>168368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x14ac:dyDescent="0.2">
      <c r="A125" s="22" t="s">
        <v>471</v>
      </c>
      <c r="B125" s="70">
        <v>130000000</v>
      </c>
      <c r="C125" s="70">
        <v>170578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x14ac:dyDescent="0.2">
      <c r="A126" s="22" t="s">
        <v>472</v>
      </c>
      <c r="B126" s="70">
        <v>140000000</v>
      </c>
      <c r="C126" s="70">
        <v>172765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x14ac:dyDescent="0.2">
      <c r="A127" s="22" t="s">
        <v>473</v>
      </c>
      <c r="B127" s="70">
        <v>150000000</v>
      </c>
      <c r="C127" s="70">
        <v>174895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x14ac:dyDescent="0.2">
      <c r="A128" s="22" t="s">
        <v>474</v>
      </c>
      <c r="B128" s="70">
        <v>160000000</v>
      </c>
      <c r="C128" s="70">
        <v>176859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x14ac:dyDescent="0.2">
      <c r="A129" s="22" t="s">
        <v>475</v>
      </c>
      <c r="B129" s="70">
        <v>170000000</v>
      </c>
      <c r="C129" s="70">
        <v>178452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x14ac:dyDescent="0.2">
      <c r="A130" s="22" t="s">
        <v>476</v>
      </c>
      <c r="B130" s="70">
        <v>180000000</v>
      </c>
      <c r="C130" s="70">
        <v>179780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x14ac:dyDescent="0.2">
      <c r="A131" s="22" t="s">
        <v>477</v>
      </c>
      <c r="B131" s="70">
        <v>190000000</v>
      </c>
      <c r="C131" s="70">
        <v>181109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x14ac:dyDescent="0.2">
      <c r="A132" s="22" t="s">
        <v>478</v>
      </c>
      <c r="B132" s="70">
        <v>200000000</v>
      </c>
      <c r="C132" s="70">
        <v>182421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x14ac:dyDescent="0.2">
      <c r="A133" s="22" t="s">
        <v>479</v>
      </c>
      <c r="B133" s="70">
        <v>210000000</v>
      </c>
      <c r="C133" s="70">
        <v>183627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x14ac:dyDescent="0.2">
      <c r="A134" s="22" t="s">
        <v>480</v>
      </c>
      <c r="B134" s="70">
        <v>220000000</v>
      </c>
      <c r="C134" s="70">
        <v>184773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x14ac:dyDescent="0.2">
      <c r="A135" s="22" t="s">
        <v>481</v>
      </c>
      <c r="B135" s="70">
        <v>230000000</v>
      </c>
      <c r="C135" s="70">
        <v>185867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x14ac:dyDescent="0.2">
      <c r="A136" s="22" t="s">
        <v>482</v>
      </c>
      <c r="B136" s="70">
        <v>240000000</v>
      </c>
      <c r="C136" s="70">
        <v>186843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x14ac:dyDescent="0.2">
      <c r="A137" s="22" t="s">
        <v>483</v>
      </c>
      <c r="B137" s="70">
        <v>250000000</v>
      </c>
      <c r="C137" s="70">
        <v>187819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x14ac:dyDescent="0.2">
      <c r="A140" s="168" t="s">
        <v>1742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</row>
    <row r="141" spans="1:19" x14ac:dyDescent="0.2">
      <c r="A141" s="22" t="s">
        <v>484</v>
      </c>
      <c r="B141" s="8"/>
      <c r="C141" s="8"/>
      <c r="D141" s="44">
        <f>1</f>
        <v>1</v>
      </c>
      <c r="E141" s="44">
        <f>D141*(1+E149)</f>
        <v>1.0349999999999999</v>
      </c>
      <c r="F141" s="44">
        <f t="shared" ref="F141:S141" si="0">E141*(1+F149)</f>
        <v>1.0700749999999999</v>
      </c>
      <c r="G141" s="44">
        <f t="shared" si="0"/>
        <v>1.1051496805555554</v>
      </c>
      <c r="H141" s="44">
        <f t="shared" si="0"/>
        <v>1.1401460871064815</v>
      </c>
      <c r="I141" s="44">
        <f t="shared" si="0"/>
        <v>1.1749838842125127</v>
      </c>
      <c r="J141" s="44">
        <f t="shared" si="0"/>
        <v>1.2095806319143254</v>
      </c>
      <c r="K141" s="44">
        <f t="shared" si="0"/>
        <v>1.243852083151898</v>
      </c>
      <c r="L141" s="44">
        <f t="shared" si="0"/>
        <v>1.2777125009710331</v>
      </c>
      <c r="M141" s="44">
        <f t="shared" si="0"/>
        <v>1.3110749940519435</v>
      </c>
      <c r="N141" s="44">
        <f t="shared" si="0"/>
        <v>1.3438518689032419</v>
      </c>
      <c r="O141" s="44">
        <f t="shared" si="0"/>
        <v>1.3774481656258228</v>
      </c>
      <c r="P141" s="44">
        <f t="shared" si="0"/>
        <v>1.4118843697664683</v>
      </c>
      <c r="Q141" s="44">
        <f t="shared" si="0"/>
        <v>1.4471814790106299</v>
      </c>
      <c r="R141" s="44">
        <f t="shared" si="0"/>
        <v>1.4833610159858954</v>
      </c>
      <c r="S141" s="44">
        <f t="shared" si="0"/>
        <v>1.5204450413855426</v>
      </c>
    </row>
    <row r="142" spans="1:19" x14ac:dyDescent="0.2">
      <c r="A142" s="22" t="s">
        <v>485</v>
      </c>
      <c r="B142" s="8"/>
      <c r="C142" s="8"/>
      <c r="D142" s="70">
        <f t="array" ref="D142">IFERROR(INDEX(Starlink!$D:$AC,MATCH("BB Gbps available for external Starlink revenue",Starlink!$A$1:$A$205,0),COLUMN()-COLUMN($D142)+1),0)</f>
        <v>489144</v>
      </c>
      <c r="E142" s="70">
        <f t="array" aca="1" ref="E142" ca="1">IFERROR(INDEX(Starlink!$D:$AC,MATCH("BB Gbps available for external Starlink revenue",Starlink!$A$1:$A$205,0),COLUMN()-COLUMN($D142)+1),0)</f>
        <v>756736</v>
      </c>
      <c r="F142" s="70">
        <f t="array" aca="1" ref="F142" ca="1">IFERROR(INDEX(Starlink!$D:$AC,MATCH("BB Gbps available for external Starlink revenue",Starlink!$A$1:$A$205,0),COLUMN()-COLUMN($D142)+1),0)</f>
        <v>4652054.3750642929</v>
      </c>
      <c r="G142" s="70">
        <f t="array" aca="1" ref="G142" ca="1">IFERROR(INDEX(Starlink!$D:$AC,MATCH("BB Gbps available for external Starlink revenue",Starlink!$A$1:$A$205,0),COLUMN()-COLUMN($D142)+1),0)</f>
        <v>13909802.590216631</v>
      </c>
      <c r="H142" s="70">
        <f t="array" aca="1" ref="H142" ca="1">IFERROR(INDEX(Starlink!$D:$AC,MATCH("BB Gbps available for external Starlink revenue",Starlink!$A$1:$A$205,0),COLUMN()-COLUMN($D142)+1),0)</f>
        <v>34094522.779119767</v>
      </c>
      <c r="I142" s="70">
        <f t="array" aca="1" ref="I142" ca="1">IFERROR(INDEX(Starlink!$D:$AC,MATCH("BB Gbps available for external Starlink revenue",Starlink!$A$1:$A$205,0),COLUMN()-COLUMN($D142)+1),0)</f>
        <v>46320469.044425473</v>
      </c>
      <c r="J142" s="70">
        <f t="array" aca="1" ref="J142" ca="1">IFERROR(INDEX(Starlink!$D:$AC,MATCH("BB Gbps available for external Starlink revenue",Starlink!$A$1:$A$205,0),COLUMN()-COLUMN($D142)+1),0)</f>
        <v>73672560.08235769</v>
      </c>
      <c r="K142" s="70">
        <f t="array" aca="1" ref="K142" ca="1">IFERROR(INDEX(Starlink!$D:$AC,MATCH("BB Gbps available for external Starlink revenue",Starlink!$A$1:$A$205,0),COLUMN()-COLUMN($D142)+1),0)</f>
        <v>82297888.935344785</v>
      </c>
      <c r="L142" s="70">
        <f t="array" aca="1" ref="L142" ca="1">IFERROR(INDEX(Starlink!$D:$AC,MATCH("BB Gbps available for external Starlink revenue",Starlink!$A$1:$A$205,0),COLUMN()-COLUMN($D142)+1),0)</f>
        <v>87623985.281269148</v>
      </c>
      <c r="M142" s="70">
        <f t="array" aca="1" ref="M142" ca="1">IFERROR(INDEX(Starlink!$D:$AC,MATCH("BB Gbps available for external Starlink revenue",Starlink!$A$1:$A$205,0),COLUMN()-COLUMN($D142)+1),0)</f>
        <v>91650663.435193181</v>
      </c>
      <c r="N142" s="70">
        <f t="array" aca="1" ref="N142" ca="1">IFERROR(INDEX(Starlink!$D:$AC,MATCH("BB Gbps available for external Starlink revenue",Starlink!$A$1:$A$205,0),COLUMN()-COLUMN($D142)+1),0)</f>
        <v>112707779.29752035</v>
      </c>
      <c r="O142" s="70">
        <f t="array" aca="1" ref="O142" ca="1">IFERROR(INDEX(Starlink!$D:$AC,MATCH("BB Gbps available for external Starlink revenue",Starlink!$A$1:$A$205,0),COLUMN()-COLUMN($D142)+1),0)</f>
        <v>148529816.49472937</v>
      </c>
      <c r="P142" s="70">
        <f t="array" aca="1" ref="P142" ca="1">IFERROR(INDEX(Starlink!$D:$AC,MATCH("BB Gbps available for external Starlink revenue",Starlink!$A$1:$A$205,0),COLUMN()-COLUMN($D142)+1),0)</f>
        <v>193656853.91257617</v>
      </c>
      <c r="Q142" s="70">
        <f t="array" aca="1" ref="Q142" ca="1">IFERROR(INDEX(Starlink!$D:$AC,MATCH("BB Gbps available for external Starlink revenue",Starlink!$A$1:$A$205,0),COLUMN()-COLUMN($D142)+1),0)</f>
        <v>211278025.93424073</v>
      </c>
      <c r="R142" s="70">
        <f t="array" aca="1" ref="R142" ca="1">IFERROR(INDEX(Starlink!$D:$AC,MATCH("BB Gbps available for external Starlink revenue",Starlink!$A$1:$A$205,0),COLUMN()-COLUMN($D142)+1),0)</f>
        <v>208405492.11428174</v>
      </c>
      <c r="S142" s="70">
        <f t="array" aca="1" ref="S142" ca="1">IFERROR(INDEX(Starlink!$D:$AC,MATCH("BB Gbps available for external Starlink revenue",Starlink!$A$1:$A$205,0),COLUMN()-COLUMN($D142)+1),0)</f>
        <v>195211709.59247324</v>
      </c>
    </row>
    <row r="143" spans="1:19" x14ac:dyDescent="0.2">
      <c r="A143" s="22" t="s">
        <v>486</v>
      </c>
      <c r="B143" s="8"/>
      <c r="C143" s="8"/>
      <c r="D143" s="70">
        <f t="array" ref="D143">IFERROR(INDEX(Starlink!$D:$AC,MATCH("DTC Gbps available for external Starlink revenue",Starlink!$A$1:$A$205,0),COLUMN()-COLUMN($D143)+1),0)</f>
        <v>577.71</v>
      </c>
      <c r="E143" s="70">
        <f t="array" ref="E143">IFERROR(INDEX(Starlink!$D:$AC,MATCH("DTC Gbps available for external Starlink revenue",Starlink!$A$1:$A$205,0),COLUMN()-COLUMN($D143)+1),0)</f>
        <v>577.71</v>
      </c>
      <c r="F143" s="70">
        <f t="array" aca="1" ref="F143" ca="1">IFERROR(INDEX(Starlink!$D:$AC,MATCH("DTC Gbps available for external Starlink revenue",Starlink!$A$1:$A$205,0),COLUMN()-COLUMN($D143)+1),0)</f>
        <v>579.36897622546712</v>
      </c>
      <c r="G143" s="70">
        <f t="array" aca="1" ref="G143" ca="1">IFERROR(INDEX(Starlink!$D:$AC,MATCH("DTC Gbps available for external Starlink revenue",Starlink!$A$1:$A$205,0),COLUMN()-COLUMN($D143)+1),0)</f>
        <v>649.97108810747886</v>
      </c>
      <c r="H143" s="70">
        <f t="array" aca="1" ref="H143" ca="1">IFERROR(INDEX(Starlink!$D:$AC,MATCH("DTC Gbps available for external Starlink revenue",Starlink!$A$1:$A$205,0),COLUMN()-COLUMN($D143)+1),0)</f>
        <v>2675.9980758530478</v>
      </c>
      <c r="I143" s="70">
        <f t="array" aca="1" ref="I143" ca="1">IFERROR(INDEX(Starlink!$D:$AC,MATCH("DTC Gbps available for external Starlink revenue",Starlink!$A$1:$A$205,0),COLUMN()-COLUMN($D143)+1),0)</f>
        <v>22412.90848219677</v>
      </c>
      <c r="J143" s="70">
        <f t="array" aca="1" ref="J143" ca="1">IFERROR(INDEX(Starlink!$D:$AC,MATCH("DTC Gbps available for external Starlink revenue",Starlink!$A$1:$A$205,0),COLUMN()-COLUMN($D143)+1),0)</f>
        <v>47287.790725697079</v>
      </c>
      <c r="K143" s="70">
        <f t="array" aca="1" ref="K143" ca="1">IFERROR(INDEX(Starlink!$D:$AC,MATCH("DTC Gbps available for external Starlink revenue",Starlink!$A$1:$A$205,0),COLUMN()-COLUMN($D143)+1),0)</f>
        <v>71156.613222255284</v>
      </c>
      <c r="L143" s="70">
        <f t="array" aca="1" ref="L143" ca="1">IFERROR(INDEX(Starlink!$D:$AC,MATCH("DTC Gbps available for external Starlink revenue",Starlink!$A$1:$A$205,0),COLUMN()-COLUMN($D143)+1),0)</f>
        <v>100483.54281579077</v>
      </c>
      <c r="M143" s="70">
        <f t="array" aca="1" ref="M143" ca="1">IFERROR(INDEX(Starlink!$D:$AC,MATCH("DTC Gbps available for external Starlink revenue",Starlink!$A$1:$A$205,0),COLUMN()-COLUMN($D143)+1),0)</f>
        <v>137868.27310654343</v>
      </c>
      <c r="N143" s="70">
        <f t="array" aca="1" ref="N143" ca="1">IFERROR(INDEX(Starlink!$D:$AC,MATCH("DTC Gbps available for external Starlink revenue",Starlink!$A$1:$A$205,0),COLUMN()-COLUMN($D143)+1),0)</f>
        <v>160758.30682321559</v>
      </c>
      <c r="O143" s="70">
        <f t="array" aca="1" ref="O143" ca="1">IFERROR(INDEX(Starlink!$D:$AC,MATCH("DTC Gbps available for external Starlink revenue",Starlink!$A$1:$A$205,0),COLUMN()-COLUMN($D143)+1),0)</f>
        <v>180935.80473712768</v>
      </c>
      <c r="P143" s="70">
        <f t="array" aca="1" ref="P143" ca="1">IFERROR(INDEX(Starlink!$D:$AC,MATCH("DTC Gbps available for external Starlink revenue",Starlink!$A$1:$A$205,0),COLUMN()-COLUMN($D143)+1),0)</f>
        <v>195697.77250631052</v>
      </c>
      <c r="Q143" s="70">
        <f t="array" aca="1" ref="Q143" ca="1">IFERROR(INDEX(Starlink!$D:$AC,MATCH("DTC Gbps available for external Starlink revenue",Starlink!$A$1:$A$205,0),COLUMN()-COLUMN($D143)+1),0)</f>
        <v>187449.31793602306</v>
      </c>
      <c r="R143" s="70">
        <f t="array" aca="1" ref="R143" ca="1">IFERROR(INDEX(Starlink!$D:$AC,MATCH("DTC Gbps available for external Starlink revenue",Starlink!$A$1:$A$205,0),COLUMN()-COLUMN($D143)+1),0)</f>
        <v>162959.84993835478</v>
      </c>
      <c r="S143" s="70">
        <f t="array" aca="1" ref="S143" ca="1">IFERROR(INDEX(Starlink!$D:$AC,MATCH("DTC Gbps available for external Starlink revenue",Starlink!$A$1:$A$205,0),COLUMN()-COLUMN($D143)+1),0)</f>
        <v>136991.06370784823</v>
      </c>
    </row>
    <row r="144" spans="1:19" x14ac:dyDescent="0.2">
      <c r="A144" s="22" t="s">
        <v>487</v>
      </c>
      <c r="B144" s="8"/>
      <c r="C144" s="8"/>
      <c r="D144" s="66" cm="1">
        <f t="array" ref="D144">((IF(D142&gt;=INDEX($B$82:$B$137,COUNTA($B$82:$B$137)),INDEX($C$82:$C$137,COUNTA($B$82:$B$137))*D141,IF(D142&lt;=INDEX($B$82:$B$137,1),INDEX($C$82:$C$137,1)*D141,(INDEX($C$82:$C$137,MATCH(D142,$B$82:$B$137,1))+(D142-INDEX($B$82:$B$137,MATCH(D142,$B$82:$B$137,1)))*(INDEX($C$82:$C$137,MATCH(D142,$B$82:$B$137,1)+1)-INDEX($C$82:$C$137,MATCH(D142,$B$82:$B$137,1)))/(INDEX($B$82:$B$137,MATCH(D142,$B$82:$B$137,1)+1)-INDEX($B$82:$B$137,MATCH(D142,$B$82:$B$137,1))))*D141)))*INDEX(Assumptions!$B:$B,MATCH("BB demand curve level multiplier",Assumptions!$A$1:$A$327,0)))*D151</f>
        <v>6721.2205509599999</v>
      </c>
      <c r="E144" s="66" cm="1">
        <f t="array" aca="1" ref="E144" ca="1">((IF(E142&gt;=INDEX($B$82:$B$137,COUNTA($B$82:$B$137)),INDEX($C$82:$C$137,COUNTA($B$82:$B$137))*E141,IF(E142&lt;=INDEX($B$82:$B$137,1),INDEX($C$82:$C$137,1)*E141,(INDEX($C$82:$C$137,MATCH(E142,$B$82:$B$137,1))+(E142-INDEX($B$82:$B$137,MATCH(E142,$B$82:$B$137,1)))*(INDEX($C$82:$C$137,MATCH(E142,$B$82:$B$137,1)+1)-INDEX($C$82:$C$137,MATCH(E142,$B$82:$B$137,1)))/(INDEX($B$82:$B$137,MATCH(E142,$B$82:$B$137,1)+1)-INDEX($B$82:$B$137,MATCH(E142,$B$82:$B$137,1))))*E141)))*INDEX(Assumptions!$B:$B,MATCH("BB demand curve level multiplier",Assumptions!$A$1:$A$327,0)))*E151</f>
        <v>9347.5764579427196</v>
      </c>
      <c r="F144" s="66" cm="1">
        <f t="array" aca="1" ref="F144" ca="1">((IF(F142&gt;=INDEX($B$82:$B$137,COUNTA($B$82:$B$137)),INDEX($C$82:$C$137,COUNTA($B$82:$B$137))*F141,IF(F142&lt;=INDEX($B$82:$B$137,1),INDEX($C$82:$C$137,1)*F141,(INDEX($C$82:$C$137,MATCH(F142,$B$82:$B$137,1))+(F142-INDEX($B$82:$B$137,MATCH(F142,$B$82:$B$137,1)))*(INDEX($C$82:$C$137,MATCH(F142,$B$82:$B$137,1)+1)-INDEX($C$82:$C$137,MATCH(F142,$B$82:$B$137,1)))/(INDEX($B$82:$B$137,MATCH(F142,$B$82:$B$137,1)+1)-INDEX($B$82:$B$137,MATCH(F142,$B$82:$B$137,1))))*F141)))*INDEX(Assumptions!$B:$B,MATCH("BB demand curve level multiplier",Assumptions!$A$1:$A$327,0)))*F151</f>
        <v>37555.661744916186</v>
      </c>
      <c r="G144" s="66" cm="1">
        <f t="array" aca="1" ref="G144" ca="1">((IF(G142&gt;=INDEX($B$82:$B$137,COUNTA($B$82:$B$137)),INDEX($C$82:$C$137,COUNTA($B$82:$B$137))*G141,IF(G142&lt;=INDEX($B$82:$B$137,1),INDEX($C$82:$C$137,1)*G141,(INDEX($C$82:$C$137,MATCH(G142,$B$82:$B$137,1))+(G142-INDEX($B$82:$B$137,MATCH(G142,$B$82:$B$137,1)))*(INDEX($C$82:$C$137,MATCH(G142,$B$82:$B$137,1)+1)-INDEX($C$82:$C$137,MATCH(G142,$B$82:$B$137,1)))/(INDEX($B$82:$B$137,MATCH(G142,$B$82:$B$137,1)+1)-INDEX($B$82:$B$137,MATCH(G142,$B$82:$B$137,1))))*G141)))*INDEX(Assumptions!$B:$B,MATCH("BB demand curve level multiplier",Assumptions!$A$1:$A$327,0)))*G151</f>
        <v>80517.637559733921</v>
      </c>
      <c r="H144" s="66" cm="1">
        <f t="array" aca="1" ref="H144" ca="1">((IF(H142&gt;=INDEX($B$82:$B$137,COUNTA($B$82:$B$137)),INDEX($C$82:$C$137,COUNTA($B$82:$B$137))*H141,IF(H142&lt;=INDEX($B$82:$B$137,1),INDEX($C$82:$C$137,1)*H141,(INDEX($C$82:$C$137,MATCH(H142,$B$82:$B$137,1))+(H142-INDEX($B$82:$B$137,MATCH(H142,$B$82:$B$137,1)))*(INDEX($C$82:$C$137,MATCH(H142,$B$82:$B$137,1)+1)-INDEX($C$82:$C$137,MATCH(H142,$B$82:$B$137,1)))/(INDEX($B$82:$B$137,MATCH(H142,$B$82:$B$137,1)+1)-INDEX($B$82:$B$137,MATCH(H142,$B$82:$B$137,1))))*H141)))*INDEX(Assumptions!$B:$B,MATCH("BB demand curve level multiplier",Assumptions!$A$1:$A$327,0)))*H151</f>
        <v>133572.61041328282</v>
      </c>
      <c r="I144" s="66" cm="1">
        <f t="array" aca="1" ref="I144" ca="1">((IF(I142&gt;=INDEX($B$82:$B$137,COUNTA($B$82:$B$137)),INDEX($C$82:$C$137,COUNTA($B$82:$B$137))*I141,IF(I142&lt;=INDEX($B$82:$B$137,1),INDEX($C$82:$C$137,1)*I141,(INDEX($C$82:$C$137,MATCH(I142,$B$82:$B$137,1))+(I142-INDEX($B$82:$B$137,MATCH(I142,$B$82:$B$137,1)))*(INDEX($C$82:$C$137,MATCH(I142,$B$82:$B$137,1)+1)-INDEX($C$82:$C$137,MATCH(I142,$B$82:$B$137,1)))/(INDEX($B$82:$B$137,MATCH(I142,$B$82:$B$137,1)+1)-INDEX($B$82:$B$137,MATCH(I142,$B$82:$B$137,1))))*I141)))*INDEX(Assumptions!$B:$B,MATCH("BB demand curve level multiplier",Assumptions!$A$1:$A$327,0)))*I151</f>
        <v>162366.45810432514</v>
      </c>
      <c r="J144" s="66" cm="1">
        <f t="array" aca="1" ref="J144" ca="1">((IF(J142&gt;=INDEX($B$82:$B$137,COUNTA($B$82:$B$137)),INDEX($C$82:$C$137,COUNTA($B$82:$B$137))*J141,IF(J142&lt;=INDEX($B$82:$B$137,1),INDEX($C$82:$C$137,1)*J141,(INDEX($C$82:$C$137,MATCH(J142,$B$82:$B$137,1))+(J142-INDEX($B$82:$B$137,MATCH(J142,$B$82:$B$137,1)))*(INDEX($C$82:$C$137,MATCH(J142,$B$82:$B$137,1)+1)-INDEX($C$82:$C$137,MATCH(J142,$B$82:$B$137,1)))/(INDEX($B$82:$B$137,MATCH(J142,$B$82:$B$137,1)+1)-INDEX($B$82:$B$137,MATCH(J142,$B$82:$B$137,1))))*J141)))*INDEX(Assumptions!$B:$B,MATCH("BB demand curve level multiplier",Assumptions!$A$1:$A$327,0)))*J151</f>
        <v>198728.62897691844</v>
      </c>
      <c r="K144" s="66" cm="1">
        <f t="array" aca="1" ref="K144" ca="1">((IF(K142&gt;=INDEX($B$82:$B$137,COUNTA($B$82:$B$137)),INDEX($C$82:$C$137,COUNTA($B$82:$B$137))*K141,IF(K142&lt;=INDEX($B$82:$B$137,1),INDEX($C$82:$C$137,1)*K141,(INDEX($C$82:$C$137,MATCH(K142,$B$82:$B$137,1))+(K142-INDEX($B$82:$B$137,MATCH(K142,$B$82:$B$137,1)))*(INDEX($C$82:$C$137,MATCH(K142,$B$82:$B$137,1)+1)-INDEX($C$82:$C$137,MATCH(K142,$B$82:$B$137,1)))/(INDEX($B$82:$B$137,MATCH(K142,$B$82:$B$137,1)+1)-INDEX($B$82:$B$137,MATCH(K142,$B$82:$B$137,1))))*K141)))*INDEX(Assumptions!$B:$B,MATCH("BB demand curve level multiplier",Assumptions!$A$1:$A$327,0)))*K151</f>
        <v>212218.52482053958</v>
      </c>
      <c r="L144" s="66" cm="1">
        <f t="array" aca="1" ref="L144" ca="1">((IF(L142&gt;=INDEX($B$82:$B$137,COUNTA($B$82:$B$137)),INDEX($C$82:$C$137,COUNTA($B$82:$B$137))*L141,IF(L142&lt;=INDEX($B$82:$B$137,1),INDEX($C$82:$C$137,1)*L141,(INDEX($C$82:$C$137,MATCH(L142,$B$82:$B$137,1))+(L142-INDEX($B$82:$B$137,MATCH(L142,$B$82:$B$137,1)))*(INDEX($C$82:$C$137,MATCH(L142,$B$82:$B$137,1)+1)-INDEX($C$82:$C$137,MATCH(L142,$B$82:$B$137,1)))/(INDEX($B$82:$B$137,MATCH(L142,$B$82:$B$137,1)+1)-INDEX($B$82:$B$137,MATCH(L142,$B$82:$B$137,1))))*L141)))*INDEX(Assumptions!$B:$B,MATCH("BB demand curve level multiplier",Assumptions!$A$1:$A$327,0)))*L151</f>
        <v>222728.35423610132</v>
      </c>
      <c r="M144" s="66" cm="1">
        <f t="array" aca="1" ref="M144" ca="1">((IF(M142&gt;=INDEX($B$82:$B$137,COUNTA($B$82:$B$137)),INDEX($C$82:$C$137,COUNTA($B$82:$B$137))*M141,IF(M142&lt;=INDEX($B$82:$B$137,1),INDEX($C$82:$C$137,1)*M141,(INDEX($C$82:$C$137,MATCH(M142,$B$82:$B$137,1))+(M142-INDEX($B$82:$B$137,MATCH(M142,$B$82:$B$137,1)))*(INDEX($C$82:$C$137,MATCH(M142,$B$82:$B$137,1)+1)-INDEX($C$82:$C$137,MATCH(M142,$B$82:$B$137,1)))/(INDEX($B$82:$B$137,MATCH(M142,$B$82:$B$137,1)+1)-INDEX($B$82:$B$137,MATCH(M142,$B$82:$B$137,1))))*M141)))*INDEX(Assumptions!$B:$B,MATCH("BB demand curve level multiplier",Assumptions!$A$1:$A$327,0)))*M151</f>
        <v>231775.04660630334</v>
      </c>
      <c r="N144" s="66" cm="1">
        <f t="array" aca="1" ref="N144" ca="1">((IF(N142&gt;=INDEX($B$82:$B$137,COUNTA($B$82:$B$137)),INDEX($C$82:$C$137,COUNTA($B$82:$B$137))*N141,IF(N142&lt;=INDEX($B$82:$B$137,1),INDEX($C$82:$C$137,1)*N141,(INDEX($C$82:$C$137,MATCH(N142,$B$82:$B$137,1))+(N142-INDEX($B$82:$B$137,MATCH(N142,$B$82:$B$137,1)))*(INDEX($C$82:$C$137,MATCH(N142,$B$82:$B$137,1)+1)-INDEX($C$82:$C$137,MATCH(N142,$B$82:$B$137,1)))/(INDEX($B$82:$B$137,MATCH(N142,$B$82:$B$137,1)+1)-INDEX($B$82:$B$137,MATCH(N142,$B$82:$B$137,1))))*N141)))*INDEX(Assumptions!$B:$B,MATCH("BB demand curve level multiplier",Assumptions!$A$1:$A$327,0)))*N151</f>
        <v>247973.30114369758</v>
      </c>
      <c r="O144" s="66" cm="1">
        <f t="array" aca="1" ref="O144" ca="1">((IF(O142&gt;=INDEX($B$82:$B$137,COUNTA($B$82:$B$137)),INDEX($C$82:$C$137,COUNTA($B$82:$B$137))*O141,IF(O142&lt;=INDEX($B$82:$B$137,1),INDEX($C$82:$C$137,1)*O141,(INDEX($C$82:$C$137,MATCH(O142,$B$82:$B$137,1))+(O142-INDEX($B$82:$B$137,MATCH(O142,$B$82:$B$137,1)))*(INDEX($C$82:$C$137,MATCH(O142,$B$82:$B$137,1)+1)-INDEX($C$82:$C$137,MATCH(O142,$B$82:$B$137,1)))/(INDEX($B$82:$B$137,MATCH(O142,$B$82:$B$137,1)+1)-INDEX($B$82:$B$137,MATCH(O142,$B$82:$B$137,1))))*O141)))*INDEX(Assumptions!$B:$B,MATCH("BB demand curve level multiplier",Assumptions!$A$1:$A$327,0)))*O151</f>
        <v>266208.53747345717</v>
      </c>
      <c r="P144" s="66" cm="1">
        <f t="array" aca="1" ref="P144" ca="1">((IF(P142&gt;=INDEX($B$82:$B$137,COUNTA($B$82:$B$137)),INDEX($C$82:$C$137,COUNTA($B$82:$B$137))*P141,IF(P142&lt;=INDEX($B$82:$B$137,1),INDEX($C$82:$C$137,1)*P141,(INDEX($C$82:$C$137,MATCH(P142,$B$82:$B$137,1))+(P142-INDEX($B$82:$B$137,MATCH(P142,$B$82:$B$137,1)))*(INDEX($C$82:$C$137,MATCH(P142,$B$82:$B$137,1)+1)-INDEX($C$82:$C$137,MATCH(P142,$B$82:$B$137,1)))/(INDEX($B$82:$B$137,MATCH(P142,$B$82:$B$137,1)+1)-INDEX($B$82:$B$137,MATCH(P142,$B$82:$B$137,1))))*P141)))*INDEX(Assumptions!$B:$B,MATCH("BB demand curve level multiplier",Assumptions!$A$1:$A$327,0)))*P151</f>
        <v>283815.27155083528</v>
      </c>
      <c r="Q144" s="66" cm="1">
        <f t="array" aca="1" ref="Q144" ca="1">((IF(Q142&gt;=INDEX($B$82:$B$137,COUNTA($B$82:$B$137)),INDEX($C$82:$C$137,COUNTA($B$82:$B$137))*Q141,IF(Q142&lt;=INDEX($B$82:$B$137,1),INDEX($C$82:$C$137,1)*Q141,(INDEX($C$82:$C$137,MATCH(Q142,$B$82:$B$137,1))+(Q142-INDEX($B$82:$B$137,MATCH(Q142,$B$82:$B$137,1)))*(INDEX($C$82:$C$137,MATCH(Q142,$B$82:$B$137,1)+1)-INDEX($C$82:$C$137,MATCH(Q142,$B$82:$B$137,1)))/(INDEX($B$82:$B$137,MATCH(Q142,$B$82:$B$137,1)+1)-INDEX($B$82:$B$137,MATCH(Q142,$B$82:$B$137,1))))*Q141)))*INDEX(Assumptions!$B:$B,MATCH("BB demand curve level multiplier",Assumptions!$A$1:$A$327,0)))*Q151</f>
        <v>294410.58008269034</v>
      </c>
      <c r="R144" s="66" cm="1">
        <f t="array" aca="1" ref="R144" ca="1">((IF(R142&gt;=INDEX($B$82:$B$137,COUNTA($B$82:$B$137)),INDEX($C$82:$C$137,COUNTA($B$82:$B$137))*R141,IF(R142&lt;=INDEX($B$82:$B$137,1),INDEX($C$82:$C$137,1)*R141,(INDEX($C$82:$C$137,MATCH(R142,$B$82:$B$137,1))+(R142-INDEX($B$82:$B$137,MATCH(R142,$B$82:$B$137,1)))*(INDEX($C$82:$C$137,MATCH(R142,$B$82:$B$137,1)+1)-INDEX($C$82:$C$137,MATCH(R142,$B$82:$B$137,1)))/(INDEX($B$82:$B$137,MATCH(R142,$B$82:$B$137,1)+1)-INDEX($B$82:$B$137,MATCH(R142,$B$82:$B$137,1))))*R141)))*INDEX(Assumptions!$B:$B,MATCH("BB demand curve level multiplier",Assumptions!$A$1:$A$327,0)))*R151</f>
        <v>301214.57429290668</v>
      </c>
      <c r="S144" s="66" cm="1">
        <f t="array" aca="1" ref="S144" ca="1">((IF(S142&gt;=INDEX($B$82:$B$137,COUNTA($B$82:$B$137)),INDEX($C$82:$C$137,COUNTA($B$82:$B$137))*S141,IF(S142&lt;=INDEX($B$82:$B$137,1),INDEX($C$82:$C$137,1)*S141,(INDEX($C$82:$C$137,MATCH(S142,$B$82:$B$137,1))+(S142-INDEX($B$82:$B$137,MATCH(S142,$B$82:$B$137,1)))*(INDEX($C$82:$C$137,MATCH(S142,$B$82:$B$137,1)+1)-INDEX($C$82:$C$137,MATCH(S142,$B$82:$B$137,1)))/(INDEX($B$82:$B$137,MATCH(S142,$B$82:$B$137,1)+1)-INDEX($B$82:$B$137,MATCH(S142,$B$82:$B$137,1))))*S141)))*INDEX(Assumptions!$B:$B,MATCH("BB demand curve level multiplier",Assumptions!$A$1:$A$327,0)))*S151</f>
        <v>305981.35928807611</v>
      </c>
    </row>
    <row r="145" spans="1:19" x14ac:dyDescent="0.2">
      <c r="A145" s="22" t="s">
        <v>488</v>
      </c>
      <c r="B145" s="8"/>
      <c r="C145" s="8"/>
      <c r="D145" s="66" cm="1">
        <f t="array" ref="D145">((IF(D143&lt;=0,0,IF(D143&gt;=INDEX($B$17:$B$77,COUNTA($B$17:$B$77)),INDEX($C$17:$C$77,COUNTA($B$17:$B$77))*D141,IF(D143&lt;INDEX($B$17:$B$77,1),D143/INDEX($B$17:$B$77,1)*INDEX($C$17:$C$77,1)*D141,(INDEX($C$17:$C$77,MATCH(D143,$B$17:$B$77,1))+(D143-INDEX($B$17:$B$77,MATCH(D143,$B$17:$B$77,1)))*(INDEX($C$17:$C$77,MATCH(D143,$B$17:$B$77,1)+1)-INDEX($C$17:$C$77,MATCH(D143,$B$17:$B$77,1)))/(INDEX($B$17:$B$77,MATCH(D143,$B$17:$B$77,1)+1)-INDEX($B$17:$B$77,MATCH(D143,$B$17:$B$77,1))))*D141))))*INDEX(Assumptions!$B:$B,MATCH("DTC demand curve level multiplier",Assumptions!$A$1:$A$327,0)))*D150</f>
        <v>632.07519628836553</v>
      </c>
      <c r="E145" s="66" cm="1">
        <f t="array" ref="E145">((IF(E143&lt;=0,0,IF(E143&gt;=INDEX($B$17:$B$77,COUNTA($B$17:$B$77)),INDEX($C$17:$C$77,COUNTA($B$17:$B$77))*E141,IF(E143&lt;INDEX($B$17:$B$77,1),E143/INDEX($B$17:$B$77,1)*INDEX($C$17:$C$77,1)*E141,(INDEX($C$17:$C$77,MATCH(E143,$B$17:$B$77,1))+(E143-INDEX($B$17:$B$77,MATCH(E143,$B$17:$B$77,1)))*(INDEX($C$17:$C$77,MATCH(E143,$B$17:$B$77,1)+1)-INDEX($C$17:$C$77,MATCH(E143,$B$17:$B$77,1)))/(INDEX($B$17:$B$77,MATCH(E143,$B$17:$B$77,1)+1)-INDEX($B$17:$B$77,MATCH(E143,$B$17:$B$77,1))))*E141))))*INDEX(Assumptions!$B:$B,MATCH("DTC demand curve level multiplier",Assumptions!$A$1:$A$327,0)))*E150</f>
        <v>794.38307704955639</v>
      </c>
      <c r="F145" s="66" cm="1">
        <f t="array" aca="1" ref="F145" ca="1">((IF(F143&lt;=0,0,IF(F143&gt;=INDEX($B$17:$B$77,COUNTA($B$17:$B$77)),INDEX($C$17:$C$77,COUNTA($B$17:$B$77))*F141,IF(F143&lt;INDEX($B$17:$B$77,1),F143/INDEX($B$17:$B$77,1)*INDEX($C$17:$C$77,1)*F141,(INDEX($C$17:$C$77,MATCH(F143,$B$17:$B$77,1))+(F143-INDEX($B$17:$B$77,MATCH(F143,$B$17:$B$77,1)))*(INDEX($C$17:$C$77,MATCH(F143,$B$17:$B$77,1)+1)-INDEX($C$17:$C$77,MATCH(F143,$B$17:$B$77,1)))/(INDEX($B$17:$B$77,MATCH(F143,$B$17:$B$77,1)+1)-INDEX($B$17:$B$77,MATCH(F143,$B$17:$B$77,1))))*F141))))*INDEX(Assumptions!$B:$B,MATCH("DTC demand curve level multiplier",Assumptions!$A$1:$A$327,0)))*F150</f>
        <v>969.01841163700055</v>
      </c>
      <c r="G145" s="66" cm="1">
        <f t="array" aca="1" ref="G145" ca="1">((IF(G143&lt;=0,0,IF(G143&gt;=INDEX($B$17:$B$77,COUNTA($B$17:$B$77)),INDEX($C$17:$C$77,COUNTA($B$17:$B$77))*G141,IF(G143&lt;INDEX($B$17:$B$77,1),G143/INDEX($B$17:$B$77,1)*INDEX($C$17:$C$77,1)*G141,(INDEX($C$17:$C$77,MATCH(G143,$B$17:$B$77,1))+(G143-INDEX($B$17:$B$77,MATCH(G143,$B$17:$B$77,1)))*(INDEX($C$17:$C$77,MATCH(G143,$B$17:$B$77,1)+1)-INDEX($C$17:$C$77,MATCH(G143,$B$17:$B$77,1)))/(INDEX($B$17:$B$77,MATCH(G143,$B$17:$B$77,1)+1)-INDEX($B$17:$B$77,MATCH(G143,$B$17:$B$77,1))))*G141))))*INDEX(Assumptions!$B:$B,MATCH("DTC demand curve level multiplier",Assumptions!$A$1:$A$327,0)))*G150</f>
        <v>1291.3436109585891</v>
      </c>
      <c r="H145" s="66" cm="1">
        <f t="array" aca="1" ref="H145" ca="1">((IF(H143&lt;=0,0,IF(H143&gt;=INDEX($B$17:$B$77,COUNTA($B$17:$B$77)),INDEX($C$17:$C$77,COUNTA($B$17:$B$77))*H141,IF(H143&lt;INDEX($B$17:$B$77,1),H143/INDEX($B$17:$B$77,1)*INDEX($C$17:$C$77,1)*H141,(INDEX($C$17:$C$77,MATCH(H143,$B$17:$B$77,1))+(H143-INDEX($B$17:$B$77,MATCH(H143,$B$17:$B$77,1)))*(INDEX($C$17:$C$77,MATCH(H143,$B$17:$B$77,1)+1)-INDEX($C$17:$C$77,MATCH(H143,$B$17:$B$77,1)))/(INDEX($B$17:$B$77,MATCH(H143,$B$17:$B$77,1)+1)-INDEX($B$17:$B$77,MATCH(H143,$B$17:$B$77,1))))*H141))))*INDEX(Assumptions!$B:$B,MATCH("DTC demand curve level multiplier",Assumptions!$A$1:$A$327,0)))*H150</f>
        <v>6202.8488188799638</v>
      </c>
      <c r="I145" s="66" cm="1">
        <f t="array" aca="1" ref="I145" ca="1">((IF(I143&lt;=0,0,IF(I143&gt;=INDEX($B$17:$B$77,COUNTA($B$17:$B$77)),INDEX($C$17:$C$77,COUNTA($B$17:$B$77))*I141,IF(I143&lt;INDEX($B$17:$B$77,1),I143/INDEX($B$17:$B$77,1)*INDEX($C$17:$C$77,1)*I141,(INDEX($C$17:$C$77,MATCH(I143,$B$17:$B$77,1))+(I143-INDEX($B$17:$B$77,MATCH(I143,$B$17:$B$77,1)))*(INDEX($C$17:$C$77,MATCH(I143,$B$17:$B$77,1)+1)-INDEX($C$17:$C$77,MATCH(I143,$B$17:$B$77,1)))/(INDEX($B$17:$B$77,MATCH(I143,$B$17:$B$77,1)+1)-INDEX($B$17:$B$77,MATCH(I143,$B$17:$B$77,1))))*I141))))*INDEX(Assumptions!$B:$B,MATCH("DTC demand curve level multiplier",Assumptions!$A$1:$A$327,0)))*I150</f>
        <v>30569.892728808863</v>
      </c>
      <c r="J145" s="66" cm="1">
        <f t="array" aca="1" ref="J145" ca="1">((IF(J143&lt;=0,0,IF(J143&gt;=INDEX($B$17:$B$77,COUNTA($B$17:$B$77)),INDEX($C$17:$C$77,COUNTA($B$17:$B$77))*J141,IF(J143&lt;INDEX($B$17:$B$77,1),J143/INDEX($B$17:$B$77,1)*INDEX($C$17:$C$77,1)*J141,(INDEX($C$17:$C$77,MATCH(J143,$B$17:$B$77,1))+(J143-INDEX($B$17:$B$77,MATCH(J143,$B$17:$B$77,1)))*(INDEX($C$17:$C$77,MATCH(J143,$B$17:$B$77,1)+1)-INDEX($C$17:$C$77,MATCH(J143,$B$17:$B$77,1)))/(INDEX($B$17:$B$77,MATCH(J143,$B$17:$B$77,1)+1)-INDEX($B$17:$B$77,MATCH(J143,$B$17:$B$77,1))))*J141))))*INDEX(Assumptions!$B:$B,MATCH("DTC demand curve level multiplier",Assumptions!$A$1:$A$327,0)))*J150</f>
        <v>40144.794128767404</v>
      </c>
      <c r="K145" s="66" cm="1">
        <f t="array" aca="1" ref="K145" ca="1">((IF(K143&lt;=0,0,IF(K143&gt;=INDEX($B$17:$B$77,COUNTA($B$17:$B$77)),INDEX($C$17:$C$77,COUNTA($B$17:$B$77))*K141,IF(K143&lt;INDEX($B$17:$B$77,1),K143/INDEX($B$17:$B$77,1)*INDEX($C$17:$C$77,1)*K141,(INDEX($C$17:$C$77,MATCH(K143,$B$17:$B$77,1))+(K143-INDEX($B$17:$B$77,MATCH(K143,$B$17:$B$77,1)))*(INDEX($C$17:$C$77,MATCH(K143,$B$17:$B$77,1)+1)-INDEX($C$17:$C$77,MATCH(K143,$B$17:$B$77,1)))/(INDEX($B$17:$B$77,MATCH(K143,$B$17:$B$77,1)+1)-INDEX($B$17:$B$77,MATCH(K143,$B$17:$B$77,1))))*K141))))*INDEX(Assumptions!$B:$B,MATCH("DTC demand curve level multiplier",Assumptions!$A$1:$A$327,0)))*K150</f>
        <v>47979.431042728313</v>
      </c>
      <c r="L145" s="66" cm="1">
        <f t="array" aca="1" ref="L145" ca="1">((IF(L143&lt;=0,0,IF(L143&gt;=INDEX($B$17:$B$77,COUNTA($B$17:$B$77)),INDEX($C$17:$C$77,COUNTA($B$17:$B$77))*L141,IF(L143&lt;INDEX($B$17:$B$77,1),L143/INDEX($B$17:$B$77,1)*INDEX($C$17:$C$77,1)*L141,(INDEX($C$17:$C$77,MATCH(L143,$B$17:$B$77,1))+(L143-INDEX($B$17:$B$77,MATCH(L143,$B$17:$B$77,1)))*(INDEX($C$17:$C$77,MATCH(L143,$B$17:$B$77,1)+1)-INDEX($C$17:$C$77,MATCH(L143,$B$17:$B$77,1)))/(INDEX($B$17:$B$77,MATCH(L143,$B$17:$B$77,1)+1)-INDEX($B$17:$B$77,MATCH(L143,$B$17:$B$77,1))))*L141))))*INDEX(Assumptions!$B:$B,MATCH("DTC demand curve level multiplier",Assumptions!$A$1:$A$327,0)))*L150</f>
        <v>50852.957538647112</v>
      </c>
      <c r="M145" s="66" cm="1">
        <f t="array" aca="1" ref="M145" ca="1">((IF(M143&lt;=0,0,IF(M143&gt;=INDEX($B$17:$B$77,COUNTA($B$17:$B$77)),INDEX($C$17:$C$77,COUNTA($B$17:$B$77))*M141,IF(M143&lt;INDEX($B$17:$B$77,1),M143/INDEX($B$17:$B$77,1)*INDEX($C$17:$C$77,1)*M141,(INDEX($C$17:$C$77,MATCH(M143,$B$17:$B$77,1))+(M143-INDEX($B$17:$B$77,MATCH(M143,$B$17:$B$77,1)))*(INDEX($C$17:$C$77,MATCH(M143,$B$17:$B$77,1)+1)-INDEX($C$17:$C$77,MATCH(M143,$B$17:$B$77,1)))/(INDEX($B$17:$B$77,MATCH(M143,$B$17:$B$77,1)+1)-INDEX($B$17:$B$77,MATCH(M143,$B$17:$B$77,1))))*M141))))*INDEX(Assumptions!$B:$B,MATCH("DTC demand curve level multiplier",Assumptions!$A$1:$A$327,0)))*M150</f>
        <v>52180.784763267351</v>
      </c>
      <c r="N145" s="66" cm="1">
        <f t="array" aca="1" ref="N145" ca="1">((IF(N143&lt;=0,0,IF(N143&gt;=INDEX($B$17:$B$77,COUNTA($B$17:$B$77)),INDEX($C$17:$C$77,COUNTA($B$17:$B$77))*N141,IF(N143&lt;INDEX($B$17:$B$77,1),N143/INDEX($B$17:$B$77,1)*INDEX($C$17:$C$77,1)*N141,(INDEX($C$17:$C$77,MATCH(N143,$B$17:$B$77,1))+(N143-INDEX($B$17:$B$77,MATCH(N143,$B$17:$B$77,1)))*(INDEX($C$17:$C$77,MATCH(N143,$B$17:$B$77,1)+1)-INDEX($C$17:$C$77,MATCH(N143,$B$17:$B$77,1)))/(INDEX($B$17:$B$77,MATCH(N143,$B$17:$B$77,1)+1)-INDEX($B$17:$B$77,MATCH(N143,$B$17:$B$77,1))))*N141))))*INDEX(Assumptions!$B:$B,MATCH("DTC demand curve level multiplier",Assumptions!$A$1:$A$327,0)))*N150</f>
        <v>53485.30438234903</v>
      </c>
      <c r="O145" s="66" cm="1">
        <f t="array" aca="1" ref="O145" ca="1">((IF(O143&lt;=0,0,IF(O143&gt;=INDEX($B$17:$B$77,COUNTA($B$17:$B$77)),INDEX($C$17:$C$77,COUNTA($B$17:$B$77))*O141,IF(O143&lt;INDEX($B$17:$B$77,1),O143/INDEX($B$17:$B$77,1)*INDEX($C$17:$C$77,1)*O141,(INDEX($C$17:$C$77,MATCH(O143,$B$17:$B$77,1))+(O143-INDEX($B$17:$B$77,MATCH(O143,$B$17:$B$77,1)))*(INDEX($C$17:$C$77,MATCH(O143,$B$17:$B$77,1)+1)-INDEX($C$17:$C$77,MATCH(O143,$B$17:$B$77,1)))/(INDEX($B$17:$B$77,MATCH(O143,$B$17:$B$77,1)+1)-INDEX($B$17:$B$77,MATCH(O143,$B$17:$B$77,1))))*O141))))*INDEX(Assumptions!$B:$B,MATCH("DTC demand curve level multiplier",Assumptions!$A$1:$A$327,0)))*O150</f>
        <v>54822.436991907751</v>
      </c>
      <c r="P145" s="66" cm="1">
        <f t="array" aca="1" ref="P145" ca="1">((IF(P143&lt;=0,0,IF(P143&gt;=INDEX($B$17:$B$77,COUNTA($B$17:$B$77)),INDEX($C$17:$C$77,COUNTA($B$17:$B$77))*P141,IF(P143&lt;INDEX($B$17:$B$77,1),P143/INDEX($B$17:$B$77,1)*INDEX($C$17:$C$77,1)*P141,(INDEX($C$17:$C$77,MATCH(P143,$B$17:$B$77,1))+(P143-INDEX($B$17:$B$77,MATCH(P143,$B$17:$B$77,1)))*(INDEX($C$17:$C$77,MATCH(P143,$B$17:$B$77,1)+1)-INDEX($C$17:$C$77,MATCH(P143,$B$17:$B$77,1)))/(INDEX($B$17:$B$77,MATCH(P143,$B$17:$B$77,1)+1)-INDEX($B$17:$B$77,MATCH(P143,$B$17:$B$77,1))))*P141))))*INDEX(Assumptions!$B:$B,MATCH("DTC demand curve level multiplier",Assumptions!$A$1:$A$327,0)))*P150</f>
        <v>56192.997916705433</v>
      </c>
      <c r="Q145" s="66" cm="1">
        <f t="array" aca="1" ref="Q145" ca="1">((IF(Q143&lt;=0,0,IF(Q143&gt;=INDEX($B$17:$B$77,COUNTA($B$17:$B$77)),INDEX($C$17:$C$77,COUNTA($B$17:$B$77))*Q141,IF(Q143&lt;INDEX($B$17:$B$77,1),Q143/INDEX($B$17:$B$77,1)*INDEX($C$17:$C$77,1)*Q141,(INDEX($C$17:$C$77,MATCH(Q143,$B$17:$B$77,1))+(Q143-INDEX($B$17:$B$77,MATCH(Q143,$B$17:$B$77,1)))*(INDEX($C$17:$C$77,MATCH(Q143,$B$17:$B$77,1)+1)-INDEX($C$17:$C$77,MATCH(Q143,$B$17:$B$77,1)))/(INDEX($B$17:$B$77,MATCH(Q143,$B$17:$B$77,1)+1)-INDEX($B$17:$B$77,MATCH(Q143,$B$17:$B$77,1))))*Q141))))*INDEX(Assumptions!$B:$B,MATCH("DTC demand curve level multiplier",Assumptions!$A$1:$A$327,0)))*Q150</f>
        <v>57597.822864623071</v>
      </c>
      <c r="R145" s="66" cm="1">
        <f t="array" aca="1" ref="R145" ca="1">((IF(R143&lt;=0,0,IF(R143&gt;=INDEX($B$17:$B$77,COUNTA($B$17:$B$77)),INDEX($C$17:$C$77,COUNTA($B$17:$B$77))*R141,IF(R143&lt;INDEX($B$17:$B$77,1),R143/INDEX($B$17:$B$77,1)*INDEX($C$17:$C$77,1)*R141,(INDEX($C$17:$C$77,MATCH(R143,$B$17:$B$77,1))+(R143-INDEX($B$17:$B$77,MATCH(R143,$B$17:$B$77,1)))*(INDEX($C$17:$C$77,MATCH(R143,$B$17:$B$77,1)+1)-INDEX($C$17:$C$77,MATCH(R143,$B$17:$B$77,1)))/(INDEX($B$17:$B$77,MATCH(R143,$B$17:$B$77,1)+1)-INDEX($B$17:$B$77,MATCH(R143,$B$17:$B$77,1))))*R141))))*INDEX(Assumptions!$B:$B,MATCH("DTC demand curve level multiplier",Assumptions!$A$1:$A$327,0)))*R150</f>
        <v>59037.768436238635</v>
      </c>
      <c r="S145" s="66" cm="1">
        <f t="array" aca="1" ref="S145" ca="1">((IF(S143&lt;=0,0,IF(S143&gt;=INDEX($B$17:$B$77,COUNTA($B$17:$B$77)),INDEX($C$17:$C$77,COUNTA($B$17:$B$77))*S141,IF(S143&lt;INDEX($B$17:$B$77,1),S143/INDEX($B$17:$B$77,1)*INDEX($C$17:$C$77,1)*S141,(INDEX($C$17:$C$77,MATCH(S143,$B$17:$B$77,1))+(S143-INDEX($B$17:$B$77,MATCH(S143,$B$17:$B$77,1)))*(INDEX($C$17:$C$77,MATCH(S143,$B$17:$B$77,1)+1)-INDEX($C$17:$C$77,MATCH(S143,$B$17:$B$77,1)))/(INDEX($B$17:$B$77,MATCH(S143,$B$17:$B$77,1)+1)-INDEX($B$17:$B$77,MATCH(S143,$B$17:$B$77,1))))*S141))))*INDEX(Assumptions!$B:$B,MATCH("DTC demand curve level multiplier",Assumptions!$A$1:$A$327,0)))*S150</f>
        <v>60513.712647144595</v>
      </c>
    </row>
    <row r="146" spans="1:19" x14ac:dyDescent="0.2">
      <c r="A146" s="170" t="s">
        <v>489</v>
      </c>
      <c r="B146" s="8"/>
      <c r="C146" s="8"/>
      <c r="D146" s="61">
        <f t="shared" ref="D146:S146" si="1">IFERROR(D144*1000000/D142,0)</f>
        <v>13740.780937637996</v>
      </c>
      <c r="E146" s="61">
        <f t="shared" ca="1" si="1"/>
        <v>12352.493416386587</v>
      </c>
      <c r="F146" s="61">
        <f t="shared" ca="1" si="1"/>
        <v>8072.9197720087168</v>
      </c>
      <c r="G146" s="61">
        <f t="shared" ca="1" si="1"/>
        <v>5788.5535784933045</v>
      </c>
      <c r="H146" s="61">
        <f t="shared" ca="1" si="1"/>
        <v>3917.7146217481481</v>
      </c>
      <c r="I146" s="61">
        <f t="shared" ca="1" si="1"/>
        <v>3505.2852756866769</v>
      </c>
      <c r="J146" s="61">
        <f t="shared" ca="1" si="1"/>
        <v>2697.457896871807</v>
      </c>
      <c r="K146" s="61">
        <f t="shared" ca="1" si="1"/>
        <v>2578.6630442885794</v>
      </c>
      <c r="L146" s="61">
        <f t="shared" ca="1" si="1"/>
        <v>2541.8651470958903</v>
      </c>
      <c r="M146" s="61">
        <f t="shared" ca="1" si="1"/>
        <v>2528.8965504346083</v>
      </c>
      <c r="N146" s="61">
        <f t="shared" ca="1" si="1"/>
        <v>2200.143616432279</v>
      </c>
      <c r="O146" s="61">
        <f t="shared" ca="1" si="1"/>
        <v>1792.2902199431699</v>
      </c>
      <c r="P146" s="61">
        <f t="shared" ca="1" si="1"/>
        <v>1465.5575871275898</v>
      </c>
      <c r="Q146" s="61">
        <f t="shared" ca="1" si="1"/>
        <v>1393.4746823804774</v>
      </c>
      <c r="R146" s="61">
        <f t="shared" ca="1" si="1"/>
        <v>1445.329349227188</v>
      </c>
      <c r="S146" s="61">
        <f t="shared" ca="1" si="1"/>
        <v>1567.4334286956821</v>
      </c>
    </row>
    <row r="147" spans="1:19" x14ac:dyDescent="0.2">
      <c r="A147" s="170" t="s">
        <v>490</v>
      </c>
      <c r="B147" s="8"/>
      <c r="C147" s="8"/>
      <c r="D147" s="12">
        <f t="shared" ref="D147:S147" si="2">IFERROR(D145*1000000/D143,0)</f>
        <v>1094104.6481597435</v>
      </c>
      <c r="E147" s="12">
        <f t="shared" si="2"/>
        <v>1375055.0917407633</v>
      </c>
      <c r="F147" s="12">
        <f t="shared" ca="1" si="2"/>
        <v>1672541.0772769745</v>
      </c>
      <c r="G147" s="12">
        <f t="shared" ca="1" si="2"/>
        <v>1986770.8496367044</v>
      </c>
      <c r="H147" s="12">
        <f t="shared" ca="1" si="2"/>
        <v>2317957.1296599815</v>
      </c>
      <c r="I147" s="12">
        <f t="shared" ca="1" si="2"/>
        <v>1363941.3533987089</v>
      </c>
      <c r="J147" s="12">
        <f t="shared" ca="1" si="2"/>
        <v>848946.28217325371</v>
      </c>
      <c r="K147" s="12">
        <f t="shared" ca="1" si="2"/>
        <v>674279.29562732519</v>
      </c>
      <c r="L147" s="12">
        <f t="shared" ca="1" si="2"/>
        <v>506082.45005724137</v>
      </c>
      <c r="M147" s="12">
        <f t="shared" ca="1" si="2"/>
        <v>378482.90681745525</v>
      </c>
      <c r="N147" s="12">
        <f t="shared" ca="1" si="2"/>
        <v>332706.31819459458</v>
      </c>
      <c r="O147" s="12">
        <f t="shared" ca="1" si="2"/>
        <v>302993.85503911984</v>
      </c>
      <c r="P147" s="12">
        <f t="shared" ca="1" si="2"/>
        <v>287141.73491623887</v>
      </c>
      <c r="Q147" s="12">
        <f t="shared" ca="1" si="2"/>
        <v>307271.44541694922</v>
      </c>
      <c r="R147" s="12">
        <f t="shared" ca="1" si="2"/>
        <v>362284.13599160605</v>
      </c>
      <c r="S147" s="12">
        <f t="shared" ca="1" si="2"/>
        <v>441734.74538600695</v>
      </c>
    </row>
    <row r="148" spans="1:19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x14ac:dyDescent="0.2">
      <c r="A149" s="177" t="s">
        <v>1078</v>
      </c>
      <c r="B149" s="8"/>
      <c r="C149" s="8"/>
      <c r="D149" s="43">
        <v>0</v>
      </c>
      <c r="E149" s="59">
        <f>Assumptions!$B$4+(Assumptions!$B$5-Assumptions!$B$4)*MIN(E$5-1,Assumptions!$B$414-1)/(Assumptions!$B$414-1)</f>
        <v>3.5000000000000003E-2</v>
      </c>
      <c r="F149" s="59">
        <f>Assumptions!$B$4+(Assumptions!$B$5-Assumptions!$B$4)*MIN(F$5-1,Assumptions!$B$414-1)/(Assumptions!$B$414-1)</f>
        <v>3.3888888888888892E-2</v>
      </c>
      <c r="G149" s="59">
        <f>Assumptions!$B$4+(Assumptions!$B$5-Assumptions!$B$4)*MIN(G$5-1,Assumptions!$B$414-1)/(Assumptions!$B$414-1)</f>
        <v>3.2777777777777781E-2</v>
      </c>
      <c r="H149" s="59">
        <f>Assumptions!$B$4+(Assumptions!$B$5-Assumptions!$B$4)*MIN(H$5-1,Assumptions!$B$414-1)/(Assumptions!$B$414-1)</f>
        <v>3.1666666666666669E-2</v>
      </c>
      <c r="I149" s="59">
        <f>Assumptions!$B$4+(Assumptions!$B$5-Assumptions!$B$4)*MIN(I$5-1,Assumptions!$B$414-1)/(Assumptions!$B$414-1)</f>
        <v>3.0555555555555558E-2</v>
      </c>
      <c r="J149" s="59">
        <f>Assumptions!$B$4+(Assumptions!$B$5-Assumptions!$B$4)*MIN(J$5-1,Assumptions!$B$414-1)/(Assumptions!$B$414-1)</f>
        <v>2.9444444444444447E-2</v>
      </c>
      <c r="K149" s="59">
        <f>Assumptions!$B$4+(Assumptions!$B$5-Assumptions!$B$4)*MIN(K$5-1,Assumptions!$B$414-1)/(Assumptions!$B$414-1)</f>
        <v>2.8333333333333335E-2</v>
      </c>
      <c r="L149" s="59">
        <f>Assumptions!$B$4+(Assumptions!$B$5-Assumptions!$B$4)*MIN(L$5-1,Assumptions!$B$414-1)/(Assumptions!$B$414-1)</f>
        <v>2.7222222222222224E-2</v>
      </c>
      <c r="M149" s="59">
        <f>Assumptions!$B$4+(Assumptions!$B$5-Assumptions!$B$4)*MIN(M$5-1,Assumptions!$B$414-1)/(Assumptions!$B$414-1)</f>
        <v>2.6111111111111113E-2</v>
      </c>
      <c r="N149" s="59">
        <f>Assumptions!$B$4+(Assumptions!$B$5-Assumptions!$B$4)*MIN(N$5-1,Assumptions!$B$414-1)/(Assumptions!$B$414-1)</f>
        <v>2.5000000000000001E-2</v>
      </c>
      <c r="O149" s="59">
        <f>Assumptions!$B$4+(Assumptions!$B$5-Assumptions!$B$4)*MIN(O$5-1,Assumptions!$B$414-1)/(Assumptions!$B$414-1)</f>
        <v>2.5000000000000001E-2</v>
      </c>
      <c r="P149" s="59">
        <f>Assumptions!$B$4+(Assumptions!$B$5-Assumptions!$B$4)*MIN(P$5-1,Assumptions!$B$414-1)/(Assumptions!$B$414-1)</f>
        <v>2.5000000000000001E-2</v>
      </c>
      <c r="Q149" s="59">
        <f>Assumptions!$B$4+(Assumptions!$B$5-Assumptions!$B$4)*MIN(Q$5-1,Assumptions!$B$414-1)/(Assumptions!$B$414-1)</f>
        <v>2.5000000000000001E-2</v>
      </c>
      <c r="R149" s="59">
        <f>Assumptions!$B$4+(Assumptions!$B$5-Assumptions!$B$4)*MIN(R$5-1,Assumptions!$B$414-1)/(Assumptions!$B$414-1)</f>
        <v>2.5000000000000001E-2</v>
      </c>
      <c r="S149" s="59">
        <f>Assumptions!$B$4+(Assumptions!$B$5-Assumptions!$B$4)*MIN(S$5-1,Assumptions!$B$414-1)/(Assumptions!$B$414-1)</f>
        <v>2.5000000000000001E-2</v>
      </c>
    </row>
    <row r="150" spans="1:19" x14ac:dyDescent="0.2">
      <c r="A150" s="177" t="s">
        <v>1166</v>
      </c>
      <c r="B150" s="8"/>
      <c r="C150" s="8"/>
      <c r="D150" s="49">
        <v>1</v>
      </c>
      <c r="E150" s="60">
        <f>1+(Assumptions!$B$418-1)*MIN(E$5,Assumptions!$B$419)/Assumptions!$B$419</f>
        <v>1.2142857142857142</v>
      </c>
      <c r="F150" s="60">
        <f>1+(Assumptions!$B$418-1)*MIN(F$5,Assumptions!$B$419)/Assumptions!$B$419</f>
        <v>1.4285714285714286</v>
      </c>
      <c r="G150" s="60">
        <f>1+(Assumptions!$B$418-1)*MIN(G$5,Assumptions!$B$419)/Assumptions!$B$419</f>
        <v>1.6428571428571428</v>
      </c>
      <c r="H150" s="60">
        <f>1+(Assumptions!$B$418-1)*MIN(H$5,Assumptions!$B$419)/Assumptions!$B$419</f>
        <v>1.8571428571428572</v>
      </c>
      <c r="I150" s="60">
        <f>1+(Assumptions!$B$418-1)*MIN(I$5,Assumptions!$B$419)/Assumptions!$B$419</f>
        <v>2.0714285714285712</v>
      </c>
      <c r="J150" s="60">
        <f>1+(Assumptions!$B$418-1)*MIN(J$5,Assumptions!$B$419)/Assumptions!$B$419</f>
        <v>2.2857142857142856</v>
      </c>
      <c r="K150" s="60">
        <f>1+(Assumptions!$B$418-1)*MIN(K$5,Assumptions!$B$419)/Assumptions!$B$419</f>
        <v>2.5</v>
      </c>
      <c r="L150" s="60">
        <f>1+(Assumptions!$B$418-1)*MIN(L$5,Assumptions!$B$419)/Assumptions!$B$419</f>
        <v>2.5</v>
      </c>
      <c r="M150" s="60">
        <f>1+(Assumptions!$B$418-1)*MIN(M$5,Assumptions!$B$419)/Assumptions!$B$419</f>
        <v>2.5</v>
      </c>
      <c r="N150" s="60">
        <f>1+(Assumptions!$B$418-1)*MIN(N$5,Assumptions!$B$419)/Assumptions!$B$419</f>
        <v>2.5</v>
      </c>
      <c r="O150" s="60">
        <f>1+(Assumptions!$B$418-1)*MIN(O$5,Assumptions!$B$419)/Assumptions!$B$419</f>
        <v>2.5</v>
      </c>
      <c r="P150" s="60">
        <f>1+(Assumptions!$B$418-1)*MIN(P$5,Assumptions!$B$419)/Assumptions!$B$419</f>
        <v>2.5</v>
      </c>
      <c r="Q150" s="60">
        <f>1+(Assumptions!$B$418-1)*MIN(Q$5,Assumptions!$B$419)/Assumptions!$B$419</f>
        <v>2.5</v>
      </c>
      <c r="R150" s="60">
        <f>1+(Assumptions!$B$418-1)*MIN(R$5,Assumptions!$B$419)/Assumptions!$B$419</f>
        <v>2.5</v>
      </c>
      <c r="S150" s="60">
        <f>1+(Assumptions!$B$418-1)*MIN(S$5,Assumptions!$B$419)/Assumptions!$B$419</f>
        <v>2.5</v>
      </c>
    </row>
    <row r="151" spans="1:19" x14ac:dyDescent="0.2">
      <c r="A151" s="22" t="s">
        <v>1168</v>
      </c>
      <c r="B151" s="8"/>
      <c r="C151" s="8"/>
      <c r="D151" s="49">
        <v>1</v>
      </c>
      <c r="E151" s="60">
        <f>1+(Assumptions!$B$434-1)*MIN(E$5,Assumptions!$B$435)/Assumptions!$B$435</f>
        <v>1</v>
      </c>
      <c r="F151" s="60">
        <f>1+(Assumptions!$B$434-1)*MIN(F$5,Assumptions!$B$435)/Assumptions!$B$435</f>
        <v>1</v>
      </c>
      <c r="G151" s="60">
        <f>1+(Assumptions!$B$434-1)*MIN(G$5,Assumptions!$B$435)/Assumptions!$B$435</f>
        <v>1</v>
      </c>
      <c r="H151" s="60">
        <f>1+(Assumptions!$B$434-1)*MIN(H$5,Assumptions!$B$435)/Assumptions!$B$435</f>
        <v>1</v>
      </c>
      <c r="I151" s="60">
        <f>1+(Assumptions!$B$434-1)*MIN(I$5,Assumptions!$B$435)/Assumptions!$B$435</f>
        <v>1</v>
      </c>
      <c r="J151" s="60">
        <f>1+(Assumptions!$B$434-1)*MIN(J$5,Assumptions!$B$435)/Assumptions!$B$435</f>
        <v>1</v>
      </c>
      <c r="K151" s="60">
        <f>1+(Assumptions!$B$434-1)*MIN(K$5,Assumptions!$B$435)/Assumptions!$B$435</f>
        <v>1</v>
      </c>
      <c r="L151" s="60">
        <f>1+(Assumptions!$B$434-1)*MIN(L$5,Assumptions!$B$435)/Assumptions!$B$435</f>
        <v>1</v>
      </c>
      <c r="M151" s="60">
        <f>1+(Assumptions!$B$434-1)*MIN(M$5,Assumptions!$B$435)/Assumptions!$B$435</f>
        <v>1</v>
      </c>
      <c r="N151" s="60">
        <f>1+(Assumptions!$B$434-1)*MIN(N$5,Assumptions!$B$435)/Assumptions!$B$435</f>
        <v>1</v>
      </c>
      <c r="O151" s="60">
        <f>1+(Assumptions!$B$434-1)*MIN(O$5,Assumptions!$B$435)/Assumptions!$B$435</f>
        <v>1</v>
      </c>
      <c r="P151" s="60">
        <f>1+(Assumptions!$B$434-1)*MIN(P$5,Assumptions!$B$435)/Assumptions!$B$435</f>
        <v>1</v>
      </c>
      <c r="Q151" s="60">
        <f>1+(Assumptions!$B$434-1)*MIN(Q$5,Assumptions!$B$435)/Assumptions!$B$435</f>
        <v>1</v>
      </c>
      <c r="R151" s="60">
        <f>1+(Assumptions!$B$434-1)*MIN(R$5,Assumptions!$B$435)/Assumptions!$B$435</f>
        <v>1</v>
      </c>
      <c r="S151" s="60">
        <f>1+(Assumptions!$B$434-1)*MIN(S$5,Assumptions!$B$435)/Assumptions!$B$435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5"/>
  <sheetViews>
    <sheetView showGridLines="0" zoomScale="150" zoomScaleNormal="102" workbookViewId="0">
      <pane xSplit="1" ySplit="5" topLeftCell="B33" activePane="bottomRight" state="frozen"/>
      <selection pane="topRight" activeCell="B1" sqref="B1"/>
      <selection pane="bottomLeft" activeCell="A6" sqref="A6"/>
      <selection pane="bottomRight" activeCell="P65" sqref="P65"/>
    </sheetView>
  </sheetViews>
  <sheetFormatPr baseColWidth="10" defaultColWidth="10.6640625" defaultRowHeight="16" x14ac:dyDescent="0.2"/>
  <cols>
    <col min="1" max="1" width="53.33203125" customWidth="1"/>
  </cols>
  <sheetData>
    <row r="1" spans="1:19" x14ac:dyDescent="0.2">
      <c r="A1" s="23" t="s">
        <v>1630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2">
      <c r="A4" s="153"/>
      <c r="B4" s="153"/>
      <c r="C4" s="153"/>
      <c r="D4" s="155">
        <v>2025</v>
      </c>
      <c r="E4" s="155">
        <v>2026</v>
      </c>
      <c r="F4" s="155">
        <v>2027</v>
      </c>
      <c r="G4" s="155">
        <v>2028</v>
      </c>
      <c r="H4" s="155">
        <v>2029</v>
      </c>
      <c r="I4" s="155">
        <v>2030</v>
      </c>
      <c r="J4" s="155">
        <v>2031</v>
      </c>
      <c r="K4" s="155">
        <v>2032</v>
      </c>
      <c r="L4" s="155">
        <v>2033</v>
      </c>
      <c r="M4" s="155">
        <v>2034</v>
      </c>
      <c r="N4" s="155">
        <v>2035</v>
      </c>
      <c r="O4" s="155">
        <v>2036</v>
      </c>
      <c r="P4" s="155">
        <v>2037</v>
      </c>
      <c r="Q4" s="155">
        <v>2038</v>
      </c>
      <c r="R4" s="155">
        <v>2039</v>
      </c>
      <c r="S4" s="155">
        <v>2040</v>
      </c>
    </row>
    <row r="5" spans="1:19" x14ac:dyDescent="0.2">
      <c r="A5" s="154"/>
      <c r="B5" s="154"/>
      <c r="C5" s="154"/>
      <c r="D5" s="156">
        <v>0</v>
      </c>
      <c r="E5" s="156">
        <v>1</v>
      </c>
      <c r="F5" s="156">
        <v>2</v>
      </c>
      <c r="G5" s="156">
        <v>3</v>
      </c>
      <c r="H5" s="156">
        <v>4</v>
      </c>
      <c r="I5" s="156">
        <v>5</v>
      </c>
      <c r="J5" s="156">
        <v>6</v>
      </c>
      <c r="K5" s="156">
        <v>7</v>
      </c>
      <c r="L5" s="156">
        <v>8</v>
      </c>
      <c r="M5" s="156">
        <v>9</v>
      </c>
      <c r="N5" s="156">
        <v>10</v>
      </c>
      <c r="O5" s="156">
        <v>11</v>
      </c>
      <c r="P5" s="156">
        <v>12</v>
      </c>
      <c r="Q5" s="156">
        <v>13</v>
      </c>
      <c r="R5" s="156">
        <v>14</v>
      </c>
      <c r="S5" s="156">
        <v>15</v>
      </c>
    </row>
    <row r="6" spans="1:1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">
      <c r="A10" s="18" t="s">
        <v>491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x14ac:dyDescent="0.2">
      <c r="A11" s="22" t="s">
        <v>487</v>
      </c>
      <c r="B11" s="8"/>
      <c r="C11" s="8"/>
      <c r="D11" s="50">
        <f t="array" ref="D11">INDEX('Demand Curves'!$D:$AC, MATCH("Starlink BB Revenue from curve ($mm)", 'Demand Curves'!$A$1:$A$167, 0), COLUMN()-COLUMN($D11)+1)</f>
        <v>6721.2205509599999</v>
      </c>
      <c r="E11" s="50">
        <f t="array" aca="1" ref="E11" ca="1">INDEX('Demand Curves'!$D:$AC, MATCH("Starlink BB Revenue from curve ($mm)", 'Demand Curves'!$A$1:$A$167, 0), COLUMN()-COLUMN($D11)+1)</f>
        <v>9347.5764579427196</v>
      </c>
      <c r="F11" s="50">
        <f t="array" aca="1" ref="F11" ca="1">INDEX('Demand Curves'!$D:$AC, MATCH("Starlink BB Revenue from curve ($mm)", 'Demand Curves'!$A$1:$A$167, 0), COLUMN()-COLUMN($D11)+1)</f>
        <v>37555.661744916186</v>
      </c>
      <c r="G11" s="50">
        <f t="array" aca="1" ref="G11" ca="1">INDEX('Demand Curves'!$D:$AC, MATCH("Starlink BB Revenue from curve ($mm)", 'Demand Curves'!$A$1:$A$167, 0), COLUMN()-COLUMN($D11)+1)</f>
        <v>80517.637559733921</v>
      </c>
      <c r="H11" s="50">
        <f t="array" aca="1" ref="H11" ca="1">INDEX('Demand Curves'!$D:$AC, MATCH("Starlink BB Revenue from curve ($mm)", 'Demand Curves'!$A$1:$A$167, 0), COLUMN()-COLUMN($D11)+1)</f>
        <v>133572.61041328282</v>
      </c>
      <c r="I11" s="50">
        <f t="array" aca="1" ref="I11" ca="1">INDEX('Demand Curves'!$D:$AC, MATCH("Starlink BB Revenue from curve ($mm)", 'Demand Curves'!$A$1:$A$167, 0), COLUMN()-COLUMN($D11)+1)</f>
        <v>162366.45810432514</v>
      </c>
      <c r="J11" s="50">
        <f t="array" aca="1" ref="J11" ca="1">INDEX('Demand Curves'!$D:$AC, MATCH("Starlink BB Revenue from curve ($mm)", 'Demand Curves'!$A$1:$A$167, 0), COLUMN()-COLUMN($D11)+1)</f>
        <v>198728.62897691844</v>
      </c>
      <c r="K11" s="50">
        <f t="array" aca="1" ref="K11" ca="1">INDEX('Demand Curves'!$D:$AC, MATCH("Starlink BB Revenue from curve ($mm)", 'Demand Curves'!$A$1:$A$167, 0), COLUMN()-COLUMN($D11)+1)</f>
        <v>212218.52482053958</v>
      </c>
      <c r="L11" s="50">
        <f t="array" aca="1" ref="L11" ca="1">INDEX('Demand Curves'!$D:$AC, MATCH("Starlink BB Revenue from curve ($mm)", 'Demand Curves'!$A$1:$A$167, 0), COLUMN()-COLUMN($D11)+1)</f>
        <v>222728.35423610132</v>
      </c>
      <c r="M11" s="50">
        <f t="array" aca="1" ref="M11" ca="1">INDEX('Demand Curves'!$D:$AC, MATCH("Starlink BB Revenue from curve ($mm)", 'Demand Curves'!$A$1:$A$167, 0), COLUMN()-COLUMN($D11)+1)</f>
        <v>231775.04660630334</v>
      </c>
      <c r="N11" s="50">
        <f t="array" aca="1" ref="N11" ca="1">INDEX('Demand Curves'!$D:$AC, MATCH("Starlink BB Revenue from curve ($mm)", 'Demand Curves'!$A$1:$A$167, 0), COLUMN()-COLUMN($D11)+1)</f>
        <v>247973.30114369758</v>
      </c>
      <c r="O11" s="50">
        <f t="array" aca="1" ref="O11" ca="1">INDEX('Demand Curves'!$D:$AC, MATCH("Starlink BB Revenue from curve ($mm)", 'Demand Curves'!$A$1:$A$167, 0), COLUMN()-COLUMN($D11)+1)</f>
        <v>266208.53747345717</v>
      </c>
      <c r="P11" s="50">
        <f t="array" aca="1" ref="P11" ca="1">INDEX('Demand Curves'!$D:$AC, MATCH("Starlink BB Revenue from curve ($mm)", 'Demand Curves'!$A$1:$A$167, 0), COLUMN()-COLUMN($D11)+1)</f>
        <v>283815.27155083528</v>
      </c>
      <c r="Q11" s="50">
        <f t="array" aca="1" ref="Q11" ca="1">INDEX('Demand Curves'!$D:$AC, MATCH("Starlink BB Revenue from curve ($mm)", 'Demand Curves'!$A$1:$A$167, 0), COLUMN()-COLUMN($D11)+1)</f>
        <v>294410.58008269034</v>
      </c>
      <c r="R11" s="50">
        <f t="array" aca="1" ref="R11" ca="1">INDEX('Demand Curves'!$D:$AC, MATCH("Starlink BB Revenue from curve ($mm)", 'Demand Curves'!$A$1:$A$167, 0), COLUMN()-COLUMN($D11)+1)</f>
        <v>301214.57429290668</v>
      </c>
      <c r="S11" s="50">
        <f t="array" aca="1" ref="S11" ca="1">INDEX('Demand Curves'!$D:$AC, MATCH("Starlink BB Revenue from curve ($mm)", 'Demand Curves'!$A$1:$A$167, 0), COLUMN()-COLUMN($D11)+1)</f>
        <v>305981.35928807611</v>
      </c>
    </row>
    <row r="12" spans="1:19" x14ac:dyDescent="0.2">
      <c r="A12" s="22" t="s">
        <v>488</v>
      </c>
      <c r="B12" s="8"/>
      <c r="C12" s="8"/>
      <c r="D12" s="50">
        <f t="array" ref="D12">INDEX('Demand Curves'!$D:$AC, MATCH("Starlink DTC Revenue from curve ($mm)", 'Demand Curves'!$A$1:$A$167, 0), COLUMN()-COLUMN($D12)+1)</f>
        <v>632.07519628836553</v>
      </c>
      <c r="E12" s="50">
        <f t="array" ref="E12">INDEX('Demand Curves'!$D:$AC, MATCH("Starlink DTC Revenue from curve ($mm)", 'Demand Curves'!$A$1:$A$167, 0), COLUMN()-COLUMN($D12)+1)</f>
        <v>794.38307704955639</v>
      </c>
      <c r="F12" s="50">
        <f t="array" aca="1" ref="F12" ca="1">INDEX('Demand Curves'!$D:$AC, MATCH("Starlink DTC Revenue from curve ($mm)", 'Demand Curves'!$A$1:$A$167, 0), COLUMN()-COLUMN($D12)+1)</f>
        <v>969.01841163700055</v>
      </c>
      <c r="G12" s="50">
        <f t="array" aca="1" ref="G12" ca="1">INDEX('Demand Curves'!$D:$AC, MATCH("Starlink DTC Revenue from curve ($mm)", 'Demand Curves'!$A$1:$A$167, 0), COLUMN()-COLUMN($D12)+1)</f>
        <v>1291.3436109585891</v>
      </c>
      <c r="H12" s="50">
        <f t="array" aca="1" ref="H12" ca="1">INDEX('Demand Curves'!$D:$AC, MATCH("Starlink DTC Revenue from curve ($mm)", 'Demand Curves'!$A$1:$A$167, 0), COLUMN()-COLUMN($D12)+1)</f>
        <v>6202.8488188799638</v>
      </c>
      <c r="I12" s="50">
        <f t="array" aca="1" ref="I12" ca="1">INDEX('Demand Curves'!$D:$AC, MATCH("Starlink DTC Revenue from curve ($mm)", 'Demand Curves'!$A$1:$A$167, 0), COLUMN()-COLUMN($D12)+1)</f>
        <v>30569.892728808863</v>
      </c>
      <c r="J12" s="50">
        <f t="array" aca="1" ref="J12" ca="1">INDEX('Demand Curves'!$D:$AC, MATCH("Starlink DTC Revenue from curve ($mm)", 'Demand Curves'!$A$1:$A$167, 0), COLUMN()-COLUMN($D12)+1)</f>
        <v>40144.794128767404</v>
      </c>
      <c r="K12" s="50">
        <f t="array" aca="1" ref="K12" ca="1">INDEX('Demand Curves'!$D:$AC, MATCH("Starlink DTC Revenue from curve ($mm)", 'Demand Curves'!$A$1:$A$167, 0), COLUMN()-COLUMN($D12)+1)</f>
        <v>47979.431042728313</v>
      </c>
      <c r="L12" s="50">
        <f t="array" aca="1" ref="L12" ca="1">INDEX('Demand Curves'!$D:$AC, MATCH("Starlink DTC Revenue from curve ($mm)", 'Demand Curves'!$A$1:$A$167, 0), COLUMN()-COLUMN($D12)+1)</f>
        <v>50852.957538647112</v>
      </c>
      <c r="M12" s="50">
        <f t="array" aca="1" ref="M12" ca="1">INDEX('Demand Curves'!$D:$AC, MATCH("Starlink DTC Revenue from curve ($mm)", 'Demand Curves'!$A$1:$A$167, 0), COLUMN()-COLUMN($D12)+1)</f>
        <v>52180.784763267351</v>
      </c>
      <c r="N12" s="50">
        <f t="array" aca="1" ref="N12" ca="1">INDEX('Demand Curves'!$D:$AC, MATCH("Starlink DTC Revenue from curve ($mm)", 'Demand Curves'!$A$1:$A$167, 0), COLUMN()-COLUMN($D12)+1)</f>
        <v>53485.30438234903</v>
      </c>
      <c r="O12" s="50">
        <f t="array" aca="1" ref="O12" ca="1">INDEX('Demand Curves'!$D:$AC, MATCH("Starlink DTC Revenue from curve ($mm)", 'Demand Curves'!$A$1:$A$167, 0), COLUMN()-COLUMN($D12)+1)</f>
        <v>54822.436991907751</v>
      </c>
      <c r="P12" s="50">
        <f t="array" aca="1" ref="P12" ca="1">INDEX('Demand Curves'!$D:$AC, MATCH("Starlink DTC Revenue from curve ($mm)", 'Demand Curves'!$A$1:$A$167, 0), COLUMN()-COLUMN($D12)+1)</f>
        <v>56192.997916705433</v>
      </c>
      <c r="Q12" s="50">
        <f t="array" aca="1" ref="Q12" ca="1">INDEX('Demand Curves'!$D:$AC, MATCH("Starlink DTC Revenue from curve ($mm)", 'Demand Curves'!$A$1:$A$167, 0), COLUMN()-COLUMN($D12)+1)</f>
        <v>57597.822864623071</v>
      </c>
      <c r="R12" s="50">
        <f t="array" aca="1" ref="R12" ca="1">INDEX('Demand Curves'!$D:$AC, MATCH("Starlink DTC Revenue from curve ($mm)", 'Demand Curves'!$A$1:$A$167, 0), COLUMN()-COLUMN($D12)+1)</f>
        <v>59037.768436238635</v>
      </c>
      <c r="S12" s="50">
        <f t="array" aca="1" ref="S12" ca="1">INDEX('Demand Curves'!$D:$AC, MATCH("Starlink DTC Revenue from curve ($mm)", 'Demand Curves'!$A$1:$A$167, 0), COLUMN()-COLUMN($D12)+1)</f>
        <v>60513.712647144595</v>
      </c>
    </row>
    <row r="13" spans="1:19" x14ac:dyDescent="0.2">
      <c r="A13" s="22" t="s">
        <v>247</v>
      </c>
      <c r="B13" s="8"/>
      <c r="C13" s="8"/>
      <c r="D13" s="50">
        <f t="array" ref="D13">INDEX(Assumptions!$D:$AC, MATCH("F9 at-cost rate per launch ($mm)", Assumptions!$A$1:$A$327, 0), COLUMN()-COLUMN($D13)+1)</f>
        <v>20</v>
      </c>
      <c r="E13" s="50">
        <f t="array" ref="E13">INDEX(Assumptions!$D:$AC, MATCH("F9 at-cost rate per launch ($mm)", Assumptions!$A$1:$A$327, 0), COLUMN()-COLUMN($D13)+1)</f>
        <v>19.600000000000001</v>
      </c>
      <c r="F13" s="50">
        <f t="array" ref="F13">INDEX(Assumptions!$D:$AC, MATCH("F9 at-cost rate per launch ($mm)", Assumptions!$A$1:$A$327, 0), COLUMN()-COLUMN($D13)+1)</f>
        <v>19.207999999999998</v>
      </c>
      <c r="G13" s="50">
        <f t="array" ref="G13">INDEX(Assumptions!$D:$AC, MATCH("F9 at-cost rate per launch ($mm)", Assumptions!$A$1:$A$327, 0), COLUMN()-COLUMN($D13)+1)</f>
        <v>18.824000000000002</v>
      </c>
      <c r="H13" s="50">
        <f t="array" ref="H13">INDEX(Assumptions!$D:$AC, MATCH("F9 at-cost rate per launch ($mm)", Assumptions!$A$1:$A$327, 0), COLUMN()-COLUMN($D13)+1)</f>
        <v>18.446999999999999</v>
      </c>
      <c r="I13" s="50">
        <f t="array" ref="I13">INDEX(Assumptions!$D:$AC, MATCH("F9 at-cost rate per launch ($mm)", Assumptions!$A$1:$A$327, 0), COLUMN()-COLUMN($D13)+1)</f>
        <v>18.077999999999999</v>
      </c>
      <c r="J13" s="50">
        <f t="array" ref="J13">INDEX(Assumptions!$D:$AC, MATCH("F9 at-cost rate per launch ($mm)", Assumptions!$A$1:$A$327, 0), COLUMN()-COLUMN($D13)+1)</f>
        <v>17.716999999999999</v>
      </c>
      <c r="K13" s="50">
        <f t="array" ref="K13">INDEX(Assumptions!$D:$AC, MATCH("F9 at-cost rate per launch ($mm)", Assumptions!$A$1:$A$327, 0), COLUMN()-COLUMN($D13)+1)</f>
        <v>17.363</v>
      </c>
      <c r="L13" s="50">
        <f t="array" ref="L13">INDEX(Assumptions!$D:$AC, MATCH("F9 at-cost rate per launch ($mm)", Assumptions!$A$1:$A$327, 0), COLUMN()-COLUMN($D13)+1)</f>
        <v>17.015000000000001</v>
      </c>
      <c r="M13" s="50">
        <f t="array" ref="M13">INDEX(Assumptions!$D:$AC, MATCH("F9 at-cost rate per launch ($mm)", Assumptions!$A$1:$A$327, 0), COLUMN()-COLUMN($D13)+1)</f>
        <v>16.675000000000001</v>
      </c>
      <c r="N13" s="50">
        <f t="array" ref="N13">INDEX(Assumptions!$D:$AC, MATCH("F9 at-cost rate per launch ($mm)", Assumptions!$A$1:$A$327, 0), COLUMN()-COLUMN($D13)+1)</f>
        <v>16.341999999999999</v>
      </c>
      <c r="O13" s="50">
        <f t="array" ref="O13">INDEX(Assumptions!$D:$AC, MATCH("F9 at-cost rate per launch ($mm)", Assumptions!$A$1:$A$327, 0), COLUMN()-COLUMN($D13)+1)</f>
        <v>16.015000000000001</v>
      </c>
      <c r="P13" s="50">
        <f t="array" ref="P13">INDEX(Assumptions!$D:$AC, MATCH("F9 at-cost rate per launch ($mm)", Assumptions!$A$1:$A$327, 0), COLUMN()-COLUMN($D13)+1)</f>
        <v>15.695</v>
      </c>
      <c r="Q13" s="50">
        <f t="array" ref="Q13">INDEX(Assumptions!$D:$AC, MATCH("F9 at-cost rate per launch ($mm)", Assumptions!$A$1:$A$327, 0), COLUMN()-COLUMN($D13)+1)</f>
        <v>15.381</v>
      </c>
      <c r="R13" s="50">
        <f t="array" ref="R13">INDEX(Assumptions!$D:$AC, MATCH("F9 at-cost rate per launch ($mm)", Assumptions!$A$1:$A$327, 0), COLUMN()-COLUMN($D13)+1)</f>
        <v>15.073</v>
      </c>
      <c r="S13" s="50">
        <f t="array" ref="S13">INDEX(Assumptions!$D:$AC, MATCH("F9 at-cost rate per launch ($mm)", Assumptions!$A$1:$A$327, 0), COLUMN()-COLUMN($D13)+1)</f>
        <v>14.772</v>
      </c>
    </row>
    <row r="14" spans="1:19" x14ac:dyDescent="0.2">
      <c r="A14" s="22" t="s">
        <v>248</v>
      </c>
      <c r="B14" s="8"/>
      <c r="C14" s="8"/>
      <c r="D14" s="50">
        <f t="array" ref="D14">INDEX(Assumptions!$D:$AC, MATCH("Starship at-cost rate per launch ($mm)", Assumptions!$A$1:$A$327, 0), COLUMN()-COLUMN($D14)+1)</f>
        <v>0</v>
      </c>
      <c r="E14" s="50">
        <f t="array" ref="E14">INDEX(Assumptions!$D:$AC, MATCH("Starship at-cost rate per launch ($mm)", Assumptions!$A$1:$A$327, 0), COLUMN()-COLUMN($D14)+1)</f>
        <v>0</v>
      </c>
      <c r="F14" s="50">
        <f t="array" ref="F14">INDEX(Assumptions!$D:$AC, MATCH("Starship at-cost rate per launch ($mm)", Assumptions!$A$1:$A$327, 0), COLUMN()-COLUMN($D14)+1)</f>
        <v>25</v>
      </c>
      <c r="G14" s="50">
        <f t="array" ref="G14">INDEX(Assumptions!$D:$AC, MATCH("Starship at-cost rate per launch ($mm)", Assumptions!$A$1:$A$327, 0), COLUMN()-COLUMN($D14)+1)</f>
        <v>23</v>
      </c>
      <c r="H14" s="50">
        <f t="array" ref="H14">INDEX(Assumptions!$D:$AC, MATCH("Starship at-cost rate per launch ($mm)", Assumptions!$A$1:$A$327, 0), COLUMN()-COLUMN($D14)+1)</f>
        <v>21.16</v>
      </c>
      <c r="I14" s="50">
        <f t="array" ref="I14">INDEX(Assumptions!$D:$AC, MATCH("Starship at-cost rate per launch ($mm)", Assumptions!$A$1:$A$327, 0), COLUMN()-COLUMN($D14)+1)</f>
        <v>19.466999999999999</v>
      </c>
      <c r="J14" s="50">
        <f t="array" ref="J14">INDEX(Assumptions!$D:$AC, MATCH("Starship at-cost rate per launch ($mm)", Assumptions!$A$1:$A$327, 0), COLUMN()-COLUMN($D14)+1)</f>
        <v>17.91</v>
      </c>
      <c r="K14" s="50">
        <f t="array" ref="K14">INDEX(Assumptions!$D:$AC, MATCH("Starship at-cost rate per launch ($mm)", Assumptions!$A$1:$A$327, 0), COLUMN()-COLUMN($D14)+1)</f>
        <v>16.477</v>
      </c>
      <c r="L14" s="50">
        <f t="array" ref="L14">INDEX(Assumptions!$D:$AC, MATCH("Starship at-cost rate per launch ($mm)", Assumptions!$A$1:$A$327, 0), COLUMN()-COLUMN($D14)+1)</f>
        <v>15.159000000000001</v>
      </c>
      <c r="M14" s="50">
        <f t="array" ref="M14">INDEX(Assumptions!$D:$AC, MATCH("Starship at-cost rate per launch ($mm)", Assumptions!$A$1:$A$327, 0), COLUMN()-COLUMN($D14)+1)</f>
        <v>13.946</v>
      </c>
      <c r="N14" s="50">
        <f t="array" ref="N14">INDEX(Assumptions!$D:$AC, MATCH("Starship at-cost rate per launch ($mm)", Assumptions!$A$1:$A$327, 0), COLUMN()-COLUMN($D14)+1)</f>
        <v>12.83</v>
      </c>
      <c r="O14" s="50">
        <f t="array" ref="O14">INDEX(Assumptions!$D:$AC, MATCH("Starship at-cost rate per launch ($mm)", Assumptions!$A$1:$A$327, 0), COLUMN()-COLUMN($D14)+1)</f>
        <v>11.804</v>
      </c>
      <c r="P14" s="50">
        <f t="array" ref="P14">INDEX(Assumptions!$D:$AC, MATCH("Starship at-cost rate per launch ($mm)", Assumptions!$A$1:$A$327, 0), COLUMN()-COLUMN($D14)+1)</f>
        <v>10.859</v>
      </c>
      <c r="Q14" s="50">
        <f t="array" ref="Q14">INDEX(Assumptions!$D:$AC, MATCH("Starship at-cost rate per launch ($mm)", Assumptions!$A$1:$A$327, 0), COLUMN()-COLUMN($D14)+1)</f>
        <v>9.99</v>
      </c>
      <c r="R14" s="50">
        <f t="array" ref="R14">INDEX(Assumptions!$D:$AC, MATCH("Starship at-cost rate per launch ($mm)", Assumptions!$A$1:$A$327, 0), COLUMN()-COLUMN($D14)+1)</f>
        <v>9.1910000000000007</v>
      </c>
      <c r="S14" s="50">
        <f t="array" ref="S14">INDEX(Assumptions!$D:$AC, MATCH("Starship at-cost rate per launch ($mm)", Assumptions!$A$1:$A$327, 0), COLUMN()-COLUMN($D14)+1)</f>
        <v>8.4559999999999995</v>
      </c>
    </row>
    <row r="15" spans="1:19" x14ac:dyDescent="0.2">
      <c r="A15" s="22" t="s">
        <v>259</v>
      </c>
      <c r="B15" s="8"/>
      <c r="C15" s="8"/>
      <c r="D15" s="63">
        <f>INDEX(Assumptions!$B:$B, MATCH("Sat operational life L (years)", Assumptions!$A$1:$A$327, 0))</f>
        <v>5</v>
      </c>
      <c r="E15" s="63">
        <f>INDEX(Assumptions!$B:$B, MATCH("Sat operational life L (years)", Assumptions!$A$1:$A$327, 0))</f>
        <v>5</v>
      </c>
      <c r="F15" s="63">
        <f>INDEX(Assumptions!$B:$B, MATCH("Sat operational life L (years)", Assumptions!$A$1:$A$327, 0))</f>
        <v>5</v>
      </c>
      <c r="G15" s="63">
        <f>INDEX(Assumptions!$B:$B, MATCH("Sat operational life L (years)", Assumptions!$A$1:$A$327, 0))</f>
        <v>5</v>
      </c>
      <c r="H15" s="63">
        <f>INDEX(Assumptions!$B:$B, MATCH("Sat operational life L (years)", Assumptions!$A$1:$A$327, 0))</f>
        <v>5</v>
      </c>
      <c r="I15" s="63">
        <f>INDEX(Assumptions!$B:$B, MATCH("Sat operational life L (years)", Assumptions!$A$1:$A$327, 0))</f>
        <v>5</v>
      </c>
      <c r="J15" s="63">
        <f>INDEX(Assumptions!$B:$B, MATCH("Sat operational life L (years)", Assumptions!$A$1:$A$327, 0))</f>
        <v>5</v>
      </c>
      <c r="K15" s="63">
        <f>INDEX(Assumptions!$B:$B, MATCH("Sat operational life L (years)", Assumptions!$A$1:$A$327, 0))</f>
        <v>5</v>
      </c>
      <c r="L15" s="63">
        <f>INDEX(Assumptions!$B:$B, MATCH("Sat operational life L (years)", Assumptions!$A$1:$A$327, 0))</f>
        <v>5</v>
      </c>
      <c r="M15" s="63">
        <f>INDEX(Assumptions!$B:$B, MATCH("Sat operational life L (years)", Assumptions!$A$1:$A$327, 0))</f>
        <v>5</v>
      </c>
      <c r="N15" s="63">
        <f>INDEX(Assumptions!$B:$B, MATCH("Sat operational life L (years)", Assumptions!$A$1:$A$327, 0))</f>
        <v>5</v>
      </c>
      <c r="O15" s="63">
        <f>INDEX(Assumptions!$B:$B, MATCH("Sat operational life L (years)", Assumptions!$A$1:$A$327, 0))</f>
        <v>5</v>
      </c>
      <c r="P15" s="63">
        <f>INDEX(Assumptions!$B:$B, MATCH("Sat operational life L (years)", Assumptions!$A$1:$A$327, 0))</f>
        <v>5</v>
      </c>
      <c r="Q15" s="63">
        <f>INDEX(Assumptions!$B:$B, MATCH("Sat operational life L (years)", Assumptions!$A$1:$A$327, 0))</f>
        <v>5</v>
      </c>
      <c r="R15" s="63">
        <f>INDEX(Assumptions!$B:$B, MATCH("Sat operational life L (years)", Assumptions!$A$1:$A$327, 0))</f>
        <v>5</v>
      </c>
      <c r="S15" s="63">
        <f>INDEX(Assumptions!$B:$B, MATCH("Sat operational life L (years)", Assumptions!$A$1:$A$327, 0))</f>
        <v>5</v>
      </c>
    </row>
    <row r="16" spans="1:19" x14ac:dyDescent="0.2">
      <c r="A16" s="20" t="s">
        <v>221</v>
      </c>
      <c r="B16" s="20"/>
      <c r="C16" s="20"/>
      <c r="D16" s="84">
        <f>INDEX(Assumptions!$B:$B, MATCH("Group WACC", Assumptions!$A$1:$A$327, 0))</f>
        <v>0.1</v>
      </c>
      <c r="E16" s="84">
        <f>INDEX(Assumptions!$B:$B, MATCH("Group WACC", Assumptions!$A$1:$A$327, 0))</f>
        <v>0.1</v>
      </c>
      <c r="F16" s="84">
        <f>INDEX(Assumptions!$B:$B, MATCH("Group WACC", Assumptions!$A$1:$A$327, 0))</f>
        <v>0.1</v>
      </c>
      <c r="G16" s="84">
        <f>INDEX(Assumptions!$B:$B, MATCH("Group WACC", Assumptions!$A$1:$A$327, 0))</f>
        <v>0.1</v>
      </c>
      <c r="H16" s="84">
        <f>INDEX(Assumptions!$B:$B, MATCH("Group WACC", Assumptions!$A$1:$A$327, 0))</f>
        <v>0.1</v>
      </c>
      <c r="I16" s="84">
        <f>INDEX(Assumptions!$B:$B, MATCH("Group WACC", Assumptions!$A$1:$A$327, 0))</f>
        <v>0.1</v>
      </c>
      <c r="J16" s="84">
        <f>INDEX(Assumptions!$B:$B, MATCH("Group WACC", Assumptions!$A$1:$A$327, 0))</f>
        <v>0.1</v>
      </c>
      <c r="K16" s="84">
        <f>INDEX(Assumptions!$B:$B, MATCH("Group WACC", Assumptions!$A$1:$A$327, 0))</f>
        <v>0.1</v>
      </c>
      <c r="L16" s="84">
        <f>INDEX(Assumptions!$B:$B, MATCH("Group WACC", Assumptions!$A$1:$A$327, 0))</f>
        <v>0.1</v>
      </c>
      <c r="M16" s="84">
        <f>INDEX(Assumptions!$B:$B, MATCH("Group WACC", Assumptions!$A$1:$A$327, 0))</f>
        <v>0.1</v>
      </c>
      <c r="N16" s="84">
        <f>INDEX(Assumptions!$B:$B, MATCH("Group WACC", Assumptions!$A$1:$A$327, 0))</f>
        <v>0.1</v>
      </c>
      <c r="O16" s="84">
        <f>INDEX(Assumptions!$B:$B, MATCH("Group WACC", Assumptions!$A$1:$A$327, 0))</f>
        <v>0.1</v>
      </c>
      <c r="P16" s="84">
        <f>INDEX(Assumptions!$B:$B, MATCH("Group WACC", Assumptions!$A$1:$A$327, 0))</f>
        <v>0.1</v>
      </c>
      <c r="Q16" s="84">
        <f>INDEX(Assumptions!$B:$B, MATCH("Group WACC", Assumptions!$A$1:$A$327, 0))</f>
        <v>0.1</v>
      </c>
      <c r="R16" s="84">
        <f>INDEX(Assumptions!$B:$B, MATCH("Group WACC", Assumptions!$A$1:$A$327, 0))</f>
        <v>0.1</v>
      </c>
      <c r="S16" s="84">
        <f>INDEX(Assumptions!$B:$B, MATCH("Group WACC", Assumptions!$A$1:$A$327, 0))</f>
        <v>0.1</v>
      </c>
    </row>
    <row r="17" spans="1:19" x14ac:dyDescent="0.2">
      <c r="A17" s="8"/>
      <c r="B17" s="8"/>
      <c r="C17" s="8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</row>
    <row r="18" spans="1:19" x14ac:dyDescent="0.2">
      <c r="A18" s="22" t="s">
        <v>260</v>
      </c>
      <c r="B18" s="8"/>
      <c r="C18" s="8"/>
      <c r="D18" s="63">
        <f>INDEX(Assumptions!$B:$B, MATCH("Starlink R&amp;D: start % of (Starlink+Starshield) rev", Assumptions!$A$1:$A$327, 0))</f>
        <v>5.2999999999999999E-2</v>
      </c>
      <c r="E18" s="63">
        <f>INDEX(Assumptions!$B:$B, MATCH("Starlink R&amp;D: start % of (Starlink+Starshield) rev", Assumptions!$A$1:$A$327, 0))</f>
        <v>5.2999999999999999E-2</v>
      </c>
      <c r="F18" s="63">
        <f>INDEX(Assumptions!$B:$B, MATCH("Starlink R&amp;D: start % of (Starlink+Starshield) rev", Assumptions!$A$1:$A$327, 0))</f>
        <v>5.2999999999999999E-2</v>
      </c>
      <c r="G18" s="63">
        <f>INDEX(Assumptions!$B:$B, MATCH("Starlink R&amp;D: start % of (Starlink+Starshield) rev", Assumptions!$A$1:$A$327, 0))</f>
        <v>5.2999999999999999E-2</v>
      </c>
      <c r="H18" s="63">
        <f>INDEX(Assumptions!$B:$B, MATCH("Starlink R&amp;D: start % of (Starlink+Starshield) rev", Assumptions!$A$1:$A$327, 0))</f>
        <v>5.2999999999999999E-2</v>
      </c>
      <c r="I18" s="63">
        <f>INDEX(Assumptions!$B:$B, MATCH("Starlink R&amp;D: start % of (Starlink+Starshield) rev", Assumptions!$A$1:$A$327, 0))</f>
        <v>5.2999999999999999E-2</v>
      </c>
      <c r="J18" s="63">
        <f>INDEX(Assumptions!$B:$B, MATCH("Starlink R&amp;D: start % of (Starlink+Starshield) rev", Assumptions!$A$1:$A$327, 0))</f>
        <v>5.2999999999999999E-2</v>
      </c>
      <c r="K18" s="63">
        <f>INDEX(Assumptions!$B:$B, MATCH("Starlink R&amp;D: start % of (Starlink+Starshield) rev", Assumptions!$A$1:$A$327, 0))</f>
        <v>5.2999999999999999E-2</v>
      </c>
      <c r="L18" s="63">
        <f>INDEX(Assumptions!$B:$B, MATCH("Starlink R&amp;D: start % of (Starlink+Starshield) rev", Assumptions!$A$1:$A$327, 0))</f>
        <v>5.2999999999999999E-2</v>
      </c>
      <c r="M18" s="63">
        <f>INDEX(Assumptions!$B:$B, MATCH("Starlink R&amp;D: start % of (Starlink+Starshield) rev", Assumptions!$A$1:$A$327, 0))</f>
        <v>5.2999999999999999E-2</v>
      </c>
      <c r="N18" s="63">
        <f>INDEX(Assumptions!$B:$B, MATCH("Starlink R&amp;D: start % of (Starlink+Starshield) rev", Assumptions!$A$1:$A$327, 0))</f>
        <v>5.2999999999999999E-2</v>
      </c>
      <c r="O18" s="63">
        <f>INDEX(Assumptions!$B:$B, MATCH("Starlink R&amp;D: start % of (Starlink+Starshield) rev", Assumptions!$A$1:$A$327, 0))</f>
        <v>5.2999999999999999E-2</v>
      </c>
      <c r="P18" s="63">
        <f>INDEX(Assumptions!$B:$B, MATCH("Starlink R&amp;D: start % of (Starlink+Starshield) rev", Assumptions!$A$1:$A$327, 0))</f>
        <v>5.2999999999999999E-2</v>
      </c>
      <c r="Q18" s="63">
        <f>INDEX(Assumptions!$B:$B, MATCH("Starlink R&amp;D: start % of (Starlink+Starshield) rev", Assumptions!$A$1:$A$327, 0))</f>
        <v>5.2999999999999999E-2</v>
      </c>
      <c r="R18" s="63">
        <f>INDEX(Assumptions!$B:$B, MATCH("Starlink R&amp;D: start % of (Starlink+Starshield) rev", Assumptions!$A$1:$A$327, 0))</f>
        <v>5.2999999999999999E-2</v>
      </c>
      <c r="S18" s="63">
        <f>INDEX(Assumptions!$B:$B, MATCH("Starlink R&amp;D: start % of (Starlink+Starshield) rev", Assumptions!$A$1:$A$327, 0))</f>
        <v>5.2999999999999999E-2</v>
      </c>
    </row>
    <row r="19" spans="1:19" x14ac:dyDescent="0.2">
      <c r="A19" s="22" t="s">
        <v>1306</v>
      </c>
      <c r="B19" s="8"/>
      <c r="C19" s="8"/>
      <c r="D19" s="62">
        <f>INDEX('Cash Allocation Engine'!D:D,MATCH("Allocated cash to Starlink ($mm)",'Cash Allocation Engine'!$A$1:$A$91,0))</f>
        <v>0</v>
      </c>
      <c r="E19" s="62">
        <f ca="1">INDEX('Cash Allocation Engine'!E:E,MATCH("Allocated cash to Starlink ($mm)",'Cash Allocation Engine'!$A$1:$A$91,0))</f>
        <v>25727.691308577967</v>
      </c>
      <c r="F19" s="62">
        <f ca="1">INDEX('Cash Allocation Engine'!F:F,MATCH("Allocated cash to Starlink ($mm)",'Cash Allocation Engine'!$A$1:$A$91,0))</f>
        <v>48421.835114502152</v>
      </c>
      <c r="G19" s="62">
        <f ca="1">INDEX('Cash Allocation Engine'!G:G,MATCH("Allocated cash to Starlink ($mm)",'Cash Allocation Engine'!$A$1:$A$91,0))</f>
        <v>35963.544731402966</v>
      </c>
      <c r="H19" s="62">
        <f ca="1">INDEX('Cash Allocation Engine'!H:H,MATCH("Allocated cash to Starlink ($mm)",'Cash Allocation Engine'!$A$1:$A$91,0))</f>
        <v>33987.006870262972</v>
      </c>
      <c r="I19" s="62">
        <f ca="1">INDEX('Cash Allocation Engine'!I:I,MATCH("Allocated cash to Starlink ($mm)",'Cash Allocation Engine'!$A$1:$A$91,0))</f>
        <v>47929.441363579383</v>
      </c>
      <c r="J19" s="62">
        <f ca="1">INDEX('Cash Allocation Engine'!J:J,MATCH("Allocated cash to Starlink ($mm)",'Cash Allocation Engine'!$A$1:$A$91,0))</f>
        <v>71941.235230396982</v>
      </c>
      <c r="K19" s="62">
        <f ca="1">INDEX('Cash Allocation Engine'!K:K,MATCH("Allocated cash to Starlink ($mm)",'Cash Allocation Engine'!$A$1:$A$91,0))</f>
        <v>48539.514477932687</v>
      </c>
      <c r="L19" s="62">
        <f ca="1">INDEX('Cash Allocation Engine'!L:L,MATCH("Allocated cash to Starlink ($mm)",'Cash Allocation Engine'!$A$1:$A$91,0))</f>
        <v>56781.091862109432</v>
      </c>
      <c r="M19" s="62">
        <f ca="1">INDEX('Cash Allocation Engine'!M:M,MATCH("Allocated cash to Starlink ($mm)",'Cash Allocation Engine'!$A$1:$A$91,0))</f>
        <v>79229.122156942118</v>
      </c>
      <c r="N19" s="62">
        <f ca="1">INDEX('Cash Allocation Engine'!N:N,MATCH("Allocated cash to Starlink ($mm)",'Cash Allocation Engine'!$A$1:$A$91,0))</f>
        <v>91052.018687956894</v>
      </c>
      <c r="O19" s="62">
        <f ca="1">INDEX('Cash Allocation Engine'!O:O,MATCH("Allocated cash to Starlink ($mm)",'Cash Allocation Engine'!$A$1:$A$91,0))</f>
        <v>123606.92843673532</v>
      </c>
      <c r="P19" s="62">
        <f ca="1">INDEX('Cash Allocation Engine'!P:P,MATCH("Allocated cash to Starlink ($mm)",'Cash Allocation Engine'!$A$1:$A$91,0))</f>
        <v>106796.37741109876</v>
      </c>
      <c r="Q19" s="62">
        <f ca="1">INDEX('Cash Allocation Engine'!Q:Q,MATCH("Allocated cash to Starlink ($mm)",'Cash Allocation Engine'!$A$1:$A$91,0))</f>
        <v>57814.378001057979</v>
      </c>
      <c r="R19" s="62">
        <f ca="1">INDEX('Cash Allocation Engine'!R:R,MATCH("Allocated cash to Starlink ($mm)",'Cash Allocation Engine'!$A$1:$A$91,0))</f>
        <v>39109.522664813128</v>
      </c>
      <c r="S19" s="62">
        <f ca="1">INDEX('Cash Allocation Engine'!S:S,MATCH("Allocated cash to Starlink ($mm)",'Cash Allocation Engine'!$A$1:$A$91,0))</f>
        <v>41495.900342813802</v>
      </c>
    </row>
    <row r="20" spans="1:19" x14ac:dyDescent="0.2">
      <c r="A20" s="22" t="s">
        <v>282</v>
      </c>
      <c r="B20" s="8"/>
      <c r="C20" s="8"/>
      <c r="D20" s="63">
        <f>INDEX(Assumptions!$B:$B, MATCH("Starlink deployment 2025 anchor (sats)", Assumptions!$A$1:$A$327, 0))</f>
        <v>3840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2">
      <c r="A21" s="22" t="s">
        <v>275</v>
      </c>
      <c r="B21" s="8"/>
      <c r="C21" s="8"/>
      <c r="D21" s="63">
        <f>INDEX(Assumptions!$B:$B, MATCH("Sat utilization (frac)", Assumptions!$A$1:$A$327, 0))</f>
        <v>0.7</v>
      </c>
      <c r="E21" s="63">
        <f>INDEX(Assumptions!$B:$B, MATCH("Sat utilization (frac)", Assumptions!$A$1:$A$327, 0))</f>
        <v>0.7</v>
      </c>
      <c r="F21" s="63">
        <f>INDEX(Assumptions!$B:$B, MATCH("Sat utilization (frac)", Assumptions!$A$1:$A$327, 0))</f>
        <v>0.7</v>
      </c>
      <c r="G21" s="63">
        <f>INDEX(Assumptions!$B:$B, MATCH("Sat utilization (frac)", Assumptions!$A$1:$A$327, 0))</f>
        <v>0.7</v>
      </c>
      <c r="H21" s="63">
        <f>INDEX(Assumptions!$B:$B, MATCH("Sat utilization (frac)", Assumptions!$A$1:$A$327, 0))</f>
        <v>0.7</v>
      </c>
      <c r="I21" s="63">
        <f>INDEX(Assumptions!$B:$B, MATCH("Sat utilization (frac)", Assumptions!$A$1:$A$327, 0))</f>
        <v>0.7</v>
      </c>
      <c r="J21" s="63">
        <f>INDEX(Assumptions!$B:$B, MATCH("Sat utilization (frac)", Assumptions!$A$1:$A$327, 0))</f>
        <v>0.7</v>
      </c>
      <c r="K21" s="63">
        <f>INDEX(Assumptions!$B:$B, MATCH("Sat utilization (frac)", Assumptions!$A$1:$A$327, 0))</f>
        <v>0.7</v>
      </c>
      <c r="L21" s="63">
        <f>INDEX(Assumptions!$B:$B, MATCH("Sat utilization (frac)", Assumptions!$A$1:$A$327, 0))</f>
        <v>0.7</v>
      </c>
      <c r="M21" s="63">
        <f>INDEX(Assumptions!$B:$B, MATCH("Sat utilization (frac)", Assumptions!$A$1:$A$327, 0))</f>
        <v>0.7</v>
      </c>
      <c r="N21" s="63">
        <f>INDEX(Assumptions!$B:$B, MATCH("Sat utilization (frac)", Assumptions!$A$1:$A$327, 0))</f>
        <v>0.7</v>
      </c>
      <c r="O21" s="63">
        <f>INDEX(Assumptions!$B:$B, MATCH("Sat utilization (frac)", Assumptions!$A$1:$A$327, 0))</f>
        <v>0.7</v>
      </c>
      <c r="P21" s="63">
        <f>INDEX(Assumptions!$B:$B, MATCH("Sat utilization (frac)", Assumptions!$A$1:$A$327, 0))</f>
        <v>0.7</v>
      </c>
      <c r="Q21" s="63">
        <f>INDEX(Assumptions!$B:$B, MATCH("Sat utilization (frac)", Assumptions!$A$1:$A$327, 0))</f>
        <v>0.7</v>
      </c>
      <c r="R21" s="63">
        <f>INDEX(Assumptions!$B:$B, MATCH("Sat utilization (frac)", Assumptions!$A$1:$A$327, 0))</f>
        <v>0.7</v>
      </c>
      <c r="S21" s="63">
        <f>INDEX(Assumptions!$B:$B, MATCH("Sat utilization (frac)", Assumptions!$A$1:$A$327, 0))</f>
        <v>0.7</v>
      </c>
    </row>
    <row r="22" spans="1:19" x14ac:dyDescent="0.2">
      <c r="A22" s="22" t="s">
        <v>261</v>
      </c>
      <c r="B22" s="8"/>
      <c r="C22" s="8"/>
      <c r="D22" s="63">
        <f>INDEX(Assumptions!$B:$B, MATCH("Starship operational year", Assumptions!$A$1:$A$327, 0))</f>
        <v>2026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2">
      <c r="A23" s="22" t="s">
        <v>262</v>
      </c>
      <c r="B23" s="8"/>
      <c r="C23" s="8"/>
      <c r="D23" s="63">
        <f>INDEX(Assumptions!$B:$B, MATCH("F9 launches V2-Starlink final year", Assumptions!$A$1:$A$327, 0))</f>
        <v>2026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2">
      <c r="A24" s="22" t="s">
        <v>492</v>
      </c>
      <c r="B24" s="8"/>
      <c r="C24" s="8"/>
      <c r="D24" s="161">
        <f t="array" ref="D24">INDEX('Vehicle Build'!$D:$AC, MATCH("F9 payload per launch (kg)", 'Vehicle Build'!$A$1:$A$119, 0), COLUMN()-COLUMN($D24)+1)</f>
        <v>22800</v>
      </c>
      <c r="E24" s="161">
        <f t="array" ref="E24">INDEX('Vehicle Build'!$D:$AC, MATCH("F9 payload per launch (kg)", 'Vehicle Build'!$A$1:$A$119, 0), COLUMN()-COLUMN($D24)+1)</f>
        <v>22800</v>
      </c>
      <c r="F24" s="161">
        <f t="array" ref="F24">INDEX('Vehicle Build'!$D:$AC, MATCH("F9 payload per launch (kg)", 'Vehicle Build'!$A$1:$A$119, 0), COLUMN()-COLUMN($D24)+1)</f>
        <v>22800</v>
      </c>
      <c r="G24" s="161">
        <f t="array" ref="G24">INDEX('Vehicle Build'!$D:$AC, MATCH("F9 payload per launch (kg)", 'Vehicle Build'!$A$1:$A$119, 0), COLUMN()-COLUMN($D24)+1)</f>
        <v>22800</v>
      </c>
      <c r="H24" s="161">
        <f t="array" ref="H24">INDEX('Vehicle Build'!$D:$AC, MATCH("F9 payload per launch (kg)", 'Vehicle Build'!$A$1:$A$119, 0), COLUMN()-COLUMN($D24)+1)</f>
        <v>22800</v>
      </c>
      <c r="I24" s="161">
        <f t="array" ref="I24">INDEX('Vehicle Build'!$D:$AC, MATCH("F9 payload per launch (kg)", 'Vehicle Build'!$A$1:$A$119, 0), COLUMN()-COLUMN($D24)+1)</f>
        <v>22800</v>
      </c>
      <c r="J24" s="161">
        <f t="array" ref="J24">INDEX('Vehicle Build'!$D:$AC, MATCH("F9 payload per launch (kg)", 'Vehicle Build'!$A$1:$A$119, 0), COLUMN()-COLUMN($D24)+1)</f>
        <v>22800</v>
      </c>
      <c r="K24" s="161">
        <f t="array" ref="K24">INDEX('Vehicle Build'!$D:$AC, MATCH("F9 payload per launch (kg)", 'Vehicle Build'!$A$1:$A$119, 0), COLUMN()-COLUMN($D24)+1)</f>
        <v>22800</v>
      </c>
      <c r="L24" s="161">
        <f t="array" ref="L24">INDEX('Vehicle Build'!$D:$AC, MATCH("F9 payload per launch (kg)", 'Vehicle Build'!$A$1:$A$119, 0), COLUMN()-COLUMN($D24)+1)</f>
        <v>22800</v>
      </c>
      <c r="M24" s="161">
        <f t="array" ref="M24">INDEX('Vehicle Build'!$D:$AC, MATCH("F9 payload per launch (kg)", 'Vehicle Build'!$A$1:$A$119, 0), COLUMN()-COLUMN($D24)+1)</f>
        <v>22800</v>
      </c>
      <c r="N24" s="161">
        <f t="array" ref="N24">INDEX('Vehicle Build'!$D:$AC, MATCH("F9 payload per launch (kg)", 'Vehicle Build'!$A$1:$A$119, 0), COLUMN()-COLUMN($D24)+1)</f>
        <v>22800</v>
      </c>
      <c r="O24" s="161">
        <f t="array" ref="O24">INDEX('Vehicle Build'!$D:$AC, MATCH("F9 payload per launch (kg)", 'Vehicle Build'!$A$1:$A$119, 0), COLUMN()-COLUMN($D24)+1)</f>
        <v>22800</v>
      </c>
      <c r="P24" s="161">
        <f t="array" ref="P24">INDEX('Vehicle Build'!$D:$AC, MATCH("F9 payload per launch (kg)", 'Vehicle Build'!$A$1:$A$119, 0), COLUMN()-COLUMN($D24)+1)</f>
        <v>22800</v>
      </c>
      <c r="Q24" s="161">
        <f t="array" ref="Q24">INDEX('Vehicle Build'!$D:$AC, MATCH("F9 payload per launch (kg)", 'Vehicle Build'!$A$1:$A$119, 0), COLUMN()-COLUMN($D24)+1)</f>
        <v>22800</v>
      </c>
      <c r="R24" s="161">
        <f t="array" ref="R24">INDEX('Vehicle Build'!$D:$AC, MATCH("F9 payload per launch (kg)", 'Vehicle Build'!$A$1:$A$119, 0), COLUMN()-COLUMN($D24)+1)</f>
        <v>22800</v>
      </c>
      <c r="S24" s="161">
        <f t="array" ref="S24">INDEX('Vehicle Build'!$D:$AC, MATCH("F9 payload per launch (kg)", 'Vehicle Build'!$A$1:$A$119, 0), COLUMN()-COLUMN($D24)+1)</f>
        <v>22800</v>
      </c>
    </row>
    <row r="25" spans="1:19" x14ac:dyDescent="0.2">
      <c r="A25" s="22" t="s">
        <v>493</v>
      </c>
      <c r="B25" s="8"/>
      <c r="C25" s="8"/>
      <c r="D25" s="161">
        <f t="array" ref="D25">INDEX('Vehicle Build'!$D:$AC, MATCH("Starship payload per launch (kg)", 'Vehicle Build'!$A$1:$A$119, 0), COLUMN()-COLUMN($D25)+1)</f>
        <v>100000</v>
      </c>
      <c r="E25" s="161">
        <f t="array" ref="E25">INDEX('Vehicle Build'!$D:$AC, MATCH("Starship payload per launch (kg)", 'Vehicle Build'!$A$1:$A$119, 0), COLUMN()-COLUMN($D25)+1)</f>
        <v>114869.83549970351</v>
      </c>
      <c r="F25" s="161">
        <f t="array" ref="F25">INDEX('Vehicle Build'!$D:$AC, MATCH("Starship payload per launch (kg)", 'Vehicle Build'!$A$1:$A$119, 0), COLUMN()-COLUMN($D25)+1)</f>
        <v>131950.79107728941</v>
      </c>
      <c r="G25" s="161">
        <f t="array" ref="G25">INDEX('Vehicle Build'!$D:$AC, MATCH("Starship payload per launch (kg)", 'Vehicle Build'!$A$1:$A$119, 0), COLUMN()-COLUMN($D25)+1)</f>
        <v>151571.65665103981</v>
      </c>
      <c r="H25" s="161">
        <f t="array" ref="H25">INDEX('Vehicle Build'!$D:$AC, MATCH("Starship payload per launch (kg)", 'Vehicle Build'!$A$1:$A$119, 0), COLUMN()-COLUMN($D25)+1)</f>
        <v>174110.11265922483</v>
      </c>
      <c r="I25" s="161">
        <f t="array" ref="I25">INDEX('Vehicle Build'!$D:$AC, MATCH("Starship payload per launch (kg)", 'Vehicle Build'!$A$1:$A$119, 0), COLUMN()-COLUMN($D25)+1)</f>
        <v>200000</v>
      </c>
      <c r="J25" s="161">
        <f t="array" ref="J25">INDEX('Vehicle Build'!$D:$AC, MATCH("Starship payload per launch (kg)", 'Vehicle Build'!$A$1:$A$119, 0), COLUMN()-COLUMN($D25)+1)</f>
        <v>200000</v>
      </c>
      <c r="K25" s="161">
        <f t="array" ref="K25">INDEX('Vehicle Build'!$D:$AC, MATCH("Starship payload per launch (kg)", 'Vehicle Build'!$A$1:$A$119, 0), COLUMN()-COLUMN($D25)+1)</f>
        <v>200000</v>
      </c>
      <c r="L25" s="161">
        <f t="array" ref="L25">INDEX('Vehicle Build'!$D:$AC, MATCH("Starship payload per launch (kg)", 'Vehicle Build'!$A$1:$A$119, 0), COLUMN()-COLUMN($D25)+1)</f>
        <v>200000</v>
      </c>
      <c r="M25" s="161">
        <f t="array" ref="M25">INDEX('Vehicle Build'!$D:$AC, MATCH("Starship payload per launch (kg)", 'Vehicle Build'!$A$1:$A$119, 0), COLUMN()-COLUMN($D25)+1)</f>
        <v>200000</v>
      </c>
      <c r="N25" s="161">
        <f t="array" ref="N25">INDEX('Vehicle Build'!$D:$AC, MATCH("Starship payload per launch (kg)", 'Vehicle Build'!$A$1:$A$119, 0), COLUMN()-COLUMN($D25)+1)</f>
        <v>200000</v>
      </c>
      <c r="O25" s="161">
        <f t="array" ref="O25">INDEX('Vehicle Build'!$D:$AC, MATCH("Starship payload per launch (kg)", 'Vehicle Build'!$A$1:$A$119, 0), COLUMN()-COLUMN($D25)+1)</f>
        <v>200000</v>
      </c>
      <c r="P25" s="161">
        <f t="array" ref="P25">INDEX('Vehicle Build'!$D:$AC, MATCH("Starship payload per launch (kg)", 'Vehicle Build'!$A$1:$A$119, 0), COLUMN()-COLUMN($D25)+1)</f>
        <v>200000</v>
      </c>
      <c r="Q25" s="161">
        <f t="array" ref="Q25">INDEX('Vehicle Build'!$D:$AC, MATCH("Starship payload per launch (kg)", 'Vehicle Build'!$A$1:$A$119, 0), COLUMN()-COLUMN($D25)+1)</f>
        <v>200000</v>
      </c>
      <c r="R25" s="161">
        <f t="array" ref="R25">INDEX('Vehicle Build'!$D:$AC, MATCH("Starship payload per launch (kg)", 'Vehicle Build'!$A$1:$A$119, 0), COLUMN()-COLUMN($D25)+1)</f>
        <v>200000</v>
      </c>
      <c r="S25" s="161">
        <f t="array" ref="S25">INDEX('Vehicle Build'!$D:$AC, MATCH("Starship payload per launch (kg)", 'Vehicle Build'!$A$1:$A$119, 0), COLUMN()-COLUMN($D25)+1)</f>
        <v>200000</v>
      </c>
    </row>
    <row r="26" spans="1:19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18" t="s">
        <v>494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x14ac:dyDescent="0.2">
      <c r="A28" s="22" t="s">
        <v>495</v>
      </c>
      <c r="B28" s="8"/>
      <c r="C28" s="8"/>
      <c r="D28" s="175">
        <f t="shared" ref="D28:S28" si="0">IF(D$4&lt;=$D$23, 1, 0)</f>
        <v>1</v>
      </c>
      <c r="E28" s="175">
        <f t="shared" si="0"/>
        <v>1</v>
      </c>
      <c r="F28" s="175">
        <f t="shared" si="0"/>
        <v>0</v>
      </c>
      <c r="G28" s="175">
        <f t="shared" si="0"/>
        <v>0</v>
      </c>
      <c r="H28" s="175">
        <f t="shared" si="0"/>
        <v>0</v>
      </c>
      <c r="I28" s="175">
        <f t="shared" si="0"/>
        <v>0</v>
      </c>
      <c r="J28" s="175">
        <f t="shared" si="0"/>
        <v>0</v>
      </c>
      <c r="K28" s="175">
        <f t="shared" si="0"/>
        <v>0</v>
      </c>
      <c r="L28" s="175">
        <f t="shared" si="0"/>
        <v>0</v>
      </c>
      <c r="M28" s="175">
        <f t="shared" si="0"/>
        <v>0</v>
      </c>
      <c r="N28" s="175">
        <f t="shared" si="0"/>
        <v>0</v>
      </c>
      <c r="O28" s="175">
        <f t="shared" si="0"/>
        <v>0</v>
      </c>
      <c r="P28" s="175">
        <f t="shared" si="0"/>
        <v>0</v>
      </c>
      <c r="Q28" s="175">
        <f t="shared" si="0"/>
        <v>0</v>
      </c>
      <c r="R28" s="175">
        <f t="shared" si="0"/>
        <v>0</v>
      </c>
      <c r="S28" s="175">
        <f t="shared" si="0"/>
        <v>0</v>
      </c>
    </row>
    <row r="29" spans="1:19" x14ac:dyDescent="0.2">
      <c r="A29" s="22" t="s">
        <v>496</v>
      </c>
      <c r="B29" s="8"/>
      <c r="C29" s="8"/>
      <c r="D29" s="175">
        <f t="shared" ref="D29:S29" si="1">IF(D$4&gt;=$D$22+1, 1, 0)</f>
        <v>0</v>
      </c>
      <c r="E29" s="175">
        <f t="shared" si="1"/>
        <v>0</v>
      </c>
      <c r="F29" s="175">
        <f t="shared" si="1"/>
        <v>1</v>
      </c>
      <c r="G29" s="175">
        <f t="shared" si="1"/>
        <v>1</v>
      </c>
      <c r="H29" s="175">
        <f t="shared" si="1"/>
        <v>1</v>
      </c>
      <c r="I29" s="175">
        <f t="shared" si="1"/>
        <v>1</v>
      </c>
      <c r="J29" s="175">
        <f t="shared" si="1"/>
        <v>1</v>
      </c>
      <c r="K29" s="175">
        <f t="shared" si="1"/>
        <v>1</v>
      </c>
      <c r="L29" s="175">
        <f t="shared" si="1"/>
        <v>1</v>
      </c>
      <c r="M29" s="175">
        <f t="shared" si="1"/>
        <v>1</v>
      </c>
      <c r="N29" s="175">
        <f t="shared" si="1"/>
        <v>1</v>
      </c>
      <c r="O29" s="175">
        <f t="shared" si="1"/>
        <v>1</v>
      </c>
      <c r="P29" s="175">
        <f t="shared" si="1"/>
        <v>1</v>
      </c>
      <c r="Q29" s="175">
        <f t="shared" si="1"/>
        <v>1</v>
      </c>
      <c r="R29" s="175">
        <f t="shared" si="1"/>
        <v>1</v>
      </c>
      <c r="S29" s="175">
        <f t="shared" si="1"/>
        <v>1</v>
      </c>
    </row>
    <row r="30" spans="1:19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20" t="s">
        <v>497</v>
      </c>
      <c r="B31" s="20"/>
      <c r="C31" s="20"/>
      <c r="D31" s="85">
        <f>SUM(D32:D35)</f>
        <v>3840</v>
      </c>
      <c r="E31" s="85">
        <f ca="1">SUM(E32:E35)</f>
        <v>3120</v>
      </c>
      <c r="F31" s="85">
        <f ca="1">SUM(F32:F35)</f>
        <v>3918.7353004899928</v>
      </c>
      <c r="G31" s="85">
        <f t="shared" ref="G31:S31" ca="1" si="2">SUM(G32:G35)</f>
        <v>9497.379961050312</v>
      </c>
      <c r="H31" s="85">
        <f t="shared" ca="1" si="2"/>
        <v>22947.350941449131</v>
      </c>
      <c r="I31" s="85">
        <f t="shared" ca="1" si="2"/>
        <v>35068.943705604703</v>
      </c>
      <c r="J31" s="85">
        <f t="shared" ca="1" si="2"/>
        <v>55854.425372966594</v>
      </c>
      <c r="K31" s="85">
        <f t="shared" ca="1" si="2"/>
        <v>39606.221179053282</v>
      </c>
      <c r="L31" s="85">
        <f t="shared" ca="1" si="2"/>
        <v>48073.963374475235</v>
      </c>
      <c r="M31" s="85">
        <f t="shared" ca="1" si="2"/>
        <v>69360.344617768453</v>
      </c>
      <c r="N31" s="85">
        <f t="shared" ca="1" si="2"/>
        <v>82078.478747832269</v>
      </c>
      <c r="O31" s="85">
        <f t="shared" ca="1" si="2"/>
        <v>114553.44433198069</v>
      </c>
      <c r="P31" s="85">
        <f t="shared" ca="1" si="2"/>
        <v>101470.18350527063</v>
      </c>
      <c r="Q31" s="85">
        <f t="shared" ca="1" si="2"/>
        <v>56343.146087423826</v>
      </c>
      <c r="R31" s="85">
        <f t="shared" ca="1" si="2"/>
        <v>38721.97406575927</v>
      </c>
      <c r="S31" s="85">
        <f t="shared" ca="1" si="2"/>
        <v>39441.627937467572</v>
      </c>
    </row>
    <row r="32" spans="1:19" x14ac:dyDescent="0.2">
      <c r="A32" s="22" t="s">
        <v>498</v>
      </c>
      <c r="B32" s="8"/>
      <c r="C32" s="8"/>
      <c r="D32" s="67">
        <f>IF(D$4=2025, $D$20, IF(D$28=1, D203, 0))</f>
        <v>3840</v>
      </c>
      <c r="E32" s="67">
        <f ca="1">IF(E$4=2025, $D$20, IF(E$28=1, E203, 0))</f>
        <v>3120</v>
      </c>
      <c r="F32" s="67">
        <f>IF(F$4=2025, $D$20, IF(F$28=1, F203, 0))</f>
        <v>0</v>
      </c>
      <c r="G32" s="67">
        <f t="shared" ref="G32:S32" si="3">IF(G$4=2025, $D$20, IF(G$28=1, G203, 0))</f>
        <v>0</v>
      </c>
      <c r="H32" s="67">
        <f t="shared" si="3"/>
        <v>0</v>
      </c>
      <c r="I32" s="67">
        <f t="shared" si="3"/>
        <v>0</v>
      </c>
      <c r="J32" s="67">
        <f t="shared" si="3"/>
        <v>0</v>
      </c>
      <c r="K32" s="67">
        <f t="shared" si="3"/>
        <v>0</v>
      </c>
      <c r="L32" s="67">
        <f t="shared" si="3"/>
        <v>0</v>
      </c>
      <c r="M32" s="67">
        <f t="shared" si="3"/>
        <v>0</v>
      </c>
      <c r="N32" s="67">
        <f t="shared" si="3"/>
        <v>0</v>
      </c>
      <c r="O32" s="67">
        <f t="shared" si="3"/>
        <v>0</v>
      </c>
      <c r="P32" s="67">
        <f t="shared" si="3"/>
        <v>0</v>
      </c>
      <c r="Q32" s="67">
        <f t="shared" si="3"/>
        <v>0</v>
      </c>
      <c r="R32" s="67">
        <f t="shared" si="3"/>
        <v>0</v>
      </c>
      <c r="S32" s="67">
        <f t="shared" si="3"/>
        <v>0</v>
      </c>
    </row>
    <row r="33" spans="1:19" x14ac:dyDescent="0.2">
      <c r="A33" s="22" t="s">
        <v>499</v>
      </c>
      <c r="B33" s="8"/>
      <c r="C33" s="8"/>
      <c r="D33" s="67">
        <f>0</f>
        <v>0</v>
      </c>
      <c r="E33" s="67">
        <f>0</f>
        <v>0</v>
      </c>
      <c r="F33" s="67">
        <f>0</f>
        <v>0</v>
      </c>
      <c r="G33" s="67">
        <f>0</f>
        <v>0</v>
      </c>
      <c r="H33" s="67">
        <f>0</f>
        <v>0</v>
      </c>
      <c r="I33" s="67">
        <f>0</f>
        <v>0</v>
      </c>
      <c r="J33" s="67">
        <f>0</f>
        <v>0</v>
      </c>
      <c r="K33" s="67">
        <f>0</f>
        <v>0</v>
      </c>
      <c r="L33" s="67">
        <f>0</f>
        <v>0</v>
      </c>
      <c r="M33" s="67">
        <f>0</f>
        <v>0</v>
      </c>
      <c r="N33" s="67">
        <f>0</f>
        <v>0</v>
      </c>
      <c r="O33" s="67">
        <f>0</f>
        <v>0</v>
      </c>
      <c r="P33" s="67">
        <f>0</f>
        <v>0</v>
      </c>
      <c r="Q33" s="67">
        <f>0</f>
        <v>0</v>
      </c>
      <c r="R33" s="67">
        <f>0</f>
        <v>0</v>
      </c>
      <c r="S33" s="67">
        <f>0</f>
        <v>0</v>
      </c>
    </row>
    <row r="34" spans="1:19" x14ac:dyDescent="0.2">
      <c r="A34" s="22" t="s">
        <v>500</v>
      </c>
      <c r="B34" s="8"/>
      <c r="C34" s="8"/>
      <c r="D34" s="67">
        <f t="shared" ref="D34:F35" si="4">IF(D$29=1, D203, 0)</f>
        <v>0</v>
      </c>
      <c r="E34" s="67">
        <f t="shared" si="4"/>
        <v>0</v>
      </c>
      <c r="F34" s="67">
        <f t="shared" ca="1" si="4"/>
        <v>3916.854375064293</v>
      </c>
      <c r="G34" s="67">
        <f t="shared" ref="G34:S34" ca="1" si="5">IF(G$29=1, G203, 0)</f>
        <v>9417.3322151523389</v>
      </c>
      <c r="H34" s="67">
        <f t="shared" ca="1" si="5"/>
        <v>20322.768188903134</v>
      </c>
      <c r="I34" s="67">
        <f t="shared" ca="1" si="5"/>
        <v>12363.994265305701</v>
      </c>
      <c r="J34" s="67">
        <f t="shared" ca="1" si="5"/>
        <v>27651.611037932231</v>
      </c>
      <c r="K34" s="67">
        <f t="shared" ca="1" si="5"/>
        <v>12542.183228051381</v>
      </c>
      <c r="L34" s="67">
        <f t="shared" ca="1" si="5"/>
        <v>14743.428561076702</v>
      </c>
      <c r="M34" s="67">
        <f t="shared" ca="1" si="5"/>
        <v>24349.446342827163</v>
      </c>
      <c r="N34" s="67">
        <f t="shared" ca="1" si="5"/>
        <v>33421.11012763287</v>
      </c>
      <c r="O34" s="67">
        <f t="shared" ca="1" si="5"/>
        <v>63473.648235141234</v>
      </c>
      <c r="P34" s="67">
        <f t="shared" ca="1" si="5"/>
        <v>57669.22064589816</v>
      </c>
      <c r="Q34" s="67">
        <f t="shared" ca="1" si="5"/>
        <v>32364.600582741252</v>
      </c>
      <c r="R34" s="67">
        <f t="shared" ca="1" si="5"/>
        <v>21476.912522868195</v>
      </c>
      <c r="S34" s="67">
        <f t="shared" ca="1" si="5"/>
        <v>20227.327605824357</v>
      </c>
    </row>
    <row r="35" spans="1:19" x14ac:dyDescent="0.2">
      <c r="A35" s="22" t="s">
        <v>501</v>
      </c>
      <c r="B35" s="8"/>
      <c r="C35" s="8"/>
      <c r="D35" s="67">
        <f t="shared" si="4"/>
        <v>0</v>
      </c>
      <c r="E35" s="67">
        <f t="shared" si="4"/>
        <v>0</v>
      </c>
      <c r="F35" s="67">
        <f t="shared" ca="1" si="4"/>
        <v>1.88092542569962</v>
      </c>
      <c r="G35" s="67">
        <f t="shared" ref="G35:S35" ca="1" si="6">IF(G$29=1, G204, 0)</f>
        <v>80.047745897972504</v>
      </c>
      <c r="H35" s="67">
        <f t="shared" ca="1" si="6"/>
        <v>2624.5827525459968</v>
      </c>
      <c r="I35" s="67">
        <f t="shared" ca="1" si="6"/>
        <v>22704.949440299002</v>
      </c>
      <c r="J35" s="67">
        <f t="shared" ca="1" si="6"/>
        <v>28202.814335034363</v>
      </c>
      <c r="K35" s="67">
        <f t="shared" ca="1" si="6"/>
        <v>27064.037951001901</v>
      </c>
      <c r="L35" s="67">
        <f t="shared" ca="1" si="6"/>
        <v>33330.534813398532</v>
      </c>
      <c r="M35" s="67">
        <f t="shared" ca="1" si="6"/>
        <v>45010.898274941297</v>
      </c>
      <c r="N35" s="67">
        <f t="shared" ca="1" si="6"/>
        <v>48657.368620199399</v>
      </c>
      <c r="O35" s="67">
        <f t="shared" ca="1" si="6"/>
        <v>51079.796096839462</v>
      </c>
      <c r="P35" s="67">
        <f t="shared" ca="1" si="6"/>
        <v>43800.96285937247</v>
      </c>
      <c r="Q35" s="67">
        <f t="shared" ca="1" si="6"/>
        <v>23978.545504682577</v>
      </c>
      <c r="R35" s="67">
        <f t="shared" ca="1" si="6"/>
        <v>17245.061542891075</v>
      </c>
      <c r="S35" s="67">
        <f t="shared" ca="1" si="6"/>
        <v>19214.300331643215</v>
      </c>
    </row>
    <row r="36" spans="1:19" x14ac:dyDescent="0.2">
      <c r="A36" s="22" t="s">
        <v>502</v>
      </c>
      <c r="B36" s="8"/>
      <c r="C36" s="8"/>
      <c r="D36" s="67">
        <f t="shared" ref="D36:S36" si="7">$D$31*0.12</f>
        <v>460.79999999999995</v>
      </c>
      <c r="E36" s="67">
        <f t="shared" si="7"/>
        <v>460.79999999999995</v>
      </c>
      <c r="F36" s="67">
        <f t="shared" si="7"/>
        <v>460.79999999999995</v>
      </c>
      <c r="G36" s="67">
        <f t="shared" si="7"/>
        <v>460.79999999999995</v>
      </c>
      <c r="H36" s="67">
        <f t="shared" si="7"/>
        <v>460.79999999999995</v>
      </c>
      <c r="I36" s="67">
        <f t="shared" si="7"/>
        <v>460.79999999999995</v>
      </c>
      <c r="J36" s="67">
        <f t="shared" si="7"/>
        <v>460.79999999999995</v>
      </c>
      <c r="K36" s="67">
        <f t="shared" si="7"/>
        <v>460.79999999999995</v>
      </c>
      <c r="L36" s="67">
        <f t="shared" si="7"/>
        <v>460.79999999999995</v>
      </c>
      <c r="M36" s="67">
        <f t="shared" si="7"/>
        <v>460.79999999999995</v>
      </c>
      <c r="N36" s="67">
        <f t="shared" si="7"/>
        <v>460.79999999999995</v>
      </c>
      <c r="O36" s="67">
        <f t="shared" si="7"/>
        <v>460.79999999999995</v>
      </c>
      <c r="P36" s="67">
        <f t="shared" si="7"/>
        <v>460.79999999999995</v>
      </c>
      <c r="Q36" s="67">
        <f t="shared" si="7"/>
        <v>460.79999999999995</v>
      </c>
      <c r="R36" s="67">
        <f t="shared" si="7"/>
        <v>460.79999999999995</v>
      </c>
      <c r="S36" s="67">
        <f t="shared" si="7"/>
        <v>460.79999999999995</v>
      </c>
    </row>
    <row r="37" spans="1:19" x14ac:dyDescent="0.2">
      <c r="A37" s="24" t="s">
        <v>1307</v>
      </c>
      <c r="B37" s="8"/>
      <c r="C37" s="8"/>
      <c r="D37" s="185">
        <f>IF(D$29=1, INDEX(Assumptions!$B:$B,MATCH("V3 BB share of new deployment (frac)",Assumptions!$A$1:$A$327,0))*D125 + INDEX(Assumptions!$B:$B,MATCH("V3 DTC share of new deployment (frac)",Assumptions!$A$1:$A$327,0))*D131, INDEX(Assumptions!$B:$B,MATCH("V2 BB share of new deployment (frac)",Assumptions!$A$1:$A$327,0))*D113 + INDEX(Assumptions!$B:$B,MATCH("V2 DTC share of new deployment (frac)",Assumptions!$A$1:$A$327,0))*D119 + 0.12*D137)</f>
        <v>1.1597908653846154</v>
      </c>
      <c r="E37" s="185">
        <f>IF(E$29=1, INDEX(Assumptions!$B:$B,MATCH("V3 BB share of new deployment (frac)",Assumptions!$A$1:$A$327,0))*E125 + INDEX(Assumptions!$B:$B,MATCH("V3 DTC share of new deployment (frac)",Assumptions!$A$1:$A$327,0))*E131, INDEX(Assumptions!$B:$B,MATCH("V2 BB share of new deployment (frac)",Assumptions!$A$1:$A$327,0))*E113 + INDEX(Assumptions!$B:$B,MATCH("V2 DTC share of new deployment (frac)",Assumptions!$A$1:$A$327,0))*E119 + 0.12*E137)</f>
        <v>1.1722995507097071</v>
      </c>
      <c r="F37" s="185">
        <f ca="1">IF(F$29=1, INDEX(Assumptions!$B:$B,MATCH("V3 BB share of new deployment (frac)",Assumptions!$A$1:$A$327,0))*F125 + INDEX(Assumptions!$B:$B,MATCH("V3 DTC share of new deployment (frac)",Assumptions!$A$1:$A$327,0))*F131, INDEX(Assumptions!$B:$B,MATCH("V2 BB share of new deployment (frac)",Assumptions!$A$1:$A$327,0))*F113 + INDEX(Assumptions!$B:$B,MATCH("V2 DTC share of new deployment (frac)",Assumptions!$A$1:$A$327,0))*F119 + 0.12*F137)</f>
        <v>1.6698542334367585</v>
      </c>
      <c r="G37" s="185">
        <f ca="1">IF(G$29=1, INDEX(Assumptions!$B:$B,MATCH("V3 BB share of new deployment (frac)",Assumptions!$A$1:$A$327,0))*G125 + INDEX(Assumptions!$B:$B,MATCH("V3 DTC share of new deployment (frac)",Assumptions!$A$1:$A$327,0))*G131, INDEX(Assumptions!$B:$B,MATCH("V2 BB share of new deployment (frac)",Assumptions!$A$1:$A$327,0))*G113 + INDEX(Assumptions!$B:$B,MATCH("V2 DTC share of new deployment (frac)",Assumptions!$A$1:$A$327,0))*G119 + 0.12*G137)</f>
        <v>1.5893285351885813</v>
      </c>
      <c r="H37" s="185">
        <f ca="1">IF(H$29=1, INDEX(Assumptions!$B:$B,MATCH("V3 BB share of new deployment (frac)",Assumptions!$A$1:$A$327,0))*H125 + INDEX(Assumptions!$B:$B,MATCH("V3 DTC share of new deployment (frac)",Assumptions!$A$1:$A$327,0))*H131, INDEX(Assumptions!$B:$B,MATCH("V2 BB share of new deployment (frac)",Assumptions!$A$1:$A$327,0))*H113 + INDEX(Assumptions!$B:$B,MATCH("V2 DTC share of new deployment (frac)",Assumptions!$A$1:$A$327,0))*H119 + 0.12*H137)</f>
        <v>1.4810862899592141</v>
      </c>
      <c r="I37" s="185">
        <f ca="1">IF(I$29=1, INDEX(Assumptions!$B:$B,MATCH("V3 BB share of new deployment (frac)",Assumptions!$A$1:$A$327,0))*I125 + INDEX(Assumptions!$B:$B,MATCH("V3 DTC share of new deployment (frac)",Assumptions!$A$1:$A$327,0))*I131, INDEX(Assumptions!$B:$B,MATCH("V2 BB share of new deployment (frac)",Assumptions!$A$1:$A$327,0))*I113 + INDEX(Assumptions!$B:$B,MATCH("V2 DTC share of new deployment (frac)",Assumptions!$A$1:$A$327,0))*I119 + 0.12*I137)</f>
        <v>1.3667204169573925</v>
      </c>
      <c r="J37" s="185">
        <f ca="1">IF(J$29=1, INDEX(Assumptions!$B:$B,MATCH("V3 BB share of new deployment (frac)",Assumptions!$A$1:$A$327,0))*J125 + INDEX(Assumptions!$B:$B,MATCH("V3 DTC share of new deployment (frac)",Assumptions!$A$1:$A$327,0))*J131, INDEX(Assumptions!$B:$B,MATCH("V2 BB share of new deployment (frac)",Assumptions!$A$1:$A$327,0))*J113 + INDEX(Assumptions!$B:$B,MATCH("V2 DTC share of new deployment (frac)",Assumptions!$A$1:$A$327,0))*J119 + 0.12*J137)</f>
        <v>1.2880131654745546</v>
      </c>
      <c r="K37" s="185">
        <f ca="1">IF(K$29=1, INDEX(Assumptions!$B:$B,MATCH("V3 BB share of new deployment (frac)",Assumptions!$A$1:$A$327,0))*K125 + INDEX(Assumptions!$B:$B,MATCH("V3 DTC share of new deployment (frac)",Assumptions!$A$1:$A$327,0))*K131, INDEX(Assumptions!$B:$B,MATCH("V2 BB share of new deployment (frac)",Assumptions!$A$1:$A$327,0))*K113 + INDEX(Assumptions!$B:$B,MATCH("V2 DTC share of new deployment (frac)",Assumptions!$A$1:$A$327,0))*K119 + 0.12*K137)</f>
        <v>1.2255527801678792</v>
      </c>
      <c r="L37" s="185">
        <f ca="1">IF(L$29=1, INDEX(Assumptions!$B:$B,MATCH("V3 BB share of new deployment (frac)",Assumptions!$A$1:$A$327,0))*L125 + INDEX(Assumptions!$B:$B,MATCH("V3 DTC share of new deployment (frac)",Assumptions!$A$1:$A$327,0))*L131, INDEX(Assumptions!$B:$B,MATCH("V2 BB share of new deployment (frac)",Assumptions!$A$1:$A$327,0))*L113 + INDEX(Assumptions!$B:$B,MATCH("V2 DTC share of new deployment (frac)",Assumptions!$A$1:$A$327,0))*L119 + 0.12*L137)</f>
        <v>1.1811194225824373</v>
      </c>
      <c r="M37" s="185">
        <f ca="1">IF(M$29=1, INDEX(Assumptions!$B:$B,MATCH("V3 BB share of new deployment (frac)",Assumptions!$A$1:$A$327,0))*M125 + INDEX(Assumptions!$B:$B,MATCH("V3 DTC share of new deployment (frac)",Assumptions!$A$1:$A$327,0))*M131, INDEX(Assumptions!$B:$B,MATCH("V2 BB share of new deployment (frac)",Assumptions!$A$1:$A$327,0))*M113 + INDEX(Assumptions!$B:$B,MATCH("V2 DTC share of new deployment (frac)",Assumptions!$A$1:$A$327,0))*M119 + 0.12*M137)</f>
        <v>1.1422827062575682</v>
      </c>
      <c r="N37" s="185">
        <f ca="1">IF(N$29=1, INDEX(Assumptions!$B:$B,MATCH("V3 BB share of new deployment (frac)",Assumptions!$A$1:$A$327,0))*N125 + INDEX(Assumptions!$B:$B,MATCH("V3 DTC share of new deployment (frac)",Assumptions!$A$1:$A$327,0))*N131, INDEX(Assumptions!$B:$B,MATCH("V2 BB share of new deployment (frac)",Assumptions!$A$1:$A$327,0))*N113 + INDEX(Assumptions!$B:$B,MATCH("V2 DTC share of new deployment (frac)",Assumptions!$A$1:$A$327,0))*N119 + 0.12*N137)</f>
        <v>1.1093287799313851</v>
      </c>
      <c r="O37" s="185">
        <f ca="1">IF(O$29=1, INDEX(Assumptions!$B:$B,MATCH("V3 BB share of new deployment (frac)",Assumptions!$A$1:$A$327,0))*O125 + INDEX(Assumptions!$B:$B,MATCH("V3 DTC share of new deployment (frac)",Assumptions!$A$1:$A$327,0))*O131, INDEX(Assumptions!$B:$B,MATCH("V2 BB share of new deployment (frac)",Assumptions!$A$1:$A$327,0))*O113 + INDEX(Assumptions!$B:$B,MATCH("V2 DTC share of new deployment (frac)",Assumptions!$A$1:$A$327,0))*O119 + 0.12*O137)</f>
        <v>1.0790328405885139</v>
      </c>
      <c r="P37" s="185">
        <f ca="1">IF(P$29=1, INDEX(Assumptions!$B:$B,MATCH("V3 BB share of new deployment (frac)",Assumptions!$A$1:$A$327,0))*P125 + INDEX(Assumptions!$B:$B,MATCH("V3 DTC share of new deployment (frac)",Assumptions!$A$1:$A$327,0))*P131, INDEX(Assumptions!$B:$B,MATCH("V2 BB share of new deployment (frac)",Assumptions!$A$1:$A$327,0))*P113 + INDEX(Assumptions!$B:$B,MATCH("V2 DTC share of new deployment (frac)",Assumptions!$A$1:$A$327,0))*P119 + 0.12*P137)</f>
        <v>1.052490236262867</v>
      </c>
      <c r="Q37" s="185">
        <f ca="1">IF(Q$29=1, INDEX(Assumptions!$B:$B,MATCH("V3 BB share of new deployment (frac)",Assumptions!$A$1:$A$327,0))*Q125 + INDEX(Assumptions!$B:$B,MATCH("V3 DTC share of new deployment (frac)",Assumptions!$A$1:$A$327,0))*Q131, INDEX(Assumptions!$B:$B,MATCH("V2 BB share of new deployment (frac)",Assumptions!$A$1:$A$327,0))*Q113 + INDEX(Assumptions!$B:$B,MATCH("V2 DTC share of new deployment (frac)",Assumptions!$A$1:$A$327,0))*Q119 + 0.12*Q137)</f>
        <v>1.0261119943737493</v>
      </c>
      <c r="R37" s="185">
        <f ca="1">IF(R$29=1, INDEX(Assumptions!$B:$B,MATCH("V3 BB share of new deployment (frac)",Assumptions!$A$1:$A$327,0))*R125 + INDEX(Assumptions!$B:$B,MATCH("V3 DTC share of new deployment (frac)",Assumptions!$A$1:$A$327,0))*R131, INDEX(Assumptions!$B:$B,MATCH("V2 BB share of new deployment (frac)",Assumptions!$A$1:$A$327,0))*R113 + INDEX(Assumptions!$B:$B,MATCH("V2 DTC share of new deployment (frac)",Assumptions!$A$1:$A$327,0))*R119 + 0.12*R137)</f>
        <v>1.0100084928107154</v>
      </c>
      <c r="S37" s="185">
        <f ca="1">IF(S$29=1, INDEX(Assumptions!$B:$B,MATCH("V3 BB share of new deployment (frac)",Assumptions!$A$1:$A$327,0))*S125 + INDEX(Assumptions!$B:$B,MATCH("V3 DTC share of new deployment (frac)",Assumptions!$A$1:$A$327,0))*S131, INDEX(Assumptions!$B:$B,MATCH("V2 BB share of new deployment (frac)",Assumptions!$A$1:$A$327,0))*S113 + INDEX(Assumptions!$B:$B,MATCH("V2 DTC share of new deployment (frac)",Assumptions!$A$1:$A$327,0))*S119 + 0.12*S137)</f>
        <v>0.99762931338975369</v>
      </c>
    </row>
    <row r="38" spans="1:19" x14ac:dyDescent="0.2">
      <c r="A38" s="170" t="s">
        <v>1726</v>
      </c>
      <c r="B38" s="8"/>
      <c r="C38" s="8"/>
      <c r="D38" s="66">
        <f>MAX(0,(INDEX('Demand Curves'!$B:$B,MATCH("BB Q breakpoint #56 (Gbps)",'Demand Curves'!$A$1:$A$167,0))-D176)/INDEX(Assumptions!$B:$B,MATCH("V3 BB Gbps per sat",Assumptions!$A$1:$A$327,0)))</f>
        <v>249585.856</v>
      </c>
      <c r="E38" s="66">
        <f>MAX(0,(INDEX('Demand Curves'!$B:$B,MATCH("BB Q breakpoint #56 (Gbps)",'Demand Curves'!$A$1:$A$167,0))-D176)/INDEX(Assumptions!$B:$B,MATCH("V3 BB Gbps per sat",Assumptions!$A$1:$A$327,0)))</f>
        <v>249585.856</v>
      </c>
      <c r="F38" s="63">
        <f ca="1">MAX(0,(INDEX('Demand Curves'!$B:$B,MATCH("BB Q breakpoint #56 (Gbps)",'Demand Curves'!$A$1:$A$167,0))-E176)/INDEX(Assumptions!$B:$B,MATCH("V3 BB Gbps per sat",Assumptions!$A$1:$A$327,0)))</f>
        <v>249286.33600000001</v>
      </c>
      <c r="G38" s="63">
        <f ca="1">MAX(0,(INDEX('Demand Curves'!$B:$B,MATCH("BB Q breakpoint #56 (Gbps)",'Demand Curves'!$A$1:$A$167,0))-F176)/INDEX(Assumptions!$B:$B,MATCH("V3 BB Gbps per sat",Assumptions!$A$1:$A$327,0)))</f>
        <v>245369.48162493572</v>
      </c>
      <c r="H38" s="63">
        <f ca="1">MAX(0,(INDEX('Demand Curves'!$B:$B,MATCH("BB Q breakpoint #56 (Gbps)",'Demand Curves'!$A$1:$A$167,0))-G176)/INDEX(Assumptions!$B:$B,MATCH("V3 BB Gbps per sat",Assumptions!$A$1:$A$327,0)))</f>
        <v>236090.19740978337</v>
      </c>
      <c r="I38" s="63">
        <f ca="1">MAX(0,(INDEX('Demand Curves'!$B:$B,MATCH("BB Q breakpoint #56 (Gbps)",'Demand Curves'!$A$1:$A$167,0))-H176)/INDEX(Assumptions!$B:$B,MATCH("V3 BB Gbps per sat",Assumptions!$A$1:$A$327,0)))</f>
        <v>215905.47722088025</v>
      </c>
      <c r="J38" s="63">
        <f ca="1">MAX(0,(INDEX('Demand Curves'!$B:$B,MATCH("BB Q breakpoint #56 (Gbps)",'Demand Curves'!$A$1:$A$167,0))-I176)/INDEX(Assumptions!$B:$B,MATCH("V3 BB Gbps per sat",Assumptions!$A$1:$A$327,0)))</f>
        <v>203679.5309555745</v>
      </c>
      <c r="K38" s="63">
        <f ca="1">MAX(0,(INDEX('Demand Curves'!$B:$B,MATCH("BB Q breakpoint #56 (Gbps)",'Demand Curves'!$A$1:$A$167,0))-J176)/INDEX(Assumptions!$B:$B,MATCH("V3 BB Gbps per sat",Assumptions!$A$1:$A$327,0)))</f>
        <v>176327.4399176423</v>
      </c>
      <c r="L38" s="63">
        <f ca="1">MAX(0,(INDEX('Demand Curves'!$B:$B,MATCH("BB Q breakpoint #56 (Gbps)",'Demand Curves'!$A$1:$A$167,0))-K176)/INDEX(Assumptions!$B:$B,MATCH("V3 BB Gbps per sat",Assumptions!$A$1:$A$327,0)))</f>
        <v>167702.11106465521</v>
      </c>
      <c r="M38" s="63">
        <f ca="1">MAX(0,(INDEX('Demand Curves'!$B:$B,MATCH("BB Q breakpoint #56 (Gbps)",'Demand Curves'!$A$1:$A$167,0))-L176)/INDEX(Assumptions!$B:$B,MATCH("V3 BB Gbps per sat",Assumptions!$A$1:$A$327,0)))</f>
        <v>162376.01471873088</v>
      </c>
      <c r="N38" s="63">
        <f ca="1">MAX(0,(INDEX('Demand Curves'!$B:$B,MATCH("BB Q breakpoint #56 (Gbps)",'Demand Curves'!$A$1:$A$167,0))-M176)/INDEX(Assumptions!$B:$B,MATCH("V3 BB Gbps per sat",Assumptions!$A$1:$A$327,0)))</f>
        <v>158349.33656480681</v>
      </c>
      <c r="O38" s="63">
        <f ca="1">MAX(0,(INDEX('Demand Curves'!$B:$B,MATCH("BB Q breakpoint #56 (Gbps)",'Demand Curves'!$A$1:$A$167,0))-N176)/INDEX(Assumptions!$B:$B,MATCH("V3 BB Gbps per sat",Assumptions!$A$1:$A$327,0)))</f>
        <v>137292.22070247965</v>
      </c>
      <c r="P38" s="63">
        <f ca="1">MAX(0,(INDEX('Demand Curves'!$B:$B,MATCH("BB Q breakpoint #56 (Gbps)",'Demand Curves'!$A$1:$A$167,0))-O176)/INDEX(Assumptions!$B:$B,MATCH("V3 BB Gbps per sat",Assumptions!$A$1:$A$327,0)))</f>
        <v>101470.18350527063</v>
      </c>
      <c r="Q38" s="63">
        <f ca="1">MAX(0,(INDEX('Demand Curves'!$B:$B,MATCH("BB Q breakpoint #56 (Gbps)",'Demand Curves'!$A$1:$A$167,0))-P176)/INDEX(Assumptions!$B:$B,MATCH("V3 BB Gbps per sat",Assumptions!$A$1:$A$327,0)))</f>
        <v>56343.146087423833</v>
      </c>
      <c r="R38" s="63">
        <f ca="1">MAX(0,(INDEX('Demand Curves'!$B:$B,MATCH("BB Q breakpoint #56 (Gbps)",'Demand Curves'!$A$1:$A$167,0))-Q176)/INDEX(Assumptions!$B:$B,MATCH("V3 BB Gbps per sat",Assumptions!$A$1:$A$327,0)))</f>
        <v>38721.97406575927</v>
      </c>
      <c r="S38" s="63">
        <f ca="1">MAX(0,(INDEX('Demand Curves'!$B:$B,MATCH("BB Q breakpoint #56 (Gbps)",'Demand Curves'!$A$1:$A$167,0))-R176)/INDEX(Assumptions!$B:$B,MATCH("V3 BB Gbps per sat",Assumptions!$A$1:$A$327,0)))</f>
        <v>41594.50788571826</v>
      </c>
    </row>
    <row r="39" spans="1:19" x14ac:dyDescent="0.2">
      <c r="A39" s="24" t="s">
        <v>503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22" t="s">
        <v>504</v>
      </c>
      <c r="B40" s="8"/>
      <c r="C40" s="8"/>
      <c r="D40" s="66">
        <f>INDEX(Assumptions!$B:$B,MATCH("Legacy V1 active sats end-2025",Assumptions!$A$1:$A$327,0))</f>
        <v>866</v>
      </c>
      <c r="E40" s="66">
        <f>MAX(0, D40 - IF(AND(E$4&gt;=INDEX(Assumptions!$B:$B,MATCH("Legacy V1 base deorbit start year",Assumptions!$A$1:$A$327,0)),E$4&lt;=INDEX(Assumptions!$B:$B,MATCH("Legacy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F40" s="66">
        <f>MAX(0, E40 - IF(AND(F$4&gt;=INDEX(Assumptions!$B:$B,MATCH("Legacy V1 base deorbit start year",Assumptions!$A$1:$A$327,0)),F$4&lt;=INDEX(Assumptions!$B:$B,MATCH("Legacy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G40" s="66">
        <f>MAX(0, F40 - IF(AND(G$4&gt;=INDEX(Assumptions!$B:$B,MATCH("Legacy V1 base deorbit start year",Assumptions!$A$1:$A$327,0)),G$4&lt;=INDEX(Assumptions!$B:$B,MATCH("Legacy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H40" s="66">
        <f>MAX(0, G40 - IF(AND(H$4&gt;=INDEX(Assumptions!$B:$B,MATCH("Legacy V1 base deorbit start year",Assumptions!$A$1:$A$327,0)),H$4&lt;=INDEX(Assumptions!$B:$B,MATCH("Legacy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I40" s="66">
        <f>MAX(0, H40 - IF(AND(I$4&gt;=INDEX(Assumptions!$B:$B,MATCH("Legacy V1 base deorbit start year",Assumptions!$A$1:$A$327,0)),I$4&lt;=INDEX(Assumptions!$B:$B,MATCH("Legacy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J40" s="66">
        <f>MAX(0, I40 - IF(AND(J$4&gt;=INDEX(Assumptions!$B:$B,MATCH("Legacy V1 base deorbit start year",Assumptions!$A$1:$A$327,0)),J$4&lt;=INDEX(Assumptions!$B:$B,MATCH("Legacy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K40" s="66">
        <f>MAX(0, J40 - IF(AND(K$4&gt;=INDEX(Assumptions!$B:$B,MATCH("Legacy V1 base deorbit start year",Assumptions!$A$1:$A$327,0)),K$4&lt;=INDEX(Assumptions!$B:$B,MATCH("Legacy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L40" s="66">
        <f>MAX(0, K40 - IF(AND(L$4&gt;=INDEX(Assumptions!$B:$B,MATCH("Legacy V1 base deorbit start year",Assumptions!$A$1:$A$327,0)),L$4&lt;=INDEX(Assumptions!$B:$B,MATCH("Legacy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M40" s="66">
        <f>MAX(0, L40 - IF(AND(M$4&gt;=INDEX(Assumptions!$B:$B,MATCH("Legacy V1 base deorbit start year",Assumptions!$A$1:$A$327,0)),M$4&lt;=INDEX(Assumptions!$B:$B,MATCH("Legacy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N40" s="66">
        <f>MAX(0, M40 - IF(AND(N$4&gt;=INDEX(Assumptions!$B:$B,MATCH("Legacy V1 base deorbit start year",Assumptions!$A$1:$A$327,0)),N$4&lt;=INDEX(Assumptions!$B:$B,MATCH("Legacy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O40" s="66">
        <f>MAX(0, N40 - IF(AND(O$4&gt;=INDEX(Assumptions!$B:$B,MATCH("Legacy V1 base deorbit start year",Assumptions!$A$1:$A$327,0)),O$4&lt;=INDEX(Assumptions!$B:$B,MATCH("Legacy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P40" s="66">
        <f>MAX(0, O40 - IF(AND(P$4&gt;=INDEX(Assumptions!$B:$B,MATCH("Legacy V1 base deorbit start year",Assumptions!$A$1:$A$327,0)),P$4&lt;=INDEX(Assumptions!$B:$B,MATCH("Legacy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Q40" s="66">
        <f>MAX(0, P40 - IF(AND(Q$4&gt;=INDEX(Assumptions!$B:$B,MATCH("Legacy V1 base deorbit start year",Assumptions!$A$1:$A$327,0)),Q$4&lt;=INDEX(Assumptions!$B:$B,MATCH("Legacy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R40" s="66">
        <f>MAX(0, Q40 - IF(AND(R$4&gt;=INDEX(Assumptions!$B:$B,MATCH("Legacy V1 base deorbit start year",Assumptions!$A$1:$A$327,0)),R$4&lt;=INDEX(Assumptions!$B:$B,MATCH("Legacy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  <c r="S40" s="66">
        <f>MAX(0, R40 - IF(AND(S$4&gt;=INDEX(Assumptions!$B:$B,MATCH("Legacy V1 base deorbit start year",Assumptions!$A$1:$A$327,0)),S$4&lt;=INDEX(Assumptions!$B:$B,MATCH("Legacy V1 base deorbit end year",Assumptions!$A$1:$A$327,0))),$D$40/(INDEX(Assumptions!$B:$B,MATCH("Legacy V1 base deorbit end year",Assumptions!$A$1:$A$327,0))-INDEX(Assumptions!$B:$B,MATCH("Legacy V1 base deorbit start year",Assumptions!$A$1:$A$327,0))+1),0))</f>
        <v>0</v>
      </c>
    </row>
    <row r="41" spans="1:19" x14ac:dyDescent="0.2">
      <c r="A41" s="24" t="s">
        <v>505</v>
      </c>
      <c r="B41" s="8"/>
      <c r="C41" s="8"/>
      <c r="D41" s="66">
        <f>INDEX(Assumptions!$B:$B,MATCH("Legacy V1.5 active sats end-2025",Assumptions!$A$1:$A$327,0))</f>
        <v>2692</v>
      </c>
      <c r="E41" s="66">
        <f>MAX(0, D41 - IF(AND(E$4&gt;=INDEX(Assumptions!$B:$B,MATCH("Legacy V1.5 base deorbit start year",Assumptions!$A$1:$A$327,0)),E$4&lt;=INDEX(Assumptions!$B:$B,MATCH("Legacy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1794.6666666666665</v>
      </c>
      <c r="F41" s="66">
        <f>MAX(0, E41 - IF(AND(F$4&gt;=INDEX(Assumptions!$B:$B,MATCH("Legacy V1.5 base deorbit start year",Assumptions!$A$1:$A$327,0)),F$4&lt;=INDEX(Assumptions!$B:$B,MATCH("Legacy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897.33333333333314</v>
      </c>
      <c r="G41" s="66">
        <f>MAX(0, F41 - IF(AND(G$4&gt;=INDEX(Assumptions!$B:$B,MATCH("Legacy V1.5 base deorbit start year",Assumptions!$A$1:$A$327,0)),G$4&lt;=INDEX(Assumptions!$B:$B,MATCH("Legacy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H41" s="66">
        <f>MAX(0, G41 - IF(AND(H$4&gt;=INDEX(Assumptions!$B:$B,MATCH("Legacy V1.5 base deorbit start year",Assumptions!$A$1:$A$327,0)),H$4&lt;=INDEX(Assumptions!$B:$B,MATCH("Legacy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I41" s="66">
        <f>MAX(0, H41 - IF(AND(I$4&gt;=INDEX(Assumptions!$B:$B,MATCH("Legacy V1.5 base deorbit start year",Assumptions!$A$1:$A$327,0)),I$4&lt;=INDEX(Assumptions!$B:$B,MATCH("Legacy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J41" s="66">
        <f>MAX(0, I41 - IF(AND(J$4&gt;=INDEX(Assumptions!$B:$B,MATCH("Legacy V1.5 base deorbit start year",Assumptions!$A$1:$A$327,0)),J$4&lt;=INDEX(Assumptions!$B:$B,MATCH("Legacy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K41" s="66">
        <f>MAX(0, J41 - IF(AND(K$4&gt;=INDEX(Assumptions!$B:$B,MATCH("Legacy V1.5 base deorbit start year",Assumptions!$A$1:$A$327,0)),K$4&lt;=INDEX(Assumptions!$B:$B,MATCH("Legacy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L41" s="66">
        <f>MAX(0, K41 - IF(AND(L$4&gt;=INDEX(Assumptions!$B:$B,MATCH("Legacy V1.5 base deorbit start year",Assumptions!$A$1:$A$327,0)),L$4&lt;=INDEX(Assumptions!$B:$B,MATCH("Legacy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M41" s="66">
        <f>MAX(0, L41 - IF(AND(M$4&gt;=INDEX(Assumptions!$B:$B,MATCH("Legacy V1.5 base deorbit start year",Assumptions!$A$1:$A$327,0)),M$4&lt;=INDEX(Assumptions!$B:$B,MATCH("Legacy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N41" s="66">
        <f>MAX(0, M41 - IF(AND(N$4&gt;=INDEX(Assumptions!$B:$B,MATCH("Legacy V1.5 base deorbit start year",Assumptions!$A$1:$A$327,0)),N$4&lt;=INDEX(Assumptions!$B:$B,MATCH("Legacy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O41" s="66">
        <f>MAX(0, N41 - IF(AND(O$4&gt;=INDEX(Assumptions!$B:$B,MATCH("Legacy V1.5 base deorbit start year",Assumptions!$A$1:$A$327,0)),O$4&lt;=INDEX(Assumptions!$B:$B,MATCH("Legacy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P41" s="66">
        <f>MAX(0, O41 - IF(AND(P$4&gt;=INDEX(Assumptions!$B:$B,MATCH("Legacy V1.5 base deorbit start year",Assumptions!$A$1:$A$327,0)),P$4&lt;=INDEX(Assumptions!$B:$B,MATCH("Legacy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Q41" s="66">
        <f>MAX(0, P41 - IF(AND(Q$4&gt;=INDEX(Assumptions!$B:$B,MATCH("Legacy V1.5 base deorbit start year",Assumptions!$A$1:$A$327,0)),Q$4&lt;=INDEX(Assumptions!$B:$B,MATCH("Legacy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R41" s="66">
        <f>MAX(0, Q41 - IF(AND(R$4&gt;=INDEX(Assumptions!$B:$B,MATCH("Legacy V1.5 base deorbit start year",Assumptions!$A$1:$A$327,0)),R$4&lt;=INDEX(Assumptions!$B:$B,MATCH("Legacy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  <c r="S41" s="66">
        <f>MAX(0, R41 - IF(AND(S$4&gt;=INDEX(Assumptions!$B:$B,MATCH("Legacy V1.5 base deorbit start year",Assumptions!$A$1:$A$327,0)),S$4&lt;=INDEX(Assumptions!$B:$B,MATCH("Legacy V1.5 base deorbit end year",Assumptions!$A$1:$A$327,0))),$D$41/(INDEX(Assumptions!$B:$B,MATCH("Legacy V1.5 base deorbit end year",Assumptions!$A$1:$A$327,0))-INDEX(Assumptions!$B:$B,MATCH("Legacy V1.5 base deorbit start year",Assumptions!$A$1:$A$327,0))+1),0))</f>
        <v>0</v>
      </c>
    </row>
    <row r="42" spans="1:19" x14ac:dyDescent="0.2">
      <c r="A42" s="22" t="s">
        <v>506</v>
      </c>
      <c r="B42" s="8"/>
      <c r="C42" s="8"/>
      <c r="D42" s="66">
        <f>INDEX(Assumptions!$B:$B,MATCH("V2 Mini BB sats end-2025",Assumptions!$A$1:$A$327,0))</f>
        <v>4314</v>
      </c>
      <c r="E42" s="66" cm="1">
        <f t="array" aca="1" ref="E42" ca="1">MAX(0, D42 + E$32 - IFERROR(IF(E$5-$D$15&gt;=1, INDEX($D$32:$AC$32, E$5-$D$15+1), 0),0) - IF(AND(E$4&gt;=INDEX(Assumptions!$B:$B,MATCH("V2 Mini BB base deorbit start year",Assumptions!$A$1:$A$327,0)),E$4&lt;=INDEX(Assumptions!$B:$B,MATCH("V2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7434</v>
      </c>
      <c r="F42" s="66" cm="1">
        <f t="array" aca="1" ref="F42" ca="1">MAX(0, E42 + F$32 - IFERROR(IF(F$5-$D$15&gt;=1, INDEX($D$32:$AC$32, F$5-$D$15+1), 0),0) - IF(AND(F$4&gt;=INDEX(Assumptions!$B:$B,MATCH("V2 Mini BB base deorbit start year",Assumptions!$A$1:$A$327,0)),F$4&lt;=INDEX(Assumptions!$B:$B,MATCH("V2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7434</v>
      </c>
      <c r="G42" s="66" cm="1">
        <f t="array" aca="1" ref="G42" ca="1">MAX(0, F42 + G$32 - IFERROR(IF(G$5-$D$15&gt;=1, INDEX($D$32:$AC$32, G$5-$D$15+1), 0),0) - IF(AND(G$4&gt;=INDEX(Assumptions!$B:$B,MATCH("V2 Mini BB base deorbit start year",Assumptions!$A$1:$A$327,0)),G$4&lt;=INDEX(Assumptions!$B:$B,MATCH("V2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5996</v>
      </c>
      <c r="H42" s="66" cm="1">
        <f t="array" aca="1" ref="H42" ca="1">MAX(0, G42 + H$32 - IFERROR(IF(H$5-$D$15&gt;=1, INDEX($D$32:$AC$32, H$5-$D$15+1), 0),0) - IF(AND(H$4&gt;=INDEX(Assumptions!$B:$B,MATCH("V2 Mini BB base deorbit start year",Assumptions!$A$1:$A$327,0)),H$4&lt;=INDEX(Assumptions!$B:$B,MATCH("V2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4558</v>
      </c>
      <c r="I42" s="66" cm="1">
        <f t="array" aca="1" ref="I42" ca="1">MAX(0, H42 + I$32 - IFERROR(IF(I$5-$D$15&gt;=1, INDEX($D$32:$AC$32, I$5-$D$15+1), 0),0) - IF(AND(I$4&gt;=INDEX(Assumptions!$B:$B,MATCH("V2 Mini BB base deorbit start year",Assumptions!$A$1:$A$327,0)),I$4&lt;=INDEX(Assumptions!$B:$B,MATCH("V2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3120</v>
      </c>
      <c r="J42" s="66" cm="1">
        <f t="array" aca="1" ref="J42" ca="1">MAX(0, I42 + J$32 - IFERROR(IF(J$5-$D$15&gt;=1, INDEX($D$32:$AC$32, J$5-$D$15+1), 0),0) - IF(AND(J$4&gt;=INDEX(Assumptions!$B:$B,MATCH("V2 Mini BB base deorbit start year",Assumptions!$A$1:$A$327,0)),J$4&lt;=INDEX(Assumptions!$B:$B,MATCH("V2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K42" s="66" cm="1">
        <f t="array" aca="1" ref="K42" ca="1">MAX(0, J42 + K$32 - IFERROR(IF(K$5-$D$15&gt;=1, INDEX($D$32:$AC$32, K$5-$D$15+1), 0),0) - IF(AND(K$4&gt;=INDEX(Assumptions!$B:$B,MATCH("V2 Mini BB base deorbit start year",Assumptions!$A$1:$A$327,0)),K$4&lt;=INDEX(Assumptions!$B:$B,MATCH("V2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L42" s="66" cm="1">
        <f t="array" aca="1" ref="L42" ca="1">MAX(0, K42 + L$32 - IFERROR(IF(L$5-$D$15&gt;=1, INDEX($D$32:$AC$32, L$5-$D$15+1), 0),0) - IF(AND(L$4&gt;=INDEX(Assumptions!$B:$B,MATCH("V2 Mini BB base deorbit start year",Assumptions!$A$1:$A$327,0)),L$4&lt;=INDEX(Assumptions!$B:$B,MATCH("V2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M42" s="66" cm="1">
        <f t="array" aca="1" ref="M42" ca="1">MAX(0, L42 + M$32 - IFERROR(IF(M$5-$D$15&gt;=1, INDEX($D$32:$AC$32, M$5-$D$15+1), 0),0) - IF(AND(M$4&gt;=INDEX(Assumptions!$B:$B,MATCH("V2 Mini BB base deorbit start year",Assumptions!$A$1:$A$327,0)),M$4&lt;=INDEX(Assumptions!$B:$B,MATCH("V2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N42" s="66" cm="1">
        <f t="array" aca="1" ref="N42" ca="1">MAX(0, M42 + N$32 - IFERROR(IF(N$5-$D$15&gt;=1, INDEX($D$32:$AC$32, N$5-$D$15+1), 0),0) - IF(AND(N$4&gt;=INDEX(Assumptions!$B:$B,MATCH("V2 Mini BB base deorbit start year",Assumptions!$A$1:$A$327,0)),N$4&lt;=INDEX(Assumptions!$B:$B,MATCH("V2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O42" s="66" cm="1">
        <f t="array" aca="1" ref="O42" ca="1">MAX(0, N42 + O$32 - IFERROR(IF(O$5-$D$15&gt;=1, INDEX($D$32:$AC$32, O$5-$D$15+1), 0),0) - IF(AND(O$4&gt;=INDEX(Assumptions!$B:$B,MATCH("V2 Mini BB base deorbit start year",Assumptions!$A$1:$A$327,0)),O$4&lt;=INDEX(Assumptions!$B:$B,MATCH("V2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P42" s="66" cm="1">
        <f t="array" aca="1" ref="P42" ca="1">MAX(0, O42 + P$32 - IFERROR(IF(P$5-$D$15&gt;=1, INDEX($D$32:$AC$32, P$5-$D$15+1), 0),0) - IF(AND(P$4&gt;=INDEX(Assumptions!$B:$B,MATCH("V2 Mini BB base deorbit start year",Assumptions!$A$1:$A$327,0)),P$4&lt;=INDEX(Assumptions!$B:$B,MATCH("V2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Q42" s="66" cm="1">
        <f t="array" aca="1" ref="Q42" ca="1">MAX(0, P42 + Q$32 - IFERROR(IF(Q$5-$D$15&gt;=1, INDEX($D$32:$AC$32, Q$5-$D$15+1), 0),0) - IF(AND(Q$4&gt;=INDEX(Assumptions!$B:$B,MATCH("V2 Mini BB base deorbit start year",Assumptions!$A$1:$A$327,0)),Q$4&lt;=INDEX(Assumptions!$B:$B,MATCH("V2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R42" s="66" cm="1">
        <f t="array" aca="1" ref="R42" ca="1">MAX(0, Q42 + R$32 - IFERROR(IF(R$5-$D$15&gt;=1, INDEX($D$32:$AC$32, R$5-$D$15+1), 0),0) - IF(AND(R$4&gt;=INDEX(Assumptions!$B:$B,MATCH("V2 Mini BB base deorbit start year",Assumptions!$A$1:$A$327,0)),R$4&lt;=INDEX(Assumptions!$B:$B,MATCH("V2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  <c r="S42" s="66" cm="1">
        <f t="array" aca="1" ref="S42" ca="1">MAX(0, R42 + S$32 - IFERROR(IF(S$5-$D$15&gt;=1, INDEX($D$32:$AC$32, S$5-$D$15+1), 0),0) - IF(AND(S$4&gt;=INDEX(Assumptions!$B:$B,MATCH("V2 Mini BB base deorbit start year",Assumptions!$A$1:$A$327,0)),S$4&lt;=INDEX(Assumptions!$B:$B,MATCH("V2 Mini BB base deorbit end year",Assumptions!$A$1:$A$327,0))),$D$42/(INDEX(Assumptions!$B:$B,MATCH("V2 Mini BB base deorbit end year",Assumptions!$A$1:$A$327,0))-INDEX(Assumptions!$B:$B,MATCH("V2 Mini BB base deorbit start year",Assumptions!$A$1:$A$327,0))+1),0))</f>
        <v>0</v>
      </c>
    </row>
    <row r="43" spans="1:19" x14ac:dyDescent="0.2">
      <c r="A43" s="24" t="s">
        <v>507</v>
      </c>
      <c r="B43" s="8"/>
      <c r="C43" s="8"/>
      <c r="D43" s="67">
        <f>0</f>
        <v>0</v>
      </c>
      <c r="E43" s="67" cm="1">
        <f t="array" ref="E43">MAX(0, D43 + E$34 - IFERROR(IF(E$5-$D$15&gt;=1, INDEX($D$34:$AC$34, E$5-$D$15+1), 0),0))</f>
        <v>0</v>
      </c>
      <c r="F43" s="67" cm="1">
        <f t="array" aca="1" ref="F43" ca="1">MAX(0, E43 + F$34 - IFERROR(IF(F$5-$D$15&gt;=1, INDEX($D$34:$AC$34, F$5-$D$15+1), 0),0))</f>
        <v>3916.854375064293</v>
      </c>
      <c r="G43" s="67" cm="1">
        <f t="array" aca="1" ref="G43" ca="1">MAX(0, F43 + G$34 - IFERROR(IF(G$5-$D$15&gt;=1, INDEX($D$34:$AC$34, G$5-$D$15+1), 0),0))</f>
        <v>13334.186590216632</v>
      </c>
      <c r="H43" s="67" cm="1">
        <f t="array" aca="1" ref="H43" ca="1">MAX(0, G43 + H$34 - IFERROR(IF(H$5-$D$15&gt;=1, INDEX($D$34:$AC$34, H$5-$D$15+1), 0),0))</f>
        <v>33656.954779119769</v>
      </c>
      <c r="I43" s="67" cm="1">
        <f t="array" aca="1" ref="I43" ca="1">MAX(0, H43 + I$34 - IFERROR(IF(I$5-$D$15&gt;=1, INDEX($D$34:$AC$34, I$5-$D$15+1), 0),0))</f>
        <v>46020.94904442547</v>
      </c>
      <c r="J43" s="67" cm="1">
        <f t="array" aca="1" ref="J43" ca="1">MAX(0, I43 + J$34 - IFERROR(IF(J$5-$D$15&gt;=1, INDEX($D$34:$AC$34, J$5-$D$15+1), 0),0))</f>
        <v>73672.560082357697</v>
      </c>
      <c r="K43" s="67" cm="1">
        <f t="array" aca="1" ref="K43" ca="1">MAX(0, J43 + K$34 - IFERROR(IF(K$5-$D$15&gt;=1, INDEX($D$34:$AC$34, K$5-$D$15+1), 0),0))</f>
        <v>82297.888935344788</v>
      </c>
      <c r="L43" s="67" cm="1">
        <f t="array" aca="1" ref="L43" ca="1">MAX(0, K43 + L$34 - IFERROR(IF(L$5-$D$15&gt;=1, INDEX($D$34:$AC$34, L$5-$D$15+1), 0),0))</f>
        <v>87623.985281269153</v>
      </c>
      <c r="M43" s="67" cm="1">
        <f t="array" aca="1" ref="M43" ca="1">MAX(0, L43 + M$34 - IFERROR(IF(M$5-$D$15&gt;=1, INDEX($D$34:$AC$34, M$5-$D$15+1), 0),0))</f>
        <v>91650.663435193186</v>
      </c>
      <c r="N43" s="67" cm="1">
        <f t="array" aca="1" ref="N43" ca="1">MAX(0, M43 + N$34 - IFERROR(IF(N$5-$D$15&gt;=1, INDEX($D$34:$AC$34, N$5-$D$15+1), 0),0))</f>
        <v>112707.77929752035</v>
      </c>
      <c r="O43" s="67" cm="1">
        <f t="array" aca="1" ref="O43" ca="1">MAX(0, N43 + O$34 - IFERROR(IF(O$5-$D$15&gt;=1, INDEX($D$34:$AC$34, O$5-$D$15+1), 0),0))</f>
        <v>148529.81649472937</v>
      </c>
      <c r="P43" s="67" cm="1">
        <f t="array" aca="1" ref="P43" ca="1">MAX(0, O43 + P$34 - IFERROR(IF(P$5-$D$15&gt;=1, INDEX($D$34:$AC$34, P$5-$D$15+1), 0),0))</f>
        <v>193656.85391257616</v>
      </c>
      <c r="Q43" s="67" cm="1">
        <f t="array" aca="1" ref="Q43" ca="1">MAX(0, P43 + Q$34 - IFERROR(IF(Q$5-$D$15&gt;=1, INDEX($D$34:$AC$34, Q$5-$D$15+1), 0),0))</f>
        <v>211278.02593424072</v>
      </c>
      <c r="R43" s="67" cm="1">
        <f t="array" aca="1" ref="R43" ca="1">MAX(0, Q43 + R$34 - IFERROR(IF(R$5-$D$15&gt;=1, INDEX($D$34:$AC$34, R$5-$D$15+1), 0),0))</f>
        <v>208405.49211428175</v>
      </c>
      <c r="S43" s="67" cm="1">
        <f t="array" aca="1" ref="S43" ca="1">MAX(0, R43 + S$34 - IFERROR(IF(S$5-$D$15&gt;=1, INDEX($D$34:$AC$34, S$5-$D$15+1), 0),0))</f>
        <v>195211.70959247323</v>
      </c>
    </row>
    <row r="44" spans="1:19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">
      <c r="A45" s="24" t="s">
        <v>508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">
      <c r="A46" s="22" t="s">
        <v>509</v>
      </c>
      <c r="B46" s="8"/>
      <c r="C46" s="8"/>
      <c r="D46" s="66">
        <f>D40*INDEX(Assumptions!$B:$B,MATCH("Legacy V1 Gbps per sat",Assumptions!$A$1:$A$327,0)) + D41*INDEX(Assumptions!$B:$B,MATCH("Legacy V1.5 Gbps per sat",Assumptions!$A$1:$A$327,0))</f>
        <v>75000</v>
      </c>
      <c r="E46" s="66">
        <f>E40*INDEX(Assumptions!$B:$B,MATCH("Legacy V1 Gbps per sat",Assumptions!$A$1:$A$327,0)) + E41*INDEX(Assumptions!$B:$B,MATCH("Legacy V1.5 Gbps per sat",Assumptions!$A$1:$A$327,0))</f>
        <v>43072</v>
      </c>
      <c r="F46" s="66">
        <f>F40*INDEX(Assumptions!$B:$B,MATCH("Legacy V1 Gbps per sat",Assumptions!$A$1:$A$327,0)) + F41*INDEX(Assumptions!$B:$B,MATCH("Legacy V1.5 Gbps per sat",Assumptions!$A$1:$A$327,0))</f>
        <v>21535.999999999996</v>
      </c>
      <c r="G46" s="66">
        <f>G40*INDEX(Assumptions!$B:$B,MATCH("Legacy V1 Gbps per sat",Assumptions!$A$1:$A$327,0)) + G41*INDEX(Assumptions!$B:$B,MATCH("Legacy V1.5 Gbps per sat",Assumptions!$A$1:$A$327,0))</f>
        <v>0</v>
      </c>
      <c r="H46" s="66">
        <f>H40*INDEX(Assumptions!$B:$B,MATCH("Legacy V1 Gbps per sat",Assumptions!$A$1:$A$327,0)) + H41*INDEX(Assumptions!$B:$B,MATCH("Legacy V1.5 Gbps per sat",Assumptions!$A$1:$A$327,0))</f>
        <v>0</v>
      </c>
      <c r="I46" s="66">
        <f>I40*INDEX(Assumptions!$B:$B,MATCH("Legacy V1 Gbps per sat",Assumptions!$A$1:$A$327,0)) + I41*INDEX(Assumptions!$B:$B,MATCH("Legacy V1.5 Gbps per sat",Assumptions!$A$1:$A$327,0))</f>
        <v>0</v>
      </c>
      <c r="J46" s="66">
        <f>J40*INDEX(Assumptions!$B:$B,MATCH("Legacy V1 Gbps per sat",Assumptions!$A$1:$A$327,0)) + J41*INDEX(Assumptions!$B:$B,MATCH("Legacy V1.5 Gbps per sat",Assumptions!$A$1:$A$327,0))</f>
        <v>0</v>
      </c>
      <c r="K46" s="66">
        <f>K40*INDEX(Assumptions!$B:$B,MATCH("Legacy V1 Gbps per sat",Assumptions!$A$1:$A$327,0)) + K41*INDEX(Assumptions!$B:$B,MATCH("Legacy V1.5 Gbps per sat",Assumptions!$A$1:$A$327,0))</f>
        <v>0</v>
      </c>
      <c r="L46" s="66">
        <f>L40*INDEX(Assumptions!$B:$B,MATCH("Legacy V1 Gbps per sat",Assumptions!$A$1:$A$327,0)) + L41*INDEX(Assumptions!$B:$B,MATCH("Legacy V1.5 Gbps per sat",Assumptions!$A$1:$A$327,0))</f>
        <v>0</v>
      </c>
      <c r="M46" s="66">
        <f>M40*INDEX(Assumptions!$B:$B,MATCH("Legacy V1 Gbps per sat",Assumptions!$A$1:$A$327,0)) + M41*INDEX(Assumptions!$B:$B,MATCH("Legacy V1.5 Gbps per sat",Assumptions!$A$1:$A$327,0))</f>
        <v>0</v>
      </c>
      <c r="N46" s="66">
        <f>N40*INDEX(Assumptions!$B:$B,MATCH("Legacy V1 Gbps per sat",Assumptions!$A$1:$A$327,0)) + N41*INDEX(Assumptions!$B:$B,MATCH("Legacy V1.5 Gbps per sat",Assumptions!$A$1:$A$327,0))</f>
        <v>0</v>
      </c>
      <c r="O46" s="66">
        <f>O40*INDEX(Assumptions!$B:$B,MATCH("Legacy V1 Gbps per sat",Assumptions!$A$1:$A$327,0)) + O41*INDEX(Assumptions!$B:$B,MATCH("Legacy V1.5 Gbps per sat",Assumptions!$A$1:$A$327,0))</f>
        <v>0</v>
      </c>
      <c r="P46" s="66">
        <f>P40*INDEX(Assumptions!$B:$B,MATCH("Legacy V1 Gbps per sat",Assumptions!$A$1:$A$327,0)) + P41*INDEX(Assumptions!$B:$B,MATCH("Legacy V1.5 Gbps per sat",Assumptions!$A$1:$A$327,0))</f>
        <v>0</v>
      </c>
      <c r="Q46" s="66">
        <f>Q40*INDEX(Assumptions!$B:$B,MATCH("Legacy V1 Gbps per sat",Assumptions!$A$1:$A$327,0)) + Q41*INDEX(Assumptions!$B:$B,MATCH("Legacy V1.5 Gbps per sat",Assumptions!$A$1:$A$327,0))</f>
        <v>0</v>
      </c>
      <c r="R46" s="66">
        <f>R40*INDEX(Assumptions!$B:$B,MATCH("Legacy V1 Gbps per sat",Assumptions!$A$1:$A$327,0)) + R41*INDEX(Assumptions!$B:$B,MATCH("Legacy V1.5 Gbps per sat",Assumptions!$A$1:$A$327,0))</f>
        <v>0</v>
      </c>
      <c r="S46" s="66">
        <f>S40*INDEX(Assumptions!$B:$B,MATCH("Legacy V1 Gbps per sat",Assumptions!$A$1:$A$327,0)) + S41*INDEX(Assumptions!$B:$B,MATCH("Legacy V1.5 Gbps per sat",Assumptions!$A$1:$A$327,0))</f>
        <v>0</v>
      </c>
    </row>
    <row r="47" spans="1:19" x14ac:dyDescent="0.2">
      <c r="A47" s="24" t="s">
        <v>510</v>
      </c>
      <c r="B47" s="8"/>
      <c r="C47" s="8"/>
      <c r="D47" s="66">
        <f>D42*INDEX(Assumptions!$B:$B,MATCH("V2 BB Gbps per sat",Assumptions!$A$1:$A$327,0))</f>
        <v>414144</v>
      </c>
      <c r="E47" s="66">
        <f ca="1">E42*INDEX(Assumptions!$B:$B,MATCH("V2 BB Gbps per sat",Assumptions!$A$1:$A$327,0))</f>
        <v>713664</v>
      </c>
      <c r="F47" s="66">
        <f ca="1">F42*INDEX(Assumptions!$B:$B,MATCH("V2 BB Gbps per sat",Assumptions!$A$1:$A$327,0))</f>
        <v>713664</v>
      </c>
      <c r="G47" s="66">
        <f ca="1">G42*INDEX(Assumptions!$B:$B,MATCH("V2 BB Gbps per sat",Assumptions!$A$1:$A$327,0))</f>
        <v>575616</v>
      </c>
      <c r="H47" s="66">
        <f ca="1">H42*INDEX(Assumptions!$B:$B,MATCH("V2 BB Gbps per sat",Assumptions!$A$1:$A$327,0))</f>
        <v>437568</v>
      </c>
      <c r="I47" s="66">
        <f ca="1">I42*INDEX(Assumptions!$B:$B,MATCH("V2 BB Gbps per sat",Assumptions!$A$1:$A$327,0))</f>
        <v>299520</v>
      </c>
      <c r="J47" s="66">
        <f ca="1">J42*INDEX(Assumptions!$B:$B,MATCH("V2 BB Gbps per sat",Assumptions!$A$1:$A$327,0))</f>
        <v>0</v>
      </c>
      <c r="K47" s="66">
        <f ca="1">K42*INDEX(Assumptions!$B:$B,MATCH("V2 BB Gbps per sat",Assumptions!$A$1:$A$327,0))</f>
        <v>0</v>
      </c>
      <c r="L47" s="66">
        <f ca="1">L42*INDEX(Assumptions!$B:$B,MATCH("V2 BB Gbps per sat",Assumptions!$A$1:$A$327,0))</f>
        <v>0</v>
      </c>
      <c r="M47" s="66">
        <f ca="1">M42*INDEX(Assumptions!$B:$B,MATCH("V2 BB Gbps per sat",Assumptions!$A$1:$A$327,0))</f>
        <v>0</v>
      </c>
      <c r="N47" s="66">
        <f ca="1">N42*INDEX(Assumptions!$B:$B,MATCH("V2 BB Gbps per sat",Assumptions!$A$1:$A$327,0))</f>
        <v>0</v>
      </c>
      <c r="O47" s="66">
        <f ca="1">O42*INDEX(Assumptions!$B:$B,MATCH("V2 BB Gbps per sat",Assumptions!$A$1:$A$327,0))</f>
        <v>0</v>
      </c>
      <c r="P47" s="66">
        <f ca="1">P42*INDEX(Assumptions!$B:$B,MATCH("V2 BB Gbps per sat",Assumptions!$A$1:$A$327,0))</f>
        <v>0</v>
      </c>
      <c r="Q47" s="66">
        <f ca="1">Q42*INDEX(Assumptions!$B:$B,MATCH("V2 BB Gbps per sat",Assumptions!$A$1:$A$327,0))</f>
        <v>0</v>
      </c>
      <c r="R47" s="66">
        <f ca="1">R42*INDEX(Assumptions!$B:$B,MATCH("V2 BB Gbps per sat",Assumptions!$A$1:$A$327,0))</f>
        <v>0</v>
      </c>
      <c r="S47" s="66">
        <f ca="1">S42*INDEX(Assumptions!$B:$B,MATCH("V2 BB Gbps per sat",Assumptions!$A$1:$A$327,0))</f>
        <v>0</v>
      </c>
    </row>
    <row r="48" spans="1:19" x14ac:dyDescent="0.2">
      <c r="A48" s="22" t="s">
        <v>511</v>
      </c>
      <c r="B48" s="8"/>
      <c r="C48" s="8"/>
      <c r="D48" s="66">
        <f>D43*INDEX(Assumptions!$B:$B,MATCH("V3 BB Gbps per sat",Assumptions!$A$1:$A$327,0))</f>
        <v>0</v>
      </c>
      <c r="E48" s="66">
        <f>E43*INDEX(Assumptions!$B:$B,MATCH("V3 BB Gbps per sat",Assumptions!$A$1:$A$327,0))</f>
        <v>0</v>
      </c>
      <c r="F48" s="66">
        <f ca="1">F43*INDEX(Assumptions!$B:$B,MATCH("V3 BB Gbps per sat",Assumptions!$A$1:$A$327,0))</f>
        <v>3916854.3750642929</v>
      </c>
      <c r="G48" s="66">
        <f ca="1">G43*INDEX(Assumptions!$B:$B,MATCH("V3 BB Gbps per sat",Assumptions!$A$1:$A$327,0))</f>
        <v>13334186.590216631</v>
      </c>
      <c r="H48" s="66">
        <f ca="1">H43*INDEX(Assumptions!$B:$B,MATCH("V3 BB Gbps per sat",Assumptions!$A$1:$A$327,0))</f>
        <v>33656954.779119767</v>
      </c>
      <c r="I48" s="66">
        <f ca="1">I43*INDEX(Assumptions!$B:$B,MATCH("V3 BB Gbps per sat",Assumptions!$A$1:$A$327,0))</f>
        <v>46020949.044425473</v>
      </c>
      <c r="J48" s="66">
        <f ca="1">J43*INDEX(Assumptions!$B:$B,MATCH("V3 BB Gbps per sat",Assumptions!$A$1:$A$327,0))</f>
        <v>73672560.08235769</v>
      </c>
      <c r="K48" s="66">
        <f ca="1">K43*INDEX(Assumptions!$B:$B,MATCH("V3 BB Gbps per sat",Assumptions!$A$1:$A$327,0))</f>
        <v>82297888.935344785</v>
      </c>
      <c r="L48" s="66">
        <f ca="1">L43*INDEX(Assumptions!$B:$B,MATCH("V3 BB Gbps per sat",Assumptions!$A$1:$A$327,0))</f>
        <v>87623985.281269148</v>
      </c>
      <c r="M48" s="66">
        <f ca="1">M43*INDEX(Assumptions!$B:$B,MATCH("V3 BB Gbps per sat",Assumptions!$A$1:$A$327,0))</f>
        <v>91650663.435193181</v>
      </c>
      <c r="N48" s="66">
        <f ca="1">N43*INDEX(Assumptions!$B:$B,MATCH("V3 BB Gbps per sat",Assumptions!$A$1:$A$327,0))</f>
        <v>112707779.29752035</v>
      </c>
      <c r="O48" s="66">
        <f ca="1">O43*INDEX(Assumptions!$B:$B,MATCH("V3 BB Gbps per sat",Assumptions!$A$1:$A$327,0))</f>
        <v>148529816.49472937</v>
      </c>
      <c r="P48" s="66">
        <f ca="1">P43*INDEX(Assumptions!$B:$B,MATCH("V3 BB Gbps per sat",Assumptions!$A$1:$A$327,0))</f>
        <v>193656853.91257617</v>
      </c>
      <c r="Q48" s="66">
        <f ca="1">Q43*INDEX(Assumptions!$B:$B,MATCH("V3 BB Gbps per sat",Assumptions!$A$1:$A$327,0))</f>
        <v>211278025.93424073</v>
      </c>
      <c r="R48" s="66">
        <f ca="1">R43*INDEX(Assumptions!$B:$B,MATCH("V3 BB Gbps per sat",Assumptions!$A$1:$A$327,0))</f>
        <v>208405492.11428174</v>
      </c>
      <c r="S48" s="66">
        <f ca="1">S43*INDEX(Assumptions!$B:$B,MATCH("V3 BB Gbps per sat",Assumptions!$A$1:$A$327,0))</f>
        <v>195211709.59247324</v>
      </c>
    </row>
    <row r="49" spans="1:78" x14ac:dyDescent="0.2">
      <c r="A49" s="186" t="s">
        <v>512</v>
      </c>
      <c r="B49" s="8"/>
      <c r="C49" s="8"/>
      <c r="D49" s="75">
        <f t="shared" ref="D49:S49" si="8">D46+D47+D48</f>
        <v>489144</v>
      </c>
      <c r="E49" s="67">
        <f t="shared" ca="1" si="8"/>
        <v>756736</v>
      </c>
      <c r="F49" s="67">
        <f t="shared" ca="1" si="8"/>
        <v>4652054.3750642929</v>
      </c>
      <c r="G49" s="67">
        <f t="shared" ca="1" si="8"/>
        <v>13909802.590216631</v>
      </c>
      <c r="H49" s="67">
        <f t="shared" ca="1" si="8"/>
        <v>34094522.779119767</v>
      </c>
      <c r="I49" s="67">
        <f t="shared" ca="1" si="8"/>
        <v>46320469.044425473</v>
      </c>
      <c r="J49" s="67">
        <f t="shared" ca="1" si="8"/>
        <v>73672560.08235769</v>
      </c>
      <c r="K49" s="67">
        <f t="shared" ca="1" si="8"/>
        <v>82297888.935344785</v>
      </c>
      <c r="L49" s="67">
        <f t="shared" ca="1" si="8"/>
        <v>87623985.281269148</v>
      </c>
      <c r="M49" s="67">
        <f t="shared" ca="1" si="8"/>
        <v>91650663.435193181</v>
      </c>
      <c r="N49" s="67">
        <f t="shared" ca="1" si="8"/>
        <v>112707779.29752035</v>
      </c>
      <c r="O49" s="67">
        <f t="shared" ca="1" si="8"/>
        <v>148529816.49472937</v>
      </c>
      <c r="P49" s="67">
        <f t="shared" ca="1" si="8"/>
        <v>193656853.91257617</v>
      </c>
      <c r="Q49" s="67">
        <f t="shared" ca="1" si="8"/>
        <v>211278025.93424073</v>
      </c>
      <c r="R49" s="67">
        <f t="shared" ca="1" si="8"/>
        <v>208405492.11428174</v>
      </c>
      <c r="S49" s="67">
        <f t="shared" ca="1" si="8"/>
        <v>195211709.59247324</v>
      </c>
    </row>
    <row r="50" spans="1:78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78" x14ac:dyDescent="0.2">
      <c r="A51" s="24" t="s">
        <v>513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78" x14ac:dyDescent="0.2">
      <c r="A52" s="22" t="s">
        <v>514</v>
      </c>
      <c r="B52" s="8"/>
      <c r="C52" s="8"/>
      <c r="D52" s="66">
        <f>INDEX(Assumptions!$B:$B,MATCH("V2 DTC active sats end-2025",Assumptions!$A$1:$A$327,0))</f>
        <v>655</v>
      </c>
      <c r="E52" s="66">
        <f>MAX(0, D52 - IF(AND(E$4&gt;=INDEX(Assumptions!$B:$B,MATCH("V2 DTC base deorbit start year",Assumptions!$A$1:$A$327,0)),E$4&lt;=INDEX(Assumptions!$B:$B,MATCH("V2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655</v>
      </c>
      <c r="F52" s="66">
        <f>MAX(0, E52 - IF(AND(F$4&gt;=INDEX(Assumptions!$B:$B,MATCH("V2 DTC base deorbit start year",Assumptions!$A$1:$A$327,0)),F$4&lt;=INDEX(Assumptions!$B:$B,MATCH("V2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655</v>
      </c>
      <c r="G52" s="66">
        <f>MAX(0, F52 - IF(AND(G$4&gt;=INDEX(Assumptions!$B:$B,MATCH("V2 DTC base deorbit start year",Assumptions!$A$1:$A$327,0)),G$4&lt;=INDEX(Assumptions!$B:$B,MATCH("V2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655</v>
      </c>
      <c r="H52" s="66">
        <f>MAX(0, G52 - IF(AND(H$4&gt;=INDEX(Assumptions!$B:$B,MATCH("V2 DTC base deorbit start year",Assumptions!$A$1:$A$327,0)),H$4&lt;=INDEX(Assumptions!$B:$B,MATCH("V2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327.5</v>
      </c>
      <c r="I52" s="66">
        <f>MAX(0, H52 - IF(AND(I$4&gt;=INDEX(Assumptions!$B:$B,MATCH("V2 DTC base deorbit start year",Assumptions!$A$1:$A$327,0)),I$4&lt;=INDEX(Assumptions!$B:$B,MATCH("V2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J52" s="66">
        <f>MAX(0, I52 - IF(AND(J$4&gt;=INDEX(Assumptions!$B:$B,MATCH("V2 DTC base deorbit start year",Assumptions!$A$1:$A$327,0)),J$4&lt;=INDEX(Assumptions!$B:$B,MATCH("V2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K52" s="66">
        <f>MAX(0, J52 - IF(AND(K$4&gt;=INDEX(Assumptions!$B:$B,MATCH("V2 DTC base deorbit start year",Assumptions!$A$1:$A$327,0)),K$4&lt;=INDEX(Assumptions!$B:$B,MATCH("V2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L52" s="66">
        <f>MAX(0, K52 - IF(AND(L$4&gt;=INDEX(Assumptions!$B:$B,MATCH("V2 DTC base deorbit start year",Assumptions!$A$1:$A$327,0)),L$4&lt;=INDEX(Assumptions!$B:$B,MATCH("V2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M52" s="66">
        <f>MAX(0, L52 - IF(AND(M$4&gt;=INDEX(Assumptions!$B:$B,MATCH("V2 DTC base deorbit start year",Assumptions!$A$1:$A$327,0)),M$4&lt;=INDEX(Assumptions!$B:$B,MATCH("V2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N52" s="66">
        <f>MAX(0, M52 - IF(AND(N$4&gt;=INDEX(Assumptions!$B:$B,MATCH("V2 DTC base deorbit start year",Assumptions!$A$1:$A$327,0)),N$4&lt;=INDEX(Assumptions!$B:$B,MATCH("V2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O52" s="66">
        <f>MAX(0, N52 - IF(AND(O$4&gt;=INDEX(Assumptions!$B:$B,MATCH("V2 DTC base deorbit start year",Assumptions!$A$1:$A$327,0)),O$4&lt;=INDEX(Assumptions!$B:$B,MATCH("V2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P52" s="66">
        <f>MAX(0, O52 - IF(AND(P$4&gt;=INDEX(Assumptions!$B:$B,MATCH("V2 DTC base deorbit start year",Assumptions!$A$1:$A$327,0)),P$4&lt;=INDEX(Assumptions!$B:$B,MATCH("V2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Q52" s="66">
        <f>MAX(0, P52 - IF(AND(Q$4&gt;=INDEX(Assumptions!$B:$B,MATCH("V2 DTC base deorbit start year",Assumptions!$A$1:$A$327,0)),Q$4&lt;=INDEX(Assumptions!$B:$B,MATCH("V2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R52" s="66">
        <f>MAX(0, Q52 - IF(AND(R$4&gt;=INDEX(Assumptions!$B:$B,MATCH("V2 DTC base deorbit start year",Assumptions!$A$1:$A$327,0)),R$4&lt;=INDEX(Assumptions!$B:$B,MATCH("V2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  <c r="S52" s="66">
        <f>MAX(0, R52 - IF(AND(S$4&gt;=INDEX(Assumptions!$B:$B,MATCH("V2 DTC base deorbit start year",Assumptions!$A$1:$A$327,0)),S$4&lt;=INDEX(Assumptions!$B:$B,MATCH("V2 DTC base deorbit end year",Assumptions!$A$1:$A$327,0))),$D$52/(INDEX(Assumptions!$B:$B,MATCH("V2 DTC base deorbit end year",Assumptions!$A$1:$A$327,0))-INDEX(Assumptions!$B:$B,MATCH("V2 DTC base deorbit start year",Assumptions!$A$1:$A$327,0))+1),0))</f>
        <v>0</v>
      </c>
    </row>
    <row r="53" spans="1:78" x14ac:dyDescent="0.2">
      <c r="A53" s="22" t="s">
        <v>515</v>
      </c>
      <c r="B53" s="8"/>
      <c r="C53" s="8"/>
      <c r="D53" s="67">
        <f>0</f>
        <v>0</v>
      </c>
      <c r="E53" s="67" cm="1">
        <f t="array" ref="E53">MAX(0, D53 + E$35 - IFERROR(IF(E$5-$D$15&gt;=1, INDEX($D$35:$AC$35, E$5-$D$15+1), 0),0))</f>
        <v>0</v>
      </c>
      <c r="F53" s="67" cm="1">
        <f t="array" aca="1" ref="F53" ca="1">MAX(0, E53 + F$35 - IFERROR(IF(F$5-$D$15&gt;=1, INDEX($D$35:$AC$35, F$5-$D$15+1), 0),0))</f>
        <v>1.88092542569962</v>
      </c>
      <c r="G53" s="67" cm="1">
        <f t="array" aca="1" ref="G53" ca="1">MAX(0, F53 + G$35 - IFERROR(IF(G$5-$D$15&gt;=1, INDEX($D$35:$AC$35, G$5-$D$15+1), 0),0))</f>
        <v>81.92867132367212</v>
      </c>
      <c r="H53" s="67" cm="1">
        <f t="array" aca="1" ref="H53" ca="1">MAX(0, G53 + H$35 - IFERROR(IF(H$5-$D$15&gt;=1, INDEX($D$35:$AC$35, H$5-$D$15+1), 0),0))</f>
        <v>2706.5114238696688</v>
      </c>
      <c r="I53" s="67" cm="1">
        <f t="array" aca="1" ref="I53" ca="1">MAX(0, H53 + I$35 - IFERROR(IF(I$5-$D$15&gt;=1, INDEX($D$35:$AC$35, I$5-$D$15+1), 0),0))</f>
        <v>25411.460864168672</v>
      </c>
      <c r="J53" s="67" cm="1">
        <f t="array" aca="1" ref="J53" ca="1">MAX(0, I53 + J$35 - IFERROR(IF(J$5-$D$15&gt;=1, INDEX($D$35:$AC$35, J$5-$D$15+1), 0),0))</f>
        <v>53614.275199203039</v>
      </c>
      <c r="K53" s="67" cm="1">
        <f t="array" aca="1" ref="K53" ca="1">MAX(0, J53 + K$35 - IFERROR(IF(K$5-$D$15&gt;=1, INDEX($D$35:$AC$35, K$5-$D$15+1), 0),0))</f>
        <v>80676.43222477923</v>
      </c>
      <c r="L53" s="67" cm="1">
        <f t="array" aca="1" ref="L53" ca="1">MAX(0, K53 + L$35 - IFERROR(IF(L$5-$D$15&gt;=1, INDEX($D$35:$AC$35, L$5-$D$15+1), 0),0))</f>
        <v>113926.9192922798</v>
      </c>
      <c r="M53" s="67" cm="1">
        <f t="array" aca="1" ref="M53" ca="1">MAX(0, L53 + M$35 - IFERROR(IF(M$5-$D$15&gt;=1, INDEX($D$35:$AC$35, M$5-$D$15+1), 0),0))</f>
        <v>156313.23481467509</v>
      </c>
      <c r="N53" s="67" cm="1">
        <f t="array" aca="1" ref="N53" ca="1">MAX(0, M53 + N$35 - IFERROR(IF(N$5-$D$15&gt;=1, INDEX($D$35:$AC$35, N$5-$D$15+1), 0),0))</f>
        <v>182265.65399457549</v>
      </c>
      <c r="O53" s="67" cm="1">
        <f t="array" aca="1" ref="O53" ca="1">MAX(0, N53 + O$35 - IFERROR(IF(O$5-$D$15&gt;=1, INDEX($D$35:$AC$35, O$5-$D$15+1), 0),0))</f>
        <v>205142.63575638059</v>
      </c>
      <c r="P53" s="67" cm="1">
        <f t="array" aca="1" ref="P53" ca="1">MAX(0, O53 + P$35 - IFERROR(IF(P$5-$D$15&gt;=1, INDEX($D$35:$AC$35, P$5-$D$15+1), 0),0))</f>
        <v>221879.56066475116</v>
      </c>
      <c r="Q53" s="67" cm="1">
        <f t="array" aca="1" ref="Q53" ca="1">MAX(0, P53 + Q$35 - IFERROR(IF(Q$5-$D$15&gt;=1, INDEX($D$35:$AC$35, Q$5-$D$15+1), 0),0))</f>
        <v>212527.57135603522</v>
      </c>
      <c r="R53" s="67" cm="1">
        <f t="array" aca="1" ref="R53" ca="1">MAX(0, Q53 + R$35 - IFERROR(IF(R$5-$D$15&gt;=1, INDEX($D$35:$AC$35, R$5-$D$15+1), 0),0))</f>
        <v>184761.73462398502</v>
      </c>
      <c r="S53" s="67" cm="1">
        <f t="array" aca="1" ref="S53" ca="1">MAX(0, R53 + S$35 - IFERROR(IF(S$5-$D$15&gt;=1, INDEX($D$35:$AC$35, S$5-$D$15+1), 0),0))</f>
        <v>155318.66633542883</v>
      </c>
    </row>
    <row r="54" spans="1:78" x14ac:dyDescent="0.2">
      <c r="A54" s="22" t="s">
        <v>516</v>
      </c>
      <c r="B54" s="8"/>
      <c r="C54" s="8"/>
      <c r="D54" s="66">
        <f>D52*INDEX(Assumptions!$B:$B,MATCH("Effective DTC Gbps per sat (revenue calibration)",Assumptions!$A$1:$A$327,0))</f>
        <v>577.71</v>
      </c>
      <c r="E54" s="66">
        <f>E52*INDEX(Assumptions!$B:$B,MATCH("Effective DTC Gbps per sat (revenue calibration)",Assumptions!$A$1:$A$327,0))</f>
        <v>577.71</v>
      </c>
      <c r="F54" s="66">
        <f>F52*INDEX(Assumptions!$B:$B,MATCH("Effective DTC Gbps per sat (revenue calibration)",Assumptions!$A$1:$A$327,0))</f>
        <v>577.71</v>
      </c>
      <c r="G54" s="66">
        <f>G52*INDEX(Assumptions!$B:$B,MATCH("Effective DTC Gbps per sat (revenue calibration)",Assumptions!$A$1:$A$327,0))</f>
        <v>577.71</v>
      </c>
      <c r="H54" s="66">
        <f>H52*INDEX(Assumptions!$B:$B,MATCH("Effective DTC Gbps per sat (revenue calibration)",Assumptions!$A$1:$A$327,0))</f>
        <v>288.85500000000002</v>
      </c>
      <c r="I54" s="66">
        <f>I52*INDEX(Assumptions!$B:$B,MATCH("Effective DTC Gbps per sat (revenue calibration)",Assumptions!$A$1:$A$327,0))</f>
        <v>0</v>
      </c>
      <c r="J54" s="66">
        <f>J52*INDEX(Assumptions!$B:$B,MATCH("Effective DTC Gbps per sat (revenue calibration)",Assumptions!$A$1:$A$327,0))</f>
        <v>0</v>
      </c>
      <c r="K54" s="66">
        <f>K52*INDEX(Assumptions!$B:$B,MATCH("Effective DTC Gbps per sat (revenue calibration)",Assumptions!$A$1:$A$327,0))</f>
        <v>0</v>
      </c>
      <c r="L54" s="66">
        <f>L52*INDEX(Assumptions!$B:$B,MATCH("Effective DTC Gbps per sat (revenue calibration)",Assumptions!$A$1:$A$327,0))</f>
        <v>0</v>
      </c>
      <c r="M54" s="66">
        <f>M52*INDEX(Assumptions!$B:$B,MATCH("Effective DTC Gbps per sat (revenue calibration)",Assumptions!$A$1:$A$327,0))</f>
        <v>0</v>
      </c>
      <c r="N54" s="66">
        <f>N52*INDEX(Assumptions!$B:$B,MATCH("Effective DTC Gbps per sat (revenue calibration)",Assumptions!$A$1:$A$327,0))</f>
        <v>0</v>
      </c>
      <c r="O54" s="66">
        <f>O52*INDEX(Assumptions!$B:$B,MATCH("Effective DTC Gbps per sat (revenue calibration)",Assumptions!$A$1:$A$327,0))</f>
        <v>0</v>
      </c>
      <c r="P54" s="66">
        <f>P52*INDEX(Assumptions!$B:$B,MATCH("Effective DTC Gbps per sat (revenue calibration)",Assumptions!$A$1:$A$327,0))</f>
        <v>0</v>
      </c>
      <c r="Q54" s="66">
        <f>Q52*INDEX(Assumptions!$B:$B,MATCH("Effective DTC Gbps per sat (revenue calibration)",Assumptions!$A$1:$A$327,0))</f>
        <v>0</v>
      </c>
      <c r="R54" s="66">
        <f>R52*INDEX(Assumptions!$B:$B,MATCH("Effective DTC Gbps per sat (revenue calibration)",Assumptions!$A$1:$A$327,0))</f>
        <v>0</v>
      </c>
      <c r="S54" s="66">
        <f>S52*INDEX(Assumptions!$B:$B,MATCH("Effective DTC Gbps per sat (revenue calibration)",Assumptions!$A$1:$A$327,0))</f>
        <v>0</v>
      </c>
    </row>
    <row r="55" spans="1:78" x14ac:dyDescent="0.2">
      <c r="A55" s="22" t="s">
        <v>517</v>
      </c>
      <c r="B55" s="8"/>
      <c r="C55" s="8"/>
      <c r="D55" s="66">
        <f>D53*INDEX(Assumptions!$B:$B,MATCH("Effective DTC Gbps per sat (revenue calibration)",Assumptions!$A$1:$A$327,0))</f>
        <v>0</v>
      </c>
      <c r="E55" s="66">
        <f>E53*INDEX(Assumptions!$B:$B,MATCH("Effective DTC Gbps per sat (revenue calibration)",Assumptions!$A$1:$A$327,0))</f>
        <v>0</v>
      </c>
      <c r="F55" s="66">
        <f ca="1">F53*INDEX(Assumptions!$B:$B,MATCH("Effective DTC Gbps per sat (revenue calibration)",Assumptions!$A$1:$A$327,0))</f>
        <v>1.6589762254670648</v>
      </c>
      <c r="G55" s="66">
        <f ca="1">G53*INDEX(Assumptions!$B:$B,MATCH("Effective DTC Gbps per sat (revenue calibration)",Assumptions!$A$1:$A$327,0))</f>
        <v>72.261088107478813</v>
      </c>
      <c r="H55" s="66">
        <f ca="1">H53*INDEX(Assumptions!$B:$B,MATCH("Effective DTC Gbps per sat (revenue calibration)",Assumptions!$A$1:$A$327,0))</f>
        <v>2387.1430758530478</v>
      </c>
      <c r="I55" s="66">
        <f ca="1">I53*INDEX(Assumptions!$B:$B,MATCH("Effective DTC Gbps per sat (revenue calibration)",Assumptions!$A$1:$A$327,0))</f>
        <v>22412.90848219677</v>
      </c>
      <c r="J55" s="66">
        <f ca="1">J53*INDEX(Assumptions!$B:$B,MATCH("Effective DTC Gbps per sat (revenue calibration)",Assumptions!$A$1:$A$327,0))</f>
        <v>47287.790725697079</v>
      </c>
      <c r="K55" s="66">
        <f ca="1">K53*INDEX(Assumptions!$B:$B,MATCH("Effective DTC Gbps per sat (revenue calibration)",Assumptions!$A$1:$A$327,0))</f>
        <v>71156.613222255284</v>
      </c>
      <c r="L55" s="66">
        <f ca="1">L53*INDEX(Assumptions!$B:$B,MATCH("Effective DTC Gbps per sat (revenue calibration)",Assumptions!$A$1:$A$327,0))</f>
        <v>100483.54281579077</v>
      </c>
      <c r="M55" s="66">
        <f ca="1">M53*INDEX(Assumptions!$B:$B,MATCH("Effective DTC Gbps per sat (revenue calibration)",Assumptions!$A$1:$A$327,0))</f>
        <v>137868.27310654343</v>
      </c>
      <c r="N55" s="66">
        <f ca="1">N53*INDEX(Assumptions!$B:$B,MATCH("Effective DTC Gbps per sat (revenue calibration)",Assumptions!$A$1:$A$327,0))</f>
        <v>160758.30682321559</v>
      </c>
      <c r="O55" s="66">
        <f ca="1">O53*INDEX(Assumptions!$B:$B,MATCH("Effective DTC Gbps per sat (revenue calibration)",Assumptions!$A$1:$A$327,0))</f>
        <v>180935.80473712768</v>
      </c>
      <c r="P55" s="66">
        <f ca="1">P53*INDEX(Assumptions!$B:$B,MATCH("Effective DTC Gbps per sat (revenue calibration)",Assumptions!$A$1:$A$327,0))</f>
        <v>195697.77250631052</v>
      </c>
      <c r="Q55" s="66">
        <f ca="1">Q53*INDEX(Assumptions!$B:$B,MATCH("Effective DTC Gbps per sat (revenue calibration)",Assumptions!$A$1:$A$327,0))</f>
        <v>187449.31793602306</v>
      </c>
      <c r="R55" s="66">
        <f ca="1">R53*INDEX(Assumptions!$B:$B,MATCH("Effective DTC Gbps per sat (revenue calibration)",Assumptions!$A$1:$A$327,0))</f>
        <v>162959.84993835478</v>
      </c>
      <c r="S55" s="66">
        <f ca="1">S53*INDEX(Assumptions!$B:$B,MATCH("Effective DTC Gbps per sat (revenue calibration)",Assumptions!$A$1:$A$327,0))</f>
        <v>136991.06370784823</v>
      </c>
    </row>
    <row r="56" spans="1:78" x14ac:dyDescent="0.2">
      <c r="A56" s="23" t="s">
        <v>518</v>
      </c>
      <c r="B56" s="8"/>
      <c r="C56" s="8"/>
      <c r="D56" s="75">
        <f t="shared" ref="D56:S56" si="9">D54+D55</f>
        <v>577.71</v>
      </c>
      <c r="E56" s="75">
        <f t="shared" si="9"/>
        <v>577.71</v>
      </c>
      <c r="F56" s="67">
        <f t="shared" ca="1" si="9"/>
        <v>579.36897622546712</v>
      </c>
      <c r="G56" s="67">
        <f t="shared" ca="1" si="9"/>
        <v>649.97108810747886</v>
      </c>
      <c r="H56" s="67">
        <f t="shared" ca="1" si="9"/>
        <v>2675.9980758530478</v>
      </c>
      <c r="I56" s="67">
        <f t="shared" ca="1" si="9"/>
        <v>22412.90848219677</v>
      </c>
      <c r="J56" s="67">
        <f t="shared" ca="1" si="9"/>
        <v>47287.790725697079</v>
      </c>
      <c r="K56" s="67">
        <f t="shared" ca="1" si="9"/>
        <v>71156.613222255284</v>
      </c>
      <c r="L56" s="67">
        <f t="shared" ca="1" si="9"/>
        <v>100483.54281579077</v>
      </c>
      <c r="M56" s="67">
        <f t="shared" ca="1" si="9"/>
        <v>137868.27310654343</v>
      </c>
      <c r="N56" s="67">
        <f t="shared" ca="1" si="9"/>
        <v>160758.30682321559</v>
      </c>
      <c r="O56" s="67">
        <f t="shared" ca="1" si="9"/>
        <v>180935.80473712768</v>
      </c>
      <c r="P56" s="67">
        <f t="shared" ca="1" si="9"/>
        <v>195697.77250631052</v>
      </c>
      <c r="Q56" s="67">
        <f t="shared" ca="1" si="9"/>
        <v>187449.31793602306</v>
      </c>
      <c r="R56" s="67">
        <f t="shared" ca="1" si="9"/>
        <v>162959.84993835478</v>
      </c>
      <c r="S56" s="67">
        <f t="shared" ca="1" si="9"/>
        <v>136991.06370784823</v>
      </c>
    </row>
    <row r="57" spans="1:78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78" x14ac:dyDescent="0.2">
      <c r="A58" s="18" t="s">
        <v>519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78" x14ac:dyDescent="0.2">
      <c r="A59" s="24" t="s">
        <v>520</v>
      </c>
      <c r="B59" s="8"/>
      <c r="C59" s="8"/>
      <c r="D59" s="161">
        <f t="array" ref="D59">INDEX(Assumptions!$D:$AC,MATCH("Starshield active Gbps (year-row)",Assumptions!$A$1:$A$327,0),COLUMN()-COLUMN($D$59)+1)</f>
        <v>15300</v>
      </c>
      <c r="E59" s="161">
        <f t="array" ref="E59">INDEX(Assumptions!$D:$AC,MATCH("Starshield active Gbps (year-row)",Assumptions!$A$1:$A$327,0),COLUMN()-COLUMN($D$59)+1)</f>
        <v>16524</v>
      </c>
      <c r="F59" s="161">
        <f t="array" ref="F59">INDEX(Assumptions!$D:$AC,MATCH("Starshield active Gbps (year-row)",Assumptions!$A$1:$A$327,0),COLUMN()-COLUMN($D$59)+1)</f>
        <v>17845.920000000002</v>
      </c>
      <c r="G59" s="161">
        <f t="array" ref="G59">INDEX(Assumptions!$D:$AC,MATCH("Starshield active Gbps (year-row)",Assumptions!$A$1:$A$327,0),COLUMN()-COLUMN($D$59)+1)</f>
        <v>19273.593600000004</v>
      </c>
      <c r="H59" s="161">
        <f t="array" ref="H59">INDEX(Assumptions!$D:$AC,MATCH("Starshield active Gbps (year-row)",Assumptions!$A$1:$A$327,0),COLUMN()-COLUMN($D$59)+1)</f>
        <v>20815.481088000004</v>
      </c>
      <c r="I59" s="161">
        <f t="array" ref="I59">INDEX(Assumptions!$D:$AC,MATCH("Starshield active Gbps (year-row)",Assumptions!$A$1:$A$327,0),COLUMN()-COLUMN($D$59)+1)</f>
        <v>22480.719575040006</v>
      </c>
      <c r="J59" s="161">
        <f t="array" ref="J59">INDEX(Assumptions!$D:$AC,MATCH("Starshield active Gbps (year-row)",Assumptions!$A$1:$A$327,0),COLUMN()-COLUMN($D$59)+1)</f>
        <v>24279.177141043208</v>
      </c>
      <c r="K59" s="161">
        <f t="array" ref="K59">INDEX(Assumptions!$D:$AC,MATCH("Starshield active Gbps (year-row)",Assumptions!$A$1:$A$327,0),COLUMN()-COLUMN($D$59)+1)</f>
        <v>26221.511312326667</v>
      </c>
      <c r="L59" s="161">
        <f t="array" ref="L59">INDEX(Assumptions!$D:$AC,MATCH("Starshield active Gbps (year-row)",Assumptions!$A$1:$A$327,0),COLUMN()-COLUMN($D$59)+1)</f>
        <v>28319.232217312798</v>
      </c>
      <c r="M59" s="161">
        <f t="array" ref="M59">INDEX(Assumptions!$D:$AC,MATCH("Starshield active Gbps (year-row)",Assumptions!$A$1:$A$327,0),COLUMN()-COLUMN($D$59)+1)</f>
        <v>30584.770794697826</v>
      </c>
      <c r="N59" s="161">
        <f t="array" ref="N59">INDEX(Assumptions!$D:$AC,MATCH("Starshield active Gbps (year-row)",Assumptions!$A$1:$A$327,0),COLUMN()-COLUMN($D$59)+1)</f>
        <v>33031.552458273654</v>
      </c>
      <c r="O59" s="161">
        <f t="array" ref="O59">INDEX(Assumptions!$D:$AC,MATCH("Starshield active Gbps (year-row)",Assumptions!$A$1:$A$327,0),COLUMN()-COLUMN($D$59)+1)</f>
        <v>35674.076654935547</v>
      </c>
      <c r="P59" s="161">
        <f t="array" ref="P59">INDEX(Assumptions!$D:$AC,MATCH("Starshield active Gbps (year-row)",Assumptions!$A$1:$A$327,0),COLUMN()-COLUMN($D$59)+1)</f>
        <v>38528.002787330392</v>
      </c>
      <c r="Q59" s="161">
        <f t="array" ref="Q59">INDEX(Assumptions!$D:$AC,MATCH("Starshield active Gbps (year-row)",Assumptions!$A$1:$A$327,0),COLUMN()-COLUMN($D$59)+1)</f>
        <v>41610.243010316823</v>
      </c>
      <c r="R59" s="161">
        <f t="array" ref="R59">INDEX(Assumptions!$D:$AC,MATCH("Starshield active Gbps (year-row)",Assumptions!$A$1:$A$327,0),COLUMN()-COLUMN($D$59)+1)</f>
        <v>44939.062451142177</v>
      </c>
      <c r="S59" s="161">
        <f t="array" ref="S59">INDEX(Assumptions!$D:$AC,MATCH("Starshield active Gbps (year-row)",Assumptions!$A$1:$A$327,0),COLUMN()-COLUMN($D$59)+1)</f>
        <v>48534.187447233555</v>
      </c>
    </row>
    <row r="60" spans="1:78" x14ac:dyDescent="0.2">
      <c r="A60" s="24" t="s">
        <v>521</v>
      </c>
      <c r="B60" s="8"/>
      <c r="C60" s="8"/>
      <c r="D60" s="63">
        <f>INDEX(Assumptions!$B:$B,MATCH("Starshield $/Gbps ($/Gbps-yr)",Assumptions!$A$1:$A$327,0))</f>
        <v>164699</v>
      </c>
      <c r="E60" s="63">
        <f>INDEX(Assumptions!$B:$B,MATCH("Starshield $/Gbps ($/Gbps-yr)",Assumptions!$A$1:$A$327,0))</f>
        <v>164699</v>
      </c>
      <c r="F60" s="63">
        <f>INDEX(Assumptions!$B:$B,MATCH("Starshield $/Gbps ($/Gbps-yr)",Assumptions!$A$1:$A$327,0))</f>
        <v>164699</v>
      </c>
      <c r="G60" s="63">
        <f>INDEX(Assumptions!$B:$B,MATCH("Starshield $/Gbps ($/Gbps-yr)",Assumptions!$A$1:$A$327,0))</f>
        <v>164699</v>
      </c>
      <c r="H60" s="63">
        <f>INDEX(Assumptions!$B:$B,MATCH("Starshield $/Gbps ($/Gbps-yr)",Assumptions!$A$1:$A$327,0))</f>
        <v>164699</v>
      </c>
      <c r="I60" s="63">
        <f>INDEX(Assumptions!$B:$B,MATCH("Starshield $/Gbps ($/Gbps-yr)",Assumptions!$A$1:$A$327,0))</f>
        <v>164699</v>
      </c>
      <c r="J60" s="63">
        <f>INDEX(Assumptions!$B:$B,MATCH("Starshield $/Gbps ($/Gbps-yr)",Assumptions!$A$1:$A$327,0))</f>
        <v>164699</v>
      </c>
      <c r="K60" s="63">
        <f>INDEX(Assumptions!$B:$B,MATCH("Starshield $/Gbps ($/Gbps-yr)",Assumptions!$A$1:$A$327,0))</f>
        <v>164699</v>
      </c>
      <c r="L60" s="63">
        <f>INDEX(Assumptions!$B:$B,MATCH("Starshield $/Gbps ($/Gbps-yr)",Assumptions!$A$1:$A$327,0))</f>
        <v>164699</v>
      </c>
      <c r="M60" s="63">
        <f>INDEX(Assumptions!$B:$B,MATCH("Starshield $/Gbps ($/Gbps-yr)",Assumptions!$A$1:$A$327,0))</f>
        <v>164699</v>
      </c>
      <c r="N60" s="63">
        <f>INDEX(Assumptions!$B:$B,MATCH("Starshield $/Gbps ($/Gbps-yr)",Assumptions!$A$1:$A$327,0))</f>
        <v>164699</v>
      </c>
      <c r="O60" s="63">
        <f>INDEX(Assumptions!$B:$B,MATCH("Starshield $/Gbps ($/Gbps-yr)",Assumptions!$A$1:$A$327,0))</f>
        <v>164699</v>
      </c>
      <c r="P60" s="63">
        <f>INDEX(Assumptions!$B:$B,MATCH("Starshield $/Gbps ($/Gbps-yr)",Assumptions!$A$1:$A$327,0))</f>
        <v>164699</v>
      </c>
      <c r="Q60" s="63">
        <f>INDEX(Assumptions!$B:$B,MATCH("Starshield $/Gbps ($/Gbps-yr)",Assumptions!$A$1:$A$327,0))</f>
        <v>164699</v>
      </c>
      <c r="R60" s="63">
        <f>INDEX(Assumptions!$B:$B,MATCH("Starshield $/Gbps ($/Gbps-yr)",Assumptions!$A$1:$A$327,0))</f>
        <v>164699</v>
      </c>
      <c r="S60" s="63">
        <f>INDEX(Assumptions!$B:$B,MATCH("Starshield $/Gbps ($/Gbps-yr)",Assumptions!$A$1:$A$327,0))</f>
        <v>164699</v>
      </c>
    </row>
    <row r="61" spans="1:78" s="3" customFormat="1" x14ac:dyDescent="0.2">
      <c r="A61" s="20" t="s">
        <v>522</v>
      </c>
      <c r="B61" s="20"/>
      <c r="C61" s="20"/>
      <c r="D61" s="87">
        <f t="shared" ref="D61:S61" si="10">D11</f>
        <v>6721.2205509599999</v>
      </c>
      <c r="E61" s="87">
        <f t="shared" ca="1" si="10"/>
        <v>9347.5764579427196</v>
      </c>
      <c r="F61" s="87">
        <f t="shared" ca="1" si="10"/>
        <v>37555.661744916186</v>
      </c>
      <c r="G61" s="87">
        <f t="shared" ca="1" si="10"/>
        <v>80517.637559733921</v>
      </c>
      <c r="H61" s="87">
        <f t="shared" ca="1" si="10"/>
        <v>133572.61041328282</v>
      </c>
      <c r="I61" s="87">
        <f t="shared" ca="1" si="10"/>
        <v>162366.45810432514</v>
      </c>
      <c r="J61" s="87">
        <f t="shared" ca="1" si="10"/>
        <v>198728.62897691844</v>
      </c>
      <c r="K61" s="87">
        <f t="shared" ca="1" si="10"/>
        <v>212218.52482053958</v>
      </c>
      <c r="L61" s="87">
        <f t="shared" ca="1" si="10"/>
        <v>222728.35423610132</v>
      </c>
      <c r="M61" s="87">
        <f t="shared" ca="1" si="10"/>
        <v>231775.04660630334</v>
      </c>
      <c r="N61" s="87">
        <f t="shared" ca="1" si="10"/>
        <v>247973.30114369758</v>
      </c>
      <c r="O61" s="87">
        <f t="shared" ca="1" si="10"/>
        <v>266208.53747345717</v>
      </c>
      <c r="P61" s="87">
        <f t="shared" ca="1" si="10"/>
        <v>283815.27155083528</v>
      </c>
      <c r="Q61" s="87">
        <f t="shared" ca="1" si="10"/>
        <v>294410.58008269034</v>
      </c>
      <c r="R61" s="87">
        <f t="shared" ca="1" si="10"/>
        <v>301214.57429290668</v>
      </c>
      <c r="S61" s="87">
        <f t="shared" ca="1" si="10"/>
        <v>305981.35928807611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x14ac:dyDescent="0.2">
      <c r="A62" s="20" t="s">
        <v>523</v>
      </c>
      <c r="B62" s="20"/>
      <c r="C62" s="20"/>
      <c r="D62" s="87">
        <f t="shared" ref="D62:S62" si="11">D12</f>
        <v>632.07519628836553</v>
      </c>
      <c r="E62" s="87">
        <f t="shared" si="11"/>
        <v>794.38307704955639</v>
      </c>
      <c r="F62" s="87">
        <f t="shared" ca="1" si="11"/>
        <v>969.01841163700055</v>
      </c>
      <c r="G62" s="87">
        <f t="shared" ca="1" si="11"/>
        <v>1291.3436109585891</v>
      </c>
      <c r="H62" s="87">
        <f t="shared" ca="1" si="11"/>
        <v>6202.8488188799638</v>
      </c>
      <c r="I62" s="87">
        <f t="shared" ca="1" si="11"/>
        <v>30569.892728808863</v>
      </c>
      <c r="J62" s="87">
        <f t="shared" ca="1" si="11"/>
        <v>40144.794128767404</v>
      </c>
      <c r="K62" s="87">
        <f t="shared" ca="1" si="11"/>
        <v>47979.431042728313</v>
      </c>
      <c r="L62" s="87">
        <f t="shared" ca="1" si="11"/>
        <v>50852.957538647112</v>
      </c>
      <c r="M62" s="87">
        <f t="shared" ca="1" si="11"/>
        <v>52180.784763267351</v>
      </c>
      <c r="N62" s="87">
        <f t="shared" ca="1" si="11"/>
        <v>53485.30438234903</v>
      </c>
      <c r="O62" s="87">
        <f t="shared" ca="1" si="11"/>
        <v>54822.436991907751</v>
      </c>
      <c r="P62" s="87">
        <f t="shared" ca="1" si="11"/>
        <v>56192.997916705433</v>
      </c>
      <c r="Q62" s="87">
        <f t="shared" ca="1" si="11"/>
        <v>57597.822864623071</v>
      </c>
      <c r="R62" s="87">
        <f t="shared" ca="1" si="11"/>
        <v>59037.768436238635</v>
      </c>
      <c r="S62" s="87">
        <f t="shared" ca="1" si="11"/>
        <v>60513.712647144595</v>
      </c>
    </row>
    <row r="63" spans="1:78" x14ac:dyDescent="0.2">
      <c r="A63" s="22" t="s">
        <v>524</v>
      </c>
      <c r="B63" s="8"/>
      <c r="C63" s="8"/>
      <c r="D63" s="62">
        <f>D$59*D$60/1000000*INDEX(Assumptions!$B:$B,MATCH("Starshield utilization (frac)",Assumptions!$A$1:$A$327,0))</f>
        <v>2519.8946999999998</v>
      </c>
      <c r="E63" s="62">
        <f>E$59*E$60/1000000*INDEX(Assumptions!$B:$B,MATCH("Starshield utilization (frac)",Assumptions!$A$1:$A$327,0))</f>
        <v>2721.4862760000001</v>
      </c>
      <c r="F63" s="62">
        <f>F$59*F$60/1000000*INDEX(Assumptions!$B:$B,MATCH("Starshield utilization (frac)",Assumptions!$A$1:$A$327,0))</f>
        <v>2939.2051780800002</v>
      </c>
      <c r="G63" s="62">
        <f>G$59*G$60/1000000*INDEX(Assumptions!$B:$B,MATCH("Starshield utilization (frac)",Assumptions!$A$1:$A$327,0))</f>
        <v>3174.3415923264006</v>
      </c>
      <c r="H63" s="62">
        <f>H$59*H$60/1000000*INDEX(Assumptions!$B:$B,MATCH("Starshield utilization (frac)",Assumptions!$A$1:$A$327,0))</f>
        <v>3428.2889197125123</v>
      </c>
      <c r="I63" s="62">
        <f>I$59*I$60/1000000*INDEX(Assumptions!$B:$B,MATCH("Starshield utilization (frac)",Assumptions!$A$1:$A$327,0))</f>
        <v>3702.5520332895139</v>
      </c>
      <c r="J63" s="62">
        <f>J$59*J$60/1000000*INDEX(Assumptions!$B:$B,MATCH("Starshield utilization (frac)",Assumptions!$A$1:$A$327,0))</f>
        <v>3998.7561959526752</v>
      </c>
      <c r="K63" s="62">
        <f>K$59*K$60/1000000*INDEX(Assumptions!$B:$B,MATCH("Starshield utilization (frac)",Assumptions!$A$1:$A$327,0))</f>
        <v>4318.6566916288903</v>
      </c>
      <c r="L63" s="62">
        <f>L$59*L$60/1000000*INDEX(Assumptions!$B:$B,MATCH("Starshield utilization (frac)",Assumptions!$A$1:$A$327,0))</f>
        <v>4664.1492269592009</v>
      </c>
      <c r="M63" s="62">
        <f>M$59*M$60/1000000*INDEX(Assumptions!$B:$B,MATCH("Starshield utilization (frac)",Assumptions!$A$1:$A$327,0))</f>
        <v>5037.2811651159373</v>
      </c>
      <c r="N63" s="62">
        <f>N$59*N$60/1000000*INDEX(Assumptions!$B:$B,MATCH("Starshield utilization (frac)",Assumptions!$A$1:$A$327,0))</f>
        <v>5440.2636583252124</v>
      </c>
      <c r="O63" s="62">
        <f>O$59*O$60/1000000*INDEX(Assumptions!$B:$B,MATCH("Starshield utilization (frac)",Assumptions!$A$1:$A$327,0))</f>
        <v>5875.4847509912297</v>
      </c>
      <c r="P63" s="62">
        <f>P$59*P$60/1000000*INDEX(Assumptions!$B:$B,MATCH("Starshield utilization (frac)",Assumptions!$A$1:$A$327,0))</f>
        <v>6345.5235310705284</v>
      </c>
      <c r="Q63" s="62">
        <f>Q$59*Q$60/1000000*INDEX(Assumptions!$B:$B,MATCH("Starshield utilization (frac)",Assumptions!$A$1:$A$327,0))</f>
        <v>6853.1654135561703</v>
      </c>
      <c r="R63" s="62">
        <f>R$59*R$60/1000000*INDEX(Assumptions!$B:$B,MATCH("Starshield utilization (frac)",Assumptions!$A$1:$A$327,0))</f>
        <v>7401.4186466406654</v>
      </c>
      <c r="S63" s="62">
        <f>S$59*S$60/1000000*INDEX(Assumptions!$B:$B,MATCH("Starshield utilization (frac)",Assumptions!$A$1:$A$327,0))</f>
        <v>7993.5321383719192</v>
      </c>
    </row>
    <row r="64" spans="1:78" x14ac:dyDescent="0.2">
      <c r="A64" s="22" t="s">
        <v>588</v>
      </c>
      <c r="B64" s="8"/>
      <c r="C64" s="8"/>
      <c r="D64" s="62">
        <f>D$183*INDEX(Assumptions!$B:$B,MATCH("Blended kit sale price ($/kit)",Assumptions!$A$1:$A$327,0))</f>
        <v>1005.9343831111111</v>
      </c>
      <c r="E64" s="62">
        <f ca="1">E$183*INDEX(Assumptions!$B:$B,MATCH("Blended kit sale price ($/kit)",Assumptions!$A$1:$A$327,0))</f>
        <v>1388.5440426412085</v>
      </c>
      <c r="F64" s="62">
        <f ca="1">F$183*INDEX(Assumptions!$B:$B,MATCH("Blended kit sale price ($/kit)",Assumptions!$A$1:$A$327,0))</f>
        <v>13729.17002420777</v>
      </c>
      <c r="G64" s="62">
        <f ca="1">G$183*INDEX(Assumptions!$B:$B,MATCH("Blended kit sale price ($/kit)",Assumptions!$A$1:$A$327,0))</f>
        <v>23407.447734518842</v>
      </c>
      <c r="H64" s="62">
        <f ca="1">H$183*INDEX(Assumptions!$B:$B,MATCH("Blended kit sale price ($/kit)",Assumptions!$A$1:$A$327,0))</f>
        <v>32915.909600678184</v>
      </c>
      <c r="I64" s="62">
        <f ca="1">I$183*INDEX(Assumptions!$B:$B,MATCH("Blended kit sale price ($/kit)",Assumptions!$A$1:$A$327,0))</f>
        <v>24196.908217464181</v>
      </c>
      <c r="J64" s="62">
        <f ca="1">J$183*INDEX(Assumptions!$B:$B,MATCH("Blended kit sale price ($/kit)",Assumptions!$A$1:$A$327,0))</f>
        <v>24268.079193007372</v>
      </c>
      <c r="K64" s="62">
        <f ca="1">K$183*INDEX(Assumptions!$B:$B,MATCH("Blended kit sale price ($/kit)",Assumptions!$A$1:$A$327,0))</f>
        <v>10798.777131754719</v>
      </c>
      <c r="L64" s="62">
        <f ca="1">L$183*INDEX(Assumptions!$B:$B,MATCH("Blended kit sale price ($/kit)",Assumptions!$A$1:$A$327,0))</f>
        <v>9303.8157213995182</v>
      </c>
      <c r="M64" s="62">
        <f ca="1">M$183*INDEX(Assumptions!$B:$B,MATCH("Blended kit sale price ($/kit)",Assumptions!$A$1:$A$327,0))</f>
        <v>8712.3725174284336</v>
      </c>
      <c r="N64" s="62">
        <f ca="1">N$183*INDEX(Assumptions!$B:$B,MATCH("Blended kit sale price ($/kit)",Assumptions!$A$1:$A$327,0))</f>
        <v>13828.575529587033</v>
      </c>
      <c r="O64" s="62">
        <f ca="1">O$183*INDEX(Assumptions!$B:$B,MATCH("Blended kit sale price ($/kit)",Assumptions!$A$1:$A$327,0))</f>
        <v>13949.474303836087</v>
      </c>
      <c r="P64" s="62">
        <f ca="1">P$183*INDEX(Assumptions!$B:$B,MATCH("Blended kit sale price ($/kit)",Assumptions!$A$1:$A$327,0))</f>
        <v>13806.604900253478</v>
      </c>
      <c r="Q64" s="62">
        <f ca="1">Q$183*INDEX(Assumptions!$B:$B,MATCH("Blended kit sale price ($/kit)",Assumptions!$A$1:$A$327,0))</f>
        <v>9272.4279940573069</v>
      </c>
      <c r="R64" s="62">
        <f ca="1">R$183*INDEX(Assumptions!$B:$B,MATCH("Blended kit sale price ($/kit)",Assumptions!$A$1:$A$327,0))</f>
        <v>6832.7464094621519</v>
      </c>
      <c r="S64" s="62">
        <f ca="1">S$183*INDEX(Assumptions!$B:$B,MATCH("Blended kit sale price ($/kit)",Assumptions!$A$1:$A$327,0))</f>
        <v>5546.9732005056812</v>
      </c>
    </row>
    <row r="65" spans="1:78" s="5" customFormat="1" ht="17" customHeight="1" x14ac:dyDescent="0.2">
      <c r="A65" s="187" t="s">
        <v>525</v>
      </c>
      <c r="B65" s="188"/>
      <c r="C65" s="188"/>
      <c r="D65" s="77">
        <f t="shared" ref="D65:S65" si="12">D61+D62+D63+D64</f>
        <v>10879.124830359477</v>
      </c>
      <c r="E65" s="77">
        <f t="shared" ca="1" si="12"/>
        <v>14251.989853633484</v>
      </c>
      <c r="F65" s="77">
        <f t="shared" ca="1" si="12"/>
        <v>55193.05535884096</v>
      </c>
      <c r="G65" s="77">
        <f t="shared" ca="1" si="12"/>
        <v>108390.77049753774</v>
      </c>
      <c r="H65" s="77">
        <f t="shared" ca="1" si="12"/>
        <v>176119.65775255347</v>
      </c>
      <c r="I65" s="77">
        <f t="shared" ca="1" si="12"/>
        <v>220835.8110838877</v>
      </c>
      <c r="J65" s="77">
        <f t="shared" ca="1" si="12"/>
        <v>267140.25849464588</v>
      </c>
      <c r="K65" s="77">
        <f t="shared" ca="1" si="12"/>
        <v>275315.38968665153</v>
      </c>
      <c r="L65" s="77">
        <f t="shared" ca="1" si="12"/>
        <v>287549.27672310715</v>
      </c>
      <c r="M65" s="77">
        <f t="shared" ca="1" si="12"/>
        <v>297705.48505211505</v>
      </c>
      <c r="N65" s="77">
        <f t="shared" ca="1" si="12"/>
        <v>320727.44471395883</v>
      </c>
      <c r="O65" s="77">
        <f t="shared" ca="1" si="12"/>
        <v>340855.93352019222</v>
      </c>
      <c r="P65" s="77">
        <f t="shared" ca="1" si="12"/>
        <v>360160.3978988647</v>
      </c>
      <c r="Q65" s="77">
        <f t="shared" ca="1" si="12"/>
        <v>368133.99635492684</v>
      </c>
      <c r="R65" s="77">
        <f t="shared" ca="1" si="12"/>
        <v>374486.5077852481</v>
      </c>
      <c r="S65" s="77">
        <f t="shared" ca="1" si="12"/>
        <v>380035.57727409829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x14ac:dyDescent="0.2">
      <c r="A66" s="24" t="s">
        <v>526</v>
      </c>
      <c r="B66" s="8"/>
      <c r="C66" s="8"/>
      <c r="D66" s="78">
        <f t="shared" ref="D66:S66" si="13">D61+D62</f>
        <v>7353.2957472483649</v>
      </c>
      <c r="E66" s="76">
        <f t="shared" ca="1" si="13"/>
        <v>10141.959534992277</v>
      </c>
      <c r="F66" s="76">
        <f t="shared" ca="1" si="13"/>
        <v>38524.680156553186</v>
      </c>
      <c r="G66" s="76">
        <f t="shared" ca="1" si="13"/>
        <v>81808.98117069251</v>
      </c>
      <c r="H66" s="76">
        <f t="shared" ca="1" si="13"/>
        <v>139775.45923216277</v>
      </c>
      <c r="I66" s="76">
        <f t="shared" ca="1" si="13"/>
        <v>192936.350833134</v>
      </c>
      <c r="J66" s="76">
        <f t="shared" ca="1" si="13"/>
        <v>238873.42310568586</v>
      </c>
      <c r="K66" s="76">
        <f t="shared" ca="1" si="13"/>
        <v>260197.95586326788</v>
      </c>
      <c r="L66" s="76">
        <f t="shared" ca="1" si="13"/>
        <v>273581.31177474844</v>
      </c>
      <c r="M66" s="76">
        <f t="shared" ca="1" si="13"/>
        <v>283955.83136957069</v>
      </c>
      <c r="N66" s="76">
        <f t="shared" ca="1" si="13"/>
        <v>301458.60552604659</v>
      </c>
      <c r="O66" s="76">
        <f t="shared" ca="1" si="13"/>
        <v>321030.97446536494</v>
      </c>
      <c r="P66" s="76">
        <f t="shared" ca="1" si="13"/>
        <v>340008.26946754073</v>
      </c>
      <c r="Q66" s="76">
        <f t="shared" ca="1" si="13"/>
        <v>352008.40294731339</v>
      </c>
      <c r="R66" s="76">
        <f t="shared" ca="1" si="13"/>
        <v>360252.34272914531</v>
      </c>
      <c r="S66" s="76">
        <f t="shared" ca="1" si="13"/>
        <v>366495.07193522074</v>
      </c>
    </row>
    <row r="67" spans="1:78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78" x14ac:dyDescent="0.2">
      <c r="A68" s="18" t="s">
        <v>527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</row>
    <row r="69" spans="1:78" x14ac:dyDescent="0.2">
      <c r="A69" s="22" t="s">
        <v>528</v>
      </c>
      <c r="B69" s="8"/>
      <c r="C69" s="8"/>
      <c r="D69" s="66">
        <f>IF(D$28=1, IFERROR(_xlfn.CEILING.MATH((D$32+D$33+D$36)/INDEX(Assumptions!$B:$B,MATCH("F9 sats per launch (V2 packing)",Assumptions!$A$1:$A$327,0))),0), 0)</f>
        <v>166</v>
      </c>
      <c r="E69" s="66">
        <f ca="1">IF(E$28=1, IFERROR(_xlfn.CEILING.MATH((E$32+E$33+E$36)/INDEX(Assumptions!$B:$B,MATCH("F9 sats per launch (V2 packing)",Assumptions!$A$1:$A$327,0))),0), 0)</f>
        <v>138</v>
      </c>
      <c r="F69" s="66">
        <f>IF(F$28=1, IFERROR(_xlfn.CEILING.MATH((F$32+F$33+F$36)/INDEX(Assumptions!$B:$B,MATCH("F9 sats per launch (V2 packing)",Assumptions!$A$1:$A$327,0))),0), 0)</f>
        <v>0</v>
      </c>
      <c r="G69" s="66">
        <f>IF(G$28=1, IFERROR(_xlfn.CEILING.MATH((G$32+G$33+G$36)/INDEX(Assumptions!$B:$B,MATCH("F9 sats per launch (V2 packing)",Assumptions!$A$1:$A$327,0))),0), 0)</f>
        <v>0</v>
      </c>
      <c r="H69" s="66">
        <f>IF(H$28=1, IFERROR(_xlfn.CEILING.MATH((H$32+H$33+H$36)/INDEX(Assumptions!$B:$B,MATCH("F9 sats per launch (V2 packing)",Assumptions!$A$1:$A$327,0))),0), 0)</f>
        <v>0</v>
      </c>
      <c r="I69" s="66">
        <f>IF(I$28=1, IFERROR(_xlfn.CEILING.MATH((I$32+I$33+I$36)/INDEX(Assumptions!$B:$B,MATCH("F9 sats per launch (V2 packing)",Assumptions!$A$1:$A$327,0))),0), 0)</f>
        <v>0</v>
      </c>
      <c r="J69" s="66">
        <f>IF(J$28=1, IFERROR(_xlfn.CEILING.MATH((J$32+J$33+J$36)/INDEX(Assumptions!$B:$B,MATCH("F9 sats per launch (V2 packing)",Assumptions!$A$1:$A$327,0))),0), 0)</f>
        <v>0</v>
      </c>
      <c r="K69" s="66">
        <f>IF(K$28=1, IFERROR(_xlfn.CEILING.MATH((K$32+K$33+K$36)/INDEX(Assumptions!$B:$B,MATCH("F9 sats per launch (V2 packing)",Assumptions!$A$1:$A$327,0))),0), 0)</f>
        <v>0</v>
      </c>
      <c r="L69" s="66">
        <f>IF(L$28=1, IFERROR(_xlfn.CEILING.MATH((L$32+L$33+L$36)/INDEX(Assumptions!$B:$B,MATCH("F9 sats per launch (V2 packing)",Assumptions!$A$1:$A$327,0))),0), 0)</f>
        <v>0</v>
      </c>
      <c r="M69" s="66">
        <f>IF(M$28=1, IFERROR(_xlfn.CEILING.MATH((M$32+M$33+M$36)/INDEX(Assumptions!$B:$B,MATCH("F9 sats per launch (V2 packing)",Assumptions!$A$1:$A$327,0))),0), 0)</f>
        <v>0</v>
      </c>
      <c r="N69" s="66">
        <f>IF(N$28=1, IFERROR(_xlfn.CEILING.MATH((N$32+N$33+N$36)/INDEX(Assumptions!$B:$B,MATCH("F9 sats per launch (V2 packing)",Assumptions!$A$1:$A$327,0))),0), 0)</f>
        <v>0</v>
      </c>
      <c r="O69" s="66">
        <f>IF(O$28=1, IFERROR(_xlfn.CEILING.MATH((O$32+O$33+O$36)/INDEX(Assumptions!$B:$B,MATCH("F9 sats per launch (V2 packing)",Assumptions!$A$1:$A$327,0))),0), 0)</f>
        <v>0</v>
      </c>
      <c r="P69" s="66">
        <f>IF(P$28=1, IFERROR(_xlfn.CEILING.MATH((P$32+P$33+P$36)/INDEX(Assumptions!$B:$B,MATCH("F9 sats per launch (V2 packing)",Assumptions!$A$1:$A$327,0))),0), 0)</f>
        <v>0</v>
      </c>
      <c r="Q69" s="66">
        <f>IF(Q$28=1, IFERROR(_xlfn.CEILING.MATH((Q$32+Q$33+Q$36)/INDEX(Assumptions!$B:$B,MATCH("F9 sats per launch (V2 packing)",Assumptions!$A$1:$A$327,0))),0), 0)</f>
        <v>0</v>
      </c>
      <c r="R69" s="66">
        <f>IF(R$28=1, IFERROR(_xlfn.CEILING.MATH((R$32+R$33+R$36)/INDEX(Assumptions!$B:$B,MATCH("F9 sats per launch (V2 packing)",Assumptions!$A$1:$A$327,0))),0), 0)</f>
        <v>0</v>
      </c>
      <c r="S69" s="66">
        <f>IF(S$28=1, IFERROR(_xlfn.CEILING.MATH((S$32+S$33+S$36)/INDEX(Assumptions!$B:$B,MATCH("F9 sats per launch (V2 packing)",Assumptions!$A$1:$A$327,0))),0), 0)</f>
        <v>0</v>
      </c>
    </row>
    <row r="70" spans="1:78" x14ac:dyDescent="0.2">
      <c r="A70" s="22" t="s">
        <v>529</v>
      </c>
      <c r="B70" s="8"/>
      <c r="C70" s="8"/>
      <c r="D70" s="66">
        <f>IF(D$29=1, IFERROR(_xlfn.CEILING.MATH((D$34+D$35)/D205),0), 0)</f>
        <v>0</v>
      </c>
      <c r="E70" s="66">
        <f t="shared" ref="E70:S70" si="14">IF(E$29=1, IFERROR(_xlfn.CEILING.MATH((E$34+E$35)/E205),0), 0)</f>
        <v>0</v>
      </c>
      <c r="F70" s="66">
        <f t="shared" ca="1" si="14"/>
        <v>61</v>
      </c>
      <c r="G70" s="66">
        <f t="shared" ca="1" si="14"/>
        <v>127</v>
      </c>
      <c r="H70" s="66">
        <f t="shared" ca="1" si="14"/>
        <v>264</v>
      </c>
      <c r="I70" s="66">
        <f t="shared" ca="1" si="14"/>
        <v>351</v>
      </c>
      <c r="J70" s="66">
        <f t="shared" ca="1" si="14"/>
        <v>559</v>
      </c>
      <c r="K70" s="66">
        <f t="shared" ca="1" si="14"/>
        <v>397</v>
      </c>
      <c r="L70" s="66">
        <f t="shared" ca="1" si="14"/>
        <v>481</v>
      </c>
      <c r="M70" s="66">
        <f t="shared" ca="1" si="14"/>
        <v>694</v>
      </c>
      <c r="N70" s="66">
        <f t="shared" ca="1" si="14"/>
        <v>821</v>
      </c>
      <c r="O70" s="66">
        <f t="shared" ca="1" si="14"/>
        <v>1146</v>
      </c>
      <c r="P70" s="66">
        <f t="shared" ca="1" si="14"/>
        <v>1015</v>
      </c>
      <c r="Q70" s="66">
        <f t="shared" ca="1" si="14"/>
        <v>564</v>
      </c>
      <c r="R70" s="66">
        <f t="shared" ca="1" si="14"/>
        <v>388</v>
      </c>
      <c r="S70" s="66">
        <f t="shared" ca="1" si="14"/>
        <v>395</v>
      </c>
    </row>
    <row r="71" spans="1:78" x14ac:dyDescent="0.2">
      <c r="A71" s="22" t="s">
        <v>530</v>
      </c>
      <c r="B71" s="8"/>
      <c r="C71" s="8"/>
      <c r="D71" s="67">
        <f t="shared" ref="D71:S71" si="15">D$42+D$43+D$52+D$53</f>
        <v>4969</v>
      </c>
      <c r="E71" s="67">
        <f t="shared" ca="1" si="15"/>
        <v>8089</v>
      </c>
      <c r="F71" s="67">
        <f t="shared" ca="1" si="15"/>
        <v>12007.735300489992</v>
      </c>
      <c r="G71" s="67">
        <f t="shared" ca="1" si="15"/>
        <v>20067.115261540304</v>
      </c>
      <c r="H71" s="67">
        <f t="shared" ca="1" si="15"/>
        <v>41248.966202989439</v>
      </c>
      <c r="I71" s="67">
        <f t="shared" ca="1" si="15"/>
        <v>74552.409908594142</v>
      </c>
      <c r="J71" s="67">
        <f t="shared" ca="1" si="15"/>
        <v>127286.83528156074</v>
      </c>
      <c r="K71" s="67">
        <f t="shared" ca="1" si="15"/>
        <v>162974.32116012403</v>
      </c>
      <c r="L71" s="67">
        <f t="shared" ca="1" si="15"/>
        <v>201550.90457354893</v>
      </c>
      <c r="M71" s="67">
        <f t="shared" ca="1" si="15"/>
        <v>247963.89824986827</v>
      </c>
      <c r="N71" s="67">
        <f t="shared" ca="1" si="15"/>
        <v>294973.43329209584</v>
      </c>
      <c r="O71" s="67">
        <f t="shared" ca="1" si="15"/>
        <v>353672.45225110999</v>
      </c>
      <c r="P71" s="67">
        <f t="shared" ca="1" si="15"/>
        <v>415536.41457732732</v>
      </c>
      <c r="Q71" s="67">
        <f t="shared" ca="1" si="15"/>
        <v>423805.59729027597</v>
      </c>
      <c r="R71" s="67">
        <f t="shared" ca="1" si="15"/>
        <v>393167.22673826676</v>
      </c>
      <c r="S71" s="67">
        <f t="shared" ca="1" si="15"/>
        <v>350530.37592790206</v>
      </c>
    </row>
    <row r="72" spans="1:78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78" x14ac:dyDescent="0.2">
      <c r="A73" s="18" t="s">
        <v>531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</row>
    <row r="74" spans="1:78" x14ac:dyDescent="0.2">
      <c r="A74" s="22" t="s">
        <v>589</v>
      </c>
      <c r="B74" s="8"/>
      <c r="C74" s="8"/>
      <c r="D74" s="62">
        <f>D$183*INDEX(Assumptions!$B:$B,MATCH("Terminal COGS per unit ($)",Assumptions!$A$1:$A$327,0))</f>
        <v>1257.4179788888889</v>
      </c>
      <c r="E74" s="62">
        <f ca="1">E$183*INDEX(Assumptions!$B:$B,MATCH("Terminal COGS per unit ($)",Assumptions!$A$1:$A$327,0))</f>
        <v>1735.6800533015107</v>
      </c>
      <c r="F74" s="62">
        <f ca="1">F$183*INDEX(Assumptions!$B:$B,MATCH("Terminal COGS per unit ($)",Assumptions!$A$1:$A$327,0))</f>
        <v>17161.462530259712</v>
      </c>
      <c r="G74" s="62">
        <f ca="1">G$183*INDEX(Assumptions!$B:$B,MATCH("Terminal COGS per unit ($)",Assumptions!$A$1:$A$327,0))</f>
        <v>29259.309668148555</v>
      </c>
      <c r="H74" s="62">
        <f ca="1">H$183*INDEX(Assumptions!$B:$B,MATCH("Terminal COGS per unit ($)",Assumptions!$A$1:$A$327,0))</f>
        <v>41144.887000847732</v>
      </c>
      <c r="I74" s="62">
        <f ca="1">I$183*INDEX(Assumptions!$B:$B,MATCH("Terminal COGS per unit ($)",Assumptions!$A$1:$A$327,0))</f>
        <v>30246.135271830226</v>
      </c>
      <c r="J74" s="62">
        <f ca="1">J$183*INDEX(Assumptions!$B:$B,MATCH("Terminal COGS per unit ($)",Assumptions!$A$1:$A$327,0))</f>
        <v>30335.098991259216</v>
      </c>
      <c r="K74" s="62">
        <f ca="1">K$183*INDEX(Assumptions!$B:$B,MATCH("Terminal COGS per unit ($)",Assumptions!$A$1:$A$327,0))</f>
        <v>13498.471414693398</v>
      </c>
      <c r="L74" s="62">
        <f ca="1">L$183*INDEX(Assumptions!$B:$B,MATCH("Terminal COGS per unit ($)",Assumptions!$A$1:$A$327,0))</f>
        <v>11629.769651749399</v>
      </c>
      <c r="M74" s="62">
        <f ca="1">M$183*INDEX(Assumptions!$B:$B,MATCH("Terminal COGS per unit ($)",Assumptions!$A$1:$A$327,0))</f>
        <v>10890.465646785544</v>
      </c>
      <c r="N74" s="62">
        <f ca="1">N$183*INDEX(Assumptions!$B:$B,MATCH("Terminal COGS per unit ($)",Assumptions!$A$1:$A$327,0))</f>
        <v>17285.719411983791</v>
      </c>
      <c r="O74" s="62">
        <f ca="1">O$183*INDEX(Assumptions!$B:$B,MATCH("Terminal COGS per unit ($)",Assumptions!$A$1:$A$327,0))</f>
        <v>17436.842879795109</v>
      </c>
      <c r="P74" s="62">
        <f ca="1">P$183*INDEX(Assumptions!$B:$B,MATCH("Terminal COGS per unit ($)",Assumptions!$A$1:$A$327,0))</f>
        <v>17258.256125316846</v>
      </c>
      <c r="Q74" s="62">
        <f ca="1">Q$183*INDEX(Assumptions!$B:$B,MATCH("Terminal COGS per unit ($)",Assumptions!$A$1:$A$327,0))</f>
        <v>11590.534992571633</v>
      </c>
      <c r="R74" s="62">
        <f ca="1">R$183*INDEX(Assumptions!$B:$B,MATCH("Terminal COGS per unit ($)",Assumptions!$A$1:$A$327,0))</f>
        <v>8540.9330118276903</v>
      </c>
      <c r="S74" s="62">
        <f ca="1">S$183*INDEX(Assumptions!$B:$B,MATCH("Terminal COGS per unit ($)",Assumptions!$A$1:$A$327,0))</f>
        <v>6933.7165006321011</v>
      </c>
    </row>
    <row r="75" spans="1:78" x14ac:dyDescent="0.2">
      <c r="A75" s="22" t="s">
        <v>532</v>
      </c>
      <c r="B75" s="8"/>
      <c r="C75" s="8"/>
      <c r="D75" s="62">
        <f>D$65*INDEX(Assumptions!$B:$B,MATCH("Ground-network ops COGS (% of revenue)",Assumptions!$A$1:$A$327,0))</f>
        <v>217.58249660718954</v>
      </c>
      <c r="E75" s="62">
        <f ca="1">E$65*INDEX(Assumptions!$B:$B,MATCH("Ground-network ops COGS (% of revenue)",Assumptions!$A$1:$A$327,0))</f>
        <v>285.03979707266967</v>
      </c>
      <c r="F75" s="62">
        <f ca="1">F$65*INDEX(Assumptions!$B:$B,MATCH("Ground-network ops COGS (% of revenue)",Assumptions!$A$1:$A$327,0))</f>
        <v>1103.8611071768191</v>
      </c>
      <c r="G75" s="62">
        <f ca="1">G$65*INDEX(Assumptions!$B:$B,MATCH("Ground-network ops COGS (% of revenue)",Assumptions!$A$1:$A$327,0))</f>
        <v>2167.8154099507547</v>
      </c>
      <c r="H75" s="62">
        <f ca="1">H$65*INDEX(Assumptions!$B:$B,MATCH("Ground-network ops COGS (% of revenue)",Assumptions!$A$1:$A$327,0))</f>
        <v>3522.3931550510692</v>
      </c>
      <c r="I75" s="62">
        <f ca="1">I$65*INDEX(Assumptions!$B:$B,MATCH("Ground-network ops COGS (% of revenue)",Assumptions!$A$1:$A$327,0))</f>
        <v>4416.7162216777542</v>
      </c>
      <c r="J75" s="62">
        <f ca="1">J$65*INDEX(Assumptions!$B:$B,MATCH("Ground-network ops COGS (% of revenue)",Assumptions!$A$1:$A$327,0))</f>
        <v>5342.8051698929175</v>
      </c>
      <c r="K75" s="62">
        <f ca="1">K$65*INDEX(Assumptions!$B:$B,MATCH("Ground-network ops COGS (% of revenue)",Assumptions!$A$1:$A$327,0))</f>
        <v>5506.3077937330308</v>
      </c>
      <c r="L75" s="62">
        <f ca="1">L$65*INDEX(Assumptions!$B:$B,MATCH("Ground-network ops COGS (% of revenue)",Assumptions!$A$1:$A$327,0))</f>
        <v>5750.9855344621428</v>
      </c>
      <c r="M75" s="62">
        <f ca="1">M$65*INDEX(Assumptions!$B:$B,MATCH("Ground-network ops COGS (% of revenue)",Assumptions!$A$1:$A$327,0))</f>
        <v>5954.1097010423009</v>
      </c>
      <c r="N75" s="62">
        <f ca="1">N$65*INDEX(Assumptions!$B:$B,MATCH("Ground-network ops COGS (% of revenue)",Assumptions!$A$1:$A$327,0))</f>
        <v>6414.5488942791771</v>
      </c>
      <c r="O75" s="62">
        <f ca="1">O$65*INDEX(Assumptions!$B:$B,MATCH("Ground-network ops COGS (% of revenue)",Assumptions!$A$1:$A$327,0))</f>
        <v>6817.1186704038446</v>
      </c>
      <c r="P75" s="62">
        <f ca="1">P$65*INDEX(Assumptions!$B:$B,MATCH("Ground-network ops COGS (% of revenue)",Assumptions!$A$1:$A$327,0))</f>
        <v>7203.2079579772944</v>
      </c>
      <c r="Q75" s="62">
        <f ca="1">Q$65*INDEX(Assumptions!$B:$B,MATCH("Ground-network ops COGS (% of revenue)",Assumptions!$A$1:$A$327,0))</f>
        <v>7362.6799270985366</v>
      </c>
      <c r="R75" s="62">
        <f ca="1">R$65*INDEX(Assumptions!$B:$B,MATCH("Ground-network ops COGS (% of revenue)",Assumptions!$A$1:$A$327,0))</f>
        <v>7489.7301557049623</v>
      </c>
      <c r="S75" s="62">
        <f ca="1">S$65*INDEX(Assumptions!$B:$B,MATCH("Ground-network ops COGS (% of revenue)",Assumptions!$A$1:$A$327,0))</f>
        <v>7600.7115454819659</v>
      </c>
    </row>
    <row r="76" spans="1:78" x14ac:dyDescent="0.2">
      <c r="A76" s="22" t="s">
        <v>533</v>
      </c>
      <c r="B76" s="8"/>
      <c r="C76" s="8"/>
      <c r="D76" s="62">
        <f>D$65*INDEX(Assumptions!$B:$B,MATCH("Asset insurance COGS (% of revenue)",Assumptions!$A$1:$A$327,0))</f>
        <v>108.79124830359477</v>
      </c>
      <c r="E76" s="62">
        <f ca="1">E$65*INDEX(Assumptions!$B:$B,MATCH("Asset insurance COGS (% of revenue)",Assumptions!$A$1:$A$327,0))</f>
        <v>142.51989853633484</v>
      </c>
      <c r="F76" s="62">
        <f ca="1">F$65*INDEX(Assumptions!$B:$B,MATCH("Asset insurance COGS (% of revenue)",Assumptions!$A$1:$A$327,0))</f>
        <v>551.93055358840957</v>
      </c>
      <c r="G76" s="62">
        <f ca="1">G$65*INDEX(Assumptions!$B:$B,MATCH("Asset insurance COGS (% of revenue)",Assumptions!$A$1:$A$327,0))</f>
        <v>1083.9077049753773</v>
      </c>
      <c r="H76" s="62">
        <f ca="1">H$65*INDEX(Assumptions!$B:$B,MATCH("Asset insurance COGS (% of revenue)",Assumptions!$A$1:$A$327,0))</f>
        <v>1761.1965775255346</v>
      </c>
      <c r="I76" s="62">
        <f ca="1">I$65*INDEX(Assumptions!$B:$B,MATCH("Asset insurance COGS (% of revenue)",Assumptions!$A$1:$A$327,0))</f>
        <v>2208.3581108388771</v>
      </c>
      <c r="J76" s="62">
        <f ca="1">J$65*INDEX(Assumptions!$B:$B,MATCH("Asset insurance COGS (% of revenue)",Assumptions!$A$1:$A$327,0))</f>
        <v>2671.4025849464588</v>
      </c>
      <c r="K76" s="62">
        <f ca="1">K$65*INDEX(Assumptions!$B:$B,MATCH("Asset insurance COGS (% of revenue)",Assumptions!$A$1:$A$327,0))</f>
        <v>2753.1538968665154</v>
      </c>
      <c r="L76" s="62">
        <f ca="1">L$65*INDEX(Assumptions!$B:$B,MATCH("Asset insurance COGS (% of revenue)",Assumptions!$A$1:$A$327,0))</f>
        <v>2875.4927672310714</v>
      </c>
      <c r="M76" s="62">
        <f ca="1">M$65*INDEX(Assumptions!$B:$B,MATCH("Asset insurance COGS (% of revenue)",Assumptions!$A$1:$A$327,0))</f>
        <v>2977.0548505211505</v>
      </c>
      <c r="N76" s="62">
        <f ca="1">N$65*INDEX(Assumptions!$B:$B,MATCH("Asset insurance COGS (% of revenue)",Assumptions!$A$1:$A$327,0))</f>
        <v>3207.2744471395886</v>
      </c>
      <c r="O76" s="62">
        <f ca="1">O$65*INDEX(Assumptions!$B:$B,MATCH("Asset insurance COGS (% of revenue)",Assumptions!$A$1:$A$327,0))</f>
        <v>3408.5593352019223</v>
      </c>
      <c r="P76" s="62">
        <f ca="1">P$65*INDEX(Assumptions!$B:$B,MATCH("Asset insurance COGS (% of revenue)",Assumptions!$A$1:$A$327,0))</f>
        <v>3601.6039789886472</v>
      </c>
      <c r="Q76" s="62">
        <f ca="1">Q$65*INDEX(Assumptions!$B:$B,MATCH("Asset insurance COGS (% of revenue)",Assumptions!$A$1:$A$327,0))</f>
        <v>3681.3399635492683</v>
      </c>
      <c r="R76" s="62">
        <f ca="1">R$65*INDEX(Assumptions!$B:$B,MATCH("Asset insurance COGS (% of revenue)",Assumptions!$A$1:$A$327,0))</f>
        <v>3744.8650778524811</v>
      </c>
      <c r="S76" s="62">
        <f ca="1">S$65*INDEX(Assumptions!$B:$B,MATCH("Asset insurance COGS (% of revenue)",Assumptions!$A$1:$A$327,0))</f>
        <v>3800.355772740983</v>
      </c>
    </row>
    <row r="77" spans="1:78" x14ac:dyDescent="0.2">
      <c r="A77" s="22" t="s">
        <v>534</v>
      </c>
      <c r="B77" s="8"/>
      <c r="C77" s="8"/>
      <c r="D77" s="50">
        <f t="array" ref="D77">D$69*INDEX(Assumptions!$D:$AC,MATCH("F9 variable cost per launch ($mm/launch)",Assumptions!$A$1:$A$327,0),D$5+1)+D$70*INDEX(Assumptions!$D:$AC,MATCH("Starship variable cost per launch ($mm/launch)",Assumptions!$A$1:$A$327,0),D$5+1)</f>
        <v>2697.5</v>
      </c>
      <c r="E77" s="50">
        <f t="array" aca="1" ref="E77" ca="1">E$69*INDEX(Assumptions!$D:$AC,MATCH("F9 variable cost per launch ($mm/launch)",Assumptions!$A$1:$A$327,0),E$5+1)+E$70*INDEX(Assumptions!$D:$AC,MATCH("Starship variable cost per launch ($mm/launch)",Assumptions!$A$1:$A$327,0),E$5+1)</f>
        <v>2197.6499999999996</v>
      </c>
      <c r="F77" s="50">
        <f t="array" aca="1" ref="F77" ca="1">F$69*INDEX(Assumptions!$D:$AC,MATCH("F9 variable cost per launch ($mm/launch)",Assumptions!$A$1:$A$327,0),F$5+1)+F$70*INDEX(Assumptions!$D:$AC,MATCH("Starship variable cost per launch ($mm/launch)",Assumptions!$A$1:$A$327,0),F$5+1)</f>
        <v>305</v>
      </c>
      <c r="G77" s="50">
        <f t="array" aca="1" ref="G77" ca="1">G$69*INDEX(Assumptions!$D:$AC,MATCH("F9 variable cost per launch ($mm/launch)",Assumptions!$A$1:$A$327,0),G$5+1)+G$70*INDEX(Assumptions!$D:$AC,MATCH("Starship variable cost per launch ($mm/launch)",Assumptions!$A$1:$A$327,0),G$5+1)</f>
        <v>584.20000000000005</v>
      </c>
      <c r="H77" s="50">
        <f t="array" aca="1" ref="H77" ca="1">H$69*INDEX(Assumptions!$D:$AC,MATCH("F9 variable cost per launch ($mm/launch)",Assumptions!$A$1:$A$327,0),H$5+1)+H$70*INDEX(Assumptions!$D:$AC,MATCH("Starship variable cost per launch ($mm/launch)",Assumptions!$A$1:$A$327,0),H$5+1)</f>
        <v>1117.248</v>
      </c>
      <c r="I77" s="50">
        <f t="array" aca="1" ref="I77" ca="1">I$69*INDEX(Assumptions!$D:$AC,MATCH("F9 variable cost per launch ($mm/launch)",Assumptions!$A$1:$A$327,0),I$5+1)+I$70*INDEX(Assumptions!$D:$AC,MATCH("Starship variable cost per launch ($mm/launch)",Assumptions!$A$1:$A$327,0),I$5+1)</f>
        <v>1366.59744</v>
      </c>
      <c r="J77" s="50">
        <f t="array" aca="1" ref="J77" ca="1">J$69*INDEX(Assumptions!$D:$AC,MATCH("F9 variable cost per launch ($mm/launch)",Assumptions!$A$1:$A$327,0),J$5+1)+J$70*INDEX(Assumptions!$D:$AC,MATCH("Starship variable cost per launch ($mm/launch)",Assumptions!$A$1:$A$327,0),J$5+1)</f>
        <v>2002.3183232000003</v>
      </c>
      <c r="K77" s="50">
        <f t="array" aca="1" ref="K77" ca="1">K$69*INDEX(Assumptions!$D:$AC,MATCH("F9 variable cost per launch ($mm/launch)",Assumptions!$A$1:$A$327,0),K$5+1)+K$70*INDEX(Assumptions!$D:$AC,MATCH("Starship variable cost per launch ($mm/launch)",Assumptions!$A$1:$A$327,0),K$5+1)</f>
        <v>1308.2768235520002</v>
      </c>
      <c r="L77" s="50">
        <f t="array" aca="1" ref="L77" ca="1">L$69*INDEX(Assumptions!$D:$AC,MATCH("F9 variable cost per launch ($mm/launch)",Assumptions!$A$1:$A$327,0),L$5+1)+L$70*INDEX(Assumptions!$D:$AC,MATCH("Starship variable cost per launch ($mm/launch)",Assumptions!$A$1:$A$327,0),L$5+1)</f>
        <v>1458.2837782323204</v>
      </c>
      <c r="M77" s="50">
        <f t="array" aca="1" ref="M77" ca="1">M$69*INDEX(Assumptions!$D:$AC,MATCH("F9 variable cost per launch ($mm/launch)",Assumptions!$A$1:$A$327,0),M$5+1)+M$70*INDEX(Assumptions!$D:$AC,MATCH("Starship variable cost per launch ($mm/launch)",Assumptions!$A$1:$A$327,0),M$5+1)</f>
        <v>1935.727706290586</v>
      </c>
      <c r="N77" s="50">
        <f t="array" aca="1" ref="N77" ca="1">N$69*INDEX(Assumptions!$D:$AC,MATCH("F9 variable cost per launch ($mm/launch)",Assumptions!$A$1:$A$327,0),N$5+1)+N$70*INDEX(Assumptions!$D:$AC,MATCH("Starship variable cost per launch ($mm/launch)",Assumptions!$A$1:$A$327,0),N$5+1)</f>
        <v>2106.7634742296909</v>
      </c>
      <c r="O77" s="50">
        <f t="array" aca="1" ref="O77" ca="1">O$69*INDEX(Assumptions!$D:$AC,MATCH("F9 variable cost per launch ($mm/launch)",Assumptions!$A$1:$A$327,0),O$5+1)+O$70*INDEX(Assumptions!$D:$AC,MATCH("Starship variable cost per launch ($mm/launch)",Assumptions!$A$1:$A$327,0),O$5+1)</f>
        <v>2705.4846116319709</v>
      </c>
      <c r="P77" s="50">
        <f t="array" aca="1" ref="P77" ca="1">P$69*INDEX(Assumptions!$D:$AC,MATCH("F9 variable cost per launch ($mm/launch)",Assumptions!$A$1:$A$327,0),P$5+1)+P$70*INDEX(Assumptions!$D:$AC,MATCH("Starship variable cost per launch ($mm/launch)",Assumptions!$A$1:$A$327,0),P$5+1)</f>
        <v>2204.5214051849343</v>
      </c>
      <c r="Q77" s="50">
        <f t="array" aca="1" ref="Q77" ca="1">Q$69*INDEX(Assumptions!$D:$AC,MATCH("F9 variable cost per launch ($mm/launch)",Assumptions!$A$1:$A$327,0),Q$5+1)+Q$70*INDEX(Assumptions!$D:$AC,MATCH("Starship variable cost per launch ($mm/launch)",Assumptions!$A$1:$A$327,0),Q$5+1)</f>
        <v>1126.9774056377917</v>
      </c>
      <c r="R77" s="50">
        <f t="array" aca="1" ref="R77" ca="1">R$69*INDEX(Assumptions!$D:$AC,MATCH("F9 variable cost per launch ($mm/launch)",Assumptions!$A$1:$A$327,0),R$5+1)+R$70*INDEX(Assumptions!$D:$AC,MATCH("Starship variable cost per launch ($mm/launch)",Assumptions!$A$1:$A$327,0),R$5+1)</f>
        <v>713.27279205047193</v>
      </c>
      <c r="S77" s="50">
        <f t="array" aca="1" ref="S77" ca="1">S$69*INDEX(Assumptions!$D:$AC,MATCH("F9 variable cost per launch ($mm/launch)",Assumptions!$A$1:$A$327,0),S$5+1)+S$70*INDEX(Assumptions!$D:$AC,MATCH("Starship variable cost per launch ($mm/launch)",Assumptions!$A$1:$A$327,0),S$5+1)</f>
        <v>668.04982636892134</v>
      </c>
    </row>
    <row r="78" spans="1:78" x14ac:dyDescent="0.2">
      <c r="A78" s="20" t="s">
        <v>535</v>
      </c>
      <c r="B78" s="20"/>
      <c r="C78" s="20"/>
      <c r="D78" s="87">
        <f t="shared" ref="D78:S78" si="16">SUM(D75:D77)+D74</f>
        <v>4281.2917237996735</v>
      </c>
      <c r="E78" s="87">
        <f t="shared" ca="1" si="16"/>
        <v>4360.8897489105148</v>
      </c>
      <c r="F78" s="87">
        <f t="shared" ca="1" si="16"/>
        <v>19122.254191024942</v>
      </c>
      <c r="G78" s="87">
        <f t="shared" ca="1" si="16"/>
        <v>33095.232783074687</v>
      </c>
      <c r="H78" s="87">
        <f t="shared" ca="1" si="16"/>
        <v>47545.724733424337</v>
      </c>
      <c r="I78" s="87">
        <f t="shared" ca="1" si="16"/>
        <v>38237.80704434686</v>
      </c>
      <c r="J78" s="87">
        <f t="shared" ca="1" si="16"/>
        <v>40351.625069298592</v>
      </c>
      <c r="K78" s="87">
        <f t="shared" ca="1" si="16"/>
        <v>23066.209928844946</v>
      </c>
      <c r="L78" s="87">
        <f t="shared" ca="1" si="16"/>
        <v>21714.531731674935</v>
      </c>
      <c r="M78" s="87">
        <f t="shared" ca="1" si="16"/>
        <v>21757.357904639583</v>
      </c>
      <c r="N78" s="87">
        <f t="shared" ca="1" si="16"/>
        <v>29014.306227632245</v>
      </c>
      <c r="O78" s="87">
        <f t="shared" ca="1" si="16"/>
        <v>30368.005497032849</v>
      </c>
      <c r="P78" s="87">
        <f t="shared" ca="1" si="16"/>
        <v>30267.589467467722</v>
      </c>
      <c r="Q78" s="87">
        <f t="shared" ca="1" si="16"/>
        <v>23761.53228885723</v>
      </c>
      <c r="R78" s="87">
        <f t="shared" ca="1" si="16"/>
        <v>20488.801037435605</v>
      </c>
      <c r="S78" s="87">
        <f t="shared" ca="1" si="16"/>
        <v>19002.833645223971</v>
      </c>
    </row>
    <row r="79" spans="1:78" x14ac:dyDescent="0.2">
      <c r="A79" s="20" t="s">
        <v>536</v>
      </c>
      <c r="B79" s="20"/>
      <c r="C79" s="20"/>
      <c r="D79" s="87">
        <f t="shared" ref="D79:S79" si="17">D$65-D$78</f>
        <v>6597.8331065598031</v>
      </c>
      <c r="E79" s="87">
        <f t="shared" ca="1" si="17"/>
        <v>9891.1001047229693</v>
      </c>
      <c r="F79" s="87">
        <f t="shared" ca="1" si="17"/>
        <v>36070.801167816018</v>
      </c>
      <c r="G79" s="87">
        <f t="shared" ca="1" si="17"/>
        <v>75295.537714463047</v>
      </c>
      <c r="H79" s="87">
        <f t="shared" ca="1" si="17"/>
        <v>128573.93301912912</v>
      </c>
      <c r="I79" s="87">
        <f t="shared" ca="1" si="17"/>
        <v>182598.00403954083</v>
      </c>
      <c r="J79" s="87">
        <f t="shared" ca="1" si="17"/>
        <v>226788.63342534727</v>
      </c>
      <c r="K79" s="87">
        <f t="shared" ca="1" si="17"/>
        <v>252249.17975780659</v>
      </c>
      <c r="L79" s="87">
        <f t="shared" ca="1" si="17"/>
        <v>265834.74499143224</v>
      </c>
      <c r="M79" s="87">
        <f t="shared" ca="1" si="17"/>
        <v>275948.12714747549</v>
      </c>
      <c r="N79" s="87">
        <f t="shared" ca="1" si="17"/>
        <v>291713.13848632656</v>
      </c>
      <c r="O79" s="87">
        <f t="shared" ca="1" si="17"/>
        <v>310487.92802315939</v>
      </c>
      <c r="P79" s="87">
        <f t="shared" ca="1" si="17"/>
        <v>329892.80843139696</v>
      </c>
      <c r="Q79" s="87">
        <f t="shared" ca="1" si="17"/>
        <v>344372.46406606963</v>
      </c>
      <c r="R79" s="87">
        <f t="shared" ca="1" si="17"/>
        <v>353997.70674781251</v>
      </c>
      <c r="S79" s="87">
        <f t="shared" ca="1" si="17"/>
        <v>361032.7436288743</v>
      </c>
    </row>
    <row r="80" spans="1:78" x14ac:dyDescent="0.2">
      <c r="A80" s="24" t="s">
        <v>537</v>
      </c>
      <c r="B80" s="8"/>
      <c r="C80" s="8"/>
      <c r="D80" s="80">
        <f t="shared" ref="D80:S80" si="18">IFERROR(D$79/D$65,0)</f>
        <v>0.6064672673069964</v>
      </c>
      <c r="E80" s="81">
        <f t="shared" ca="1" si="18"/>
        <v>0.69401537654065026</v>
      </c>
      <c r="F80" s="81">
        <f t="shared" ca="1" si="18"/>
        <v>0.65353876376836795</v>
      </c>
      <c r="G80" s="81">
        <f t="shared" ca="1" si="18"/>
        <v>0.69466742757561173</v>
      </c>
      <c r="H80" s="81">
        <f t="shared" ca="1" si="18"/>
        <v>0.73003737720052997</v>
      </c>
      <c r="I80" s="81">
        <f t="shared" ca="1" si="18"/>
        <v>0.82684960896210047</v>
      </c>
      <c r="J80" s="81">
        <f t="shared" ca="1" si="18"/>
        <v>0.84894966675302763</v>
      </c>
      <c r="K80" s="81">
        <f t="shared" ca="1" si="18"/>
        <v>0.91621895908144624</v>
      </c>
      <c r="L80" s="81">
        <f t="shared" ca="1" si="18"/>
        <v>0.9244841371916066</v>
      </c>
      <c r="M80" s="81">
        <f t="shared" ca="1" si="18"/>
        <v>0.9269165030639902</v>
      </c>
      <c r="N80" s="81">
        <f t="shared" ca="1" si="18"/>
        <v>0.90953594179160835</v>
      </c>
      <c r="O80" s="81">
        <f t="shared" ca="1" si="18"/>
        <v>0.91090662502657049</v>
      </c>
      <c r="P80" s="81">
        <f t="shared" ca="1" si="18"/>
        <v>0.91596080622954257</v>
      </c>
      <c r="Q80" s="81">
        <f t="shared" ca="1" si="18"/>
        <v>0.93545412125983562</v>
      </c>
      <c r="R80" s="81">
        <f t="shared" ca="1" si="18"/>
        <v>0.94528827978714514</v>
      </c>
      <c r="S80" s="81">
        <f t="shared" ca="1" si="18"/>
        <v>0.94999722451901314</v>
      </c>
    </row>
    <row r="81" spans="1:19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18" t="s">
        <v>538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</row>
    <row r="83" spans="1:19" x14ac:dyDescent="0.2">
      <c r="A83" s="22" t="s">
        <v>539</v>
      </c>
      <c r="B83" s="8"/>
      <c r="C83" s="8"/>
      <c r="D83" s="62">
        <f>D$65*MAX(INDEX(Assumptions!$B:$B,MATCH("Sales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(taper)",Assumptions!$A$1:$A$327,0)))^D$5)</f>
        <v>326.3737449107843</v>
      </c>
      <c r="E83" s="62">
        <f ca="1">E$65*MAX(INDEX(Assumptions!$B:$B,MATCH("Sales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(taper)",Assumptions!$A$1:$A$327,0)))^E$5)</f>
        <v>393.35491996028418</v>
      </c>
      <c r="F83" s="62">
        <f ca="1">F$65*MAX(INDEX(Assumptions!$B:$B,MATCH("Sales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(taper)",Assumptions!$A$1:$A$327,0)))^F$5)</f>
        <v>1401.4620616716898</v>
      </c>
      <c r="G83" s="62">
        <f ca="1">G$65*MAX(INDEX(Assumptions!$B:$B,MATCH("Sales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(taper)",Assumptions!$A$1:$A$327,0)))^G$5)</f>
        <v>2532.0777689156002</v>
      </c>
      <c r="H83" s="62">
        <f ca="1">H$65*MAX(INDEX(Assumptions!$B:$B,MATCH("Sales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(taper)",Assumptions!$A$1:$A$327,0)))^H$5)</f>
        <v>3785.1264879461619</v>
      </c>
      <c r="I83" s="62">
        <f ca="1">I$65*MAX(INDEX(Assumptions!$B:$B,MATCH("Sales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(taper)",Assumptions!$A$1:$A$327,0)))^I$5)</f>
        <v>4416.7162216777542</v>
      </c>
      <c r="J83" s="62">
        <f ca="1">J$65*MAX(INDEX(Assumptions!$B:$B,MATCH("Sales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(taper)",Assumptions!$A$1:$A$327,0)))^J$5)</f>
        <v>5342.8051698929175</v>
      </c>
      <c r="K83" s="62">
        <f ca="1">K$65*MAX(INDEX(Assumptions!$B:$B,MATCH("Sales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(taper)",Assumptions!$A$1:$A$327,0)))^K$5)</f>
        <v>5506.3077937330308</v>
      </c>
      <c r="L83" s="62">
        <f ca="1">L$65*MAX(INDEX(Assumptions!$B:$B,MATCH("Sales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(taper)",Assumptions!$A$1:$A$327,0)))^L$5)</f>
        <v>5750.9855344621428</v>
      </c>
      <c r="M83" s="62">
        <f ca="1">M$65*MAX(INDEX(Assumptions!$B:$B,MATCH("Sales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(taper)",Assumptions!$A$1:$A$327,0)))^M$5)</f>
        <v>5954.1097010423009</v>
      </c>
      <c r="N83" s="62">
        <f ca="1">N$65*MAX(INDEX(Assumptions!$B:$B,MATCH("Sales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(taper)",Assumptions!$A$1:$A$327,0)))^N$5)</f>
        <v>6414.5488942791771</v>
      </c>
      <c r="O83" s="62">
        <f ca="1">O$65*MAX(INDEX(Assumptions!$B:$B,MATCH("Sales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(taper)",Assumptions!$A$1:$A$327,0)))^O$5)</f>
        <v>6817.1186704038446</v>
      </c>
      <c r="P83" s="62">
        <f ca="1">P$65*MAX(INDEX(Assumptions!$B:$B,MATCH("Sales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(taper)",Assumptions!$A$1:$A$327,0)))^P$5)</f>
        <v>7203.2079579772944</v>
      </c>
      <c r="Q83" s="62">
        <f ca="1">Q$65*MAX(INDEX(Assumptions!$B:$B,MATCH("Sales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(taper)",Assumptions!$A$1:$A$327,0)))^Q$5)</f>
        <v>7362.6799270985366</v>
      </c>
      <c r="R83" s="62">
        <f ca="1">R$65*MAX(INDEX(Assumptions!$B:$B,MATCH("Sales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(taper)",Assumptions!$A$1:$A$327,0)))^R$5)</f>
        <v>7489.7301557049623</v>
      </c>
      <c r="S83" s="62">
        <f ca="1">S$65*MAX(INDEX(Assumptions!$B:$B,MATCH("Sales &amp; Marketing: end-state % (floor)",Assumptions!$A$1:$A$327,0)), INDEX(Assumptions!$B:$B,MATCH("Sales &amp; Marketing: start % of (Starlink+Starshield+CL ext) rev",Assumptions!$A$1:$A$327,0))*(1+INDEX(Assumptions!$B:$B,MATCH("Sales &amp; Marketing: CAGR (taper)",Assumptions!$A$1:$A$327,0)))^S$5)</f>
        <v>7600.7115454819659</v>
      </c>
    </row>
    <row r="84" spans="1:19" x14ac:dyDescent="0.2">
      <c r="A84" s="22" t="s">
        <v>540</v>
      </c>
      <c r="B84" s="8"/>
      <c r="C84" s="8"/>
      <c r="D84" s="62">
        <f>D$66*INDEX(Assumptions!$B:$B,MATCH("Customer Service: flat % of Starlink subscription rev",Assumptions!$A$1:$A$327,0))</f>
        <v>147.06591494496729</v>
      </c>
      <c r="E84" s="62">
        <f ca="1">E$66*INDEX(Assumptions!$B:$B,MATCH("Customer Service: flat % of Starlink subscription rev",Assumptions!$A$1:$A$327,0))</f>
        <v>202.83919069984555</v>
      </c>
      <c r="F84" s="62">
        <f ca="1">F$66*INDEX(Assumptions!$B:$B,MATCH("Customer Service: flat % of Starlink subscription rev",Assumptions!$A$1:$A$327,0))</f>
        <v>770.49360313106376</v>
      </c>
      <c r="G84" s="62">
        <f ca="1">G$66*INDEX(Assumptions!$B:$B,MATCH("Customer Service: flat % of Starlink subscription rev",Assumptions!$A$1:$A$327,0))</f>
        <v>1636.1796234138503</v>
      </c>
      <c r="H84" s="62">
        <f ca="1">H$66*INDEX(Assumptions!$B:$B,MATCH("Customer Service: flat % of Starlink subscription rev",Assumptions!$A$1:$A$327,0))</f>
        <v>2795.5091846432556</v>
      </c>
      <c r="I84" s="62">
        <f ca="1">I$66*INDEX(Assumptions!$B:$B,MATCH("Customer Service: flat % of Starlink subscription rev",Assumptions!$A$1:$A$327,0))</f>
        <v>3858.7270166626799</v>
      </c>
      <c r="J84" s="62">
        <f ca="1">J$66*INDEX(Assumptions!$B:$B,MATCH("Customer Service: flat % of Starlink subscription rev",Assumptions!$A$1:$A$327,0))</f>
        <v>4777.4684621137176</v>
      </c>
      <c r="K84" s="62">
        <f ca="1">K$66*INDEX(Assumptions!$B:$B,MATCH("Customer Service: flat % of Starlink subscription rev",Assumptions!$A$1:$A$327,0))</f>
        <v>5203.9591172653581</v>
      </c>
      <c r="L84" s="62">
        <f ca="1">L$66*INDEX(Assumptions!$B:$B,MATCH("Customer Service: flat % of Starlink subscription rev",Assumptions!$A$1:$A$327,0))</f>
        <v>5471.6262354949686</v>
      </c>
      <c r="M84" s="62">
        <f ca="1">M$66*INDEX(Assumptions!$B:$B,MATCH("Customer Service: flat % of Starlink subscription rev",Assumptions!$A$1:$A$327,0))</f>
        <v>5679.1166273914141</v>
      </c>
      <c r="N84" s="62">
        <f ca="1">N$66*INDEX(Assumptions!$B:$B,MATCH("Customer Service: flat % of Starlink subscription rev",Assumptions!$A$1:$A$327,0))</f>
        <v>6029.1721105209317</v>
      </c>
      <c r="O84" s="62">
        <f ca="1">O$66*INDEX(Assumptions!$B:$B,MATCH("Customer Service: flat % of Starlink subscription rev",Assumptions!$A$1:$A$327,0))</f>
        <v>6420.6194893072989</v>
      </c>
      <c r="P84" s="62">
        <f ca="1">P$66*INDEX(Assumptions!$B:$B,MATCH("Customer Service: flat % of Starlink subscription rev",Assumptions!$A$1:$A$327,0))</f>
        <v>6800.1653893508146</v>
      </c>
      <c r="Q84" s="62">
        <f ca="1">Q$66*INDEX(Assumptions!$B:$B,MATCH("Customer Service: flat % of Starlink subscription rev",Assumptions!$A$1:$A$327,0))</f>
        <v>7040.1680589462676</v>
      </c>
      <c r="R84" s="62">
        <f ca="1">R$66*INDEX(Assumptions!$B:$B,MATCH("Customer Service: flat % of Starlink subscription rev",Assumptions!$A$1:$A$327,0))</f>
        <v>7205.0468545829062</v>
      </c>
      <c r="S84" s="62">
        <f ca="1">S$66*INDEX(Assumptions!$B:$B,MATCH("Customer Service: flat % of Starlink subscription rev",Assumptions!$A$1:$A$327,0))</f>
        <v>7329.9014387044153</v>
      </c>
    </row>
    <row r="85" spans="1:19" x14ac:dyDescent="0.2">
      <c r="A85" s="22" t="s">
        <v>1202</v>
      </c>
      <c r="B85" s="8"/>
      <c r="C85" s="8"/>
      <c r="D85" s="62">
        <f>D$65*INDEX(Assumptions!$B:$B,MATCH("Network ops &amp; G&amp;A (% of revenue)",Assumptions!$A$1:$A$327,0))</f>
        <v>271.9781207589869</v>
      </c>
      <c r="E85" s="62">
        <f ca="1">E$65*INDEX(Assumptions!$B:$B,MATCH("Network ops &amp; G&amp;A (% of revenue)",Assumptions!$A$1:$A$327,0))</f>
        <v>356.29974634083715</v>
      </c>
      <c r="F85" s="62">
        <f ca="1">F$65*INDEX(Assumptions!$B:$B,MATCH("Network ops &amp; G&amp;A (% of revenue)",Assumptions!$A$1:$A$327,0))</f>
        <v>1379.8263839710241</v>
      </c>
      <c r="G85" s="62">
        <f ca="1">G$65*INDEX(Assumptions!$B:$B,MATCH("Network ops &amp; G&amp;A (% of revenue)",Assumptions!$A$1:$A$327,0))</f>
        <v>2709.7692624384435</v>
      </c>
      <c r="H85" s="62">
        <f ca="1">H$65*INDEX(Assumptions!$B:$B,MATCH("Network ops &amp; G&amp;A (% of revenue)",Assumptions!$A$1:$A$327,0))</f>
        <v>4402.9914438138367</v>
      </c>
      <c r="I85" s="62">
        <f ca="1">I$65*INDEX(Assumptions!$B:$B,MATCH("Network ops &amp; G&amp;A (% of revenue)",Assumptions!$A$1:$A$327,0))</f>
        <v>5520.8952770971928</v>
      </c>
      <c r="J85" s="62">
        <f ca="1">J$65*INDEX(Assumptions!$B:$B,MATCH("Network ops &amp; G&amp;A (% of revenue)",Assumptions!$A$1:$A$327,0))</f>
        <v>6678.5064623661474</v>
      </c>
      <c r="K85" s="62">
        <f ca="1">K$65*INDEX(Assumptions!$B:$B,MATCH("Network ops &amp; G&amp;A (% of revenue)",Assumptions!$A$1:$A$327,0))</f>
        <v>6882.8847421662886</v>
      </c>
      <c r="L85" s="62">
        <f ca="1">L$65*INDEX(Assumptions!$B:$B,MATCH("Network ops &amp; G&amp;A (% of revenue)",Assumptions!$A$1:$A$327,0))</f>
        <v>7188.7319180776794</v>
      </c>
      <c r="M85" s="62">
        <f ca="1">M$65*INDEX(Assumptions!$B:$B,MATCH("Network ops &amp; G&amp;A (% of revenue)",Assumptions!$A$1:$A$327,0))</f>
        <v>7442.6371263028768</v>
      </c>
      <c r="N85" s="62">
        <f ca="1">N$65*INDEX(Assumptions!$B:$B,MATCH("Network ops &amp; G&amp;A (% of revenue)",Assumptions!$A$1:$A$327,0))</f>
        <v>8018.1861178489708</v>
      </c>
      <c r="O85" s="62">
        <f ca="1">O$65*INDEX(Assumptions!$B:$B,MATCH("Network ops &amp; G&amp;A (% of revenue)",Assumptions!$A$1:$A$327,0))</f>
        <v>8521.3983380048066</v>
      </c>
      <c r="P85" s="62">
        <f ca="1">P$65*INDEX(Assumptions!$B:$B,MATCH("Network ops &amp; G&amp;A (% of revenue)",Assumptions!$A$1:$A$327,0))</f>
        <v>9004.0099474716171</v>
      </c>
      <c r="Q85" s="62">
        <f ca="1">Q$65*INDEX(Assumptions!$B:$B,MATCH("Network ops &amp; G&amp;A (% of revenue)",Assumptions!$A$1:$A$327,0))</f>
        <v>9203.3499088731714</v>
      </c>
      <c r="R85" s="62">
        <f ca="1">R$65*INDEX(Assumptions!$B:$B,MATCH("Network ops &amp; G&amp;A (% of revenue)",Assumptions!$A$1:$A$327,0))</f>
        <v>9362.1626946312026</v>
      </c>
      <c r="S85" s="62">
        <f ca="1">S$65*INDEX(Assumptions!$B:$B,MATCH("Network ops &amp; G&amp;A (% of revenue)",Assumptions!$A$1:$A$327,0))</f>
        <v>9500.8894318524581</v>
      </c>
    </row>
    <row r="86" spans="1:19" x14ac:dyDescent="0.2">
      <c r="A86" s="22" t="s">
        <v>541</v>
      </c>
      <c r="B86" s="8"/>
      <c r="C86" s="8"/>
      <c r="D86" s="62">
        <f>D$65*INDEX(Assumptions!$B:$B,MATCH("Spectrum licence OpEx (% of revenue)",Assumptions!$A$1:$A$327,0))</f>
        <v>141.4286227946732</v>
      </c>
      <c r="E86" s="62">
        <f ca="1">E$65*INDEX(Assumptions!$B:$B,MATCH("Spectrum licence OpEx (% of revenue)",Assumptions!$A$1:$A$327,0))</f>
        <v>185.27586809723527</v>
      </c>
      <c r="F86" s="62">
        <f ca="1">F$65*INDEX(Assumptions!$B:$B,MATCH("Spectrum licence OpEx (% of revenue)",Assumptions!$A$1:$A$327,0))</f>
        <v>717.5097196649325</v>
      </c>
      <c r="G86" s="62">
        <f ca="1">G$65*INDEX(Assumptions!$B:$B,MATCH("Spectrum licence OpEx (% of revenue)",Assumptions!$A$1:$A$327,0))</f>
        <v>1409.0800164679906</v>
      </c>
      <c r="H86" s="62">
        <f ca="1">H$65*INDEX(Assumptions!$B:$B,MATCH("Spectrum licence OpEx (% of revenue)",Assumptions!$A$1:$A$327,0))</f>
        <v>2289.555550783195</v>
      </c>
      <c r="I86" s="62">
        <f ca="1">I$65*INDEX(Assumptions!$B:$B,MATCH("Spectrum licence OpEx (% of revenue)",Assumptions!$A$1:$A$327,0))</f>
        <v>2870.86554409054</v>
      </c>
      <c r="J86" s="62">
        <f ca="1">J$65*INDEX(Assumptions!$B:$B,MATCH("Spectrum licence OpEx (% of revenue)",Assumptions!$A$1:$A$327,0))</f>
        <v>3472.8233604303964</v>
      </c>
      <c r="K86" s="62">
        <f ca="1">K$65*INDEX(Assumptions!$B:$B,MATCH("Spectrum licence OpEx (% of revenue)",Assumptions!$A$1:$A$327,0))</f>
        <v>3579.1000659264696</v>
      </c>
      <c r="L86" s="62">
        <f ca="1">L$65*INDEX(Assumptions!$B:$B,MATCH("Spectrum licence OpEx (% of revenue)",Assumptions!$A$1:$A$327,0))</f>
        <v>3738.1405974003928</v>
      </c>
      <c r="M86" s="62">
        <f ca="1">M$65*INDEX(Assumptions!$B:$B,MATCH("Spectrum licence OpEx (% of revenue)",Assumptions!$A$1:$A$327,0))</f>
        <v>3870.1713056774956</v>
      </c>
      <c r="N86" s="62">
        <f ca="1">N$65*INDEX(Assumptions!$B:$B,MATCH("Spectrum licence OpEx (% of revenue)",Assumptions!$A$1:$A$327,0))</f>
        <v>4169.4567812814648</v>
      </c>
      <c r="O86" s="62">
        <f ca="1">O$65*INDEX(Assumptions!$B:$B,MATCH("Spectrum licence OpEx (% of revenue)",Assumptions!$A$1:$A$327,0))</f>
        <v>4431.1271357624983</v>
      </c>
      <c r="P86" s="62">
        <f ca="1">P$65*INDEX(Assumptions!$B:$B,MATCH("Spectrum licence OpEx (% of revenue)",Assumptions!$A$1:$A$327,0))</f>
        <v>4682.0851726852407</v>
      </c>
      <c r="Q86" s="62">
        <f ca="1">Q$65*INDEX(Assumptions!$B:$B,MATCH("Spectrum licence OpEx (% of revenue)",Assumptions!$A$1:$A$327,0))</f>
        <v>4785.7419526140484</v>
      </c>
      <c r="R86" s="62">
        <f ca="1">R$65*INDEX(Assumptions!$B:$B,MATCH("Spectrum licence OpEx (% of revenue)",Assumptions!$A$1:$A$327,0))</f>
        <v>4868.3246012082254</v>
      </c>
      <c r="S86" s="62">
        <f ca="1">S$65*INDEX(Assumptions!$B:$B,MATCH("Spectrum licence OpEx (% of revenue)",Assumptions!$A$1:$A$327,0))</f>
        <v>4940.4625045632774</v>
      </c>
    </row>
    <row r="87" spans="1:19" x14ac:dyDescent="0.2">
      <c r="A87" s="20" t="s">
        <v>1209</v>
      </c>
      <c r="B87" s="20"/>
      <c r="C87" s="20"/>
      <c r="D87" s="87">
        <f t="shared" ref="D87:S87" si="19">SUM(D83:D86)+D92</f>
        <v>1463.4400194184639</v>
      </c>
      <c r="E87" s="87">
        <f t="shared" ca="1" si="19"/>
        <v>1817.5896411165193</v>
      </c>
      <c r="F87" s="87">
        <f t="shared" ca="1" si="19"/>
        <v>6638.7296349937533</v>
      </c>
      <c r="G87" s="87">
        <f t="shared" ca="1" si="19"/>
        <v>12475.00087094925</v>
      </c>
      <c r="H87" s="87">
        <f t="shared" ca="1" si="19"/>
        <v>19397.444362113318</v>
      </c>
      <c r="I87" s="87">
        <f t="shared" ca="1" si="19"/>
        <v>23578.474978135186</v>
      </c>
      <c r="J87" s="87">
        <f t="shared" ca="1" si="19"/>
        <v>28285.811209642558</v>
      </c>
      <c r="K87" s="87">
        <f t="shared" ca="1" si="19"/>
        <v>29431.713409690692</v>
      </c>
      <c r="L87" s="87">
        <f t="shared" ca="1" si="19"/>
        <v>30775.962587128401</v>
      </c>
      <c r="M87" s="87">
        <f t="shared" ca="1" si="19"/>
        <v>31877.19931197754</v>
      </c>
      <c r="N87" s="87">
        <f t="shared" ca="1" si="19"/>
        <v>34253.187245349305</v>
      </c>
      <c r="O87" s="87">
        <f t="shared" ca="1" si="19"/>
        <v>36415.941639084216</v>
      </c>
      <c r="P87" s="87">
        <f t="shared" ca="1" si="19"/>
        <v>38494.28040445091</v>
      </c>
      <c r="Q87" s="87">
        <f t="shared" ca="1" si="19"/>
        <v>39435.95973817983</v>
      </c>
      <c r="R87" s="87">
        <f t="shared" ca="1" si="19"/>
        <v>40159.859539684738</v>
      </c>
      <c r="S87" s="87">
        <f t="shared" ca="1" si="19"/>
        <v>40773.032238825064</v>
      </c>
    </row>
    <row r="88" spans="1:19" x14ac:dyDescent="0.2">
      <c r="A88" s="20" t="s">
        <v>542</v>
      </c>
      <c r="B88" s="20"/>
      <c r="C88" s="20"/>
      <c r="D88" s="87">
        <f t="shared" ref="D88:S88" si="20">D79-D87</f>
        <v>5134.3930871413395</v>
      </c>
      <c r="E88" s="87">
        <f t="shared" ca="1" si="20"/>
        <v>8073.5104636064498</v>
      </c>
      <c r="F88" s="87">
        <f t="shared" ca="1" si="20"/>
        <v>29432.071532822265</v>
      </c>
      <c r="G88" s="87">
        <f t="shared" ca="1" si="20"/>
        <v>62820.536843513793</v>
      </c>
      <c r="H88" s="87">
        <f t="shared" ca="1" si="20"/>
        <v>109176.48865701581</v>
      </c>
      <c r="I88" s="87">
        <f t="shared" ca="1" si="20"/>
        <v>159019.52906140563</v>
      </c>
      <c r="J88" s="87">
        <f t="shared" ca="1" si="20"/>
        <v>198502.82221570471</v>
      </c>
      <c r="K88" s="87">
        <f t="shared" ca="1" si="20"/>
        <v>222817.46634811591</v>
      </c>
      <c r="L88" s="87">
        <f t="shared" ca="1" si="20"/>
        <v>235058.78240430384</v>
      </c>
      <c r="M88" s="87">
        <f t="shared" ca="1" si="20"/>
        <v>244070.92783549795</v>
      </c>
      <c r="N88" s="87">
        <f t="shared" ca="1" si="20"/>
        <v>257459.95124097724</v>
      </c>
      <c r="O88" s="87">
        <f t="shared" ca="1" si="20"/>
        <v>274071.98638407519</v>
      </c>
      <c r="P88" s="87">
        <f t="shared" ca="1" si="20"/>
        <v>291398.52802694606</v>
      </c>
      <c r="Q88" s="87">
        <f t="shared" ca="1" si="20"/>
        <v>304936.50432788982</v>
      </c>
      <c r="R88" s="87">
        <f t="shared" ca="1" si="20"/>
        <v>313837.84720812779</v>
      </c>
      <c r="S88" s="87">
        <f t="shared" ca="1" si="20"/>
        <v>320259.71139004925</v>
      </c>
    </row>
    <row r="89" spans="1:19" x14ac:dyDescent="0.2">
      <c r="A89" s="21" t="s">
        <v>543</v>
      </c>
      <c r="B89" s="20"/>
      <c r="C89" s="20"/>
      <c r="D89" s="88">
        <f t="shared" ref="D89:S89" si="21">IFERROR(D88/D65,0)</f>
        <v>0.47194909215612751</v>
      </c>
      <c r="E89" s="89">
        <f t="shared" ca="1" si="21"/>
        <v>0.56648303475659179</v>
      </c>
      <c r="F89" s="89">
        <f t="shared" ca="1" si="21"/>
        <v>0.53325679003396143</v>
      </c>
      <c r="G89" s="89">
        <f t="shared" ca="1" si="21"/>
        <v>0.57957459436032754</v>
      </c>
      <c r="H89" s="89">
        <f t="shared" ca="1" si="21"/>
        <v>0.61989950497410007</v>
      </c>
      <c r="I89" s="89">
        <f t="shared" ca="1" si="21"/>
        <v>0.72008035418222882</v>
      </c>
      <c r="J89" s="89">
        <f t="shared" ca="1" si="21"/>
        <v>0.74306592100450175</v>
      </c>
      <c r="K89" s="89">
        <f t="shared" ca="1" si="21"/>
        <v>0.80931714933086085</v>
      </c>
      <c r="L89" s="89">
        <f t="shared" ca="1" si="21"/>
        <v>0.81745565519419294</v>
      </c>
      <c r="M89" s="89">
        <f t="shared" ca="1" si="21"/>
        <v>0.81984021151901831</v>
      </c>
      <c r="N89" s="89">
        <f t="shared" ca="1" si="21"/>
        <v>0.80273751275196681</v>
      </c>
      <c r="O89" s="89">
        <f t="shared" ca="1" si="21"/>
        <v>0.8040698706740842</v>
      </c>
      <c r="P89" s="89">
        <f t="shared" ca="1" si="21"/>
        <v>0.80907987032147988</v>
      </c>
      <c r="Q89" s="89">
        <f t="shared" ca="1" si="21"/>
        <v>0.82833019321011903</v>
      </c>
      <c r="R89" s="89">
        <f t="shared" ca="1" si="21"/>
        <v>0.83804847620331435</v>
      </c>
      <c r="S89" s="89">
        <f t="shared" ca="1" si="21"/>
        <v>0.84270981597879169</v>
      </c>
    </row>
    <row r="90" spans="1:19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x14ac:dyDescent="0.2">
      <c r="A91" s="18" t="s">
        <v>1210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</row>
    <row r="92" spans="1:19" x14ac:dyDescent="0.2">
      <c r="A92" s="20" t="s">
        <v>1308</v>
      </c>
      <c r="B92" s="20"/>
      <c r="C92" s="20"/>
      <c r="D92" s="90">
        <f>D$65*MAX(INDEX(Assumptions!$B:$B,MATCH("Starlink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(taper)",Assumptions!$A$1:$A$327,0)))^D$5)</f>
        <v>576.5936160090522</v>
      </c>
      <c r="E92" s="90">
        <f ca="1">E$65*MAX(INDEX(Assumptions!$B:$B,MATCH("Starlink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(taper)",Assumptions!$A$1:$A$327,0)))^E$5)</f>
        <v>679.81991601831714</v>
      </c>
      <c r="F92" s="90">
        <f ca="1">F$65*MAX(INDEX(Assumptions!$B:$B,MATCH("Starlink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(taper)",Assumptions!$A$1:$A$327,0)))^F$5)</f>
        <v>2369.4378665550425</v>
      </c>
      <c r="G92" s="90">
        <f ca="1">G$65*MAX(INDEX(Assumptions!$B:$B,MATCH("Starlink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(taper)",Assumptions!$A$1:$A$327,0)))^G$5)</f>
        <v>4187.8941997133661</v>
      </c>
      <c r="H92" s="90">
        <f ca="1">H$65*MAX(INDEX(Assumptions!$B:$B,MATCH("Starlink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(taper)",Assumptions!$A$1:$A$327,0)))^H$5)</f>
        <v>6124.2616949268686</v>
      </c>
      <c r="I92" s="90">
        <f ca="1">I$65*MAX(INDEX(Assumptions!$B:$B,MATCH("Starlink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(taper)",Assumptions!$A$1:$A$327,0)))^I$5)</f>
        <v>6911.2709186070188</v>
      </c>
      <c r="J92" s="90">
        <f ca="1">J$65*MAX(INDEX(Assumptions!$B:$B,MATCH("Starlink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(taper)",Assumptions!$A$1:$A$327,0)))^J$5)</f>
        <v>8014.2077548393763</v>
      </c>
      <c r="K92" s="90">
        <f ca="1">K$65*MAX(INDEX(Assumptions!$B:$B,MATCH("Starlink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(taper)",Assumptions!$A$1:$A$327,0)))^K$5)</f>
        <v>8259.4616905995463</v>
      </c>
      <c r="L92" s="90">
        <f ca="1">L$65*MAX(INDEX(Assumptions!$B:$B,MATCH("Starlink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(taper)",Assumptions!$A$1:$A$327,0)))^L$5)</f>
        <v>8626.4783016932142</v>
      </c>
      <c r="M92" s="90">
        <f ca="1">M$65*MAX(INDEX(Assumptions!$B:$B,MATCH("Starlink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(taper)",Assumptions!$A$1:$A$327,0)))^M$5)</f>
        <v>8931.1645515634518</v>
      </c>
      <c r="N92" s="90">
        <f ca="1">N$65*MAX(INDEX(Assumptions!$B:$B,MATCH("Starlink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(taper)",Assumptions!$A$1:$A$327,0)))^N$5)</f>
        <v>9621.8233414187653</v>
      </c>
      <c r="O92" s="90">
        <f ca="1">O$65*MAX(INDEX(Assumptions!$B:$B,MATCH("Starlink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(taper)",Assumptions!$A$1:$A$327,0)))^O$5)</f>
        <v>10225.678005605767</v>
      </c>
      <c r="P92" s="90">
        <f ca="1">P$65*MAX(INDEX(Assumptions!$B:$B,MATCH("Starlink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(taper)",Assumptions!$A$1:$A$327,0)))^P$5)</f>
        <v>10804.81193696594</v>
      </c>
      <c r="Q92" s="90">
        <f ca="1">Q$65*MAX(INDEX(Assumptions!$B:$B,MATCH("Starlink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(taper)",Assumptions!$A$1:$A$327,0)))^Q$5)</f>
        <v>11044.019890647805</v>
      </c>
      <c r="R92" s="90">
        <f ca="1">R$65*MAX(INDEX(Assumptions!$B:$B,MATCH("Starlink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(taper)",Assumptions!$A$1:$A$327,0)))^R$5)</f>
        <v>11234.595233557442</v>
      </c>
      <c r="S92" s="90">
        <f ca="1">S$65*MAX(INDEX(Assumptions!$B:$B,MATCH("Starlink R&amp;D: end-state % (floor)",Assumptions!$A$1:$A$327,0)), INDEX(Assumptions!$B:$B,MATCH("Starlink R&amp;D: start % of (Starlink+Starshield) rev",Assumptions!$A$1:$A$327,0))*(1+INDEX(Assumptions!$B:$B,MATCH("Starlink R&amp;D: CAGR (taper)",Assumptions!$A$1:$A$327,0)))^S$5)</f>
        <v>11401.067318222948</v>
      </c>
    </row>
    <row r="93" spans="1:19" x14ac:dyDescent="0.2">
      <c r="A93" s="22" t="s">
        <v>545</v>
      </c>
      <c r="B93" s="8"/>
      <c r="C93" s="8"/>
      <c r="D93" s="62">
        <f>(D$40*INDEX(Assumptions!$B:$B,MATCH("Legacy V1 sat mass (kg)",Assumptions!$A$1:$A$327,0)) + D$41*INDEX(Assumptions!$B:$B,MATCH("Legacy V1.5 sat mass (kg)",Assumptions!$A$1:$A$327,0)) + D$42*INDEX(Assumptions!$B:$B,MATCH("V2 BB sat mass (kg)",Assumptions!$A$1:$A$327,0)) + D$43*INDEX(Assumptions!$B:$B,MATCH("V3 BB sat mass (kg)",Assumptions!$A$1:$A$327,0)) + D$52*INDEX(Assumptions!$B:$B,MATCH("V2 DTC sat mass (kg)",Assumptions!$A$1:$A$327,0)) + D$53*INDEX(Assumptions!$B:$B,MATCH("V3 DTC sat mass (kg)",Assumptions!$A$1:$A$327,0)) + D$135*INDEX(Assumptions!$B:$B,MATCH("Starshield sat mass (kg)",Assumptions!$A$1:$A$327,0)))*INDEX(Assumptions!$B:$B,MATCH("Satellite Dep per kg: base year ($/kg/yr)",Assumptions!$A$1:$A$327,0))/1000000</f>
        <v>550.58483760000001</v>
      </c>
      <c r="E93" s="62">
        <f ca="1">(E$40*INDEX(Assumptions!$B:$B,MATCH("Legacy V1 sat mass (kg)",Assumptions!$A$1:$A$327,0)) + E$41*INDEX(Assumptions!$B:$B,MATCH("Legacy V1.5 sat mass (kg)",Assumptions!$A$1:$A$327,0)) + E$42*INDEX(Assumptions!$B:$B,MATCH("V2 BB sat mass (kg)",Assumptions!$A$1:$A$327,0)) + E$43*INDEX(Assumptions!$B:$B,MATCH("V3 BB sat mass (kg)",Assumptions!$A$1:$A$327,0)) + E$52*INDEX(Assumptions!$B:$B,MATCH("V2 DTC sat mass (kg)",Assumptions!$A$1:$A$327,0)) + E$53*INDEX(Assumptions!$B:$B,MATCH("V3 DTC sat mass (kg)",Assumptions!$A$1:$A$327,0)) + E$135*INDEX(Assumptions!$B:$B,MATCH("Starshield sat mass (kg)",Assumptions!$A$1:$A$327,0)))*INDEX(Assumptions!$B:$B,MATCH("Satellite Dep per kg: base year ($/kg/yr)",Assumptions!$A$1:$A$327,0))/1000000</f>
        <v>717.28501040000015</v>
      </c>
      <c r="F93" s="62">
        <f ca="1">(F$40*INDEX(Assumptions!$B:$B,MATCH("Legacy V1 sat mass (kg)",Assumptions!$A$1:$A$327,0)) + F$41*INDEX(Assumptions!$B:$B,MATCH("Legacy V1.5 sat mass (kg)",Assumptions!$A$1:$A$327,0)) + F$42*INDEX(Assumptions!$B:$B,MATCH("V2 BB sat mass (kg)",Assumptions!$A$1:$A$327,0)) + F$43*INDEX(Assumptions!$B:$B,MATCH("V3 BB sat mass (kg)",Assumptions!$A$1:$A$327,0)) + F$52*INDEX(Assumptions!$B:$B,MATCH("V2 DTC sat mass (kg)",Assumptions!$A$1:$A$327,0)) + F$53*INDEX(Assumptions!$B:$B,MATCH("V3 DTC sat mass (kg)",Assumptions!$A$1:$A$327,0)) + F$135*INDEX(Assumptions!$B:$B,MATCH("Starshield sat mass (kg)",Assumptions!$A$1:$A$327,0)))*INDEX(Assumptions!$B:$B,MATCH("Satellite Dep per kg: base year ($/kg/yr)",Assumptions!$A$1:$A$327,0))/1000000</f>
        <v>1691.3848046062224</v>
      </c>
      <c r="G93" s="62">
        <f ca="1">(G$40*INDEX(Assumptions!$B:$B,MATCH("Legacy V1 sat mass (kg)",Assumptions!$A$1:$A$327,0)) + G$41*INDEX(Assumptions!$B:$B,MATCH("Legacy V1.5 sat mass (kg)",Assumptions!$A$1:$A$327,0)) + G$42*INDEX(Assumptions!$B:$B,MATCH("V2 BB sat mass (kg)",Assumptions!$A$1:$A$327,0)) + G$43*INDEX(Assumptions!$B:$B,MATCH("V3 BB sat mass (kg)",Assumptions!$A$1:$A$327,0)) + G$52*INDEX(Assumptions!$B:$B,MATCH("V2 DTC sat mass (kg)",Assumptions!$A$1:$A$327,0)) + G$53*INDEX(Assumptions!$B:$B,MATCH("V3 DTC sat mass (kg)",Assumptions!$A$1:$A$327,0)) + G$135*INDEX(Assumptions!$B:$B,MATCH("Starshield sat mass (kg)",Assumptions!$A$1:$A$327,0)))*INDEX(Assumptions!$B:$B,MATCH("Satellite Dep per kg: base year ($/kg/yr)",Assumptions!$A$1:$A$327,0))/1000000</f>
        <v>3996.045183372782</v>
      </c>
      <c r="H93" s="62">
        <f ca="1">(H$40*INDEX(Assumptions!$B:$B,MATCH("Legacy V1 sat mass (kg)",Assumptions!$A$1:$A$327,0)) + H$41*INDEX(Assumptions!$B:$B,MATCH("Legacy V1.5 sat mass (kg)",Assumptions!$A$1:$A$327,0)) + H$42*INDEX(Assumptions!$B:$B,MATCH("V2 BB sat mass (kg)",Assumptions!$A$1:$A$327,0)) + H$43*INDEX(Assumptions!$B:$B,MATCH("V3 BB sat mass (kg)",Assumptions!$A$1:$A$327,0)) + H$52*INDEX(Assumptions!$B:$B,MATCH("V2 DTC sat mass (kg)",Assumptions!$A$1:$A$327,0)) + H$53*INDEX(Assumptions!$B:$B,MATCH("V3 DTC sat mass (kg)",Assumptions!$A$1:$A$327,0)) + H$135*INDEX(Assumptions!$B:$B,MATCH("Starshield sat mass (kg)",Assumptions!$A$1:$A$327,0)))*INDEX(Assumptions!$B:$B,MATCH("Satellite Dep per kg: base year ($/kg/yr)",Assumptions!$A$1:$A$327,0))/1000000</f>
        <v>9776.5298558900795</v>
      </c>
      <c r="I93" s="62">
        <f ca="1">(I$40*INDEX(Assumptions!$B:$B,MATCH("Legacy V1 sat mass (kg)",Assumptions!$A$1:$A$327,0)) + I$41*INDEX(Assumptions!$B:$B,MATCH("Legacy V1.5 sat mass (kg)",Assumptions!$A$1:$A$327,0)) + I$42*INDEX(Assumptions!$B:$B,MATCH("V2 BB sat mass (kg)",Assumptions!$A$1:$A$327,0)) + I$43*INDEX(Assumptions!$B:$B,MATCH("V3 BB sat mass (kg)",Assumptions!$A$1:$A$327,0)) + I$52*INDEX(Assumptions!$B:$B,MATCH("V2 DTC sat mass (kg)",Assumptions!$A$1:$A$327,0)) + I$53*INDEX(Assumptions!$B:$B,MATCH("V3 DTC sat mass (kg)",Assumptions!$A$1:$A$327,0)) + I$135*INDEX(Assumptions!$B:$B,MATCH("Starshield sat mass (kg)",Assumptions!$A$1:$A$327,0)))*INDEX(Assumptions!$B:$B,MATCH("Satellite Dep per kg: base year ($/kg/yr)",Assumptions!$A$1:$A$327,0))/1000000</f>
        <v>18679.536824453855</v>
      </c>
      <c r="J93" s="62">
        <f ca="1">(J$40*INDEX(Assumptions!$B:$B,MATCH("Legacy V1 sat mass (kg)",Assumptions!$A$1:$A$327,0)) + J$41*INDEX(Assumptions!$B:$B,MATCH("Legacy V1.5 sat mass (kg)",Assumptions!$A$1:$A$327,0)) + J$42*INDEX(Assumptions!$B:$B,MATCH("V2 BB sat mass (kg)",Assumptions!$A$1:$A$327,0)) + J$43*INDEX(Assumptions!$B:$B,MATCH("V3 BB sat mass (kg)",Assumptions!$A$1:$A$327,0)) + J$52*INDEX(Assumptions!$B:$B,MATCH("V2 DTC sat mass (kg)",Assumptions!$A$1:$A$327,0)) + J$53*INDEX(Assumptions!$B:$B,MATCH("V3 DTC sat mass (kg)",Assumptions!$A$1:$A$327,0)) + J$135*INDEX(Assumptions!$B:$B,MATCH("Starshield sat mass (kg)",Assumptions!$A$1:$A$327,0)))*INDEX(Assumptions!$B:$B,MATCH("Satellite Dep per kg: base year ($/kg/yr)",Assumptions!$A$1:$A$327,0))/1000000</f>
        <v>32836.569600530041</v>
      </c>
      <c r="K93" s="62">
        <f ca="1">(K$40*INDEX(Assumptions!$B:$B,MATCH("Legacy V1 sat mass (kg)",Assumptions!$A$1:$A$327,0)) + K$41*INDEX(Assumptions!$B:$B,MATCH("Legacy V1.5 sat mass (kg)",Assumptions!$A$1:$A$327,0)) + K$42*INDEX(Assumptions!$B:$B,MATCH("V2 BB sat mass (kg)",Assumptions!$A$1:$A$327,0)) + K$43*INDEX(Assumptions!$B:$B,MATCH("V3 BB sat mass (kg)",Assumptions!$A$1:$A$327,0)) + K$52*INDEX(Assumptions!$B:$B,MATCH("V2 DTC sat mass (kg)",Assumptions!$A$1:$A$327,0)) + K$53*INDEX(Assumptions!$B:$B,MATCH("V3 DTC sat mass (kg)",Assumptions!$A$1:$A$327,0)) + K$135*INDEX(Assumptions!$B:$B,MATCH("Starshield sat mass (kg)",Assumptions!$A$1:$A$327,0)))*INDEX(Assumptions!$B:$B,MATCH("Satellite Dep per kg: base year ($/kg/yr)",Assumptions!$A$1:$A$327,0))/1000000</f>
        <v>42029.665962847947</v>
      </c>
      <c r="L93" s="62">
        <f ca="1">(L$40*INDEX(Assumptions!$B:$B,MATCH("Legacy V1 sat mass (kg)",Assumptions!$A$1:$A$327,0)) + L$41*INDEX(Assumptions!$B:$B,MATCH("Legacy V1.5 sat mass (kg)",Assumptions!$A$1:$A$327,0)) + L$42*INDEX(Assumptions!$B:$B,MATCH("V2 BB sat mass (kg)",Assumptions!$A$1:$A$327,0)) + L$43*INDEX(Assumptions!$B:$B,MATCH("V3 BB sat mass (kg)",Assumptions!$A$1:$A$327,0)) + L$52*INDEX(Assumptions!$B:$B,MATCH("V2 DTC sat mass (kg)",Assumptions!$A$1:$A$327,0)) + L$53*INDEX(Assumptions!$B:$B,MATCH("V3 DTC sat mass (kg)",Assumptions!$A$1:$A$327,0)) + L$135*INDEX(Assumptions!$B:$B,MATCH("Starshield sat mass (kg)",Assumptions!$A$1:$A$327,0)))*INDEX(Assumptions!$B:$B,MATCH("Satellite Dep per kg: base year ($/kg/yr)",Assumptions!$A$1:$A$327,0))/1000000</f>
        <v>51966.993850146209</v>
      </c>
      <c r="M93" s="62">
        <f ca="1">(M$40*INDEX(Assumptions!$B:$B,MATCH("Legacy V1 sat mass (kg)",Assumptions!$A$1:$A$327,0)) + M$41*INDEX(Assumptions!$B:$B,MATCH("Legacy V1.5 sat mass (kg)",Assumptions!$A$1:$A$327,0)) + M$42*INDEX(Assumptions!$B:$B,MATCH("V2 BB sat mass (kg)",Assumptions!$A$1:$A$327,0)) + M$43*INDEX(Assumptions!$B:$B,MATCH("V3 BB sat mass (kg)",Assumptions!$A$1:$A$327,0)) + M$52*INDEX(Assumptions!$B:$B,MATCH("V2 DTC sat mass (kg)",Assumptions!$A$1:$A$327,0)) + M$53*INDEX(Assumptions!$B:$B,MATCH("V3 DTC sat mass (kg)",Assumptions!$A$1:$A$327,0)) + M$135*INDEX(Assumptions!$B:$B,MATCH("Starshield sat mass (kg)",Assumptions!$A$1:$A$327,0)))*INDEX(Assumptions!$B:$B,MATCH("Satellite Dep per kg: base year ($/kg/yr)",Assumptions!$A$1:$A$327,0))/1000000</f>
        <v>63922.981021166073</v>
      </c>
      <c r="N93" s="62">
        <f ca="1">(N$40*INDEX(Assumptions!$B:$B,MATCH("Legacy V1 sat mass (kg)",Assumptions!$A$1:$A$327,0)) + N$41*INDEX(Assumptions!$B:$B,MATCH("Legacy V1.5 sat mass (kg)",Assumptions!$A$1:$A$327,0)) + N$42*INDEX(Assumptions!$B:$B,MATCH("V2 BB sat mass (kg)",Assumptions!$A$1:$A$327,0)) + N$43*INDEX(Assumptions!$B:$B,MATCH("V3 BB sat mass (kg)",Assumptions!$A$1:$A$327,0)) + N$52*INDEX(Assumptions!$B:$B,MATCH("V2 DTC sat mass (kg)",Assumptions!$A$1:$A$327,0)) + N$53*INDEX(Assumptions!$B:$B,MATCH("V3 DTC sat mass (kg)",Assumptions!$A$1:$A$327,0)) + N$135*INDEX(Assumptions!$B:$B,MATCH("Starshield sat mass (kg)",Assumptions!$A$1:$A$327,0)))*INDEX(Assumptions!$B:$B,MATCH("Satellite Dep per kg: base year ($/kg/yr)",Assumptions!$A$1:$A$327,0))/1000000</f>
        <v>76032.637248043902</v>
      </c>
      <c r="O93" s="62">
        <f ca="1">(O$40*INDEX(Assumptions!$B:$B,MATCH("Legacy V1 sat mass (kg)",Assumptions!$A$1:$A$327,0)) + O$41*INDEX(Assumptions!$B:$B,MATCH("Legacy V1.5 sat mass (kg)",Assumptions!$A$1:$A$327,0)) + O$42*INDEX(Assumptions!$B:$B,MATCH("V2 BB sat mass (kg)",Assumptions!$A$1:$A$327,0)) + O$43*INDEX(Assumptions!$B:$B,MATCH("V3 BB sat mass (kg)",Assumptions!$A$1:$A$327,0)) + O$52*INDEX(Assumptions!$B:$B,MATCH("V2 DTC sat mass (kg)",Assumptions!$A$1:$A$327,0)) + O$53*INDEX(Assumptions!$B:$B,MATCH("V3 DTC sat mass (kg)",Assumptions!$A$1:$A$327,0)) + O$135*INDEX(Assumptions!$B:$B,MATCH("Starshield sat mass (kg)",Assumptions!$A$1:$A$327,0)))*INDEX(Assumptions!$B:$B,MATCH("Satellite Dep per kg: base year ($/kg/yr)",Assumptions!$A$1:$A$327,0))/1000000</f>
        <v>91153.504531885934</v>
      </c>
      <c r="P93" s="62">
        <f ca="1">(P$40*INDEX(Assumptions!$B:$B,MATCH("Legacy V1 sat mass (kg)",Assumptions!$A$1:$A$327,0)) + P$41*INDEX(Assumptions!$B:$B,MATCH("Legacy V1.5 sat mass (kg)",Assumptions!$A$1:$A$327,0)) + P$42*INDEX(Assumptions!$B:$B,MATCH("V2 BB sat mass (kg)",Assumptions!$A$1:$A$327,0)) + P$43*INDEX(Assumptions!$B:$B,MATCH("V3 BB sat mass (kg)",Assumptions!$A$1:$A$327,0)) + P$52*INDEX(Assumptions!$B:$B,MATCH("V2 DTC sat mass (kg)",Assumptions!$A$1:$A$327,0)) + P$53*INDEX(Assumptions!$B:$B,MATCH("V3 DTC sat mass (kg)",Assumptions!$A$1:$A$327,0)) + P$135*INDEX(Assumptions!$B:$B,MATCH("Starshield sat mass (kg)",Assumptions!$A$1:$A$327,0)))*INDEX(Assumptions!$B:$B,MATCH("Satellite Dep per kg: base year ($/kg/yr)",Assumptions!$A$1:$A$327,0))/1000000</f>
        <v>107089.66122711953</v>
      </c>
      <c r="Q93" s="62">
        <f ca="1">(Q$40*INDEX(Assumptions!$B:$B,MATCH("Legacy V1 sat mass (kg)",Assumptions!$A$1:$A$327,0)) + Q$41*INDEX(Assumptions!$B:$B,MATCH("Legacy V1.5 sat mass (kg)",Assumptions!$A$1:$A$327,0)) + Q$42*INDEX(Assumptions!$B:$B,MATCH("V2 BB sat mass (kg)",Assumptions!$A$1:$A$327,0)) + Q$43*INDEX(Assumptions!$B:$B,MATCH("V3 BB sat mass (kg)",Assumptions!$A$1:$A$327,0)) + Q$52*INDEX(Assumptions!$B:$B,MATCH("V2 DTC sat mass (kg)",Assumptions!$A$1:$A$327,0)) + Q$53*INDEX(Assumptions!$B:$B,MATCH("V3 DTC sat mass (kg)",Assumptions!$A$1:$A$327,0)) + Q$135*INDEX(Assumptions!$B:$B,MATCH("Starshield sat mass (kg)",Assumptions!$A$1:$A$327,0)))*INDEX(Assumptions!$B:$B,MATCH("Satellite Dep per kg: base year ($/kg/yr)",Assumptions!$A$1:$A$327,0))/1000000</f>
        <v>109219.80269397509</v>
      </c>
      <c r="R93" s="62">
        <f ca="1">(R$40*INDEX(Assumptions!$B:$B,MATCH("Legacy V1 sat mass (kg)",Assumptions!$A$1:$A$327,0)) + R$41*INDEX(Assumptions!$B:$B,MATCH("Legacy V1.5 sat mass (kg)",Assumptions!$A$1:$A$327,0)) + R$42*INDEX(Assumptions!$B:$B,MATCH("V2 BB sat mass (kg)",Assumptions!$A$1:$A$327,0)) + R$43*INDEX(Assumptions!$B:$B,MATCH("V3 BB sat mass (kg)",Assumptions!$A$1:$A$327,0)) + R$52*INDEX(Assumptions!$B:$B,MATCH("V2 DTC sat mass (kg)",Assumptions!$A$1:$A$327,0)) + R$53*INDEX(Assumptions!$B:$B,MATCH("V3 DTC sat mass (kg)",Assumptions!$A$1:$A$327,0)) + R$135*INDEX(Assumptions!$B:$B,MATCH("Starshield sat mass (kg)",Assumptions!$A$1:$A$327,0)))*INDEX(Assumptions!$B:$B,MATCH("Satellite Dep per kg: base year ($/kg/yr)",Assumptions!$A$1:$A$327,0))/1000000</f>
        <v>101327.35843977753</v>
      </c>
      <c r="S93" s="62">
        <f ca="1">(S$40*INDEX(Assumptions!$B:$B,MATCH("Legacy V1 sat mass (kg)",Assumptions!$A$1:$A$327,0)) + S$41*INDEX(Assumptions!$B:$B,MATCH("Legacy V1.5 sat mass (kg)",Assumptions!$A$1:$A$327,0)) + S$42*INDEX(Assumptions!$B:$B,MATCH("V2 BB sat mass (kg)",Assumptions!$A$1:$A$327,0)) + S$43*INDEX(Assumptions!$B:$B,MATCH("V3 BB sat mass (kg)",Assumptions!$A$1:$A$327,0)) + S$52*INDEX(Assumptions!$B:$B,MATCH("V2 DTC sat mass (kg)",Assumptions!$A$1:$A$327,0)) + S$53*INDEX(Assumptions!$B:$B,MATCH("V3 DTC sat mass (kg)",Assumptions!$A$1:$A$327,0)) + S$135*INDEX(Assumptions!$B:$B,MATCH("Starshield sat mass (kg)",Assumptions!$A$1:$A$327,0)))*INDEX(Assumptions!$B:$B,MATCH("Satellite Dep per kg: base year ($/kg/yr)",Assumptions!$A$1:$A$327,0))/1000000</f>
        <v>90344.105671027588</v>
      </c>
    </row>
    <row r="94" spans="1:19" x14ac:dyDescent="0.2">
      <c r="A94" s="22" t="s">
        <v>546</v>
      </c>
      <c r="B94" s="8"/>
      <c r="C94" s="8"/>
      <c r="D94" s="62">
        <f ca="1">MIN(SUM($D$103:D103), SUM($D$103:D103)/IFERROR(INDEX(Assumptions!$B:$B,MATCH("F9 booster economic life (years)",Assumptions!$A$1:$A$327,0)),8))</f>
        <v>25.538461538461537</v>
      </c>
      <c r="E94" s="62">
        <f ca="1">MIN(SUM($D$103:E103), SUM($D$103:E103)/IFERROR(INDEX(Assumptions!$B:$B,MATCH("F9 booster economic life (years)",Assumptions!$A$1:$A$327,0)),8))</f>
        <v>43.814137214137212</v>
      </c>
      <c r="F94" s="62">
        <f ca="1">MIN(SUM($D$103:F103), SUM($D$103:F103)/IFERROR(INDEX(Assumptions!$B:$B,MATCH("F9 booster economic life (years)",Assumptions!$A$1:$A$327,0)),8))</f>
        <v>198.66393709654906</v>
      </c>
      <c r="G94" s="62">
        <f ca="1">MIN(SUM($D$103:G103), SUM($D$103:G103)/IFERROR(INDEX(Assumptions!$B:$B,MATCH("F9 booster economic life (years)",Assumptions!$A$1:$A$327,0)),8))</f>
        <v>425.24616124215595</v>
      </c>
      <c r="H94" s="62">
        <f ca="1">MIN(SUM($D$103:H103), SUM($D$103:H103)/IFERROR(INDEX(Assumptions!$B:$B,MATCH("F9 booster economic life (years)",Assumptions!$A$1:$A$327,0)),8))</f>
        <v>709.81505302687992</v>
      </c>
      <c r="I94" s="62">
        <f ca="1">MIN(SUM($D$103:I103), SUM($D$103:I103)/IFERROR(INDEX(Assumptions!$B:$B,MATCH("F9 booster economic life (years)",Assumptions!$A$1:$A$327,0)),8))</f>
        <v>986.78600628000243</v>
      </c>
      <c r="J94" s="62">
        <f ca="1">MIN(SUM($D$103:J103), SUM($D$103:J103)/IFERROR(INDEX(Assumptions!$B:$B,MATCH("F9 booster economic life (years)",Assumptions!$A$1:$A$327,0)),8))</f>
        <v>1318.5857056825553</v>
      </c>
      <c r="K94" s="62">
        <f ca="1">MIN(SUM($D$103:K103), SUM($D$103:K103)/IFERROR(INDEX(Assumptions!$B:$B,MATCH("F9 booster economic life (years)",Assumptions!$A$1:$A$327,0)),8))</f>
        <v>1405.1215028922327</v>
      </c>
      <c r="L94" s="62">
        <f ca="1">MIN(SUM($D$103:L103), SUM($D$103:L103)/IFERROR(INDEX(Assumptions!$B:$B,MATCH("F9 booster economic life (years)",Assumptions!$A$1:$A$327,0)),8))</f>
        <v>1485.1784976451609</v>
      </c>
      <c r="M94" s="62">
        <f ca="1">MIN(SUM($D$103:M103), SUM($D$103:M103)/IFERROR(INDEX(Assumptions!$B:$B,MATCH("F9 booster economic life (years)",Assumptions!$A$1:$A$327,0)),8))</f>
        <v>1513.3130225954517</v>
      </c>
      <c r="N94" s="62">
        <f ca="1">MIN(SUM($D$103:N103), SUM($D$103:N103)/IFERROR(INDEX(Assumptions!$B:$B,MATCH("F9 booster economic life (years)",Assumptions!$A$1:$A$327,0)),8))</f>
        <v>1556.8010444052509</v>
      </c>
      <c r="O94" s="62">
        <f ca="1">MIN(SUM($D$103:O103), SUM($D$103:O103)/IFERROR(INDEX(Assumptions!$B:$B,MATCH("F9 booster economic life (years)",Assumptions!$A$1:$A$327,0)),8))</f>
        <v>1613.4174994815016</v>
      </c>
      <c r="P94" s="62">
        <f ca="1">MIN(SUM($D$103:P103), SUM($D$103:P103)/IFERROR(INDEX(Assumptions!$B:$B,MATCH("F9 booster economic life (years)",Assumptions!$A$1:$A$327,0)),8))</f>
        <v>1647.0215320783727</v>
      </c>
      <c r="Q94" s="62">
        <f ca="1">MIN(SUM($D$103:Q103), SUM($D$103:Q103)/IFERROR(INDEX(Assumptions!$B:$B,MATCH("F9 booster economic life (years)",Assumptions!$A$1:$A$327,0)),8))</f>
        <v>1656.3884126952144</v>
      </c>
      <c r="R94" s="62">
        <f ca="1">MIN(SUM($D$103:R103), SUM($D$103:R103)/IFERROR(INDEX(Assumptions!$B:$B,MATCH("F9 booster economic life (years)",Assumptions!$A$1:$A$327,0)),8))</f>
        <v>1681.3038241182931</v>
      </c>
      <c r="S94" s="62">
        <f ca="1">MIN(SUM($D$103:S103), SUM($D$103:S103)/IFERROR(INDEX(Assumptions!$B:$B,MATCH("F9 booster economic life (years)",Assumptions!$A$1:$A$327,0)),8))</f>
        <v>1735.3982751316582</v>
      </c>
    </row>
    <row r="95" spans="1:19" x14ac:dyDescent="0.2">
      <c r="A95" s="24" t="s">
        <v>547</v>
      </c>
      <c r="B95" s="8"/>
      <c r="C95" s="8"/>
      <c r="D95" s="171">
        <f t="array" aca="1" ref="D95" ca="1">IFERROR((D$69+D$70)/((D$69+D$70)+(INDEX('Customer Launch'!$D:$AC,MATCH("F9 customer launches per year",'Customer Launch'!$A$1:$A$153,0),D$5+1)+INDEX('Customer Launch'!$D:$AC,MATCH("Starship customer launches per year",'Customer Launch'!$A$1:$A$153,0),D$5+1))),0)</f>
        <v>0.85128205128205126</v>
      </c>
      <c r="E95" s="161">
        <f t="array" aca="1" ref="E95" ca="1">IFERROR((E$69+E$70)/((E$69+E$70)+(INDEX('Customer Launch'!$D:$AC,MATCH("F9 customer launches per year",'Customer Launch'!$A$1:$A$153,0),E$5+1)+INDEX('Customer Launch'!$D:$AC,MATCH("Starship customer launches per year",'Customer Launch'!$A$1:$A$153,0),E$5+1))),0)</f>
        <v>0.6216216216216216</v>
      </c>
      <c r="F95" s="161">
        <f t="array" aca="1" ref="F95" ca="1">IFERROR((F$69+F$70)/((F$69+F$70)+(INDEX('Customer Launch'!$D:$AC,MATCH("F9 customer launches per year",'Customer Launch'!$A$1:$A$153,0),F$5+1)+INDEX('Customer Launch'!$D:$AC,MATCH("Starship customer launches per year",'Customer Launch'!$A$1:$A$153,0),F$5+1))),0)</f>
        <v>0.23353252602431057</v>
      </c>
      <c r="G95" s="161">
        <f t="array" aca="1" ref="G95" ca="1">IFERROR((G$69+G$70)/((G$69+G$70)+(INDEX('Customer Launch'!$D:$AC,MATCH("F9 customer launches per year",'Customer Launch'!$A$1:$A$153,0),G$5+1)+INDEX('Customer Launch'!$D:$AC,MATCH("Starship customer launches per year",'Customer Launch'!$A$1:$A$153,0),G$5+1))),0)</f>
        <v>0.3668185500312599</v>
      </c>
      <c r="H95" s="161">
        <f t="array" aca="1" ref="H95" ca="1">IFERROR((H$69+H$70)/((H$69+H$70)+(INDEX('Customer Launch'!$D:$AC,MATCH("F9 customer launches per year",'Customer Launch'!$A$1:$A$153,0),H$5+1)+INDEX('Customer Launch'!$D:$AC,MATCH("Starship customer launches per year",'Customer Launch'!$A$1:$A$153,0),H$5+1))),0)</f>
        <v>0.52003926012281076</v>
      </c>
      <c r="I95" s="161">
        <f t="array" aca="1" ref="I95" ca="1">IFERROR((I$69+I$70)/((I$69+I$70)+(INDEX('Customer Launch'!$D:$AC,MATCH("F9 customer launches per year",'Customer Launch'!$A$1:$A$153,0),I$5+1)+INDEX('Customer Launch'!$D:$AC,MATCH("Starship customer launches per year",'Customer Launch'!$A$1:$A$153,0),I$5+1))),0)</f>
        <v>0.56521739130434778</v>
      </c>
      <c r="J95" s="161">
        <f t="array" aca="1" ref="J95" ca="1">IFERROR((J$69+J$70)/((J$69+J$70)+(INDEX('Customer Launch'!$D:$AC,MATCH("F9 customer launches per year",'Customer Launch'!$A$1:$A$153,0),J$5+1)+INDEX('Customer Launch'!$D:$AC,MATCH("Starship customer launches per year",'Customer Launch'!$A$1:$A$153,0),J$5+1))),0)</f>
        <v>0.67675544794188858</v>
      </c>
      <c r="K95" s="161">
        <f t="array" aca="1" ref="K95" ca="1">IFERROR((K$69+K$70)/((K$69+K$70)+(INDEX('Customer Launch'!$D:$AC,MATCH("F9 customer launches per year",'Customer Launch'!$A$1:$A$153,0),K$5+1)+INDEX('Customer Launch'!$D:$AC,MATCH("Starship customer launches per year",'Customer Launch'!$A$1:$A$153,0),K$5+1))),0)</f>
        <v>0.54062268140955694</v>
      </c>
      <c r="L95" s="161">
        <f t="array" aca="1" ref="L95" ca="1">IFERROR((L$69+L$70)/((L$69+L$70)+(INDEX('Customer Launch'!$D:$AC,MATCH("F9 customer launches per year",'Customer Launch'!$A$1:$A$153,0),L$5+1)+INDEX('Customer Launch'!$D:$AC,MATCH("Starship customer launches per year",'Customer Launch'!$A$1:$A$153,0),L$5+1))),0)</f>
        <v>0.57097550088139404</v>
      </c>
      <c r="M95" s="161">
        <f t="array" aca="1" ref="M95" ca="1">IFERROR((M$69+M$70)/((M$69+M$70)+(INDEX('Customer Launch'!$D:$AC,MATCH("F9 customer launches per year",'Customer Launch'!$A$1:$A$153,0),M$5+1)+INDEX('Customer Launch'!$D:$AC,MATCH("Starship customer launches per year",'Customer Launch'!$A$1:$A$153,0),M$5+1))),0)</f>
        <v>0.64182626521894359</v>
      </c>
      <c r="N95" s="161">
        <f t="array" aca="1" ref="N95" ca="1">IFERROR((N$69+N$70)/((N$69+N$70)+(INDEX('Customer Launch'!$D:$AC,MATCH("F9 customer launches per year",'Customer Launch'!$A$1:$A$153,0),N$5+1)+INDEX('Customer Launch'!$D:$AC,MATCH("Starship customer launches per year",'Customer Launch'!$A$1:$A$153,0),N$5+1))),0)</f>
        <v>0.66416354220750906</v>
      </c>
      <c r="O95" s="161">
        <f t="array" aca="1" ref="O95" ca="1">IFERROR((O$69+O$70)/((O$69+O$70)+(INDEX('Customer Launch'!$D:$AC,MATCH("F9 customer launches per year",'Customer Launch'!$A$1:$A$153,0),O$5+1)+INDEX('Customer Launch'!$D:$AC,MATCH("Starship customer launches per year",'Customer Launch'!$A$1:$A$153,0),O$5+1))),0)</f>
        <v>0.72021764270018607</v>
      </c>
      <c r="P95" s="161">
        <f t="array" aca="1" ref="P95" ca="1">IFERROR((P$69+P$70)/((P$69+P$70)+(INDEX('Customer Launch'!$D:$AC,MATCH("F9 customer launches per year",'Customer Launch'!$A$1:$A$153,0),P$5+1)+INDEX('Customer Launch'!$D:$AC,MATCH("Starship customer launches per year",'Customer Launch'!$A$1:$A$153,0),P$5+1))),0)</f>
        <v>0.68007253677983948</v>
      </c>
      <c r="Q95" s="161">
        <f t="array" aca="1" ref="Q95" ca="1">IFERROR((Q$69+Q$70)/((Q$69+Q$70)+(INDEX('Customer Launch'!$D:$AC,MATCH("F9 customer launches per year",'Customer Launch'!$A$1:$A$153,0),Q$5+1)+INDEX('Customer Launch'!$D:$AC,MATCH("Starship customer launches per year",'Customer Launch'!$A$1:$A$153,0),Q$5+1))),0)</f>
        <v>0.52402608874503309</v>
      </c>
      <c r="R95" s="161">
        <f t="array" aca="1" ref="R95" ca="1">IFERROR((R$69+R$70)/((R$69+R$70)+(INDEX('Customer Launch'!$D:$AC,MATCH("F9 customer launches per year",'Customer Launch'!$A$1:$A$153,0),R$5+1)+INDEX('Customer Launch'!$D:$AC,MATCH("Starship customer launches per year",'Customer Launch'!$A$1:$A$153,0),R$5+1))),0)</f>
        <v>0.41371716213507098</v>
      </c>
      <c r="S95" s="161">
        <f t="array" aca="1" ref="S95" ca="1">IFERROR((S$69+S$70)/((S$69+S$70)+(INDEX('Customer Launch'!$D:$AC,MATCH("F9 customer launches per year",'Customer Launch'!$A$1:$A$153,0),S$5+1)+INDEX('Customer Launch'!$D:$AC,MATCH("Starship customer launches per year",'Customer Launch'!$A$1:$A$153,0),S$5+1))),0)</f>
        <v>0.98503740648379012</v>
      </c>
    </row>
    <row r="96" spans="1:19" x14ac:dyDescent="0.2">
      <c r="A96" s="22" t="s">
        <v>548</v>
      </c>
      <c r="B96" s="8"/>
      <c r="C96" s="8"/>
      <c r="D96" s="50">
        <f t="array" aca="1" ref="D96" ca="1">INDEX('Facilities Build'!$D:$AC,MATCH("Sat-mfg facility D&amp;A ($mm)*",'Facilities Build'!$A$1:$A$74,0),D$5+1)+INDEX('Facilities Build'!$D:$AC,MATCH("Launch/vehicle facility D&amp;A total ($mm)*",'Facilities Build'!$A$1:$A$74,0),D$5+1)*D$95</f>
        <v>26.260439560439558</v>
      </c>
      <c r="E96" s="50">
        <f t="array" aca="1" ref="E96" ca="1">INDEX('Facilities Build'!$D:$AC,MATCH("Sat-mfg facility D&amp;A ($mm)*",'Facilities Build'!$A$1:$A$74,0),E$5+1)+INDEX('Facilities Build'!$D:$AC,MATCH("Launch/vehicle facility D&amp;A total ($mm)*",'Facilities Build'!$A$1:$A$74,0),E$5+1)*E$95</f>
        <v>43.292790185620468</v>
      </c>
      <c r="F96" s="50">
        <f t="array" aca="1" ref="F96" ca="1">INDEX('Facilities Build'!$D:$AC,MATCH("Sat-mfg facility D&amp;A ($mm)*",'Facilities Build'!$A$1:$A$74,0),F$5+1)+INDEX('Facilities Build'!$D:$AC,MATCH("Launch/vehicle facility D&amp;A total ($mm)*",'Facilities Build'!$A$1:$A$74,0),F$5+1)*F$95</f>
        <v>54.346457578393398</v>
      </c>
      <c r="G96" s="50">
        <f t="array" aca="1" ref="G96" ca="1">INDEX('Facilities Build'!$D:$AC,MATCH("Sat-mfg facility D&amp;A ($mm)*",'Facilities Build'!$A$1:$A$74,0),G$5+1)+INDEX('Facilities Build'!$D:$AC,MATCH("Launch/vehicle facility D&amp;A total ($mm)*",'Facilities Build'!$A$1:$A$74,0),G$5+1)*G$95</f>
        <v>102.76809630221072</v>
      </c>
      <c r="H96" s="50">
        <f t="array" aca="1" ref="H96" ca="1">INDEX('Facilities Build'!$D:$AC,MATCH("Sat-mfg facility D&amp;A ($mm)*",'Facilities Build'!$A$1:$A$74,0),H$5+1)+INDEX('Facilities Build'!$D:$AC,MATCH("Launch/vehicle facility D&amp;A total ($mm)*",'Facilities Build'!$A$1:$A$74,0),H$5+1)*H$95</f>
        <v>192.85600726049512</v>
      </c>
      <c r="I96" s="50">
        <f t="array" aca="1" ref="I96" ca="1">INDEX('Facilities Build'!$D:$AC,MATCH("Sat-mfg facility D&amp;A ($mm)*",'Facilities Build'!$A$1:$A$74,0),I$5+1)+INDEX('Facilities Build'!$D:$AC,MATCH("Launch/vehicle facility D&amp;A total ($mm)*",'Facilities Build'!$A$1:$A$74,0),I$5+1)*I$95</f>
        <v>267.42355151743584</v>
      </c>
      <c r="J96" s="50">
        <f t="array" aca="1" ref="J96" ca="1">INDEX('Facilities Build'!$D:$AC,MATCH("Sat-mfg facility D&amp;A ($mm)*",'Facilities Build'!$A$1:$A$74,0),J$5+1)+INDEX('Facilities Build'!$D:$AC,MATCH("Launch/vehicle facility D&amp;A total ($mm)*",'Facilities Build'!$A$1:$A$74,0),J$5+1)*J$95</f>
        <v>394.99102761201209</v>
      </c>
      <c r="K96" s="50">
        <f t="array" aca="1" ref="K96" ca="1">INDEX('Facilities Build'!$D:$AC,MATCH("Sat-mfg facility D&amp;A ($mm)*",'Facilities Build'!$A$1:$A$74,0),K$5+1)+INDEX('Facilities Build'!$D:$AC,MATCH("Launch/vehicle facility D&amp;A total ($mm)*",'Facilities Build'!$A$1:$A$74,0),K$5+1)*K$95</f>
        <v>389.95188749187719</v>
      </c>
      <c r="L96" s="50">
        <f t="array" aca="1" ref="L96" ca="1">INDEX('Facilities Build'!$D:$AC,MATCH("Sat-mfg facility D&amp;A ($mm)*",'Facilities Build'!$A$1:$A$74,0),L$5+1)+INDEX('Facilities Build'!$D:$AC,MATCH("Launch/vehicle facility D&amp;A total ($mm)*",'Facilities Build'!$A$1:$A$74,0),L$5+1)*L$95</f>
        <v>411.43659109552982</v>
      </c>
      <c r="M96" s="50">
        <f t="array" aca="1" ref="M96" ca="1">INDEX('Facilities Build'!$D:$AC,MATCH("Sat-mfg facility D&amp;A ($mm)*",'Facilities Build'!$A$1:$A$74,0),M$5+1)+INDEX('Facilities Build'!$D:$AC,MATCH("Launch/vehicle facility D&amp;A total ($mm)*",'Facilities Build'!$A$1:$A$74,0),M$5+1)*M$95</f>
        <v>509.05559394110514</v>
      </c>
      <c r="N96" s="50">
        <f t="array" aca="1" ref="N96" ca="1">INDEX('Facilities Build'!$D:$AC,MATCH("Sat-mfg facility D&amp;A ($mm)*",'Facilities Build'!$A$1:$A$74,0),N$5+1)+INDEX('Facilities Build'!$D:$AC,MATCH("Launch/vehicle facility D&amp;A total ($mm)*",'Facilities Build'!$A$1:$A$74,0),N$5+1)*N$95</f>
        <v>586.64447730292818</v>
      </c>
      <c r="O96" s="50">
        <f t="array" aca="1" ref="O96" ca="1">INDEX('Facilities Build'!$D:$AC,MATCH("Sat-mfg facility D&amp;A ($mm)*",'Facilities Build'!$A$1:$A$74,0),O$5+1)+INDEX('Facilities Build'!$D:$AC,MATCH("Launch/vehicle facility D&amp;A total ($mm)*",'Facilities Build'!$A$1:$A$74,0),O$5+1)*O$95</f>
        <v>767.50270438293342</v>
      </c>
      <c r="P96" s="50">
        <f t="array" aca="1" ref="P96" ca="1">INDEX('Facilities Build'!$D:$AC,MATCH("Sat-mfg facility D&amp;A ($mm)*",'Facilities Build'!$A$1:$A$74,0),P$5+1)+INDEX('Facilities Build'!$D:$AC,MATCH("Launch/vehicle facility D&amp;A total ($mm)*",'Facilities Build'!$A$1:$A$74,0),P$5+1)*P$95</f>
        <v>768.23413375409564</v>
      </c>
      <c r="Q96" s="50">
        <f t="array" aca="1" ref="Q96" ca="1">INDEX('Facilities Build'!$D:$AC,MATCH("Sat-mfg facility D&amp;A ($mm)*",'Facilities Build'!$A$1:$A$74,0),Q$5+1)+INDEX('Facilities Build'!$D:$AC,MATCH("Launch/vehicle facility D&amp;A total ($mm)*",'Facilities Build'!$A$1:$A$74,0),Q$5+1)*Q$95</f>
        <v>725.93367618630964</v>
      </c>
      <c r="R96" s="50">
        <f t="array" aca="1" ref="R96" ca="1">INDEX('Facilities Build'!$D:$AC,MATCH("Sat-mfg facility D&amp;A ($mm)*",'Facilities Build'!$A$1:$A$74,0),R$5+1)+INDEX('Facilities Build'!$D:$AC,MATCH("Launch/vehicle facility D&amp;A total ($mm)*",'Facilities Build'!$A$1:$A$74,0),R$5+1)*R$95</f>
        <v>696.09749294044821</v>
      </c>
      <c r="S96" s="50">
        <f t="array" aca="1" ref="S96" ca="1">INDEX('Facilities Build'!$D:$AC,MATCH("Sat-mfg facility D&amp;A ($mm)*",'Facilities Build'!$A$1:$A$74,0),S$5+1)+INDEX('Facilities Build'!$D:$AC,MATCH("Launch/vehicle facility D&amp;A total ($mm)*",'Facilities Build'!$A$1:$A$74,0),S$5+1)*S$95</f>
        <v>922.2549261482884</v>
      </c>
    </row>
    <row r="97" spans="1:19" x14ac:dyDescent="0.2">
      <c r="A97" s="20" t="s">
        <v>549</v>
      </c>
      <c r="B97" s="20"/>
      <c r="C97" s="20"/>
      <c r="D97" s="87">
        <f t="shared" ref="D97:S97" ca="1" si="22">D93+D94+D96</f>
        <v>602.38373869890108</v>
      </c>
      <c r="E97" s="87">
        <f t="shared" ca="1" si="22"/>
        <v>804.39193779975778</v>
      </c>
      <c r="F97" s="87">
        <f t="shared" ca="1" si="22"/>
        <v>1944.3951992811649</v>
      </c>
      <c r="G97" s="87">
        <f t="shared" ca="1" si="22"/>
        <v>4524.0594409171481</v>
      </c>
      <c r="H97" s="87">
        <f t="shared" ca="1" si="22"/>
        <v>10679.200916177455</v>
      </c>
      <c r="I97" s="87">
        <f t="shared" ca="1" si="22"/>
        <v>19933.746382251295</v>
      </c>
      <c r="J97" s="87">
        <f t="shared" ca="1" si="22"/>
        <v>34550.14633382461</v>
      </c>
      <c r="K97" s="87">
        <f t="shared" ca="1" si="22"/>
        <v>43824.739353232057</v>
      </c>
      <c r="L97" s="87">
        <f t="shared" ca="1" si="22"/>
        <v>53863.6089388869</v>
      </c>
      <c r="M97" s="87">
        <f t="shared" ca="1" si="22"/>
        <v>65945.349637702631</v>
      </c>
      <c r="N97" s="87">
        <f t="shared" ca="1" si="22"/>
        <v>78176.082769752073</v>
      </c>
      <c r="O97" s="87">
        <f t="shared" ca="1" si="22"/>
        <v>93534.424735750363</v>
      </c>
      <c r="P97" s="87">
        <f t="shared" ca="1" si="22"/>
        <v>109504.91689295201</v>
      </c>
      <c r="Q97" s="87">
        <f t="shared" ca="1" si="22"/>
        <v>111602.12478285661</v>
      </c>
      <c r="R97" s="87">
        <f t="shared" ca="1" si="22"/>
        <v>103704.75975683627</v>
      </c>
      <c r="S97" s="87">
        <f t="shared" ca="1" si="22"/>
        <v>93001.758872307546</v>
      </c>
    </row>
    <row r="98" spans="1:19" x14ac:dyDescent="0.2">
      <c r="A98" s="20" t="s">
        <v>550</v>
      </c>
      <c r="B98" s="20"/>
      <c r="C98" s="20"/>
      <c r="D98" s="87">
        <f t="shared" ref="D98:S98" ca="1" si="23">D88-D97</f>
        <v>4532.0093484424387</v>
      </c>
      <c r="E98" s="87">
        <f t="shared" ca="1" si="23"/>
        <v>7269.1185258066917</v>
      </c>
      <c r="F98" s="87">
        <f t="shared" ca="1" si="23"/>
        <v>27487.676333541101</v>
      </c>
      <c r="G98" s="87">
        <f t="shared" ca="1" si="23"/>
        <v>58296.477402596647</v>
      </c>
      <c r="H98" s="87">
        <f t="shared" ca="1" si="23"/>
        <v>98497.287740838365</v>
      </c>
      <c r="I98" s="87">
        <f t="shared" ca="1" si="23"/>
        <v>139085.78267915433</v>
      </c>
      <c r="J98" s="87">
        <f t="shared" ca="1" si="23"/>
        <v>163952.6758818801</v>
      </c>
      <c r="K98" s="87">
        <f t="shared" ca="1" si="23"/>
        <v>178992.72699488385</v>
      </c>
      <c r="L98" s="87">
        <f t="shared" ca="1" si="23"/>
        <v>181195.17346541694</v>
      </c>
      <c r="M98" s="87">
        <f t="shared" ca="1" si="23"/>
        <v>178125.57819779532</v>
      </c>
      <c r="N98" s="87">
        <f t="shared" ca="1" si="23"/>
        <v>179283.86847122517</v>
      </c>
      <c r="O98" s="87">
        <f t="shared" ca="1" si="23"/>
        <v>180537.56164832483</v>
      </c>
      <c r="P98" s="87">
        <f t="shared" ca="1" si="23"/>
        <v>181893.61113399407</v>
      </c>
      <c r="Q98" s="87">
        <f t="shared" ca="1" si="23"/>
        <v>193334.37954503321</v>
      </c>
      <c r="R98" s="87">
        <f t="shared" ca="1" si="23"/>
        <v>210133.0874512915</v>
      </c>
      <c r="S98" s="87">
        <f t="shared" ca="1" si="23"/>
        <v>227257.95251774171</v>
      </c>
    </row>
    <row r="99" spans="1:19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x14ac:dyDescent="0.2">
      <c r="A100" s="18" t="s">
        <v>551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1:19" x14ac:dyDescent="0.2">
      <c r="A101" s="22" t="s">
        <v>552</v>
      </c>
      <c r="B101" s="8"/>
      <c r="C101" s="8"/>
      <c r="D101" s="62">
        <f>D$143/1000000*(D32*INDEX(Assumptions!$B:$B,MATCH("V2 BB sat mass (kg)",Assumptions!$A$1:$A$327,0)) + D33*INDEX(Assumptions!$B:$B,MATCH("V2 DTC sat mass (kg)",Assumptions!$A$1:$A$327,0)) + D34*INDEX(Assumptions!$B:$B,MATCH("V3 BB sat mass (kg)",Assumptions!$A$1:$A$327,0)) + D35*INDEX(Assumptions!$B:$B,MATCH("V3 DTC sat mass (kg)",Assumptions!$A$1:$A$327,0)) + D36*INDEX(Assumptions!$B:$B,MATCH("Starshield sat mass (kg)",Assumptions!$A$1:$A$327,0)))</f>
        <v>1674.816</v>
      </c>
      <c r="E101" s="62">
        <f ca="1">E$143/1000000*(E32*INDEX(Assumptions!$B:$B,MATCH("V2 BB sat mass (kg)",Assumptions!$A$1:$A$327,0)) + E33*INDEX(Assumptions!$B:$B,MATCH("V2 DTC sat mass (kg)",Assumptions!$A$1:$A$327,0)) + E34*INDEX(Assumptions!$B:$B,MATCH("V3 BB sat mass (kg)",Assumptions!$A$1:$A$327,0)) + E35*INDEX(Assumptions!$B:$B,MATCH("V3 DTC sat mass (kg)",Assumptions!$A$1:$A$327,0)) + E36*INDEX(Assumptions!$B:$B,MATCH("Starshield sat mass (kg)",Assumptions!$A$1:$A$327,0)))</f>
        <v>1405.7159999999999</v>
      </c>
      <c r="F101" s="62">
        <f ca="1">F$143/1000000*(F32*INDEX(Assumptions!$B:$B,MATCH("V2 BB sat mass (kg)",Assumptions!$A$1:$A$327,0)) + F33*INDEX(Assumptions!$B:$B,MATCH("V2 DTC sat mass (kg)",Assumptions!$A$1:$A$327,0)) + F34*INDEX(Assumptions!$B:$B,MATCH("V3 BB sat mass (kg)",Assumptions!$A$1:$A$327,0)) + F35*INDEX(Assumptions!$B:$B,MATCH("V3 DTC sat mass (kg)",Assumptions!$A$1:$A$327,0)) + F36*INDEX(Assumptions!$B:$B,MATCH("Starshield sat mass (kg)",Assumptions!$A$1:$A$327,0)))</f>
        <v>5104.3212461441062</v>
      </c>
      <c r="G101" s="62">
        <f ca="1">G$143/1000000*(G32*INDEX(Assumptions!$B:$B,MATCH("V2 BB sat mass (kg)",Assumptions!$A$1:$A$327,0)) + G33*INDEX(Assumptions!$B:$B,MATCH("V2 DTC sat mass (kg)",Assumptions!$A$1:$A$327,0)) + G34*INDEX(Assumptions!$B:$B,MATCH("V3 BB sat mass (kg)",Assumptions!$A$1:$A$327,0)) + G35*INDEX(Assumptions!$B:$B,MATCH("V3 DTC sat mass (kg)",Assumptions!$A$1:$A$327,0)) + G36*INDEX(Assumptions!$B:$B,MATCH("Starshield sat mass (kg)",Assumptions!$A$1:$A$327,0)))</f>
        <v>11652.749680599962</v>
      </c>
      <c r="H101" s="62">
        <f ca="1">H$143/1000000*(H32*INDEX(Assumptions!$B:$B,MATCH("V2 BB sat mass (kg)",Assumptions!$A$1:$A$327,0)) + H33*INDEX(Assumptions!$B:$B,MATCH("V2 DTC sat mass (kg)",Assumptions!$A$1:$A$327,0)) + H34*INDEX(Assumptions!$B:$B,MATCH("V3 BB sat mass (kg)",Assumptions!$A$1:$A$327,0)) + H35*INDEX(Assumptions!$B:$B,MATCH("V3 DTC sat mass (kg)",Assumptions!$A$1:$A$327,0)) + H36*INDEX(Assumptions!$B:$B,MATCH("Starshield sat mass (kg)",Assumptions!$A$1:$A$327,0)))</f>
        <v>26577.581853665102</v>
      </c>
      <c r="I101" s="62">
        <f ca="1">I$143/1000000*(I32*INDEX(Assumptions!$B:$B,MATCH("V2 BB sat mass (kg)",Assumptions!$A$1:$A$327,0)) + I33*INDEX(Assumptions!$B:$B,MATCH("V2 DTC sat mass (kg)",Assumptions!$A$1:$A$327,0)) + I34*INDEX(Assumptions!$B:$B,MATCH("V3 BB sat mass (kg)",Assumptions!$A$1:$A$327,0)) + I35*INDEX(Assumptions!$B:$B,MATCH("V3 DTC sat mass (kg)",Assumptions!$A$1:$A$327,0)) + I36*INDEX(Assumptions!$B:$B,MATCH("Starshield sat mass (kg)",Assumptions!$A$1:$A$327,0)))</f>
        <v>38305.846511321186</v>
      </c>
      <c r="J101" s="62">
        <f ca="1">J$143/1000000*(J32*INDEX(Assumptions!$B:$B,MATCH("V2 BB sat mass (kg)",Assumptions!$A$1:$A$327,0)) + J33*INDEX(Assumptions!$B:$B,MATCH("V2 DTC sat mass (kg)",Assumptions!$A$1:$A$327,0)) + J34*INDEX(Assumptions!$B:$B,MATCH("V3 BB sat mass (kg)",Assumptions!$A$1:$A$327,0)) + J35*INDEX(Assumptions!$B:$B,MATCH("V3 DTC sat mass (kg)",Assumptions!$A$1:$A$327,0)) + J36*INDEX(Assumptions!$B:$B,MATCH("Starshield sat mass (kg)",Assumptions!$A$1:$A$327,0)))</f>
        <v>58276.737080464263</v>
      </c>
      <c r="K101" s="62">
        <f ca="1">K$143/1000000*(K32*INDEX(Assumptions!$B:$B,MATCH("V2 BB sat mass (kg)",Assumptions!$A$1:$A$327,0)) + K33*INDEX(Assumptions!$B:$B,MATCH("V2 DTC sat mass (kg)",Assumptions!$A$1:$A$327,0)) + K34*INDEX(Assumptions!$B:$B,MATCH("V3 BB sat mass (kg)",Assumptions!$A$1:$A$327,0)) + K35*INDEX(Assumptions!$B:$B,MATCH("V3 DTC sat mass (kg)",Assumptions!$A$1:$A$327,0)) + K36*INDEX(Assumptions!$B:$B,MATCH("Starshield sat mass (kg)",Assumptions!$A$1:$A$327,0)))</f>
        <v>39764.718385969012</v>
      </c>
      <c r="L101" s="62">
        <f ca="1">L$143/1000000*(L32*INDEX(Assumptions!$B:$B,MATCH("V2 BB sat mass (kg)",Assumptions!$A$1:$A$327,0)) + L33*INDEX(Assumptions!$B:$B,MATCH("V2 DTC sat mass (kg)",Assumptions!$A$1:$A$327,0)) + L34*INDEX(Assumptions!$B:$B,MATCH("V3 BB sat mass (kg)",Assumptions!$A$1:$A$327,0)) + L35*INDEX(Assumptions!$B:$B,MATCH("V3 DTC sat mass (kg)",Assumptions!$A$1:$A$327,0)) + L36*INDEX(Assumptions!$B:$B,MATCH("Starshield sat mass (kg)",Assumptions!$A$1:$A$327,0)))</f>
        <v>47313.086120384432</v>
      </c>
      <c r="M101" s="62">
        <f ca="1">M$143/1000000*(M32*INDEX(Assumptions!$B:$B,MATCH("V2 BB sat mass (kg)",Assumptions!$A$1:$A$327,0)) + M33*INDEX(Assumptions!$B:$B,MATCH("V2 DTC sat mass (kg)",Assumptions!$A$1:$A$327,0)) + M34*INDEX(Assumptions!$B:$B,MATCH("V3 BB sat mass (kg)",Assumptions!$A$1:$A$327,0)) + M35*INDEX(Assumptions!$B:$B,MATCH("V3 DTC sat mass (kg)",Assumptions!$A$1:$A$327,0)) + M36*INDEX(Assumptions!$B:$B,MATCH("Starshield sat mass (kg)",Assumptions!$A$1:$A$327,0)))</f>
        <v>66961.797334851552</v>
      </c>
      <c r="N101" s="62">
        <f ca="1">N$143/1000000*(N32*INDEX(Assumptions!$B:$B,MATCH("V2 BB sat mass (kg)",Assumptions!$A$1:$A$327,0)) + N33*INDEX(Assumptions!$B:$B,MATCH("V2 DTC sat mass (kg)",Assumptions!$A$1:$A$327,0)) + N34*INDEX(Assumptions!$B:$B,MATCH("V3 BB sat mass (kg)",Assumptions!$A$1:$A$327,0)) + N35*INDEX(Assumptions!$B:$B,MATCH("V3 DTC sat mass (kg)",Assumptions!$A$1:$A$327,0)) + N36*INDEX(Assumptions!$B:$B,MATCH("Starshield sat mass (kg)",Assumptions!$A$1:$A$327,0)))</f>
        <v>77629.439234645091</v>
      </c>
      <c r="O101" s="62">
        <f ca="1">O$143/1000000*(O32*INDEX(Assumptions!$B:$B,MATCH("V2 BB sat mass (kg)",Assumptions!$A$1:$A$327,0)) + O33*INDEX(Assumptions!$B:$B,MATCH("V2 DTC sat mass (kg)",Assumptions!$A$1:$A$327,0)) + O34*INDEX(Assumptions!$B:$B,MATCH("V3 BB sat mass (kg)",Assumptions!$A$1:$A$327,0)) + O35*INDEX(Assumptions!$B:$B,MATCH("V3 DTC sat mass (kg)",Assumptions!$A$1:$A$327,0)) + O36*INDEX(Assumptions!$B:$B,MATCH("Starshield sat mass (kg)",Assumptions!$A$1:$A$327,0)))</f>
        <v>106304.37323307277</v>
      </c>
      <c r="P101" s="62">
        <f ca="1">P$143/1000000*(P32*INDEX(Assumptions!$B:$B,MATCH("V2 BB sat mass (kg)",Assumptions!$A$1:$A$327,0)) + P33*INDEX(Assumptions!$B:$B,MATCH("V2 DTC sat mass (kg)",Assumptions!$A$1:$A$327,0)) + P34*INDEX(Assumptions!$B:$B,MATCH("V3 BB sat mass (kg)",Assumptions!$A$1:$A$327,0)) + P35*INDEX(Assumptions!$B:$B,MATCH("V3 DTC sat mass (kg)",Assumptions!$A$1:$A$327,0)) + P36*INDEX(Assumptions!$B:$B,MATCH("Starshield sat mass (kg)",Assumptions!$A$1:$A$327,0)))</f>
        <v>92336.096769416909</v>
      </c>
      <c r="Q101" s="62">
        <f ca="1">Q$143/1000000*(Q32*INDEX(Assumptions!$B:$B,MATCH("V2 BB sat mass (kg)",Assumptions!$A$1:$A$327,0)) + Q33*INDEX(Assumptions!$B:$B,MATCH("V2 DTC sat mass (kg)",Assumptions!$A$1:$A$327,0)) + Q34*INDEX(Assumptions!$B:$B,MATCH("V3 BB sat mass (kg)",Assumptions!$A$1:$A$327,0)) + Q35*INDEX(Assumptions!$B:$B,MATCH("V3 DTC sat mass (kg)",Assumptions!$A$1:$A$327,0)) + Q36*INDEX(Assumptions!$B:$B,MATCH("Starshield sat mass (kg)",Assumptions!$A$1:$A$327,0)))</f>
        <v>50632.84543827187</v>
      </c>
      <c r="R101" s="62">
        <f ca="1">R$143/1000000*(R32*INDEX(Assumptions!$B:$B,MATCH("V2 BB sat mass (kg)",Assumptions!$A$1:$A$327,0)) + R33*INDEX(Assumptions!$B:$B,MATCH("V2 DTC sat mass (kg)",Assumptions!$A$1:$A$327,0)) + R34*INDEX(Assumptions!$B:$B,MATCH("V3 BB sat mass (kg)",Assumptions!$A$1:$A$327,0)) + R35*INDEX(Assumptions!$B:$B,MATCH("V3 DTC sat mass (kg)",Assumptions!$A$1:$A$327,0)) + R36*INDEX(Assumptions!$B:$B,MATCH("Starshield sat mass (kg)",Assumptions!$A$1:$A$327,0)))</f>
        <v>34614.537421660309</v>
      </c>
      <c r="S101" s="62">
        <f ca="1">S$143/1000000*(S32*INDEX(Assumptions!$B:$B,MATCH("V2 BB sat mass (kg)",Assumptions!$A$1:$A$327,0)) + S33*INDEX(Assumptions!$B:$B,MATCH("V2 DTC sat mass (kg)",Assumptions!$A$1:$A$327,0)) + S34*INDEX(Assumptions!$B:$B,MATCH("V3 BB sat mass (kg)",Assumptions!$A$1:$A$327,0)) + S35*INDEX(Assumptions!$B:$B,MATCH("V3 DTC sat mass (kg)",Assumptions!$A$1:$A$327,0)) + S36*INDEX(Assumptions!$B:$B,MATCH("Starshield sat mass (kg)",Assumptions!$A$1:$A$327,0)))</f>
        <v>35103.200548133718</v>
      </c>
    </row>
    <row r="102" spans="1:19" x14ac:dyDescent="0.2">
      <c r="A102" s="23" t="s">
        <v>553</v>
      </c>
      <c r="B102" s="8"/>
      <c r="C102" s="8"/>
      <c r="D102" s="50">
        <f t="array" ref="D102">IFERROR(INDEX('Facilities Build'!$D:$AC,MATCH("Sat-mfg facility CapEx total ($mm)*",'Facilities Build'!$A$1:$A$74,0),D$5+1),0)</f>
        <v>107.35164835164835</v>
      </c>
      <c r="E102" s="50">
        <f t="array" aca="1" ref="E102" ca="1">IFERROR(INDEX('Facilities Build'!$D:$AC,MATCH("Sat-mfg facility CapEx total ($mm)*",'Facilities Build'!$A$1:$A$74,0),E$5+1),0)</f>
        <v>144.66641652302212</v>
      </c>
      <c r="F102" s="50">
        <f t="array" aca="1" ref="F102" ca="1">IFERROR(INDEX('Facilities Build'!$D:$AC,MATCH("Sat-mfg facility CapEx total ($mm)*",'Facilities Build'!$A$1:$A$74,0),F$5+1),0)</f>
        <v>553.84364369653144</v>
      </c>
      <c r="G102" s="50">
        <f t="array" aca="1" ref="G102" ca="1">IFERROR(INDEX('Facilities Build'!$D:$AC,MATCH("Sat-mfg facility CapEx total ($mm)*",'Facilities Build'!$A$1:$A$74,0),G$5+1),0)</f>
        <v>903.66398213151137</v>
      </c>
      <c r="H102" s="50">
        <f t="array" aca="1" ref="H102" ca="1">IFERROR(INDEX('Facilities Build'!$D:$AC,MATCH("Sat-mfg facility CapEx total ($mm)*",'Facilities Build'!$A$1:$A$74,0),H$5+1),0)</f>
        <v>1776.2951441636935</v>
      </c>
      <c r="I102" s="50">
        <f t="array" aca="1" ref="I102" ca="1">IFERROR(INDEX('Facilities Build'!$D:$AC,MATCH("Sat-mfg facility CapEx total ($mm)*",'Facilities Build'!$A$1:$A$74,0),I$5+1),0)</f>
        <v>1529.4636559150463</v>
      </c>
      <c r="J102" s="50">
        <f t="array" aca="1" ref="J102" ca="1">IFERROR(INDEX('Facilities Build'!$D:$AC,MATCH("Sat-mfg facility CapEx total ($mm)*",'Facilities Build'!$A$1:$A$74,0),J$5+1),0)</f>
        <v>2560.4991275591451</v>
      </c>
      <c r="K102" s="50">
        <f t="array" aca="1" ref="K102" ca="1">IFERROR(INDEX('Facilities Build'!$D:$AC,MATCH("Sat-mfg facility CapEx total ($mm)*",'Facilities Build'!$A$1:$A$74,0),K$5+1),0)</f>
        <v>93.855318827996371</v>
      </c>
      <c r="L102" s="50">
        <f t="array" aca="1" ref="L102" ca="1">IFERROR(INDEX('Facilities Build'!$D:$AC,MATCH("Sat-mfg facility CapEx total ($mm)*",'Facilities Build'!$A$1:$A$74,0),L$5+1),0)</f>
        <v>89.461463734920372</v>
      </c>
      <c r="M102" s="50">
        <f t="array" aca="1" ref="M102" ca="1">IFERROR(INDEX('Facilities Build'!$D:$AC,MATCH("Sat-mfg facility CapEx total ($mm)*",'Facilities Build'!$A$1:$A$74,0),M$5+1),0)</f>
        <v>1664.8189015858836</v>
      </c>
      <c r="N102" s="50">
        <f t="array" aca="1" ref="N102" ca="1">IFERROR(INDEX('Facilities Build'!$D:$AC,MATCH("Sat-mfg facility CapEx total ($mm)*",'Facilities Build'!$A$1:$A$74,0),N$5+1),0)</f>
        <v>1588.2382837590192</v>
      </c>
      <c r="O102" s="50">
        <f t="array" aca="1" ref="O102" ca="1">IFERROR(INDEX('Facilities Build'!$D:$AC,MATCH("Sat-mfg facility CapEx total ($mm)*",'Facilities Build'!$A$1:$A$74,0),O$5+1),0)</f>
        <v>3902.3946860205997</v>
      </c>
      <c r="P102" s="50">
        <f t="array" aca="1" ref="P102" ca="1">IFERROR(INDEX('Facilities Build'!$D:$AC,MATCH("Sat-mfg facility CapEx total ($mm)*",'Facilities Build'!$A$1:$A$74,0),P$5+1),0)</f>
        <v>109.4985674523102</v>
      </c>
      <c r="Q102" s="50">
        <f t="array" aca="1" ref="Q102" ca="1">IFERROR(INDEX('Facilities Build'!$D:$AC,MATCH("Sat-mfg facility CapEx total ($mm)*",'Facilities Build'!$A$1:$A$74,0),Q$5+1),0)</f>
        <v>91.63201498652117</v>
      </c>
      <c r="R102" s="50">
        <f t="array" aca="1" ref="R102" ca="1">IFERROR(INDEX('Facilities Build'!$D:$AC,MATCH("Sat-mfg facility CapEx total ($mm)*",'Facilities Build'!$A$1:$A$74,0),R$5+1),0)</f>
        <v>82.84922134027714</v>
      </c>
      <c r="S102" s="50">
        <f t="array" aca="1" ref="S102" ca="1">IFERROR(INDEX('Facilities Build'!$D:$AC,MATCH("Sat-mfg facility CapEx total ($mm)*",'Facilities Build'!$A$1:$A$74,0),S$5+1),0)</f>
        <v>78.675804996309921</v>
      </c>
    </row>
    <row r="103" spans="1:19" x14ac:dyDescent="0.2">
      <c r="A103" s="22" t="s">
        <v>554</v>
      </c>
      <c r="B103" s="8"/>
      <c r="C103" s="8"/>
      <c r="D103" s="50">
        <f t="array" aca="1" ref="D103" ca="1">IFERROR(D69/INDEX('Vehicle Build'!$D:$AC,MATCH("Memo: Total F9 launches (internal + customer)",'Vehicle Build'!$A$1:$A$119,0),D$5+1),0)*INDEX('Vehicle Build'!$D:$AC,MATCH("F9 boosters built per year",'Vehicle Build'!$A$1:$A$119,0),D$5+1)*INDEX(Assumptions!$B:$B,MATCH("F9 booster (1st stage) mfg cost ($mm/unit)",Assumptions!$A$1:$A$327,0))*(1-INDEX(Assumptions!$B:$B,MATCH("F9 Wright's Law mfg learning rate",Assumptions!$A$1:$A$327,0)))^D$5+IFERROR(D70/INDEX('Vehicle Build'!$D:$AC,MATCH("Starship launches per year",'Vehicle Build'!$A$1:$A$119,0),D$5+1),0)*INDEX('Vehicle Build'!$D:$AC,MATCH("Total Starship build CapEx ($mm)",'Vehicle Build'!$A$1:$A$119,0),D$5+1)</f>
        <v>204.30769230769229</v>
      </c>
      <c r="E103" s="50">
        <f t="array" aca="1" ref="E103" ca="1">IFERROR(E69/INDEX('Vehicle Build'!$D:$AC,MATCH("Memo: Total F9 launches (internal + customer)",'Vehicle Build'!$A$1:$A$119,0),E$5+1),0)*INDEX('Vehicle Build'!$D:$AC,MATCH("F9 boosters built per year",'Vehicle Build'!$A$1:$A$119,0),E$5+1)*INDEX(Assumptions!$B:$B,MATCH("F9 booster (1st stage) mfg cost ($mm/unit)",Assumptions!$A$1:$A$327,0))*(1-INDEX(Assumptions!$B:$B,MATCH("F9 Wright's Law mfg learning rate",Assumptions!$A$1:$A$327,0)))^E$5+IFERROR(E70/INDEX('Vehicle Build'!$D:$AC,MATCH("Starship launches per year",'Vehicle Build'!$A$1:$A$119,0),E$5+1),0)*INDEX('Vehicle Build'!$D:$AC,MATCH("Total Starship build CapEx ($mm)",'Vehicle Build'!$A$1:$A$119,0),E$5+1)</f>
        <v>146.2054054054054</v>
      </c>
      <c r="F103" s="50">
        <f t="array" aca="1" ref="F103" ca="1">IFERROR(F69/INDEX('Vehicle Build'!$D:$AC,MATCH("Memo: Total F9 launches (internal + customer)",'Vehicle Build'!$A$1:$A$119,0),F$5+1),0)*INDEX('Vehicle Build'!$D:$AC,MATCH("F9 boosters built per year",'Vehicle Build'!$A$1:$A$119,0),F$5+1)*INDEX(Assumptions!$B:$B,MATCH("F9 booster (1st stage) mfg cost ($mm/unit)",Assumptions!$A$1:$A$327,0))*(1-INDEX(Assumptions!$B:$B,MATCH("F9 Wright's Law mfg learning rate",Assumptions!$A$1:$A$327,0)))^F$5+IFERROR(F70/INDEX('Vehicle Build'!$D:$AC,MATCH("Starship launches per year",'Vehicle Build'!$A$1:$A$119,0),F$5+1),0)*INDEX('Vehicle Build'!$D:$AC,MATCH("Total Starship build CapEx ($mm)",'Vehicle Build'!$A$1:$A$119,0),F$5+1)</f>
        <v>1238.7983990592948</v>
      </c>
      <c r="G103" s="50">
        <f t="array" aca="1" ref="G103" ca="1">IFERROR(G69/INDEX('Vehicle Build'!$D:$AC,MATCH("Memo: Total F9 launches (internal + customer)",'Vehicle Build'!$A$1:$A$119,0),G$5+1),0)*INDEX('Vehicle Build'!$D:$AC,MATCH("F9 boosters built per year",'Vehicle Build'!$A$1:$A$119,0),G$5+1)*INDEX(Assumptions!$B:$B,MATCH("F9 booster (1st stage) mfg cost ($mm/unit)",Assumptions!$A$1:$A$327,0))*(1-INDEX(Assumptions!$B:$B,MATCH("F9 Wright's Law mfg learning rate",Assumptions!$A$1:$A$327,0)))^G$5+IFERROR(G70/INDEX('Vehicle Build'!$D:$AC,MATCH("Starship launches per year",'Vehicle Build'!$A$1:$A$119,0),G$5+1),0)*INDEX('Vehicle Build'!$D:$AC,MATCH("Total Starship build CapEx ($mm)",'Vehicle Build'!$A$1:$A$119,0),G$5+1)</f>
        <v>1812.6577931648553</v>
      </c>
      <c r="H103" s="50">
        <f t="array" aca="1" ref="H103" ca="1">IFERROR(H69/INDEX('Vehicle Build'!$D:$AC,MATCH("Memo: Total F9 launches (internal + customer)",'Vehicle Build'!$A$1:$A$119,0),H$5+1),0)*INDEX('Vehicle Build'!$D:$AC,MATCH("F9 boosters built per year",'Vehicle Build'!$A$1:$A$119,0),H$5+1)*INDEX(Assumptions!$B:$B,MATCH("F9 booster (1st stage) mfg cost ($mm/unit)",Assumptions!$A$1:$A$327,0))*(1-INDEX(Assumptions!$B:$B,MATCH("F9 Wright's Law mfg learning rate",Assumptions!$A$1:$A$327,0)))^H$5+IFERROR(H70/INDEX('Vehicle Build'!$D:$AC,MATCH("Starship launches per year",'Vehicle Build'!$A$1:$A$119,0),H$5+1),0)*INDEX('Vehicle Build'!$D:$AC,MATCH("Total Starship build CapEx ($mm)",'Vehicle Build'!$A$1:$A$119,0),H$5+1)</f>
        <v>2276.5511342777918</v>
      </c>
      <c r="I103" s="50">
        <f t="array" aca="1" ref="I103" ca="1">IFERROR(I69/INDEX('Vehicle Build'!$D:$AC,MATCH("Memo: Total F9 launches (internal + customer)",'Vehicle Build'!$A$1:$A$119,0),I$5+1),0)*INDEX('Vehicle Build'!$D:$AC,MATCH("F9 boosters built per year",'Vehicle Build'!$A$1:$A$119,0),I$5+1)*INDEX(Assumptions!$B:$B,MATCH("F9 booster (1st stage) mfg cost ($mm/unit)",Assumptions!$A$1:$A$327,0))*(1-INDEX(Assumptions!$B:$B,MATCH("F9 Wright's Law mfg learning rate",Assumptions!$A$1:$A$327,0)))^I$5+IFERROR(I70/INDEX('Vehicle Build'!$D:$AC,MATCH("Starship launches per year",'Vehicle Build'!$A$1:$A$119,0),I$5+1),0)*INDEX('Vehicle Build'!$D:$AC,MATCH("Total Starship build CapEx ($mm)",'Vehicle Build'!$A$1:$A$119,0),I$5+1)</f>
        <v>2215.76762602498</v>
      </c>
      <c r="J103" s="50">
        <f t="array" aca="1" ref="J103" ca="1">IFERROR(J69/INDEX('Vehicle Build'!$D:$AC,MATCH("Memo: Total F9 launches (internal + customer)",'Vehicle Build'!$A$1:$A$119,0),J$5+1),0)*INDEX('Vehicle Build'!$D:$AC,MATCH("F9 boosters built per year",'Vehicle Build'!$A$1:$A$119,0),J$5+1)*INDEX(Assumptions!$B:$B,MATCH("F9 booster (1st stage) mfg cost ($mm/unit)",Assumptions!$A$1:$A$327,0))*(1-INDEX(Assumptions!$B:$B,MATCH("F9 Wright's Law mfg learning rate",Assumptions!$A$1:$A$327,0)))^J$5+IFERROR(J70/INDEX('Vehicle Build'!$D:$AC,MATCH("Starship launches per year",'Vehicle Build'!$A$1:$A$119,0),J$5+1),0)*INDEX('Vehicle Build'!$D:$AC,MATCH("Total Starship build CapEx ($mm)",'Vehicle Build'!$A$1:$A$119,0),J$5+1)</f>
        <v>2654.3975952204237</v>
      </c>
      <c r="K103" s="50">
        <f t="array" aca="1" ref="K103" ca="1">IFERROR(K69/INDEX('Vehicle Build'!$D:$AC,MATCH("Memo: Total F9 launches (internal + customer)",'Vehicle Build'!$A$1:$A$119,0),K$5+1),0)*INDEX('Vehicle Build'!$D:$AC,MATCH("F9 boosters built per year",'Vehicle Build'!$A$1:$A$119,0),K$5+1)*INDEX(Assumptions!$B:$B,MATCH("F9 booster (1st stage) mfg cost ($mm/unit)",Assumptions!$A$1:$A$327,0))*(1-INDEX(Assumptions!$B:$B,MATCH("F9 Wright's Law mfg learning rate",Assumptions!$A$1:$A$327,0)))^K$5+IFERROR(K70/INDEX('Vehicle Build'!$D:$AC,MATCH("Starship launches per year",'Vehicle Build'!$A$1:$A$119,0),K$5+1),0)*INDEX('Vehicle Build'!$D:$AC,MATCH("Total Starship build CapEx ($mm)",'Vehicle Build'!$A$1:$A$119,0),K$5+1)</f>
        <v>692.28637767741952</v>
      </c>
      <c r="L103" s="50">
        <f t="array" aca="1" ref="L103" ca="1">IFERROR(L69/INDEX('Vehicle Build'!$D:$AC,MATCH("Memo: Total F9 launches (internal + customer)",'Vehicle Build'!$A$1:$A$119,0),L$5+1),0)*INDEX('Vehicle Build'!$D:$AC,MATCH("F9 boosters built per year",'Vehicle Build'!$A$1:$A$119,0),L$5+1)*INDEX(Assumptions!$B:$B,MATCH("F9 booster (1st stage) mfg cost ($mm/unit)",Assumptions!$A$1:$A$327,0))*(1-INDEX(Assumptions!$B:$B,MATCH("F9 Wright's Law mfg learning rate",Assumptions!$A$1:$A$327,0)))^L$5+IFERROR(L70/INDEX('Vehicle Build'!$D:$AC,MATCH("Starship launches per year",'Vehicle Build'!$A$1:$A$119,0),L$5+1),0)*INDEX('Vehicle Build'!$D:$AC,MATCH("Total Starship build CapEx ($mm)",'Vehicle Build'!$A$1:$A$119,0),L$5+1)</f>
        <v>640.45595802342461</v>
      </c>
      <c r="M103" s="50">
        <f t="array" aca="1" ref="M103" ca="1">IFERROR(M69/INDEX('Vehicle Build'!$D:$AC,MATCH("Memo: Total F9 launches (internal + customer)",'Vehicle Build'!$A$1:$A$119,0),M$5+1),0)*INDEX('Vehicle Build'!$D:$AC,MATCH("F9 boosters built per year",'Vehicle Build'!$A$1:$A$119,0),M$5+1)*INDEX(Assumptions!$B:$B,MATCH("F9 booster (1st stage) mfg cost ($mm/unit)",Assumptions!$A$1:$A$327,0))*(1-INDEX(Assumptions!$B:$B,MATCH("F9 Wright's Law mfg learning rate",Assumptions!$A$1:$A$327,0)))^M$5+IFERROR(M70/INDEX('Vehicle Build'!$D:$AC,MATCH("Starship launches per year",'Vehicle Build'!$A$1:$A$119,0),M$5+1),0)*INDEX('Vehicle Build'!$D:$AC,MATCH("Total Starship build CapEx ($mm)",'Vehicle Build'!$A$1:$A$119,0),M$5+1)</f>
        <v>225.07619960232597</v>
      </c>
      <c r="N103" s="50">
        <f t="array" aca="1" ref="N103" ca="1">IFERROR(N69/INDEX('Vehicle Build'!$D:$AC,MATCH("Memo: Total F9 launches (internal + customer)",'Vehicle Build'!$A$1:$A$119,0),N$5+1),0)*INDEX('Vehicle Build'!$D:$AC,MATCH("F9 boosters built per year",'Vehicle Build'!$A$1:$A$119,0),N$5+1)*INDEX(Assumptions!$B:$B,MATCH("F9 booster (1st stage) mfg cost ($mm/unit)",Assumptions!$A$1:$A$327,0))*(1-INDEX(Assumptions!$B:$B,MATCH("F9 Wright's Law mfg learning rate",Assumptions!$A$1:$A$327,0)))^N$5+IFERROR(N70/INDEX('Vehicle Build'!$D:$AC,MATCH("Starship launches per year",'Vehicle Build'!$A$1:$A$119,0),N$5+1),0)*INDEX('Vehicle Build'!$D:$AC,MATCH("Total Starship build CapEx ($mm)",'Vehicle Build'!$A$1:$A$119,0),N$5+1)</f>
        <v>347.90417447839326</v>
      </c>
      <c r="O103" s="50">
        <f t="array" aca="1" ref="O103" ca="1">IFERROR(O69/INDEX('Vehicle Build'!$D:$AC,MATCH("Memo: Total F9 launches (internal + customer)",'Vehicle Build'!$A$1:$A$119,0),O$5+1),0)*INDEX('Vehicle Build'!$D:$AC,MATCH("F9 boosters built per year",'Vehicle Build'!$A$1:$A$119,0),O$5+1)*INDEX(Assumptions!$B:$B,MATCH("F9 booster (1st stage) mfg cost ($mm/unit)",Assumptions!$A$1:$A$327,0))*(1-INDEX(Assumptions!$B:$B,MATCH("F9 Wright's Law mfg learning rate",Assumptions!$A$1:$A$327,0)))^O$5+IFERROR(O70/INDEX('Vehicle Build'!$D:$AC,MATCH("Starship launches per year",'Vehicle Build'!$A$1:$A$119,0),O$5+1),0)*INDEX('Vehicle Build'!$D:$AC,MATCH("Total Starship build CapEx ($mm)",'Vehicle Build'!$A$1:$A$119,0),O$5+1)</f>
        <v>452.93164061000596</v>
      </c>
      <c r="P103" s="50">
        <f t="array" aca="1" ref="P103" ca="1">IFERROR(P69/INDEX('Vehicle Build'!$D:$AC,MATCH("Memo: Total F9 launches (internal + customer)",'Vehicle Build'!$A$1:$A$119,0),P$5+1),0)*INDEX('Vehicle Build'!$D:$AC,MATCH("F9 boosters built per year",'Vehicle Build'!$A$1:$A$119,0),P$5+1)*INDEX(Assumptions!$B:$B,MATCH("F9 booster (1st stage) mfg cost ($mm/unit)",Assumptions!$A$1:$A$327,0))*(1-INDEX(Assumptions!$B:$B,MATCH("F9 Wright's Law mfg learning rate",Assumptions!$A$1:$A$327,0)))^P$5+IFERROR(P70/INDEX('Vehicle Build'!$D:$AC,MATCH("Starship launches per year",'Vehicle Build'!$A$1:$A$119,0),P$5+1),0)*INDEX('Vehicle Build'!$D:$AC,MATCH("Total Starship build CapEx ($mm)",'Vehicle Build'!$A$1:$A$119,0),P$5+1)</f>
        <v>268.83226077496829</v>
      </c>
      <c r="Q103" s="50">
        <f t="array" aca="1" ref="Q103" ca="1">IFERROR(Q69/INDEX('Vehicle Build'!$D:$AC,MATCH("Memo: Total F9 launches (internal + customer)",'Vehicle Build'!$A$1:$A$119,0),Q$5+1),0)*INDEX('Vehicle Build'!$D:$AC,MATCH("F9 boosters built per year",'Vehicle Build'!$A$1:$A$119,0),Q$5+1)*INDEX(Assumptions!$B:$B,MATCH("F9 booster (1st stage) mfg cost ($mm/unit)",Assumptions!$A$1:$A$327,0))*(1-INDEX(Assumptions!$B:$B,MATCH("F9 Wright's Law mfg learning rate",Assumptions!$A$1:$A$327,0)))^Q$5+IFERROR(Q70/INDEX('Vehicle Build'!$D:$AC,MATCH("Starship launches per year",'Vehicle Build'!$A$1:$A$119,0),Q$5+1),0)*INDEX('Vehicle Build'!$D:$AC,MATCH("Total Starship build CapEx ($mm)",'Vehicle Build'!$A$1:$A$119,0),Q$5+1)</f>
        <v>74.935044934732971</v>
      </c>
      <c r="R103" s="50">
        <f t="array" aca="1" ref="R103" ca="1">IFERROR(R69/INDEX('Vehicle Build'!$D:$AC,MATCH("Memo: Total F9 launches (internal + customer)",'Vehicle Build'!$A$1:$A$119,0),R$5+1),0)*INDEX('Vehicle Build'!$D:$AC,MATCH("F9 boosters built per year",'Vehicle Build'!$A$1:$A$119,0),R$5+1)*INDEX(Assumptions!$B:$B,MATCH("F9 booster (1st stage) mfg cost ($mm/unit)",Assumptions!$A$1:$A$327,0))*(1-INDEX(Assumptions!$B:$B,MATCH("F9 Wright's Law mfg learning rate",Assumptions!$A$1:$A$327,0)))^R$5+IFERROR(R70/INDEX('Vehicle Build'!$D:$AC,MATCH("Starship launches per year",'Vehicle Build'!$A$1:$A$119,0),R$5+1),0)*INDEX('Vehicle Build'!$D:$AC,MATCH("Total Starship build CapEx ($mm)",'Vehicle Build'!$A$1:$A$119,0),R$5+1)</f>
        <v>199.3232913846301</v>
      </c>
      <c r="S103" s="50">
        <f t="array" aca="1" ref="S103" ca="1">IFERROR(S69/INDEX('Vehicle Build'!$D:$AC,MATCH("Memo: Total F9 launches (internal + customer)",'Vehicle Build'!$A$1:$A$119,0),S$5+1),0)*INDEX('Vehicle Build'!$D:$AC,MATCH("F9 boosters built per year",'Vehicle Build'!$A$1:$A$119,0),S$5+1)*INDEX(Assumptions!$B:$B,MATCH("F9 booster (1st stage) mfg cost ($mm/unit)",Assumptions!$A$1:$A$327,0))*(1-INDEX(Assumptions!$B:$B,MATCH("F9 Wright's Law mfg learning rate",Assumptions!$A$1:$A$327,0)))^S$5+IFERROR(S70/INDEX('Vehicle Build'!$D:$AC,MATCH("Starship launches per year",'Vehicle Build'!$A$1:$A$119,0),S$5+1),0)*INDEX('Vehicle Build'!$D:$AC,MATCH("Total Starship build CapEx ($mm)",'Vehicle Build'!$A$1:$A$119,0),S$5+1)</f>
        <v>432.75560810692139</v>
      </c>
    </row>
    <row r="104" spans="1:19" x14ac:dyDescent="0.2">
      <c r="A104" s="23" t="s">
        <v>555</v>
      </c>
      <c r="B104" s="8"/>
      <c r="C104" s="8"/>
      <c r="D104" s="62">
        <f>(D32+D33+D34+D35+D36)*INDEX(Assumptions!$B:$B,MATCH("Working capital per sat ($mm/sat): ΔWC T0",Assumptions!$A$1:$A$327,0))</f>
        <v>21.504000000000001</v>
      </c>
      <c r="E104" s="62">
        <f ca="1">(E32+E33+E34+E35+E36)*INDEX(Assumptions!$B:$B,MATCH("Working capital per sat ($mm/sat): ΔWC T0",Assumptions!$A$1:$A$327,0))</f>
        <v>17.904</v>
      </c>
      <c r="F104" s="62">
        <f ca="1">(F32+F33+F34+F35+F36)*INDEX(Assumptions!$B:$B,MATCH("Working capital per sat ($mm/sat): ΔWC T0",Assumptions!$A$1:$A$327,0))</f>
        <v>21.897676502449965</v>
      </c>
      <c r="G104" s="62">
        <f ca="1">(G32+G33+G34+G35+G36)*INDEX(Assumptions!$B:$B,MATCH("Working capital per sat ($mm/sat): ΔWC T0",Assumptions!$A$1:$A$327,0))</f>
        <v>49.790899805251556</v>
      </c>
      <c r="H104" s="62">
        <f ca="1">(H32+H33+H34+H35+H36)*INDEX(Assumptions!$B:$B,MATCH("Working capital per sat ($mm/sat): ΔWC T0",Assumptions!$A$1:$A$327,0))</f>
        <v>117.04075470724565</v>
      </c>
      <c r="I104" s="62">
        <f ca="1">(I32+I33+I34+I35+I36)*INDEX(Assumptions!$B:$B,MATCH("Working capital per sat ($mm/sat): ΔWC T0",Assumptions!$A$1:$A$327,0))</f>
        <v>177.64871852802352</v>
      </c>
      <c r="J104" s="62">
        <f ca="1">(J32+J33+J34+J35+J36)*INDEX(Assumptions!$B:$B,MATCH("Working capital per sat ($mm/sat): ΔWC T0",Assumptions!$A$1:$A$327,0))</f>
        <v>281.57612686483299</v>
      </c>
      <c r="K104" s="62">
        <f ca="1">(K32+K33+K34+K35+K36)*INDEX(Assumptions!$B:$B,MATCH("Working capital per sat ($mm/sat): ΔWC T0",Assumptions!$A$1:$A$327,0))</f>
        <v>200.33510589526642</v>
      </c>
      <c r="L104" s="62">
        <f ca="1">(L32+L33+L34+L35+L36)*INDEX(Assumptions!$B:$B,MATCH("Working capital per sat ($mm/sat): ΔWC T0",Assumptions!$A$1:$A$327,0))</f>
        <v>242.67381687237619</v>
      </c>
      <c r="M104" s="62">
        <f ca="1">(M32+M33+M34+M35+M36)*INDEX(Assumptions!$B:$B,MATCH("Working capital per sat ($mm/sat): ΔWC T0",Assumptions!$A$1:$A$327,0))</f>
        <v>349.1057230888423</v>
      </c>
      <c r="N104" s="62">
        <f ca="1">(N32+N33+N34+N35+N36)*INDEX(Assumptions!$B:$B,MATCH("Working capital per sat ($mm/sat): ΔWC T0",Assumptions!$A$1:$A$327,0))</f>
        <v>412.69639373916135</v>
      </c>
      <c r="O104" s="62">
        <f ca="1">(O32+O33+O34+O35+O36)*INDEX(Assumptions!$B:$B,MATCH("Working capital per sat ($mm/sat): ΔWC T0",Assumptions!$A$1:$A$327,0))</f>
        <v>575.07122165990347</v>
      </c>
      <c r="P104" s="62">
        <f ca="1">(P32+P33+P34+P35+P36)*INDEX(Assumptions!$B:$B,MATCH("Working capital per sat ($mm/sat): ΔWC T0",Assumptions!$A$1:$A$327,0))</f>
        <v>509.65491752635319</v>
      </c>
      <c r="Q104" s="62">
        <f ca="1">(Q32+Q33+Q34+Q35+Q36)*INDEX(Assumptions!$B:$B,MATCH("Working capital per sat ($mm/sat): ΔWC T0",Assumptions!$A$1:$A$327,0))</f>
        <v>284.01973043711916</v>
      </c>
      <c r="R104" s="62">
        <f ca="1">(R32+R33+R34+R35+R36)*INDEX(Assumptions!$B:$B,MATCH("Working capital per sat ($mm/sat): ΔWC T0",Assumptions!$A$1:$A$327,0))</f>
        <v>195.91387032879638</v>
      </c>
      <c r="S104" s="62">
        <f ca="1">(S32+S33+S34+S35+S36)*INDEX(Assumptions!$B:$B,MATCH("Working capital per sat ($mm/sat): ΔWC T0",Assumptions!$A$1:$A$327,0))</f>
        <v>199.51213968733788</v>
      </c>
    </row>
    <row r="105" spans="1:19" x14ac:dyDescent="0.2">
      <c r="A105" s="20" t="s">
        <v>556</v>
      </c>
      <c r="B105" s="20"/>
      <c r="C105" s="20"/>
      <c r="D105" s="87">
        <f t="shared" ref="D105:S105" ca="1" si="24">SUM(D101:D104)</f>
        <v>2007.9793406593408</v>
      </c>
      <c r="E105" s="87">
        <f t="shared" ca="1" si="24"/>
        <v>1714.4918219284275</v>
      </c>
      <c r="F105" s="87">
        <f t="shared" ca="1" si="24"/>
        <v>6918.8609654023821</v>
      </c>
      <c r="G105" s="87">
        <f t="shared" ca="1" si="24"/>
        <v>14418.86235570158</v>
      </c>
      <c r="H105" s="87">
        <f t="shared" ca="1" si="24"/>
        <v>30747.468886813833</v>
      </c>
      <c r="I105" s="87">
        <f t="shared" ca="1" si="24"/>
        <v>42228.726511789231</v>
      </c>
      <c r="J105" s="87">
        <f t="shared" ca="1" si="24"/>
        <v>63773.209930108671</v>
      </c>
      <c r="K105" s="87">
        <f t="shared" ca="1" si="24"/>
        <v>40751.195188369697</v>
      </c>
      <c r="L105" s="87">
        <f t="shared" ca="1" si="24"/>
        <v>48285.677359015157</v>
      </c>
      <c r="M105" s="87">
        <f t="shared" ca="1" si="24"/>
        <v>69200.798159128593</v>
      </c>
      <c r="N105" s="87">
        <f t="shared" ca="1" si="24"/>
        <v>79978.278086621649</v>
      </c>
      <c r="O105" s="87">
        <f t="shared" ca="1" si="24"/>
        <v>111234.77078136329</v>
      </c>
      <c r="P105" s="87">
        <f t="shared" ca="1" si="24"/>
        <v>93224.082515170536</v>
      </c>
      <c r="Q105" s="87">
        <f t="shared" ca="1" si="24"/>
        <v>51083.432228630241</v>
      </c>
      <c r="R105" s="87">
        <f t="shared" ca="1" si="24"/>
        <v>35092.623804714014</v>
      </c>
      <c r="S105" s="87">
        <f t="shared" ca="1" si="24"/>
        <v>35814.144100924284</v>
      </c>
    </row>
    <row r="106" spans="1:19" x14ac:dyDescent="0.2">
      <c r="A106" s="23" t="s">
        <v>557</v>
      </c>
      <c r="B106" s="8"/>
      <c r="C106" s="8"/>
      <c r="D106" s="79">
        <f t="shared" ref="D106:S106" ca="1" si="25">D98+D97-D105</f>
        <v>3126.4137464819987</v>
      </c>
      <c r="E106" s="76">
        <f t="shared" ca="1" si="25"/>
        <v>6359.0186416780225</v>
      </c>
      <c r="F106" s="76">
        <f t="shared" ca="1" si="25"/>
        <v>22513.210567419883</v>
      </c>
      <c r="G106" s="76">
        <f t="shared" ca="1" si="25"/>
        <v>48401.674487812212</v>
      </c>
      <c r="H106" s="76">
        <f t="shared" ca="1" si="25"/>
        <v>78429.01977020198</v>
      </c>
      <c r="I106" s="76">
        <f t="shared" ca="1" si="25"/>
        <v>116790.8025496164</v>
      </c>
      <c r="J106" s="76">
        <f t="shared" ca="1" si="25"/>
        <v>134729.61228559603</v>
      </c>
      <c r="K106" s="76">
        <f t="shared" ca="1" si="25"/>
        <v>182066.27115974622</v>
      </c>
      <c r="L106" s="76">
        <f t="shared" ca="1" si="25"/>
        <v>186773.10504528868</v>
      </c>
      <c r="M106" s="76">
        <f t="shared" ca="1" si="25"/>
        <v>174870.12967636937</v>
      </c>
      <c r="N106" s="76">
        <f t="shared" ca="1" si="25"/>
        <v>177481.67315435561</v>
      </c>
      <c r="O106" s="76">
        <f t="shared" ca="1" si="25"/>
        <v>162837.21560271189</v>
      </c>
      <c r="P106" s="76">
        <f t="shared" ca="1" si="25"/>
        <v>198174.44551177553</v>
      </c>
      <c r="Q106" s="76">
        <f t="shared" ca="1" si="25"/>
        <v>253853.07209925959</v>
      </c>
      <c r="R106" s="76">
        <f t="shared" ca="1" si="25"/>
        <v>278745.22340341378</v>
      </c>
      <c r="S106" s="76">
        <f t="shared" ca="1" si="25"/>
        <v>284445.56728912494</v>
      </c>
    </row>
    <row r="107" spans="1:19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x14ac:dyDescent="0.2">
      <c r="A108" s="18" t="s">
        <v>1309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spans="1:19" x14ac:dyDescent="0.2">
      <c r="A109" s="22" t="s">
        <v>558</v>
      </c>
      <c r="B109" s="8"/>
      <c r="C109" s="8"/>
      <c r="D109" s="70">
        <f t="array" ref="D109">INDEX('Demand Curves'!$D:$AC,MATCH("Memo: Average $/Gbps BB from curve",'Demand Curves'!$A$1:$A$167,0),COLUMN()-COLUMN($D109)+1)</f>
        <v>13740.780937637996</v>
      </c>
      <c r="E109" s="70">
        <f t="array" aca="1" ref="E109" ca="1">INDEX('Demand Curves'!$D:$AC,MATCH("Memo: Average $/Gbps BB from curve",'Demand Curves'!$A$1:$A$167,0),COLUMN()-COLUMN($D109)+1)</f>
        <v>12352.493416386587</v>
      </c>
      <c r="F109" s="70">
        <f t="array" aca="1" ref="F109" ca="1">INDEX('Demand Curves'!$D:$AC,MATCH("Memo: Average $/Gbps BB from curve",'Demand Curves'!$A$1:$A$167,0),COLUMN()-COLUMN($D109)+1)</f>
        <v>8072.9197720087168</v>
      </c>
      <c r="G109" s="70">
        <f t="array" aca="1" ref="G109" ca="1">INDEX('Demand Curves'!$D:$AC,MATCH("Memo: Average $/Gbps BB from curve",'Demand Curves'!$A$1:$A$167,0),COLUMN()-COLUMN($D109)+1)</f>
        <v>5788.5535784933045</v>
      </c>
      <c r="H109" s="70">
        <f t="array" aca="1" ref="H109" ca="1">INDEX('Demand Curves'!$D:$AC,MATCH("Memo: Average $/Gbps BB from curve",'Demand Curves'!$A$1:$A$167,0),COLUMN()-COLUMN($D109)+1)</f>
        <v>3917.7146217481481</v>
      </c>
      <c r="I109" s="70">
        <f t="array" aca="1" ref="I109" ca="1">INDEX('Demand Curves'!$D:$AC,MATCH("Memo: Average $/Gbps BB from curve",'Demand Curves'!$A$1:$A$167,0),COLUMN()-COLUMN($D109)+1)</f>
        <v>3505.2852756866769</v>
      </c>
      <c r="J109" s="70">
        <f t="array" aca="1" ref="J109" ca="1">INDEX('Demand Curves'!$D:$AC,MATCH("Memo: Average $/Gbps BB from curve",'Demand Curves'!$A$1:$A$167,0),COLUMN()-COLUMN($D109)+1)</f>
        <v>2697.457896871807</v>
      </c>
      <c r="K109" s="70">
        <f t="array" aca="1" ref="K109" ca="1">INDEX('Demand Curves'!$D:$AC,MATCH("Memo: Average $/Gbps BB from curve",'Demand Curves'!$A$1:$A$167,0),COLUMN()-COLUMN($D109)+1)</f>
        <v>2578.6630442885794</v>
      </c>
      <c r="L109" s="70">
        <f t="array" aca="1" ref="L109" ca="1">INDEX('Demand Curves'!$D:$AC,MATCH("Memo: Average $/Gbps BB from curve",'Demand Curves'!$A$1:$A$167,0),COLUMN()-COLUMN($D109)+1)</f>
        <v>2541.8651470958903</v>
      </c>
      <c r="M109" s="70">
        <f t="array" aca="1" ref="M109" ca="1">INDEX('Demand Curves'!$D:$AC,MATCH("Memo: Average $/Gbps BB from curve",'Demand Curves'!$A$1:$A$167,0),COLUMN()-COLUMN($D109)+1)</f>
        <v>2528.8965504346083</v>
      </c>
      <c r="N109" s="70">
        <f t="array" aca="1" ref="N109" ca="1">INDEX('Demand Curves'!$D:$AC,MATCH("Memo: Average $/Gbps BB from curve",'Demand Curves'!$A$1:$A$167,0),COLUMN()-COLUMN($D109)+1)</f>
        <v>2200.143616432279</v>
      </c>
      <c r="O109" s="70">
        <f t="array" aca="1" ref="O109" ca="1">INDEX('Demand Curves'!$D:$AC,MATCH("Memo: Average $/Gbps BB from curve",'Demand Curves'!$A$1:$A$167,0),COLUMN()-COLUMN($D109)+1)</f>
        <v>1792.2902199431699</v>
      </c>
      <c r="P109" s="70">
        <f t="array" aca="1" ref="P109" ca="1">INDEX('Demand Curves'!$D:$AC,MATCH("Memo: Average $/Gbps BB from curve",'Demand Curves'!$A$1:$A$167,0),COLUMN()-COLUMN($D109)+1)</f>
        <v>1465.5575871275898</v>
      </c>
      <c r="Q109" s="70">
        <f t="array" aca="1" ref="Q109" ca="1">INDEX('Demand Curves'!$D:$AC,MATCH("Memo: Average $/Gbps BB from curve",'Demand Curves'!$A$1:$A$167,0),COLUMN()-COLUMN($D109)+1)</f>
        <v>1393.4746823804774</v>
      </c>
      <c r="R109" s="70">
        <f t="array" aca="1" ref="R109" ca="1">INDEX('Demand Curves'!$D:$AC,MATCH("Memo: Average $/Gbps BB from curve",'Demand Curves'!$A$1:$A$167,0),COLUMN()-COLUMN($D109)+1)</f>
        <v>1445.329349227188</v>
      </c>
      <c r="S109" s="70">
        <f t="array" aca="1" ref="S109" ca="1">INDEX('Demand Curves'!$D:$AC,MATCH("Memo: Average $/Gbps BB from curve",'Demand Curves'!$A$1:$A$167,0),COLUMN()-COLUMN($D109)+1)</f>
        <v>1567.4334286956821</v>
      </c>
    </row>
    <row r="110" spans="1:19" x14ac:dyDescent="0.2">
      <c r="A110" s="23" t="s">
        <v>559</v>
      </c>
      <c r="B110" s="8"/>
      <c r="C110" s="8"/>
      <c r="D110" s="70">
        <f t="array" ref="D110">INDEX('Demand Curves'!$D:$AC,MATCH("Memo: Average $/Gbps DTC from curve",'Demand Curves'!$A$1:$A$167,0),COLUMN()-COLUMN($D110)+1)</f>
        <v>1094104.6481597435</v>
      </c>
      <c r="E110" s="70">
        <f t="array" ref="E110">INDEX('Demand Curves'!$D:$AC,MATCH("Memo: Average $/Gbps DTC from curve",'Demand Curves'!$A$1:$A$167,0),COLUMN()-COLUMN($D110)+1)</f>
        <v>1375055.0917407633</v>
      </c>
      <c r="F110" s="70">
        <f t="array" aca="1" ref="F110" ca="1">INDEX('Demand Curves'!$D:$AC,MATCH("Memo: Average $/Gbps DTC from curve",'Demand Curves'!$A$1:$A$167,0),COLUMN()-COLUMN($D110)+1)</f>
        <v>1672541.0772769745</v>
      </c>
      <c r="G110" s="70">
        <f t="array" aca="1" ref="G110" ca="1">INDEX('Demand Curves'!$D:$AC,MATCH("Memo: Average $/Gbps DTC from curve",'Demand Curves'!$A$1:$A$167,0),COLUMN()-COLUMN($D110)+1)</f>
        <v>1986770.8496367044</v>
      </c>
      <c r="H110" s="70">
        <f t="array" aca="1" ref="H110" ca="1">INDEX('Demand Curves'!$D:$AC,MATCH("Memo: Average $/Gbps DTC from curve",'Demand Curves'!$A$1:$A$167,0),COLUMN()-COLUMN($D110)+1)</f>
        <v>2317957.1296599815</v>
      </c>
      <c r="I110" s="70">
        <f t="array" aca="1" ref="I110" ca="1">INDEX('Demand Curves'!$D:$AC,MATCH("Memo: Average $/Gbps DTC from curve",'Demand Curves'!$A$1:$A$167,0),COLUMN()-COLUMN($D110)+1)</f>
        <v>1363941.3533987089</v>
      </c>
      <c r="J110" s="70">
        <f t="array" aca="1" ref="J110" ca="1">INDEX('Demand Curves'!$D:$AC,MATCH("Memo: Average $/Gbps DTC from curve",'Demand Curves'!$A$1:$A$167,0),COLUMN()-COLUMN($D110)+1)</f>
        <v>848946.28217325371</v>
      </c>
      <c r="K110" s="70">
        <f t="array" aca="1" ref="K110" ca="1">INDEX('Demand Curves'!$D:$AC,MATCH("Memo: Average $/Gbps DTC from curve",'Demand Curves'!$A$1:$A$167,0),COLUMN()-COLUMN($D110)+1)</f>
        <v>674279.29562732519</v>
      </c>
      <c r="L110" s="70">
        <f t="array" aca="1" ref="L110" ca="1">INDEX('Demand Curves'!$D:$AC,MATCH("Memo: Average $/Gbps DTC from curve",'Demand Curves'!$A$1:$A$167,0),COLUMN()-COLUMN($D110)+1)</f>
        <v>506082.45005724137</v>
      </c>
      <c r="M110" s="70">
        <f t="array" aca="1" ref="M110" ca="1">INDEX('Demand Curves'!$D:$AC,MATCH("Memo: Average $/Gbps DTC from curve",'Demand Curves'!$A$1:$A$167,0),COLUMN()-COLUMN($D110)+1)</f>
        <v>378482.90681745525</v>
      </c>
      <c r="N110" s="70">
        <f t="array" aca="1" ref="N110" ca="1">INDEX('Demand Curves'!$D:$AC,MATCH("Memo: Average $/Gbps DTC from curve",'Demand Curves'!$A$1:$A$167,0),COLUMN()-COLUMN($D110)+1)</f>
        <v>332706.31819459458</v>
      </c>
      <c r="O110" s="70">
        <f t="array" aca="1" ref="O110" ca="1">INDEX('Demand Curves'!$D:$AC,MATCH("Memo: Average $/Gbps DTC from curve",'Demand Curves'!$A$1:$A$167,0),COLUMN()-COLUMN($D110)+1)</f>
        <v>302993.85503911984</v>
      </c>
      <c r="P110" s="70">
        <f t="array" aca="1" ref="P110" ca="1">INDEX('Demand Curves'!$D:$AC,MATCH("Memo: Average $/Gbps DTC from curve",'Demand Curves'!$A$1:$A$167,0),COLUMN()-COLUMN($D110)+1)</f>
        <v>287141.73491623887</v>
      </c>
      <c r="Q110" s="70">
        <f t="array" aca="1" ref="Q110" ca="1">INDEX('Demand Curves'!$D:$AC,MATCH("Memo: Average $/Gbps DTC from curve",'Demand Curves'!$A$1:$A$167,0),COLUMN()-COLUMN($D110)+1)</f>
        <v>307271.44541694922</v>
      </c>
      <c r="R110" s="70">
        <f t="array" aca="1" ref="R110" ca="1">INDEX('Demand Curves'!$D:$AC,MATCH("Memo: Average $/Gbps DTC from curve",'Demand Curves'!$A$1:$A$167,0),COLUMN()-COLUMN($D110)+1)</f>
        <v>362284.13599160605</v>
      </c>
      <c r="S110" s="70">
        <f t="array" aca="1" ref="S110" ca="1">INDEX('Demand Curves'!$D:$AC,MATCH("Memo: Average $/Gbps DTC from curve",'Demand Curves'!$A$1:$A$167,0),COLUMN()-COLUMN($D110)+1)</f>
        <v>441734.74538600695</v>
      </c>
    </row>
    <row r="111" spans="1:19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x14ac:dyDescent="0.2">
      <c r="A112" s="23" t="s">
        <v>1470</v>
      </c>
      <c r="B112" s="8"/>
      <c r="C112" s="8"/>
      <c r="D112" s="63">
        <f>IFERROR(D$109*INDEX(Assumptions!$B:$B,MATCH("V2 BB Gbps per sat",Assumptions!$A$1:$A$327,0))*D$21/1000000*(1-(D$87+D$75+D$76)/D$65) - INDEX(Assumptions!$B:$B,MATCH("Bandwidth/peering cost per Gbps ($mm/Gbps-yr)",Assumptions!$A$1:$A$327,0))*INDEX(Assumptions!$B:$B,MATCH("V2 BB Gbps per sat",Assumptions!$A$1:$A$327,0))*D$21, 0)</f>
        <v>0.6370676076327324</v>
      </c>
      <c r="E112" s="63">
        <f ca="1">IFERROR(E$109*INDEX(Assumptions!$B:$B,MATCH("V2 BB Gbps per sat",Assumptions!$A$1:$A$327,0))*E$21/1000000*(1-(E$87+E$75+E$76)/E$65) - INDEX(Assumptions!$B:$B,MATCH("Bandwidth/peering cost per Gbps ($mm/Gbps-yr)",Assumptions!$A$1:$A$327,0))*INDEX(Assumptions!$B:$B,MATCH("V2 BB Gbps per sat",Assumptions!$A$1:$A$327,0))*E$21, 0)</f>
        <v>0.56492192074960612</v>
      </c>
      <c r="F112" s="63">
        <f ca="1">IFERROR(F$109*INDEX(Assumptions!$B:$B,MATCH("V2 BB Gbps per sat",Assumptions!$A$1:$A$327,0))*F$21/1000000*(1-(F$87+F$75+F$76)/F$65) - INDEX(Assumptions!$B:$B,MATCH("Bandwidth/peering cost per Gbps ($mm/Gbps-yr)",Assumptions!$A$1:$A$327,0))*INDEX(Assumptions!$B:$B,MATCH("V2 BB Gbps per sat",Assumptions!$A$1:$A$327,0))*F$21, 0)</f>
        <v>0.3265722065673804</v>
      </c>
      <c r="G112" s="63">
        <f ca="1">IFERROR(G$109*INDEX(Assumptions!$B:$B,MATCH("V2 BB Gbps per sat",Assumptions!$A$1:$A$327,0))*G$21/1000000*(1-(G$87+G$75+G$76)/G$65) - INDEX(Assumptions!$B:$B,MATCH("Bandwidth/peering cost per Gbps ($mm/Gbps-yr)",Assumptions!$A$1:$A$327,0))*INDEX(Assumptions!$B:$B,MATCH("V2 BB Gbps per sat",Assumptions!$A$1:$A$327,0))*G$21, 0)</f>
        <v>0.19815102313918723</v>
      </c>
      <c r="H112" s="63">
        <f ca="1">IFERROR(H$109*INDEX(Assumptions!$B:$B,MATCH("V2 BB Gbps per sat",Assumptions!$A$1:$A$327,0))*H$21/1000000*(1-(H$87+H$75+H$76)/H$65) - INDEX(Assumptions!$B:$B,MATCH("Bandwidth/peering cost per Gbps ($mm/Gbps-yr)",Assumptions!$A$1:$A$327,0))*INDEX(Assumptions!$B:$B,MATCH("V2 BB Gbps per sat",Assumptions!$A$1:$A$327,0))*H$21, 0)</f>
        <v>9.1976265740754543E-2</v>
      </c>
      <c r="I112" s="63">
        <f ca="1">IFERROR(I$109*INDEX(Assumptions!$B:$B,MATCH("V2 BB Gbps per sat",Assumptions!$A$1:$A$327,0))*I$21/1000000*(1-(I$87+I$75+I$76)/I$65) - INDEX(Assumptions!$B:$B,MATCH("Bandwidth/peering cost per Gbps ($mm/Gbps-yr)",Assumptions!$A$1:$A$327,0))*INDEX(Assumptions!$B:$B,MATCH("V2 BB Gbps per sat",Assumptions!$A$1:$A$327,0))*I$21, 0)</f>
        <v>6.8938465393738269E-2</v>
      </c>
      <c r="J112" s="63">
        <f ca="1">IFERROR(J$109*INDEX(Assumptions!$B:$B,MATCH("V2 BB Gbps per sat",Assumptions!$A$1:$A$327,0))*J$21/1000000*(1-(J$87+J$75+J$76)/J$65) - INDEX(Assumptions!$B:$B,MATCH("Bandwidth/peering cost per Gbps ($mm/Gbps-yr)",Assumptions!$A$1:$A$327,0))*INDEX(Assumptions!$B:$B,MATCH("V2 BB Gbps per sat",Assumptions!$A$1:$A$327,0))*J$21, 0)</f>
        <v>2.2237636770446156E-2</v>
      </c>
      <c r="K112" s="63">
        <f ca="1">IFERROR(K$109*INDEX(Assumptions!$B:$B,MATCH("V2 BB Gbps per sat",Assumptions!$A$1:$A$327,0))*K$21/1000000*(1-(K$87+K$75+K$76)/K$65) - INDEX(Assumptions!$B:$B,MATCH("Bandwidth/peering cost per Gbps ($mm/Gbps-yr)",Assumptions!$A$1:$A$327,0))*INDEX(Assumptions!$B:$B,MATCH("V2 BB Gbps per sat",Assumptions!$A$1:$A$327,0))*K$21, 0)</f>
        <v>1.5162968136188476E-2</v>
      </c>
      <c r="L112" s="63">
        <f ca="1">IFERROR(L$109*INDEX(Assumptions!$B:$B,MATCH("V2 BB Gbps per sat",Assumptions!$A$1:$A$327,0))*L$21/1000000*(1-(L$87+L$75+L$76)/L$65) - INDEX(Assumptions!$B:$B,MATCH("Bandwidth/peering cost per Gbps ($mm/Gbps-yr)",Assumptions!$A$1:$A$327,0))*INDEX(Assumptions!$B:$B,MATCH("V2 BB Gbps per sat",Assumptions!$A$1:$A$327,0))*L$21, 0)</f>
        <v>1.3007045489572377E-2</v>
      </c>
      <c r="M112" s="63">
        <f ca="1">IFERROR(M$109*INDEX(Assumptions!$B:$B,MATCH("V2 BB Gbps per sat",Assumptions!$A$1:$A$327,0))*M$21/1000000*(1-(M$87+M$75+M$76)/M$65) - INDEX(Assumptions!$B:$B,MATCH("Bandwidth/peering cost per Gbps ($mm/Gbps-yr)",Assumptions!$A$1:$A$327,0))*INDEX(Assumptions!$B:$B,MATCH("V2 BB Gbps per sat",Assumptions!$A$1:$A$327,0))*M$21, 0)</f>
        <v>1.2246849861130754E-2</v>
      </c>
      <c r="N112" s="63">
        <f ca="1">IFERROR(N$109*INDEX(Assumptions!$B:$B,MATCH("V2 BB Gbps per sat",Assumptions!$A$1:$A$327,0))*N$21/1000000*(1-(N$87+N$75+N$76)/N$65) - INDEX(Assumptions!$B:$B,MATCH("Bandwidth/peering cost per Gbps ($mm/Gbps-yr)",Assumptions!$A$1:$A$327,0))*INDEX(Assumptions!$B:$B,MATCH("V2 BB Gbps per sat",Assumptions!$A$1:$A$327,0))*N$21, 0)</f>
        <v>-6.7759489699273645E-3</v>
      </c>
      <c r="O112" s="63">
        <f ca="1">IFERROR(O$109*INDEX(Assumptions!$B:$B,MATCH("V2 BB Gbps per sat",Assumptions!$A$1:$A$327,0))*O$21/1000000*(1-(O$87+O$75+O$76)/O$65) - INDEX(Assumptions!$B:$B,MATCH("Bandwidth/peering cost per Gbps ($mm/Gbps-yr)",Assumptions!$A$1:$A$327,0))*INDEX(Assumptions!$B:$B,MATCH("V2 BB Gbps per sat",Assumptions!$A$1:$A$327,0))*O$21, 0)</f>
        <v>-3.0438976284296662E-2</v>
      </c>
      <c r="P112" s="63">
        <f ca="1">IFERROR(P$109*INDEX(Assumptions!$B:$B,MATCH("V2 BB Gbps per sat",Assumptions!$A$1:$A$327,0))*P$21/1000000*(1-(P$87+P$75+P$76)/P$65) - INDEX(Assumptions!$B:$B,MATCH("Bandwidth/peering cost per Gbps ($mm/Gbps-yr)",Assumptions!$A$1:$A$327,0))*INDEX(Assumptions!$B:$B,MATCH("V2 BB Gbps per sat",Assumptions!$A$1:$A$327,0))*P$21, 0)</f>
        <v>-4.93953134321201E-2</v>
      </c>
      <c r="Q112" s="63">
        <f ca="1">IFERROR(Q$109*INDEX(Assumptions!$B:$B,MATCH("V2 BB Gbps per sat",Assumptions!$A$1:$A$327,0))*Q$21/1000000*(1-(Q$87+Q$75+Q$76)/Q$65) - INDEX(Assumptions!$B:$B,MATCH("Bandwidth/peering cost per Gbps ($mm/Gbps-yr)",Assumptions!$A$1:$A$327,0))*INDEX(Assumptions!$B:$B,MATCH("V2 BB Gbps per sat",Assumptions!$A$1:$A$327,0))*Q$21, 0)</f>
        <v>-5.3598991468200505E-2</v>
      </c>
      <c r="R112" s="63">
        <f ca="1">IFERROR(R$109*INDEX(Assumptions!$B:$B,MATCH("V2 BB Gbps per sat",Assumptions!$A$1:$A$327,0))*R$21/1000000*(1-(R$87+R$75+R$76)/R$65) - INDEX(Assumptions!$B:$B,MATCH("Bandwidth/peering cost per Gbps ($mm/Gbps-yr)",Assumptions!$A$1:$A$327,0))*INDEX(Assumptions!$B:$B,MATCH("V2 BB Gbps per sat",Assumptions!$A$1:$A$327,0))*R$21, 0)</f>
        <v>-5.0603439047259655E-2</v>
      </c>
      <c r="S112" s="63">
        <f ca="1">IFERROR(S$109*INDEX(Assumptions!$B:$B,MATCH("V2 BB Gbps per sat",Assumptions!$A$1:$A$327,0))*S$21/1000000*(1-(S$87+S$75+S$76)/S$65) - INDEX(Assumptions!$B:$B,MATCH("Bandwidth/peering cost per Gbps ($mm/Gbps-yr)",Assumptions!$A$1:$A$327,0))*INDEX(Assumptions!$B:$B,MATCH("V2 BB Gbps per sat",Assumptions!$A$1:$A$327,0))*S$21, 0)</f>
        <v>-4.3529165889838392E-2</v>
      </c>
    </row>
    <row r="113" spans="1:19" x14ac:dyDescent="0.2">
      <c r="A113" s="22" t="s">
        <v>1471</v>
      </c>
      <c r="B113" s="8"/>
      <c r="C113" s="8"/>
      <c r="D113" s="66">
        <f>D$143*INDEX(Assumptions!$B:$B,MATCH("V2 BB sat mass (kg)",Assumptions!$A$1:$A$327,0))/1000000 + IFERROR(D$13/INDEX(Assumptions!$B:$B,MATCH("F9 sats per launch (V2 packing)",Assumptions!$A$1:$A$327,0)),0) + INDEX(Assumptions!$B:$B,MATCH("Working capital per sat ($mm/sat): ΔWC T0",Assumptions!$A$1:$A$327,0))</f>
        <v>1.1479807692307693</v>
      </c>
      <c r="E113" s="66">
        <f>E$143*INDEX(Assumptions!$B:$B,MATCH("V2 BB sat mass (kg)",Assumptions!$A$1:$A$327,0))/1000000 + IFERROR(E$13/INDEX(Assumptions!$B:$B,MATCH("F9 sats per launch (V2 packing)",Assumptions!$A$1:$A$327,0)),0) + IFERROR(SUM($D$102:D102)/D142,0) + INDEX(Assumptions!$B:$B,MATCH("Working capital per sat ($mm/sat): ΔWC T0",Assumptions!$A$1:$A$327,0))</f>
        <v>1.1605523122710624</v>
      </c>
      <c r="F113" s="66">
        <f ca="1">F$143*INDEX(Assumptions!$B:$B,MATCH("V2 BB sat mass (kg)",Assumptions!$A$1:$A$327,0))/1000000 + IFERROR(F$13/INDEX(Assumptions!$B:$B,MATCH("F9 sats per launch (V2 packing)",Assumptions!$A$1:$A$327,0)),0) + IFERROR(SUM($D$102:E102)/E142,0) + INDEX(Assumptions!$B:$B,MATCH("Working capital per sat ($mm/sat): ΔWC T0",Assumptions!$A$1:$A$327,0))</f>
        <v>1.1376371629121576</v>
      </c>
      <c r="G113" s="66">
        <f ca="1">G$143*INDEX(Assumptions!$B:$B,MATCH("V2 BB sat mass (kg)",Assumptions!$A$1:$A$327,0))/1000000 + IFERROR(G$13/INDEX(Assumptions!$B:$B,MATCH("F9 sats per launch (V2 packing)",Assumptions!$A$1:$A$327,0)),0) + IFERROR(SUM($D$102:F102)/F142,0) + INDEX(Assumptions!$B:$B,MATCH("Working capital per sat ($mm/sat): ΔWC T0",Assumptions!$A$1:$A$327,0))</f>
        <v>1.1491074947209348</v>
      </c>
      <c r="H113" s="66">
        <f ca="1">H$143*INDEX(Assumptions!$B:$B,MATCH("V2 BB sat mass (kg)",Assumptions!$A$1:$A$327,0))/1000000 + IFERROR(H$13/INDEX(Assumptions!$B:$B,MATCH("F9 sats per launch (V2 packing)",Assumptions!$A$1:$A$327,0)),0) + IFERROR(SUM($D$102:G102)/G142,0) + INDEX(Assumptions!$B:$B,MATCH("Working capital per sat ($mm/sat): ΔWC T0",Assumptions!$A$1:$A$327,0))</f>
        <v>1.1287272087060747</v>
      </c>
      <c r="I113" s="66">
        <f ca="1">I$143*INDEX(Assumptions!$B:$B,MATCH("V2 BB sat mass (kg)",Assumptions!$A$1:$A$327,0))/1000000 + IFERROR(I$13/INDEX(Assumptions!$B:$B,MATCH("F9 sats per launch (V2 packing)",Assumptions!$A$1:$A$327,0)),0) + IFERROR(SUM($D$102:H102)/H142,0) + INDEX(Assumptions!$B:$B,MATCH("Working capital per sat ($mm/sat): ΔWC T0",Assumptions!$A$1:$A$327,0))</f>
        <v>1.0931626796664002</v>
      </c>
      <c r="J113" s="66">
        <f ca="1">J$143*INDEX(Assumptions!$B:$B,MATCH("V2 BB sat mass (kg)",Assumptions!$A$1:$A$327,0))/1000000 + IFERROR(J$13/INDEX(Assumptions!$B:$B,MATCH("F9 sats per launch (V2 packing)",Assumptions!$A$1:$A$327,0)),0) + IFERROR(SUM($D$102:I102)/I142,0) + INDEX(Assumptions!$B:$B,MATCH("Working capital per sat ($mm/sat): ΔWC T0",Assumptions!$A$1:$A$327,0))</f>
        <v>1.0493814816605842</v>
      </c>
      <c r="K113" s="66">
        <f ca="1">K$143*INDEX(Assumptions!$B:$B,MATCH("V2 BB sat mass (kg)",Assumptions!$A$1:$A$327,0))/1000000 + IFERROR(K$13/INDEX(Assumptions!$B:$B,MATCH("F9 sats per launch (V2 packing)",Assumptions!$A$1:$A$327,0)),0) + IFERROR(SUM($D$102:J102)/J142,0) + INDEX(Assumptions!$B:$B,MATCH("Working capital per sat ($mm/sat): ΔWC T0",Assumptions!$A$1:$A$327,0))</f>
        <v>1.016552862267903</v>
      </c>
      <c r="L113" s="66">
        <f ca="1">L$143*INDEX(Assumptions!$B:$B,MATCH("V2 BB sat mass (kg)",Assumptions!$A$1:$A$327,0))/1000000 + IFERROR(L$13/INDEX(Assumptions!$B:$B,MATCH("F9 sats per launch (V2 packing)",Assumptions!$A$1:$A$327,0)),0) + IFERROR(SUM($D$102:K102)/K142,0) + INDEX(Assumptions!$B:$B,MATCH("Working capital per sat ($mm/sat): ΔWC T0",Assumptions!$A$1:$A$327,0))</f>
        <v>0.98540767976573662</v>
      </c>
      <c r="M113" s="66">
        <f ca="1">M$143*INDEX(Assumptions!$B:$B,MATCH("V2 BB sat mass (kg)",Assumptions!$A$1:$A$327,0))/1000000 + IFERROR(M$13/INDEX(Assumptions!$B:$B,MATCH("F9 sats per launch (V2 packing)",Assumptions!$A$1:$A$327,0)),0) + IFERROR(SUM($D$102:L102)/L142,0) + INDEX(Assumptions!$B:$B,MATCH("Working capital per sat ($mm/sat): ΔWC T0",Assumptions!$A$1:$A$327,0))</f>
        <v>0.95813088920678768</v>
      </c>
      <c r="N113" s="66">
        <f ca="1">N$143*INDEX(Assumptions!$B:$B,MATCH("V2 BB sat mass (kg)",Assumptions!$A$1:$A$327,0))/1000000 + IFERROR(N$13/INDEX(Assumptions!$B:$B,MATCH("F9 sats per launch (V2 packing)",Assumptions!$A$1:$A$327,0)),0) + IFERROR(SUM($D$102:M102)/M142,0) + INDEX(Assumptions!$B:$B,MATCH("Working capital per sat ($mm/sat): ΔWC T0",Assumptions!$A$1:$A$327,0))</f>
        <v>0.93719800170893797</v>
      </c>
      <c r="O113" s="66">
        <f ca="1">O$143*INDEX(Assumptions!$B:$B,MATCH("V2 BB sat mass (kg)",Assumptions!$A$1:$A$327,0))/1000000 + IFERROR(O$13/INDEX(Assumptions!$B:$B,MATCH("F9 sats per launch (V2 packing)",Assumptions!$A$1:$A$327,0)),0) + IFERROR(SUM($D$102:N102)/N142,0) + INDEX(Assumptions!$B:$B,MATCH("Working capital per sat ($mm/sat): ΔWC T0",Assumptions!$A$1:$A$327,0))</f>
        <v>0.91682415628038216</v>
      </c>
      <c r="P113" s="66">
        <f ca="1">P$143*INDEX(Assumptions!$B:$B,MATCH("V2 BB sat mass (kg)",Assumptions!$A$1:$A$327,0))/1000000 + IFERROR(P$13/INDEX(Assumptions!$B:$B,MATCH("F9 sats per launch (V2 packing)",Assumptions!$A$1:$A$327,0)),0) + IFERROR(SUM($D$102:O102)/O142,0) + INDEX(Assumptions!$B:$B,MATCH("Working capital per sat ($mm/sat): ΔWC T0",Assumptions!$A$1:$A$327,0))</f>
        <v>0.90036712384976236</v>
      </c>
      <c r="Q113" s="66">
        <f ca="1">Q$143*INDEX(Assumptions!$B:$B,MATCH("V2 BB sat mass (kg)",Assumptions!$A$1:$A$327,0))/1000000 + IFERROR(Q$13/INDEX(Assumptions!$B:$B,MATCH("F9 sats per launch (V2 packing)",Assumptions!$A$1:$A$327,0)),0) + IFERROR(SUM($D$102:P102)/P142,0) + INDEX(Assumptions!$B:$B,MATCH("Working capital per sat ($mm/sat): ΔWC T0",Assumptions!$A$1:$A$327,0))</f>
        <v>0.87958761688335718</v>
      </c>
      <c r="R113" s="66">
        <f ca="1">R$143*INDEX(Assumptions!$B:$B,MATCH("V2 BB sat mass (kg)",Assumptions!$A$1:$A$327,0))/1000000 + IFERROR(R$13/INDEX(Assumptions!$B:$B,MATCH("F9 sats per launch (V2 packing)",Assumptions!$A$1:$A$327,0)),0) + IFERROR(SUM($D$102:Q102)/Q142,0) + INDEX(Assumptions!$B:$B,MATCH("Working capital per sat ($mm/sat): ΔWC T0",Assumptions!$A$1:$A$327,0))</f>
        <v>0.86392519831215853</v>
      </c>
      <c r="S113" s="66">
        <f ca="1">S$143*INDEX(Assumptions!$B:$B,MATCH("V2 BB sat mass (kg)",Assumptions!$A$1:$A$327,0))/1000000 + IFERROR(S$13/INDEX(Assumptions!$B:$B,MATCH("F9 sats per launch (V2 packing)",Assumptions!$A$1:$A$327,0)),0) + IFERROR(SUM($D$102:R102)/R142,0) + INDEX(Assumptions!$B:$B,MATCH("Working capital per sat ($mm/sat): ΔWC T0",Assumptions!$A$1:$A$327,0))</f>
        <v>0.8500450630595896</v>
      </c>
    </row>
    <row r="114" spans="1:19" x14ac:dyDescent="0.2">
      <c r="A114" s="23" t="s">
        <v>1472</v>
      </c>
      <c r="B114" s="8"/>
      <c r="C114" s="8"/>
      <c r="D114" s="81">
        <f t="shared" ref="D114:S114" si="26">IFERROR(MIN(3, IFERROR(RATE(D$15,D112,-D113,0,0,0.1), IFERROR(RATE(D$15,D112,-D113,0,0,0.5), RATE(D$15,D112,-D113,0,0,1.5)))), IF(D112*D$15&gt;D113,3,0))</f>
        <v>0.47562964264933899</v>
      </c>
      <c r="E114" s="81">
        <f t="shared" ca="1" si="26"/>
        <v>0.39444564748170569</v>
      </c>
      <c r="F114" s="81">
        <f t="shared" ca="1" si="26"/>
        <v>0.1339530663114808</v>
      </c>
      <c r="G114" s="81">
        <f t="shared" ca="1" si="26"/>
        <v>-4.7472577321258251E-2</v>
      </c>
      <c r="H114" s="81">
        <f t="shared" ca="1" si="26"/>
        <v>-0.24009571026748391</v>
      </c>
      <c r="I114" s="81">
        <f t="shared" ca="1" si="26"/>
        <v>-0.29237677017175745</v>
      </c>
      <c r="J114" s="81">
        <f t="shared" ca="1" si="26"/>
        <v>-0.46576384494867923</v>
      </c>
      <c r="K114" s="81">
        <f t="shared" ca="1" si="26"/>
        <v>-0.50928230621575366</v>
      </c>
      <c r="L114" s="81">
        <f t="shared" ca="1" si="26"/>
        <v>-0.52336206339526281</v>
      </c>
      <c r="M114" s="81">
        <f t="shared" ca="1" si="26"/>
        <v>-0.52698007673552782</v>
      </c>
      <c r="N114" s="81">
        <f t="shared" ca="1" si="26"/>
        <v>0</v>
      </c>
      <c r="O114" s="81">
        <f t="shared" ca="1" si="26"/>
        <v>0</v>
      </c>
      <c r="P114" s="81">
        <f t="shared" ca="1" si="26"/>
        <v>0</v>
      </c>
      <c r="Q114" s="81">
        <f t="shared" ca="1" si="26"/>
        <v>0</v>
      </c>
      <c r="R114" s="81">
        <f t="shared" ca="1" si="26"/>
        <v>0</v>
      </c>
      <c r="S114" s="81">
        <f t="shared" ca="1" si="26"/>
        <v>0</v>
      </c>
    </row>
    <row r="115" spans="1:19" x14ac:dyDescent="0.2">
      <c r="A115" s="8"/>
      <c r="B115" s="8"/>
      <c r="C115" s="8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</row>
    <row r="116" spans="1:19" x14ac:dyDescent="0.2">
      <c r="A116" s="9"/>
      <c r="B116" s="8"/>
      <c r="C116" s="8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</row>
    <row r="117" spans="1:19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x14ac:dyDescent="0.2">
      <c r="A118" s="23" t="s">
        <v>1473</v>
      </c>
      <c r="B118" s="8"/>
      <c r="C118" s="8"/>
      <c r="D118" s="63">
        <f>IFERROR(D$110*INDEX(Assumptions!$B:$B,MATCH("Effective DTC Gbps per sat (revenue calibration)",Assumptions!$A$1:$A$327,0))*D$21/1000000*(1-(D$87+D$75+D$76)/D$65) - INDEX(Assumptions!$B:$B,MATCH("Bandwidth/peering cost per Gbps ($mm/Gbps-yr)",Assumptions!$A$1:$A$327,0))*INDEX(Assumptions!$B:$B,MATCH("Effective DTC Gbps per sat (revenue calibration)",Assumptions!$A$1:$A$327,0))*D$21, 0)</f>
        <v>0.56313334794780667</v>
      </c>
      <c r="E118" s="63">
        <f ca="1">IFERROR(E$110*INDEX(Assumptions!$B:$B,MATCH("Effective DTC Gbps per sat (revenue calibration)",Assumptions!$A$1:$A$327,0))*E$21/1000000*(1-(E$87+E$75+E$76)/E$65) - INDEX(Assumptions!$B:$B,MATCH("Bandwidth/peering cost per Gbps ($mm/Gbps-yr)",Assumptions!$A$1:$A$327,0))*INDEX(Assumptions!$B:$B,MATCH("Effective DTC Gbps per sat (revenue calibration)",Assumptions!$A$1:$A$327,0))*E$21, 0)</f>
        <v>0.71398571214323592</v>
      </c>
      <c r="F118" s="63">
        <f ca="1">IFERROR(F$110*INDEX(Assumptions!$B:$B,MATCH("Effective DTC Gbps per sat (revenue calibration)",Assumptions!$A$1:$A$327,0))*F$21/1000000*(1-(F$87+F$75+F$76)/F$65) - INDEX(Assumptions!$B:$B,MATCH("Bandwidth/peering cost per Gbps ($mm/Gbps-yr)",Assumptions!$A$1:$A$327,0))*INDEX(Assumptions!$B:$B,MATCH("Effective DTC Gbps per sat (revenue calibration)",Assumptions!$A$1:$A$327,0))*F$21, 0)</f>
        <v>0.87620685829190748</v>
      </c>
      <c r="G118" s="63">
        <f ca="1">IFERROR(G$110*INDEX(Assumptions!$B:$B,MATCH("Effective DTC Gbps per sat (revenue calibration)",Assumptions!$A$1:$A$327,0))*G$21/1000000*(1-(G$87+G$75+G$76)/G$65) - INDEX(Assumptions!$B:$B,MATCH("Bandwidth/peering cost per Gbps ($mm/Gbps-yr)",Assumptions!$A$1:$A$327,0))*INDEX(Assumptions!$B:$B,MATCH("Effective DTC Gbps per sat (revenue calibration)",Assumptions!$A$1:$A$327,0))*G$21, 0)</f>
        <v>1.0474219635711997</v>
      </c>
      <c r="H118" s="63">
        <f ca="1">IFERROR(H$110*INDEX(Assumptions!$B:$B,MATCH("Effective DTC Gbps per sat (revenue calibration)",Assumptions!$A$1:$A$327,0))*H$21/1000000*(1-(H$87+H$75+H$76)/H$65) - INDEX(Assumptions!$B:$B,MATCH("Bandwidth/peering cost per Gbps ($mm/Gbps-yr)",Assumptions!$A$1:$A$327,0))*INDEX(Assumptions!$B:$B,MATCH("Effective DTC Gbps per sat (revenue calibration)",Assumptions!$A$1:$A$327,0))*H$21, 0)</f>
        <v>1.229319679521403</v>
      </c>
      <c r="I118" s="63">
        <f ca="1">IFERROR(I$110*INDEX(Assumptions!$B:$B,MATCH("Effective DTC Gbps per sat (revenue calibration)",Assumptions!$A$1:$A$327,0))*I$21/1000000*(1-(I$87+I$75+I$76)/I$65) - INDEX(Assumptions!$B:$B,MATCH("Bandwidth/peering cost per Gbps ($mm/Gbps-yr)",Assumptions!$A$1:$A$327,0))*INDEX(Assumptions!$B:$B,MATCH("Effective DTC Gbps per sat (revenue calibration)",Assumptions!$A$1:$A$327,0))*I$21, 0)</f>
        <v>0.72568955888874875</v>
      </c>
      <c r="J118" s="63">
        <f ca="1">IFERROR(J$110*INDEX(Assumptions!$B:$B,MATCH("Effective DTC Gbps per sat (revenue calibration)",Assumptions!$A$1:$A$327,0))*J$21/1000000*(1-(J$87+J$75+J$76)/J$65) - INDEX(Assumptions!$B:$B,MATCH("Bandwidth/peering cost per Gbps ($mm/Gbps-yr)",Assumptions!$A$1:$A$327,0))*INDEX(Assumptions!$B:$B,MATCH("Effective DTC Gbps per sat (revenue calibration)",Assumptions!$A$1:$A$327,0))*J$21, 0)</f>
        <v>0.45168260494393375</v>
      </c>
      <c r="K118" s="63">
        <f ca="1">IFERROR(K$110*INDEX(Assumptions!$B:$B,MATCH("Effective DTC Gbps per sat (revenue calibration)",Assumptions!$A$1:$A$327,0))*K$21/1000000*(1-(K$87+K$75+K$76)/K$65) - INDEX(Assumptions!$B:$B,MATCH("Bandwidth/peering cost per Gbps ($mm/Gbps-yr)",Assumptions!$A$1:$A$327,0))*INDEX(Assumptions!$B:$B,MATCH("Effective DTC Gbps per sat (revenue calibration)",Assumptions!$A$1:$A$327,0))*K$21, 0)</f>
        <v>0.35807300863930425</v>
      </c>
      <c r="L118" s="63">
        <f ca="1">IFERROR(L$110*INDEX(Assumptions!$B:$B,MATCH("Effective DTC Gbps per sat (revenue calibration)",Assumptions!$A$1:$A$327,0))*L$21/1000000*(1-(L$87+L$75+L$76)/L$65) - INDEX(Assumptions!$B:$B,MATCH("Bandwidth/peering cost per Gbps ($mm/Gbps-yr)",Assumptions!$A$1:$A$327,0))*INDEX(Assumptions!$B:$B,MATCH("Effective DTC Gbps per sat (revenue calibration)",Assumptions!$A$1:$A$327,0))*L$21, 0)</f>
        <v>0.26840522857500976</v>
      </c>
      <c r="M118" s="63">
        <f ca="1">IFERROR(M$110*INDEX(Assumptions!$B:$B,MATCH("Effective DTC Gbps per sat (revenue calibration)",Assumptions!$A$1:$A$327,0))*M$21/1000000*(1-(M$87+M$75+M$76)/M$65) - INDEX(Assumptions!$B:$B,MATCH("Bandwidth/peering cost per Gbps ($mm/Gbps-yr)",Assumptions!$A$1:$A$327,0))*INDEX(Assumptions!$B:$B,MATCH("Effective DTC Gbps per sat (revenue calibration)",Assumptions!$A$1:$A$327,0))*M$21, 0)</f>
        <v>0.20040919672221136</v>
      </c>
      <c r="N118" s="63">
        <f ca="1">IFERROR(N$110*INDEX(Assumptions!$B:$B,MATCH("Effective DTC Gbps per sat (revenue calibration)",Assumptions!$A$1:$A$327,0))*N$21/1000000*(1-(N$87+N$75+N$76)/N$65) - INDEX(Assumptions!$B:$B,MATCH("Bandwidth/peering cost per Gbps ($mm/Gbps-yr)",Assumptions!$A$1:$A$327,0))*INDEX(Assumptions!$B:$B,MATCH("Effective DTC Gbps per sat (revenue calibration)",Assumptions!$A$1:$A$327,0))*N$21, 0)</f>
        <v>0.17607792144809831</v>
      </c>
      <c r="O118" s="63">
        <f ca="1">IFERROR(O$110*INDEX(Assumptions!$B:$B,MATCH("Effective DTC Gbps per sat (revenue calibration)",Assumptions!$A$1:$A$327,0))*O$21/1000000*(1-(O$87+O$75+O$76)/O$65) - INDEX(Assumptions!$B:$B,MATCH("Bandwidth/peering cost per Gbps ($mm/Gbps-yr)",Assumptions!$A$1:$A$327,0))*INDEX(Assumptions!$B:$B,MATCH("Effective DTC Gbps per sat (revenue calibration)",Assumptions!$A$1:$A$327,0))*O$21, 0)</f>
        <v>0.16023577256837795</v>
      </c>
      <c r="P118" s="63">
        <f ca="1">IFERROR(P$110*INDEX(Assumptions!$B:$B,MATCH("Effective DTC Gbps per sat (revenue calibration)",Assumptions!$A$1:$A$327,0))*P$21/1000000*(1-(P$87+P$75+P$76)/P$65) - INDEX(Assumptions!$B:$B,MATCH("Bandwidth/peering cost per Gbps ($mm/Gbps-yr)",Assumptions!$A$1:$A$327,0))*INDEX(Assumptions!$B:$B,MATCH("Effective DTC Gbps per sat (revenue calibration)",Assumptions!$A$1:$A$327,0))*P$21, 0)</f>
        <v>0.15178007589732945</v>
      </c>
      <c r="Q118" s="63">
        <f ca="1">IFERROR(Q$110*INDEX(Assumptions!$B:$B,MATCH("Effective DTC Gbps per sat (revenue calibration)",Assumptions!$A$1:$A$327,0))*Q$21/1000000*(1-(Q$87+Q$75+Q$76)/Q$65) - INDEX(Assumptions!$B:$B,MATCH("Bandwidth/peering cost per Gbps ($mm/Gbps-yr)",Assumptions!$A$1:$A$327,0))*INDEX(Assumptions!$B:$B,MATCH("Effective DTC Gbps per sat (revenue calibration)",Assumptions!$A$1:$A$327,0))*Q$21, 0)</f>
        <v>0.16246089360080104</v>
      </c>
      <c r="R118" s="63">
        <f ca="1">IFERROR(R$110*INDEX(Assumptions!$B:$B,MATCH("Effective DTC Gbps per sat (revenue calibration)",Assumptions!$A$1:$A$327,0))*R$21/1000000*(1-(R$87+R$75+R$76)/R$65) - INDEX(Assumptions!$B:$B,MATCH("Bandwidth/peering cost per Gbps ($mm/Gbps-yr)",Assumptions!$A$1:$A$327,0))*INDEX(Assumptions!$B:$B,MATCH("Effective DTC Gbps per sat (revenue calibration)",Assumptions!$A$1:$A$327,0))*R$21, 0)</f>
        <v>0.1917424187784306</v>
      </c>
      <c r="S118" s="63">
        <f ca="1">IFERROR(S$110*INDEX(Assumptions!$B:$B,MATCH("Effective DTC Gbps per sat (revenue calibration)",Assumptions!$A$1:$A$327,0))*S$21/1000000*(1-(S$87+S$75+S$76)/S$65) - INDEX(Assumptions!$B:$B,MATCH("Bandwidth/peering cost per Gbps ($mm/Gbps-yr)",Assumptions!$A$1:$A$327,0))*INDEX(Assumptions!$B:$B,MATCH("Effective DTC Gbps per sat (revenue calibration)",Assumptions!$A$1:$A$327,0))*S$21, 0)</f>
        <v>0.23405024436645083</v>
      </c>
    </row>
    <row r="119" spans="1:19" x14ac:dyDescent="0.2">
      <c r="A119" s="22" t="s">
        <v>1474</v>
      </c>
      <c r="B119" s="8"/>
      <c r="C119" s="8"/>
      <c r="D119" s="74">
        <f>D$143*INDEX(Assumptions!$B:$B,MATCH("V2 DTC sat mass (kg)",Assumptions!$A$1:$A$327,0))/1000000 + IFERROR(D$13/INDEX(Assumptions!$B:$B,MATCH("F9 sats per launch (V2 packing)",Assumptions!$A$1:$A$327,0)),0) + INDEX(Assumptions!$B:$B,MATCH("Working capital per sat ($mm/sat): ΔWC T0",Assumptions!$A$1:$A$327,0))</f>
        <v>1.1479807692307693</v>
      </c>
      <c r="E119" s="74">
        <f>E$143*INDEX(Assumptions!$B:$B,MATCH("V2 DTC sat mass (kg)",Assumptions!$A$1:$A$327,0))/1000000 + IFERROR(E$13/INDEX(Assumptions!$B:$B,MATCH("F9 sats per launch (V2 packing)",Assumptions!$A$1:$A$327,0)),0) + IFERROR(SUM($D$102:D102)/D142,0) + INDEX(Assumptions!$B:$B,MATCH("Working capital per sat ($mm/sat): ΔWC T0",Assumptions!$A$1:$A$327,0))</f>
        <v>1.1605523122710624</v>
      </c>
      <c r="F119" s="74">
        <f ca="1">F$143*INDEX(Assumptions!$B:$B,MATCH("V2 DTC sat mass (kg)",Assumptions!$A$1:$A$327,0))/1000000 + IFERROR(F$13/INDEX(Assumptions!$B:$B,MATCH("F9 sats per launch (V2 packing)",Assumptions!$A$1:$A$327,0)),0) + IFERROR(SUM($D$102:E102)/E142,0) + INDEX(Assumptions!$B:$B,MATCH("Working capital per sat ($mm/sat): ΔWC T0",Assumptions!$A$1:$A$327,0))</f>
        <v>1.1376371629121576</v>
      </c>
      <c r="G119" s="74">
        <f ca="1">G$143*INDEX(Assumptions!$B:$B,MATCH("V2 DTC sat mass (kg)",Assumptions!$A$1:$A$327,0))/1000000 + IFERROR(G$13/INDEX(Assumptions!$B:$B,MATCH("F9 sats per launch (V2 packing)",Assumptions!$A$1:$A$327,0)),0) + IFERROR(SUM($D$102:F102)/F142,0) + INDEX(Assumptions!$B:$B,MATCH("Working capital per sat ($mm/sat): ΔWC T0",Assumptions!$A$1:$A$327,0))</f>
        <v>1.1491074947209348</v>
      </c>
      <c r="H119" s="74">
        <f ca="1">H$143*INDEX(Assumptions!$B:$B,MATCH("V2 DTC sat mass (kg)",Assumptions!$A$1:$A$327,0))/1000000 + IFERROR(H$13/INDEX(Assumptions!$B:$B,MATCH("F9 sats per launch (V2 packing)",Assumptions!$A$1:$A$327,0)),0) + IFERROR(SUM($D$102:G102)/G142,0) + INDEX(Assumptions!$B:$B,MATCH("Working capital per sat ($mm/sat): ΔWC T0",Assumptions!$A$1:$A$327,0))</f>
        <v>1.1287272087060747</v>
      </c>
      <c r="I119" s="74">
        <f ca="1">I$143*INDEX(Assumptions!$B:$B,MATCH("V2 DTC sat mass (kg)",Assumptions!$A$1:$A$327,0))/1000000 + IFERROR(I$13/INDEX(Assumptions!$B:$B,MATCH("F9 sats per launch (V2 packing)",Assumptions!$A$1:$A$327,0)),0) + IFERROR(SUM($D$102:H102)/H142,0) + INDEX(Assumptions!$B:$B,MATCH("Working capital per sat ($mm/sat): ΔWC T0",Assumptions!$A$1:$A$327,0))</f>
        <v>1.0931626796664002</v>
      </c>
      <c r="J119" s="74">
        <f ca="1">J$143*INDEX(Assumptions!$B:$B,MATCH("V2 DTC sat mass (kg)",Assumptions!$A$1:$A$327,0))/1000000 + IFERROR(J$13/INDEX(Assumptions!$B:$B,MATCH("F9 sats per launch (V2 packing)",Assumptions!$A$1:$A$327,0)),0) + IFERROR(SUM($D$102:I102)/I142,0) + INDEX(Assumptions!$B:$B,MATCH("Working capital per sat ($mm/sat): ΔWC T0",Assumptions!$A$1:$A$327,0))</f>
        <v>1.0493814816605842</v>
      </c>
      <c r="K119" s="74">
        <f ca="1">K$143*INDEX(Assumptions!$B:$B,MATCH("V2 DTC sat mass (kg)",Assumptions!$A$1:$A$327,0))/1000000 + IFERROR(K$13/INDEX(Assumptions!$B:$B,MATCH("F9 sats per launch (V2 packing)",Assumptions!$A$1:$A$327,0)),0) + IFERROR(SUM($D$102:J102)/J142,0) + INDEX(Assumptions!$B:$B,MATCH("Working capital per sat ($mm/sat): ΔWC T0",Assumptions!$A$1:$A$327,0))</f>
        <v>1.016552862267903</v>
      </c>
      <c r="L119" s="74">
        <f ca="1">L$143*INDEX(Assumptions!$B:$B,MATCH("V2 DTC sat mass (kg)",Assumptions!$A$1:$A$327,0))/1000000 + IFERROR(L$13/INDEX(Assumptions!$B:$B,MATCH("F9 sats per launch (V2 packing)",Assumptions!$A$1:$A$327,0)),0) + IFERROR(SUM($D$102:K102)/K142,0) + INDEX(Assumptions!$B:$B,MATCH("Working capital per sat ($mm/sat): ΔWC T0",Assumptions!$A$1:$A$327,0))</f>
        <v>0.98540767976573662</v>
      </c>
      <c r="M119" s="74">
        <f ca="1">M$143*INDEX(Assumptions!$B:$B,MATCH("V2 DTC sat mass (kg)",Assumptions!$A$1:$A$327,0))/1000000 + IFERROR(M$13/INDEX(Assumptions!$B:$B,MATCH("F9 sats per launch (V2 packing)",Assumptions!$A$1:$A$327,0)),0) + IFERROR(SUM($D$102:L102)/L142,0) + INDEX(Assumptions!$B:$B,MATCH("Working capital per sat ($mm/sat): ΔWC T0",Assumptions!$A$1:$A$327,0))</f>
        <v>0.95813088920678768</v>
      </c>
      <c r="N119" s="74">
        <f ca="1">N$143*INDEX(Assumptions!$B:$B,MATCH("V2 DTC sat mass (kg)",Assumptions!$A$1:$A$327,0))/1000000 + IFERROR(N$13/INDEX(Assumptions!$B:$B,MATCH("F9 sats per launch (V2 packing)",Assumptions!$A$1:$A$327,0)),0) + IFERROR(SUM($D$102:M102)/M142,0) + INDEX(Assumptions!$B:$B,MATCH("Working capital per sat ($mm/sat): ΔWC T0",Assumptions!$A$1:$A$327,0))</f>
        <v>0.93719800170893797</v>
      </c>
      <c r="O119" s="74">
        <f ca="1">O$143*INDEX(Assumptions!$B:$B,MATCH("V2 DTC sat mass (kg)",Assumptions!$A$1:$A$327,0))/1000000 + IFERROR(O$13/INDEX(Assumptions!$B:$B,MATCH("F9 sats per launch (V2 packing)",Assumptions!$A$1:$A$327,0)),0) + IFERROR(SUM($D$102:N102)/N142,0) + INDEX(Assumptions!$B:$B,MATCH("Working capital per sat ($mm/sat): ΔWC T0",Assumptions!$A$1:$A$327,0))</f>
        <v>0.91682415628038216</v>
      </c>
      <c r="P119" s="74">
        <f ca="1">P$143*INDEX(Assumptions!$B:$B,MATCH("V2 DTC sat mass (kg)",Assumptions!$A$1:$A$327,0))/1000000 + IFERROR(P$13/INDEX(Assumptions!$B:$B,MATCH("F9 sats per launch (V2 packing)",Assumptions!$A$1:$A$327,0)),0) + IFERROR(SUM($D$102:O102)/O142,0) + INDEX(Assumptions!$B:$B,MATCH("Working capital per sat ($mm/sat): ΔWC T0",Assumptions!$A$1:$A$327,0))</f>
        <v>0.90036712384976236</v>
      </c>
      <c r="Q119" s="74">
        <f ca="1">Q$143*INDEX(Assumptions!$B:$B,MATCH("V2 DTC sat mass (kg)",Assumptions!$A$1:$A$327,0))/1000000 + IFERROR(Q$13/INDEX(Assumptions!$B:$B,MATCH("F9 sats per launch (V2 packing)",Assumptions!$A$1:$A$327,0)),0) + IFERROR(SUM($D$102:P102)/P142,0) + INDEX(Assumptions!$B:$B,MATCH("Working capital per sat ($mm/sat): ΔWC T0",Assumptions!$A$1:$A$327,0))</f>
        <v>0.87958761688335718</v>
      </c>
      <c r="R119" s="74">
        <f ca="1">R$143*INDEX(Assumptions!$B:$B,MATCH("V2 DTC sat mass (kg)",Assumptions!$A$1:$A$327,0))/1000000 + IFERROR(R$13/INDEX(Assumptions!$B:$B,MATCH("F9 sats per launch (V2 packing)",Assumptions!$A$1:$A$327,0)),0) + IFERROR(SUM($D$102:Q102)/Q142,0) + INDEX(Assumptions!$B:$B,MATCH("Working capital per sat ($mm/sat): ΔWC T0",Assumptions!$A$1:$A$327,0))</f>
        <v>0.86392519831215853</v>
      </c>
      <c r="S119" s="74">
        <f ca="1">S$143*INDEX(Assumptions!$B:$B,MATCH("V2 DTC sat mass (kg)",Assumptions!$A$1:$A$327,0))/1000000 + IFERROR(S$13/INDEX(Assumptions!$B:$B,MATCH("F9 sats per launch (V2 packing)",Assumptions!$A$1:$A$327,0)),0) + IFERROR(SUM($D$102:R102)/R142,0) + INDEX(Assumptions!$B:$B,MATCH("Working capital per sat ($mm/sat): ΔWC T0",Assumptions!$A$1:$A$327,0))</f>
        <v>0.8500450630595896</v>
      </c>
    </row>
    <row r="120" spans="1:19" x14ac:dyDescent="0.2">
      <c r="A120" s="23" t="s">
        <v>1475</v>
      </c>
      <c r="B120" s="8"/>
      <c r="C120" s="8"/>
      <c r="D120" s="81">
        <f t="shared" ref="D120:S120" si="27">IFERROR(MIN(3, IFERROR(RATE(D$15,D118,-D119,0,0,0.1), IFERROR(RATE(D$15,D118,-D119,0,0,0.5), RATE(D$15,D118,-D119,0,0,1.5)))), IF(D118*D$15&gt;D119,3,0))</f>
        <v>0.39901086121091905</v>
      </c>
      <c r="E120" s="81">
        <f t="shared" ca="1" si="27"/>
        <v>0.54542280256087683</v>
      </c>
      <c r="F120" s="81">
        <f t="shared" ca="1" si="27"/>
        <v>0.71886638643543344</v>
      </c>
      <c r="G120" s="81">
        <f t="shared" ca="1" si="27"/>
        <v>0.87184359478079798</v>
      </c>
      <c r="H120" s="81">
        <f t="shared" ca="1" si="27"/>
        <v>1.059743053635479</v>
      </c>
      <c r="I120" s="81">
        <f t="shared" ca="1" si="27"/>
        <v>0.60066669866476996</v>
      </c>
      <c r="J120" s="81">
        <f t="shared" ca="1" si="27"/>
        <v>0.32505365978498713</v>
      </c>
      <c r="K120" s="81">
        <f t="shared" ca="1" si="27"/>
        <v>0.22406017003763792</v>
      </c>
      <c r="L120" s="81">
        <f t="shared" ca="1" si="27"/>
        <v>0.1126552204318204</v>
      </c>
      <c r="M120" s="81">
        <f t="shared" ca="1" si="27"/>
        <v>1.5126656075639622E-2</v>
      </c>
      <c r="N120" s="81">
        <f t="shared" ca="1" si="27"/>
        <v>-2.0487734275220312E-2</v>
      </c>
      <c r="O120" s="81">
        <f t="shared" ca="1" si="27"/>
        <v>-4.3323736224169351E-2</v>
      </c>
      <c r="P120" s="81">
        <f t="shared" ca="1" si="27"/>
        <v>-5.4399545851819199E-2</v>
      </c>
      <c r="Q120" s="81">
        <f t="shared" ca="1" si="27"/>
        <v>-2.5952815853699938E-2</v>
      </c>
      <c r="R120" s="81">
        <f t="shared" ca="1" si="27"/>
        <v>3.5736110980933669E-2</v>
      </c>
      <c r="S120" s="81">
        <f t="shared" ca="1" si="27"/>
        <v>0.11698197294403183</v>
      </c>
    </row>
    <row r="121" spans="1:19" x14ac:dyDescent="0.2">
      <c r="A121" s="8"/>
      <c r="B121" s="8"/>
      <c r="C121" s="8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</row>
    <row r="122" spans="1:19" x14ac:dyDescent="0.2">
      <c r="A122" s="9"/>
      <c r="B122" s="8"/>
      <c r="C122" s="8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</row>
    <row r="123" spans="1:19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x14ac:dyDescent="0.2">
      <c r="A124" s="23" t="s">
        <v>1476</v>
      </c>
      <c r="B124" s="8"/>
      <c r="C124" s="8"/>
      <c r="D124" s="63">
        <f>IFERROR(D$109*INDEX(Assumptions!$B:$B,MATCH("V3 BB Gbps per sat",Assumptions!$A$1:$A$327,0))*D$21/1000000*(1-(D$87+D$75+D$76)/D$65) - INDEX(Assumptions!$B:$B,MATCH("Bandwidth/peering cost per Gbps ($mm/Gbps-yr)",Assumptions!$A$1:$A$327,0))*INDEX(Assumptions!$B:$B,MATCH("V3 BB Gbps per sat",Assumptions!$A$1:$A$327,0))*D$21, 0)</f>
        <v>6.6361209128409619</v>
      </c>
      <c r="E124" s="63">
        <f ca="1">IFERROR(E$109*INDEX(Assumptions!$B:$B,MATCH("V3 BB Gbps per sat",Assumptions!$A$1:$A$327,0))*E$21/1000000*(1-(E$87+E$75+E$76)/E$65) - INDEX(Assumptions!$B:$B,MATCH("Bandwidth/peering cost per Gbps ($mm/Gbps-yr)",Assumptions!$A$1:$A$327,0))*INDEX(Assumptions!$B:$B,MATCH("V3 BB Gbps per sat",Assumptions!$A$1:$A$327,0))*E$21, 0)</f>
        <v>5.8846033411417302</v>
      </c>
      <c r="F124" s="63">
        <f ca="1">IFERROR(F$109*INDEX(Assumptions!$B:$B,MATCH("V3 BB Gbps per sat",Assumptions!$A$1:$A$327,0))*F$21/1000000*(1-(F$87+F$75+F$76)/F$65) - INDEX(Assumptions!$B:$B,MATCH("Bandwidth/peering cost per Gbps ($mm/Gbps-yr)",Assumptions!$A$1:$A$327,0))*INDEX(Assumptions!$B:$B,MATCH("V3 BB Gbps per sat",Assumptions!$A$1:$A$327,0))*F$21, 0)</f>
        <v>3.4017938184102117</v>
      </c>
      <c r="G124" s="63">
        <f ca="1">IFERROR(G$109*INDEX(Assumptions!$B:$B,MATCH("V3 BB Gbps per sat",Assumptions!$A$1:$A$327,0))*G$21/1000000*(1-(G$87+G$75+G$76)/G$65) - INDEX(Assumptions!$B:$B,MATCH("Bandwidth/peering cost per Gbps ($mm/Gbps-yr)",Assumptions!$A$1:$A$327,0))*INDEX(Assumptions!$B:$B,MATCH("V3 BB Gbps per sat",Assumptions!$A$1:$A$327,0))*G$21, 0)</f>
        <v>2.0640731576998674</v>
      </c>
      <c r="H124" s="63">
        <f ca="1">IFERROR(H$109*INDEX(Assumptions!$B:$B,MATCH("V3 BB Gbps per sat",Assumptions!$A$1:$A$327,0))*H$21/1000000*(1-(H$87+H$75+H$76)/H$65) - INDEX(Assumptions!$B:$B,MATCH("Bandwidth/peering cost per Gbps ($mm/Gbps-yr)",Assumptions!$A$1:$A$327,0))*INDEX(Assumptions!$B:$B,MATCH("V3 BB Gbps per sat",Assumptions!$A$1:$A$327,0))*H$21, 0)</f>
        <v>0.95808610146619255</v>
      </c>
      <c r="I124" s="63">
        <f ca="1">IFERROR(I$109*INDEX(Assumptions!$B:$B,MATCH("V3 BB Gbps per sat",Assumptions!$A$1:$A$327,0))*I$21/1000000*(1-(I$87+I$75+I$76)/I$65) - INDEX(Assumptions!$B:$B,MATCH("Bandwidth/peering cost per Gbps ($mm/Gbps-yr)",Assumptions!$A$1:$A$327,0))*INDEX(Assumptions!$B:$B,MATCH("V3 BB Gbps per sat",Assumptions!$A$1:$A$327,0))*I$21, 0)</f>
        <v>0.71810901451810727</v>
      </c>
      <c r="J124" s="63">
        <f ca="1">IFERROR(J$109*INDEX(Assumptions!$B:$B,MATCH("V3 BB Gbps per sat",Assumptions!$A$1:$A$327,0))*J$21/1000000*(1-(J$87+J$75+J$76)/J$65) - INDEX(Assumptions!$B:$B,MATCH("Bandwidth/peering cost per Gbps ($mm/Gbps-yr)",Assumptions!$A$1:$A$327,0))*INDEX(Assumptions!$B:$B,MATCH("V3 BB Gbps per sat",Assumptions!$A$1:$A$327,0))*J$21, 0)</f>
        <v>0.23164204969214763</v>
      </c>
      <c r="K124" s="63">
        <f ca="1">IFERROR(K$109*INDEX(Assumptions!$B:$B,MATCH("V3 BB Gbps per sat",Assumptions!$A$1:$A$327,0))*K$21/1000000*(1-(K$87+K$75+K$76)/K$65) - INDEX(Assumptions!$B:$B,MATCH("Bandwidth/peering cost per Gbps ($mm/Gbps-yr)",Assumptions!$A$1:$A$327,0))*INDEX(Assumptions!$B:$B,MATCH("V3 BB Gbps per sat",Assumptions!$A$1:$A$327,0))*K$21, 0)</f>
        <v>0.15794758475196335</v>
      </c>
      <c r="L124" s="63">
        <f ca="1">IFERROR(L$109*INDEX(Assumptions!$B:$B,MATCH("V3 BB Gbps per sat",Assumptions!$A$1:$A$327,0))*L$21/1000000*(1-(L$87+L$75+L$76)/L$65) - INDEX(Assumptions!$B:$B,MATCH("Bandwidth/peering cost per Gbps ($mm/Gbps-yr)",Assumptions!$A$1:$A$327,0))*INDEX(Assumptions!$B:$B,MATCH("V3 BB Gbps per sat",Assumptions!$A$1:$A$327,0))*L$21, 0)</f>
        <v>0.1354900571830453</v>
      </c>
      <c r="M124" s="63">
        <f ca="1">IFERROR(M$109*INDEX(Assumptions!$B:$B,MATCH("V3 BB Gbps per sat",Assumptions!$A$1:$A$327,0))*M$21/1000000*(1-(M$87+M$75+M$76)/M$65) - INDEX(Assumptions!$B:$B,MATCH("Bandwidth/peering cost per Gbps ($mm/Gbps-yr)",Assumptions!$A$1:$A$327,0))*INDEX(Assumptions!$B:$B,MATCH("V3 BB Gbps per sat",Assumptions!$A$1:$A$327,0))*M$21, 0)</f>
        <v>0.12757135272011211</v>
      </c>
      <c r="N124" s="63">
        <f ca="1">IFERROR(N$109*INDEX(Assumptions!$B:$B,MATCH("V3 BB Gbps per sat",Assumptions!$A$1:$A$327,0))*N$21/1000000*(1-(N$87+N$75+N$76)/N$65) - INDEX(Assumptions!$B:$B,MATCH("Bandwidth/peering cost per Gbps ($mm/Gbps-yr)",Assumptions!$A$1:$A$327,0))*INDEX(Assumptions!$B:$B,MATCH("V3 BB Gbps per sat",Assumptions!$A$1:$A$327,0))*N$21, 0)</f>
        <v>-7.0582801770076919E-2</v>
      </c>
      <c r="O124" s="63">
        <f ca="1">IFERROR(O$109*INDEX(Assumptions!$B:$B,MATCH("V3 BB Gbps per sat",Assumptions!$A$1:$A$327,0))*O$21/1000000*(1-(O$87+O$75+O$76)/O$65) - INDEX(Assumptions!$B:$B,MATCH("Bandwidth/peering cost per Gbps ($mm/Gbps-yr)",Assumptions!$A$1:$A$327,0))*INDEX(Assumptions!$B:$B,MATCH("V3 BB Gbps per sat",Assumptions!$A$1:$A$327,0))*O$21, 0)</f>
        <v>-0.31707266962809011</v>
      </c>
      <c r="P124" s="63">
        <f ca="1">IFERROR(P$109*INDEX(Assumptions!$B:$B,MATCH("V3 BB Gbps per sat",Assumptions!$A$1:$A$327,0))*P$21/1000000*(1-(P$87+P$75+P$76)/P$65) - INDEX(Assumptions!$B:$B,MATCH("Bandwidth/peering cost per Gbps ($mm/Gbps-yr)",Assumptions!$A$1:$A$327,0))*INDEX(Assumptions!$B:$B,MATCH("V3 BB Gbps per sat",Assumptions!$A$1:$A$327,0))*P$21, 0)</f>
        <v>-0.51453451491791768</v>
      </c>
      <c r="Q124" s="63">
        <f ca="1">IFERROR(Q$109*INDEX(Assumptions!$B:$B,MATCH("V3 BB Gbps per sat",Assumptions!$A$1:$A$327,0))*Q$21/1000000*(1-(Q$87+Q$75+Q$76)/Q$65) - INDEX(Assumptions!$B:$B,MATCH("Bandwidth/peering cost per Gbps ($mm/Gbps-yr)",Assumptions!$A$1:$A$327,0))*INDEX(Assumptions!$B:$B,MATCH("V3 BB Gbps per sat",Assumptions!$A$1:$A$327,0))*Q$21, 0)</f>
        <v>-0.55832282779375531</v>
      </c>
      <c r="R124" s="63">
        <f ca="1">IFERROR(R$109*INDEX(Assumptions!$B:$B,MATCH("V3 BB Gbps per sat",Assumptions!$A$1:$A$327,0))*R$21/1000000*(1-(R$87+R$75+R$76)/R$65) - INDEX(Assumptions!$B:$B,MATCH("Bandwidth/peering cost per Gbps ($mm/Gbps-yr)",Assumptions!$A$1:$A$327,0))*INDEX(Assumptions!$B:$B,MATCH("V3 BB Gbps per sat",Assumptions!$A$1:$A$327,0))*R$21, 0)</f>
        <v>-0.52711915674228815</v>
      </c>
      <c r="S124" s="63">
        <f ca="1">IFERROR(S$109*INDEX(Assumptions!$B:$B,MATCH("V3 BB Gbps per sat",Assumptions!$A$1:$A$327,0))*S$21/1000000*(1-(S$87+S$75+S$76)/S$65) - INDEX(Assumptions!$B:$B,MATCH("Bandwidth/peering cost per Gbps ($mm/Gbps-yr)",Assumptions!$A$1:$A$327,0))*INDEX(Assumptions!$B:$B,MATCH("V3 BB Gbps per sat",Assumptions!$A$1:$A$327,0))*S$21, 0)</f>
        <v>-0.45342881135248325</v>
      </c>
    </row>
    <row r="125" spans="1:19" x14ac:dyDescent="0.2">
      <c r="A125" s="22" t="s">
        <v>1477</v>
      </c>
      <c r="B125" s="8"/>
      <c r="C125" s="8"/>
      <c r="D125" s="66">
        <f>D$143*INDEX(Assumptions!$B:$B,MATCH("V3 BB sat mass (kg)",Assumptions!$A$1:$A$327,0))/1000000 + IFERROR(D$14/D205,0) + INDEX(Assumptions!$B:$B,MATCH("Working capital per sat ($mm/sat): ΔWC T0",Assumptions!$A$1:$A$327,0))</f>
        <v>1.3049999999999999</v>
      </c>
      <c r="E125" s="66">
        <f>E$143*INDEX(Assumptions!$B:$B,MATCH("V3 BB sat mass (kg)",Assumptions!$A$1:$A$327,0))/1000000 + IFERROR(E$14/E205,0) + IFERROR(SUM($D$102:D102)/D142,0) + INDEX(Assumptions!$B:$B,MATCH("Working capital per sat ($mm/sat): ΔWC T0",Assumptions!$A$1:$A$327,0))</f>
        <v>1.3329561584249083</v>
      </c>
      <c r="F125" s="66">
        <f ca="1">F$143*INDEX(Assumptions!$B:$B,MATCH("V3 BB sat mass (kg)",Assumptions!$A$1:$A$327,0))/1000000 + IFERROR(F$14/F205,0) + IFERROR(SUM($D$102:E102)/E142,0) + INDEX(Assumptions!$B:$B,MATCH("Working capital per sat ($mm/sat): ΔWC T0",Assumptions!$A$1:$A$327,0))</f>
        <v>1.6698542334367585</v>
      </c>
      <c r="G125" s="66">
        <f ca="1">G$143*INDEX(Assumptions!$B:$B,MATCH("V3 BB sat mass (kg)",Assumptions!$A$1:$A$327,0))/1000000 + IFERROR(G$14/G205,0) + IFERROR(SUM($D$102:F102)/F142,0) + INDEX(Assumptions!$B:$B,MATCH("Working capital per sat ($mm/sat): ΔWC T0",Assumptions!$A$1:$A$327,0))</f>
        <v>1.5893285351885813</v>
      </c>
      <c r="H125" s="66">
        <f ca="1">H$143*INDEX(Assumptions!$B:$B,MATCH("V3 BB sat mass (kg)",Assumptions!$A$1:$A$327,0))/1000000 + IFERROR(H$14/H205,0) + IFERROR(SUM($D$102:G102)/G142,0) + INDEX(Assumptions!$B:$B,MATCH("Working capital per sat ($mm/sat): ΔWC T0",Assumptions!$A$1:$A$327,0))</f>
        <v>1.4810862899592141</v>
      </c>
      <c r="I125" s="66">
        <f ca="1">I$143*INDEX(Assumptions!$B:$B,MATCH("V3 BB sat mass (kg)",Assumptions!$A$1:$A$327,0))/1000000 + IFERROR(I$14/I205,0) + IFERROR(SUM($D$102:H102)/H142,0) + INDEX(Assumptions!$B:$B,MATCH("Working capital per sat ($mm/sat): ΔWC T0",Assumptions!$A$1:$A$327,0))</f>
        <v>1.3667204169573925</v>
      </c>
      <c r="J125" s="66">
        <f ca="1">J$143*INDEX(Assumptions!$B:$B,MATCH("V3 BB sat mass (kg)",Assumptions!$A$1:$A$327,0))/1000000 + IFERROR(J$14/J205,0) + IFERROR(SUM($D$102:I102)/I142,0) + INDEX(Assumptions!$B:$B,MATCH("Working capital per sat ($mm/sat): ΔWC T0",Assumptions!$A$1:$A$327,0))</f>
        <v>1.2880131654745546</v>
      </c>
      <c r="K125" s="66">
        <f ca="1">K$143*INDEX(Assumptions!$B:$B,MATCH("V3 BB sat mass (kg)",Assumptions!$A$1:$A$327,0))/1000000 + IFERROR(K$14/K205,0) + IFERROR(SUM($D$102:J102)/J142,0) + INDEX(Assumptions!$B:$B,MATCH("Working capital per sat ($mm/sat): ΔWC T0",Assumptions!$A$1:$A$327,0))</f>
        <v>1.2255527801678792</v>
      </c>
      <c r="L125" s="66">
        <f ca="1">L$143*INDEX(Assumptions!$B:$B,MATCH("V3 BB sat mass (kg)",Assumptions!$A$1:$A$327,0))/1000000 + IFERROR(L$14/L205,0) + IFERROR(SUM($D$102:K102)/K142,0) + INDEX(Assumptions!$B:$B,MATCH("Working capital per sat ($mm/sat): ΔWC T0",Assumptions!$A$1:$A$327,0))</f>
        <v>1.1811194225824373</v>
      </c>
      <c r="M125" s="66">
        <f ca="1">M$143*INDEX(Assumptions!$B:$B,MATCH("V3 BB sat mass (kg)",Assumptions!$A$1:$A$327,0))/1000000 + IFERROR(M$14/M205,0) + IFERROR(SUM($D$102:L102)/L142,0) + INDEX(Assumptions!$B:$B,MATCH("Working capital per sat ($mm/sat): ΔWC T0",Assumptions!$A$1:$A$327,0))</f>
        <v>1.1422827062575682</v>
      </c>
      <c r="N125" s="66">
        <f ca="1">N$143*INDEX(Assumptions!$B:$B,MATCH("V3 BB sat mass (kg)",Assumptions!$A$1:$A$327,0))/1000000 + IFERROR(N$14/N205,0) + IFERROR(SUM($D$102:M102)/M142,0) + INDEX(Assumptions!$B:$B,MATCH("Working capital per sat ($mm/sat): ΔWC T0",Assumptions!$A$1:$A$327,0))</f>
        <v>1.1093287799313851</v>
      </c>
      <c r="O125" s="66">
        <f ca="1">O$143*INDEX(Assumptions!$B:$B,MATCH("V3 BB sat mass (kg)",Assumptions!$A$1:$A$327,0))/1000000 + IFERROR(O$14/O205,0) + IFERROR(SUM($D$102:N102)/N142,0) + INDEX(Assumptions!$B:$B,MATCH("Working capital per sat ($mm/sat): ΔWC T0",Assumptions!$A$1:$A$327,0))</f>
        <v>1.0790328405885139</v>
      </c>
      <c r="P125" s="66">
        <f ca="1">P$143*INDEX(Assumptions!$B:$B,MATCH("V3 BB sat mass (kg)",Assumptions!$A$1:$A$327,0))/1000000 + IFERROR(P$14/P205,0) + IFERROR(SUM($D$102:O102)/O142,0) + INDEX(Assumptions!$B:$B,MATCH("Working capital per sat ($mm/sat): ΔWC T0",Assumptions!$A$1:$A$327,0))</f>
        <v>1.052490236262867</v>
      </c>
      <c r="Q125" s="66">
        <f ca="1">Q$143*INDEX(Assumptions!$B:$B,MATCH("V3 BB sat mass (kg)",Assumptions!$A$1:$A$327,0))/1000000 + IFERROR(Q$14/Q205,0) + IFERROR(SUM($D$102:P102)/P142,0) + INDEX(Assumptions!$B:$B,MATCH("Working capital per sat ($mm/sat): ΔWC T0",Assumptions!$A$1:$A$327,0))</f>
        <v>1.0261119943737493</v>
      </c>
      <c r="R125" s="66">
        <f ca="1">R$143*INDEX(Assumptions!$B:$B,MATCH("V3 BB sat mass (kg)",Assumptions!$A$1:$A$327,0))/1000000 + IFERROR(R$14/R205,0) + IFERROR(SUM($D$102:Q102)/Q142,0) + INDEX(Assumptions!$B:$B,MATCH("Working capital per sat ($mm/sat): ΔWC T0",Assumptions!$A$1:$A$327,0))</f>
        <v>1.0100084928107154</v>
      </c>
      <c r="S125" s="66">
        <f ca="1">S$143*INDEX(Assumptions!$B:$B,MATCH("V3 BB sat mass (kg)",Assumptions!$A$1:$A$327,0))/1000000 + IFERROR(S$14/S205,0) + IFERROR(SUM($D$102:R102)/R142,0) + INDEX(Assumptions!$B:$B,MATCH("Working capital per sat ($mm/sat): ΔWC T0",Assumptions!$A$1:$A$327,0))</f>
        <v>0.99762931338975369</v>
      </c>
    </row>
    <row r="126" spans="1:19" x14ac:dyDescent="0.2">
      <c r="A126" s="23" t="s">
        <v>1478</v>
      </c>
      <c r="B126" s="8"/>
      <c r="C126" s="8"/>
      <c r="D126" s="81">
        <f t="shared" ref="D126:S126" si="28">IFERROR(MIN(3, IFERROR(RATE(D$15,D124,-D125,0,0,0.1), IFERROR(RATE(D$15,D124,-D125,0,0,0.5), RATE(D$15,D124,-D125,0,0,1.5)))), IF(D124*D$15&gt;D125,3,0))</f>
        <v>3</v>
      </c>
      <c r="E126" s="81">
        <f t="shared" ca="1" si="28"/>
        <v>3</v>
      </c>
      <c r="F126" s="81">
        <f t="shared" ca="1" si="28"/>
        <v>2.0291928985087591</v>
      </c>
      <c r="G126" s="81">
        <f t="shared" ca="1" si="28"/>
        <v>1.2775140012713659</v>
      </c>
      <c r="H126" s="81">
        <f t="shared" ca="1" si="28"/>
        <v>0.58149453697669151</v>
      </c>
      <c r="I126" s="81">
        <f t="shared" ca="1" si="28"/>
        <v>0.44080172612763502</v>
      </c>
      <c r="J126" s="81">
        <f t="shared" ca="1" si="28"/>
        <v>-3.439466233024998E-2</v>
      </c>
      <c r="K126" s="81">
        <f t="shared" ca="1" si="28"/>
        <v>-0.13062285653178771</v>
      </c>
      <c r="L126" s="81">
        <f t="shared" ca="1" si="28"/>
        <v>-0.16065777319848931</v>
      </c>
      <c r="M126" s="81">
        <f t="shared" ca="1" si="28"/>
        <v>-0.16733614677446018</v>
      </c>
      <c r="N126" s="81">
        <f t="shared" ca="1" si="28"/>
        <v>0</v>
      </c>
      <c r="O126" s="81">
        <f t="shared" ca="1" si="28"/>
        <v>0</v>
      </c>
      <c r="P126" s="81">
        <f t="shared" ca="1" si="28"/>
        <v>0</v>
      </c>
      <c r="Q126" s="81">
        <f t="shared" ca="1" si="28"/>
        <v>0</v>
      </c>
      <c r="R126" s="81">
        <f t="shared" ca="1" si="28"/>
        <v>0</v>
      </c>
      <c r="S126" s="81">
        <f t="shared" ca="1" si="28"/>
        <v>0</v>
      </c>
    </row>
    <row r="127" spans="1:19" x14ac:dyDescent="0.2">
      <c r="A127" s="8"/>
      <c r="B127" s="8"/>
      <c r="C127" s="8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</row>
    <row r="128" spans="1:19" x14ac:dyDescent="0.2">
      <c r="A128" s="9"/>
      <c r="B128" s="8"/>
      <c r="C128" s="8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</row>
    <row r="129" spans="1:19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x14ac:dyDescent="0.2">
      <c r="A130" s="23" t="s">
        <v>1479</v>
      </c>
      <c r="B130" s="8"/>
      <c r="C130" s="8"/>
      <c r="D130" s="63">
        <f>IFERROR(D$110*INDEX(Assumptions!$B:$B,MATCH("Effective DTC Gbps per sat (revenue calibration)",Assumptions!$A$1:$A$327,0))*D$21/1000000*(1-(D$87+D$75+D$76)/D$65) - INDEX(Assumptions!$B:$B,MATCH("Bandwidth/peering cost per Gbps ($mm/Gbps-yr)",Assumptions!$A$1:$A$327,0))*INDEX(Assumptions!$B:$B,MATCH("Effective DTC Gbps per sat (revenue calibration)",Assumptions!$A$1:$A$327,0))*D$21, 0)</f>
        <v>0.56313334794780667</v>
      </c>
      <c r="E130" s="63">
        <f ca="1">IFERROR(E$110*INDEX(Assumptions!$B:$B,MATCH("Effective DTC Gbps per sat (revenue calibration)",Assumptions!$A$1:$A$327,0))*E$21/1000000*(1-(E$87+E$75+E$76)/E$65) - INDEX(Assumptions!$B:$B,MATCH("Bandwidth/peering cost per Gbps ($mm/Gbps-yr)",Assumptions!$A$1:$A$327,0))*INDEX(Assumptions!$B:$B,MATCH("Effective DTC Gbps per sat (revenue calibration)",Assumptions!$A$1:$A$327,0))*E$21, 0)</f>
        <v>0.71398571214323592</v>
      </c>
      <c r="F130" s="63">
        <f ca="1">IFERROR(F$110*INDEX(Assumptions!$B:$B,MATCH("Effective DTC Gbps per sat (revenue calibration)",Assumptions!$A$1:$A$327,0))*F$21/1000000*(1-(F$87+F$75+F$76)/F$65) - INDEX(Assumptions!$B:$B,MATCH("Bandwidth/peering cost per Gbps ($mm/Gbps-yr)",Assumptions!$A$1:$A$327,0))*INDEX(Assumptions!$B:$B,MATCH("Effective DTC Gbps per sat (revenue calibration)",Assumptions!$A$1:$A$327,0))*F$21, 0)</f>
        <v>0.87620685829190748</v>
      </c>
      <c r="G130" s="63">
        <f ca="1">IFERROR(G$110*INDEX(Assumptions!$B:$B,MATCH("Effective DTC Gbps per sat (revenue calibration)",Assumptions!$A$1:$A$327,0))*G$21/1000000*(1-(G$87+G$75+G$76)/G$65) - INDEX(Assumptions!$B:$B,MATCH("Bandwidth/peering cost per Gbps ($mm/Gbps-yr)",Assumptions!$A$1:$A$327,0))*INDEX(Assumptions!$B:$B,MATCH("Effective DTC Gbps per sat (revenue calibration)",Assumptions!$A$1:$A$327,0))*G$21, 0)</f>
        <v>1.0474219635711997</v>
      </c>
      <c r="H130" s="63">
        <f ca="1">IFERROR(H$110*INDEX(Assumptions!$B:$B,MATCH("Effective DTC Gbps per sat (revenue calibration)",Assumptions!$A$1:$A$327,0))*H$21/1000000*(1-(H$87+H$75+H$76)/H$65) - INDEX(Assumptions!$B:$B,MATCH("Bandwidth/peering cost per Gbps ($mm/Gbps-yr)",Assumptions!$A$1:$A$327,0))*INDEX(Assumptions!$B:$B,MATCH("Effective DTC Gbps per sat (revenue calibration)",Assumptions!$A$1:$A$327,0))*H$21, 0)</f>
        <v>1.229319679521403</v>
      </c>
      <c r="I130" s="63">
        <f ca="1">IFERROR(I$110*INDEX(Assumptions!$B:$B,MATCH("Effective DTC Gbps per sat (revenue calibration)",Assumptions!$A$1:$A$327,0))*I$21/1000000*(1-(I$87+I$75+I$76)/I$65) - INDEX(Assumptions!$B:$B,MATCH("Bandwidth/peering cost per Gbps ($mm/Gbps-yr)",Assumptions!$A$1:$A$327,0))*INDEX(Assumptions!$B:$B,MATCH("Effective DTC Gbps per sat (revenue calibration)",Assumptions!$A$1:$A$327,0))*I$21, 0)</f>
        <v>0.72568955888874875</v>
      </c>
      <c r="J130" s="63">
        <f ca="1">IFERROR(J$110*INDEX(Assumptions!$B:$B,MATCH("Effective DTC Gbps per sat (revenue calibration)",Assumptions!$A$1:$A$327,0))*J$21/1000000*(1-(J$87+J$75+J$76)/J$65) - INDEX(Assumptions!$B:$B,MATCH("Bandwidth/peering cost per Gbps ($mm/Gbps-yr)",Assumptions!$A$1:$A$327,0))*INDEX(Assumptions!$B:$B,MATCH("Effective DTC Gbps per sat (revenue calibration)",Assumptions!$A$1:$A$327,0))*J$21, 0)</f>
        <v>0.45168260494393375</v>
      </c>
      <c r="K130" s="63">
        <f ca="1">IFERROR(K$110*INDEX(Assumptions!$B:$B,MATCH("Effective DTC Gbps per sat (revenue calibration)",Assumptions!$A$1:$A$327,0))*K$21/1000000*(1-(K$87+K$75+K$76)/K$65) - INDEX(Assumptions!$B:$B,MATCH("Bandwidth/peering cost per Gbps ($mm/Gbps-yr)",Assumptions!$A$1:$A$327,0))*INDEX(Assumptions!$B:$B,MATCH("Effective DTC Gbps per sat (revenue calibration)",Assumptions!$A$1:$A$327,0))*K$21, 0)</f>
        <v>0.35807300863930425</v>
      </c>
      <c r="L130" s="63">
        <f ca="1">IFERROR(L$110*INDEX(Assumptions!$B:$B,MATCH("Effective DTC Gbps per sat (revenue calibration)",Assumptions!$A$1:$A$327,0))*L$21/1000000*(1-(L$87+L$75+L$76)/L$65) - INDEX(Assumptions!$B:$B,MATCH("Bandwidth/peering cost per Gbps ($mm/Gbps-yr)",Assumptions!$A$1:$A$327,0))*INDEX(Assumptions!$B:$B,MATCH("Effective DTC Gbps per sat (revenue calibration)",Assumptions!$A$1:$A$327,0))*L$21, 0)</f>
        <v>0.26840522857500976</v>
      </c>
      <c r="M130" s="63">
        <f ca="1">IFERROR(M$110*INDEX(Assumptions!$B:$B,MATCH("Effective DTC Gbps per sat (revenue calibration)",Assumptions!$A$1:$A$327,0))*M$21/1000000*(1-(M$87+M$75+M$76)/M$65) - INDEX(Assumptions!$B:$B,MATCH("Bandwidth/peering cost per Gbps ($mm/Gbps-yr)",Assumptions!$A$1:$A$327,0))*INDEX(Assumptions!$B:$B,MATCH("Effective DTC Gbps per sat (revenue calibration)",Assumptions!$A$1:$A$327,0))*M$21, 0)</f>
        <v>0.20040919672221136</v>
      </c>
      <c r="N130" s="63">
        <f ca="1">IFERROR(N$110*INDEX(Assumptions!$B:$B,MATCH("Effective DTC Gbps per sat (revenue calibration)",Assumptions!$A$1:$A$327,0))*N$21/1000000*(1-(N$87+N$75+N$76)/N$65) - INDEX(Assumptions!$B:$B,MATCH("Bandwidth/peering cost per Gbps ($mm/Gbps-yr)",Assumptions!$A$1:$A$327,0))*INDEX(Assumptions!$B:$B,MATCH("Effective DTC Gbps per sat (revenue calibration)",Assumptions!$A$1:$A$327,0))*N$21, 0)</f>
        <v>0.17607792144809831</v>
      </c>
      <c r="O130" s="63">
        <f ca="1">IFERROR(O$110*INDEX(Assumptions!$B:$B,MATCH("Effective DTC Gbps per sat (revenue calibration)",Assumptions!$A$1:$A$327,0))*O$21/1000000*(1-(O$87+O$75+O$76)/O$65) - INDEX(Assumptions!$B:$B,MATCH("Bandwidth/peering cost per Gbps ($mm/Gbps-yr)",Assumptions!$A$1:$A$327,0))*INDEX(Assumptions!$B:$B,MATCH("Effective DTC Gbps per sat (revenue calibration)",Assumptions!$A$1:$A$327,0))*O$21, 0)</f>
        <v>0.16023577256837795</v>
      </c>
      <c r="P130" s="63">
        <f ca="1">IFERROR(P$110*INDEX(Assumptions!$B:$B,MATCH("Effective DTC Gbps per sat (revenue calibration)",Assumptions!$A$1:$A$327,0))*P$21/1000000*(1-(P$87+P$75+P$76)/P$65) - INDEX(Assumptions!$B:$B,MATCH("Bandwidth/peering cost per Gbps ($mm/Gbps-yr)",Assumptions!$A$1:$A$327,0))*INDEX(Assumptions!$B:$B,MATCH("Effective DTC Gbps per sat (revenue calibration)",Assumptions!$A$1:$A$327,0))*P$21, 0)</f>
        <v>0.15178007589732945</v>
      </c>
      <c r="Q130" s="63">
        <f ca="1">IFERROR(Q$110*INDEX(Assumptions!$B:$B,MATCH("Effective DTC Gbps per sat (revenue calibration)",Assumptions!$A$1:$A$327,0))*Q$21/1000000*(1-(Q$87+Q$75+Q$76)/Q$65) - INDEX(Assumptions!$B:$B,MATCH("Bandwidth/peering cost per Gbps ($mm/Gbps-yr)",Assumptions!$A$1:$A$327,0))*INDEX(Assumptions!$B:$B,MATCH("Effective DTC Gbps per sat (revenue calibration)",Assumptions!$A$1:$A$327,0))*Q$21, 0)</f>
        <v>0.16246089360080104</v>
      </c>
      <c r="R130" s="63">
        <f ca="1">IFERROR(R$110*INDEX(Assumptions!$B:$B,MATCH("Effective DTC Gbps per sat (revenue calibration)",Assumptions!$A$1:$A$327,0))*R$21/1000000*(1-(R$87+R$75+R$76)/R$65) - INDEX(Assumptions!$B:$B,MATCH("Bandwidth/peering cost per Gbps ($mm/Gbps-yr)",Assumptions!$A$1:$A$327,0))*INDEX(Assumptions!$B:$B,MATCH("Effective DTC Gbps per sat (revenue calibration)",Assumptions!$A$1:$A$327,0))*R$21, 0)</f>
        <v>0.1917424187784306</v>
      </c>
      <c r="S130" s="63">
        <f ca="1">IFERROR(S$110*INDEX(Assumptions!$B:$B,MATCH("Effective DTC Gbps per sat (revenue calibration)",Assumptions!$A$1:$A$327,0))*S$21/1000000*(1-(S$87+S$75+S$76)/S$65) - INDEX(Assumptions!$B:$B,MATCH("Bandwidth/peering cost per Gbps ($mm/Gbps-yr)",Assumptions!$A$1:$A$327,0))*INDEX(Assumptions!$B:$B,MATCH("Effective DTC Gbps per sat (revenue calibration)",Assumptions!$A$1:$A$327,0))*S$21, 0)</f>
        <v>0.23405024436645083</v>
      </c>
    </row>
    <row r="131" spans="1:19" x14ac:dyDescent="0.2">
      <c r="A131" s="22" t="s">
        <v>1480</v>
      </c>
      <c r="B131" s="8"/>
      <c r="C131" s="8"/>
      <c r="D131" s="66">
        <f>D$143*INDEX(Assumptions!$B:$B,MATCH("V3 DTC sat mass (kg)",Assumptions!$A$1:$A$327,0))/1000000 + IFERROR(D$14/D205,0) + INDEX(Assumptions!$B:$B,MATCH("Working capital per sat ($mm/sat): ΔWC T0",Assumptions!$A$1:$A$327,0))</f>
        <v>1.3049999999999999</v>
      </c>
      <c r="E131" s="66">
        <f>E$143*INDEX(Assumptions!$B:$B,MATCH("V3 DTC sat mass (kg)",Assumptions!$A$1:$A$327,0))/1000000 + IFERROR(E$14/E205,0) + IFERROR(SUM($D$102:D102)/D142,0) + INDEX(Assumptions!$B:$B,MATCH("Working capital per sat ($mm/sat): ΔWC T0",Assumptions!$A$1:$A$327,0))</f>
        <v>1.3329561584249083</v>
      </c>
      <c r="F131" s="66">
        <f ca="1">F$143*INDEX(Assumptions!$B:$B,MATCH("V3 DTC sat mass (kg)",Assumptions!$A$1:$A$327,0))/1000000 + IFERROR(F$14/F205,0) + IFERROR(SUM($D$102:E102)/E142,0) + INDEX(Assumptions!$B:$B,MATCH("Working capital per sat ($mm/sat): ΔWC T0",Assumptions!$A$1:$A$327,0))</f>
        <v>1.6698542334367585</v>
      </c>
      <c r="G131" s="66">
        <f ca="1">G$143*INDEX(Assumptions!$B:$B,MATCH("V3 DTC sat mass (kg)",Assumptions!$A$1:$A$327,0))/1000000 + IFERROR(G$14/G205,0) + IFERROR(SUM($D$102:F102)/F142,0) + INDEX(Assumptions!$B:$B,MATCH("Working capital per sat ($mm/sat): ΔWC T0",Assumptions!$A$1:$A$327,0))</f>
        <v>1.5893285351885813</v>
      </c>
      <c r="H131" s="66">
        <f ca="1">H$143*INDEX(Assumptions!$B:$B,MATCH("V3 DTC sat mass (kg)",Assumptions!$A$1:$A$327,0))/1000000 + IFERROR(H$14/H205,0) + IFERROR(SUM($D$102:G102)/G142,0) + INDEX(Assumptions!$B:$B,MATCH("Working capital per sat ($mm/sat): ΔWC T0",Assumptions!$A$1:$A$327,0))</f>
        <v>1.4810862899592141</v>
      </c>
      <c r="I131" s="66">
        <f ca="1">I$143*INDEX(Assumptions!$B:$B,MATCH("V3 DTC sat mass (kg)",Assumptions!$A$1:$A$327,0))/1000000 + IFERROR(I$14/I205,0) + IFERROR(SUM($D$102:H102)/H142,0) + INDEX(Assumptions!$B:$B,MATCH("Working capital per sat ($mm/sat): ΔWC T0",Assumptions!$A$1:$A$327,0))</f>
        <v>1.3667204169573925</v>
      </c>
      <c r="J131" s="66">
        <f ca="1">J$143*INDEX(Assumptions!$B:$B,MATCH("V3 DTC sat mass (kg)",Assumptions!$A$1:$A$327,0))/1000000 + IFERROR(J$14/J205,0) + IFERROR(SUM($D$102:I102)/I142,0) + INDEX(Assumptions!$B:$B,MATCH("Working capital per sat ($mm/sat): ΔWC T0",Assumptions!$A$1:$A$327,0))</f>
        <v>1.2880131654745546</v>
      </c>
      <c r="K131" s="66">
        <f ca="1">K$143*INDEX(Assumptions!$B:$B,MATCH("V3 DTC sat mass (kg)",Assumptions!$A$1:$A$327,0))/1000000 + IFERROR(K$14/K205,0) + IFERROR(SUM($D$102:J102)/J142,0) + INDEX(Assumptions!$B:$B,MATCH("Working capital per sat ($mm/sat): ΔWC T0",Assumptions!$A$1:$A$327,0))</f>
        <v>1.2255527801678792</v>
      </c>
      <c r="L131" s="66">
        <f ca="1">L$143*INDEX(Assumptions!$B:$B,MATCH("V3 DTC sat mass (kg)",Assumptions!$A$1:$A$327,0))/1000000 + IFERROR(L$14/L205,0) + IFERROR(SUM($D$102:K102)/K142,0) + INDEX(Assumptions!$B:$B,MATCH("Working capital per sat ($mm/sat): ΔWC T0",Assumptions!$A$1:$A$327,0))</f>
        <v>1.1811194225824373</v>
      </c>
      <c r="M131" s="66">
        <f ca="1">M$143*INDEX(Assumptions!$B:$B,MATCH("V3 DTC sat mass (kg)",Assumptions!$A$1:$A$327,0))/1000000 + IFERROR(M$14/M205,0) + IFERROR(SUM($D$102:L102)/L142,0) + INDEX(Assumptions!$B:$B,MATCH("Working capital per sat ($mm/sat): ΔWC T0",Assumptions!$A$1:$A$327,0))</f>
        <v>1.1422827062575682</v>
      </c>
      <c r="N131" s="66">
        <f ca="1">N$143*INDEX(Assumptions!$B:$B,MATCH("V3 DTC sat mass (kg)",Assumptions!$A$1:$A$327,0))/1000000 + IFERROR(N$14/N205,0) + IFERROR(SUM($D$102:M102)/M142,0) + INDEX(Assumptions!$B:$B,MATCH("Working capital per sat ($mm/sat): ΔWC T0",Assumptions!$A$1:$A$327,0))</f>
        <v>1.1093287799313851</v>
      </c>
      <c r="O131" s="66">
        <f ca="1">O$143*INDEX(Assumptions!$B:$B,MATCH("V3 DTC sat mass (kg)",Assumptions!$A$1:$A$327,0))/1000000 + IFERROR(O$14/O205,0) + IFERROR(SUM($D$102:N102)/N142,0) + INDEX(Assumptions!$B:$B,MATCH("Working capital per sat ($mm/sat): ΔWC T0",Assumptions!$A$1:$A$327,0))</f>
        <v>1.0790328405885139</v>
      </c>
      <c r="P131" s="66">
        <f ca="1">P$143*INDEX(Assumptions!$B:$B,MATCH("V3 DTC sat mass (kg)",Assumptions!$A$1:$A$327,0))/1000000 + IFERROR(P$14/P205,0) + IFERROR(SUM($D$102:O102)/O142,0) + INDEX(Assumptions!$B:$B,MATCH("Working capital per sat ($mm/sat): ΔWC T0",Assumptions!$A$1:$A$327,0))</f>
        <v>1.052490236262867</v>
      </c>
      <c r="Q131" s="66">
        <f ca="1">Q$143*INDEX(Assumptions!$B:$B,MATCH("V3 DTC sat mass (kg)",Assumptions!$A$1:$A$327,0))/1000000 + IFERROR(Q$14/Q205,0) + IFERROR(SUM($D$102:P102)/P142,0) + INDEX(Assumptions!$B:$B,MATCH("Working capital per sat ($mm/sat): ΔWC T0",Assumptions!$A$1:$A$327,0))</f>
        <v>1.0261119943737493</v>
      </c>
      <c r="R131" s="66">
        <f ca="1">R$143*INDEX(Assumptions!$B:$B,MATCH("V3 DTC sat mass (kg)",Assumptions!$A$1:$A$327,0))/1000000 + IFERROR(R$14/R205,0) + IFERROR(SUM($D$102:Q102)/Q142,0) + INDEX(Assumptions!$B:$B,MATCH("Working capital per sat ($mm/sat): ΔWC T0",Assumptions!$A$1:$A$327,0))</f>
        <v>1.0100084928107154</v>
      </c>
      <c r="S131" s="66">
        <f ca="1">S$143*INDEX(Assumptions!$B:$B,MATCH("V3 DTC sat mass (kg)",Assumptions!$A$1:$A$327,0))/1000000 + IFERROR(S$14/S205,0) + IFERROR(SUM($D$102:R102)/R142,0) + INDEX(Assumptions!$B:$B,MATCH("Working capital per sat ($mm/sat): ΔWC T0",Assumptions!$A$1:$A$327,0))</f>
        <v>0.99762931338975369</v>
      </c>
    </row>
    <row r="132" spans="1:19" x14ac:dyDescent="0.2">
      <c r="A132" s="23" t="s">
        <v>1481</v>
      </c>
      <c r="B132" s="8"/>
      <c r="C132" s="8"/>
      <c r="D132" s="81">
        <f t="shared" ref="D132:S132" si="29">IFERROR(MIN(3, IFERROR(RATE(D$15,D130,-D131,0,0,0.1), IFERROR(RATE(D$15,D130,-D131,0,0,0.5), RATE(D$15,D130,-D131,0,0,1.5)))), IF(D130*D$15&gt;D131,3,0))</f>
        <v>0.32642260155666719</v>
      </c>
      <c r="E132" s="81">
        <f t="shared" ca="1" si="29"/>
        <v>0.45290658271208578</v>
      </c>
      <c r="F132" s="81">
        <f t="shared" ca="1" si="29"/>
        <v>0.43996495092404903</v>
      </c>
      <c r="G132" s="81">
        <f t="shared" ca="1" si="29"/>
        <v>0.59524069753727271</v>
      </c>
      <c r="H132" s="81">
        <f t="shared" ca="1" si="29"/>
        <v>0.78409266274018563</v>
      </c>
      <c r="I132" s="81">
        <f t="shared" ca="1" si="29"/>
        <v>0.44738098626824896</v>
      </c>
      <c r="J132" s="81">
        <f t="shared" ca="1" si="29"/>
        <v>0.2219747418613276</v>
      </c>
      <c r="K132" s="81">
        <f t="shared" ca="1" si="29"/>
        <v>0.1412693021244355</v>
      </c>
      <c r="L132" s="81">
        <f t="shared" ca="1" si="29"/>
        <v>4.4140737643816867E-2</v>
      </c>
      <c r="M132" s="81">
        <f t="shared" ca="1" si="29"/>
        <v>-4.2130973788365535E-2</v>
      </c>
      <c r="N132" s="81">
        <f t="shared" ca="1" si="29"/>
        <v>-7.2411930675751565E-2</v>
      </c>
      <c r="O132" s="81">
        <f t="shared" ca="1" si="29"/>
        <v>-9.1689264424892475E-2</v>
      </c>
      <c r="P132" s="81">
        <f t="shared" ca="1" si="29"/>
        <v>-9.9968585884659636E-2</v>
      </c>
      <c r="Q132" s="81">
        <f t="shared" ca="1" si="29"/>
        <v>-7.3150902297381928E-2</v>
      </c>
      <c r="R132" s="81">
        <f t="shared" ca="1" si="29"/>
        <v>-1.712657705340738E-2</v>
      </c>
      <c r="S132" s="81">
        <f t="shared" ca="1" si="29"/>
        <v>5.5669332827067791E-2</v>
      </c>
    </row>
    <row r="133" spans="1:19" x14ac:dyDescent="0.2">
      <c r="A133" s="8"/>
      <c r="B133" s="8"/>
      <c r="C133" s="8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</row>
    <row r="134" spans="1:19" x14ac:dyDescent="0.2">
      <c r="A134" s="9"/>
      <c r="B134" s="8"/>
      <c r="C134" s="8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</row>
    <row r="135" spans="1:19" x14ac:dyDescent="0.2">
      <c r="A135" s="24" t="s">
        <v>1310</v>
      </c>
      <c r="B135" s="8"/>
      <c r="C135" s="8"/>
      <c r="D135" s="66">
        <f>INDEX(Assumptions!$B:$B,MATCH("Pre-2025 active Starshield installed base (sats)",Assumptions!$A$1:$A$327,0)) + D36</f>
        <v>460.79999999999995</v>
      </c>
      <c r="E135" s="66">
        <f>INDEX(Assumptions!$B:$B,MATCH("Pre-2025 active Starshield installed base (sats)",Assumptions!$A$1:$A$327,0)) + E36</f>
        <v>460.79999999999995</v>
      </c>
      <c r="F135" s="66">
        <f>INDEX(Assumptions!$B:$B,MATCH("Pre-2025 active Starshield installed base (sats)",Assumptions!$A$1:$A$327,0)) + F36</f>
        <v>460.79999999999995</v>
      </c>
      <c r="G135" s="66">
        <f>INDEX(Assumptions!$B:$B,MATCH("Pre-2025 active Starshield installed base (sats)",Assumptions!$A$1:$A$327,0)) + G36</f>
        <v>460.79999999999995</v>
      </c>
      <c r="H135" s="66">
        <f>INDEX(Assumptions!$B:$B,MATCH("Pre-2025 active Starshield installed base (sats)",Assumptions!$A$1:$A$327,0)) + H36</f>
        <v>460.79999999999995</v>
      </c>
      <c r="I135" s="66">
        <f>INDEX(Assumptions!$B:$B,MATCH("Pre-2025 active Starshield installed base (sats)",Assumptions!$A$1:$A$327,0)) + I36</f>
        <v>460.79999999999995</v>
      </c>
      <c r="J135" s="66">
        <f>INDEX(Assumptions!$B:$B,MATCH("Pre-2025 active Starshield installed base (sats)",Assumptions!$A$1:$A$327,0)) + J36</f>
        <v>460.79999999999995</v>
      </c>
      <c r="K135" s="66">
        <f>INDEX(Assumptions!$B:$B,MATCH("Pre-2025 active Starshield installed base (sats)",Assumptions!$A$1:$A$327,0)) + K36</f>
        <v>460.79999999999995</v>
      </c>
      <c r="L135" s="66">
        <f>INDEX(Assumptions!$B:$B,MATCH("Pre-2025 active Starshield installed base (sats)",Assumptions!$A$1:$A$327,0)) + L36</f>
        <v>460.79999999999995</v>
      </c>
      <c r="M135" s="66">
        <f>INDEX(Assumptions!$B:$B,MATCH("Pre-2025 active Starshield installed base (sats)",Assumptions!$A$1:$A$327,0)) + M36</f>
        <v>460.79999999999995</v>
      </c>
      <c r="N135" s="66">
        <f>INDEX(Assumptions!$B:$B,MATCH("Pre-2025 active Starshield installed base (sats)",Assumptions!$A$1:$A$327,0)) + N36</f>
        <v>460.79999999999995</v>
      </c>
      <c r="O135" s="66">
        <f>INDEX(Assumptions!$B:$B,MATCH("Pre-2025 active Starshield installed base (sats)",Assumptions!$A$1:$A$327,0)) + O36</f>
        <v>460.79999999999995</v>
      </c>
      <c r="P135" s="66">
        <f>INDEX(Assumptions!$B:$B,MATCH("Pre-2025 active Starshield installed base (sats)",Assumptions!$A$1:$A$327,0)) + P36</f>
        <v>460.79999999999995</v>
      </c>
      <c r="Q135" s="66">
        <f>INDEX(Assumptions!$B:$B,MATCH("Pre-2025 active Starshield installed base (sats)",Assumptions!$A$1:$A$327,0)) + Q36</f>
        <v>460.79999999999995</v>
      </c>
      <c r="R135" s="66">
        <f>INDEX(Assumptions!$B:$B,MATCH("Pre-2025 active Starshield installed base (sats)",Assumptions!$A$1:$A$327,0)) + R36</f>
        <v>460.79999999999995</v>
      </c>
      <c r="S135" s="66">
        <f>INDEX(Assumptions!$B:$B,MATCH("Pre-2025 active Starshield installed base (sats)",Assumptions!$A$1:$A$327,0)) + S36</f>
        <v>460.79999999999995</v>
      </c>
    </row>
    <row r="136" spans="1:19" x14ac:dyDescent="0.2">
      <c r="A136" s="23" t="s">
        <v>1482</v>
      </c>
      <c r="B136" s="8"/>
      <c r="C136" s="8"/>
      <c r="D136" s="175">
        <f t="shared" ref="D136:S136" si="30">IFERROR(D$63/D$135*(1-(D$87+D$75+D$76)/D$65),0)</f>
        <v>4.568850308992304</v>
      </c>
      <c r="E136" s="175">
        <f t="shared" ca="1" si="30"/>
        <v>4.9756166879525683</v>
      </c>
      <c r="F136" s="175">
        <f t="shared" ca="1" si="30"/>
        <v>5.4199123756678604</v>
      </c>
      <c r="G136" s="175">
        <f t="shared" ca="1" si="30"/>
        <v>5.8892521204484529</v>
      </c>
      <c r="H136" s="175">
        <f t="shared" ca="1" si="30"/>
        <v>6.3972565215420021</v>
      </c>
      <c r="I136" s="175">
        <f t="shared" ca="1" si="30"/>
        <v>6.9361040601406447</v>
      </c>
      <c r="J136" s="175">
        <f t="shared" ca="1" si="30"/>
        <v>7.4986767051030814</v>
      </c>
      <c r="K136" s="175">
        <f t="shared" ca="1" si="30"/>
        <v>8.0890294593173184</v>
      </c>
      <c r="L136" s="175">
        <f t="shared" ca="1" si="30"/>
        <v>8.7348696583758052</v>
      </c>
      <c r="M136" s="175">
        <f t="shared" ca="1" si="30"/>
        <v>9.433136596207703</v>
      </c>
      <c r="N136" s="175">
        <f t="shared" ca="1" si="30"/>
        <v>10.191068004133834</v>
      </c>
      <c r="O136" s="175">
        <f t="shared" ca="1" si="30"/>
        <v>11.005864773042672</v>
      </c>
      <c r="P136" s="175">
        <f t="shared" ca="1" si="30"/>
        <v>11.885725545379689</v>
      </c>
      <c r="Q136" s="175">
        <f t="shared" ca="1" si="30"/>
        <v>12.832969731933352</v>
      </c>
      <c r="R136" s="175">
        <f t="shared" ca="1" si="30"/>
        <v>13.857746105325518</v>
      </c>
      <c r="S136" s="175">
        <f t="shared" ca="1" si="30"/>
        <v>14.965539987004915</v>
      </c>
    </row>
    <row r="137" spans="1:19" x14ac:dyDescent="0.2">
      <c r="A137" s="22" t="s">
        <v>1483</v>
      </c>
      <c r="B137" s="8"/>
      <c r="C137" s="8"/>
      <c r="D137" s="66">
        <f>D$143*INDEX(Assumptions!$B:$B,MATCH("Starshield sat mass (kg)",Assumptions!$A$1:$A$327,0))/1000000 + IFERROR(D$13/INDEX(Assumptions!$B:$B,MATCH("F9 sats per launch (V2 packing)",Assumptions!$A$1:$A$327,0)),0) + INDEX(Assumptions!$B:$B,MATCH("Working capital per sat ($mm/sat): ΔWC T0",Assumptions!$A$1:$A$327,0))</f>
        <v>1.2942307692307691</v>
      </c>
      <c r="E137" s="66">
        <f>E$143*INDEX(Assumptions!$B:$B,MATCH("Starshield sat mass (kg)",Assumptions!$A$1:$A$327,0))/1000000 + IFERROR(E$13/INDEX(Assumptions!$B:$B,MATCH("F9 sats per launch (V2 packing)",Assumptions!$A$1:$A$327,0)),0) + IFERROR(SUM($D$102:D102)/D142,0) + INDEX(Assumptions!$B:$B,MATCH("Working capital per sat ($mm/sat): ΔWC T0",Assumptions!$A$1:$A$327,0))</f>
        <v>1.3068023122710621</v>
      </c>
      <c r="F137" s="66">
        <f ca="1">F$143*INDEX(Assumptions!$B:$B,MATCH("Starshield sat mass (kg)",Assumptions!$A$1:$A$327,0))/1000000 + IFERROR(F$13/INDEX(Assumptions!$B:$B,MATCH("F9 sats per launch (V2 packing)",Assumptions!$A$1:$A$327,0)),0) + IFERROR(SUM($D$102:E102)/E142,0) + INDEX(Assumptions!$B:$B,MATCH("Working capital per sat ($mm/sat): ΔWC T0",Assumptions!$A$1:$A$327,0))</f>
        <v>1.2775904655455965</v>
      </c>
      <c r="G137" s="66">
        <f ca="1">G$143*INDEX(Assumptions!$B:$B,MATCH("Starshield sat mass (kg)",Assumptions!$A$1:$A$327,0))/1000000 + IFERROR(G$13/INDEX(Assumptions!$B:$B,MATCH("F9 sats per launch (V2 packing)",Assumptions!$A$1:$A$327,0)),0) + IFERROR(SUM($D$102:F102)/F142,0) + INDEX(Assumptions!$B:$B,MATCH("Working capital per sat ($mm/sat): ΔWC T0",Assumptions!$A$1:$A$327,0))</f>
        <v>1.2845108169000368</v>
      </c>
      <c r="H137" s="66">
        <f ca="1">H$143*INDEX(Assumptions!$B:$B,MATCH("Starshield sat mass (kg)",Assumptions!$A$1:$A$327,0))/1000000 + IFERROR(H$13/INDEX(Assumptions!$B:$B,MATCH("F9 sats per launch (V2 packing)",Assumptions!$A$1:$A$327,0)),0) + IFERROR(SUM($D$102:G102)/G142,0) + INDEX(Assumptions!$B:$B,MATCH("Working capital per sat ($mm/sat): ΔWC T0",Assumptions!$A$1:$A$327,0))</f>
        <v>1.2579862650926865</v>
      </c>
      <c r="I137" s="66">
        <f ca="1">I$143*INDEX(Assumptions!$B:$B,MATCH("Starshield sat mass (kg)",Assumptions!$A$1:$A$327,0))/1000000 + IFERROR(I$13/INDEX(Assumptions!$B:$B,MATCH("F9 sats per launch (V2 packing)",Assumptions!$A$1:$A$327,0)),0) + IFERROR(SUM($D$102:H102)/H142,0) + INDEX(Assumptions!$B:$B,MATCH("Working capital per sat ($mm/sat): ΔWC T0",Assumptions!$A$1:$A$327,0))</f>
        <v>1.2154040632872454</v>
      </c>
      <c r="J137" s="66">
        <f ca="1">J$143*INDEX(Assumptions!$B:$B,MATCH("Starshield sat mass (kg)",Assumptions!$A$1:$A$327,0))/1000000 + IFERROR(J$13/INDEX(Assumptions!$B:$B,MATCH("F9 sats per launch (V2 packing)",Assumptions!$A$1:$A$327,0)),0) + IFERROR(SUM($D$102:I102)/I142,0) + INDEX(Assumptions!$B:$B,MATCH("Working capital per sat ($mm/sat): ΔWC T0",Assumptions!$A$1:$A$327,0))</f>
        <v>1.1663743386190653</v>
      </c>
      <c r="K137" s="66">
        <f ca="1">K$143*INDEX(Assumptions!$B:$B,MATCH("Starshield sat mass (kg)",Assumptions!$A$1:$A$327,0))/1000000 + IFERROR(K$13/INDEX(Assumptions!$B:$B,MATCH("F9 sats per launch (V2 packing)",Assumptions!$A$1:$A$327,0)),0) + IFERROR(SUM($D$102:J102)/J142,0) + INDEX(Assumptions!$B:$B,MATCH("Working capital per sat ($mm/sat): ΔWC T0",Assumptions!$A$1:$A$327,0))</f>
        <v>1.1289798533533244</v>
      </c>
      <c r="L137" s="66">
        <f ca="1">L$143*INDEX(Assumptions!$B:$B,MATCH("Starshield sat mass (kg)",Assumptions!$A$1:$A$327,0))/1000000 + IFERROR(L$13/INDEX(Assumptions!$B:$B,MATCH("F9 sats per launch (V2 packing)",Assumptions!$A$1:$A$327,0)),0) + IFERROR(SUM($D$102:K102)/K142,0) + INDEX(Assumptions!$B:$B,MATCH("Working capital per sat ($mm/sat): ΔWC T0",Assumptions!$A$1:$A$327,0))</f>
        <v>1.0957042302509645</v>
      </c>
      <c r="M137" s="66">
        <f ca="1">M$143*INDEX(Assumptions!$B:$B,MATCH("Starshield sat mass (kg)",Assumptions!$A$1:$A$327,0))/1000000 + IFERROR(M$13/INDEX(Assumptions!$B:$B,MATCH("F9 sats per launch (V2 packing)",Assumptions!$A$1:$A$327,0)),0) + IFERROR(SUM($D$102:L102)/L142,0) + INDEX(Assumptions!$B:$B,MATCH("Working capital per sat ($mm/sat): ΔWC T0",Assumptions!$A$1:$A$327,0))</f>
        <v>1.0664526740852509</v>
      </c>
      <c r="N137" s="66">
        <f ca="1">N$143*INDEX(Assumptions!$B:$B,MATCH("Starshield sat mass (kg)",Assumptions!$A$1:$A$327,0))/1000000 + IFERROR(N$13/INDEX(Assumptions!$B:$B,MATCH("F9 sats per launch (V2 packing)",Assumptions!$A$1:$A$327,0)),0) + IFERROR(SUM($D$102:M102)/M142,0) + INDEX(Assumptions!$B:$B,MATCH("Working capital per sat ($mm/sat): ΔWC T0",Assumptions!$A$1:$A$327,0))</f>
        <v>1.0433615658817128</v>
      </c>
      <c r="O137" s="66">
        <f ca="1">O$143*INDEX(Assumptions!$B:$B,MATCH("Starshield sat mass (kg)",Assumptions!$A$1:$A$327,0))/1000000 + IFERROR(O$13/INDEX(Assumptions!$B:$B,MATCH("F9 sats per launch (V2 packing)",Assumptions!$A$1:$A$327,0)),0) + IFERROR(SUM($D$102:N102)/N142,0) + INDEX(Assumptions!$B:$B,MATCH("Working capital per sat ($mm/sat): ΔWC T0",Assumptions!$A$1:$A$327,0))</f>
        <v>1.0210552440861196</v>
      </c>
      <c r="P137" s="66">
        <f ca="1">P$143*INDEX(Assumptions!$B:$B,MATCH("Starshield sat mass (kg)",Assumptions!$A$1:$A$327,0))/1000000 + IFERROR(P$13/INDEX(Assumptions!$B:$B,MATCH("F9 sats per launch (V2 packing)",Assumptions!$A$1:$A$327,0)),0) + IFERROR(SUM($D$102:O102)/O142,0) + INDEX(Assumptions!$B:$B,MATCH("Working capital per sat ($mm/sat): ΔWC T0",Assumptions!$A$1:$A$327,0))</f>
        <v>1.0025545383603336</v>
      </c>
      <c r="Q137" s="66">
        <f ca="1">Q$143*INDEX(Assumptions!$B:$B,MATCH("Starshield sat mass (kg)",Assumptions!$A$1:$A$327,0))/1000000 + IFERROR(Q$13/INDEX(Assumptions!$B:$B,MATCH("F9 sats per launch (V2 packing)",Assumptions!$A$1:$A$327,0)),0) + IFERROR(SUM($D$102:P102)/P142,0) + INDEX(Assumptions!$B:$B,MATCH("Working capital per sat ($mm/sat): ΔWC T0",Assumptions!$A$1:$A$327,0))</f>
        <v>0.98035624328872273</v>
      </c>
      <c r="R137" s="66">
        <f ca="1">R$143*INDEX(Assumptions!$B:$B,MATCH("Starshield sat mass (kg)",Assumptions!$A$1:$A$327,0))/1000000 + IFERROR(R$13/INDEX(Assumptions!$B:$B,MATCH("F9 sats per launch (V2 packing)",Assumptions!$A$1:$A$327,0)),0) + IFERROR(SUM($D$102:Q102)/Q142,0) + INDEX(Assumptions!$B:$B,MATCH("Working capital per sat ($mm/sat): ΔWC T0",Assumptions!$A$1:$A$327,0))</f>
        <v>0.96401531363784154</v>
      </c>
      <c r="S137" s="66">
        <f ca="1">S$143*INDEX(Assumptions!$B:$B,MATCH("Starshield sat mass (kg)",Assumptions!$A$1:$A$327,0))/1000000 + IFERROR(S$13/INDEX(Assumptions!$B:$B,MATCH("F9 sats per launch (V2 packing)",Assumptions!$A$1:$A$327,0)),0) + IFERROR(SUM($D$102:R102)/R142,0) + INDEX(Assumptions!$B:$B,MATCH("Working capital per sat ($mm/sat): ΔWC T0",Assumptions!$A$1:$A$327,0))</f>
        <v>0.94970476250443336</v>
      </c>
    </row>
    <row r="138" spans="1:19" x14ac:dyDescent="0.2">
      <c r="A138" s="9"/>
      <c r="B138" s="8"/>
      <c r="C138" s="8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</row>
    <row r="139" spans="1:19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x14ac:dyDescent="0.2">
      <c r="A140" s="23" t="s">
        <v>560</v>
      </c>
      <c r="B140" s="8"/>
      <c r="C140" s="8"/>
      <c r="D140" s="81">
        <f t="shared" ref="D140:S140" si="31">IFERROR((D$61*((D$47*D$114+D$48*D$126)/MAX(1,D$47+D$48))+D$62*((D$54*D$120+D$55*D$132)/MAX(0.0001,D$54+D$55)))/(D$61+D$62),0)</f>
        <v>0.46904363917801295</v>
      </c>
      <c r="E140" s="81">
        <f t="shared" ca="1" si="31"/>
        <v>0.40627114299883704</v>
      </c>
      <c r="F140" s="81">
        <f t="shared" ca="1" si="31"/>
        <v>1.7114632715099836</v>
      </c>
      <c r="G140" s="81">
        <f t="shared" ca="1" si="31"/>
        <v>1.2166599873867274</v>
      </c>
      <c r="H140" s="81">
        <f t="shared" ca="1" si="31"/>
        <v>0.58172936754812798</v>
      </c>
      <c r="I140" s="81">
        <f t="shared" ca="1" si="31"/>
        <v>0.43785443777491401</v>
      </c>
      <c r="J140" s="81">
        <f t="shared" ca="1" si="31"/>
        <v>8.6904863580247772E-3</v>
      </c>
      <c r="K140" s="81">
        <f t="shared" ca="1" si="31"/>
        <v>-8.0487062674283377E-2</v>
      </c>
      <c r="L140" s="81">
        <f t="shared" ca="1" si="31"/>
        <v>-0.12259007804679428</v>
      </c>
      <c r="M140" s="81">
        <f t="shared" ca="1" si="31"/>
        <v>-0.14432797627370397</v>
      </c>
      <c r="N140" s="81">
        <f t="shared" ca="1" si="31"/>
        <v>-1.2847449308497173E-2</v>
      </c>
      <c r="O140" s="81">
        <f t="shared" ca="1" si="31"/>
        <v>-1.5657769254631051E-2</v>
      </c>
      <c r="P140" s="81">
        <f t="shared" ca="1" si="31"/>
        <v>-1.6521758565313224E-2</v>
      </c>
      <c r="Q140" s="81">
        <f t="shared" ca="1" si="31"/>
        <v>-1.1969409473280616E-2</v>
      </c>
      <c r="R140" s="81">
        <f t="shared" ca="1" si="31"/>
        <v>-2.8066851211143045E-3</v>
      </c>
      <c r="S140" s="81">
        <f t="shared" ca="1" si="31"/>
        <v>9.1918234866494291E-3</v>
      </c>
    </row>
    <row r="141" spans="1:19" x14ac:dyDescent="0.2">
      <c r="A141" s="9"/>
      <c r="B141" s="8"/>
      <c r="C141" s="8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</row>
    <row r="142" spans="1:19" x14ac:dyDescent="0.2">
      <c r="A142" s="23" t="s">
        <v>561</v>
      </c>
      <c r="B142" s="8"/>
      <c r="C142" s="8"/>
      <c r="D142" s="75">
        <f>D31</f>
        <v>3840</v>
      </c>
      <c r="E142" s="75">
        <f t="shared" ref="E142:S142" ca="1" si="32">D142+E31</f>
        <v>6960</v>
      </c>
      <c r="F142" s="75">
        <f t="shared" ca="1" si="32"/>
        <v>10878.735300489992</v>
      </c>
      <c r="G142" s="75">
        <f t="shared" ca="1" si="32"/>
        <v>20376.115261540304</v>
      </c>
      <c r="H142" s="75">
        <f t="shared" ca="1" si="32"/>
        <v>43323.466202989439</v>
      </c>
      <c r="I142" s="75">
        <f t="shared" ca="1" si="32"/>
        <v>78392.409908594142</v>
      </c>
      <c r="J142" s="75">
        <f t="shared" ca="1" si="32"/>
        <v>134246.83528156072</v>
      </c>
      <c r="K142" s="75">
        <f t="shared" ca="1" si="32"/>
        <v>173853.056460614</v>
      </c>
      <c r="L142" s="75">
        <f t="shared" ca="1" si="32"/>
        <v>221927.01983508922</v>
      </c>
      <c r="M142" s="75">
        <f t="shared" ca="1" si="32"/>
        <v>291287.36445285764</v>
      </c>
      <c r="N142" s="75">
        <f t="shared" ca="1" si="32"/>
        <v>373365.84320068988</v>
      </c>
      <c r="O142" s="75">
        <f t="shared" ca="1" si="32"/>
        <v>487919.28753267054</v>
      </c>
      <c r="P142" s="75">
        <f t="shared" ca="1" si="32"/>
        <v>589389.47103794117</v>
      </c>
      <c r="Q142" s="75">
        <f t="shared" ca="1" si="32"/>
        <v>645732.61712536495</v>
      </c>
      <c r="R142" s="75">
        <f t="shared" ca="1" si="32"/>
        <v>684454.59119112417</v>
      </c>
      <c r="S142" s="75">
        <f t="shared" ca="1" si="32"/>
        <v>723896.21912859171</v>
      </c>
    </row>
    <row r="143" spans="1:19" x14ac:dyDescent="0.2">
      <c r="A143" s="22" t="s">
        <v>562</v>
      </c>
      <c r="B143" s="8"/>
      <c r="C143" s="8"/>
      <c r="D143" s="66">
        <f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rate",Assumptions!$A$1:$A$327,0)))^IFERROR(LOG(MAX(1,D142/$D$142),2),0))</f>
        <v>650</v>
      </c>
      <c r="E143" s="66">
        <f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rate",Assumptions!$A$1:$A$327,0)))^IFERROR(LOG(MAX(1,D142/$D$142),2),0))</f>
        <v>650</v>
      </c>
      <c r="F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rate",Assumptions!$A$1:$A$327,0)))^IFERROR(LOG(MAX(1,E142/$D$142),2),0))</f>
        <v>622.01467837083999</v>
      </c>
      <c r="G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rate",Assumptions!$A$1:$A$327,0)))^IFERROR(LOG(MAX(1,F142/$D$142),2),0))</f>
        <v>601.79254301823164</v>
      </c>
      <c r="H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rate",Assumptions!$A$1:$A$327,0)))^IFERROR(LOG(MAX(1,G142/$D$142),2),0))</f>
        <v>574.48469505160813</v>
      </c>
      <c r="I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rate",Assumptions!$A$1:$A$327,0)))^IFERROR(LOG(MAX(1,H142/$D$142),2),0))</f>
        <v>543.29503831486636</v>
      </c>
      <c r="J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rate",Assumptions!$A$1:$A$327,0)))^IFERROR(LOG(MAX(1,I142/$D$142),2),0))</f>
        <v>519.96825314880516</v>
      </c>
      <c r="K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rate",Assumptions!$A$1:$A$327,0)))^IFERROR(LOG(MAX(1,J142/$D$142),2),0))</f>
        <v>499.67551593520591</v>
      </c>
      <c r="L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rate",Assumptions!$A$1:$A$327,0)))^IFERROR(LOG(MAX(1,K142/$D$142),2),0))</f>
        <v>490.20689104545801</v>
      </c>
      <c r="M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rate",Assumptions!$A$1:$A$327,0)))^IFERROR(LOG(MAX(1,L142/$D$142),2),0))</f>
        <v>481.43015501539276</v>
      </c>
      <c r="N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rate",Assumptions!$A$1:$A$327,0)))^IFERROR(LOG(MAX(1,M142/$D$142),2),0))</f>
        <v>471.8380629901115</v>
      </c>
      <c r="O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rate",Assumptions!$A$1:$A$327,0)))^IFERROR(LOG(MAX(1,N142/$D$142),2),0))</f>
        <v>463.24927913661071</v>
      </c>
      <c r="P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rate",Assumptions!$A$1:$A$327,0)))^IFERROR(LOG(MAX(1,O142/$D$142),2),0))</f>
        <v>454.16628671364975</v>
      </c>
      <c r="Q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rate",Assumptions!$A$1:$A$327,0)))^IFERROR(LOG(MAX(1,P142/$D$142),2),0))</f>
        <v>447.8605618016249</v>
      </c>
      <c r="R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rate",Assumptions!$A$1:$A$327,0)))^IFERROR(LOG(MAX(1,Q142/$D$142),2),0))</f>
        <v>444.84495700303592</v>
      </c>
      <c r="S143" s="66">
        <f ca="1">MAX(INDEX(Assumptions!$B:$B,MATCH("Satellite cost floor ($/kg)",Assumptions!$A$1:$A$327,0)), INDEX(Assumptions!$B:$B,MATCH("Satellite cost per kg: base year ($/kg)",Assumptions!$A$1:$A$327,0))*(1-INDEX(Assumptions!$B:$B,MATCH("Satellite cost per kg: learning rate",Assumptions!$A$1:$A$327,0)))^IFERROR(LOG(MAX(1,R142/$D$142),2),0))</f>
        <v>442.93199753263877</v>
      </c>
    </row>
    <row r="144" spans="1:19" x14ac:dyDescent="0.2">
      <c r="A144" s="18" t="s">
        <v>1311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</row>
    <row r="145" spans="1:19" x14ac:dyDescent="0.2">
      <c r="A145" s="23" t="s">
        <v>525</v>
      </c>
      <c r="B145" s="8"/>
      <c r="C145" s="8"/>
      <c r="D145" s="76">
        <f t="shared" ref="D145:S145" si="33">D65</f>
        <v>10879.124830359477</v>
      </c>
      <c r="E145" s="76">
        <f t="shared" ca="1" si="33"/>
        <v>14251.989853633484</v>
      </c>
      <c r="F145" s="76">
        <f t="shared" ca="1" si="33"/>
        <v>55193.05535884096</v>
      </c>
      <c r="G145" s="76">
        <f t="shared" ca="1" si="33"/>
        <v>108390.77049753774</v>
      </c>
      <c r="H145" s="76">
        <f t="shared" ca="1" si="33"/>
        <v>176119.65775255347</v>
      </c>
      <c r="I145" s="76">
        <f t="shared" ca="1" si="33"/>
        <v>220835.8110838877</v>
      </c>
      <c r="J145" s="76">
        <f t="shared" ca="1" si="33"/>
        <v>267140.25849464588</v>
      </c>
      <c r="K145" s="76">
        <f t="shared" ca="1" si="33"/>
        <v>275315.38968665153</v>
      </c>
      <c r="L145" s="76">
        <f t="shared" ca="1" si="33"/>
        <v>287549.27672310715</v>
      </c>
      <c r="M145" s="76">
        <f t="shared" ca="1" si="33"/>
        <v>297705.48505211505</v>
      </c>
      <c r="N145" s="76">
        <f t="shared" ca="1" si="33"/>
        <v>320727.44471395883</v>
      </c>
      <c r="O145" s="76">
        <f t="shared" ca="1" si="33"/>
        <v>340855.93352019222</v>
      </c>
      <c r="P145" s="76">
        <f t="shared" ca="1" si="33"/>
        <v>360160.3978988647</v>
      </c>
      <c r="Q145" s="76">
        <f t="shared" ca="1" si="33"/>
        <v>368133.99635492684</v>
      </c>
      <c r="R145" s="76">
        <f t="shared" ca="1" si="33"/>
        <v>374486.5077852481</v>
      </c>
      <c r="S145" s="76">
        <f t="shared" ca="1" si="33"/>
        <v>380035.57727409829</v>
      </c>
    </row>
    <row r="146" spans="1:19" x14ac:dyDescent="0.2">
      <c r="A146" s="20" t="s">
        <v>563</v>
      </c>
      <c r="B146" s="20"/>
      <c r="C146" s="20"/>
      <c r="D146" s="87">
        <f t="shared" ref="D146:S146" si="34">D78</f>
        <v>4281.2917237996735</v>
      </c>
      <c r="E146" s="87">
        <f t="shared" ca="1" si="34"/>
        <v>4360.8897489105148</v>
      </c>
      <c r="F146" s="87">
        <f t="shared" ca="1" si="34"/>
        <v>19122.254191024942</v>
      </c>
      <c r="G146" s="87">
        <f t="shared" ca="1" si="34"/>
        <v>33095.232783074687</v>
      </c>
      <c r="H146" s="87">
        <f t="shared" ca="1" si="34"/>
        <v>47545.724733424337</v>
      </c>
      <c r="I146" s="87">
        <f t="shared" ca="1" si="34"/>
        <v>38237.80704434686</v>
      </c>
      <c r="J146" s="87">
        <f t="shared" ca="1" si="34"/>
        <v>40351.625069298592</v>
      </c>
      <c r="K146" s="87">
        <f t="shared" ca="1" si="34"/>
        <v>23066.209928844946</v>
      </c>
      <c r="L146" s="87">
        <f t="shared" ca="1" si="34"/>
        <v>21714.531731674935</v>
      </c>
      <c r="M146" s="87">
        <f t="shared" ca="1" si="34"/>
        <v>21757.357904639583</v>
      </c>
      <c r="N146" s="87">
        <f t="shared" ca="1" si="34"/>
        <v>29014.306227632245</v>
      </c>
      <c r="O146" s="87">
        <f t="shared" ca="1" si="34"/>
        <v>30368.005497032849</v>
      </c>
      <c r="P146" s="87">
        <f t="shared" ca="1" si="34"/>
        <v>30267.589467467722</v>
      </c>
      <c r="Q146" s="87">
        <f t="shared" ca="1" si="34"/>
        <v>23761.53228885723</v>
      </c>
      <c r="R146" s="87">
        <f t="shared" ca="1" si="34"/>
        <v>20488.801037435605</v>
      </c>
      <c r="S146" s="87">
        <f t="shared" ca="1" si="34"/>
        <v>19002.833645223971</v>
      </c>
    </row>
    <row r="147" spans="1:19" x14ac:dyDescent="0.2">
      <c r="A147" s="20" t="s">
        <v>564</v>
      </c>
      <c r="B147" s="20"/>
      <c r="C147" s="20"/>
      <c r="D147" s="87">
        <f t="shared" ref="D147:S147" si="35">D79</f>
        <v>6597.8331065598031</v>
      </c>
      <c r="E147" s="87">
        <f t="shared" ca="1" si="35"/>
        <v>9891.1001047229693</v>
      </c>
      <c r="F147" s="87">
        <f t="shared" ca="1" si="35"/>
        <v>36070.801167816018</v>
      </c>
      <c r="G147" s="87">
        <f t="shared" ca="1" si="35"/>
        <v>75295.537714463047</v>
      </c>
      <c r="H147" s="87">
        <f t="shared" ca="1" si="35"/>
        <v>128573.93301912912</v>
      </c>
      <c r="I147" s="87">
        <f t="shared" ca="1" si="35"/>
        <v>182598.00403954083</v>
      </c>
      <c r="J147" s="87">
        <f t="shared" ca="1" si="35"/>
        <v>226788.63342534727</v>
      </c>
      <c r="K147" s="87">
        <f t="shared" ca="1" si="35"/>
        <v>252249.17975780659</v>
      </c>
      <c r="L147" s="87">
        <f t="shared" ca="1" si="35"/>
        <v>265834.74499143224</v>
      </c>
      <c r="M147" s="87">
        <f t="shared" ca="1" si="35"/>
        <v>275948.12714747549</v>
      </c>
      <c r="N147" s="87">
        <f t="shared" ca="1" si="35"/>
        <v>291713.13848632656</v>
      </c>
      <c r="O147" s="87">
        <f t="shared" ca="1" si="35"/>
        <v>310487.92802315939</v>
      </c>
      <c r="P147" s="87">
        <f t="shared" ca="1" si="35"/>
        <v>329892.80843139696</v>
      </c>
      <c r="Q147" s="87">
        <f t="shared" ca="1" si="35"/>
        <v>344372.46406606963</v>
      </c>
      <c r="R147" s="87">
        <f t="shared" ca="1" si="35"/>
        <v>353997.70674781251</v>
      </c>
      <c r="S147" s="87">
        <f t="shared" ca="1" si="35"/>
        <v>361032.7436288743</v>
      </c>
    </row>
    <row r="148" spans="1:19" x14ac:dyDescent="0.2">
      <c r="A148" s="23" t="s">
        <v>565</v>
      </c>
      <c r="B148" s="8"/>
      <c r="C148" s="8"/>
      <c r="D148" s="76">
        <f t="shared" ref="D148:S148" si="36">D87</f>
        <v>1463.4400194184639</v>
      </c>
      <c r="E148" s="76">
        <f t="shared" ca="1" si="36"/>
        <v>1817.5896411165193</v>
      </c>
      <c r="F148" s="76">
        <f t="shared" ca="1" si="36"/>
        <v>6638.7296349937533</v>
      </c>
      <c r="G148" s="76">
        <f t="shared" ca="1" si="36"/>
        <v>12475.00087094925</v>
      </c>
      <c r="H148" s="76">
        <f t="shared" ca="1" si="36"/>
        <v>19397.444362113318</v>
      </c>
      <c r="I148" s="76">
        <f t="shared" ca="1" si="36"/>
        <v>23578.474978135186</v>
      </c>
      <c r="J148" s="76">
        <f t="shared" ca="1" si="36"/>
        <v>28285.811209642558</v>
      </c>
      <c r="K148" s="76">
        <f t="shared" ca="1" si="36"/>
        <v>29431.713409690692</v>
      </c>
      <c r="L148" s="76">
        <f t="shared" ca="1" si="36"/>
        <v>30775.962587128401</v>
      </c>
      <c r="M148" s="76">
        <f t="shared" ca="1" si="36"/>
        <v>31877.19931197754</v>
      </c>
      <c r="N148" s="76">
        <f t="shared" ca="1" si="36"/>
        <v>34253.187245349305</v>
      </c>
      <c r="O148" s="76">
        <f t="shared" ca="1" si="36"/>
        <v>36415.941639084216</v>
      </c>
      <c r="P148" s="76">
        <f t="shared" ca="1" si="36"/>
        <v>38494.28040445091</v>
      </c>
      <c r="Q148" s="76">
        <f t="shared" ca="1" si="36"/>
        <v>39435.95973817983</v>
      </c>
      <c r="R148" s="76">
        <f t="shared" ca="1" si="36"/>
        <v>40159.859539684738</v>
      </c>
      <c r="S148" s="76">
        <f t="shared" ca="1" si="36"/>
        <v>40773.032238825064</v>
      </c>
    </row>
    <row r="149" spans="1:19" x14ac:dyDescent="0.2">
      <c r="A149" s="20" t="s">
        <v>566</v>
      </c>
      <c r="B149" s="20"/>
      <c r="C149" s="20"/>
      <c r="D149" s="87">
        <f t="shared" ref="D149:S149" si="37">D88</f>
        <v>5134.3930871413395</v>
      </c>
      <c r="E149" s="87">
        <f t="shared" ca="1" si="37"/>
        <v>8073.5104636064498</v>
      </c>
      <c r="F149" s="87">
        <f t="shared" ca="1" si="37"/>
        <v>29432.071532822265</v>
      </c>
      <c r="G149" s="87">
        <f t="shared" ca="1" si="37"/>
        <v>62820.536843513793</v>
      </c>
      <c r="H149" s="87">
        <f t="shared" ca="1" si="37"/>
        <v>109176.48865701581</v>
      </c>
      <c r="I149" s="87">
        <f t="shared" ca="1" si="37"/>
        <v>159019.52906140563</v>
      </c>
      <c r="J149" s="87">
        <f t="shared" ca="1" si="37"/>
        <v>198502.82221570471</v>
      </c>
      <c r="K149" s="87">
        <f t="shared" ca="1" si="37"/>
        <v>222817.46634811591</v>
      </c>
      <c r="L149" s="87">
        <f t="shared" ca="1" si="37"/>
        <v>235058.78240430384</v>
      </c>
      <c r="M149" s="87">
        <f t="shared" ca="1" si="37"/>
        <v>244070.92783549795</v>
      </c>
      <c r="N149" s="87">
        <f t="shared" ca="1" si="37"/>
        <v>257459.95124097724</v>
      </c>
      <c r="O149" s="87">
        <f t="shared" ca="1" si="37"/>
        <v>274071.98638407519</v>
      </c>
      <c r="P149" s="87">
        <f t="shared" ca="1" si="37"/>
        <v>291398.52802694606</v>
      </c>
      <c r="Q149" s="87">
        <f t="shared" ca="1" si="37"/>
        <v>304936.50432788982</v>
      </c>
      <c r="R149" s="87">
        <f t="shared" ca="1" si="37"/>
        <v>313837.84720812779</v>
      </c>
      <c r="S149" s="87">
        <f t="shared" ca="1" si="37"/>
        <v>320259.71139004925</v>
      </c>
    </row>
    <row r="150" spans="1:19" x14ac:dyDescent="0.2">
      <c r="A150" s="23" t="s">
        <v>567</v>
      </c>
      <c r="B150" s="8"/>
      <c r="C150" s="8"/>
      <c r="D150" s="76">
        <f t="shared" ref="D150:S150" si="38">D92</f>
        <v>576.5936160090522</v>
      </c>
      <c r="E150" s="76">
        <f t="shared" ca="1" si="38"/>
        <v>679.81991601831714</v>
      </c>
      <c r="F150" s="76">
        <f t="shared" ca="1" si="38"/>
        <v>2369.4378665550425</v>
      </c>
      <c r="G150" s="76">
        <f t="shared" ca="1" si="38"/>
        <v>4187.8941997133661</v>
      </c>
      <c r="H150" s="76">
        <f t="shared" ca="1" si="38"/>
        <v>6124.2616949268686</v>
      </c>
      <c r="I150" s="76">
        <f t="shared" ca="1" si="38"/>
        <v>6911.2709186070188</v>
      </c>
      <c r="J150" s="76">
        <f t="shared" ca="1" si="38"/>
        <v>8014.2077548393763</v>
      </c>
      <c r="K150" s="76">
        <f t="shared" ca="1" si="38"/>
        <v>8259.4616905995463</v>
      </c>
      <c r="L150" s="76">
        <f t="shared" ca="1" si="38"/>
        <v>8626.4783016932142</v>
      </c>
      <c r="M150" s="76">
        <f t="shared" ca="1" si="38"/>
        <v>8931.1645515634518</v>
      </c>
      <c r="N150" s="76">
        <f t="shared" ca="1" si="38"/>
        <v>9621.8233414187653</v>
      </c>
      <c r="O150" s="76">
        <f t="shared" ca="1" si="38"/>
        <v>10225.678005605767</v>
      </c>
      <c r="P150" s="76">
        <f t="shared" ca="1" si="38"/>
        <v>10804.81193696594</v>
      </c>
      <c r="Q150" s="76">
        <f t="shared" ca="1" si="38"/>
        <v>11044.019890647805</v>
      </c>
      <c r="R150" s="76">
        <f t="shared" ca="1" si="38"/>
        <v>11234.595233557442</v>
      </c>
      <c r="S150" s="76">
        <f t="shared" ca="1" si="38"/>
        <v>11401.067318222948</v>
      </c>
    </row>
    <row r="151" spans="1:19" x14ac:dyDescent="0.2">
      <c r="A151" s="23" t="s">
        <v>568</v>
      </c>
      <c r="B151" s="8"/>
      <c r="C151" s="8"/>
      <c r="D151" s="76">
        <f t="shared" ref="D151:S151" ca="1" si="39">D97</f>
        <v>602.38373869890108</v>
      </c>
      <c r="E151" s="76">
        <f t="shared" ca="1" si="39"/>
        <v>804.39193779975778</v>
      </c>
      <c r="F151" s="76">
        <f t="shared" ca="1" si="39"/>
        <v>1944.3951992811649</v>
      </c>
      <c r="G151" s="76">
        <f t="shared" ca="1" si="39"/>
        <v>4524.0594409171481</v>
      </c>
      <c r="H151" s="76">
        <f t="shared" ca="1" si="39"/>
        <v>10679.200916177455</v>
      </c>
      <c r="I151" s="76">
        <f t="shared" ca="1" si="39"/>
        <v>19933.746382251295</v>
      </c>
      <c r="J151" s="76">
        <f t="shared" ca="1" si="39"/>
        <v>34550.14633382461</v>
      </c>
      <c r="K151" s="76">
        <f t="shared" ca="1" si="39"/>
        <v>43824.739353232057</v>
      </c>
      <c r="L151" s="76">
        <f t="shared" ca="1" si="39"/>
        <v>53863.6089388869</v>
      </c>
      <c r="M151" s="76">
        <f t="shared" ca="1" si="39"/>
        <v>65945.349637702631</v>
      </c>
      <c r="N151" s="76">
        <f t="shared" ca="1" si="39"/>
        <v>78176.082769752073</v>
      </c>
      <c r="O151" s="76">
        <f t="shared" ca="1" si="39"/>
        <v>93534.424735750363</v>
      </c>
      <c r="P151" s="76">
        <f t="shared" ca="1" si="39"/>
        <v>109504.91689295201</v>
      </c>
      <c r="Q151" s="76">
        <f t="shared" ca="1" si="39"/>
        <v>111602.12478285661</v>
      </c>
      <c r="R151" s="76">
        <f t="shared" ca="1" si="39"/>
        <v>103704.75975683627</v>
      </c>
      <c r="S151" s="76">
        <f t="shared" ca="1" si="39"/>
        <v>93001.758872307546</v>
      </c>
    </row>
    <row r="152" spans="1:19" x14ac:dyDescent="0.2">
      <c r="A152" s="20" t="s">
        <v>569</v>
      </c>
      <c r="B152" s="20"/>
      <c r="C152" s="20"/>
      <c r="D152" s="87">
        <f t="shared" ref="D152:S152" ca="1" si="40">D98</f>
        <v>4532.0093484424387</v>
      </c>
      <c r="E152" s="87">
        <f t="shared" ca="1" si="40"/>
        <v>7269.1185258066917</v>
      </c>
      <c r="F152" s="87">
        <f t="shared" ca="1" si="40"/>
        <v>27487.676333541101</v>
      </c>
      <c r="G152" s="87">
        <f t="shared" ca="1" si="40"/>
        <v>58296.477402596647</v>
      </c>
      <c r="H152" s="87">
        <f t="shared" ca="1" si="40"/>
        <v>98497.287740838365</v>
      </c>
      <c r="I152" s="87">
        <f t="shared" ca="1" si="40"/>
        <v>139085.78267915433</v>
      </c>
      <c r="J152" s="87">
        <f t="shared" ca="1" si="40"/>
        <v>163952.6758818801</v>
      </c>
      <c r="K152" s="87">
        <f t="shared" ca="1" si="40"/>
        <v>178992.72699488385</v>
      </c>
      <c r="L152" s="87">
        <f t="shared" ca="1" si="40"/>
        <v>181195.17346541694</v>
      </c>
      <c r="M152" s="87">
        <f t="shared" ca="1" si="40"/>
        <v>178125.57819779532</v>
      </c>
      <c r="N152" s="87">
        <f t="shared" ca="1" si="40"/>
        <v>179283.86847122517</v>
      </c>
      <c r="O152" s="87">
        <f t="shared" ca="1" si="40"/>
        <v>180537.56164832483</v>
      </c>
      <c r="P152" s="87">
        <f t="shared" ca="1" si="40"/>
        <v>181893.61113399407</v>
      </c>
      <c r="Q152" s="87">
        <f t="shared" ca="1" si="40"/>
        <v>193334.37954503321</v>
      </c>
      <c r="R152" s="87">
        <f t="shared" ca="1" si="40"/>
        <v>210133.0874512915</v>
      </c>
      <c r="S152" s="87">
        <f t="shared" ca="1" si="40"/>
        <v>227257.95251774171</v>
      </c>
    </row>
    <row r="153" spans="1:19" x14ac:dyDescent="0.2">
      <c r="A153" s="23" t="s">
        <v>570</v>
      </c>
      <c r="B153" s="8"/>
      <c r="C153" s="8"/>
      <c r="D153" s="76">
        <f t="shared" ref="D153:S153" si="41">D101</f>
        <v>1674.816</v>
      </c>
      <c r="E153" s="76">
        <f t="shared" ca="1" si="41"/>
        <v>1405.7159999999999</v>
      </c>
      <c r="F153" s="76">
        <f t="shared" ca="1" si="41"/>
        <v>5104.3212461441062</v>
      </c>
      <c r="G153" s="76">
        <f t="shared" ca="1" si="41"/>
        <v>11652.749680599962</v>
      </c>
      <c r="H153" s="76">
        <f t="shared" ca="1" si="41"/>
        <v>26577.581853665102</v>
      </c>
      <c r="I153" s="76">
        <f t="shared" ca="1" si="41"/>
        <v>38305.846511321186</v>
      </c>
      <c r="J153" s="76">
        <f t="shared" ca="1" si="41"/>
        <v>58276.737080464263</v>
      </c>
      <c r="K153" s="76">
        <f t="shared" ca="1" si="41"/>
        <v>39764.718385969012</v>
      </c>
      <c r="L153" s="76">
        <f t="shared" ca="1" si="41"/>
        <v>47313.086120384432</v>
      </c>
      <c r="M153" s="76">
        <f t="shared" ca="1" si="41"/>
        <v>66961.797334851552</v>
      </c>
      <c r="N153" s="76">
        <f t="shared" ca="1" si="41"/>
        <v>77629.439234645091</v>
      </c>
      <c r="O153" s="76">
        <f t="shared" ca="1" si="41"/>
        <v>106304.37323307277</v>
      </c>
      <c r="P153" s="76">
        <f t="shared" ca="1" si="41"/>
        <v>92336.096769416909</v>
      </c>
      <c r="Q153" s="76">
        <f t="shared" ca="1" si="41"/>
        <v>50632.84543827187</v>
      </c>
      <c r="R153" s="76">
        <f t="shared" ca="1" si="41"/>
        <v>34614.537421660309</v>
      </c>
      <c r="S153" s="76">
        <f t="shared" ca="1" si="41"/>
        <v>35103.200548133718</v>
      </c>
    </row>
    <row r="154" spans="1:19" x14ac:dyDescent="0.2">
      <c r="A154" s="23" t="s">
        <v>571</v>
      </c>
      <c r="B154" s="8"/>
      <c r="C154" s="8"/>
      <c r="D154" s="76">
        <f t="shared" ref="D154:S154" si="42">D102</f>
        <v>107.35164835164835</v>
      </c>
      <c r="E154" s="76">
        <f t="shared" ca="1" si="42"/>
        <v>144.66641652302212</v>
      </c>
      <c r="F154" s="76">
        <f t="shared" ca="1" si="42"/>
        <v>553.84364369653144</v>
      </c>
      <c r="G154" s="76">
        <f t="shared" ca="1" si="42"/>
        <v>903.66398213151137</v>
      </c>
      <c r="H154" s="76">
        <f t="shared" ca="1" si="42"/>
        <v>1776.2951441636935</v>
      </c>
      <c r="I154" s="76">
        <f t="shared" ca="1" si="42"/>
        <v>1529.4636559150463</v>
      </c>
      <c r="J154" s="76">
        <f t="shared" ca="1" si="42"/>
        <v>2560.4991275591451</v>
      </c>
      <c r="K154" s="76">
        <f t="shared" ca="1" si="42"/>
        <v>93.855318827996371</v>
      </c>
      <c r="L154" s="76">
        <f t="shared" ca="1" si="42"/>
        <v>89.461463734920372</v>
      </c>
      <c r="M154" s="76">
        <f t="shared" ca="1" si="42"/>
        <v>1664.8189015858836</v>
      </c>
      <c r="N154" s="76">
        <f t="shared" ca="1" si="42"/>
        <v>1588.2382837590192</v>
      </c>
      <c r="O154" s="76">
        <f t="shared" ca="1" si="42"/>
        <v>3902.3946860205997</v>
      </c>
      <c r="P154" s="76">
        <f t="shared" ca="1" si="42"/>
        <v>109.4985674523102</v>
      </c>
      <c r="Q154" s="76">
        <f t="shared" ca="1" si="42"/>
        <v>91.63201498652117</v>
      </c>
      <c r="R154" s="76">
        <f t="shared" ca="1" si="42"/>
        <v>82.84922134027714</v>
      </c>
      <c r="S154" s="76">
        <f t="shared" ca="1" si="42"/>
        <v>78.675804996309921</v>
      </c>
    </row>
    <row r="155" spans="1:19" x14ac:dyDescent="0.2">
      <c r="A155" s="23" t="s">
        <v>572</v>
      </c>
      <c r="B155" s="8"/>
      <c r="C155" s="8"/>
      <c r="D155" s="76">
        <f t="shared" ref="D155:S155" si="43">D104</f>
        <v>21.504000000000001</v>
      </c>
      <c r="E155" s="76">
        <f t="shared" ca="1" si="43"/>
        <v>17.904</v>
      </c>
      <c r="F155" s="76">
        <f t="shared" ca="1" si="43"/>
        <v>21.897676502449965</v>
      </c>
      <c r="G155" s="76">
        <f t="shared" ca="1" si="43"/>
        <v>49.790899805251556</v>
      </c>
      <c r="H155" s="76">
        <f t="shared" ca="1" si="43"/>
        <v>117.04075470724565</v>
      </c>
      <c r="I155" s="76">
        <f t="shared" ca="1" si="43"/>
        <v>177.64871852802352</v>
      </c>
      <c r="J155" s="76">
        <f t="shared" ca="1" si="43"/>
        <v>281.57612686483299</v>
      </c>
      <c r="K155" s="76">
        <f t="shared" ca="1" si="43"/>
        <v>200.33510589526642</v>
      </c>
      <c r="L155" s="76">
        <f t="shared" ca="1" si="43"/>
        <v>242.67381687237619</v>
      </c>
      <c r="M155" s="76">
        <f t="shared" ca="1" si="43"/>
        <v>349.1057230888423</v>
      </c>
      <c r="N155" s="76">
        <f t="shared" ca="1" si="43"/>
        <v>412.69639373916135</v>
      </c>
      <c r="O155" s="76">
        <f t="shared" ca="1" si="43"/>
        <v>575.07122165990347</v>
      </c>
      <c r="P155" s="76">
        <f t="shared" ca="1" si="43"/>
        <v>509.65491752635319</v>
      </c>
      <c r="Q155" s="76">
        <f t="shared" ca="1" si="43"/>
        <v>284.01973043711916</v>
      </c>
      <c r="R155" s="76">
        <f t="shared" ca="1" si="43"/>
        <v>195.91387032879638</v>
      </c>
      <c r="S155" s="76">
        <f t="shared" ca="1" si="43"/>
        <v>199.51213968733788</v>
      </c>
    </row>
    <row r="156" spans="1:19" x14ac:dyDescent="0.2">
      <c r="A156" s="23" t="s">
        <v>573</v>
      </c>
      <c r="B156" s="8"/>
      <c r="C156" s="8"/>
      <c r="D156" s="76">
        <f t="shared" ref="D156:S156" ca="1" si="44">D105</f>
        <v>2007.9793406593408</v>
      </c>
      <c r="E156" s="76">
        <f t="shared" ca="1" si="44"/>
        <v>1714.4918219284275</v>
      </c>
      <c r="F156" s="76">
        <f t="shared" ca="1" si="44"/>
        <v>6918.8609654023821</v>
      </c>
      <c r="G156" s="76">
        <f t="shared" ca="1" si="44"/>
        <v>14418.86235570158</v>
      </c>
      <c r="H156" s="76">
        <f t="shared" ca="1" si="44"/>
        <v>30747.468886813833</v>
      </c>
      <c r="I156" s="76">
        <f t="shared" ca="1" si="44"/>
        <v>42228.726511789231</v>
      </c>
      <c r="J156" s="76">
        <f t="shared" ca="1" si="44"/>
        <v>63773.209930108671</v>
      </c>
      <c r="K156" s="76">
        <f t="shared" ca="1" si="44"/>
        <v>40751.195188369697</v>
      </c>
      <c r="L156" s="76">
        <f t="shared" ca="1" si="44"/>
        <v>48285.677359015157</v>
      </c>
      <c r="M156" s="76">
        <f t="shared" ca="1" si="44"/>
        <v>69200.798159128593</v>
      </c>
      <c r="N156" s="76">
        <f t="shared" ca="1" si="44"/>
        <v>79978.278086621649</v>
      </c>
      <c r="O156" s="76">
        <f t="shared" ca="1" si="44"/>
        <v>111234.77078136329</v>
      </c>
      <c r="P156" s="76">
        <f t="shared" ca="1" si="44"/>
        <v>93224.082515170536</v>
      </c>
      <c r="Q156" s="76">
        <f t="shared" ca="1" si="44"/>
        <v>51083.432228630241</v>
      </c>
      <c r="R156" s="76">
        <f t="shared" ca="1" si="44"/>
        <v>35092.623804714014</v>
      </c>
      <c r="S156" s="76">
        <f t="shared" ca="1" si="44"/>
        <v>35814.144100924284</v>
      </c>
    </row>
    <row r="157" spans="1:19" x14ac:dyDescent="0.2">
      <c r="A157" s="23" t="s">
        <v>574</v>
      </c>
      <c r="B157" s="8"/>
      <c r="C157" s="8"/>
      <c r="D157" s="76">
        <f t="shared" ref="D157:S157" ca="1" si="45">D106</f>
        <v>3126.4137464819987</v>
      </c>
      <c r="E157" s="76">
        <f t="shared" ca="1" si="45"/>
        <v>6359.0186416780225</v>
      </c>
      <c r="F157" s="76">
        <f t="shared" ca="1" si="45"/>
        <v>22513.210567419883</v>
      </c>
      <c r="G157" s="76">
        <f t="shared" ca="1" si="45"/>
        <v>48401.674487812212</v>
      </c>
      <c r="H157" s="76">
        <f t="shared" ca="1" si="45"/>
        <v>78429.01977020198</v>
      </c>
      <c r="I157" s="76">
        <f t="shared" ca="1" si="45"/>
        <v>116790.8025496164</v>
      </c>
      <c r="J157" s="76">
        <f t="shared" ca="1" si="45"/>
        <v>134729.61228559603</v>
      </c>
      <c r="K157" s="76">
        <f t="shared" ca="1" si="45"/>
        <v>182066.27115974622</v>
      </c>
      <c r="L157" s="76">
        <f t="shared" ca="1" si="45"/>
        <v>186773.10504528868</v>
      </c>
      <c r="M157" s="76">
        <f t="shared" ca="1" si="45"/>
        <v>174870.12967636937</v>
      </c>
      <c r="N157" s="76">
        <f t="shared" ca="1" si="45"/>
        <v>177481.67315435561</v>
      </c>
      <c r="O157" s="76">
        <f t="shared" ca="1" si="45"/>
        <v>162837.21560271189</v>
      </c>
      <c r="P157" s="76">
        <f t="shared" ca="1" si="45"/>
        <v>198174.44551177553</v>
      </c>
      <c r="Q157" s="76">
        <f t="shared" ca="1" si="45"/>
        <v>253853.07209925959</v>
      </c>
      <c r="R157" s="76">
        <f t="shared" ca="1" si="45"/>
        <v>278745.22340341378</v>
      </c>
      <c r="S157" s="76">
        <f t="shared" ca="1" si="45"/>
        <v>284445.56728912494</v>
      </c>
    </row>
    <row r="158" spans="1:19" x14ac:dyDescent="0.2">
      <c r="A158" s="23" t="s">
        <v>575</v>
      </c>
      <c r="B158" s="8"/>
      <c r="C158" s="8"/>
      <c r="D158" s="76">
        <f ca="1">SUM($D$105:D105)</f>
        <v>2007.9793406593408</v>
      </c>
      <c r="E158" s="76">
        <f ca="1">SUM($D$105:E105)</f>
        <v>3722.471162587768</v>
      </c>
      <c r="F158" s="76">
        <f ca="1">SUM($D$105:F105)</f>
        <v>10641.33212799015</v>
      </c>
      <c r="G158" s="76">
        <f ca="1">SUM($D$105:G105)</f>
        <v>25060.194483691732</v>
      </c>
      <c r="H158" s="76">
        <f ca="1">SUM($D$105:H105)</f>
        <v>55807.663370505565</v>
      </c>
      <c r="I158" s="76">
        <f ca="1">SUM($D$105:I105)</f>
        <v>98036.389882294796</v>
      </c>
      <c r="J158" s="76">
        <f ca="1">SUM($D$105:J105)</f>
        <v>161809.59981240347</v>
      </c>
      <c r="K158" s="76">
        <f ca="1">SUM($D$105:K105)</f>
        <v>202560.79500077316</v>
      </c>
      <c r="L158" s="76">
        <f ca="1">SUM($D$105:L105)</f>
        <v>250846.47235978831</v>
      </c>
      <c r="M158" s="76">
        <f ca="1">SUM($D$105:M105)</f>
        <v>320047.27051891689</v>
      </c>
      <c r="N158" s="76">
        <f ca="1">SUM($D$105:N105)</f>
        <v>400025.54860553856</v>
      </c>
      <c r="O158" s="76">
        <f ca="1">SUM($D$105:O105)</f>
        <v>511260.31938690186</v>
      </c>
      <c r="P158" s="76">
        <f ca="1">SUM($D$105:P105)</f>
        <v>604484.40190207236</v>
      </c>
      <c r="Q158" s="76">
        <f ca="1">SUM($D$105:Q105)</f>
        <v>655567.83413070266</v>
      </c>
      <c r="R158" s="76">
        <f ca="1">SUM($D$105:R105)</f>
        <v>690660.45793541672</v>
      </c>
      <c r="S158" s="76">
        <f ca="1">SUM($D$105:S105)</f>
        <v>726474.60203634098</v>
      </c>
    </row>
    <row r="159" spans="1:19" x14ac:dyDescent="0.2">
      <c r="A159" s="23" t="s">
        <v>576</v>
      </c>
      <c r="B159" s="8"/>
      <c r="C159" s="8"/>
      <c r="D159" s="50">
        <f t="array" ref="D159">IFERROR(INDEX($D$167:$AC$167, COLUMN()-COLUMN($D$159)+1)*D161, 0)</f>
        <v>2300640</v>
      </c>
      <c r="E159" s="50">
        <f t="array" aca="1" ref="E159" ca="1">IFERROR(INDEX($D$167:$AC$167, COLUMN()-COLUMN($D$159)+1)*E161, 0)</f>
        <v>1869270</v>
      </c>
      <c r="F159" s="50">
        <f t="array" aca="1" ref="F159" ca="1">IFERROR(INDEX($D$167:$AC$167, COLUMN()-COLUMN($D$159)+1)*F161, 0)</f>
        <v>7837470.6009799857</v>
      </c>
      <c r="G159" s="50">
        <f t="array" aca="1" ref="G159" ca="1">IFERROR(INDEX($D$167:$AC$167, COLUMN()-COLUMN($D$159)+1)*G161, 0)</f>
        <v>18994759.922100622</v>
      </c>
      <c r="H159" s="50">
        <f t="array" aca="1" ref="H159" ca="1">IFERROR(INDEX($D$167:$AC$167, COLUMN()-COLUMN($D$159)+1)*H161, 0)</f>
        <v>45894701.882898264</v>
      </c>
      <c r="I159" s="50">
        <f t="array" aca="1" ref="I159" ca="1">IFERROR(INDEX($D$167:$AC$167, COLUMN()-COLUMN($D$159)+1)*I161, 0)</f>
        <v>70137887.411209404</v>
      </c>
      <c r="J159" s="50">
        <f t="array" aca="1" ref="J159" ca="1">IFERROR(INDEX($D$167:$AC$167, COLUMN()-COLUMN($D$159)+1)*J161, 0)</f>
        <v>111708850.74593319</v>
      </c>
      <c r="K159" s="50">
        <f t="array" aca="1" ref="K159" ca="1">IFERROR(INDEX($D$167:$AC$167, COLUMN()-COLUMN($D$159)+1)*K161, 0)</f>
        <v>79212442.358106568</v>
      </c>
      <c r="L159" s="50">
        <f t="array" aca="1" ref="L159" ca="1">IFERROR(INDEX($D$167:$AC$167, COLUMN()-COLUMN($D$159)+1)*L161, 0)</f>
        <v>96147926.748950467</v>
      </c>
      <c r="M159" s="50">
        <f t="array" aca="1" ref="M159" ca="1">IFERROR(INDEX($D$167:$AC$167, COLUMN()-COLUMN($D$159)+1)*M161, 0)</f>
        <v>138720689.2355369</v>
      </c>
      <c r="N159" s="50">
        <f t="array" aca="1" ref="N159" ca="1">IFERROR(INDEX($D$167:$AC$167, COLUMN()-COLUMN($D$159)+1)*N161, 0)</f>
        <v>164156957.49566454</v>
      </c>
      <c r="O159" s="50">
        <f t="array" aca="1" ref="O159" ca="1">IFERROR(INDEX($D$167:$AC$167, COLUMN()-COLUMN($D$159)+1)*O161, 0)</f>
        <v>229106888.66396138</v>
      </c>
      <c r="P159" s="50">
        <f t="array" aca="1" ref="P159" ca="1">IFERROR(INDEX($D$167:$AC$167, COLUMN()-COLUMN($D$159)+1)*P161, 0)</f>
        <v>202940367.01054126</v>
      </c>
      <c r="Q159" s="50">
        <f t="array" aca="1" ref="Q159" ca="1">IFERROR(INDEX($D$167:$AC$167, COLUMN()-COLUMN($D$159)+1)*Q161, 0)</f>
        <v>112686292.17484765</v>
      </c>
      <c r="R159" s="50">
        <f t="array" aca="1" ref="R159" ca="1">IFERROR(INDEX($D$167:$AC$167, COLUMN()-COLUMN($D$159)+1)*R161, 0)</f>
        <v>77443948.131518543</v>
      </c>
      <c r="S159" s="50">
        <f t="array" aca="1" ref="S159" ca="1">IFERROR(INDEX($D$167:$AC$167, COLUMN()-COLUMN($D$159)+1)*S161, 0)</f>
        <v>78883255.87493515</v>
      </c>
    </row>
    <row r="160" spans="1:19" x14ac:dyDescent="0.2">
      <c r="A160" s="23" t="s">
        <v>577</v>
      </c>
      <c r="B160" s="8"/>
      <c r="C160" s="8"/>
      <c r="D160" s="81">
        <f t="shared" ref="D160:S160" si="46">D140</f>
        <v>0.46904363917801295</v>
      </c>
      <c r="E160" s="81">
        <f t="shared" ca="1" si="46"/>
        <v>0.40627114299883704</v>
      </c>
      <c r="F160" s="81">
        <f t="shared" ca="1" si="46"/>
        <v>1.7114632715099836</v>
      </c>
      <c r="G160" s="81">
        <f t="shared" ca="1" si="46"/>
        <v>1.2166599873867274</v>
      </c>
      <c r="H160" s="81">
        <f t="shared" ca="1" si="46"/>
        <v>0.58172936754812798</v>
      </c>
      <c r="I160" s="81">
        <f t="shared" ca="1" si="46"/>
        <v>0.43785443777491401</v>
      </c>
      <c r="J160" s="81">
        <f t="shared" ca="1" si="46"/>
        <v>8.6904863580247772E-3</v>
      </c>
      <c r="K160" s="81">
        <f t="shared" ca="1" si="46"/>
        <v>-8.0487062674283377E-2</v>
      </c>
      <c r="L160" s="81">
        <f t="shared" ca="1" si="46"/>
        <v>-0.12259007804679428</v>
      </c>
      <c r="M160" s="81">
        <f t="shared" ca="1" si="46"/>
        <v>-0.14432797627370397</v>
      </c>
      <c r="N160" s="81">
        <f t="shared" ca="1" si="46"/>
        <v>-1.2847449308497173E-2</v>
      </c>
      <c r="O160" s="81">
        <f t="shared" ca="1" si="46"/>
        <v>-1.5657769254631051E-2</v>
      </c>
      <c r="P160" s="81">
        <f t="shared" ca="1" si="46"/>
        <v>-1.6521758565313224E-2</v>
      </c>
      <c r="Q160" s="81">
        <f t="shared" ca="1" si="46"/>
        <v>-1.1969409473280616E-2</v>
      </c>
      <c r="R160" s="81">
        <f t="shared" ca="1" si="46"/>
        <v>-2.8066851211143045E-3</v>
      </c>
      <c r="S160" s="81">
        <f t="shared" ca="1" si="46"/>
        <v>9.1918234866494291E-3</v>
      </c>
    </row>
    <row r="161" spans="1:19" x14ac:dyDescent="0.2">
      <c r="A161" s="23" t="s">
        <v>1312</v>
      </c>
      <c r="B161" s="8"/>
      <c r="C161" s="8"/>
      <c r="D161" s="66">
        <f>IF(D$29=1,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599.125</v>
      </c>
      <c r="E161" s="66">
        <f>IF(E$29=1,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599.125</v>
      </c>
      <c r="F161" s="66">
        <f>IF(F$29=1,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G161" s="66">
        <f>IF(G$29=1,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H161" s="66">
        <f>IF(H$29=1,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I161" s="66">
        <f>IF(I$29=1,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J161" s="66">
        <f>IF(J$29=1,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K161" s="66">
        <f>IF(K$29=1,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L161" s="66">
        <f>IF(L$29=1,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M161" s="66">
        <f>IF(M$29=1,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N161" s="66">
        <f>IF(N$29=1,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O161" s="66">
        <f>IF(O$29=1,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P161" s="66">
        <f>IF(P$29=1,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Q161" s="66">
        <f>IF(Q$29=1,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R161" s="66">
        <f>IF(R$29=1,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  <c r="S161" s="66">
        <f>IF(S$29=1, INDEX(Assumptions!$B:$B,MATCH("V3 BB share of new deployment (frac)",Assumptions!$A$1:$A$327,0))*INDEX(Assumptions!$B:$B,MATCH("V3 BB sat mass (kg)",Assumptions!$A$1:$A$327,0))+INDEX(Assumptions!$B:$B,MATCH("V3 DTC share of new deployment (frac)",Assumptions!$A$1:$A$327,0))*INDEX(Assumptions!$B:$B,MATCH("V3 DTC sat mass (kg)",Assumptions!$A$1:$A$327,0)), INDEX(Assumptions!$B:$B,MATCH("V2 BB share of new deployment (frac)",Assumptions!$A$1:$A$327,0))*INDEX(Assumptions!$B:$B,MATCH("V2 BB sat mass (kg)",Assumptions!$A$1:$A$327,0))+INDEX(Assumptions!$B:$B,MATCH("V2 DTC share of new deployment (frac)",Assumptions!$A$1:$A$327,0))*INDEX(Assumptions!$B:$B,MATCH("V2 DTC sat mass (kg)",Assumptions!$A$1:$A$327,0))+0.12*INDEX(Assumptions!$B:$B,MATCH("Starshield sat mass (kg)",Assumptions!$A$1:$A$327,0)))</f>
        <v>2000</v>
      </c>
    </row>
    <row r="162" spans="1:19" x14ac:dyDescent="0.2">
      <c r="A162" s="23" t="s">
        <v>1727</v>
      </c>
      <c r="B162" s="8"/>
      <c r="C162" s="8"/>
      <c r="D162" s="66">
        <f ca="1">IFERROR(INDEX('Cash Allocation Engine'!$D:$AC,MATCH("Launch capacity allotment: Starlink (kg)",'Cash Allocation Engine'!$A$1:$A$96,0),MATCH(D$4,'Cash Allocation Engine'!$D$4:$AC$4,0))/D161,1000000000000)</f>
        <v>7118.647726569453</v>
      </c>
      <c r="E162" s="66">
        <f ca="1">IFERROR(INDEX('Cash Allocation Engine'!$D:$AC,MATCH("Launch capacity allotment: Starlink (kg)",'Cash Allocation Engine'!$A$1:$A$96,0),MATCH(E$4,'Cash Allocation Engine'!$D$4:$AC$4,0))/E161,1000000000000)</f>
        <v>7707.7193645618618</v>
      </c>
      <c r="F162" s="66">
        <f ca="1">IFERROR(INDEX('Cash Allocation Engine'!$D:$AC,MATCH("Launch capacity allotment: Starlink (kg)",'Cash Allocation Engine'!$A$1:$A$96,0),MATCH(F$4,'Cash Allocation Engine'!$D$4:$AC$4,0))/F161,1000000000000)</f>
        <v>3918.7353004899928</v>
      </c>
      <c r="G162" s="66">
        <f ca="1">IFERROR(INDEX('Cash Allocation Engine'!$D:$AC,MATCH("Launch capacity allotment: Starlink (kg)",'Cash Allocation Engine'!$A$1:$A$96,0),MATCH(G$4,'Cash Allocation Engine'!$D$4:$AC$4,0))/G161,1000000000000)</f>
        <v>9497.379961050312</v>
      </c>
      <c r="H162" s="66">
        <f ca="1">IFERROR(INDEX('Cash Allocation Engine'!$D:$AC,MATCH("Launch capacity allotment: Starlink (kg)",'Cash Allocation Engine'!$A$1:$A$96,0),MATCH(H$4,'Cash Allocation Engine'!$D$4:$AC$4,0))/H161,1000000000000)</f>
        <v>27023.603913252842</v>
      </c>
      <c r="I162" s="66">
        <f ca="1">IFERROR(INDEX('Cash Allocation Engine'!$D:$AC,MATCH("Launch capacity allotment: Starlink (kg)",'Cash Allocation Engine'!$A$1:$A$96,0),MATCH(I$4,'Cash Allocation Engine'!$D$4:$AC$4,0))/I161,1000000000000)</f>
        <v>62397.352066195599</v>
      </c>
      <c r="J162" s="66">
        <f ca="1">IFERROR(INDEX('Cash Allocation Engine'!$D:$AC,MATCH("Launch capacity allotment: Starlink (kg)",'Cash Allocation Engine'!$A$1:$A$96,0),MATCH(J$4,'Cash Allocation Engine'!$D$4:$AC$4,0))/J161,1000000000000)</f>
        <v>127881.3351217696</v>
      </c>
      <c r="K162" s="66">
        <f ca="1">IFERROR(INDEX('Cash Allocation Engine'!$D:$AC,MATCH("Launch capacity allotment: Starlink (kg)",'Cash Allocation Engine'!$A$1:$A$96,0),MATCH(K$4,'Cash Allocation Engine'!$D$4:$AC$4,0))/K161,1000000000000)</f>
        <v>176327.4399176423</v>
      </c>
      <c r="L162" s="66">
        <f ca="1">IFERROR(INDEX('Cash Allocation Engine'!$D:$AC,MATCH("Launch capacity allotment: Starlink (kg)",'Cash Allocation Engine'!$A$1:$A$96,0),MATCH(L$4,'Cash Allocation Engine'!$D$4:$AC$4,0))/L161,1000000000000)</f>
        <v>167702.11106465521</v>
      </c>
      <c r="M162" s="66">
        <f ca="1">IFERROR(INDEX('Cash Allocation Engine'!$D:$AC,MATCH("Launch capacity allotment: Starlink (kg)",'Cash Allocation Engine'!$A$1:$A$96,0),MATCH(M$4,'Cash Allocation Engine'!$D$4:$AC$4,0))/M161,1000000000000)</f>
        <v>162376.01471873088</v>
      </c>
      <c r="N162" s="66">
        <f ca="1">IFERROR(INDEX('Cash Allocation Engine'!$D:$AC,MATCH("Launch capacity allotment: Starlink (kg)",'Cash Allocation Engine'!$A$1:$A$96,0),MATCH(N$4,'Cash Allocation Engine'!$D$4:$AC$4,0))/N161,1000000000000)</f>
        <v>158349.33656480681</v>
      </c>
      <c r="O162" s="66">
        <f ca="1">IFERROR(INDEX('Cash Allocation Engine'!$D:$AC,MATCH("Launch capacity allotment: Starlink (kg)",'Cash Allocation Engine'!$A$1:$A$96,0),MATCH(O$4,'Cash Allocation Engine'!$D$4:$AC$4,0))/O161,1000000000000)</f>
        <v>137292.22070247965</v>
      </c>
      <c r="P162" s="66">
        <f ca="1">IFERROR(INDEX('Cash Allocation Engine'!$D:$AC,MATCH("Launch capacity allotment: Starlink (kg)",'Cash Allocation Engine'!$A$1:$A$96,0),MATCH(P$4,'Cash Allocation Engine'!$D$4:$AC$4,0))/P161,1000000000000)</f>
        <v>101470.18350527063</v>
      </c>
      <c r="Q162" s="66">
        <f ca="1">IFERROR(INDEX('Cash Allocation Engine'!$D:$AC,MATCH("Launch capacity allotment: Starlink (kg)",'Cash Allocation Engine'!$A$1:$A$96,0),MATCH(Q$4,'Cash Allocation Engine'!$D$4:$AC$4,0))/Q161,1000000000000)</f>
        <v>56343.146087423833</v>
      </c>
      <c r="R162" s="66">
        <f ca="1">IFERROR(INDEX('Cash Allocation Engine'!$D:$AC,MATCH("Launch capacity allotment: Starlink (kg)",'Cash Allocation Engine'!$A$1:$A$96,0),MATCH(R$4,'Cash Allocation Engine'!$D$4:$AC$4,0))/R161,1000000000000)</f>
        <v>38721.97406575927</v>
      </c>
      <c r="S162" s="66">
        <f ca="1">IFERROR(INDEX('Cash Allocation Engine'!$D:$AC,MATCH("Launch capacity allotment: Starlink (kg)",'Cash Allocation Engine'!$A$1:$A$96,0),MATCH(S$4,'Cash Allocation Engine'!$D$4:$AC$4,0))/S161,1000000000000)</f>
        <v>39441.627937467572</v>
      </c>
    </row>
    <row r="163" spans="1:19" x14ac:dyDescent="0.2">
      <c r="A163" s="23" t="s">
        <v>512</v>
      </c>
      <c r="B163" s="8"/>
      <c r="C163" s="8"/>
      <c r="D163" s="67">
        <f t="shared" ref="D163:S163" si="47">D49</f>
        <v>489144</v>
      </c>
      <c r="E163" s="67">
        <f t="shared" ca="1" si="47"/>
        <v>756736</v>
      </c>
      <c r="F163" s="67">
        <f t="shared" ca="1" si="47"/>
        <v>4652054.3750642929</v>
      </c>
      <c r="G163" s="67">
        <f t="shared" ca="1" si="47"/>
        <v>13909802.590216631</v>
      </c>
      <c r="H163" s="67">
        <f t="shared" ca="1" si="47"/>
        <v>34094522.779119767</v>
      </c>
      <c r="I163" s="67">
        <f t="shared" ca="1" si="47"/>
        <v>46320469.044425473</v>
      </c>
      <c r="J163" s="67">
        <f t="shared" ca="1" si="47"/>
        <v>73672560.08235769</v>
      </c>
      <c r="K163" s="67">
        <f t="shared" ca="1" si="47"/>
        <v>82297888.935344785</v>
      </c>
      <c r="L163" s="67">
        <f t="shared" ca="1" si="47"/>
        <v>87623985.281269148</v>
      </c>
      <c r="M163" s="67">
        <f t="shared" ca="1" si="47"/>
        <v>91650663.435193181</v>
      </c>
      <c r="N163" s="67">
        <f t="shared" ca="1" si="47"/>
        <v>112707779.29752035</v>
      </c>
      <c r="O163" s="67">
        <f t="shared" ca="1" si="47"/>
        <v>148529816.49472937</v>
      </c>
      <c r="P163" s="67">
        <f t="shared" ca="1" si="47"/>
        <v>193656853.91257617</v>
      </c>
      <c r="Q163" s="67">
        <f t="shared" ca="1" si="47"/>
        <v>211278025.93424073</v>
      </c>
      <c r="R163" s="67">
        <f t="shared" ca="1" si="47"/>
        <v>208405492.11428174</v>
      </c>
      <c r="S163" s="67">
        <f t="shared" ca="1" si="47"/>
        <v>195211709.59247324</v>
      </c>
    </row>
    <row r="164" spans="1:19" x14ac:dyDescent="0.2">
      <c r="A164" s="23" t="s">
        <v>518</v>
      </c>
      <c r="B164" s="8"/>
      <c r="C164" s="8"/>
      <c r="D164" s="67">
        <f t="shared" ref="D164:S164" si="48">D56</f>
        <v>577.71</v>
      </c>
      <c r="E164" s="67">
        <f t="shared" si="48"/>
        <v>577.71</v>
      </c>
      <c r="F164" s="67">
        <f t="shared" ca="1" si="48"/>
        <v>579.36897622546712</v>
      </c>
      <c r="G164" s="67">
        <f t="shared" ca="1" si="48"/>
        <v>649.97108810747886</v>
      </c>
      <c r="H164" s="67">
        <f t="shared" ca="1" si="48"/>
        <v>2675.9980758530478</v>
      </c>
      <c r="I164" s="67">
        <f t="shared" ca="1" si="48"/>
        <v>22412.90848219677</v>
      </c>
      <c r="J164" s="67">
        <f t="shared" ca="1" si="48"/>
        <v>47287.790725697079</v>
      </c>
      <c r="K164" s="67">
        <f t="shared" ca="1" si="48"/>
        <v>71156.613222255284</v>
      </c>
      <c r="L164" s="67">
        <f t="shared" ca="1" si="48"/>
        <v>100483.54281579077</v>
      </c>
      <c r="M164" s="67">
        <f t="shared" ca="1" si="48"/>
        <v>137868.27310654343</v>
      </c>
      <c r="N164" s="67">
        <f t="shared" ca="1" si="48"/>
        <v>160758.30682321559</v>
      </c>
      <c r="O164" s="67">
        <f t="shared" ca="1" si="48"/>
        <v>180935.80473712768</v>
      </c>
      <c r="P164" s="67">
        <f t="shared" ca="1" si="48"/>
        <v>195697.77250631052</v>
      </c>
      <c r="Q164" s="67">
        <f t="shared" ca="1" si="48"/>
        <v>187449.31793602306</v>
      </c>
      <c r="R164" s="67">
        <f t="shared" ca="1" si="48"/>
        <v>162959.84993835478</v>
      </c>
      <c r="S164" s="67">
        <f t="shared" ca="1" si="48"/>
        <v>136991.06370784823</v>
      </c>
    </row>
    <row r="165" spans="1:19" x14ac:dyDescent="0.2">
      <c r="A165" s="23" t="s">
        <v>528</v>
      </c>
      <c r="B165" s="8"/>
      <c r="C165" s="8"/>
      <c r="D165" s="67">
        <f t="shared" ref="D165:S165" si="49">D69</f>
        <v>166</v>
      </c>
      <c r="E165" s="67">
        <f t="shared" ca="1" si="49"/>
        <v>138</v>
      </c>
      <c r="F165" s="67">
        <f t="shared" si="49"/>
        <v>0</v>
      </c>
      <c r="G165" s="67">
        <f t="shared" si="49"/>
        <v>0</v>
      </c>
      <c r="H165" s="67">
        <f t="shared" si="49"/>
        <v>0</v>
      </c>
      <c r="I165" s="67">
        <f t="shared" si="49"/>
        <v>0</v>
      </c>
      <c r="J165" s="67">
        <f t="shared" si="49"/>
        <v>0</v>
      </c>
      <c r="K165" s="67">
        <f t="shared" si="49"/>
        <v>0</v>
      </c>
      <c r="L165" s="67">
        <f t="shared" si="49"/>
        <v>0</v>
      </c>
      <c r="M165" s="67">
        <f t="shared" si="49"/>
        <v>0</v>
      </c>
      <c r="N165" s="67">
        <f t="shared" si="49"/>
        <v>0</v>
      </c>
      <c r="O165" s="67">
        <f t="shared" si="49"/>
        <v>0</v>
      </c>
      <c r="P165" s="67">
        <f t="shared" si="49"/>
        <v>0</v>
      </c>
      <c r="Q165" s="67">
        <f t="shared" si="49"/>
        <v>0</v>
      </c>
      <c r="R165" s="67">
        <f t="shared" si="49"/>
        <v>0</v>
      </c>
      <c r="S165" s="67">
        <f t="shared" si="49"/>
        <v>0</v>
      </c>
    </row>
    <row r="166" spans="1:19" x14ac:dyDescent="0.2">
      <c r="A166" s="23" t="s">
        <v>529</v>
      </c>
      <c r="B166" s="8"/>
      <c r="C166" s="8"/>
      <c r="D166" s="67">
        <f t="shared" ref="D166:S166" si="50">D70</f>
        <v>0</v>
      </c>
      <c r="E166" s="67">
        <f t="shared" si="50"/>
        <v>0</v>
      </c>
      <c r="F166" s="67">
        <f t="shared" ca="1" si="50"/>
        <v>61</v>
      </c>
      <c r="G166" s="67">
        <f t="shared" ca="1" si="50"/>
        <v>127</v>
      </c>
      <c r="H166" s="67">
        <f t="shared" ca="1" si="50"/>
        <v>264</v>
      </c>
      <c r="I166" s="67">
        <f t="shared" ca="1" si="50"/>
        <v>351</v>
      </c>
      <c r="J166" s="67">
        <f t="shared" ca="1" si="50"/>
        <v>559</v>
      </c>
      <c r="K166" s="67">
        <f t="shared" ca="1" si="50"/>
        <v>397</v>
      </c>
      <c r="L166" s="67">
        <f t="shared" ca="1" si="50"/>
        <v>481</v>
      </c>
      <c r="M166" s="67">
        <f t="shared" ca="1" si="50"/>
        <v>694</v>
      </c>
      <c r="N166" s="67">
        <f t="shared" ca="1" si="50"/>
        <v>821</v>
      </c>
      <c r="O166" s="67">
        <f t="shared" ca="1" si="50"/>
        <v>1146</v>
      </c>
      <c r="P166" s="67">
        <f t="shared" ca="1" si="50"/>
        <v>1015</v>
      </c>
      <c r="Q166" s="67">
        <f t="shared" ca="1" si="50"/>
        <v>564</v>
      </c>
      <c r="R166" s="67">
        <f t="shared" ca="1" si="50"/>
        <v>388</v>
      </c>
      <c r="S166" s="67">
        <f t="shared" ca="1" si="50"/>
        <v>395</v>
      </c>
    </row>
    <row r="167" spans="1:19" x14ac:dyDescent="0.2">
      <c r="A167" s="20" t="s">
        <v>497</v>
      </c>
      <c r="B167" s="20"/>
      <c r="C167" s="20"/>
      <c r="D167" s="85">
        <f t="shared" ref="D167:S167" si="51">D31</f>
        <v>3840</v>
      </c>
      <c r="E167" s="85">
        <f t="shared" ca="1" si="51"/>
        <v>3120</v>
      </c>
      <c r="F167" s="85">
        <f t="shared" ca="1" si="51"/>
        <v>3918.7353004899928</v>
      </c>
      <c r="G167" s="85">
        <f t="shared" ca="1" si="51"/>
        <v>9497.379961050312</v>
      </c>
      <c r="H167" s="85">
        <f t="shared" ca="1" si="51"/>
        <v>22947.350941449131</v>
      </c>
      <c r="I167" s="85">
        <f t="shared" ca="1" si="51"/>
        <v>35068.943705604703</v>
      </c>
      <c r="J167" s="85">
        <f t="shared" ca="1" si="51"/>
        <v>55854.425372966594</v>
      </c>
      <c r="K167" s="85">
        <f t="shared" ca="1" si="51"/>
        <v>39606.221179053282</v>
      </c>
      <c r="L167" s="85">
        <f t="shared" ca="1" si="51"/>
        <v>48073.963374475235</v>
      </c>
      <c r="M167" s="85">
        <f t="shared" ca="1" si="51"/>
        <v>69360.344617768453</v>
      </c>
      <c r="N167" s="85">
        <f t="shared" ca="1" si="51"/>
        <v>82078.478747832269</v>
      </c>
      <c r="O167" s="85">
        <f t="shared" ca="1" si="51"/>
        <v>114553.44433198069</v>
      </c>
      <c r="P167" s="85">
        <f t="shared" ca="1" si="51"/>
        <v>101470.18350527063</v>
      </c>
      <c r="Q167" s="85">
        <f t="shared" ca="1" si="51"/>
        <v>56343.146087423826</v>
      </c>
      <c r="R167" s="85">
        <f t="shared" ca="1" si="51"/>
        <v>38721.97406575927</v>
      </c>
      <c r="S167" s="85">
        <f t="shared" ca="1" si="51"/>
        <v>39441.627937467572</v>
      </c>
    </row>
    <row r="168" spans="1:19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x14ac:dyDescent="0.2">
      <c r="A169" s="18" t="s">
        <v>578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 spans="1:19" x14ac:dyDescent="0.2">
      <c r="A170" s="186" t="s">
        <v>579</v>
      </c>
      <c r="B170" s="8"/>
      <c r="C170" s="8"/>
      <c r="D170" s="189" t="s">
        <v>1709</v>
      </c>
      <c r="E170" s="175" t="s">
        <v>1710</v>
      </c>
      <c r="F170" s="175" t="s">
        <v>1711</v>
      </c>
      <c r="G170" s="175" t="s">
        <v>1712</v>
      </c>
      <c r="H170" s="175" t="s">
        <v>1713</v>
      </c>
      <c r="I170" s="175" t="s">
        <v>1714</v>
      </c>
      <c r="J170" s="175" t="s">
        <v>1715</v>
      </c>
      <c r="K170" s="175" t="s">
        <v>1716</v>
      </c>
      <c r="L170" s="175" t="s">
        <v>1717</v>
      </c>
      <c r="M170" s="175" t="s">
        <v>1718</v>
      </c>
      <c r="N170" s="175" t="s">
        <v>1719</v>
      </c>
      <c r="O170" s="175" t="s">
        <v>1720</v>
      </c>
      <c r="P170" s="175" t="s">
        <v>1721</v>
      </c>
      <c r="Q170" s="175" t="s">
        <v>1722</v>
      </c>
      <c r="R170" s="175" t="s">
        <v>1723</v>
      </c>
      <c r="S170" s="175" t="s">
        <v>1724</v>
      </c>
    </row>
    <row r="171" spans="1:19" x14ac:dyDescent="0.2">
      <c r="A171" s="186" t="s">
        <v>580</v>
      </c>
      <c r="B171" s="8"/>
      <c r="C171" s="8"/>
      <c r="D171" s="189" t="str">
        <f t="shared" ref="D171:S171" si="52">IF(D65=0,"n/a",IF(ABS((D112*D42+D118*D52+D124*D43+D130*D53+D136*D135)-(D79-D87))/D65&lt;0.05,"OK","CHECK"))</f>
        <v>OK</v>
      </c>
      <c r="E171" s="175" t="str">
        <f t="shared" ca="1" si="52"/>
        <v>CHECK</v>
      </c>
      <c r="F171" s="175" t="str">
        <f t="shared" ca="1" si="52"/>
        <v>CHECK</v>
      </c>
      <c r="G171" s="175" t="str">
        <f t="shared" ca="1" si="52"/>
        <v>CHECK</v>
      </c>
      <c r="H171" s="175" t="str">
        <f t="shared" ca="1" si="52"/>
        <v>CHECK</v>
      </c>
      <c r="I171" s="175" t="str">
        <f t="shared" ca="1" si="52"/>
        <v>CHECK</v>
      </c>
      <c r="J171" s="175" t="str">
        <f t="shared" ca="1" si="52"/>
        <v>CHECK</v>
      </c>
      <c r="K171" s="175" t="str">
        <f t="shared" ca="1" si="52"/>
        <v>CHECK</v>
      </c>
      <c r="L171" s="175" t="str">
        <f t="shared" ca="1" si="52"/>
        <v>CHECK</v>
      </c>
      <c r="M171" s="175" t="str">
        <f t="shared" ca="1" si="52"/>
        <v>CHECK</v>
      </c>
      <c r="N171" s="175" t="str">
        <f t="shared" ca="1" si="52"/>
        <v>CHECK</v>
      </c>
      <c r="O171" s="175" t="str">
        <f t="shared" ca="1" si="52"/>
        <v>CHECK</v>
      </c>
      <c r="P171" s="175" t="str">
        <f t="shared" ca="1" si="52"/>
        <v>CHECK</v>
      </c>
      <c r="Q171" s="175" t="str">
        <f t="shared" ca="1" si="52"/>
        <v>CHECK</v>
      </c>
      <c r="R171" s="175" t="str">
        <f t="shared" ca="1" si="52"/>
        <v>CHECK</v>
      </c>
      <c r="S171" s="175" t="str">
        <f t="shared" ca="1" si="52"/>
        <v>CHECK</v>
      </c>
    </row>
    <row r="172" spans="1:19" x14ac:dyDescent="0.2">
      <c r="A172" s="24" t="s">
        <v>581</v>
      </c>
      <c r="B172" s="8"/>
      <c r="C172" s="8"/>
      <c r="D172" s="189" t="str">
        <f>IF(ABS(D65-11387)/11387&lt;0.05,"OK","RESIDUAL: rev $"&amp;ROUND(D65,0)&amp;"M vs S-1 $11,387M; tune curves/Network ops&amp;G&amp;A — calibration decision")</f>
        <v>OK</v>
      </c>
      <c r="E172" s="175" t="s">
        <v>1313</v>
      </c>
      <c r="F172" s="175" t="s">
        <v>1314</v>
      </c>
      <c r="G172" s="175" t="s">
        <v>1315</v>
      </c>
      <c r="H172" s="175" t="s">
        <v>1316</v>
      </c>
      <c r="I172" s="175" t="s">
        <v>1317</v>
      </c>
      <c r="J172" s="175" t="s">
        <v>1318</v>
      </c>
      <c r="K172" s="175" t="s">
        <v>1319</v>
      </c>
      <c r="L172" s="175" t="s">
        <v>1320</v>
      </c>
      <c r="M172" s="175" t="s">
        <v>1321</v>
      </c>
      <c r="N172" s="175" t="s">
        <v>1322</v>
      </c>
      <c r="O172" s="175" t="s">
        <v>1323</v>
      </c>
      <c r="P172" s="175" t="s">
        <v>1324</v>
      </c>
      <c r="Q172" s="175" t="s">
        <v>1325</v>
      </c>
      <c r="R172" s="175" t="s">
        <v>1326</v>
      </c>
      <c r="S172" s="175" t="s">
        <v>1327</v>
      </c>
    </row>
    <row r="173" spans="1:19" x14ac:dyDescent="0.2">
      <c r="A173" s="24" t="s">
        <v>582</v>
      </c>
      <c r="B173" s="8"/>
      <c r="C173" s="8"/>
      <c r="D173" s="189" t="str">
        <f t="shared" ref="D173" si="53">IF(ABS(D62-632)/632&lt;0.03,"OK","CHECK (pre-cutover)")</f>
        <v>OK</v>
      </c>
      <c r="E173" s="175" t="s">
        <v>1725</v>
      </c>
      <c r="F173" s="175" t="s">
        <v>1725</v>
      </c>
      <c r="G173" s="175" t="s">
        <v>1725</v>
      </c>
      <c r="H173" s="175" t="s">
        <v>1725</v>
      </c>
      <c r="I173" s="175" t="s">
        <v>1725</v>
      </c>
      <c r="J173" s="175" t="s">
        <v>1725</v>
      </c>
      <c r="K173" s="175" t="s">
        <v>1725</v>
      </c>
      <c r="L173" s="175" t="s">
        <v>1725</v>
      </c>
      <c r="M173" s="175" t="s">
        <v>1725</v>
      </c>
      <c r="N173" s="175" t="s">
        <v>1725</v>
      </c>
      <c r="O173" s="175" t="s">
        <v>1725</v>
      </c>
      <c r="P173" s="175" t="s">
        <v>1725</v>
      </c>
      <c r="Q173" s="175" t="s">
        <v>1725</v>
      </c>
      <c r="R173" s="175" t="s">
        <v>1725</v>
      </c>
      <c r="S173" s="175" t="s">
        <v>1725</v>
      </c>
    </row>
    <row r="174" spans="1:19" x14ac:dyDescent="0.2">
      <c r="A174" s="24" t="s">
        <v>1728</v>
      </c>
      <c r="B174" s="8"/>
      <c r="C174" s="8"/>
      <c r="D174" s="189" t="str">
        <f t="shared" ref="D174:S174" si="54">IF(D163=489144,"Rebuilt BB capacity 489,144 Gbps correct; revenue reflects LIVE-tab capacity until rename-swap repoints Demand Curves","capacity drift")</f>
        <v>Rebuilt BB capacity 489,144 Gbps correct; revenue reflects LIVE-tab capacity until rename-swap repoints Demand Curves</v>
      </c>
      <c r="E174" s="175" t="str">
        <f t="shared" ca="1" si="54"/>
        <v>capacity drift</v>
      </c>
      <c r="F174" s="175" t="str">
        <f t="shared" ca="1" si="54"/>
        <v>capacity drift</v>
      </c>
      <c r="G174" s="175" t="str">
        <f t="shared" ca="1" si="54"/>
        <v>capacity drift</v>
      </c>
      <c r="H174" s="175" t="str">
        <f t="shared" ca="1" si="54"/>
        <v>capacity drift</v>
      </c>
      <c r="I174" s="175" t="str">
        <f t="shared" ca="1" si="54"/>
        <v>capacity drift</v>
      </c>
      <c r="J174" s="175" t="str">
        <f t="shared" ca="1" si="54"/>
        <v>capacity drift</v>
      </c>
      <c r="K174" s="175" t="str">
        <f t="shared" ca="1" si="54"/>
        <v>capacity drift</v>
      </c>
      <c r="L174" s="175" t="str">
        <f t="shared" ca="1" si="54"/>
        <v>capacity drift</v>
      </c>
      <c r="M174" s="175" t="str">
        <f t="shared" ca="1" si="54"/>
        <v>capacity drift</v>
      </c>
      <c r="N174" s="175" t="str">
        <f t="shared" ca="1" si="54"/>
        <v>capacity drift</v>
      </c>
      <c r="O174" s="175" t="str">
        <f t="shared" ca="1" si="54"/>
        <v>capacity drift</v>
      </c>
      <c r="P174" s="175" t="str">
        <f t="shared" ca="1" si="54"/>
        <v>capacity drift</v>
      </c>
      <c r="Q174" s="175" t="str">
        <f t="shared" ca="1" si="54"/>
        <v>capacity drift</v>
      </c>
      <c r="R174" s="175" t="str">
        <f t="shared" ca="1" si="54"/>
        <v>capacity drift</v>
      </c>
      <c r="S174" s="175" t="str">
        <f t="shared" ca="1" si="54"/>
        <v>capacity drift</v>
      </c>
    </row>
    <row r="175" spans="1:19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x14ac:dyDescent="0.2">
      <c r="A176" s="24" t="s">
        <v>583</v>
      </c>
      <c r="B176" s="8"/>
      <c r="C176" s="8"/>
      <c r="D176" s="67">
        <f t="shared" ref="D176:S176" si="55">D$47+D$48</f>
        <v>414144</v>
      </c>
      <c r="E176" s="175">
        <f t="shared" ca="1" si="55"/>
        <v>713664</v>
      </c>
      <c r="F176" s="175">
        <f t="shared" ca="1" si="55"/>
        <v>4630518.3750642929</v>
      </c>
      <c r="G176" s="175">
        <f t="shared" ca="1" si="55"/>
        <v>13909802.590216631</v>
      </c>
      <c r="H176" s="175">
        <f t="shared" ca="1" si="55"/>
        <v>34094522.779119767</v>
      </c>
      <c r="I176" s="175">
        <f t="shared" ca="1" si="55"/>
        <v>46320469.044425473</v>
      </c>
      <c r="J176" s="175">
        <f t="shared" ca="1" si="55"/>
        <v>73672560.08235769</v>
      </c>
      <c r="K176" s="175">
        <f t="shared" ca="1" si="55"/>
        <v>82297888.935344785</v>
      </c>
      <c r="L176" s="175">
        <f t="shared" ca="1" si="55"/>
        <v>87623985.281269148</v>
      </c>
      <c r="M176" s="175">
        <f t="shared" ca="1" si="55"/>
        <v>91650663.435193181</v>
      </c>
      <c r="N176" s="175">
        <f t="shared" ca="1" si="55"/>
        <v>112707779.29752035</v>
      </c>
      <c r="O176" s="175">
        <f t="shared" ca="1" si="55"/>
        <v>148529816.49472937</v>
      </c>
      <c r="P176" s="175">
        <f t="shared" ca="1" si="55"/>
        <v>193656853.91257617</v>
      </c>
      <c r="Q176" s="175">
        <f t="shared" ca="1" si="55"/>
        <v>211278025.93424073</v>
      </c>
      <c r="R176" s="175">
        <f t="shared" ca="1" si="55"/>
        <v>208405492.11428174</v>
      </c>
      <c r="S176" s="175">
        <f t="shared" ca="1" si="55"/>
        <v>195211709.59247324</v>
      </c>
    </row>
    <row r="177" spans="1:19" x14ac:dyDescent="0.2">
      <c r="A177" s="24" t="s">
        <v>584</v>
      </c>
      <c r="B177" s="8"/>
      <c r="C177" s="8"/>
      <c r="D177" s="67">
        <f t="shared" ref="D177:S177" si="56">D$54+D$55</f>
        <v>577.71</v>
      </c>
      <c r="E177" s="175">
        <f t="shared" si="56"/>
        <v>577.71</v>
      </c>
      <c r="F177" s="175">
        <f t="shared" ca="1" si="56"/>
        <v>579.36897622546712</v>
      </c>
      <c r="G177" s="175">
        <f t="shared" ca="1" si="56"/>
        <v>649.97108810747886</v>
      </c>
      <c r="H177" s="175">
        <f t="shared" ca="1" si="56"/>
        <v>2675.9980758530478</v>
      </c>
      <c r="I177" s="175">
        <f t="shared" ca="1" si="56"/>
        <v>22412.90848219677</v>
      </c>
      <c r="J177" s="175">
        <f t="shared" ca="1" si="56"/>
        <v>47287.790725697079</v>
      </c>
      <c r="K177" s="175">
        <f t="shared" ca="1" si="56"/>
        <v>71156.613222255284</v>
      </c>
      <c r="L177" s="175">
        <f t="shared" ca="1" si="56"/>
        <v>100483.54281579077</v>
      </c>
      <c r="M177" s="175">
        <f t="shared" ca="1" si="56"/>
        <v>137868.27310654343</v>
      </c>
      <c r="N177" s="175">
        <f t="shared" ca="1" si="56"/>
        <v>160758.30682321559</v>
      </c>
      <c r="O177" s="175">
        <f t="shared" ca="1" si="56"/>
        <v>180935.80473712768</v>
      </c>
      <c r="P177" s="175">
        <f t="shared" ca="1" si="56"/>
        <v>195697.77250631052</v>
      </c>
      <c r="Q177" s="175">
        <f t="shared" ca="1" si="56"/>
        <v>187449.31793602306</v>
      </c>
      <c r="R177" s="175">
        <f t="shared" ca="1" si="56"/>
        <v>162959.84993835478</v>
      </c>
      <c r="S177" s="175">
        <f t="shared" ca="1" si="56"/>
        <v>136991.06370784823</v>
      </c>
    </row>
    <row r="178" spans="1:19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x14ac:dyDescent="0.2">
      <c r="A179" s="168" t="s">
        <v>1631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 spans="1:19" x14ac:dyDescent="0.2">
      <c r="A180" s="22" t="s">
        <v>1328</v>
      </c>
      <c r="B180" s="8"/>
      <c r="C180" s="8"/>
      <c r="D180" s="74" cm="1">
        <f t="array" ref="D180">D$61/(INDEX(Assumptions!$D:$AC,MATCH("Broadband ARPU ($/sub/mo): year-row",Assumptions!$A$1:$A$327,0),D$5+1)*12)</f>
        <v>6.914835957777778</v>
      </c>
      <c r="E180" s="74" cm="1">
        <f t="array" aca="1" ref="E180" ca="1">E$61/(INDEX(Assumptions!$D:$AC,MATCH("Broadband ARPU ($/sub/mo): year-row",Assumptions!$A$1:$A$327,0),E$5+1)*12)</f>
        <v>10.386196064380799</v>
      </c>
      <c r="F180" s="74" cm="1">
        <f t="array" aca="1" ref="F180" ca="1">F$61/(INDEX(Assumptions!$D:$AC,MATCH("Broadband ARPU ($/sub/mo): year-row",Assumptions!$A$1:$A$327,0),F$5+1)*12)</f>
        <v>44.709121124900221</v>
      </c>
      <c r="G180" s="74" cm="1">
        <f t="array" aca="1" ref="G180" ca="1">G$61/(INDEX(Assumptions!$D:$AC,MATCH("Broadband ARPU ($/sub/mo): year-row",Assumptions!$A$1:$A$327,0),G$5+1)*12)</f>
        <v>103.22774046119733</v>
      </c>
      <c r="H180" s="74" cm="1">
        <f t="array" aca="1" ref="H180" ca="1">H$61/(INDEX(Assumptions!$D:$AC,MATCH("Broadband ARPU ($/sub/mo): year-row",Assumptions!$A$1:$A$327,0),H$5+1)*12)</f>
        <v>185.51751446289279</v>
      </c>
      <c r="I180" s="74" cm="1">
        <f t="array" aca="1" ref="I180" ca="1">I$61/(INDEX(Assumptions!$D:$AC,MATCH("Broadband ARPU ($/sub/mo): year-row",Assumptions!$A$1:$A$327,0),I$5+1)*12)</f>
        <v>246.00978500655324</v>
      </c>
      <c r="J180" s="74" cm="1">
        <f t="array" aca="1" ref="J180" ca="1">J$61/(INDEX(Assumptions!$D:$AC,MATCH("Broadband ARPU ($/sub/mo): year-row",Assumptions!$A$1:$A$327,0),J$5+1)*12)</f>
        <v>306.67998298907168</v>
      </c>
      <c r="K180" s="74" cm="1">
        <f t="array" aca="1" ref="K180" ca="1">K$61/(INDEX(Assumptions!$D:$AC,MATCH("Broadband ARPU ($/sub/mo): year-row",Assumptions!$A$1:$A$327,0),K$5+1)*12)</f>
        <v>333.67692581845847</v>
      </c>
      <c r="L180" s="74" cm="1">
        <f t="array" aca="1" ref="L180" ca="1">L$61/(INDEX(Assumptions!$D:$AC,MATCH("Broadband ARPU ($/sub/mo): year-row",Assumptions!$A$1:$A$327,0),L$5+1)*12)</f>
        <v>356.93646512195727</v>
      </c>
      <c r="M180" s="74" cm="1">
        <f t="array" aca="1" ref="M180" ca="1">M$61/(INDEX(Assumptions!$D:$AC,MATCH("Broadband ARPU ($/sub/mo): year-row",Assumptions!$A$1:$A$327,0),M$5+1)*12)</f>
        <v>378.71739641552836</v>
      </c>
      <c r="N180" s="74" cm="1">
        <f t="array" aca="1" ref="N180" ca="1">N$61/(INDEX(Assumptions!$D:$AC,MATCH("Broadband ARPU ($/sub/mo): year-row",Assumptions!$A$1:$A$327,0),N$5+1)*12)</f>
        <v>413.28883523949594</v>
      </c>
      <c r="O180" s="74" cm="1">
        <f t="array" aca="1" ref="O180" ca="1">O$61/(INDEX(Assumptions!$D:$AC,MATCH("Broadband ARPU ($/sub/mo): year-row",Assumptions!$A$1:$A$327,0),O$5+1)*12)</f>
        <v>448.16252099908615</v>
      </c>
      <c r="P180" s="74" cm="1">
        <f t="array" aca="1" ref="P180" ca="1">P$61/(INDEX(Assumptions!$D:$AC,MATCH("Broadband ARPU ($/sub/mo): year-row",Assumptions!$A$1:$A$327,0),P$5+1)*12)</f>
        <v>482.67903324971985</v>
      </c>
      <c r="Q180" s="74" cm="1">
        <f t="array" aca="1" ref="Q180" ca="1">Q$61/(INDEX(Assumptions!$D:$AC,MATCH("Broadband ARPU ($/sub/mo): year-row",Assumptions!$A$1:$A$327,0),Q$5+1)*12)</f>
        <v>505.86010323486312</v>
      </c>
      <c r="R180" s="74" cm="1">
        <f t="array" aca="1" ref="R180" ca="1">R$61/(INDEX(Assumptions!$D:$AC,MATCH("Broadband ARPU ($/sub/mo): year-row",Assumptions!$A$1:$A$327,0),R$5+1)*12)</f>
        <v>522.9419692585185</v>
      </c>
      <c r="S180" s="74" cm="1">
        <f t="array" aca="1" ref="S180" ca="1">S$61/(INDEX(Assumptions!$D:$AC,MATCH("Broadband ARPU ($/sub/mo): year-row",Assumptions!$A$1:$A$327,0),S$5+1)*12)</f>
        <v>536.8094022597827</v>
      </c>
    </row>
    <row r="181" spans="1:19" ht="22" customHeight="1" x14ac:dyDescent="0.2">
      <c r="A181" s="22" t="s">
        <v>585</v>
      </c>
      <c r="B181" s="8"/>
      <c r="C181" s="8"/>
      <c r="D181" s="74">
        <f>INDEX(Assumptions!$B:$B,MATCH("Starting BoY 2025 subscribers (millions)",Assumptions!$A$1:$A$327,0))</f>
        <v>4.4000000000000004</v>
      </c>
      <c r="E181" s="74" cm="1">
        <f t="array" ref="E181">D$61/(INDEX(Assumptions!$D:$AC,MATCH("Broadband ARPU ($/sub/mo): year-row",Assumptions!$A$1:$A$327,0),D$5+1)*12)</f>
        <v>6.914835957777778</v>
      </c>
      <c r="F181" s="74" cm="1">
        <f t="array" aca="1" ref="F181" ca="1">E$61/(INDEX(Assumptions!$D:$AC,MATCH("Broadband ARPU ($/sub/mo): year-row",Assumptions!$A$1:$A$327,0),E$5+1)*12)</f>
        <v>10.386196064380799</v>
      </c>
      <c r="G181" s="74" cm="1">
        <f t="array" aca="1" ref="G181" ca="1">F$61/(INDEX(Assumptions!$D:$AC,MATCH("Broadband ARPU ($/sub/mo): year-row",Assumptions!$A$1:$A$327,0),F$5+1)*12)</f>
        <v>44.709121124900221</v>
      </c>
      <c r="H181" s="74" cm="1">
        <f t="array" aca="1" ref="H181" ca="1">G$61/(INDEX(Assumptions!$D:$AC,MATCH("Broadband ARPU ($/sub/mo): year-row",Assumptions!$A$1:$A$327,0),G$5+1)*12)</f>
        <v>103.22774046119733</v>
      </c>
      <c r="I181" s="74" cm="1">
        <f t="array" aca="1" ref="I181" ca="1">H$61/(INDEX(Assumptions!$D:$AC,MATCH("Broadband ARPU ($/sub/mo): year-row",Assumptions!$A$1:$A$327,0),H$5+1)*12)</f>
        <v>185.51751446289279</v>
      </c>
      <c r="J181" s="74" cm="1">
        <f t="array" aca="1" ref="J181" ca="1">I$61/(INDEX(Assumptions!$D:$AC,MATCH("Broadband ARPU ($/sub/mo): year-row",Assumptions!$A$1:$A$327,0),I$5+1)*12)</f>
        <v>246.00978500655324</v>
      </c>
      <c r="K181" s="74" cm="1">
        <f t="array" aca="1" ref="K181" ca="1">J$61/(INDEX(Assumptions!$D:$AC,MATCH("Broadband ARPU ($/sub/mo): year-row",Assumptions!$A$1:$A$327,0),J$5+1)*12)</f>
        <v>306.67998298907168</v>
      </c>
      <c r="L181" s="74" cm="1">
        <f t="array" aca="1" ref="L181" ca="1">K$61/(INDEX(Assumptions!$D:$AC,MATCH("Broadband ARPU ($/sub/mo): year-row",Assumptions!$A$1:$A$327,0),K$5+1)*12)</f>
        <v>333.67692581845847</v>
      </c>
      <c r="M181" s="74" cm="1">
        <f t="array" aca="1" ref="M181" ca="1">L$61/(INDEX(Assumptions!$D:$AC,MATCH("Broadband ARPU ($/sub/mo): year-row",Assumptions!$A$1:$A$327,0),L$5+1)*12)</f>
        <v>356.93646512195727</v>
      </c>
      <c r="N181" s="74" cm="1">
        <f t="array" aca="1" ref="N181" ca="1">M$61/(INDEX(Assumptions!$D:$AC,MATCH("Broadband ARPU ($/sub/mo): year-row",Assumptions!$A$1:$A$327,0),M$5+1)*12)</f>
        <v>378.71739641552836</v>
      </c>
      <c r="O181" s="74" cm="1">
        <f t="array" aca="1" ref="O181" ca="1">N$61/(INDEX(Assumptions!$D:$AC,MATCH("Broadband ARPU ($/sub/mo): year-row",Assumptions!$A$1:$A$327,0),N$5+1)*12)</f>
        <v>413.28883523949594</v>
      </c>
      <c r="P181" s="74" cm="1">
        <f t="array" aca="1" ref="P181" ca="1">O$61/(INDEX(Assumptions!$D:$AC,MATCH("Broadband ARPU ($/sub/mo): year-row",Assumptions!$A$1:$A$327,0),O$5+1)*12)</f>
        <v>448.16252099908615</v>
      </c>
      <c r="Q181" s="74" cm="1">
        <f t="array" aca="1" ref="Q181" ca="1">P$61/(INDEX(Assumptions!$D:$AC,MATCH("Broadband ARPU ($/sub/mo): year-row",Assumptions!$A$1:$A$327,0),P$5+1)*12)</f>
        <v>482.67903324971985</v>
      </c>
      <c r="R181" s="74" cm="1">
        <f t="array" aca="1" ref="R181" ca="1">Q$61/(INDEX(Assumptions!$D:$AC,MATCH("Broadband ARPU ($/sub/mo): year-row",Assumptions!$A$1:$A$327,0),Q$5+1)*12)</f>
        <v>505.86010323486312</v>
      </c>
      <c r="S181" s="74" cm="1">
        <f t="array" aca="1" ref="S181" ca="1">R$61/(INDEX(Assumptions!$D:$AC,MATCH("Broadband ARPU ($/sub/mo): year-row",Assumptions!$A$1:$A$327,0),R$5+1)*12)</f>
        <v>522.9419692585185</v>
      </c>
    </row>
    <row r="182" spans="1:19" ht="28" customHeight="1" x14ac:dyDescent="0.2">
      <c r="A182" s="22" t="s">
        <v>1329</v>
      </c>
      <c r="B182" s="8"/>
      <c r="C182" s="8"/>
      <c r="D182" s="74" cm="1">
        <f t="array" ref="D182">D$61/(INDEX(Assumptions!$D:$AC,MATCH("Broadband ARPU ($/sub/mo): year-row",Assumptions!$A$1:$A$327,0),D$5+1)*12)</f>
        <v>6.914835957777778</v>
      </c>
      <c r="E182" s="74" cm="1">
        <f t="array" aca="1" ref="E182" ca="1">E$61/(INDEX(Assumptions!$D:$AC,MATCH("Broadband ARPU ($/sub/mo): year-row",Assumptions!$A$1:$A$327,0),E$5+1)*12)</f>
        <v>10.386196064380799</v>
      </c>
      <c r="F182" s="74" cm="1">
        <f t="array" aca="1" ref="F182" ca="1">F$61/(INDEX(Assumptions!$D:$AC,MATCH("Broadband ARPU ($/sub/mo): year-row",Assumptions!$A$1:$A$327,0),F$5+1)*12)</f>
        <v>44.709121124900221</v>
      </c>
      <c r="G182" s="74" cm="1">
        <f t="array" aca="1" ref="G182" ca="1">G$61/(INDEX(Assumptions!$D:$AC,MATCH("Broadband ARPU ($/sub/mo): year-row",Assumptions!$A$1:$A$327,0),G$5+1)*12)</f>
        <v>103.22774046119733</v>
      </c>
      <c r="H182" s="74" cm="1">
        <f t="array" aca="1" ref="H182" ca="1">H$61/(INDEX(Assumptions!$D:$AC,MATCH("Broadband ARPU ($/sub/mo): year-row",Assumptions!$A$1:$A$327,0),H$5+1)*12)</f>
        <v>185.51751446289279</v>
      </c>
      <c r="I182" s="74" cm="1">
        <f t="array" aca="1" ref="I182" ca="1">I$61/(INDEX(Assumptions!$D:$AC,MATCH("Broadband ARPU ($/sub/mo): year-row",Assumptions!$A$1:$A$327,0),I$5+1)*12)</f>
        <v>246.00978500655324</v>
      </c>
      <c r="J182" s="74" cm="1">
        <f t="array" aca="1" ref="J182" ca="1">J$61/(INDEX(Assumptions!$D:$AC,MATCH("Broadband ARPU ($/sub/mo): year-row",Assumptions!$A$1:$A$327,0),J$5+1)*12)</f>
        <v>306.67998298907168</v>
      </c>
      <c r="K182" s="74" cm="1">
        <f t="array" aca="1" ref="K182" ca="1">K$61/(INDEX(Assumptions!$D:$AC,MATCH("Broadband ARPU ($/sub/mo): year-row",Assumptions!$A$1:$A$327,0),K$5+1)*12)</f>
        <v>333.67692581845847</v>
      </c>
      <c r="L182" s="74" cm="1">
        <f t="array" aca="1" ref="L182" ca="1">L$61/(INDEX(Assumptions!$D:$AC,MATCH("Broadband ARPU ($/sub/mo): year-row",Assumptions!$A$1:$A$327,0),L$5+1)*12)</f>
        <v>356.93646512195727</v>
      </c>
      <c r="M182" s="74" cm="1">
        <f t="array" aca="1" ref="M182" ca="1">M$61/(INDEX(Assumptions!$D:$AC,MATCH("Broadband ARPU ($/sub/mo): year-row",Assumptions!$A$1:$A$327,0),M$5+1)*12)</f>
        <v>378.71739641552836</v>
      </c>
      <c r="N182" s="74" cm="1">
        <f t="array" aca="1" ref="N182" ca="1">N$61/(INDEX(Assumptions!$D:$AC,MATCH("Broadband ARPU ($/sub/mo): year-row",Assumptions!$A$1:$A$327,0),N$5+1)*12)</f>
        <v>413.28883523949594</v>
      </c>
      <c r="O182" s="74" cm="1">
        <f t="array" aca="1" ref="O182" ca="1">O$61/(INDEX(Assumptions!$D:$AC,MATCH("Broadband ARPU ($/sub/mo): year-row",Assumptions!$A$1:$A$327,0),O$5+1)*12)</f>
        <v>448.16252099908615</v>
      </c>
      <c r="P182" s="74" cm="1">
        <f t="array" aca="1" ref="P182" ca="1">P$61/(INDEX(Assumptions!$D:$AC,MATCH("Broadband ARPU ($/sub/mo): year-row",Assumptions!$A$1:$A$327,0),P$5+1)*12)</f>
        <v>482.67903324971985</v>
      </c>
      <c r="Q182" s="74" cm="1">
        <f t="array" aca="1" ref="Q182" ca="1">Q$61/(INDEX(Assumptions!$D:$AC,MATCH("Broadband ARPU ($/sub/mo): year-row",Assumptions!$A$1:$A$327,0),Q$5+1)*12)</f>
        <v>505.86010323486312</v>
      </c>
      <c r="R182" s="74" cm="1">
        <f t="array" aca="1" ref="R182" ca="1">R$61/(INDEX(Assumptions!$D:$AC,MATCH("Broadband ARPU ($/sub/mo): year-row",Assumptions!$A$1:$A$327,0),R$5+1)*12)</f>
        <v>522.9419692585185</v>
      </c>
      <c r="S182" s="74" cm="1">
        <f t="array" aca="1" ref="S182" ca="1">S$61/(INDEX(Assumptions!$D:$AC,MATCH("Broadband ARPU ($/sub/mo): year-row",Assumptions!$A$1:$A$327,0),S$5+1)*12)</f>
        <v>536.8094022597827</v>
      </c>
    </row>
    <row r="183" spans="1:19" ht="15" customHeight="1" x14ac:dyDescent="0.2">
      <c r="A183" s="22" t="s">
        <v>586</v>
      </c>
      <c r="B183" s="8"/>
      <c r="C183" s="8"/>
      <c r="D183" s="82">
        <f t="shared" ref="D183:S183" si="57">MAX(0,D$182-D$181)</f>
        <v>2.5148359577777777</v>
      </c>
      <c r="E183" s="82">
        <f t="shared" ca="1" si="57"/>
        <v>3.4713601066030213</v>
      </c>
      <c r="F183" s="82">
        <f t="shared" ca="1" si="57"/>
        <v>34.322925060519424</v>
      </c>
      <c r="G183" s="82">
        <f t="shared" ca="1" si="57"/>
        <v>58.518619336297107</v>
      </c>
      <c r="H183" s="82">
        <f t="shared" ca="1" si="57"/>
        <v>82.289774001695463</v>
      </c>
      <c r="I183" s="82">
        <f t="shared" ca="1" si="57"/>
        <v>60.492270543660453</v>
      </c>
      <c r="J183" s="82">
        <f t="shared" ca="1" si="57"/>
        <v>60.670197982518431</v>
      </c>
      <c r="K183" s="82">
        <f t="shared" ca="1" si="57"/>
        <v>26.996942829386796</v>
      </c>
      <c r="L183" s="82">
        <f t="shared" ca="1" si="57"/>
        <v>23.259539303498798</v>
      </c>
      <c r="M183" s="82">
        <f t="shared" ca="1" si="57"/>
        <v>21.780931293571086</v>
      </c>
      <c r="N183" s="82">
        <f t="shared" ca="1" si="57"/>
        <v>34.571438823967583</v>
      </c>
      <c r="O183" s="82">
        <f t="shared" ca="1" si="57"/>
        <v>34.873685759590217</v>
      </c>
      <c r="P183" s="82">
        <f t="shared" ca="1" si="57"/>
        <v>34.516512250633696</v>
      </c>
      <c r="Q183" s="82">
        <f t="shared" ca="1" si="57"/>
        <v>23.181069985143267</v>
      </c>
      <c r="R183" s="82">
        <f t="shared" ca="1" si="57"/>
        <v>17.08186602365538</v>
      </c>
      <c r="S183" s="82">
        <f t="shared" ca="1" si="57"/>
        <v>13.867433001264203</v>
      </c>
    </row>
    <row r="184" spans="1:19" ht="15" customHeight="1" x14ac:dyDescent="0.2">
      <c r="A184" s="22" t="s">
        <v>587</v>
      </c>
      <c r="B184" s="8"/>
      <c r="C184" s="8"/>
      <c r="D184" s="74" cm="1">
        <f t="array" ref="D184">D$62/(INDEX(Assumptions!$D:$AC,MATCH("DTC ARPU ($/sub/mo): year-row",Assumptions!$A$1:$A$327,0),D$5+1)*12)</f>
        <v>3.292058314001904</v>
      </c>
      <c r="E184" s="74" cm="1">
        <f t="array" ref="E184">E$62/(INDEX(Assumptions!$D:$AC,MATCH("DTC ARPU ($/sub/mo): year-row",Assumptions!$A$1:$A$327,0),E$5+1)*12)</f>
        <v>4.472877686089844</v>
      </c>
      <c r="F184" s="74" cm="1">
        <f t="array" aca="1" ref="F184" ca="1">F$62/(INDEX(Assumptions!$D:$AC,MATCH("DTC ARPU ($/sub/mo): year-row",Assumptions!$A$1:$A$327,0),F$5+1)*12)</f>
        <v>5.9376128164031901</v>
      </c>
      <c r="G184" s="74" cm="1">
        <f t="array" aca="1" ref="G184" ca="1">G$62/(INDEX(Assumptions!$D:$AC,MATCH("DTC ARPU ($/sub/mo): year-row",Assumptions!$A$1:$A$327,0),G$5+1)*12)</f>
        <v>8.6783844822485818</v>
      </c>
      <c r="H184" s="74" cm="1">
        <f t="array" aca="1" ref="H184" ca="1">H$62/(INDEX(Assumptions!$D:$AC,MATCH("DTC ARPU ($/sub/mo): year-row",Assumptions!$A$1:$A$327,0),H$5+1)*12)</f>
        <v>46.152148949999741</v>
      </c>
      <c r="I184" s="74" cm="1">
        <f t="array" aca="1" ref="I184" ca="1">I$62/(INDEX(Assumptions!$D:$AC,MATCH("DTC ARPU ($/sub/mo): year-row",Assumptions!$A$1:$A$327,0),I$5+1)*12)</f>
        <v>254.74910607340721</v>
      </c>
      <c r="J184" s="74" cm="1">
        <f t="array" aca="1" ref="J184" ca="1">J$62/(INDEX(Assumptions!$D:$AC,MATCH("DTC ARPU ($/sub/mo): year-row",Assumptions!$A$1:$A$327,0),J$5+1)*12)</f>
        <v>334.53995107306167</v>
      </c>
      <c r="K184" s="74" cm="1">
        <f t="array" aca="1" ref="K184" ca="1">K$62/(INDEX(Assumptions!$D:$AC,MATCH("DTC ARPU ($/sub/mo): year-row",Assumptions!$A$1:$A$327,0),K$5+1)*12)</f>
        <v>399.82859202273596</v>
      </c>
      <c r="L184" s="74" cm="1">
        <f t="array" aca="1" ref="L184" ca="1">L$62/(INDEX(Assumptions!$D:$AC,MATCH("DTC ARPU ($/sub/mo): year-row",Assumptions!$A$1:$A$327,0),L$5+1)*12)</f>
        <v>423.77464615539259</v>
      </c>
      <c r="M184" s="74" cm="1">
        <f t="array" aca="1" ref="M184" ca="1">M$62/(INDEX(Assumptions!$D:$AC,MATCH("DTC ARPU ($/sub/mo): year-row",Assumptions!$A$1:$A$327,0),M$5+1)*12)</f>
        <v>434.83987302722795</v>
      </c>
      <c r="N184" s="74" cm="1">
        <f t="array" aca="1" ref="N184" ca="1">N$62/(INDEX(Assumptions!$D:$AC,MATCH("DTC ARPU ($/sub/mo): year-row",Assumptions!$A$1:$A$327,0),N$5+1)*12)</f>
        <v>445.71086985290856</v>
      </c>
      <c r="O184" s="74" cm="1">
        <f t="array" aca="1" ref="O184" ca="1">O$62/(INDEX(Assumptions!$D:$AC,MATCH("DTC ARPU ($/sub/mo): year-row",Assumptions!$A$1:$A$327,0),O$5+1)*12)</f>
        <v>456.85364159923125</v>
      </c>
      <c r="P184" s="74" cm="1">
        <f t="array" aca="1" ref="P184" ca="1">P$62/(INDEX(Assumptions!$D:$AC,MATCH("DTC ARPU ($/sub/mo): year-row",Assumptions!$A$1:$A$327,0),P$5+1)*12)</f>
        <v>468.27498263921194</v>
      </c>
      <c r="Q184" s="74" cm="1">
        <f t="array" aca="1" ref="Q184" ca="1">Q$62/(INDEX(Assumptions!$D:$AC,MATCH("DTC ARPU ($/sub/mo): year-row",Assumptions!$A$1:$A$327,0),Q$5+1)*12)</f>
        <v>479.98185720519228</v>
      </c>
      <c r="R184" s="74" cm="1">
        <f t="array" aca="1" ref="R184" ca="1">R$62/(INDEX(Assumptions!$D:$AC,MATCH("DTC ARPU ($/sub/mo): year-row",Assumptions!$A$1:$A$327,0),R$5+1)*12)</f>
        <v>491.98140363532195</v>
      </c>
      <c r="S184" s="74" cm="1">
        <f t="array" aca="1" ref="S184" ca="1">S$62/(INDEX(Assumptions!$D:$AC,MATCH("DTC ARPU ($/sub/mo): year-row",Assumptions!$A$1:$A$327,0),S$5+1)*12)</f>
        <v>504.28093872620497</v>
      </c>
    </row>
    <row r="185" spans="1:19" x14ac:dyDescent="0.2">
      <c r="A185" s="21" t="s">
        <v>590</v>
      </c>
      <c r="B185" s="20"/>
      <c r="C185" s="20"/>
      <c r="D185" s="158" cm="1">
        <f t="array" ref="D185">D$61/(INDEX(Assumptions!$D:$AC,MATCH("Broadband ARPU ($/sub/mo): year-row",Assumptions!$A$1:$A$327,0),D$5+1)*12)</f>
        <v>6.914835957777778</v>
      </c>
      <c r="E185" s="158" cm="1">
        <f t="array" aca="1" ref="E185" ca="1">E$61/(INDEX(Assumptions!$D:$AC,MATCH("Broadband ARPU ($/sub/mo): year-row",Assumptions!$A$1:$A$327,0),E$5+1)*12)</f>
        <v>10.386196064380799</v>
      </c>
      <c r="F185" s="158" cm="1">
        <f t="array" aca="1" ref="F185" ca="1">F$61/(INDEX(Assumptions!$D:$AC,MATCH("Broadband ARPU ($/sub/mo): year-row",Assumptions!$A$1:$A$327,0),F$5+1)*12)</f>
        <v>44.709121124900221</v>
      </c>
      <c r="G185" s="158" cm="1">
        <f t="array" aca="1" ref="G185" ca="1">G$61/(INDEX(Assumptions!$D:$AC,MATCH("Broadband ARPU ($/sub/mo): year-row",Assumptions!$A$1:$A$327,0),G$5+1)*12)</f>
        <v>103.22774046119733</v>
      </c>
      <c r="H185" s="158" cm="1">
        <f t="array" aca="1" ref="H185" ca="1">H$61/(INDEX(Assumptions!$D:$AC,MATCH("Broadband ARPU ($/sub/mo): year-row",Assumptions!$A$1:$A$327,0),H$5+1)*12)</f>
        <v>185.51751446289279</v>
      </c>
      <c r="I185" s="158" cm="1">
        <f t="array" aca="1" ref="I185" ca="1">I$61/(INDEX(Assumptions!$D:$AC,MATCH("Broadband ARPU ($/sub/mo): year-row",Assumptions!$A$1:$A$327,0),I$5+1)*12)</f>
        <v>246.00978500655324</v>
      </c>
      <c r="J185" s="158" cm="1">
        <f t="array" aca="1" ref="J185" ca="1">J$61/(INDEX(Assumptions!$D:$AC,MATCH("Broadband ARPU ($/sub/mo): year-row",Assumptions!$A$1:$A$327,0),J$5+1)*12)</f>
        <v>306.67998298907168</v>
      </c>
      <c r="K185" s="158" cm="1">
        <f t="array" aca="1" ref="K185" ca="1">K$61/(INDEX(Assumptions!$D:$AC,MATCH("Broadband ARPU ($/sub/mo): year-row",Assumptions!$A$1:$A$327,0),K$5+1)*12)</f>
        <v>333.67692581845847</v>
      </c>
      <c r="L185" s="158" cm="1">
        <f t="array" aca="1" ref="L185" ca="1">L$61/(INDEX(Assumptions!$D:$AC,MATCH("Broadband ARPU ($/sub/mo): year-row",Assumptions!$A$1:$A$327,0),L$5+1)*12)</f>
        <v>356.93646512195727</v>
      </c>
      <c r="M185" s="158" cm="1">
        <f t="array" aca="1" ref="M185" ca="1">M$61/(INDEX(Assumptions!$D:$AC,MATCH("Broadband ARPU ($/sub/mo): year-row",Assumptions!$A$1:$A$327,0),M$5+1)*12)</f>
        <v>378.71739641552836</v>
      </c>
      <c r="N185" s="158" cm="1">
        <f t="array" aca="1" ref="N185" ca="1">N$61/(INDEX(Assumptions!$D:$AC,MATCH("Broadband ARPU ($/sub/mo): year-row",Assumptions!$A$1:$A$327,0),N$5+1)*12)</f>
        <v>413.28883523949594</v>
      </c>
      <c r="O185" s="158" cm="1">
        <f t="array" aca="1" ref="O185" ca="1">O$61/(INDEX(Assumptions!$D:$AC,MATCH("Broadband ARPU ($/sub/mo): year-row",Assumptions!$A$1:$A$327,0),O$5+1)*12)</f>
        <v>448.16252099908615</v>
      </c>
      <c r="P185" s="158" cm="1">
        <f t="array" aca="1" ref="P185" ca="1">P$61/(INDEX(Assumptions!$D:$AC,MATCH("Broadband ARPU ($/sub/mo): year-row",Assumptions!$A$1:$A$327,0),P$5+1)*12)</f>
        <v>482.67903324971985</v>
      </c>
      <c r="Q185" s="158" cm="1">
        <f t="array" aca="1" ref="Q185" ca="1">Q$61/(INDEX(Assumptions!$D:$AC,MATCH("Broadband ARPU ($/sub/mo): year-row",Assumptions!$A$1:$A$327,0),Q$5+1)*12)</f>
        <v>505.86010323486312</v>
      </c>
      <c r="R185" s="158" cm="1">
        <f t="array" aca="1" ref="R185" ca="1">R$61/(INDEX(Assumptions!$D:$AC,MATCH("Broadband ARPU ($/sub/mo): year-row",Assumptions!$A$1:$A$327,0),R$5+1)*12)</f>
        <v>522.9419692585185</v>
      </c>
      <c r="S185" s="158" cm="1">
        <f t="array" aca="1" ref="S185" ca="1">S$61/(INDEX(Assumptions!$D:$AC,MATCH("Broadband ARPU ($/sub/mo): year-row",Assumptions!$A$1:$A$327,0),S$5+1)*12)</f>
        <v>536.8094022597827</v>
      </c>
    </row>
    <row r="186" spans="1:19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x14ac:dyDescent="0.2">
      <c r="A187" s="18" t="s">
        <v>1866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1:19" x14ac:dyDescent="0.2">
      <c r="A188" s="22" t="s">
        <v>1023</v>
      </c>
      <c r="B188" s="8"/>
      <c r="C188" s="8"/>
      <c r="D188" s="72">
        <v>0</v>
      </c>
      <c r="E188" s="81">
        <f t="shared" ref="E188:S188" si="58">IF(E$29=1, D126, D114)</f>
        <v>0.47562964264933899</v>
      </c>
      <c r="F188" s="81">
        <f t="shared" ca="1" si="58"/>
        <v>3</v>
      </c>
      <c r="G188" s="81">
        <f t="shared" ca="1" si="58"/>
        <v>2.0291928985087591</v>
      </c>
      <c r="H188" s="81">
        <f t="shared" ca="1" si="58"/>
        <v>1.2775140012713659</v>
      </c>
      <c r="I188" s="81">
        <f t="shared" ca="1" si="58"/>
        <v>0.58149453697669151</v>
      </c>
      <c r="J188" s="81">
        <f t="shared" ca="1" si="58"/>
        <v>0.44080172612763502</v>
      </c>
      <c r="K188" s="81">
        <f t="shared" ca="1" si="58"/>
        <v>-3.439466233024998E-2</v>
      </c>
      <c r="L188" s="81">
        <f t="shared" ca="1" si="58"/>
        <v>-0.13062285653178771</v>
      </c>
      <c r="M188" s="81">
        <f t="shared" ca="1" si="58"/>
        <v>-0.16065777319848931</v>
      </c>
      <c r="N188" s="81">
        <f t="shared" ca="1" si="58"/>
        <v>-0.16733614677446018</v>
      </c>
      <c r="O188" s="81">
        <f t="shared" ca="1" si="58"/>
        <v>0</v>
      </c>
      <c r="P188" s="81">
        <f t="shared" ca="1" si="58"/>
        <v>0</v>
      </c>
      <c r="Q188" s="81">
        <f t="shared" ca="1" si="58"/>
        <v>0</v>
      </c>
      <c r="R188" s="81">
        <f t="shared" ca="1" si="58"/>
        <v>0</v>
      </c>
      <c r="S188" s="81">
        <f t="shared" ca="1" si="58"/>
        <v>0</v>
      </c>
    </row>
    <row r="189" spans="1:19" x14ac:dyDescent="0.2">
      <c r="A189" s="22" t="s">
        <v>1024</v>
      </c>
      <c r="B189" s="8"/>
      <c r="C189" s="8"/>
      <c r="D189" s="72">
        <v>0</v>
      </c>
      <c r="E189" s="81">
        <f t="shared" ref="E189:S189" si="59">IF(E$29=1, D132, D120)</f>
        <v>0.39901086121091905</v>
      </c>
      <c r="F189" s="81">
        <f t="shared" ca="1" si="59"/>
        <v>0.45290658271208578</v>
      </c>
      <c r="G189" s="81">
        <f t="shared" ca="1" si="59"/>
        <v>0.43996495092404903</v>
      </c>
      <c r="H189" s="81">
        <f t="shared" ca="1" si="59"/>
        <v>0.59524069753727271</v>
      </c>
      <c r="I189" s="81">
        <f t="shared" ca="1" si="59"/>
        <v>0.78409266274018563</v>
      </c>
      <c r="J189" s="81">
        <f t="shared" ca="1" si="59"/>
        <v>0.44738098626824896</v>
      </c>
      <c r="K189" s="81">
        <f t="shared" ca="1" si="59"/>
        <v>0.2219747418613276</v>
      </c>
      <c r="L189" s="81">
        <f t="shared" ca="1" si="59"/>
        <v>0.1412693021244355</v>
      </c>
      <c r="M189" s="81">
        <f t="shared" ca="1" si="59"/>
        <v>4.4140737643816867E-2</v>
      </c>
      <c r="N189" s="81">
        <f t="shared" ca="1" si="59"/>
        <v>-4.2130973788365535E-2</v>
      </c>
      <c r="O189" s="81">
        <f t="shared" ca="1" si="59"/>
        <v>-7.2411930675751565E-2</v>
      </c>
      <c r="P189" s="81">
        <f t="shared" ca="1" si="59"/>
        <v>-9.1689264424892475E-2</v>
      </c>
      <c r="Q189" s="81">
        <f t="shared" ca="1" si="59"/>
        <v>-9.9968585884659636E-2</v>
      </c>
      <c r="R189" s="81">
        <f t="shared" ca="1" si="59"/>
        <v>-7.3150902297381928E-2</v>
      </c>
      <c r="S189" s="81">
        <f t="shared" ca="1" si="59"/>
        <v>-1.712657705340738E-2</v>
      </c>
    </row>
    <row r="190" spans="1:19" x14ac:dyDescent="0.2">
      <c r="A190" s="22" t="s">
        <v>1025</v>
      </c>
      <c r="B190" s="8"/>
      <c r="C190" s="8"/>
      <c r="D190" s="190">
        <f>EXP(MIN(INDEX(Assumptions!$B:$B,MATCH("Allocation sharpness β: Starlink broadband / direct-to-cell sub-split",Assumptions!$A$1:$A$438,0))*D188, 700))</f>
        <v>1</v>
      </c>
      <c r="E190" s="190">
        <f>EXP(MIN(INDEX(Assumptions!$B:$B,MATCH("Allocation sharpness β: Starlink broadband / direct-to-cell sub-split",Assumptions!$A$1:$A$438,0))*E188, 700))</f>
        <v>4.1657191590316183</v>
      </c>
      <c r="F190" s="190">
        <f ca="1">EXP(MIN(INDEX(Assumptions!$B:$B,MATCH("Allocation sharpness β: Starlink broadband / direct-to-cell sub-split",Assumptions!$A$1:$A$438,0))*F188, 700))</f>
        <v>8103.0839275753842</v>
      </c>
      <c r="G190" s="190">
        <f ca="1">EXP(MIN(INDEX(Assumptions!$B:$B,MATCH("Allocation sharpness β: Starlink broadband / direct-to-cell sub-split",Assumptions!$A$1:$A$438,0))*G188, 700))</f>
        <v>440.35388842867991</v>
      </c>
      <c r="H190" s="190">
        <f ca="1">EXP(MIN(INDEX(Assumptions!$B:$B,MATCH("Allocation sharpness β: Starlink broadband / direct-to-cell sub-split",Assumptions!$A$1:$A$438,0))*H188, 700))</f>
        <v>46.179778331348231</v>
      </c>
      <c r="I190" s="190">
        <f ca="1">EXP(MIN(INDEX(Assumptions!$B:$B,MATCH("Allocation sharpness β: Starlink broadband / direct-to-cell sub-split",Assumptions!$A$1:$A$438,0))*I188, 700))</f>
        <v>5.7229454457803142</v>
      </c>
      <c r="J190" s="190">
        <f ca="1">EXP(MIN(INDEX(Assumptions!$B:$B,MATCH("Allocation sharpness β: Starlink broadband / direct-to-cell sub-split",Assumptions!$A$1:$A$438,0))*J188, 700))</f>
        <v>3.7524358097490134</v>
      </c>
      <c r="K190" s="190">
        <f ca="1">EXP(MIN(INDEX(Assumptions!$B:$B,MATCH("Allocation sharpness β: Starlink broadband / direct-to-cell sub-split",Assumptions!$A$1:$A$438,0))*K188, 700))</f>
        <v>0.90196100912250088</v>
      </c>
      <c r="L190" s="190">
        <f ca="1">EXP(MIN(INDEX(Assumptions!$B:$B,MATCH("Allocation sharpness β: Starlink broadband / direct-to-cell sub-split",Assumptions!$A$1:$A$438,0))*L188, 700))</f>
        <v>0.67579292786203438</v>
      </c>
      <c r="M190" s="190">
        <f ca="1">EXP(MIN(INDEX(Assumptions!$B:$B,MATCH("Allocation sharpness β: Starlink broadband / direct-to-cell sub-split",Assumptions!$A$1:$A$438,0))*M188, 700))</f>
        <v>0.61756353838990596</v>
      </c>
      <c r="N190" s="190">
        <f ca="1">EXP(MIN(INDEX(Assumptions!$B:$B,MATCH("Allocation sharpness β: Starlink broadband / direct-to-cell sub-split",Assumptions!$A$1:$A$438,0))*N188, 700))</f>
        <v>0.60531370158127518</v>
      </c>
      <c r="O190" s="190">
        <f ca="1">EXP(MIN(INDEX(Assumptions!$B:$B,MATCH("Allocation sharpness β: Starlink broadband / direct-to-cell sub-split",Assumptions!$A$1:$A$438,0))*O188, 700))</f>
        <v>1</v>
      </c>
      <c r="P190" s="190">
        <f ca="1">EXP(MIN(INDEX(Assumptions!$B:$B,MATCH("Allocation sharpness β: Starlink broadband / direct-to-cell sub-split",Assumptions!$A$1:$A$438,0))*P188, 700))</f>
        <v>1</v>
      </c>
      <c r="Q190" s="190">
        <f ca="1">EXP(MIN(INDEX(Assumptions!$B:$B,MATCH("Allocation sharpness β: Starlink broadband / direct-to-cell sub-split",Assumptions!$A$1:$A$438,0))*Q188, 700))</f>
        <v>1</v>
      </c>
      <c r="R190" s="190">
        <f ca="1">EXP(MIN(INDEX(Assumptions!$B:$B,MATCH("Allocation sharpness β: Starlink broadband / direct-to-cell sub-split",Assumptions!$A$1:$A$438,0))*R188, 700))</f>
        <v>1</v>
      </c>
      <c r="S190" s="190">
        <f ca="1">EXP(MIN(INDEX(Assumptions!$B:$B,MATCH("Allocation sharpness β: Starlink broadband / direct-to-cell sub-split",Assumptions!$A$1:$A$438,0))*S188, 700))</f>
        <v>1</v>
      </c>
    </row>
    <row r="191" spans="1:19" x14ac:dyDescent="0.2">
      <c r="A191" s="22" t="s">
        <v>1026</v>
      </c>
      <c r="B191" s="8"/>
      <c r="C191" s="8"/>
      <c r="D191" s="190">
        <f>EXP(MIN(INDEX(Assumptions!$B:$B,MATCH("Allocation sharpness β: Starlink broadband / direct-to-cell sub-split",Assumptions!$A$1:$A$438,0))*D189, 700))</f>
        <v>1</v>
      </c>
      <c r="E191" s="190">
        <f>EXP(MIN(INDEX(Assumptions!$B:$B,MATCH("Allocation sharpness β: Starlink broadband / direct-to-cell sub-split",Assumptions!$A$1:$A$438,0))*E189, 700))</f>
        <v>3.3102793567348145</v>
      </c>
      <c r="F191" s="190">
        <f ca="1">EXP(MIN(INDEX(Assumptions!$B:$B,MATCH("Allocation sharpness β: Starlink broadband / direct-to-cell sub-split",Assumptions!$A$1:$A$438,0))*F189, 700))</f>
        <v>3.8912083847146564</v>
      </c>
      <c r="G191" s="190">
        <f ca="1">EXP(MIN(INDEX(Assumptions!$B:$B,MATCH("Allocation sharpness β: Starlink broadband / direct-to-cell sub-split",Assumptions!$A$1:$A$438,0))*G189, 700))</f>
        <v>3.743027787573153</v>
      </c>
      <c r="H191" s="190">
        <f ca="1">EXP(MIN(INDEX(Assumptions!$B:$B,MATCH("Allocation sharpness β: Starlink broadband / direct-to-cell sub-split",Assumptions!$A$1:$A$438,0))*H189, 700))</f>
        <v>5.9638848703216727</v>
      </c>
      <c r="I191" s="190">
        <f ca="1">EXP(MIN(INDEX(Assumptions!$B:$B,MATCH("Allocation sharpness β: Starlink broadband / direct-to-cell sub-split",Assumptions!$A$1:$A$438,0))*I189, 700))</f>
        <v>10.509482955734669</v>
      </c>
      <c r="J191" s="190">
        <f ca="1">EXP(MIN(INDEX(Assumptions!$B:$B,MATCH("Allocation sharpness β: Starlink broadband / direct-to-cell sub-split",Assumptions!$A$1:$A$438,0))*J189, 700))</f>
        <v>3.8272363335832456</v>
      </c>
      <c r="K191" s="190">
        <f ca="1">EXP(MIN(INDEX(Assumptions!$B:$B,MATCH("Allocation sharpness β: Starlink broadband / direct-to-cell sub-split",Assumptions!$A$1:$A$438,0))*K189, 700))</f>
        <v>1.9462884999654015</v>
      </c>
      <c r="L191" s="190">
        <f ca="1">EXP(MIN(INDEX(Assumptions!$B:$B,MATCH("Allocation sharpness β: Starlink broadband / direct-to-cell sub-split",Assumptions!$A$1:$A$438,0))*L189, 700))</f>
        <v>1.5277680910815978</v>
      </c>
      <c r="M191" s="190">
        <f ca="1">EXP(MIN(INDEX(Assumptions!$B:$B,MATCH("Allocation sharpness β: Starlink broadband / direct-to-cell sub-split",Assumptions!$A$1:$A$438,0))*M189, 700))</f>
        <v>1.1415902116792609</v>
      </c>
      <c r="N191" s="190">
        <f ca="1">EXP(MIN(INDEX(Assumptions!$B:$B,MATCH("Allocation sharpness β: Starlink broadband / direct-to-cell sub-split",Assumptions!$A$1:$A$438,0))*N189, 700))</f>
        <v>0.88126850952043934</v>
      </c>
      <c r="O191" s="190">
        <f ca="1">EXP(MIN(INDEX(Assumptions!$B:$B,MATCH("Allocation sharpness β: Starlink broadband / direct-to-cell sub-split",Assumptions!$A$1:$A$438,0))*O189, 700))</f>
        <v>0.8047401956101824</v>
      </c>
      <c r="P191" s="190">
        <f ca="1">EXP(MIN(INDEX(Assumptions!$B:$B,MATCH("Allocation sharpness β: Starlink broadband / direct-to-cell sub-split",Assumptions!$A$1:$A$438,0))*P189, 700))</f>
        <v>0.75952063108881129</v>
      </c>
      <c r="Q191" s="190">
        <f ca="1">EXP(MIN(INDEX(Assumptions!$B:$B,MATCH("Allocation sharpness β: Starlink broadband / direct-to-cell sub-split",Assumptions!$A$1:$A$438,0))*Q189, 700))</f>
        <v>0.74088804041874634</v>
      </c>
      <c r="R191" s="190">
        <f ca="1">EXP(MIN(INDEX(Assumptions!$B:$B,MATCH("Allocation sharpness β: Starlink broadband / direct-to-cell sub-split",Assumptions!$A$1:$A$438,0))*R189, 700))</f>
        <v>0.80295813118058179</v>
      </c>
      <c r="S191" s="190">
        <f ca="1">EXP(MIN(INDEX(Assumptions!$B:$B,MATCH("Allocation sharpness β: Starlink broadband / direct-to-cell sub-split",Assumptions!$A$1:$A$438,0))*S189, 700))</f>
        <v>0.9499178886147347</v>
      </c>
    </row>
    <row r="192" spans="1:19" x14ac:dyDescent="0.2">
      <c r="A192" s="22" t="s">
        <v>1867</v>
      </c>
      <c r="B192" s="8"/>
      <c r="C192" s="8"/>
      <c r="D192" s="81">
        <f>IF(D$29=1, IFERROR(D190/(D190+D191), 1), 1)</f>
        <v>1</v>
      </c>
      <c r="E192" s="81">
        <f>IF(E$29=1, IFERROR(E190/(E190+E191), 1), 1)</f>
        <v>1</v>
      </c>
      <c r="F192" s="81">
        <f ca="1">IF(F$29=1, IFERROR(F190/(F190+F191), 1), 1)</f>
        <v>0.99952001722967498</v>
      </c>
      <c r="G192" s="81">
        <f t="shared" ref="G192:S192" ca="1" si="60">IF(G$29=1, IFERROR(G190/(G190+G191), 1), 1)</f>
        <v>0.99157159698503627</v>
      </c>
      <c r="H192" s="81">
        <f t="shared" ca="1" si="60"/>
        <v>0.88562589384532009</v>
      </c>
      <c r="I192" s="81">
        <f t="shared" ca="1" si="60"/>
        <v>0.35256249429975539</v>
      </c>
      <c r="J192" s="81">
        <f t="shared" ca="1" si="60"/>
        <v>0.49506571508504937</v>
      </c>
      <c r="K192" s="81">
        <f t="shared" ca="1" si="60"/>
        <v>0.31667204935684751</v>
      </c>
      <c r="L192" s="81">
        <f t="shared" ca="1" si="60"/>
        <v>0.30668219398163232</v>
      </c>
      <c r="M192" s="81">
        <f t="shared" ca="1" si="60"/>
        <v>0.35105717073656834</v>
      </c>
      <c r="N192" s="81">
        <f t="shared" ca="1" si="60"/>
        <v>0.40718481430816644</v>
      </c>
      <c r="O192" s="81">
        <f t="shared" ca="1" si="60"/>
        <v>0.55409637488674657</v>
      </c>
      <c r="P192" s="81">
        <f t="shared" ca="1" si="60"/>
        <v>0.56833661528662427</v>
      </c>
      <c r="Q192" s="81">
        <f t="shared" ca="1" si="60"/>
        <v>0.57441947832524831</v>
      </c>
      <c r="R192" s="81">
        <f t="shared" ca="1" si="60"/>
        <v>0.55464405007852147</v>
      </c>
      <c r="S192" s="81">
        <f t="shared" ca="1" si="60"/>
        <v>0.51284210778250894</v>
      </c>
    </row>
    <row r="193" spans="1:19" x14ac:dyDescent="0.2">
      <c r="A193" s="22" t="s">
        <v>1868</v>
      </c>
      <c r="B193" s="8"/>
      <c r="C193" s="8"/>
      <c r="D193" s="81">
        <f>1-D192</f>
        <v>0</v>
      </c>
      <c r="E193" s="81">
        <f>1-E192</f>
        <v>0</v>
      </c>
      <c r="F193" s="81">
        <f ca="1">1-F192</f>
        <v>4.7998277032501591E-4</v>
      </c>
      <c r="G193" s="81">
        <f t="shared" ref="G193:S193" ca="1" si="61">1-G192</f>
        <v>8.4284030149637257E-3</v>
      </c>
      <c r="H193" s="81">
        <f t="shared" ca="1" si="61"/>
        <v>0.11437410615467991</v>
      </c>
      <c r="I193" s="81">
        <f t="shared" ca="1" si="61"/>
        <v>0.64743750570024461</v>
      </c>
      <c r="J193" s="81">
        <f t="shared" ca="1" si="61"/>
        <v>0.50493428491495063</v>
      </c>
      <c r="K193" s="81">
        <f t="shared" ca="1" si="61"/>
        <v>0.68332795064315244</v>
      </c>
      <c r="L193" s="81">
        <f t="shared" ca="1" si="61"/>
        <v>0.69331780601836768</v>
      </c>
      <c r="M193" s="81">
        <f t="shared" ca="1" si="61"/>
        <v>0.64894282926343161</v>
      </c>
      <c r="N193" s="81">
        <f t="shared" ca="1" si="61"/>
        <v>0.59281518569183356</v>
      </c>
      <c r="O193" s="81">
        <f t="shared" ca="1" si="61"/>
        <v>0.44590362511325343</v>
      </c>
      <c r="P193" s="81">
        <f t="shared" ca="1" si="61"/>
        <v>0.43166338471337573</v>
      </c>
      <c r="Q193" s="81">
        <f t="shared" ca="1" si="61"/>
        <v>0.42558052167475169</v>
      </c>
      <c r="R193" s="81">
        <f t="shared" ca="1" si="61"/>
        <v>0.44535594992147853</v>
      </c>
      <c r="S193" s="81">
        <f t="shared" ca="1" si="61"/>
        <v>0.48715789221749106</v>
      </c>
    </row>
    <row r="194" spans="1:19" x14ac:dyDescent="0.2">
      <c r="A194" s="22" t="s">
        <v>1027</v>
      </c>
      <c r="B194" s="8"/>
      <c r="C194" s="8"/>
      <c r="D194" s="83">
        <f t="shared" ref="D194:S194" si="62">IF(D$29=1, D125, D113)</f>
        <v>1.1479807692307693</v>
      </c>
      <c r="E194" s="83">
        <f t="shared" si="62"/>
        <v>1.1605523122710624</v>
      </c>
      <c r="F194" s="83">
        <f t="shared" ca="1" si="62"/>
        <v>1.6698542334367585</v>
      </c>
      <c r="G194" s="83">
        <f t="shared" ca="1" si="62"/>
        <v>1.5893285351885813</v>
      </c>
      <c r="H194" s="83">
        <f t="shared" ca="1" si="62"/>
        <v>1.4810862899592141</v>
      </c>
      <c r="I194" s="83">
        <f t="shared" ca="1" si="62"/>
        <v>1.3667204169573925</v>
      </c>
      <c r="J194" s="83">
        <f t="shared" ca="1" si="62"/>
        <v>1.2880131654745546</v>
      </c>
      <c r="K194" s="83">
        <f t="shared" ca="1" si="62"/>
        <v>1.2255527801678792</v>
      </c>
      <c r="L194" s="83">
        <f t="shared" ca="1" si="62"/>
        <v>1.1811194225824373</v>
      </c>
      <c r="M194" s="83">
        <f t="shared" ca="1" si="62"/>
        <v>1.1422827062575682</v>
      </c>
      <c r="N194" s="83">
        <f t="shared" ca="1" si="62"/>
        <v>1.1093287799313851</v>
      </c>
      <c r="O194" s="83">
        <f t="shared" ca="1" si="62"/>
        <v>1.0790328405885139</v>
      </c>
      <c r="P194" s="83">
        <f t="shared" ca="1" si="62"/>
        <v>1.052490236262867</v>
      </c>
      <c r="Q194" s="83">
        <f t="shared" ca="1" si="62"/>
        <v>1.0261119943737493</v>
      </c>
      <c r="R194" s="83">
        <f t="shared" ca="1" si="62"/>
        <v>1.0100084928107154</v>
      </c>
      <c r="S194" s="83">
        <f t="shared" ca="1" si="62"/>
        <v>0.99762931338975369</v>
      </c>
    </row>
    <row r="195" spans="1:19" x14ac:dyDescent="0.2">
      <c r="A195" s="22" t="s">
        <v>1028</v>
      </c>
      <c r="B195" s="8"/>
      <c r="C195" s="8"/>
      <c r="D195" s="83">
        <f t="shared" ref="D195:S195" si="63">IF(D$29=1, D131, D119)</f>
        <v>1.1479807692307693</v>
      </c>
      <c r="E195" s="83">
        <f t="shared" si="63"/>
        <v>1.1605523122710624</v>
      </c>
      <c r="F195" s="83">
        <f t="shared" ca="1" si="63"/>
        <v>1.6698542334367585</v>
      </c>
      <c r="G195" s="83">
        <f t="shared" ca="1" si="63"/>
        <v>1.5893285351885813</v>
      </c>
      <c r="H195" s="83">
        <f t="shared" ca="1" si="63"/>
        <v>1.4810862899592141</v>
      </c>
      <c r="I195" s="83">
        <f t="shared" ca="1" si="63"/>
        <v>1.3667204169573925</v>
      </c>
      <c r="J195" s="83">
        <f t="shared" ca="1" si="63"/>
        <v>1.2880131654745546</v>
      </c>
      <c r="K195" s="83">
        <f t="shared" ca="1" si="63"/>
        <v>1.2255527801678792</v>
      </c>
      <c r="L195" s="83">
        <f t="shared" ca="1" si="63"/>
        <v>1.1811194225824373</v>
      </c>
      <c r="M195" s="83">
        <f t="shared" ca="1" si="63"/>
        <v>1.1422827062575682</v>
      </c>
      <c r="N195" s="83">
        <f t="shared" ca="1" si="63"/>
        <v>1.1093287799313851</v>
      </c>
      <c r="O195" s="83">
        <f t="shared" ca="1" si="63"/>
        <v>1.0790328405885139</v>
      </c>
      <c r="P195" s="83">
        <f t="shared" ca="1" si="63"/>
        <v>1.052490236262867</v>
      </c>
      <c r="Q195" s="83">
        <f t="shared" ca="1" si="63"/>
        <v>1.0261119943737493</v>
      </c>
      <c r="R195" s="83">
        <f t="shared" ca="1" si="63"/>
        <v>1.0100084928107154</v>
      </c>
      <c r="S195" s="83">
        <f t="shared" ca="1" si="63"/>
        <v>0.99762931338975369</v>
      </c>
    </row>
    <row r="196" spans="1:19" x14ac:dyDescent="0.2">
      <c r="A196" s="22" t="s">
        <v>1029</v>
      </c>
      <c r="B196" s="8"/>
      <c r="C196" s="8"/>
      <c r="D196" s="67">
        <f t="shared" ref="D196:D197" si="64">D$19*D192</f>
        <v>0</v>
      </c>
      <c r="E196" s="67">
        <f t="shared" ref="E196:S196" ca="1" si="65">E$19*E192</f>
        <v>25727.691308577967</v>
      </c>
      <c r="F196" s="67">
        <f t="shared" ca="1" si="65"/>
        <v>48398.593467939674</v>
      </c>
      <c r="G196" s="67">
        <f t="shared" ca="1" si="65"/>
        <v>35660.42948256003</v>
      </c>
      <c r="H196" s="67">
        <f t="shared" ca="1" si="65"/>
        <v>30099.773338603678</v>
      </c>
      <c r="I196" s="67">
        <f t="shared" ca="1" si="65"/>
        <v>16898.123397537416</v>
      </c>
      <c r="J196" s="67">
        <f t="shared" ca="1" si="65"/>
        <v>35615.639063438226</v>
      </c>
      <c r="K196" s="67">
        <f t="shared" ca="1" si="65"/>
        <v>15371.107524513314</v>
      </c>
      <c r="L196" s="67">
        <f t="shared" ca="1" si="65"/>
        <v>17413.749828944328</v>
      </c>
      <c r="M196" s="67">
        <f t="shared" ca="1" si="65"/>
        <v>27813.951464358059</v>
      </c>
      <c r="N196" s="67">
        <f t="shared" ca="1" si="65"/>
        <v>37074.99932183943</v>
      </c>
      <c r="O196" s="67">
        <f t="shared" ca="1" si="65"/>
        <v>68490.150957680555</v>
      </c>
      <c r="P196" s="67">
        <f t="shared" ca="1" si="65"/>
        <v>60696.291662696764</v>
      </c>
      <c r="Q196" s="67">
        <f t="shared" ca="1" si="65"/>
        <v>33209.704851066439</v>
      </c>
      <c r="R196" s="67">
        <f t="shared" ca="1" si="65"/>
        <v>21691.864047449682</v>
      </c>
      <c r="S196" s="67">
        <f t="shared" ca="1" si="65"/>
        <v>21280.844996141564</v>
      </c>
    </row>
    <row r="197" spans="1:19" x14ac:dyDescent="0.2">
      <c r="A197" s="22" t="s">
        <v>1030</v>
      </c>
      <c r="B197" s="8"/>
      <c r="C197" s="8"/>
      <c r="D197" s="67">
        <f t="shared" si="64"/>
        <v>0</v>
      </c>
      <c r="E197" s="67">
        <f t="shared" ref="E197:S197" ca="1" si="66">E$19*E193</f>
        <v>0</v>
      </c>
      <c r="F197" s="67">
        <f t="shared" ca="1" si="66"/>
        <v>23.241646562479875</v>
      </c>
      <c r="G197" s="67">
        <f t="shared" ca="1" si="66"/>
        <v>303.11524884293959</v>
      </c>
      <c r="H197" s="67">
        <f t="shared" ca="1" si="66"/>
        <v>3887.2335316592926</v>
      </c>
      <c r="I197" s="67">
        <f t="shared" ca="1" si="66"/>
        <v>31031.317966041966</v>
      </c>
      <c r="J197" s="67">
        <f t="shared" ca="1" si="66"/>
        <v>36325.596166958756</v>
      </c>
      <c r="K197" s="67">
        <f t="shared" ca="1" si="66"/>
        <v>33168.40695341937</v>
      </c>
      <c r="L197" s="67">
        <f t="shared" ca="1" si="66"/>
        <v>39367.3420331651</v>
      </c>
      <c r="M197" s="67">
        <f t="shared" ca="1" si="66"/>
        <v>51415.170692584055</v>
      </c>
      <c r="N197" s="67">
        <f t="shared" ca="1" si="66"/>
        <v>53977.019366117464</v>
      </c>
      <c r="O197" s="67">
        <f t="shared" ca="1" si="66"/>
        <v>55116.77747905477</v>
      </c>
      <c r="P197" s="67">
        <f t="shared" ca="1" si="66"/>
        <v>46100.085748401994</v>
      </c>
      <c r="Q197" s="67">
        <f t="shared" ca="1" si="66"/>
        <v>24604.673149991544</v>
      </c>
      <c r="R197" s="67">
        <f t="shared" ca="1" si="66"/>
        <v>17417.658617363446</v>
      </c>
      <c r="S197" s="67">
        <f t="shared" ca="1" si="66"/>
        <v>20215.055346672238</v>
      </c>
    </row>
    <row r="198" spans="1:19" x14ac:dyDescent="0.2">
      <c r="A198" s="22" t="s">
        <v>1031</v>
      </c>
      <c r="B198" s="8"/>
      <c r="C198" s="8"/>
      <c r="D198" s="67">
        <f t="shared" ref="D198:F199" si="67">IFERROR(D196/D194, 0)</f>
        <v>0</v>
      </c>
      <c r="E198" s="67">
        <f t="shared" ca="1" si="67"/>
        <v>22168.489120694565</v>
      </c>
      <c r="F198" s="67">
        <f t="shared" ca="1" si="67"/>
        <v>28983.723548330094</v>
      </c>
      <c r="G198" s="67">
        <f t="shared" ref="G198:S198" ca="1" si="68">IFERROR(G196/G194, 0)</f>
        <v>22437.418502857719</v>
      </c>
      <c r="H198" s="67">
        <f t="shared" ca="1" si="68"/>
        <v>20322.768188903134</v>
      </c>
      <c r="I198" s="67">
        <f t="shared" ca="1" si="68"/>
        <v>12363.994265305701</v>
      </c>
      <c r="J198" s="67">
        <f t="shared" ca="1" si="68"/>
        <v>27651.611037932231</v>
      </c>
      <c r="K198" s="67">
        <f t="shared" ca="1" si="68"/>
        <v>12542.183228051381</v>
      </c>
      <c r="L198" s="67">
        <f t="shared" ca="1" si="68"/>
        <v>14743.428561076702</v>
      </c>
      <c r="M198" s="67">
        <f t="shared" ca="1" si="68"/>
        <v>24349.446342827163</v>
      </c>
      <c r="N198" s="67">
        <f t="shared" ca="1" si="68"/>
        <v>33421.11012763287</v>
      </c>
      <c r="O198" s="67">
        <f t="shared" ca="1" si="68"/>
        <v>63473.648235141234</v>
      </c>
      <c r="P198" s="67">
        <f t="shared" ca="1" si="68"/>
        <v>57669.22064589816</v>
      </c>
      <c r="Q198" s="67">
        <f t="shared" ca="1" si="68"/>
        <v>32364.600582741255</v>
      </c>
      <c r="R198" s="67">
        <f t="shared" ca="1" si="68"/>
        <v>21476.912522868195</v>
      </c>
      <c r="S198" s="67">
        <f t="shared" ca="1" si="68"/>
        <v>21331.415096287939</v>
      </c>
    </row>
    <row r="199" spans="1:19" x14ac:dyDescent="0.2">
      <c r="A199" s="22" t="s">
        <v>1032</v>
      </c>
      <c r="B199" s="8"/>
      <c r="C199" s="8"/>
      <c r="D199" s="67">
        <f t="shared" si="67"/>
        <v>0</v>
      </c>
      <c r="E199" s="67">
        <f t="shared" ca="1" si="67"/>
        <v>0</v>
      </c>
      <c r="F199" s="67">
        <f t="shared" ca="1" si="67"/>
        <v>13.918368500132974</v>
      </c>
      <c r="G199" s="67">
        <f t="shared" ref="G199:S199" ca="1" si="69">IFERROR(G197/G195, 0)</f>
        <v>190.71906288209539</v>
      </c>
      <c r="H199" s="67">
        <f t="shared" ca="1" si="69"/>
        <v>2624.5827525459968</v>
      </c>
      <c r="I199" s="67">
        <f t="shared" ca="1" si="69"/>
        <v>22704.949440299002</v>
      </c>
      <c r="J199" s="67">
        <f t="shared" ca="1" si="69"/>
        <v>28202.814335034363</v>
      </c>
      <c r="K199" s="67">
        <f t="shared" ca="1" si="69"/>
        <v>27064.037951001901</v>
      </c>
      <c r="L199" s="67">
        <f t="shared" ca="1" si="69"/>
        <v>33330.534813398532</v>
      </c>
      <c r="M199" s="67">
        <f t="shared" ca="1" si="69"/>
        <v>45010.898274941297</v>
      </c>
      <c r="N199" s="67">
        <f t="shared" ca="1" si="69"/>
        <v>48657.368620199399</v>
      </c>
      <c r="O199" s="67">
        <f t="shared" ca="1" si="69"/>
        <v>51079.796096839462</v>
      </c>
      <c r="P199" s="67">
        <f t="shared" ca="1" si="69"/>
        <v>43800.96285937247</v>
      </c>
      <c r="Q199" s="67">
        <f t="shared" ca="1" si="69"/>
        <v>23978.545504682581</v>
      </c>
      <c r="R199" s="67">
        <f t="shared" ca="1" si="69"/>
        <v>17245.061542891075</v>
      </c>
      <c r="S199" s="67">
        <f t="shared" ca="1" si="69"/>
        <v>20263.09278943032</v>
      </c>
    </row>
    <row r="200" spans="1:19" x14ac:dyDescent="0.2">
      <c r="A200" s="20" t="s">
        <v>1033</v>
      </c>
      <c r="B200" s="20"/>
      <c r="C200" s="20"/>
      <c r="D200" s="85">
        <f>D198+D199</f>
        <v>0</v>
      </c>
      <c r="E200" s="85">
        <f ca="1">E198+E199</f>
        <v>22168.489120694565</v>
      </c>
      <c r="F200" s="85">
        <f ca="1">F198+F199</f>
        <v>28997.641916830227</v>
      </c>
      <c r="G200" s="85">
        <f t="shared" ref="G200:S200" ca="1" si="70">G198+G199</f>
        <v>22628.137565739817</v>
      </c>
      <c r="H200" s="85">
        <f t="shared" ca="1" si="70"/>
        <v>22947.350941449131</v>
      </c>
      <c r="I200" s="85">
        <f t="shared" ca="1" si="70"/>
        <v>35068.943705604703</v>
      </c>
      <c r="J200" s="85">
        <f t="shared" ca="1" si="70"/>
        <v>55854.425372966594</v>
      </c>
      <c r="K200" s="85">
        <f t="shared" ca="1" si="70"/>
        <v>39606.221179053282</v>
      </c>
      <c r="L200" s="85">
        <f t="shared" ca="1" si="70"/>
        <v>48073.963374475235</v>
      </c>
      <c r="M200" s="85">
        <f t="shared" ca="1" si="70"/>
        <v>69360.344617768453</v>
      </c>
      <c r="N200" s="85">
        <f t="shared" ca="1" si="70"/>
        <v>82078.478747832269</v>
      </c>
      <c r="O200" s="85">
        <f t="shared" ca="1" si="70"/>
        <v>114553.44433198069</v>
      </c>
      <c r="P200" s="85">
        <f t="shared" ca="1" si="70"/>
        <v>101470.18350527063</v>
      </c>
      <c r="Q200" s="85">
        <f t="shared" ca="1" si="70"/>
        <v>56343.14608742384</v>
      </c>
      <c r="R200" s="85">
        <f t="shared" ca="1" si="70"/>
        <v>38721.97406575927</v>
      </c>
      <c r="S200" s="85">
        <f t="shared" ca="1" si="70"/>
        <v>41594.50788571826</v>
      </c>
    </row>
    <row r="201" spans="1:19" x14ac:dyDescent="0.2">
      <c r="A201" s="22" t="s">
        <v>1330</v>
      </c>
      <c r="B201" s="8"/>
      <c r="C201" s="8"/>
      <c r="D201" s="66">
        <f ca="1">MIN( D38, D162, IF(D$4=INDEX(Assumptions!$B:$B,MATCH("Launch-pacing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7118.647726569453</v>
      </c>
      <c r="E201" s="66">
        <f ca="1">MIN( E38, E162, IF(E$4=INDEX(Assumptions!$B:$B,MATCH("Launch-pacing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3120</v>
      </c>
      <c r="F201" s="66">
        <f ca="1">MIN( F38, F162, IF(F$4=INDEX(Assumptions!$B:$B,MATCH("Launch-pacing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3918.7353004899928</v>
      </c>
      <c r="G201" s="66">
        <f ca="1">MIN( G38, G162, IF(G$4=INDEX(Assumptions!$B:$B,MATCH("Launch-pacing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9497.379961050312</v>
      </c>
      <c r="H201" s="66">
        <f ca="1">MIN( H38, H162, IF(H$4=INDEX(Assumptions!$B:$B,MATCH("Launch-pacing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27023.603913252842</v>
      </c>
      <c r="I201" s="66">
        <f ca="1">MIN( I38, I162, IF(I$4=INDEX(Assumptions!$B:$B,MATCH("Launch-pacing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62397.352066195599</v>
      </c>
      <c r="J201" s="66">
        <f ca="1">MIN( J38, J162, IF(J$4=INDEX(Assumptions!$B:$B,MATCH("Launch-pacing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127881.3351217696</v>
      </c>
      <c r="K201" s="66">
        <f ca="1">MIN( K38, K162, IF(K$4=INDEX(Assumptions!$B:$B,MATCH("Launch-pacing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176327.4399176423</v>
      </c>
      <c r="L201" s="66">
        <f ca="1">MIN( L38, L162, IF(L$4=INDEX(Assumptions!$B:$B,MATCH("Launch-pacing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167702.11106465521</v>
      </c>
      <c r="M201" s="66">
        <f ca="1">MIN( M38, M162, IF(M$4=INDEX(Assumptions!$B:$B,MATCH("Launch-pacing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162376.01471873088</v>
      </c>
      <c r="N201" s="66">
        <f ca="1">MIN( N38, N162, IF(N$4=INDEX(Assumptions!$B:$B,MATCH("Launch-pacing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158349.33656480681</v>
      </c>
      <c r="O201" s="66">
        <f ca="1">MIN( O38, O162, IF(O$4=INDEX(Assumptions!$B:$B,MATCH("Launch-pacing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137292.22070247965</v>
      </c>
      <c r="P201" s="66">
        <f ca="1">MIN( P38, P162, IF(P$4=INDEX(Assumptions!$B:$B,MATCH("Launch-pacing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101470.18350527063</v>
      </c>
      <c r="Q201" s="66">
        <f ca="1">MIN( Q38, Q162, IF(Q$4=INDEX(Assumptions!$B:$B,MATCH("Launch-pacing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56343.146087423833</v>
      </c>
      <c r="R201" s="66">
        <f ca="1">MIN( R38, R162, IF(R$4=INDEX(Assumptions!$B:$B,MATCH("Launch-pacing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38721.97406575927</v>
      </c>
      <c r="S201" s="66">
        <f ca="1">MIN( S38, S162, IF(S$4=INDEX(Assumptions!$B:$B,MATCH("Launch-pacing year (apply caps in this year only)",Assumptions!$A$1:$A$438,0)), INDEX(Assumptions!$B:$B,MATCH("F9 Starlink launch cap, annualized (launches/yr): derived",Assumptions!$A$1:$A$438,0))*INDEX(Assumptions!$B:$B,MATCH("F9 sats per launch (V2 packing)",Assumptions!$A$1:$A$438,0)), 1000000000000) )</f>
        <v>39441.627937467572</v>
      </c>
    </row>
    <row r="202" spans="1:19" x14ac:dyDescent="0.2">
      <c r="A202" s="22" t="s">
        <v>1034</v>
      </c>
      <c r="B202" s="8"/>
      <c r="C202" s="8"/>
      <c r="D202" s="44">
        <f ca="1">IFERROR(MIN(1, D201/D200), 1)</f>
        <v>1</v>
      </c>
      <c r="E202" s="44">
        <f ca="1">IFERROR(MIN(1, E201/E200), 1)</f>
        <v>0.14074030859809208</v>
      </c>
      <c r="F202" s="44">
        <f ca="1">IFERROR(MIN(1, F201/F200), 1)</f>
        <v>0.13513979211583957</v>
      </c>
      <c r="G202" s="44">
        <f t="shared" ref="G202:S202" ca="1" si="71">IFERROR(MIN(1, G201/G200), 1)</f>
        <v>0.41971549507591122</v>
      </c>
      <c r="H202" s="44">
        <f t="shared" ca="1" si="71"/>
        <v>1</v>
      </c>
      <c r="I202" s="44">
        <f t="shared" ca="1" si="71"/>
        <v>1</v>
      </c>
      <c r="J202" s="44">
        <f t="shared" ca="1" si="71"/>
        <v>1</v>
      </c>
      <c r="K202" s="44">
        <f t="shared" ca="1" si="71"/>
        <v>1</v>
      </c>
      <c r="L202" s="44">
        <f t="shared" ca="1" si="71"/>
        <v>1</v>
      </c>
      <c r="M202" s="44">
        <f t="shared" ca="1" si="71"/>
        <v>1</v>
      </c>
      <c r="N202" s="44">
        <f t="shared" ca="1" si="71"/>
        <v>1</v>
      </c>
      <c r="O202" s="44">
        <f t="shared" ca="1" si="71"/>
        <v>1</v>
      </c>
      <c r="P202" s="44">
        <f t="shared" ca="1" si="71"/>
        <v>1</v>
      </c>
      <c r="Q202" s="44">
        <f t="shared" ca="1" si="71"/>
        <v>0.99999999999999989</v>
      </c>
      <c r="R202" s="44">
        <f t="shared" ca="1" si="71"/>
        <v>1</v>
      </c>
      <c r="S202" s="44">
        <f t="shared" ca="1" si="71"/>
        <v>0.948241244873824</v>
      </c>
    </row>
    <row r="203" spans="1:19" x14ac:dyDescent="0.2">
      <c r="A203" s="22" t="s">
        <v>1035</v>
      </c>
      <c r="B203" s="8"/>
      <c r="C203" s="8"/>
      <c r="D203" s="67">
        <f ca="1">D198*D202</f>
        <v>0</v>
      </c>
      <c r="E203" s="67">
        <f ca="1">E198*E202</f>
        <v>3120</v>
      </c>
      <c r="F203" s="67">
        <f ca="1">F198*F202</f>
        <v>3916.854375064293</v>
      </c>
      <c r="G203" s="67">
        <f t="shared" ref="G203:S203" ca="1" si="72">G198*G202</f>
        <v>9417.3322151523389</v>
      </c>
      <c r="H203" s="67">
        <f t="shared" ca="1" si="72"/>
        <v>20322.768188903134</v>
      </c>
      <c r="I203" s="67">
        <f t="shared" ca="1" si="72"/>
        <v>12363.994265305701</v>
      </c>
      <c r="J203" s="67">
        <f t="shared" ca="1" si="72"/>
        <v>27651.611037932231</v>
      </c>
      <c r="K203" s="67">
        <f t="shared" ca="1" si="72"/>
        <v>12542.183228051381</v>
      </c>
      <c r="L203" s="67">
        <f t="shared" ca="1" si="72"/>
        <v>14743.428561076702</v>
      </c>
      <c r="M203" s="67">
        <f t="shared" ca="1" si="72"/>
        <v>24349.446342827163</v>
      </c>
      <c r="N203" s="67">
        <f t="shared" ca="1" si="72"/>
        <v>33421.11012763287</v>
      </c>
      <c r="O203" s="67">
        <f t="shared" ca="1" si="72"/>
        <v>63473.648235141234</v>
      </c>
      <c r="P203" s="67">
        <f t="shared" ca="1" si="72"/>
        <v>57669.22064589816</v>
      </c>
      <c r="Q203" s="67">
        <f t="shared" ca="1" si="72"/>
        <v>32364.600582741252</v>
      </c>
      <c r="R203" s="67">
        <f t="shared" ca="1" si="72"/>
        <v>21476.912522868195</v>
      </c>
      <c r="S203" s="67">
        <f t="shared" ca="1" si="72"/>
        <v>20227.327605824357</v>
      </c>
    </row>
    <row r="204" spans="1:19" x14ac:dyDescent="0.2">
      <c r="A204" s="22" t="s">
        <v>1036</v>
      </c>
      <c r="B204" s="8"/>
      <c r="C204" s="8"/>
      <c r="D204" s="67">
        <f ca="1">D199*D202</f>
        <v>0</v>
      </c>
      <c r="E204" s="67">
        <f ca="1">E199*E202</f>
        <v>0</v>
      </c>
      <c r="F204" s="67">
        <f ca="1">F199*F202</f>
        <v>1.88092542569962</v>
      </c>
      <c r="G204" s="67">
        <f t="shared" ref="G204:S204" ca="1" si="73">G199*G202</f>
        <v>80.047745897972504</v>
      </c>
      <c r="H204" s="67">
        <f t="shared" ca="1" si="73"/>
        <v>2624.5827525459968</v>
      </c>
      <c r="I204" s="67">
        <f t="shared" ca="1" si="73"/>
        <v>22704.949440299002</v>
      </c>
      <c r="J204" s="67">
        <f t="shared" ca="1" si="73"/>
        <v>28202.814335034363</v>
      </c>
      <c r="K204" s="67">
        <f t="shared" ca="1" si="73"/>
        <v>27064.037951001901</v>
      </c>
      <c r="L204" s="67">
        <f t="shared" ca="1" si="73"/>
        <v>33330.534813398532</v>
      </c>
      <c r="M204" s="67">
        <f t="shared" ca="1" si="73"/>
        <v>45010.898274941297</v>
      </c>
      <c r="N204" s="67">
        <f t="shared" ca="1" si="73"/>
        <v>48657.368620199399</v>
      </c>
      <c r="O204" s="67">
        <f t="shared" ca="1" si="73"/>
        <v>51079.796096839462</v>
      </c>
      <c r="P204" s="67">
        <f t="shared" ca="1" si="73"/>
        <v>43800.96285937247</v>
      </c>
      <c r="Q204" s="67">
        <f t="shared" ca="1" si="73"/>
        <v>23978.545504682577</v>
      </c>
      <c r="R204" s="67">
        <f t="shared" ca="1" si="73"/>
        <v>17245.061542891075</v>
      </c>
      <c r="S204" s="67">
        <f t="shared" ca="1" si="73"/>
        <v>19214.300331643215</v>
      </c>
    </row>
    <row r="205" spans="1:19" x14ac:dyDescent="0.2">
      <c r="A205" s="22" t="s">
        <v>1955</v>
      </c>
      <c r="D205">
        <f>FLOOR( D25 / INDEX(Assumptions!$B:$B, MATCH("V3 BB sat mass (kg)", Assumptions!$A:$A, 0)), 1 )</f>
        <v>50</v>
      </c>
      <c r="E205">
        <f>FLOOR( E25 / INDEX(Assumptions!$B:$B, MATCH("V3 BB sat mass (kg)", Assumptions!$A:$A, 0)), 1 )</f>
        <v>57</v>
      </c>
      <c r="F205">
        <f>FLOOR( F25 / INDEX(Assumptions!$B:$B, MATCH("V3 BB sat mass (kg)", Assumptions!$A:$A, 0)), 1 )</f>
        <v>65</v>
      </c>
      <c r="G205">
        <f>FLOOR( G25 / INDEX(Assumptions!$B:$B, MATCH("V3 BB sat mass (kg)", Assumptions!$A:$A, 0)), 1 )</f>
        <v>75</v>
      </c>
      <c r="H205">
        <f>FLOOR( H25 / INDEX(Assumptions!$B:$B, MATCH("V3 BB sat mass (kg)", Assumptions!$A:$A, 0)), 1 )</f>
        <v>87</v>
      </c>
      <c r="I205">
        <f>FLOOR( I25 / INDEX(Assumptions!$B:$B, MATCH("V3 BB sat mass (kg)", Assumptions!$A:$A, 0)), 1 )</f>
        <v>100</v>
      </c>
      <c r="J205">
        <f>FLOOR( J25 / INDEX(Assumptions!$B:$B, MATCH("V3 BB sat mass (kg)", Assumptions!$A:$A, 0)), 1 )</f>
        <v>100</v>
      </c>
      <c r="K205">
        <f>FLOOR( K25 / INDEX(Assumptions!$B:$B, MATCH("V3 BB sat mass (kg)", Assumptions!$A:$A, 0)), 1 )</f>
        <v>100</v>
      </c>
      <c r="L205">
        <f>FLOOR( L25 / INDEX(Assumptions!$B:$B, MATCH("V3 BB sat mass (kg)", Assumptions!$A:$A, 0)), 1 )</f>
        <v>100</v>
      </c>
      <c r="M205">
        <f>FLOOR( M25 / INDEX(Assumptions!$B:$B, MATCH("V3 BB sat mass (kg)", Assumptions!$A:$A, 0)), 1 )</f>
        <v>100</v>
      </c>
      <c r="N205">
        <f>FLOOR( N25 / INDEX(Assumptions!$B:$B, MATCH("V3 BB sat mass (kg)", Assumptions!$A:$A, 0)), 1 )</f>
        <v>100</v>
      </c>
      <c r="O205">
        <f>FLOOR( O25 / INDEX(Assumptions!$B:$B, MATCH("V3 BB sat mass (kg)", Assumptions!$A:$A, 0)), 1 )</f>
        <v>100</v>
      </c>
      <c r="P205">
        <f>FLOOR( P25 / INDEX(Assumptions!$B:$B, MATCH("V3 BB sat mass (kg)", Assumptions!$A:$A, 0)), 1 )</f>
        <v>100</v>
      </c>
      <c r="Q205">
        <f>FLOOR( Q25 / INDEX(Assumptions!$B:$B, MATCH("V3 BB sat mass (kg)", Assumptions!$A:$A, 0)), 1 )</f>
        <v>100</v>
      </c>
      <c r="R205">
        <f>FLOOR( R25 / INDEX(Assumptions!$B:$B, MATCH("V3 BB sat mass (kg)", Assumptions!$A:$A, 0)), 1 )</f>
        <v>100</v>
      </c>
      <c r="S205">
        <f>FLOOR( S25 / INDEX(Assumptions!$B:$B, MATCH("V3 BB sat mass (kg)", Assumptions!$A:$A, 0)), 1 )</f>
        <v>100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42"/>
  <sheetViews>
    <sheetView showGridLines="0" zoomScale="87" workbookViewId="0">
      <selection activeCell="AC76" sqref="AC76"/>
    </sheetView>
  </sheetViews>
  <sheetFormatPr baseColWidth="10" defaultColWidth="10.6640625" defaultRowHeight="16" x14ac:dyDescent="0.2"/>
  <cols>
    <col min="1" max="1" width="56.6640625" customWidth="1"/>
  </cols>
  <sheetData>
    <row r="1" spans="1:29" x14ac:dyDescent="0.2">
      <c r="A1" s="24" t="s">
        <v>1632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">
      <c r="A4" s="191" t="s">
        <v>591</v>
      </c>
      <c r="B4" s="153"/>
      <c r="C4" s="153"/>
      <c r="D4" s="155">
        <v>2025</v>
      </c>
      <c r="E4" s="155">
        <v>2026</v>
      </c>
      <c r="F4" s="155">
        <v>2027</v>
      </c>
      <c r="G4" s="155">
        <v>2028</v>
      </c>
      <c r="H4" s="155">
        <v>2029</v>
      </c>
      <c r="I4" s="155">
        <v>2030</v>
      </c>
      <c r="J4" s="155">
        <v>2031</v>
      </c>
      <c r="K4" s="155">
        <v>2032</v>
      </c>
      <c r="L4" s="155">
        <v>2033</v>
      </c>
      <c r="M4" s="155">
        <v>2034</v>
      </c>
      <c r="N4" s="155">
        <v>2035</v>
      </c>
      <c r="O4" s="155">
        <v>2036</v>
      </c>
      <c r="P4" s="155">
        <v>2037</v>
      </c>
      <c r="Q4" s="155">
        <v>2038</v>
      </c>
      <c r="R4" s="155">
        <v>2039</v>
      </c>
      <c r="S4" s="155">
        <v>2040</v>
      </c>
      <c r="T4" s="155"/>
      <c r="U4" s="155"/>
      <c r="V4" s="155"/>
      <c r="W4" s="155"/>
      <c r="X4" s="155"/>
      <c r="Y4" s="155"/>
      <c r="Z4" s="155"/>
      <c r="AA4" s="155"/>
      <c r="AB4" s="155"/>
      <c r="AC4" s="155"/>
    </row>
    <row r="5" spans="1:29" x14ac:dyDescent="0.2">
      <c r="A5" s="192" t="s">
        <v>592</v>
      </c>
      <c r="B5" s="154"/>
      <c r="C5" s="154"/>
      <c r="D5" s="156">
        <v>0</v>
      </c>
      <c r="E5" s="156">
        <v>1</v>
      </c>
      <c r="F5" s="156">
        <v>2</v>
      </c>
      <c r="G5" s="156">
        <v>3</v>
      </c>
      <c r="H5" s="156">
        <v>4</v>
      </c>
      <c r="I5" s="156">
        <v>5</v>
      </c>
      <c r="J5" s="156">
        <v>6</v>
      </c>
      <c r="K5" s="156">
        <v>7</v>
      </c>
      <c r="L5" s="156">
        <v>8</v>
      </c>
      <c r="M5" s="156">
        <v>9</v>
      </c>
      <c r="N5" s="156">
        <v>10</v>
      </c>
      <c r="O5" s="156">
        <v>11</v>
      </c>
      <c r="P5" s="156">
        <v>12</v>
      </c>
      <c r="Q5" s="156">
        <v>13</v>
      </c>
      <c r="R5" s="156">
        <v>14</v>
      </c>
      <c r="S5" s="156">
        <v>15</v>
      </c>
      <c r="T5" s="156"/>
      <c r="U5" s="156"/>
      <c r="V5" s="156"/>
      <c r="W5" s="156"/>
      <c r="X5" s="156"/>
      <c r="Y5" s="156"/>
      <c r="Z5" s="156"/>
      <c r="AA5" s="156"/>
      <c r="AB5" s="156"/>
      <c r="AC5" s="156"/>
    </row>
    <row r="6" spans="1:2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">
      <c r="A8" s="18" t="s">
        <v>1331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 x14ac:dyDescent="0.2">
      <c r="A9" s="22" t="s">
        <v>528</v>
      </c>
      <c r="B9" s="8"/>
      <c r="C9" s="8"/>
      <c r="D9" s="70">
        <f t="array" ref="D9">INDEX(Starlink!$D:$AC, MATCH("F9 internal launches per year (Starlink-driven)", Starlink!$A$1:$A$205, 0), COLUMN()-COLUMN($D9)+1)</f>
        <v>166</v>
      </c>
      <c r="E9" s="70">
        <f t="array" aca="1" ref="E9" ca="1">INDEX(Starlink!$D:$AC, MATCH("F9 internal launches per year (Starlink-driven)", Starlink!$A$1:$A$205, 0), COLUMN()-COLUMN($D9)+1)</f>
        <v>138</v>
      </c>
      <c r="F9" s="70">
        <f t="array" ref="F9">INDEX(Starlink!$D:$AC, MATCH("F9 internal launches per year (Starlink-driven)", Starlink!$A$1:$A$205, 0), COLUMN()-COLUMN($D9)+1)</f>
        <v>0</v>
      </c>
      <c r="G9" s="70">
        <f t="array" ref="G9">INDEX(Starlink!$D:$AC, MATCH("F9 internal launches per year (Starlink-driven)", Starlink!$A$1:$A$205, 0), COLUMN()-COLUMN($D9)+1)</f>
        <v>0</v>
      </c>
      <c r="H9" s="70">
        <f t="array" ref="H9">INDEX(Starlink!$D:$AC, MATCH("F9 internal launches per year (Starlink-driven)", Starlink!$A$1:$A$205, 0), COLUMN()-COLUMN($D9)+1)</f>
        <v>0</v>
      </c>
      <c r="I9" s="70">
        <f t="array" ref="I9">INDEX(Starlink!$D:$AC, MATCH("F9 internal launches per year (Starlink-driven)", Starlink!$A$1:$A$205, 0), COLUMN()-COLUMN($D9)+1)</f>
        <v>0</v>
      </c>
      <c r="J9" s="70">
        <f t="array" ref="J9">INDEX(Starlink!$D:$AC, MATCH("F9 internal launches per year (Starlink-driven)", Starlink!$A$1:$A$205, 0), COLUMN()-COLUMN($D9)+1)</f>
        <v>0</v>
      </c>
      <c r="K9" s="70">
        <f t="array" ref="K9">INDEX(Starlink!$D:$AC, MATCH("F9 internal launches per year (Starlink-driven)", Starlink!$A$1:$A$205, 0), COLUMN()-COLUMN($D9)+1)</f>
        <v>0</v>
      </c>
      <c r="L9" s="70">
        <f t="array" ref="L9">INDEX(Starlink!$D:$AC, MATCH("F9 internal launches per year (Starlink-driven)", Starlink!$A$1:$A$205, 0), COLUMN()-COLUMN($D9)+1)</f>
        <v>0</v>
      </c>
      <c r="M9" s="70">
        <f t="array" ref="M9">INDEX(Starlink!$D:$AC, MATCH("F9 internal launches per year (Starlink-driven)", Starlink!$A$1:$A$205, 0), COLUMN()-COLUMN($D9)+1)</f>
        <v>0</v>
      </c>
      <c r="N9" s="70">
        <f t="array" ref="N9">INDEX(Starlink!$D:$AC, MATCH("F9 internal launches per year (Starlink-driven)", Starlink!$A$1:$A$205, 0), COLUMN()-COLUMN($D9)+1)</f>
        <v>0</v>
      </c>
      <c r="O9" s="70">
        <f t="array" ref="O9">INDEX(Starlink!$D:$AC, MATCH("F9 internal launches per year (Starlink-driven)", Starlink!$A$1:$A$205, 0), COLUMN()-COLUMN($D9)+1)</f>
        <v>0</v>
      </c>
      <c r="P9" s="70">
        <f t="array" ref="P9">INDEX(Starlink!$D:$AC, MATCH("F9 internal launches per year (Starlink-driven)", Starlink!$A$1:$A$205, 0), COLUMN()-COLUMN($D9)+1)</f>
        <v>0</v>
      </c>
      <c r="Q9" s="70">
        <f t="array" ref="Q9">INDEX(Starlink!$D:$AC, MATCH("F9 internal launches per year (Starlink-driven)", Starlink!$A$1:$A$205, 0), COLUMN()-COLUMN($D9)+1)</f>
        <v>0</v>
      </c>
      <c r="R9" s="70">
        <f t="array" ref="R9">INDEX(Starlink!$D:$AC, MATCH("F9 internal launches per year (Starlink-driven)", Starlink!$A$1:$A$205, 0), COLUMN()-COLUMN($D9)+1)</f>
        <v>0</v>
      </c>
      <c r="S9" s="70">
        <f t="array" ref="S9">INDEX(Starlink!$D:$AC, MATCH("F9 internal launches per year (Starlink-driven)", Starlink!$A$1:$A$205, 0), COLUMN()-COLUMN($D9)+1)</f>
        <v>0</v>
      </c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 spans="1:29" x14ac:dyDescent="0.2">
      <c r="A10" s="22" t="s">
        <v>529</v>
      </c>
      <c r="B10" s="8"/>
      <c r="C10" s="8"/>
      <c r="D10" s="70">
        <f t="array" ref="D10">INDEX(Starlink!$D:$AC, MATCH("Starship internal launches per year (Starlink-driven)", Starlink!$A$1:$A$205, 0), COLUMN()-COLUMN($D10)+1)</f>
        <v>0</v>
      </c>
      <c r="E10" s="70">
        <f t="array" ref="E10">INDEX(Starlink!$D:$AC, MATCH("Starship internal launches per year (Starlink-driven)", Starlink!$A$1:$A$205, 0), COLUMN()-COLUMN($D10)+1)</f>
        <v>0</v>
      </c>
      <c r="F10" s="70">
        <f t="array" aca="1" ref="F10" ca="1">INDEX(Starlink!$D:$AC, MATCH("Starship internal launches per year (Starlink-driven)", Starlink!$A$1:$A$205, 0), COLUMN()-COLUMN($D10)+1)</f>
        <v>61</v>
      </c>
      <c r="G10" s="70">
        <f t="array" aca="1" ref="G10" ca="1">INDEX(Starlink!$D:$AC, MATCH("Starship internal launches per year (Starlink-driven)", Starlink!$A$1:$A$205, 0), COLUMN()-COLUMN($D10)+1)</f>
        <v>127</v>
      </c>
      <c r="H10" s="70">
        <f t="array" aca="1" ref="H10" ca="1">INDEX(Starlink!$D:$AC, MATCH("Starship internal launches per year (Starlink-driven)", Starlink!$A$1:$A$205, 0), COLUMN()-COLUMN($D10)+1)</f>
        <v>264</v>
      </c>
      <c r="I10" s="70">
        <f t="array" aca="1" ref="I10" ca="1">INDEX(Starlink!$D:$AC, MATCH("Starship internal launches per year (Starlink-driven)", Starlink!$A$1:$A$205, 0), COLUMN()-COLUMN($D10)+1)</f>
        <v>351</v>
      </c>
      <c r="J10" s="70">
        <f t="array" aca="1" ref="J10" ca="1">INDEX(Starlink!$D:$AC, MATCH("Starship internal launches per year (Starlink-driven)", Starlink!$A$1:$A$205, 0), COLUMN()-COLUMN($D10)+1)</f>
        <v>559</v>
      </c>
      <c r="K10" s="70">
        <f t="array" aca="1" ref="K10" ca="1">INDEX(Starlink!$D:$AC, MATCH("Starship internal launches per year (Starlink-driven)", Starlink!$A$1:$A$205, 0), COLUMN()-COLUMN($D10)+1)</f>
        <v>397</v>
      </c>
      <c r="L10" s="70">
        <f t="array" aca="1" ref="L10" ca="1">INDEX(Starlink!$D:$AC, MATCH("Starship internal launches per year (Starlink-driven)", Starlink!$A$1:$A$205, 0), COLUMN()-COLUMN($D10)+1)</f>
        <v>481</v>
      </c>
      <c r="M10" s="70">
        <f t="array" aca="1" ref="M10" ca="1">INDEX(Starlink!$D:$AC, MATCH("Starship internal launches per year (Starlink-driven)", Starlink!$A$1:$A$205, 0), COLUMN()-COLUMN($D10)+1)</f>
        <v>694</v>
      </c>
      <c r="N10" s="70">
        <f t="array" aca="1" ref="N10" ca="1">INDEX(Starlink!$D:$AC, MATCH("Starship internal launches per year (Starlink-driven)", Starlink!$A$1:$A$205, 0), COLUMN()-COLUMN($D10)+1)</f>
        <v>821</v>
      </c>
      <c r="O10" s="70">
        <f t="array" aca="1" ref="O10" ca="1">INDEX(Starlink!$D:$AC, MATCH("Starship internal launches per year (Starlink-driven)", Starlink!$A$1:$A$205, 0), COLUMN()-COLUMN($D10)+1)</f>
        <v>1146</v>
      </c>
      <c r="P10" s="70">
        <f t="array" aca="1" ref="P10" ca="1">INDEX(Starlink!$D:$AC, MATCH("Starship internal launches per year (Starlink-driven)", Starlink!$A$1:$A$205, 0), COLUMN()-COLUMN($D10)+1)</f>
        <v>1015</v>
      </c>
      <c r="Q10" s="70">
        <f t="array" aca="1" ref="Q10" ca="1">INDEX(Starlink!$D:$AC, MATCH("Starship internal launches per year (Starlink-driven)", Starlink!$A$1:$A$205, 0), COLUMN()-COLUMN($D10)+1)</f>
        <v>564</v>
      </c>
      <c r="R10" s="70">
        <f t="array" aca="1" ref="R10" ca="1">INDEX(Starlink!$D:$AC, MATCH("Starship internal launches per year (Starlink-driven)", Starlink!$A$1:$A$205, 0), COLUMN()-COLUMN($D10)+1)</f>
        <v>388</v>
      </c>
      <c r="S10" s="70">
        <f t="array" aca="1" ref="S10" ca="1">INDEX(Starlink!$D:$AC, MATCH("Starship internal launches per year (Starlink-driven)", Starlink!$A$1:$A$205, 0), COLUMN()-COLUMN($D10)+1)</f>
        <v>395</v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spans="1:29" x14ac:dyDescent="0.2">
      <c r="A11" s="22" t="s">
        <v>71</v>
      </c>
      <c r="B11" s="8"/>
      <c r="C11" s="8"/>
      <c r="D11" s="66">
        <f>INDEX(Assumptions!$B:$B, MATCH("F9 customer launch price ($mm/launch)", Assumptions!$A$1:$A$327, 0))</f>
        <v>54.8</v>
      </c>
      <c r="E11" s="66">
        <f>INDEX(Assumptions!$B:$B, MATCH("F9 customer launch price ($mm/launch)", Assumptions!$A$1:$A$327, 0))</f>
        <v>54.8</v>
      </c>
      <c r="F11" s="66">
        <f>INDEX(Assumptions!$B:$B, MATCH("F9 customer launch price ($mm/launch)", Assumptions!$A$1:$A$327, 0))</f>
        <v>54.8</v>
      </c>
      <c r="G11" s="66">
        <f>INDEX(Assumptions!$B:$B, MATCH("F9 customer launch price ($mm/launch)", Assumptions!$A$1:$A$327, 0))</f>
        <v>54.8</v>
      </c>
      <c r="H11" s="66">
        <f>INDEX(Assumptions!$B:$B, MATCH("F9 customer launch price ($mm/launch)", Assumptions!$A$1:$A$327, 0))</f>
        <v>54.8</v>
      </c>
      <c r="I11" s="66">
        <f>INDEX(Assumptions!$B:$B, MATCH("F9 customer launch price ($mm/launch)", Assumptions!$A$1:$A$327, 0))</f>
        <v>54.8</v>
      </c>
      <c r="J11" s="66">
        <f>INDEX(Assumptions!$B:$B, MATCH("F9 customer launch price ($mm/launch)", Assumptions!$A$1:$A$327, 0))</f>
        <v>54.8</v>
      </c>
      <c r="K11" s="66">
        <f>INDEX(Assumptions!$B:$B, MATCH("F9 customer launch price ($mm/launch)", Assumptions!$A$1:$A$327, 0))</f>
        <v>54.8</v>
      </c>
      <c r="L11" s="66">
        <f>INDEX(Assumptions!$B:$B, MATCH("F9 customer launch price ($mm/launch)", Assumptions!$A$1:$A$327, 0))</f>
        <v>54.8</v>
      </c>
      <c r="M11" s="66">
        <f>INDEX(Assumptions!$B:$B, MATCH("F9 customer launch price ($mm/launch)", Assumptions!$A$1:$A$327, 0))</f>
        <v>54.8</v>
      </c>
      <c r="N11" s="66">
        <f>INDEX(Assumptions!$B:$B, MATCH("F9 customer launch price ($mm/launch)", Assumptions!$A$1:$A$327, 0))</f>
        <v>54.8</v>
      </c>
      <c r="O11" s="66">
        <f>INDEX(Assumptions!$B:$B, MATCH("F9 customer launch price ($mm/launch)", Assumptions!$A$1:$A$327, 0))</f>
        <v>54.8</v>
      </c>
      <c r="P11" s="66">
        <f>INDEX(Assumptions!$B:$B, MATCH("F9 customer launch price ($mm/launch)", Assumptions!$A$1:$A$327, 0))</f>
        <v>54.8</v>
      </c>
      <c r="Q11" s="66">
        <f>INDEX(Assumptions!$B:$B, MATCH("F9 customer launch price ($mm/launch)", Assumptions!$A$1:$A$327, 0))</f>
        <v>54.8</v>
      </c>
      <c r="R11" s="66">
        <f>INDEX(Assumptions!$B:$B, MATCH("F9 customer launch price ($mm/launch)", Assumptions!$A$1:$A$327, 0))</f>
        <v>54.8</v>
      </c>
      <c r="S11" s="66">
        <f>INDEX(Assumptions!$B:$B, MATCH("F9 customer launch price ($mm/launch)", Assumptions!$A$1:$A$327, 0))</f>
        <v>54.8</v>
      </c>
      <c r="T11" s="73"/>
      <c r="U11" s="73"/>
      <c r="V11" s="73"/>
      <c r="W11" s="73"/>
      <c r="X11" s="73"/>
      <c r="Y11" s="73"/>
      <c r="Z11" s="73"/>
      <c r="AA11" s="73"/>
      <c r="AB11" s="73"/>
      <c r="AC11" s="73"/>
    </row>
    <row r="12" spans="1:29" x14ac:dyDescent="0.2">
      <c r="A12" s="22" t="s">
        <v>255</v>
      </c>
      <c r="B12" s="8"/>
      <c r="C12" s="8"/>
      <c r="D12" s="66" cm="1">
        <f t="array" ref="D12">INDEX(Assumptions!$D:$AC, MATCH("Starship customer launch price ($mm/launch): year-row", Assumptions!$A$1:$A$327, 0), COLUMN()-COLUMN($D12)+1)</f>
        <v>0</v>
      </c>
      <c r="E12" s="66" cm="1">
        <f t="array" ref="E12">INDEX(Assumptions!$D:$AC, MATCH("Starship customer launch price ($mm/launch): year-row", Assumptions!$A$1:$A$327, 0), COLUMN()-COLUMN($D12)+1)</f>
        <v>0</v>
      </c>
      <c r="F12" s="66" cm="1">
        <f t="array" ref="F12">INDEX(Assumptions!$D:$AC, MATCH("Starship customer launch price ($mm/launch): year-row", Assumptions!$A$1:$A$327, 0), COLUMN()-COLUMN($D12)+1)</f>
        <v>100</v>
      </c>
      <c r="G12" s="66" cm="1">
        <f t="array" ref="G12">INDEX(Assumptions!$D:$AC, MATCH("Starship customer launch price ($mm/launch): year-row", Assumptions!$A$1:$A$327, 0), COLUMN()-COLUMN($D12)+1)</f>
        <v>92</v>
      </c>
      <c r="H12" s="66" cm="1">
        <f t="array" ref="H12">INDEX(Assumptions!$D:$AC, MATCH("Starship customer launch price ($mm/launch): year-row", Assumptions!$A$1:$A$327, 0), COLUMN()-COLUMN($D12)+1)</f>
        <v>84.64</v>
      </c>
      <c r="I12" s="66" cm="1">
        <f t="array" ref="I12">INDEX(Assumptions!$D:$AC, MATCH("Starship customer launch price ($mm/launch): year-row", Assumptions!$A$1:$A$327, 0), COLUMN()-COLUMN($D12)+1)</f>
        <v>77.87</v>
      </c>
      <c r="J12" s="66" cm="1">
        <f t="array" ref="J12">INDEX(Assumptions!$D:$AC, MATCH("Starship customer launch price ($mm/launch): year-row", Assumptions!$A$1:$A$327, 0), COLUMN()-COLUMN($D12)+1)</f>
        <v>71.64</v>
      </c>
      <c r="K12" s="66" cm="1">
        <f t="array" ref="K12">INDEX(Assumptions!$D:$AC, MATCH("Starship customer launch price ($mm/launch): year-row", Assumptions!$A$1:$A$327, 0), COLUMN()-COLUMN($D12)+1)</f>
        <v>65.91</v>
      </c>
      <c r="L12" s="66" cm="1">
        <f t="array" ref="L12">INDEX(Assumptions!$D:$AC, MATCH("Starship customer launch price ($mm/launch): year-row", Assumptions!$A$1:$A$327, 0), COLUMN()-COLUMN($D12)+1)</f>
        <v>60.64</v>
      </c>
      <c r="M12" s="66" cm="1">
        <f t="array" ref="M12">INDEX(Assumptions!$D:$AC, MATCH("Starship customer launch price ($mm/launch): year-row", Assumptions!$A$1:$A$327, 0), COLUMN()-COLUMN($D12)+1)</f>
        <v>55.79</v>
      </c>
      <c r="N12" s="66" cm="1">
        <f t="array" ref="N12">INDEX(Assumptions!$D:$AC, MATCH("Starship customer launch price ($mm/launch): year-row", Assumptions!$A$1:$A$327, 0), COLUMN()-COLUMN($D12)+1)</f>
        <v>51.32</v>
      </c>
      <c r="O12" s="66" cm="1">
        <f t="array" ref="O12">INDEX(Assumptions!$D:$AC, MATCH("Starship customer launch price ($mm/launch): year-row", Assumptions!$A$1:$A$327, 0), COLUMN()-COLUMN($D12)+1)</f>
        <v>47.21</v>
      </c>
      <c r="P12" s="66" cm="1">
        <f t="array" ref="P12">INDEX(Assumptions!$D:$AC, MATCH("Starship customer launch price ($mm/launch): year-row", Assumptions!$A$1:$A$327, 0), COLUMN()-COLUMN($D12)+1)</f>
        <v>43.44</v>
      </c>
      <c r="Q12" s="66" cm="1">
        <f t="array" ref="Q12">INDEX(Assumptions!$D:$AC, MATCH("Starship customer launch price ($mm/launch): year-row", Assumptions!$A$1:$A$327, 0), COLUMN()-COLUMN($D12)+1)</f>
        <v>39.96</v>
      </c>
      <c r="R12" s="66" cm="1">
        <f t="array" ref="R12">INDEX(Assumptions!$D:$AC, MATCH("Starship customer launch price ($mm/launch): year-row", Assumptions!$A$1:$A$327, 0), COLUMN()-COLUMN($D12)+1)</f>
        <v>36.770000000000003</v>
      </c>
      <c r="S12" s="66" cm="1">
        <f t="array" ref="S12">INDEX(Assumptions!$D:$AC, MATCH("Starship customer launch price ($mm/launch): year-row", Assumptions!$A$1:$A$327, 0), COLUMN()-COLUMN($D12)+1)</f>
        <v>33.83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</row>
    <row r="13" spans="1:29" x14ac:dyDescent="0.2">
      <c r="A13" s="22" t="s">
        <v>593</v>
      </c>
      <c r="B13" s="8"/>
      <c r="C13" s="8"/>
      <c r="D13" s="66" cm="1">
        <f t="array" ref="D13">INDEX(Assumptions!$D:$AC, MATCH("Commercial launch market size ($mm/year): year-row", Assumptions!$A$1:$A$327, 0), COLUMN()-COLUMN($D13)+1)</f>
        <v>8000</v>
      </c>
      <c r="E13" s="66" cm="1">
        <f t="array" ref="E13">INDEX(Assumptions!$D:$AC, MATCH("Commercial launch market size ($mm/year): year-row", Assumptions!$A$1:$A$327, 0), COLUMN()-COLUMN($D13)+1)</f>
        <v>8640</v>
      </c>
      <c r="F13" s="66" cm="1">
        <f t="array" ref="F13">INDEX(Assumptions!$D:$AC, MATCH("Commercial launch market size ($mm/year): year-row", Assumptions!$A$1:$A$327, 0), COLUMN()-COLUMN($D13)+1)</f>
        <v>9331.2000000000007</v>
      </c>
      <c r="G13" s="66" cm="1">
        <f t="array" ref="G13">INDEX(Assumptions!$D:$AC, MATCH("Commercial launch market size ($mm/year): year-row", Assumptions!$A$1:$A$327, 0), COLUMN()-COLUMN($D13)+1)</f>
        <v>10077.700000000001</v>
      </c>
      <c r="H13" s="66" cm="1">
        <f t="array" ref="H13">INDEX(Assumptions!$D:$AC, MATCH("Commercial launch market size ($mm/year): year-row", Assumptions!$A$1:$A$327, 0), COLUMN()-COLUMN($D13)+1)</f>
        <v>10883.9</v>
      </c>
      <c r="I13" s="66" cm="1">
        <f t="array" ref="I13">INDEX(Assumptions!$D:$AC, MATCH("Commercial launch market size ($mm/year): year-row", Assumptions!$A$1:$A$327, 0), COLUMN()-COLUMN($D13)+1)</f>
        <v>11754.6</v>
      </c>
      <c r="J13" s="66" cm="1">
        <f t="array" ref="J13">INDEX(Assumptions!$D:$AC, MATCH("Commercial launch market size ($mm/year): year-row", Assumptions!$A$1:$A$327, 0), COLUMN()-COLUMN($D13)+1)</f>
        <v>12695</v>
      </c>
      <c r="K13" s="66" cm="1">
        <f t="array" ref="K13">INDEX(Assumptions!$D:$AC, MATCH("Commercial launch market size ($mm/year): year-row", Assumptions!$A$1:$A$327, 0), COLUMN()-COLUMN($D13)+1)</f>
        <v>13710.6</v>
      </c>
      <c r="L13" s="66" cm="1">
        <f t="array" ref="L13">INDEX(Assumptions!$D:$AC, MATCH("Commercial launch market size ($mm/year): year-row", Assumptions!$A$1:$A$327, 0), COLUMN()-COLUMN($D13)+1)</f>
        <v>14807.4</v>
      </c>
      <c r="M13" s="66" cm="1">
        <f t="array" ref="M13">INDEX(Assumptions!$D:$AC, MATCH("Commercial launch market size ($mm/year): year-row", Assumptions!$A$1:$A$327, 0), COLUMN()-COLUMN($D13)+1)</f>
        <v>15992</v>
      </c>
      <c r="N13" s="66" cm="1">
        <f t="array" ref="N13">INDEX(Assumptions!$D:$AC, MATCH("Commercial launch market size ($mm/year): year-row", Assumptions!$A$1:$A$327, 0), COLUMN()-COLUMN($D13)+1)</f>
        <v>17271.400000000001</v>
      </c>
      <c r="O13" s="66" cm="1">
        <f t="array" ref="O13">INDEX(Assumptions!$D:$AC, MATCH("Commercial launch market size ($mm/year): year-row", Assumptions!$A$1:$A$327, 0), COLUMN()-COLUMN($D13)+1)</f>
        <v>18653.099999999999</v>
      </c>
      <c r="P13" s="66" cm="1">
        <f t="array" ref="P13">INDEX(Assumptions!$D:$AC, MATCH("Commercial launch market size ($mm/year): year-row", Assumptions!$A$1:$A$327, 0), COLUMN()-COLUMN($D13)+1)</f>
        <v>20145.400000000001</v>
      </c>
      <c r="Q13" s="66" cm="1">
        <f t="array" ref="Q13">INDEX(Assumptions!$D:$AC, MATCH("Commercial launch market size ($mm/year): year-row", Assumptions!$A$1:$A$327, 0), COLUMN()-COLUMN($D13)+1)</f>
        <v>21757</v>
      </c>
      <c r="R13" s="66" cm="1">
        <f t="array" ref="R13">INDEX(Assumptions!$D:$AC, MATCH("Commercial launch market size ($mm/year): year-row", Assumptions!$A$1:$A$327, 0), COLUMN()-COLUMN($D13)+1)</f>
        <v>23497.5</v>
      </c>
      <c r="S13" s="66" cm="1">
        <f t="array" ref="S13">INDEX(Assumptions!$D:$AC, MATCH("Commercial launch market size ($mm/year): year-row", Assumptions!$A$1:$A$327, 0), COLUMN()-COLUMN($D13)+1)</f>
        <v>25377.4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</row>
    <row r="14" spans="1:29" x14ac:dyDescent="0.2">
      <c r="A14" s="22" t="s">
        <v>594</v>
      </c>
      <c r="B14" s="8"/>
      <c r="C14" s="8"/>
      <c r="D14" s="66" cm="1">
        <f t="array" ref="D14">INDEX(Assumptions!$D:$AC, MATCH("Government launch market size ($mm/year): year-row", Assumptions!$A$1:$A$327, 0), COLUMN()-COLUMN($D14)+1)</f>
        <v>4000</v>
      </c>
      <c r="E14" s="66" cm="1">
        <f t="array" ref="E14">INDEX(Assumptions!$D:$AC, MATCH("Government launch market size ($mm/year): year-row", Assumptions!$A$1:$A$327, 0), COLUMN()-COLUMN($D14)+1)</f>
        <v>4200</v>
      </c>
      <c r="F14" s="66" cm="1">
        <f t="array" ref="F14">INDEX(Assumptions!$D:$AC, MATCH("Government launch market size ($mm/year): year-row", Assumptions!$A$1:$A$327, 0), COLUMN()-COLUMN($D14)+1)</f>
        <v>4410</v>
      </c>
      <c r="G14" s="66" cm="1">
        <f t="array" ref="G14">INDEX(Assumptions!$D:$AC, MATCH("Government launch market size ($mm/year): year-row", Assumptions!$A$1:$A$327, 0), COLUMN()-COLUMN($D14)+1)</f>
        <v>4630.5</v>
      </c>
      <c r="H14" s="66" cm="1">
        <f t="array" ref="H14">INDEX(Assumptions!$D:$AC, MATCH("Government launch market size ($mm/year): year-row", Assumptions!$A$1:$A$327, 0), COLUMN()-COLUMN($D14)+1)</f>
        <v>4862.0200000000004</v>
      </c>
      <c r="I14" s="66" cm="1">
        <f t="array" ref="I14">INDEX(Assumptions!$D:$AC, MATCH("Government launch market size ($mm/year): year-row", Assumptions!$A$1:$A$327, 0), COLUMN()-COLUMN($D14)+1)</f>
        <v>5105.13</v>
      </c>
      <c r="J14" s="66" cm="1">
        <f t="array" ref="J14">INDEX(Assumptions!$D:$AC, MATCH("Government launch market size ($mm/year): year-row", Assumptions!$A$1:$A$327, 0), COLUMN()-COLUMN($D14)+1)</f>
        <v>5360.38</v>
      </c>
      <c r="K14" s="66" cm="1">
        <f t="array" ref="K14">INDEX(Assumptions!$D:$AC, MATCH("Government launch market size ($mm/year): year-row", Assumptions!$A$1:$A$327, 0), COLUMN()-COLUMN($D14)+1)</f>
        <v>5628.4</v>
      </c>
      <c r="L14" s="66" cm="1">
        <f t="array" ref="L14">INDEX(Assumptions!$D:$AC, MATCH("Government launch market size ($mm/year): year-row", Assumptions!$A$1:$A$327, 0), COLUMN()-COLUMN($D14)+1)</f>
        <v>5909.82</v>
      </c>
      <c r="M14" s="66" cm="1">
        <f t="array" ref="M14">INDEX(Assumptions!$D:$AC, MATCH("Government launch market size ($mm/year): year-row", Assumptions!$A$1:$A$327, 0), COLUMN()-COLUMN($D14)+1)</f>
        <v>6205.31</v>
      </c>
      <c r="N14" s="66" cm="1">
        <f t="array" ref="N14">INDEX(Assumptions!$D:$AC, MATCH("Government launch market size ($mm/year): year-row", Assumptions!$A$1:$A$327, 0), COLUMN()-COLUMN($D14)+1)</f>
        <v>6515.58</v>
      </c>
      <c r="O14" s="66" cm="1">
        <f t="array" ref="O14">INDEX(Assumptions!$D:$AC, MATCH("Government launch market size ($mm/year): year-row", Assumptions!$A$1:$A$327, 0), COLUMN()-COLUMN($D14)+1)</f>
        <v>6841.36</v>
      </c>
      <c r="P14" s="66" cm="1">
        <f t="array" ref="P14">INDEX(Assumptions!$D:$AC, MATCH("Government launch market size ($mm/year): year-row", Assumptions!$A$1:$A$327, 0), COLUMN()-COLUMN($D14)+1)</f>
        <v>7183.43</v>
      </c>
      <c r="Q14" s="66" cm="1">
        <f t="array" ref="Q14">INDEX(Assumptions!$D:$AC, MATCH("Government launch market size ($mm/year): year-row", Assumptions!$A$1:$A$327, 0), COLUMN()-COLUMN($D14)+1)</f>
        <v>7542.6</v>
      </c>
      <c r="R14" s="66" cm="1">
        <f t="array" ref="R14">INDEX(Assumptions!$D:$AC, MATCH("Government launch market size ($mm/year): year-row", Assumptions!$A$1:$A$327, 0), COLUMN()-COLUMN($D14)+1)</f>
        <v>7919.73</v>
      </c>
      <c r="S14" s="66" cm="1">
        <f t="array" ref="S14">INDEX(Assumptions!$D:$AC, MATCH("Government launch market size ($mm/year): year-row", Assumptions!$A$1:$A$327, 0), COLUMN()-COLUMN($D14)+1)</f>
        <v>8315.7099999999991</v>
      </c>
      <c r="T14" s="73"/>
      <c r="U14" s="73"/>
      <c r="V14" s="73"/>
      <c r="W14" s="73"/>
      <c r="X14" s="73"/>
      <c r="Y14" s="73"/>
      <c r="Z14" s="73"/>
      <c r="AA14" s="73"/>
      <c r="AB14" s="73"/>
      <c r="AC14" s="73"/>
    </row>
    <row r="15" spans="1:29" x14ac:dyDescent="0.2">
      <c r="A15" s="22" t="s">
        <v>595</v>
      </c>
      <c r="B15" s="8"/>
      <c r="C15" s="8"/>
      <c r="D15" s="37">
        <f t="array" ref="D15">INDEX(Assumptions!$D:$AC, MATCH("SpaceX commercial market share %", Assumptions!$A$1:$A$327, 0), COLUMN()-COLUMN($D15)+1)</f>
        <v>0.75</v>
      </c>
      <c r="E15" s="37">
        <f t="array" ref="E15">INDEX(Assumptions!$D:$AC, MATCH("SpaceX commercial market share %", Assumptions!$A$1:$A$327, 0), COLUMN()-COLUMN($D15)+1)</f>
        <v>0.75329999999999997</v>
      </c>
      <c r="F15" s="37">
        <f t="array" ref="F15">INDEX(Assumptions!$D:$AC, MATCH("SpaceX commercial market share %", Assumptions!$A$1:$A$327, 0), COLUMN()-COLUMN($D15)+1)</f>
        <v>0.75670000000000004</v>
      </c>
      <c r="G15" s="37">
        <f t="array" ref="G15">INDEX(Assumptions!$D:$AC, MATCH("SpaceX commercial market share %", Assumptions!$A$1:$A$327, 0), COLUMN()-COLUMN($D15)+1)</f>
        <v>0.76</v>
      </c>
      <c r="H15" s="37">
        <f t="array" ref="H15">INDEX(Assumptions!$D:$AC, MATCH("SpaceX commercial market share %", Assumptions!$A$1:$A$327, 0), COLUMN()-COLUMN($D15)+1)</f>
        <v>0.76329999999999998</v>
      </c>
      <c r="I15" s="37">
        <f t="array" ref="I15">INDEX(Assumptions!$D:$AC, MATCH("SpaceX commercial market share %", Assumptions!$A$1:$A$327, 0), COLUMN()-COLUMN($D15)+1)</f>
        <v>0.76670000000000005</v>
      </c>
      <c r="J15" s="37">
        <f t="array" ref="J15">INDEX(Assumptions!$D:$AC, MATCH("SpaceX commercial market share %", Assumptions!$A$1:$A$327, 0), COLUMN()-COLUMN($D15)+1)</f>
        <v>0.77</v>
      </c>
      <c r="K15" s="37">
        <f t="array" ref="K15">INDEX(Assumptions!$D:$AC, MATCH("SpaceX commercial market share %", Assumptions!$A$1:$A$327, 0), COLUMN()-COLUMN($D15)+1)</f>
        <v>0.77329999999999999</v>
      </c>
      <c r="L15" s="37">
        <f t="array" ref="L15">INDEX(Assumptions!$D:$AC, MATCH("SpaceX commercial market share %", Assumptions!$A$1:$A$327, 0), COLUMN()-COLUMN($D15)+1)</f>
        <v>0.77669999999999995</v>
      </c>
      <c r="M15" s="37">
        <f t="array" ref="M15">INDEX(Assumptions!$D:$AC, MATCH("SpaceX commercial market share %", Assumptions!$A$1:$A$327, 0), COLUMN()-COLUMN($D15)+1)</f>
        <v>0.78</v>
      </c>
      <c r="N15" s="37">
        <f t="array" ref="N15">INDEX(Assumptions!$D:$AC, MATCH("SpaceX commercial market share %", Assumptions!$A$1:$A$327, 0), COLUMN()-COLUMN($D15)+1)</f>
        <v>0.7833</v>
      </c>
      <c r="O15" s="37">
        <f t="array" ref="O15">INDEX(Assumptions!$D:$AC, MATCH("SpaceX commercial market share %", Assumptions!$A$1:$A$327, 0), COLUMN()-COLUMN($D15)+1)</f>
        <v>0.78669999999999995</v>
      </c>
      <c r="P15" s="37">
        <f t="array" ref="P15">INDEX(Assumptions!$D:$AC, MATCH("SpaceX commercial market share %", Assumptions!$A$1:$A$327, 0), COLUMN()-COLUMN($D15)+1)</f>
        <v>0.79</v>
      </c>
      <c r="Q15" s="37">
        <f t="array" ref="Q15">INDEX(Assumptions!$D:$AC, MATCH("SpaceX commercial market share %", Assumptions!$A$1:$A$327, 0), COLUMN()-COLUMN($D15)+1)</f>
        <v>0.79330000000000001</v>
      </c>
      <c r="R15" s="37">
        <f t="array" ref="R15">INDEX(Assumptions!$D:$AC, MATCH("SpaceX commercial market share %", Assumptions!$A$1:$A$327, 0), COLUMN()-COLUMN($D15)+1)</f>
        <v>0.79669999999999996</v>
      </c>
      <c r="S15" s="37">
        <f t="array" ref="S15">INDEX(Assumptions!$D:$AC, MATCH("SpaceX commercial market share %", Assumptions!$A$1:$A$327, 0), COLUMN()-COLUMN($D15)+1)</f>
        <v>0.8</v>
      </c>
      <c r="T15" s="92"/>
      <c r="U15" s="92"/>
      <c r="V15" s="92"/>
      <c r="W15" s="92"/>
      <c r="X15" s="92"/>
      <c r="Y15" s="92"/>
      <c r="Z15" s="92"/>
      <c r="AA15" s="92"/>
      <c r="AB15" s="92"/>
      <c r="AC15" s="92"/>
    </row>
    <row r="16" spans="1:29" x14ac:dyDescent="0.2">
      <c r="A16" s="22" t="s">
        <v>596</v>
      </c>
      <c r="B16" s="8"/>
      <c r="C16" s="8"/>
      <c r="D16" s="37">
        <f t="array" ref="D16">INDEX(Assumptions!$D:$AC, MATCH("SpaceX government market share %", Assumptions!$A$1:$A$327, 0), COLUMN()-COLUMN($D16)+1)</f>
        <v>0.9</v>
      </c>
      <c r="E16" s="37">
        <f t="array" ref="E16">INDEX(Assumptions!$D:$AC, MATCH("SpaceX government market share %", Assumptions!$A$1:$A$327, 0), COLUMN()-COLUMN($D16)+1)</f>
        <v>0.89329999999999998</v>
      </c>
      <c r="F16" s="37">
        <f t="array" ref="F16">INDEX(Assumptions!$D:$AC, MATCH("SpaceX government market share %", Assumptions!$A$1:$A$327, 0), COLUMN()-COLUMN($D16)+1)</f>
        <v>0.88670000000000004</v>
      </c>
      <c r="G16" s="37">
        <f t="array" ref="G16">INDEX(Assumptions!$D:$AC, MATCH("SpaceX government market share %", Assumptions!$A$1:$A$327, 0), COLUMN()-COLUMN($D16)+1)</f>
        <v>0.88</v>
      </c>
      <c r="H16" s="37">
        <f t="array" ref="H16">INDEX(Assumptions!$D:$AC, MATCH("SpaceX government market share %", Assumptions!$A$1:$A$327, 0), COLUMN()-COLUMN($D16)+1)</f>
        <v>0.87329999999999997</v>
      </c>
      <c r="I16" s="37">
        <f t="array" ref="I16">INDEX(Assumptions!$D:$AC, MATCH("SpaceX government market share %", Assumptions!$A$1:$A$327, 0), COLUMN()-COLUMN($D16)+1)</f>
        <v>0.86670000000000003</v>
      </c>
      <c r="J16" s="37">
        <f t="array" ref="J16">INDEX(Assumptions!$D:$AC, MATCH("SpaceX government market share %", Assumptions!$A$1:$A$327, 0), COLUMN()-COLUMN($D16)+1)</f>
        <v>0.86</v>
      </c>
      <c r="K16" s="37">
        <f t="array" ref="K16">INDEX(Assumptions!$D:$AC, MATCH("SpaceX government market share %", Assumptions!$A$1:$A$327, 0), COLUMN()-COLUMN($D16)+1)</f>
        <v>0.85329999999999995</v>
      </c>
      <c r="L16" s="37">
        <f t="array" ref="L16">INDEX(Assumptions!$D:$AC, MATCH("SpaceX government market share %", Assumptions!$A$1:$A$327, 0), COLUMN()-COLUMN($D16)+1)</f>
        <v>0.84670000000000001</v>
      </c>
      <c r="M16" s="37">
        <f t="array" ref="M16">INDEX(Assumptions!$D:$AC, MATCH("SpaceX government market share %", Assumptions!$A$1:$A$327, 0), COLUMN()-COLUMN($D16)+1)</f>
        <v>0.84</v>
      </c>
      <c r="N16" s="37">
        <f t="array" ref="N16">INDEX(Assumptions!$D:$AC, MATCH("SpaceX government market share %", Assumptions!$A$1:$A$327, 0), COLUMN()-COLUMN($D16)+1)</f>
        <v>0.83330000000000004</v>
      </c>
      <c r="O16" s="37">
        <f t="array" ref="O16">INDEX(Assumptions!$D:$AC, MATCH("SpaceX government market share %", Assumptions!$A$1:$A$327, 0), COLUMN()-COLUMN($D16)+1)</f>
        <v>0.82669999999999999</v>
      </c>
      <c r="P16" s="37">
        <f t="array" ref="P16">INDEX(Assumptions!$D:$AC, MATCH("SpaceX government market share %", Assumptions!$A$1:$A$327, 0), COLUMN()-COLUMN($D16)+1)</f>
        <v>0.82</v>
      </c>
      <c r="Q16" s="37">
        <f t="array" ref="Q16">INDEX(Assumptions!$D:$AC, MATCH("SpaceX government market share %", Assumptions!$A$1:$A$327, 0), COLUMN()-COLUMN($D16)+1)</f>
        <v>0.81330000000000002</v>
      </c>
      <c r="R16" s="37">
        <f t="array" ref="R16">INDEX(Assumptions!$D:$AC, MATCH("SpaceX government market share %", Assumptions!$A$1:$A$327, 0), COLUMN()-COLUMN($D16)+1)</f>
        <v>0.80669999999999997</v>
      </c>
      <c r="S16" s="37">
        <f t="array" ref="S16">INDEX(Assumptions!$D:$AC, MATCH("SpaceX government market share %", Assumptions!$A$1:$A$327, 0), COLUMN()-COLUMN($D16)+1)</f>
        <v>0.8</v>
      </c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 spans="1:29" x14ac:dyDescent="0.2">
      <c r="A17" s="22" t="s">
        <v>597</v>
      </c>
      <c r="B17" s="8"/>
      <c r="C17" s="8"/>
      <c r="D17" s="66" cm="1">
        <f t="array" ref="D17">INDEX(Assumptions!$D:$AC, MATCH("Launch &amp; Development revenue ($mm/yr): year-row", Assumptions!$A$1:$A$327, 0), COLUMN()-COLUMN($D17)+1)</f>
        <v>1510</v>
      </c>
      <c r="E17" s="66" cm="1">
        <f t="array" ref="E17">INDEX(Assumptions!$D:$AC, MATCH("Launch &amp; Development revenue ($mm/yr): year-row", Assumptions!$A$1:$A$327, 0), COLUMN()-COLUMN($D17)+1)</f>
        <v>1585.5</v>
      </c>
      <c r="F17" s="66" cm="1">
        <f t="array" ref="F17">INDEX(Assumptions!$D:$AC, MATCH("Launch &amp; Development revenue ($mm/yr): year-row", Assumptions!$A$1:$A$327, 0), COLUMN()-COLUMN($D17)+1)</f>
        <v>1664.7750000000001</v>
      </c>
      <c r="G17" s="66" cm="1">
        <f t="array" ref="G17">INDEX(Assumptions!$D:$AC, MATCH("Launch &amp; Development revenue ($mm/yr): year-row", Assumptions!$A$1:$A$327, 0), COLUMN()-COLUMN($D17)+1)</f>
        <v>1748.0137500000003</v>
      </c>
      <c r="H17" s="66" cm="1">
        <f t="array" ref="H17">INDEX(Assumptions!$D:$AC, MATCH("Launch &amp; Development revenue ($mm/yr): year-row", Assumptions!$A$1:$A$327, 0), COLUMN()-COLUMN($D17)+1)</f>
        <v>1835.4144375000001</v>
      </c>
      <c r="I17" s="66" cm="1">
        <f t="array" ref="I17">INDEX(Assumptions!$D:$AC, MATCH("Launch &amp; Development revenue ($mm/yr): year-row", Assumptions!$A$1:$A$327, 0), COLUMN()-COLUMN($D17)+1)</f>
        <v>1927.1851593750002</v>
      </c>
      <c r="J17" s="66" cm="1">
        <f t="array" ref="J17">INDEX(Assumptions!$D:$AC, MATCH("Launch &amp; Development revenue ($mm/yr): year-row", Assumptions!$A$1:$A$327, 0), COLUMN()-COLUMN($D17)+1)</f>
        <v>2023.54441734375</v>
      </c>
      <c r="K17" s="66" cm="1">
        <f t="array" ref="K17">INDEX(Assumptions!$D:$AC, MATCH("Launch &amp; Development revenue ($mm/yr): year-row", Assumptions!$A$1:$A$327, 0), COLUMN()-COLUMN($D17)+1)</f>
        <v>2124.7216382109377</v>
      </c>
      <c r="L17" s="66" cm="1">
        <f t="array" ref="L17">INDEX(Assumptions!$D:$AC, MATCH("Launch &amp; Development revenue ($mm/yr): year-row", Assumptions!$A$1:$A$327, 0), COLUMN()-COLUMN($D17)+1)</f>
        <v>2230.9577201214843</v>
      </c>
      <c r="M17" s="66" cm="1">
        <f t="array" ref="M17">INDEX(Assumptions!$D:$AC, MATCH("Launch &amp; Development revenue ($mm/yr): year-row", Assumptions!$A$1:$A$327, 0), COLUMN()-COLUMN($D17)+1)</f>
        <v>2342.5056061275586</v>
      </c>
      <c r="N17" s="66" cm="1">
        <f t="array" ref="N17">INDEX(Assumptions!$D:$AC, MATCH("Launch &amp; Development revenue ($mm/yr): year-row", Assumptions!$A$1:$A$327, 0), COLUMN()-COLUMN($D17)+1)</f>
        <v>2459.6308864339367</v>
      </c>
      <c r="O17" s="66" cm="1">
        <f t="array" ref="O17">INDEX(Assumptions!$D:$AC, MATCH("Launch &amp; Development revenue ($mm/yr): year-row", Assumptions!$A$1:$A$327, 0), COLUMN()-COLUMN($D17)+1)</f>
        <v>2582.6124307556338</v>
      </c>
      <c r="P17" s="66" cm="1">
        <f t="array" ref="P17">INDEX(Assumptions!$D:$AC, MATCH("Launch &amp; Development revenue ($mm/yr): year-row", Assumptions!$A$1:$A$327, 0), COLUMN()-COLUMN($D17)+1)</f>
        <v>2711.7430522934151</v>
      </c>
      <c r="Q17" s="66" cm="1">
        <f t="array" ref="Q17">INDEX(Assumptions!$D:$AC, MATCH("Launch &amp; Development revenue ($mm/yr): year-row", Assumptions!$A$1:$A$327, 0), COLUMN()-COLUMN($D17)+1)</f>
        <v>2847.3302049080862</v>
      </c>
      <c r="R17" s="66" cm="1">
        <f t="array" ref="R17">INDEX(Assumptions!$D:$AC, MATCH("Launch &amp; Development revenue ($mm/yr): year-row", Assumptions!$A$1:$A$327, 0), COLUMN()-COLUMN($D17)+1)</f>
        <v>2989.69671515349</v>
      </c>
      <c r="S17" s="66" cm="1">
        <f t="array" ref="S17">INDEX(Assumptions!$D:$AC, MATCH("Launch &amp; Development revenue ($mm/yr): year-row", Assumptions!$A$1:$A$327, 0), COLUMN()-COLUMN($D17)+1)</f>
        <v>3139.1815509111657</v>
      </c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29" x14ac:dyDescent="0.2">
      <c r="A18" s="22" t="s">
        <v>598</v>
      </c>
      <c r="B18" s="8"/>
      <c r="C18" s="8"/>
      <c r="D18" s="59" cm="1">
        <f t="array" ref="D18">INDEX(Assumptions!$D:$AC, MATCH("Starship commercial-readiness factor: year-row", Assumptions!$A$1:$A$327, 0), COLUMN()-COLUMN($D18)+1)</f>
        <v>0</v>
      </c>
      <c r="E18" s="59" cm="1">
        <f t="array" ref="E18">INDEX(Assumptions!$D:$AC, MATCH("Starship commercial-readiness factor: year-row", Assumptions!$A$1:$A$327, 0), COLUMN()-COLUMN($D18)+1)</f>
        <v>0</v>
      </c>
      <c r="F18" s="59" cm="1">
        <f t="array" ref="F18">INDEX(Assumptions!$D:$AC, MATCH("Starship commercial-readiness factor: year-row", Assumptions!$A$1:$A$327, 0), COLUMN()-COLUMN($D18)+1)</f>
        <v>0</v>
      </c>
      <c r="G18" s="59" cm="1">
        <f t="array" ref="G18">INDEX(Assumptions!$D:$AC, MATCH("Starship commercial-readiness factor: year-row", Assumptions!$A$1:$A$327, 0), COLUMN()-COLUMN($D18)+1)</f>
        <v>7.5858180021243546E-2</v>
      </c>
      <c r="H18" s="59" cm="1">
        <f t="array" ref="H18">INDEX(Assumptions!$D:$AC, MATCH("Starship commercial-readiness factor: year-row", Assumptions!$A$1:$A$327, 0), COLUMN()-COLUMN($D18)+1)</f>
        <v>0.18242552380635635</v>
      </c>
      <c r="I18" s="59" cm="1">
        <f t="array" ref="I18">INDEX(Assumptions!$D:$AC, MATCH("Starship commercial-readiness factor: year-row", Assumptions!$A$1:$A$327, 0), COLUMN()-COLUMN($D18)+1)</f>
        <v>0.37754066879814541</v>
      </c>
      <c r="J18" s="59" cm="1">
        <f t="array" ref="J18">INDEX(Assumptions!$D:$AC, MATCH("Starship commercial-readiness factor: year-row", Assumptions!$A$1:$A$327, 0), COLUMN()-COLUMN($D18)+1)</f>
        <v>0.62245933120185459</v>
      </c>
      <c r="K18" s="59" cm="1">
        <f t="array" ref="K18">INDEX(Assumptions!$D:$AC, MATCH("Starship commercial-readiness factor: year-row", Assumptions!$A$1:$A$327, 0), COLUMN()-COLUMN($D18)+1)</f>
        <v>0.81757447619364365</v>
      </c>
      <c r="L18" s="59" cm="1">
        <f t="array" ref="L18">INDEX(Assumptions!$D:$AC, MATCH("Starship commercial-readiness factor: year-row", Assumptions!$A$1:$A$327, 0), COLUMN()-COLUMN($D18)+1)</f>
        <v>0.92414181997875655</v>
      </c>
      <c r="M18" s="59" cm="1">
        <f t="array" ref="M18">INDEX(Assumptions!$D:$AC, MATCH("Starship commercial-readiness factor: year-row", Assumptions!$A$1:$A$327, 0), COLUMN()-COLUMN($D18)+1)</f>
        <v>0.97068776924864364</v>
      </c>
      <c r="N18" s="59" cm="1">
        <f t="array" ref="N18">INDEX(Assumptions!$D:$AC, MATCH("Starship commercial-readiness factor: year-row", Assumptions!$A$1:$A$327, 0), COLUMN()-COLUMN($D18)+1)</f>
        <v>0.98901305736940681</v>
      </c>
      <c r="O18" s="59" cm="1">
        <f t="array" ref="O18">INDEX(Assumptions!$D:$AC, MATCH("Starship commercial-readiness factor: year-row", Assumptions!$A$1:$A$327, 0), COLUMN()-COLUMN($D18)+1)</f>
        <v>0.99592986228410396</v>
      </c>
      <c r="P18" s="59" cm="1">
        <f t="array" ref="P18">INDEX(Assumptions!$D:$AC, MATCH("Starship commercial-readiness factor: year-row", Assumptions!$A$1:$A$327, 0), COLUMN()-COLUMN($D18)+1)</f>
        <v>0.99849881774326299</v>
      </c>
      <c r="Q18" s="59" cm="1">
        <f t="array" ref="Q18">INDEX(Assumptions!$D:$AC, MATCH("Starship commercial-readiness factor: year-row", Assumptions!$A$1:$A$327, 0), COLUMN()-COLUMN($D18)+1)</f>
        <v>0.9994472213630764</v>
      </c>
      <c r="R18" s="59" cm="1">
        <f t="array" ref="R18">INDEX(Assumptions!$D:$AC, MATCH("Starship commercial-readiness factor: year-row", Assumptions!$A$1:$A$327, 0), COLUMN()-COLUMN($D18)+1)</f>
        <v>0.9997965730219448</v>
      </c>
      <c r="S18" s="59" cm="1">
        <f t="array" ref="S18">INDEX(Assumptions!$D:$AC, MATCH("Starship commercial-readiness factor: year-row", Assumptions!$A$1:$A$327, 0), COLUMN()-COLUMN($D18)+1)</f>
        <v>0.99992515377248947</v>
      </c>
      <c r="T18" s="59"/>
      <c r="U18" s="59"/>
      <c r="V18" s="59"/>
      <c r="W18" s="59"/>
      <c r="X18" s="59"/>
      <c r="Y18" s="59"/>
      <c r="Z18" s="59"/>
      <c r="AA18" s="59"/>
      <c r="AB18" s="59"/>
      <c r="AC18" s="59"/>
    </row>
    <row r="19" spans="1:29" x14ac:dyDescent="0.2">
      <c r="A19" s="22" t="s">
        <v>247</v>
      </c>
      <c r="B19" s="8"/>
      <c r="C19" s="8"/>
      <c r="D19" s="66">
        <f>INDEX(Assumptions!$B:$B, MATCH("F9 at-cost rate per launch ($mm)", Assumptions!$A$1:$A$327, 0))</f>
        <v>20</v>
      </c>
      <c r="E19" s="66">
        <f>INDEX(Assumptions!$B:$B, MATCH("F9 at-cost rate per launch ($mm)", Assumptions!$A$1:$A$327, 0))</f>
        <v>20</v>
      </c>
      <c r="F19" s="66">
        <f>INDEX(Assumptions!$B:$B, MATCH("F9 at-cost rate per launch ($mm)", Assumptions!$A$1:$A$327, 0))</f>
        <v>20</v>
      </c>
      <c r="G19" s="66">
        <f>INDEX(Assumptions!$B:$B, MATCH("F9 at-cost rate per launch ($mm)", Assumptions!$A$1:$A$327, 0))</f>
        <v>20</v>
      </c>
      <c r="H19" s="66">
        <f>INDEX(Assumptions!$B:$B, MATCH("F9 at-cost rate per launch ($mm)", Assumptions!$A$1:$A$327, 0))</f>
        <v>20</v>
      </c>
      <c r="I19" s="66">
        <f>INDEX(Assumptions!$B:$B, MATCH("F9 at-cost rate per launch ($mm)", Assumptions!$A$1:$A$327, 0))</f>
        <v>20</v>
      </c>
      <c r="J19" s="66">
        <f>INDEX(Assumptions!$B:$B, MATCH("F9 at-cost rate per launch ($mm)", Assumptions!$A$1:$A$327, 0))</f>
        <v>20</v>
      </c>
      <c r="K19" s="66">
        <f>INDEX(Assumptions!$B:$B, MATCH("F9 at-cost rate per launch ($mm)", Assumptions!$A$1:$A$327, 0))</f>
        <v>20</v>
      </c>
      <c r="L19" s="66">
        <f>INDEX(Assumptions!$B:$B, MATCH("F9 at-cost rate per launch ($mm)", Assumptions!$A$1:$A$327, 0))</f>
        <v>20</v>
      </c>
      <c r="M19" s="66">
        <f>INDEX(Assumptions!$B:$B, MATCH("F9 at-cost rate per launch ($mm)", Assumptions!$A$1:$A$327, 0))</f>
        <v>20</v>
      </c>
      <c r="N19" s="66">
        <f>INDEX(Assumptions!$B:$B, MATCH("F9 at-cost rate per launch ($mm)", Assumptions!$A$1:$A$327, 0))</f>
        <v>20</v>
      </c>
      <c r="O19" s="66">
        <f>INDEX(Assumptions!$B:$B, MATCH("F9 at-cost rate per launch ($mm)", Assumptions!$A$1:$A$327, 0))</f>
        <v>20</v>
      </c>
      <c r="P19" s="66">
        <f>INDEX(Assumptions!$B:$B, MATCH("F9 at-cost rate per launch ($mm)", Assumptions!$A$1:$A$327, 0))</f>
        <v>20</v>
      </c>
      <c r="Q19" s="66">
        <f>INDEX(Assumptions!$B:$B, MATCH("F9 at-cost rate per launch ($mm)", Assumptions!$A$1:$A$327, 0))</f>
        <v>20</v>
      </c>
      <c r="R19" s="66">
        <f>INDEX(Assumptions!$B:$B, MATCH("F9 at-cost rate per launch ($mm)", Assumptions!$A$1:$A$327, 0))</f>
        <v>20</v>
      </c>
      <c r="S19" s="66">
        <f>INDEX(Assumptions!$B:$B, MATCH("F9 at-cost rate per launch ($mm)", Assumptions!$A$1:$A$327, 0))</f>
        <v>20</v>
      </c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29" x14ac:dyDescent="0.2">
      <c r="A20" s="22" t="s">
        <v>248</v>
      </c>
      <c r="B20" s="8"/>
      <c r="C20" s="8"/>
      <c r="D20" s="70">
        <f t="array" aca="1" ref="D20" ca="1">INDEX('Vehicle Build'!$D:$AC,MATCH("Starship at-cost rate, fully reusable ($mm/launch)",'Vehicle Build'!$A$1:$A$119,0),D$5+1)</f>
        <v>18.192564285070283</v>
      </c>
      <c r="E20" s="70">
        <f t="array" aca="1" ref="E20" ca="1">INDEX('Vehicle Build'!$D:$AC,MATCH("Starship at-cost rate, fully reusable ($mm/launch)",'Vehicle Build'!$A$1:$A$119,0),E$5+1)</f>
        <v>14.499423754028511</v>
      </c>
      <c r="F20" s="70">
        <f t="array" aca="1" ref="F20" ca="1">INDEX('Vehicle Build'!$D:$AC,MATCH("Starship at-cost rate, fully reusable ($mm/launch)",'Vehicle Build'!$A$1:$A$119,0),F$5+1)</f>
        <v>11.804892604145198</v>
      </c>
      <c r="G20" s="70">
        <f t="array" aca="1" ref="G20" ca="1">INDEX('Vehicle Build'!$D:$AC,MATCH("Starship at-cost rate, fully reusable ($mm/launch)",'Vehicle Build'!$A$1:$A$119,0),G$5+1)</f>
        <v>9.9704187366340875</v>
      </c>
      <c r="H20" s="70">
        <f t="array" aca="1" ref="H20" ca="1">INDEX('Vehicle Build'!$D:$AC,MATCH("Starship at-cost rate, fully reusable ($mm/launch)",'Vehicle Build'!$A$1:$A$119,0),H$5+1)</f>
        <v>8.8283342988931413</v>
      </c>
      <c r="I20" s="70">
        <f t="array" aca="1" ref="I20" ca="1">INDEX('Vehicle Build'!$D:$AC,MATCH("Starship at-cost rate, fully reusable ($mm/launch)",'Vehicle Build'!$A$1:$A$119,0),I$5+1)</f>
        <v>8.1203650367351585</v>
      </c>
      <c r="J20" s="70">
        <f t="array" aca="1" ref="J20" ca="1">INDEX('Vehicle Build'!$D:$AC,MATCH("Starship at-cost rate, fully reusable ($mm/launch)",'Vehicle Build'!$A$1:$A$119,0),J$5+1)</f>
        <v>7.5835393237515065</v>
      </c>
      <c r="K20" s="70">
        <f t="array" aca="1" ref="K20" ca="1">INDEX('Vehicle Build'!$D:$AC,MATCH("Starship at-cost rate, fully reusable ($mm/launch)",'Vehicle Build'!$A$1:$A$119,0),K$5+1)</f>
        <v>7.13549686064413</v>
      </c>
      <c r="L20" s="70">
        <f t="array" aca="1" ref="L20" ca="1">INDEX('Vehicle Build'!$D:$AC,MATCH("Starship at-cost rate, fully reusable ($mm/launch)",'Vehicle Build'!$A$1:$A$119,0),L$5+1)</f>
        <v>6.8216488030609037</v>
      </c>
      <c r="M20" s="70">
        <f t="array" aca="1" ref="M20" ca="1">INDEX('Vehicle Build'!$D:$AC,MATCH("Starship at-cost rate, fully reusable ($mm/launch)",'Vehicle Build'!$A$1:$A$119,0),M$5+1)</f>
        <v>6.7019498396911681</v>
      </c>
      <c r="N20" s="70">
        <f t="array" aca="1" ref="N20" ca="1">INDEX('Vehicle Build'!$D:$AC,MATCH("Starship at-cost rate, fully reusable ($mm/launch)",'Vehicle Build'!$A$1:$A$119,0),N$5+1)</f>
        <v>6.5756664039789481</v>
      </c>
      <c r="O20" s="70">
        <f t="array" aca="1" ref="O20" ca="1">INDEX('Vehicle Build'!$D:$AC,MATCH("Starship at-cost rate, fully reusable ($mm/launch)",'Vehicle Build'!$A$1:$A$119,0),O$5+1)</f>
        <v>6.4555531137210274</v>
      </c>
      <c r="P20" s="70">
        <f t="array" aca="1" ref="P20" ca="1">INDEX('Vehicle Build'!$D:$AC,MATCH("Starship at-cost rate, fully reusable ($mm/launch)",'Vehicle Build'!$A$1:$A$119,0),P$5+1)</f>
        <v>6.3793324042162078</v>
      </c>
      <c r="Q20" s="70">
        <f t="array" aca="1" ref="Q20" ca="1">INDEX('Vehicle Build'!$D:$AC,MATCH("Starship at-cost rate, fully reusable ($mm/launch)",'Vehicle Build'!$A$1:$A$119,0),Q$5+1)</f>
        <v>6.3416409270733691</v>
      </c>
      <c r="R20" s="70">
        <f t="array" aca="1" ref="R20" ca="1">INDEX('Vehicle Build'!$D:$AC,MATCH("Starship at-cost rate, fully reusable ($mm/launch)",'Vehicle Build'!$A$1:$A$119,0),R$5+1)</f>
        <v>6.24714496335808</v>
      </c>
      <c r="S20" s="70">
        <f t="array" aca="1" ref="S20" ca="1">INDEX('Vehicle Build'!$D:$AC,MATCH("Starship at-cost rate, fully reusable ($mm/launch)",'Vehicle Build'!$A$1:$A$119,0),S$5+1)</f>
        <v>6.15858460623223</v>
      </c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29" x14ac:dyDescent="0.2">
      <c r="A21" s="22" t="s">
        <v>599</v>
      </c>
      <c r="B21" s="8"/>
      <c r="C21" s="8"/>
      <c r="D21" s="66">
        <f>INDEX(Assumptions!$B:$B, MATCH("F9 booster (1st stage) mfg cost ($mm/unit)", Assumptions!$A$1:$A$327, 0))</f>
        <v>30</v>
      </c>
      <c r="E21" s="66">
        <f>INDEX(Assumptions!$B:$B, MATCH("F9 booster (1st stage) mfg cost ($mm/unit)", Assumptions!$A$1:$A$327, 0))</f>
        <v>30</v>
      </c>
      <c r="F21" s="66">
        <f>INDEX(Assumptions!$B:$B, MATCH("F9 booster (1st stage) mfg cost ($mm/unit)", Assumptions!$A$1:$A$327, 0))</f>
        <v>30</v>
      </c>
      <c r="G21" s="66">
        <f>INDEX(Assumptions!$B:$B, MATCH("F9 booster (1st stage) mfg cost ($mm/unit)", Assumptions!$A$1:$A$327, 0))</f>
        <v>30</v>
      </c>
      <c r="H21" s="66">
        <f>INDEX(Assumptions!$B:$B, MATCH("F9 booster (1st stage) mfg cost ($mm/unit)", Assumptions!$A$1:$A$327, 0))</f>
        <v>30</v>
      </c>
      <c r="I21" s="66">
        <f>INDEX(Assumptions!$B:$B, MATCH("F9 booster (1st stage) mfg cost ($mm/unit)", Assumptions!$A$1:$A$327, 0))</f>
        <v>30</v>
      </c>
      <c r="J21" s="66">
        <f>INDEX(Assumptions!$B:$B, MATCH("F9 booster (1st stage) mfg cost ($mm/unit)", Assumptions!$A$1:$A$327, 0))</f>
        <v>30</v>
      </c>
      <c r="K21" s="66">
        <f>INDEX(Assumptions!$B:$B, MATCH("F9 booster (1st stage) mfg cost ($mm/unit)", Assumptions!$A$1:$A$327, 0))</f>
        <v>30</v>
      </c>
      <c r="L21" s="66">
        <f>INDEX(Assumptions!$B:$B, MATCH("F9 booster (1st stage) mfg cost ($mm/unit)", Assumptions!$A$1:$A$327, 0))</f>
        <v>30</v>
      </c>
      <c r="M21" s="66">
        <f>INDEX(Assumptions!$B:$B, MATCH("F9 booster (1st stage) mfg cost ($mm/unit)", Assumptions!$A$1:$A$327, 0))</f>
        <v>30</v>
      </c>
      <c r="N21" s="66">
        <f>INDEX(Assumptions!$B:$B, MATCH("F9 booster (1st stage) mfg cost ($mm/unit)", Assumptions!$A$1:$A$327, 0))</f>
        <v>30</v>
      </c>
      <c r="O21" s="66">
        <f>INDEX(Assumptions!$B:$B, MATCH("F9 booster (1st stage) mfg cost ($mm/unit)", Assumptions!$A$1:$A$327, 0))</f>
        <v>30</v>
      </c>
      <c r="P21" s="66">
        <f>INDEX(Assumptions!$B:$B, MATCH("F9 booster (1st stage) mfg cost ($mm/unit)", Assumptions!$A$1:$A$327, 0))</f>
        <v>30</v>
      </c>
      <c r="Q21" s="66">
        <f>INDEX(Assumptions!$B:$B, MATCH("F9 booster (1st stage) mfg cost ($mm/unit)", Assumptions!$A$1:$A$327, 0))</f>
        <v>30</v>
      </c>
      <c r="R21" s="66">
        <f>INDEX(Assumptions!$B:$B, MATCH("F9 booster (1st stage) mfg cost ($mm/unit)", Assumptions!$A$1:$A$327, 0))</f>
        <v>30</v>
      </c>
      <c r="S21" s="66">
        <f>INDEX(Assumptions!$B:$B, MATCH("F9 booster (1st stage) mfg cost ($mm/unit)", Assumptions!$A$1:$A$327, 0))</f>
        <v>30</v>
      </c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29" x14ac:dyDescent="0.2">
      <c r="A22" s="22" t="s">
        <v>600</v>
      </c>
      <c r="B22" s="8"/>
      <c r="C22" s="8"/>
      <c r="D22" s="70">
        <f t="array" aca="1" ref="D22" ca="1">INDEX('Vehicle Build'!$D:$AC,MATCH("Starship build cost ($mm/stack)",'Vehicle Build'!$A$1:$A$119,0),D$5+1)</f>
        <v>65.071945281952225</v>
      </c>
      <c r="E22" s="70">
        <f t="array" aca="1" ref="E22" ca="1">INDEX('Vehicle Build'!$D:$AC,MATCH("Starship build cost ($mm/stack)",'Vehicle Build'!$A$1:$A$119,0),E$5+1)</f>
        <v>60.971010453263865</v>
      </c>
      <c r="F22" s="70">
        <f t="array" aca="1" ref="F22" ca="1">INDEX('Vehicle Build'!$D:$AC,MATCH("Starship build cost ($mm/stack)",'Vehicle Build'!$A$1:$A$119,0),F$5+1)</f>
        <v>53.860799959099772</v>
      </c>
      <c r="G22" s="70">
        <f t="array" aca="1" ref="G22" ca="1">INDEX('Vehicle Build'!$D:$AC,MATCH("Starship build cost ($mm/stack)",'Vehicle Build'!$A$1:$A$119,0),G$5+1)</f>
        <v>47.701520872759353</v>
      </c>
      <c r="H22" s="70">
        <f t="array" aca="1" ref="H22" ca="1">INDEX('Vehicle Build'!$D:$AC,MATCH("Starship build cost ($mm/stack)",'Vehicle Build'!$A$1:$A$119,0),H$5+1)</f>
        <v>42.953794986373431</v>
      </c>
      <c r="I22" s="70">
        <f t="array" aca="1" ref="I22" ca="1">INDEX('Vehicle Build'!$D:$AC,MATCH("Starship build cost ($mm/stack)",'Vehicle Build'!$A$1:$A$119,0),I$5+1)</f>
        <v>39.290393057384712</v>
      </c>
      <c r="J22" s="70">
        <f t="array" aca="1" ref="J22" ca="1">INDEX('Vehicle Build'!$D:$AC,MATCH("Starship build cost ($mm/stack)",'Vehicle Build'!$A$1:$A$119,0),J$5+1)</f>
        <v>36.395224670889924</v>
      </c>
      <c r="K22" s="70">
        <f t="array" aca="1" ref="K22" ca="1">INDEX('Vehicle Build'!$D:$AC,MATCH("Starship build cost ($mm/stack)",'Vehicle Build'!$A$1:$A$119,0),K$5+1)</f>
        <v>34.048100479697702</v>
      </c>
      <c r="L22" s="70">
        <f t="array" aca="1" ref="L22" ca="1">INDEX('Vehicle Build'!$D:$AC,MATCH("Starship build cost ($mm/stack)",'Vehicle Build'!$A$1:$A$119,0),L$5+1)</f>
        <v>32.438143435291494</v>
      </c>
      <c r="M22" s="70">
        <f t="array" aca="1" ref="M22" ca="1">INDEX('Vehicle Build'!$D:$AC,MATCH("Starship build cost ($mm/stack)",'Vehicle Build'!$A$1:$A$119,0),M$5+1)</f>
        <v>31.986709260952335</v>
      </c>
      <c r="N22" s="70">
        <f t="array" aca="1" ref="N22" ca="1">INDEX('Vehicle Build'!$D:$AC,MATCH("Starship build cost ($mm/stack)",'Vehicle Build'!$A$1:$A$119,0),N$5+1)</f>
        <v>31.36494406737927</v>
      </c>
      <c r="O22" s="70">
        <f t="array" aca="1" ref="O22" ca="1">INDEX('Vehicle Build'!$D:$AC,MATCH("Starship build cost ($mm/stack)",'Vehicle Build'!$A$1:$A$119,0),O$5+1)</f>
        <v>30.683838743950687</v>
      </c>
      <c r="P22" s="70">
        <f t="array" aca="1" ref="P22" ca="1">INDEX('Vehicle Build'!$D:$AC,MATCH("Starship build cost ($mm/stack)",'Vehicle Build'!$A$1:$A$119,0),P$5+1)</f>
        <v>30.282270883594247</v>
      </c>
      <c r="Q22" s="70">
        <f t="array" aca="1" ref="Q22" ca="1">INDEX('Vehicle Build'!$D:$AC,MATCH("Starship build cost ($mm/stack)",'Vehicle Build'!$A$1:$A$119,0),Q$5+1)</f>
        <v>30.127843809850518</v>
      </c>
      <c r="R22" s="70">
        <f t="array" aca="1" ref="R22" ca="1">INDEX('Vehicle Build'!$D:$AC,MATCH("Starship build cost ($mm/stack)",'Vehicle Build'!$A$1:$A$119,0),R$5+1)</f>
        <v>29.571952870350593</v>
      </c>
      <c r="S22" s="70">
        <f t="array" aca="1" ref="S22" ca="1">INDEX('Vehicle Build'!$D:$AC,MATCH("Starship build cost ($mm/stack)",'Vehicle Build'!$A$1:$A$119,0),S$5+1)</f>
        <v>29.046443043083599</v>
      </c>
      <c r="T22" s="73"/>
      <c r="U22" s="73"/>
      <c r="V22" s="73"/>
      <c r="W22" s="73"/>
      <c r="X22" s="73"/>
      <c r="Y22" s="73"/>
      <c r="Z22" s="73"/>
      <c r="AA22" s="73"/>
      <c r="AB22" s="73"/>
      <c r="AC22" s="73"/>
    </row>
    <row r="23" spans="1:29" x14ac:dyDescent="0.2">
      <c r="A23" s="22" t="s">
        <v>601</v>
      </c>
      <c r="B23" s="8"/>
      <c r="C23" s="8"/>
      <c r="D23" s="93">
        <f>INDEX(Assumptions!$B:$B, MATCH("F9 cadence per booster (flights/year)", Assumptions!$A$1:$A$327, 0))</f>
        <v>6</v>
      </c>
      <c r="E23" s="93">
        <f>INDEX(Assumptions!$B:$B, MATCH("F9 cadence per booster (flights/year)", Assumptions!$A$1:$A$327, 0))</f>
        <v>6</v>
      </c>
      <c r="F23" s="93">
        <f>INDEX(Assumptions!$B:$B, MATCH("F9 cadence per booster (flights/year)", Assumptions!$A$1:$A$327, 0))</f>
        <v>6</v>
      </c>
      <c r="G23" s="93">
        <f>INDEX(Assumptions!$B:$B, MATCH("F9 cadence per booster (flights/year)", Assumptions!$A$1:$A$327, 0))</f>
        <v>6</v>
      </c>
      <c r="H23" s="93">
        <f>INDEX(Assumptions!$B:$B, MATCH("F9 cadence per booster (flights/year)", Assumptions!$A$1:$A$327, 0))</f>
        <v>6</v>
      </c>
      <c r="I23" s="93">
        <f>INDEX(Assumptions!$B:$B, MATCH("F9 cadence per booster (flights/year)", Assumptions!$A$1:$A$327, 0))</f>
        <v>6</v>
      </c>
      <c r="J23" s="93">
        <f>INDEX(Assumptions!$B:$B, MATCH("F9 cadence per booster (flights/year)", Assumptions!$A$1:$A$327, 0))</f>
        <v>6</v>
      </c>
      <c r="K23" s="93">
        <f>INDEX(Assumptions!$B:$B, MATCH("F9 cadence per booster (flights/year)", Assumptions!$A$1:$A$327, 0))</f>
        <v>6</v>
      </c>
      <c r="L23" s="93">
        <f>INDEX(Assumptions!$B:$B, MATCH("F9 cadence per booster (flights/year)", Assumptions!$A$1:$A$327, 0))</f>
        <v>6</v>
      </c>
      <c r="M23" s="93">
        <f>INDEX(Assumptions!$B:$B, MATCH("F9 cadence per booster (flights/year)", Assumptions!$A$1:$A$327, 0))</f>
        <v>6</v>
      </c>
      <c r="N23" s="93">
        <f>INDEX(Assumptions!$B:$B, MATCH("F9 cadence per booster (flights/year)", Assumptions!$A$1:$A$327, 0))</f>
        <v>6</v>
      </c>
      <c r="O23" s="93">
        <f>INDEX(Assumptions!$B:$B, MATCH("F9 cadence per booster (flights/year)", Assumptions!$A$1:$A$327, 0))</f>
        <v>6</v>
      </c>
      <c r="P23" s="93">
        <f>INDEX(Assumptions!$B:$B, MATCH("F9 cadence per booster (flights/year)", Assumptions!$A$1:$A$327, 0))</f>
        <v>6</v>
      </c>
      <c r="Q23" s="93">
        <f>INDEX(Assumptions!$B:$B, MATCH("F9 cadence per booster (flights/year)", Assumptions!$A$1:$A$327, 0))</f>
        <v>6</v>
      </c>
      <c r="R23" s="93">
        <f>INDEX(Assumptions!$B:$B, MATCH("F9 cadence per booster (flights/year)", Assumptions!$A$1:$A$327, 0))</f>
        <v>6</v>
      </c>
      <c r="S23" s="93">
        <f>INDEX(Assumptions!$B:$B, MATCH("F9 cadence per booster (flights/year)", Assumptions!$A$1:$A$327, 0))</f>
        <v>6</v>
      </c>
      <c r="T23" s="93"/>
      <c r="U23" s="93"/>
      <c r="V23" s="93"/>
      <c r="W23" s="93"/>
      <c r="X23" s="93"/>
      <c r="Y23" s="93"/>
      <c r="Z23" s="93"/>
      <c r="AA23" s="93"/>
      <c r="AB23" s="93"/>
      <c r="AC23" s="93"/>
    </row>
    <row r="24" spans="1:29" x14ac:dyDescent="0.2">
      <c r="A24" s="22" t="s">
        <v>602</v>
      </c>
      <c r="B24" s="8"/>
      <c r="C24" s="8"/>
      <c r="D24" s="46">
        <f t="array" ref="D24">INDEX('Vehicle Build'!$D:$AC,MATCH("Starship BOOSTER cadence per vehicle in service",'Vehicle Build'!$A$1:$A$119,0),D$5+1)</f>
        <v>1</v>
      </c>
      <c r="E24" s="46">
        <f t="array" aca="1" ref="E24" ca="1">INDEX('Vehicle Build'!$D:$AC,MATCH("Starship BOOSTER cadence per vehicle in service",'Vehicle Build'!$A$1:$A$119,0),E$5+1)</f>
        <v>2</v>
      </c>
      <c r="F24" s="46">
        <f t="array" aca="1" ref="F24" ca="1">INDEX('Vehicle Build'!$D:$AC,MATCH("Starship BOOSTER cadence per vehicle in service",'Vehicle Build'!$A$1:$A$119,0),F$5+1)</f>
        <v>2</v>
      </c>
      <c r="G24" s="46">
        <f t="array" aca="1" ref="G24" ca="1">INDEX('Vehicle Build'!$D:$AC,MATCH("Starship BOOSTER cadence per vehicle in service",'Vehicle Build'!$A$1:$A$119,0),G$5+1)</f>
        <v>3.5133635135342258</v>
      </c>
      <c r="H24" s="46">
        <f t="array" aca="1" ref="H24" ca="1">INDEX('Vehicle Build'!$D:$AC,MATCH("Starship BOOSTER cadence per vehicle in service",'Vehicle Build'!$A$1:$A$119,0),H$5+1)</f>
        <v>5.3222907742108729</v>
      </c>
      <c r="I24" s="46">
        <f t="array" aca="1" ref="I24" ca="1">INDEX('Vehicle Build'!$D:$AC,MATCH("Starship BOOSTER cadence per vehicle in service",'Vehicle Build'!$A$1:$A$119,0),I$5+1)</f>
        <v>7.4456971516859634</v>
      </c>
      <c r="J24" s="46">
        <f t="array" aca="1" ref="J24" ca="1">INDEX('Vehicle Build'!$D:$AC,MATCH("Starship BOOSTER cadence per vehicle in service",'Vehicle Build'!$A$1:$A$119,0),J$5+1)</f>
        <v>9.6678002313551641</v>
      </c>
      <c r="K24" s="46">
        <f t="array" aca="1" ref="K24" ca="1">INDEX('Vehicle Build'!$D:$AC,MATCH("Starship BOOSTER cadence per vehicle in service",'Vehicle Build'!$A$1:$A$119,0),K$5+1)</f>
        <v>11.819765361923267</v>
      </c>
      <c r="L24" s="46">
        <f t="array" aca="1" ref="L24" ca="1">INDEX('Vehicle Build'!$D:$AC,MATCH("Starship BOOSTER cadence per vehicle in service",'Vehicle Build'!$A$1:$A$119,0),L$5+1)</f>
        <v>13.679728434871457</v>
      </c>
      <c r="M24" s="46">
        <f t="array" aca="1" ref="M24" ca="1">INDEX('Vehicle Build'!$D:$AC,MATCH("Starship BOOSTER cadence per vehicle in service",'Vehicle Build'!$A$1:$A$119,0),M$5+1)</f>
        <v>15.353610906735826</v>
      </c>
      <c r="N24" s="46">
        <f t="array" aca="1" ref="N24" ca="1">INDEX('Vehicle Build'!$D:$AC,MATCH("Starship BOOSTER cadence per vehicle in service",'Vehicle Build'!$A$1:$A$119,0),N$5+1)</f>
        <v>17.150033692767686</v>
      </c>
      <c r="O24" s="46">
        <f t="array" aca="1" ref="O24" ca="1">INDEX('Vehicle Build'!$D:$AC,MATCH("Starship BOOSTER cadence per vehicle in service",'Vehicle Build'!$A$1:$A$119,0),O$5+1)</f>
        <v>18.817548043479221</v>
      </c>
      <c r="P24" s="46">
        <f t="array" aca="1" ref="P24" ca="1">INDEX('Vehicle Build'!$D:$AC,MATCH("Starship BOOSTER cadence per vehicle in service",'Vehicle Build'!$A$1:$A$119,0),P$5+1)</f>
        <v>20.608080515899218</v>
      </c>
      <c r="Q24" s="46">
        <f t="array" aca="1" ref="Q24" ca="1">INDEX('Vehicle Build'!$D:$AC,MATCH("Starship BOOSTER cadence per vehicle in service",'Vehicle Build'!$A$1:$A$119,0),Q$5+1)</f>
        <v>22.06912579880052</v>
      </c>
      <c r="R24" s="46">
        <f t="array" aca="1" ref="R24" ca="1">INDEX('Vehicle Build'!$D:$AC,MATCH("Starship BOOSTER cadence per vehicle in service",'Vehicle Build'!$A$1:$A$119,0),R$5+1)</f>
        <v>23.115869064432239</v>
      </c>
      <c r="S24" s="46">
        <f t="array" aca="1" ref="S24" ca="1">INDEX('Vehicle Build'!$D:$AC,MATCH("Starship BOOSTER cadence per vehicle in service",'Vehicle Build'!$A$1:$A$119,0),S$5+1)</f>
        <v>24.06047381710097</v>
      </c>
      <c r="T24" s="93"/>
      <c r="U24" s="93"/>
      <c r="V24" s="93"/>
      <c r="W24" s="93"/>
      <c r="X24" s="93"/>
      <c r="Y24" s="93"/>
      <c r="Z24" s="93"/>
      <c r="AA24" s="93"/>
      <c r="AB24" s="93"/>
      <c r="AC24" s="93"/>
    </row>
    <row r="25" spans="1:29" x14ac:dyDescent="0.2">
      <c r="A25" s="22" t="s">
        <v>603</v>
      </c>
      <c r="B25" s="8"/>
      <c r="C25" s="8"/>
      <c r="D25" s="93">
        <f>INDEX(Assumptions!$B:$B, MATCH("Asset life L: Customer Launch F9 (years)", Assumptions!$A$1:$A$327, 0))</f>
        <v>8</v>
      </c>
      <c r="E25" s="93">
        <f>INDEX(Assumptions!$B:$B, MATCH("Asset life L: Customer Launch F9 (years)", Assumptions!$A$1:$A$327, 0))</f>
        <v>8</v>
      </c>
      <c r="F25" s="93">
        <f>INDEX(Assumptions!$B:$B, MATCH("Asset life L: Customer Launch F9 (years)", Assumptions!$A$1:$A$327, 0))</f>
        <v>8</v>
      </c>
      <c r="G25" s="93">
        <f>INDEX(Assumptions!$B:$B, MATCH("Asset life L: Customer Launch F9 (years)", Assumptions!$A$1:$A$327, 0))</f>
        <v>8</v>
      </c>
      <c r="H25" s="93">
        <f>INDEX(Assumptions!$B:$B, MATCH("Asset life L: Customer Launch F9 (years)", Assumptions!$A$1:$A$327, 0))</f>
        <v>8</v>
      </c>
      <c r="I25" s="93">
        <f>INDEX(Assumptions!$B:$B, MATCH("Asset life L: Customer Launch F9 (years)", Assumptions!$A$1:$A$327, 0))</f>
        <v>8</v>
      </c>
      <c r="J25" s="93">
        <f>INDEX(Assumptions!$B:$B, MATCH("Asset life L: Customer Launch F9 (years)", Assumptions!$A$1:$A$327, 0))</f>
        <v>8</v>
      </c>
      <c r="K25" s="93">
        <f>INDEX(Assumptions!$B:$B, MATCH("Asset life L: Customer Launch F9 (years)", Assumptions!$A$1:$A$327, 0))</f>
        <v>8</v>
      </c>
      <c r="L25" s="93">
        <f>INDEX(Assumptions!$B:$B, MATCH("Asset life L: Customer Launch F9 (years)", Assumptions!$A$1:$A$327, 0))</f>
        <v>8</v>
      </c>
      <c r="M25" s="93">
        <f>INDEX(Assumptions!$B:$B, MATCH("Asset life L: Customer Launch F9 (years)", Assumptions!$A$1:$A$327, 0))</f>
        <v>8</v>
      </c>
      <c r="N25" s="93">
        <f>INDEX(Assumptions!$B:$B, MATCH("Asset life L: Customer Launch F9 (years)", Assumptions!$A$1:$A$327, 0))</f>
        <v>8</v>
      </c>
      <c r="O25" s="93">
        <f>INDEX(Assumptions!$B:$B, MATCH("Asset life L: Customer Launch F9 (years)", Assumptions!$A$1:$A$327, 0))</f>
        <v>8</v>
      </c>
      <c r="P25" s="93">
        <f>INDEX(Assumptions!$B:$B, MATCH("Asset life L: Customer Launch F9 (years)", Assumptions!$A$1:$A$327, 0))</f>
        <v>8</v>
      </c>
      <c r="Q25" s="93">
        <f>INDEX(Assumptions!$B:$B, MATCH("Asset life L: Customer Launch F9 (years)", Assumptions!$A$1:$A$327, 0))</f>
        <v>8</v>
      </c>
      <c r="R25" s="93">
        <f>INDEX(Assumptions!$B:$B, MATCH("Asset life L: Customer Launch F9 (years)", Assumptions!$A$1:$A$327, 0))</f>
        <v>8</v>
      </c>
      <c r="S25" s="93">
        <f>INDEX(Assumptions!$B:$B, MATCH("Asset life L: Customer Launch F9 (years)", Assumptions!$A$1:$A$327, 0))</f>
        <v>8</v>
      </c>
      <c r="T25" s="93"/>
      <c r="U25" s="93"/>
      <c r="V25" s="93"/>
      <c r="W25" s="93"/>
      <c r="X25" s="93"/>
      <c r="Y25" s="93"/>
      <c r="Z25" s="93"/>
      <c r="AA25" s="93"/>
      <c r="AB25" s="93"/>
      <c r="AC25" s="93"/>
    </row>
    <row r="26" spans="1:29" x14ac:dyDescent="0.2">
      <c r="A26" s="22" t="s">
        <v>604</v>
      </c>
      <c r="B26" s="8"/>
      <c r="C26" s="8"/>
      <c r="D26" s="93">
        <f>INDEX(Assumptions!$B:$B, MATCH("Asset life L: Customer Launch Starship (years)", Assumptions!$A$1:$A$327, 0))</f>
        <v>8</v>
      </c>
      <c r="E26" s="93">
        <f>INDEX(Assumptions!$B:$B, MATCH("Asset life L: Customer Launch Starship (years)", Assumptions!$A$1:$A$327, 0))</f>
        <v>8</v>
      </c>
      <c r="F26" s="93">
        <f>INDEX(Assumptions!$B:$B, MATCH("Asset life L: Customer Launch Starship (years)", Assumptions!$A$1:$A$327, 0))</f>
        <v>8</v>
      </c>
      <c r="G26" s="93">
        <f>INDEX(Assumptions!$B:$B, MATCH("Asset life L: Customer Launch Starship (years)", Assumptions!$A$1:$A$327, 0))</f>
        <v>8</v>
      </c>
      <c r="H26" s="93">
        <f>INDEX(Assumptions!$B:$B, MATCH("Asset life L: Customer Launch Starship (years)", Assumptions!$A$1:$A$327, 0))</f>
        <v>8</v>
      </c>
      <c r="I26" s="93">
        <f>INDEX(Assumptions!$B:$B, MATCH("Asset life L: Customer Launch Starship (years)", Assumptions!$A$1:$A$327, 0))</f>
        <v>8</v>
      </c>
      <c r="J26" s="93">
        <f>INDEX(Assumptions!$B:$B, MATCH("Asset life L: Customer Launch Starship (years)", Assumptions!$A$1:$A$327, 0))</f>
        <v>8</v>
      </c>
      <c r="K26" s="93">
        <f>INDEX(Assumptions!$B:$B, MATCH("Asset life L: Customer Launch Starship (years)", Assumptions!$A$1:$A$327, 0))</f>
        <v>8</v>
      </c>
      <c r="L26" s="93">
        <f>INDEX(Assumptions!$B:$B, MATCH("Asset life L: Customer Launch Starship (years)", Assumptions!$A$1:$A$327, 0))</f>
        <v>8</v>
      </c>
      <c r="M26" s="93">
        <f>INDEX(Assumptions!$B:$B, MATCH("Asset life L: Customer Launch Starship (years)", Assumptions!$A$1:$A$327, 0))</f>
        <v>8</v>
      </c>
      <c r="N26" s="93">
        <f>INDEX(Assumptions!$B:$B, MATCH("Asset life L: Customer Launch Starship (years)", Assumptions!$A$1:$A$327, 0))</f>
        <v>8</v>
      </c>
      <c r="O26" s="93">
        <f>INDEX(Assumptions!$B:$B, MATCH("Asset life L: Customer Launch Starship (years)", Assumptions!$A$1:$A$327, 0))</f>
        <v>8</v>
      </c>
      <c r="P26" s="93">
        <f>INDEX(Assumptions!$B:$B, MATCH("Asset life L: Customer Launch Starship (years)", Assumptions!$A$1:$A$327, 0))</f>
        <v>8</v>
      </c>
      <c r="Q26" s="93">
        <f>INDEX(Assumptions!$B:$B, MATCH("Asset life L: Customer Launch Starship (years)", Assumptions!$A$1:$A$327, 0))</f>
        <v>8</v>
      </c>
      <c r="R26" s="93">
        <f>INDEX(Assumptions!$B:$B, MATCH("Asset life L: Customer Launch Starship (years)", Assumptions!$A$1:$A$327, 0))</f>
        <v>8</v>
      </c>
      <c r="S26" s="93">
        <f>INDEX(Assumptions!$B:$B, MATCH("Asset life L: Customer Launch Starship (years)", Assumptions!$A$1:$A$327, 0))</f>
        <v>8</v>
      </c>
      <c r="T26" s="93"/>
      <c r="U26" s="93"/>
      <c r="V26" s="93"/>
      <c r="W26" s="93"/>
      <c r="X26" s="93"/>
      <c r="Y26" s="93"/>
      <c r="Z26" s="93"/>
      <c r="AA26" s="93"/>
      <c r="AB26" s="93"/>
      <c r="AC26" s="93"/>
    </row>
    <row r="27" spans="1:29" x14ac:dyDescent="0.2">
      <c r="A27" s="20" t="s">
        <v>221</v>
      </c>
      <c r="B27" s="20"/>
      <c r="C27" s="20"/>
      <c r="D27" s="100">
        <f>INDEX(Assumptions!$B:$B, MATCH("Group WACC", Assumptions!$A$1:$A$327, 0))</f>
        <v>0.1</v>
      </c>
      <c r="E27" s="100">
        <f>INDEX(Assumptions!$B:$B, MATCH("Group WACC", Assumptions!$A$1:$A$327, 0))</f>
        <v>0.1</v>
      </c>
      <c r="F27" s="100">
        <f>INDEX(Assumptions!$B:$B, MATCH("Group WACC", Assumptions!$A$1:$A$327, 0))</f>
        <v>0.1</v>
      </c>
      <c r="G27" s="100">
        <f>INDEX(Assumptions!$B:$B, MATCH("Group WACC", Assumptions!$A$1:$A$327, 0))</f>
        <v>0.1</v>
      </c>
      <c r="H27" s="100">
        <f>INDEX(Assumptions!$B:$B, MATCH("Group WACC", Assumptions!$A$1:$A$327, 0))</f>
        <v>0.1</v>
      </c>
      <c r="I27" s="100">
        <f>INDEX(Assumptions!$B:$B, MATCH("Group WACC", Assumptions!$A$1:$A$327, 0))</f>
        <v>0.1</v>
      </c>
      <c r="J27" s="100">
        <f>INDEX(Assumptions!$B:$B, MATCH("Group WACC", Assumptions!$A$1:$A$327, 0))</f>
        <v>0.1</v>
      </c>
      <c r="K27" s="100">
        <f>INDEX(Assumptions!$B:$B, MATCH("Group WACC", Assumptions!$A$1:$A$327, 0))</f>
        <v>0.1</v>
      </c>
      <c r="L27" s="100">
        <f>INDEX(Assumptions!$B:$B, MATCH("Group WACC", Assumptions!$A$1:$A$327, 0))</f>
        <v>0.1</v>
      </c>
      <c r="M27" s="100">
        <f>INDEX(Assumptions!$B:$B, MATCH("Group WACC", Assumptions!$A$1:$A$327, 0))</f>
        <v>0.1</v>
      </c>
      <c r="N27" s="100">
        <f>INDEX(Assumptions!$B:$B, MATCH("Group WACC", Assumptions!$A$1:$A$327, 0))</f>
        <v>0.1</v>
      </c>
      <c r="O27" s="100">
        <f>INDEX(Assumptions!$B:$B, MATCH("Group WACC", Assumptions!$A$1:$A$327, 0))</f>
        <v>0.1</v>
      </c>
      <c r="P27" s="100">
        <f>INDEX(Assumptions!$B:$B, MATCH("Group WACC", Assumptions!$A$1:$A$327, 0))</f>
        <v>0.1</v>
      </c>
      <c r="Q27" s="100">
        <f>INDEX(Assumptions!$B:$B, MATCH("Group WACC", Assumptions!$A$1:$A$327, 0))</f>
        <v>0.1</v>
      </c>
      <c r="R27" s="100">
        <f>INDEX(Assumptions!$B:$B, MATCH("Group WACC", Assumptions!$A$1:$A$327, 0))</f>
        <v>0.1</v>
      </c>
      <c r="S27" s="100">
        <f>INDEX(Assumptions!$B:$B, MATCH("Group WACC", Assumptions!$A$1:$A$327, 0))</f>
        <v>0.1</v>
      </c>
      <c r="T27" s="100"/>
      <c r="U27" s="100"/>
      <c r="V27" s="100"/>
      <c r="W27" s="100"/>
      <c r="X27" s="100"/>
      <c r="Y27" s="100"/>
      <c r="Z27" s="100"/>
      <c r="AA27" s="100"/>
      <c r="AB27" s="100"/>
      <c r="AC27" s="100"/>
    </row>
    <row r="28" spans="1:29" x14ac:dyDescent="0.2">
      <c r="A28" s="22" t="s">
        <v>605</v>
      </c>
      <c r="B28" s="8"/>
      <c r="C28" s="8"/>
      <c r="D28" s="92">
        <f>INDEX(Assumptions!$B:$B, MATCH("Customer Launch R&amp;D: start % of external rev", Assumptions!$A$1:$A$327, 0))</f>
        <v>0.73499999999999999</v>
      </c>
      <c r="E28" s="92">
        <f>INDEX(Assumptions!$B:$B, MATCH("Customer Launch R&amp;D: start % of external rev", Assumptions!$A$1:$A$327, 0))</f>
        <v>0.73499999999999999</v>
      </c>
      <c r="F28" s="92">
        <f>INDEX(Assumptions!$B:$B, MATCH("Customer Launch R&amp;D: start % of external rev", Assumptions!$A$1:$A$327, 0))</f>
        <v>0.73499999999999999</v>
      </c>
      <c r="G28" s="92">
        <f>INDEX(Assumptions!$B:$B, MATCH("Customer Launch R&amp;D: start % of external rev", Assumptions!$A$1:$A$327, 0))</f>
        <v>0.73499999999999999</v>
      </c>
      <c r="H28" s="92">
        <f>INDEX(Assumptions!$B:$B, MATCH("Customer Launch R&amp;D: start % of external rev", Assumptions!$A$1:$A$327, 0))</f>
        <v>0.73499999999999999</v>
      </c>
      <c r="I28" s="92">
        <f>INDEX(Assumptions!$B:$B, MATCH("Customer Launch R&amp;D: start % of external rev", Assumptions!$A$1:$A$327, 0))</f>
        <v>0.73499999999999999</v>
      </c>
      <c r="J28" s="92">
        <f>INDEX(Assumptions!$B:$B, MATCH("Customer Launch R&amp;D: start % of external rev", Assumptions!$A$1:$A$327, 0))</f>
        <v>0.73499999999999999</v>
      </c>
      <c r="K28" s="92">
        <f>INDEX(Assumptions!$B:$B, MATCH("Customer Launch R&amp;D: start % of external rev", Assumptions!$A$1:$A$327, 0))</f>
        <v>0.73499999999999999</v>
      </c>
      <c r="L28" s="92">
        <f>INDEX(Assumptions!$B:$B, MATCH("Customer Launch R&amp;D: start % of external rev", Assumptions!$A$1:$A$327, 0))</f>
        <v>0.73499999999999999</v>
      </c>
      <c r="M28" s="92">
        <f>INDEX(Assumptions!$B:$B, MATCH("Customer Launch R&amp;D: start % of external rev", Assumptions!$A$1:$A$327, 0))</f>
        <v>0.73499999999999999</v>
      </c>
      <c r="N28" s="92">
        <f>INDEX(Assumptions!$B:$B, MATCH("Customer Launch R&amp;D: start % of external rev", Assumptions!$A$1:$A$327, 0))</f>
        <v>0.73499999999999999</v>
      </c>
      <c r="O28" s="92">
        <f>INDEX(Assumptions!$B:$B, MATCH("Customer Launch R&amp;D: start % of external rev", Assumptions!$A$1:$A$327, 0))</f>
        <v>0.73499999999999999</v>
      </c>
      <c r="P28" s="92">
        <f>INDEX(Assumptions!$B:$B, MATCH("Customer Launch R&amp;D: start % of external rev", Assumptions!$A$1:$A$327, 0))</f>
        <v>0.73499999999999999</v>
      </c>
      <c r="Q28" s="92">
        <f>INDEX(Assumptions!$B:$B, MATCH("Customer Launch R&amp;D: start % of external rev", Assumptions!$A$1:$A$327, 0))</f>
        <v>0.73499999999999999</v>
      </c>
      <c r="R28" s="92">
        <f>INDEX(Assumptions!$B:$B, MATCH("Customer Launch R&amp;D: start % of external rev", Assumptions!$A$1:$A$327, 0))</f>
        <v>0.73499999999999999</v>
      </c>
      <c r="S28" s="92">
        <f>INDEX(Assumptions!$B:$B, MATCH("Customer Launch R&amp;D: start % of external rev", Assumptions!$A$1:$A$327, 0))</f>
        <v>0.73499999999999999</v>
      </c>
      <c r="T28" s="92"/>
      <c r="U28" s="92"/>
      <c r="V28" s="92"/>
      <c r="W28" s="92"/>
      <c r="X28" s="92"/>
      <c r="Y28" s="92"/>
      <c r="Z28" s="92"/>
      <c r="AA28" s="92"/>
      <c r="AB28" s="92"/>
      <c r="AC28" s="92"/>
    </row>
    <row r="29" spans="1:29" x14ac:dyDescent="0.2">
      <c r="A29" s="22" t="s">
        <v>606</v>
      </c>
      <c r="B29" s="8"/>
      <c r="C29" s="8"/>
      <c r="D29" s="92">
        <f>INDEX(Assumptions!$B:$B, MATCH("Customer Launch R&amp;D: end-state % (floor)", Assumptions!$A$1:$A$327, 0))</f>
        <v>0.04</v>
      </c>
      <c r="E29" s="92">
        <f>INDEX(Assumptions!$B:$B, MATCH("Customer Launch R&amp;D: end-state % (floor)", Assumptions!$A$1:$A$327, 0))</f>
        <v>0.04</v>
      </c>
      <c r="F29" s="92">
        <f>INDEX(Assumptions!$B:$B, MATCH("Customer Launch R&amp;D: end-state % (floor)", Assumptions!$A$1:$A$327, 0))</f>
        <v>0.04</v>
      </c>
      <c r="G29" s="92">
        <f>INDEX(Assumptions!$B:$B, MATCH("Customer Launch R&amp;D: end-state % (floor)", Assumptions!$A$1:$A$327, 0))</f>
        <v>0.04</v>
      </c>
      <c r="H29" s="92">
        <f>INDEX(Assumptions!$B:$B, MATCH("Customer Launch R&amp;D: end-state % (floor)", Assumptions!$A$1:$A$327, 0))</f>
        <v>0.04</v>
      </c>
      <c r="I29" s="92">
        <f>INDEX(Assumptions!$B:$B, MATCH("Customer Launch R&amp;D: end-state % (floor)", Assumptions!$A$1:$A$327, 0))</f>
        <v>0.04</v>
      </c>
      <c r="J29" s="92">
        <f>INDEX(Assumptions!$B:$B, MATCH("Customer Launch R&amp;D: end-state % (floor)", Assumptions!$A$1:$A$327, 0))</f>
        <v>0.04</v>
      </c>
      <c r="K29" s="92">
        <f>INDEX(Assumptions!$B:$B, MATCH("Customer Launch R&amp;D: end-state % (floor)", Assumptions!$A$1:$A$327, 0))</f>
        <v>0.04</v>
      </c>
      <c r="L29" s="92">
        <f>INDEX(Assumptions!$B:$B, MATCH("Customer Launch R&amp;D: end-state % (floor)", Assumptions!$A$1:$A$327, 0))</f>
        <v>0.04</v>
      </c>
      <c r="M29" s="92">
        <f>INDEX(Assumptions!$B:$B, MATCH("Customer Launch R&amp;D: end-state % (floor)", Assumptions!$A$1:$A$327, 0))</f>
        <v>0.04</v>
      </c>
      <c r="N29" s="92">
        <f>INDEX(Assumptions!$B:$B, MATCH("Customer Launch R&amp;D: end-state % (floor)", Assumptions!$A$1:$A$327, 0))</f>
        <v>0.04</v>
      </c>
      <c r="O29" s="92">
        <f>INDEX(Assumptions!$B:$B, MATCH("Customer Launch R&amp;D: end-state % (floor)", Assumptions!$A$1:$A$327, 0))</f>
        <v>0.04</v>
      </c>
      <c r="P29" s="92">
        <f>INDEX(Assumptions!$B:$B, MATCH("Customer Launch R&amp;D: end-state % (floor)", Assumptions!$A$1:$A$327, 0))</f>
        <v>0.04</v>
      </c>
      <c r="Q29" s="92">
        <f>INDEX(Assumptions!$B:$B, MATCH("Customer Launch R&amp;D: end-state % (floor)", Assumptions!$A$1:$A$327, 0))</f>
        <v>0.04</v>
      </c>
      <c r="R29" s="92">
        <f>INDEX(Assumptions!$B:$B, MATCH("Customer Launch R&amp;D: end-state % (floor)", Assumptions!$A$1:$A$327, 0))</f>
        <v>0.04</v>
      </c>
      <c r="S29" s="92">
        <f>INDEX(Assumptions!$B:$B, MATCH("Customer Launch R&amp;D: end-state % (floor)", Assumptions!$A$1:$A$327, 0))</f>
        <v>0.04</v>
      </c>
      <c r="T29" s="92"/>
      <c r="U29" s="92"/>
      <c r="V29" s="92"/>
      <c r="W29" s="92"/>
      <c r="X29" s="92"/>
      <c r="Y29" s="92"/>
      <c r="Z29" s="92"/>
      <c r="AA29" s="92"/>
      <c r="AB29" s="92"/>
      <c r="AC29" s="92"/>
    </row>
    <row r="30" spans="1:29" x14ac:dyDescent="0.2">
      <c r="A30" s="22" t="s">
        <v>607</v>
      </c>
      <c r="B30" s="8"/>
      <c r="C30" s="8"/>
      <c r="D30" s="92">
        <f>INDEX(Assumptions!$B:$B, MATCH("Customer Launch R&amp;D: CAGR (taper)", Assumptions!$A$1:$A$327, 0))</f>
        <v>-0.25</v>
      </c>
      <c r="E30" s="92">
        <f>INDEX(Assumptions!$B:$B, MATCH("Customer Launch R&amp;D: CAGR (taper)", Assumptions!$A$1:$A$327, 0))</f>
        <v>-0.25</v>
      </c>
      <c r="F30" s="92">
        <f>INDEX(Assumptions!$B:$B, MATCH("Customer Launch R&amp;D: CAGR (taper)", Assumptions!$A$1:$A$327, 0))</f>
        <v>-0.25</v>
      </c>
      <c r="G30" s="92">
        <f>INDEX(Assumptions!$B:$B, MATCH("Customer Launch R&amp;D: CAGR (taper)", Assumptions!$A$1:$A$327, 0))</f>
        <v>-0.25</v>
      </c>
      <c r="H30" s="92">
        <f>INDEX(Assumptions!$B:$B, MATCH("Customer Launch R&amp;D: CAGR (taper)", Assumptions!$A$1:$A$327, 0))</f>
        <v>-0.25</v>
      </c>
      <c r="I30" s="92">
        <f>INDEX(Assumptions!$B:$B, MATCH("Customer Launch R&amp;D: CAGR (taper)", Assumptions!$A$1:$A$327, 0))</f>
        <v>-0.25</v>
      </c>
      <c r="J30" s="92">
        <f>INDEX(Assumptions!$B:$B, MATCH("Customer Launch R&amp;D: CAGR (taper)", Assumptions!$A$1:$A$327, 0))</f>
        <v>-0.25</v>
      </c>
      <c r="K30" s="92">
        <f>INDEX(Assumptions!$B:$B, MATCH("Customer Launch R&amp;D: CAGR (taper)", Assumptions!$A$1:$A$327, 0))</f>
        <v>-0.25</v>
      </c>
      <c r="L30" s="92">
        <f>INDEX(Assumptions!$B:$B, MATCH("Customer Launch R&amp;D: CAGR (taper)", Assumptions!$A$1:$A$327, 0))</f>
        <v>-0.25</v>
      </c>
      <c r="M30" s="92">
        <f>INDEX(Assumptions!$B:$B, MATCH("Customer Launch R&amp;D: CAGR (taper)", Assumptions!$A$1:$A$327, 0))</f>
        <v>-0.25</v>
      </c>
      <c r="N30" s="92">
        <f>INDEX(Assumptions!$B:$B, MATCH("Customer Launch R&amp;D: CAGR (taper)", Assumptions!$A$1:$A$327, 0))</f>
        <v>-0.25</v>
      </c>
      <c r="O30" s="92">
        <f>INDEX(Assumptions!$B:$B, MATCH("Customer Launch R&amp;D: CAGR (taper)", Assumptions!$A$1:$A$327, 0))</f>
        <v>-0.25</v>
      </c>
      <c r="P30" s="92">
        <f>INDEX(Assumptions!$B:$B, MATCH("Customer Launch R&amp;D: CAGR (taper)", Assumptions!$A$1:$A$327, 0))</f>
        <v>-0.25</v>
      </c>
      <c r="Q30" s="92">
        <f>INDEX(Assumptions!$B:$B, MATCH("Customer Launch R&amp;D: CAGR (taper)", Assumptions!$A$1:$A$327, 0))</f>
        <v>-0.25</v>
      </c>
      <c r="R30" s="92">
        <f>INDEX(Assumptions!$B:$B, MATCH("Customer Launch R&amp;D: CAGR (taper)", Assumptions!$A$1:$A$327, 0))</f>
        <v>-0.25</v>
      </c>
      <c r="S30" s="92">
        <f>INDEX(Assumptions!$B:$B, MATCH("Customer Launch R&amp;D: CAGR (taper)", Assumptions!$A$1:$A$327, 0))</f>
        <v>-0.25</v>
      </c>
      <c r="T30" s="92"/>
      <c r="U30" s="92"/>
      <c r="V30" s="92"/>
      <c r="W30" s="92"/>
      <c r="X30" s="92"/>
      <c r="Y30" s="92"/>
      <c r="Z30" s="92"/>
      <c r="AA30" s="92"/>
      <c r="AB30" s="92"/>
      <c r="AC30" s="92"/>
    </row>
    <row r="31" spans="1:29" x14ac:dyDescent="0.2">
      <c r="A31" s="22" t="s">
        <v>608</v>
      </c>
      <c r="B31" s="8"/>
      <c r="C31" s="8"/>
      <c r="D31" s="70">
        <f t="array" aca="1" ref="D31" ca="1">INDEX('Facilities Build'!$D:$AC, MATCH("Launch/vehicle facility CapEx total ($mm)  ◄ launch/vehicle", 'Facilities Build'!$A$1:$A$74, 0), COLUMN()-COLUMN($D31)+1)</f>
        <v>750</v>
      </c>
      <c r="E31" s="70">
        <f t="array" aca="1" ref="E31" ca="1">INDEX('Facilities Build'!$D:$AC, MATCH("Launch/vehicle facility CapEx total ($mm)  ◄ launch/vehicle", 'Facilities Build'!$A$1:$A$74, 0), COLUMN()-COLUMN($D31)+1)</f>
        <v>750</v>
      </c>
      <c r="F31" s="70">
        <f t="array" aca="1" ref="F31" ca="1">INDEX('Facilities Build'!$D:$AC, MATCH("Launch/vehicle facility CapEx total ($mm)  ◄ launch/vehicle", 'Facilities Build'!$A$1:$A$74, 0), COLUMN()-COLUMN($D31)+1)</f>
        <v>375</v>
      </c>
      <c r="G31" s="70">
        <f t="array" aca="1" ref="G31" ca="1">INDEX('Facilities Build'!$D:$AC, MATCH("Launch/vehicle facility CapEx total ($mm)  ◄ launch/vehicle", 'Facilities Build'!$A$1:$A$74, 0), COLUMN()-COLUMN($D31)+1)</f>
        <v>471.4</v>
      </c>
      <c r="H31" s="70">
        <f t="array" aca="1" ref="H31" ca="1">INDEX('Facilities Build'!$D:$AC, MATCH("Launch/vehicle facility CapEx total ($mm)  ◄ launch/vehicle", 'Facilities Build'!$A$1:$A$74, 0), COLUMN()-COLUMN($D31)+1)</f>
        <v>892</v>
      </c>
      <c r="I31" s="70">
        <f t="array" aca="1" ref="I31" ca="1">INDEX('Facilities Build'!$D:$AC, MATCH("Launch/vehicle facility CapEx total ($mm)  ◄ launch/vehicle", 'Facilities Build'!$A$1:$A$74, 0), COLUMN()-COLUMN($D31)+1)</f>
        <v>892</v>
      </c>
      <c r="J31" s="70">
        <f t="array" aca="1" ref="J31" ca="1">INDEX('Facilities Build'!$D:$AC, MATCH("Launch/vehicle facility CapEx total ($mm)  ◄ launch/vehicle", 'Facilities Build'!$A$1:$A$74, 0), COLUMN()-COLUMN($D31)+1)</f>
        <v>1092</v>
      </c>
      <c r="K31" s="70">
        <f t="array" aca="1" ref="K31" ca="1">INDEX('Facilities Build'!$D:$AC, MATCH("Launch/vehicle facility CapEx total ($mm)  ◄ launch/vehicle", 'Facilities Build'!$A$1:$A$74, 0), COLUMN()-COLUMN($D31)+1)</f>
        <v>775</v>
      </c>
      <c r="L31" s="70">
        <f t="array" aca="1" ref="L31" ca="1">INDEX('Facilities Build'!$D:$AC, MATCH("Launch/vehicle facility CapEx total ($mm)  ◄ launch/vehicle", 'Facilities Build'!$A$1:$A$74, 0), COLUMN()-COLUMN($D31)+1)</f>
        <v>575</v>
      </c>
      <c r="M31" s="70">
        <f t="array" aca="1" ref="M31" ca="1">INDEX('Facilities Build'!$D:$AC, MATCH("Launch/vehicle facility CapEx total ($mm)  ◄ launch/vehicle", 'Facilities Build'!$A$1:$A$74, 0), COLUMN()-COLUMN($D31)+1)</f>
        <v>1175</v>
      </c>
      <c r="N31" s="70">
        <f t="array" aca="1" ref="N31" ca="1">INDEX('Facilities Build'!$D:$AC, MATCH("Launch/vehicle facility CapEx total ($mm)  ◄ launch/vehicle", 'Facilities Build'!$A$1:$A$74, 0), COLUMN()-COLUMN($D31)+1)</f>
        <v>775</v>
      </c>
      <c r="O31" s="70">
        <f t="array" aca="1" ref="O31" ca="1">INDEX('Facilities Build'!$D:$AC, MATCH("Launch/vehicle facility CapEx total ($mm)  ◄ launch/vehicle", 'Facilities Build'!$A$1:$A$74, 0), COLUMN()-COLUMN($D31)+1)</f>
        <v>1375</v>
      </c>
      <c r="P31" s="70">
        <f t="array" aca="1" ref="P31" ca="1">INDEX('Facilities Build'!$D:$AC, MATCH("Launch/vehicle facility CapEx total ($mm)  ◄ launch/vehicle", 'Facilities Build'!$A$1:$A$74, 0), COLUMN()-COLUMN($D31)+1)</f>
        <v>375</v>
      </c>
      <c r="Q31" s="70">
        <f t="array" aca="1" ref="Q31" ca="1">INDEX('Facilities Build'!$D:$AC, MATCH("Launch/vehicle facility CapEx total ($mm)  ◄ launch/vehicle", 'Facilities Build'!$A$1:$A$74, 0), COLUMN()-COLUMN($D31)+1)</f>
        <v>375</v>
      </c>
      <c r="R31" s="70">
        <f t="array" aca="1" ref="R31" ca="1">INDEX('Facilities Build'!$D:$AC, MATCH("Launch/vehicle facility CapEx total ($mm)  ◄ launch/vehicle", 'Facilities Build'!$A$1:$A$74, 0), COLUMN()-COLUMN($D31)+1)</f>
        <v>375</v>
      </c>
      <c r="S31" s="70">
        <f t="array" aca="1" ref="S31" ca="1">INDEX('Facilities Build'!$D:$AC, MATCH("Launch/vehicle facility CapEx total ($mm)  ◄ launch/vehicle", 'Facilities Build'!$A$1:$A$74, 0), COLUMN()-COLUMN($D31)+1)</f>
        <v>375</v>
      </c>
      <c r="T31" s="73"/>
      <c r="U31" s="73"/>
      <c r="V31" s="73"/>
      <c r="W31" s="73"/>
      <c r="X31" s="73"/>
      <c r="Y31" s="73"/>
      <c r="Z31" s="73"/>
      <c r="AA31" s="73"/>
      <c r="AB31" s="73"/>
      <c r="AC31" s="73"/>
    </row>
    <row r="32" spans="1:29" x14ac:dyDescent="0.2">
      <c r="A32" s="22" t="s">
        <v>609</v>
      </c>
      <c r="B32" s="8"/>
      <c r="C32" s="8"/>
      <c r="D32" s="70">
        <f t="array" aca="1" ref="D32" ca="1">INDEX('Facilities Build'!$D:$AC, MATCH("Launch/vehicle facility D&amp;A total ($mm)  ◄ launch/vehicle", 'Facilities Build'!$A$1:$A$74, 0), COLUMN()-COLUMN($D32)+1)</f>
        <v>25</v>
      </c>
      <c r="E32" s="70">
        <f t="array" aca="1" ref="E32" ca="1">INDEX('Facilities Build'!$D:$AC, MATCH("Launch/vehicle facility D&amp;A total ($mm)  ◄ launch/vehicle", 'Facilities Build'!$A$1:$A$74, 0), COLUMN()-COLUMN($D32)+1)</f>
        <v>50</v>
      </c>
      <c r="F32" s="70">
        <f t="array" aca="1" ref="F32" ca="1">INDEX('Facilities Build'!$D:$AC, MATCH("Launch/vehicle facility D&amp;A total ($mm)  ◄ launch/vehicle", 'Facilities Build'!$A$1:$A$74, 0), COLUMN()-COLUMN($D32)+1)</f>
        <v>62.5</v>
      </c>
      <c r="G32" s="70">
        <f t="array" aca="1" ref="G32" ca="1">INDEX('Facilities Build'!$D:$AC, MATCH("Launch/vehicle facility D&amp;A total ($mm)  ◄ launch/vehicle", 'Facilities Build'!$A$1:$A$74, 0), COLUMN()-COLUMN($D32)+1)</f>
        <v>78.213333333333338</v>
      </c>
      <c r="H32" s="70">
        <f t="array" aca="1" ref="H32" ca="1">INDEX('Facilities Build'!$D:$AC, MATCH("Launch/vehicle facility D&amp;A total ($mm)  ◄ launch/vehicle", 'Facilities Build'!$A$1:$A$74, 0), COLUMN()-COLUMN($D32)+1)</f>
        <v>107.94666666666666</v>
      </c>
      <c r="I32" s="70">
        <f t="array" aca="1" ref="I32" ca="1">INDEX('Facilities Build'!$D:$AC, MATCH("Launch/vehicle facility D&amp;A total ($mm)  ◄ launch/vehicle", 'Facilities Build'!$A$1:$A$74, 0), COLUMN()-COLUMN($D32)+1)</f>
        <v>137.68</v>
      </c>
      <c r="J32" s="70">
        <f t="array" aca="1" ref="J32" ca="1">INDEX('Facilities Build'!$D:$AC, MATCH("Launch/vehicle facility D&amp;A total ($mm)  ◄ launch/vehicle", 'Facilities Build'!$A$1:$A$74, 0), COLUMN()-COLUMN($D32)+1)</f>
        <v>174.07999999999998</v>
      </c>
      <c r="K32" s="70">
        <f t="array" aca="1" ref="K32" ca="1">INDEX('Facilities Build'!$D:$AC, MATCH("Launch/vehicle facility D&amp;A total ($mm)  ◄ launch/vehicle", 'Facilities Build'!$A$1:$A$74, 0), COLUMN()-COLUMN($D32)+1)</f>
        <v>199.91333333333333</v>
      </c>
      <c r="L32" s="70">
        <f t="array" aca="1" ref="L32" ca="1">INDEX('Facilities Build'!$D:$AC, MATCH("Launch/vehicle facility D&amp;A total ($mm)  ◄ launch/vehicle", 'Facilities Build'!$A$1:$A$74, 0), COLUMN()-COLUMN($D32)+1)</f>
        <v>219.07999999999998</v>
      </c>
      <c r="M32" s="70">
        <f t="array" aca="1" ref="M32" ca="1">INDEX('Facilities Build'!$D:$AC, MATCH("Launch/vehicle facility D&amp;A total ($mm)  ◄ launch/vehicle", 'Facilities Build'!$A$1:$A$74, 0), COLUMN()-COLUMN($D32)+1)</f>
        <v>258.24666666666667</v>
      </c>
      <c r="N32" s="70">
        <f t="array" aca="1" ref="N32" ca="1">INDEX('Facilities Build'!$D:$AC, MATCH("Launch/vehicle facility D&amp;A total ($mm)  ◄ launch/vehicle", 'Facilities Build'!$A$1:$A$74, 0), COLUMN()-COLUMN($D32)+1)</f>
        <v>284.08</v>
      </c>
      <c r="O32" s="70">
        <f t="array" aca="1" ref="O32" ca="1">INDEX('Facilities Build'!$D:$AC, MATCH("Launch/vehicle facility D&amp;A total ($mm)  ◄ launch/vehicle", 'Facilities Build'!$A$1:$A$74, 0), COLUMN()-COLUMN($D32)+1)</f>
        <v>329.9133333333333</v>
      </c>
      <c r="P32" s="70">
        <f t="array" aca="1" ref="P32" ca="1">INDEX('Facilities Build'!$D:$AC, MATCH("Launch/vehicle facility D&amp;A total ($mm)  ◄ launch/vehicle", 'Facilities Build'!$A$1:$A$74, 0), COLUMN()-COLUMN($D32)+1)</f>
        <v>342.4133333333333</v>
      </c>
      <c r="Q32" s="70">
        <f t="array" aca="1" ref="Q32" ca="1">INDEX('Facilities Build'!$D:$AC, MATCH("Launch/vehicle facility D&amp;A total ($mm)  ◄ launch/vehicle", 'Facilities Build'!$A$1:$A$74, 0), COLUMN()-COLUMN($D32)+1)</f>
        <v>354.9133333333333</v>
      </c>
      <c r="R32" s="70">
        <f t="array" aca="1" ref="R32" ca="1">INDEX('Facilities Build'!$D:$AC, MATCH("Launch/vehicle facility D&amp;A total ($mm)  ◄ launch/vehicle", 'Facilities Build'!$A$1:$A$74, 0), COLUMN()-COLUMN($D32)+1)</f>
        <v>367.4133333333333</v>
      </c>
      <c r="S32" s="70">
        <f t="array" aca="1" ref="S32" ca="1">INDEX('Facilities Build'!$D:$AC, MATCH("Launch/vehicle facility D&amp;A total ($mm)  ◄ launch/vehicle", 'Facilities Build'!$A$1:$A$74, 0), COLUMN()-COLUMN($D32)+1)</f>
        <v>379.9133333333333</v>
      </c>
      <c r="T32" s="73"/>
      <c r="U32" s="73"/>
      <c r="V32" s="73"/>
      <c r="W32" s="73"/>
      <c r="X32" s="73"/>
      <c r="Y32" s="73"/>
      <c r="Z32" s="73"/>
      <c r="AA32" s="73"/>
      <c r="AB32" s="73"/>
      <c r="AC32" s="73"/>
    </row>
    <row r="33" spans="1:29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">
      <c r="A35" s="18" t="s">
        <v>1484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spans="1:29" x14ac:dyDescent="0.2">
      <c r="A36" s="22" t="s">
        <v>610</v>
      </c>
      <c r="B36" s="8"/>
      <c r="C36" s="8"/>
      <c r="D36" s="82">
        <f>IFERROR(D13*D15/D11*D139,0)</f>
        <v>109.48905109489051</v>
      </c>
      <c r="E36" s="82">
        <f t="shared" ref="E36:AC36" si="0">IFERROR(E13*E15/E11*E139,0)</f>
        <v>118.76846715328467</v>
      </c>
      <c r="F36" s="82">
        <f t="shared" si="0"/>
        <v>128.8488875912409</v>
      </c>
      <c r="G36" s="82">
        <f t="shared" si="0"/>
        <v>143.09140423247402</v>
      </c>
      <c r="H36" s="82">
        <f t="shared" si="0"/>
        <v>161.24347861478307</v>
      </c>
      <c r="I36" s="82">
        <f t="shared" si="0"/>
        <v>190.49802294042993</v>
      </c>
      <c r="J36" s="82">
        <f t="shared" si="0"/>
        <v>214.05437956204381</v>
      </c>
      <c r="K36" s="82">
        <f t="shared" si="0"/>
        <v>232.16949591240876</v>
      </c>
      <c r="L36" s="82">
        <f t="shared" si="0"/>
        <v>251.8446915328467</v>
      </c>
      <c r="M36" s="82">
        <f t="shared" si="0"/>
        <v>273.14802919708029</v>
      </c>
      <c r="N36" s="82">
        <f t="shared" si="0"/>
        <v>296.24863401459857</v>
      </c>
      <c r="O36" s="82">
        <f t="shared" si="0"/>
        <v>321.33708985401455</v>
      </c>
      <c r="P36" s="82">
        <f t="shared" si="0"/>
        <v>348.50071532846715</v>
      </c>
      <c r="Q36" s="82">
        <f t="shared" si="0"/>
        <v>377.95244014598535</v>
      </c>
      <c r="R36" s="82">
        <f t="shared" si="0"/>
        <v>409.93704197080291</v>
      </c>
      <c r="S36" s="82">
        <f t="shared" si="0"/>
        <v>444.56759124087597</v>
      </c>
      <c r="T36" s="82">
        <f t="shared" si="0"/>
        <v>0</v>
      </c>
      <c r="U36" s="82">
        <f t="shared" si="0"/>
        <v>0</v>
      </c>
      <c r="V36" s="82">
        <f t="shared" si="0"/>
        <v>0</v>
      </c>
      <c r="W36" s="82">
        <f t="shared" si="0"/>
        <v>0</v>
      </c>
      <c r="X36" s="82">
        <f t="shared" si="0"/>
        <v>0</v>
      </c>
      <c r="Y36" s="82">
        <f t="shared" si="0"/>
        <v>0</v>
      </c>
      <c r="Z36" s="82">
        <f t="shared" si="0"/>
        <v>0</v>
      </c>
      <c r="AA36" s="82">
        <f t="shared" si="0"/>
        <v>0</v>
      </c>
      <c r="AB36" s="82">
        <f t="shared" si="0"/>
        <v>0</v>
      </c>
      <c r="AC36" s="82">
        <f t="shared" si="0"/>
        <v>0</v>
      </c>
    </row>
    <row r="37" spans="1:29" x14ac:dyDescent="0.2">
      <c r="A37" s="22" t="s">
        <v>611</v>
      </c>
      <c r="B37" s="8"/>
      <c r="C37" s="8"/>
      <c r="D37" s="82">
        <f>IFERROR(D14*D16/D11*D139,0)</f>
        <v>65.693430656934311</v>
      </c>
      <c r="E37" s="82">
        <f t="shared" ref="E37:AC37" si="1">IFERROR(E14*E16/E11*E139,0)</f>
        <v>68.464598540145985</v>
      </c>
      <c r="F37" s="82">
        <f t="shared" si="1"/>
        <v>71.35669708029198</v>
      </c>
      <c r="G37" s="82">
        <f t="shared" si="1"/>
        <v>76.128818243126474</v>
      </c>
      <c r="H37" s="82">
        <f t="shared" si="1"/>
        <v>82.410501082162511</v>
      </c>
      <c r="I37" s="82">
        <f t="shared" si="1"/>
        <v>93.526085342537087</v>
      </c>
      <c r="J37" s="82">
        <f t="shared" si="1"/>
        <v>100.94730218978103</v>
      </c>
      <c r="K37" s="82">
        <f t="shared" si="1"/>
        <v>105.16891357664232</v>
      </c>
      <c r="L37" s="82">
        <f t="shared" si="1"/>
        <v>109.57323928467154</v>
      </c>
      <c r="M37" s="82">
        <f t="shared" si="1"/>
        <v>114.14146861313868</v>
      </c>
      <c r="N37" s="82">
        <f t="shared" si="1"/>
        <v>118.89268935766422</v>
      </c>
      <c r="O37" s="82">
        <f t="shared" si="1"/>
        <v>123.84859077372262</v>
      </c>
      <c r="P37" s="82">
        <f t="shared" si="1"/>
        <v>128.98713722627735</v>
      </c>
      <c r="Q37" s="82">
        <f t="shared" si="1"/>
        <v>134.32985211678835</v>
      </c>
      <c r="R37" s="82">
        <f t="shared" si="1"/>
        <v>139.90174140875914</v>
      </c>
      <c r="S37" s="82">
        <f t="shared" si="1"/>
        <v>145.67667153284671</v>
      </c>
      <c r="T37" s="82">
        <f t="shared" si="1"/>
        <v>0</v>
      </c>
      <c r="U37" s="82">
        <f t="shared" si="1"/>
        <v>0</v>
      </c>
      <c r="V37" s="82">
        <f t="shared" si="1"/>
        <v>0</v>
      </c>
      <c r="W37" s="82">
        <f t="shared" si="1"/>
        <v>0</v>
      </c>
      <c r="X37" s="82">
        <f t="shared" si="1"/>
        <v>0</v>
      </c>
      <c r="Y37" s="82">
        <f t="shared" si="1"/>
        <v>0</v>
      </c>
      <c r="Z37" s="82">
        <f t="shared" si="1"/>
        <v>0</v>
      </c>
      <c r="AA37" s="82">
        <f t="shared" si="1"/>
        <v>0</v>
      </c>
      <c r="AB37" s="82">
        <f t="shared" si="1"/>
        <v>0</v>
      </c>
      <c r="AC37" s="82">
        <f t="shared" si="1"/>
        <v>0</v>
      </c>
    </row>
    <row r="38" spans="1:29" x14ac:dyDescent="0.2">
      <c r="A38" s="22" t="s">
        <v>612</v>
      </c>
      <c r="B38" s="8"/>
      <c r="C38" s="8"/>
      <c r="D38" s="74">
        <f>INDEX(Assumptions!$B:$B,MATCH("F9 base booster build rate (boosters/year, pre-V3-trigger)",Assumptions!$A$1:$A$327,0))</f>
        <v>8</v>
      </c>
      <c r="E38" s="74">
        <f>MAX(0, INDEX(Assumptions!$B:$B,MATCH("F9 base booster build rate (boosters/year, pre-V3-trigger)",Assumptions!$A$1:$A$327,0)) * (1 - MAX(0, E$4 - INDEX(Assumptions!$B:$B,MATCH("V3 Starlink launch trigger year",Assumptions!$A$1:$A$327,0))) / INDEX(Assumptions!$B:$B,MATCH("F9 build-rate decay window (years)",Assumptions!$A$1:$A$327,0))))</f>
        <v>8</v>
      </c>
      <c r="F38" s="74">
        <f>MAX(0, INDEX(Assumptions!$B:$B,MATCH("F9 base booster build rate (boosters/year, pre-V3-trigger)",Assumptions!$A$1:$A$327,0)) * (1 - MAX(0, F$4 - INDEX(Assumptions!$B:$B,MATCH("V3 Starlink launch trigger year",Assumptions!$A$1:$A$327,0))) / INDEX(Assumptions!$B:$B,MATCH("F9 build-rate decay window (years)",Assumptions!$A$1:$A$327,0))))</f>
        <v>7</v>
      </c>
      <c r="G38" s="74">
        <f>MAX(0, INDEX(Assumptions!$B:$B,MATCH("F9 base booster build rate (boosters/year, pre-V3-trigger)",Assumptions!$A$1:$A$327,0)) * (1 - MAX(0, G$4 - INDEX(Assumptions!$B:$B,MATCH("V3 Starlink launch trigger year",Assumptions!$A$1:$A$327,0))) / INDEX(Assumptions!$B:$B,MATCH("F9 build-rate decay window (years)",Assumptions!$A$1:$A$327,0))))</f>
        <v>6</v>
      </c>
      <c r="H38" s="74">
        <f>MAX(0, INDEX(Assumptions!$B:$B,MATCH("F9 base booster build rate (boosters/year, pre-V3-trigger)",Assumptions!$A$1:$A$327,0)) * (1 - MAX(0, H$4 - INDEX(Assumptions!$B:$B,MATCH("V3 Starlink launch trigger year",Assumptions!$A$1:$A$327,0))) / INDEX(Assumptions!$B:$B,MATCH("F9 build-rate decay window (years)",Assumptions!$A$1:$A$327,0))))</f>
        <v>5</v>
      </c>
      <c r="I38" s="74">
        <f>MAX(0, INDEX(Assumptions!$B:$B,MATCH("F9 base booster build rate (boosters/year, pre-V3-trigger)",Assumptions!$A$1:$A$327,0)) * (1 - MAX(0, I$4 - INDEX(Assumptions!$B:$B,MATCH("V3 Starlink launch trigger year",Assumptions!$A$1:$A$327,0))) / INDEX(Assumptions!$B:$B,MATCH("F9 build-rate decay window (years)",Assumptions!$A$1:$A$327,0))))</f>
        <v>4</v>
      </c>
      <c r="J38" s="74">
        <f>MAX(0, INDEX(Assumptions!$B:$B,MATCH("F9 base booster build rate (boosters/year, pre-V3-trigger)",Assumptions!$A$1:$A$327,0)) * (1 - MAX(0, J$4 - INDEX(Assumptions!$B:$B,MATCH("V3 Starlink launch trigger year",Assumptions!$A$1:$A$327,0))) / INDEX(Assumptions!$B:$B,MATCH("F9 build-rate decay window (years)",Assumptions!$A$1:$A$327,0))))</f>
        <v>3</v>
      </c>
      <c r="K38" s="74">
        <f>MAX(0, INDEX(Assumptions!$B:$B,MATCH("F9 base booster build rate (boosters/year, pre-V3-trigger)",Assumptions!$A$1:$A$327,0)) * (1 - MAX(0, K$4 - INDEX(Assumptions!$B:$B,MATCH("V3 Starlink launch trigger year",Assumptions!$A$1:$A$327,0))) / INDEX(Assumptions!$B:$B,MATCH("F9 build-rate decay window (years)",Assumptions!$A$1:$A$327,0))))</f>
        <v>2</v>
      </c>
      <c r="L38" s="74">
        <f>MAX(0, INDEX(Assumptions!$B:$B,MATCH("F9 base booster build rate (boosters/year, pre-V3-trigger)",Assumptions!$A$1:$A$327,0)) * (1 - MAX(0, L$4 - INDEX(Assumptions!$B:$B,MATCH("V3 Starlink launch trigger year",Assumptions!$A$1:$A$327,0))) / INDEX(Assumptions!$B:$B,MATCH("F9 build-rate decay window (years)",Assumptions!$A$1:$A$327,0))))</f>
        <v>1</v>
      </c>
      <c r="M38" s="74">
        <f>MAX(0, INDEX(Assumptions!$B:$B,MATCH("F9 base booster build rate (boosters/year, pre-V3-trigger)",Assumptions!$A$1:$A$327,0)) * (1 - MAX(0, M$4 - INDEX(Assumptions!$B:$B,MATCH("V3 Starlink launch trigger year",Assumptions!$A$1:$A$327,0))) / INDEX(Assumptions!$B:$B,MATCH("F9 build-rate decay window (years)",Assumptions!$A$1:$A$327,0))))</f>
        <v>0</v>
      </c>
      <c r="N38" s="74">
        <f>MAX(0, INDEX(Assumptions!$B:$B,MATCH("F9 base booster build rate (boosters/year, pre-V3-trigger)",Assumptions!$A$1:$A$327,0)) * (1 - MAX(0, N$4 - INDEX(Assumptions!$B:$B,MATCH("V3 Starlink launch trigger year",Assumptions!$A$1:$A$327,0))) / INDEX(Assumptions!$B:$B,MATCH("F9 build-rate decay window (years)",Assumptions!$A$1:$A$327,0))))</f>
        <v>0</v>
      </c>
      <c r="O38" s="74">
        <f>MAX(0, INDEX(Assumptions!$B:$B,MATCH("F9 base booster build rate (boosters/year, pre-V3-trigger)",Assumptions!$A$1:$A$327,0)) * (1 - MAX(0, O$4 - INDEX(Assumptions!$B:$B,MATCH("V3 Starlink launch trigger year",Assumptions!$A$1:$A$327,0))) / INDEX(Assumptions!$B:$B,MATCH("F9 build-rate decay window (years)",Assumptions!$A$1:$A$327,0))))</f>
        <v>0</v>
      </c>
      <c r="P38" s="74">
        <f>MAX(0, INDEX(Assumptions!$B:$B,MATCH("F9 base booster build rate (boosters/year, pre-V3-trigger)",Assumptions!$A$1:$A$327,0)) * (1 - MAX(0, P$4 - INDEX(Assumptions!$B:$B,MATCH("V3 Starlink launch trigger year",Assumptions!$A$1:$A$327,0))) / INDEX(Assumptions!$B:$B,MATCH("F9 build-rate decay window (years)",Assumptions!$A$1:$A$327,0))))</f>
        <v>0</v>
      </c>
      <c r="Q38" s="74">
        <f>MAX(0, INDEX(Assumptions!$B:$B,MATCH("F9 base booster build rate (boosters/year, pre-V3-trigger)",Assumptions!$A$1:$A$327,0)) * (1 - MAX(0, Q$4 - INDEX(Assumptions!$B:$B,MATCH("V3 Starlink launch trigger year",Assumptions!$A$1:$A$327,0))) / INDEX(Assumptions!$B:$B,MATCH("F9 build-rate decay window (years)",Assumptions!$A$1:$A$327,0))))</f>
        <v>0</v>
      </c>
      <c r="R38" s="74">
        <f>MAX(0, INDEX(Assumptions!$B:$B,MATCH("F9 base booster build rate (boosters/year, pre-V3-trigger)",Assumptions!$A$1:$A$327,0)) * (1 - MAX(0, R$4 - INDEX(Assumptions!$B:$B,MATCH("V3 Starlink launch trigger year",Assumptions!$A$1:$A$327,0))) / INDEX(Assumptions!$B:$B,MATCH("F9 build-rate decay window (years)",Assumptions!$A$1:$A$327,0))))</f>
        <v>0</v>
      </c>
      <c r="S38" s="74">
        <f>MAX(0, INDEX(Assumptions!$B:$B,MATCH("F9 base booster build rate (boosters/year, pre-V3-trigger)",Assumptions!$A$1:$A$327,0)) * (1 - MAX(0, S$4 - INDEX(Assumptions!$B:$B,MATCH("V3 Starlink launch trigger year",Assumptions!$A$1:$A$327,0))) / INDEX(Assumptions!$B:$B,MATCH("F9 build-rate decay window (years)",Assumptions!$A$1:$A$327,0))))</f>
        <v>0</v>
      </c>
      <c r="T38" s="94"/>
      <c r="U38" s="94"/>
      <c r="V38" s="94"/>
      <c r="W38" s="94"/>
      <c r="X38" s="94"/>
      <c r="Y38" s="94"/>
      <c r="Z38" s="94"/>
      <c r="AA38" s="94"/>
      <c r="AB38" s="94"/>
      <c r="AC38" s="94"/>
    </row>
    <row r="39" spans="1:29" x14ac:dyDescent="0.2">
      <c r="A39" s="22" t="s">
        <v>613</v>
      </c>
      <c r="B39" s="8"/>
      <c r="C39" s="8"/>
      <c r="D39" s="74">
        <f>INDEX(Assumptions!$B:$B,MATCH("F9 starting fleet at 2025 SoY (boosters)",Assumptions!$A$1:$A$327,0))/D25</f>
        <v>3.5</v>
      </c>
      <c r="E39" s="71">
        <f t="array" ref="E39">IF(E$5&gt;=$D$25, INDEX($D38:$AC38, E$5-$D$25+1), 0) + IF(E$5&lt;$D$25, INDEX(Assumptions!$B:$B,MATCH("F9 starting fleet at 2025 SoY (boosters)",Assumptions!$A$1:$A$327,0))/$D$25, 0)</f>
        <v>3.5</v>
      </c>
      <c r="F39" s="71">
        <f t="array" ref="F39">IF(F$5&gt;=$D$25, INDEX($D38:$AC38, F$5-$D$25+1), 0) + IF(F$5&lt;$D$25, INDEX(Assumptions!$B:$B,MATCH("F9 starting fleet at 2025 SoY (boosters)",Assumptions!$A$1:$A$327,0))/$D$25, 0)</f>
        <v>3.5</v>
      </c>
      <c r="G39" s="71">
        <f t="array" ref="G39">IF(G$5&gt;=$D$25, INDEX($D38:$AC38, G$5-$D$25+1), 0) + IF(G$5&lt;$D$25, INDEX(Assumptions!$B:$B,MATCH("F9 starting fleet at 2025 SoY (boosters)",Assumptions!$A$1:$A$327,0))/$D$25, 0)</f>
        <v>3.5</v>
      </c>
      <c r="H39" s="71">
        <f t="array" ref="H39">IF(H$5&gt;=$D$25, INDEX($D38:$AC38, H$5-$D$25+1), 0) + IF(H$5&lt;$D$25, INDEX(Assumptions!$B:$B,MATCH("F9 starting fleet at 2025 SoY (boosters)",Assumptions!$A$1:$A$327,0))/$D$25, 0)</f>
        <v>3.5</v>
      </c>
      <c r="I39" s="71">
        <f t="array" ref="I39">IF(I$5&gt;=$D$25, INDEX($D38:$AC38, I$5-$D$25+1), 0) + IF(I$5&lt;$D$25, INDEX(Assumptions!$B:$B,MATCH("F9 starting fleet at 2025 SoY (boosters)",Assumptions!$A$1:$A$327,0))/$D$25, 0)</f>
        <v>3.5</v>
      </c>
      <c r="J39" s="71">
        <f t="array" ref="J39">IF(J$5&gt;=$D$25, INDEX($D38:$AC38, J$5-$D$25+1), 0) + IF(J$5&lt;$D$25, INDEX(Assumptions!$B:$B,MATCH("F9 starting fleet at 2025 SoY (boosters)",Assumptions!$A$1:$A$327,0))/$D$25, 0)</f>
        <v>3.5</v>
      </c>
      <c r="K39" s="71">
        <f t="array" ref="K39">IF(K$5&gt;=$D$25, INDEX($D38:$AC38, K$5-$D$25+1), 0) + IF(K$5&lt;$D$25, INDEX(Assumptions!$B:$B,MATCH("F9 starting fleet at 2025 SoY (boosters)",Assumptions!$A$1:$A$327,0))/$D$25, 0)</f>
        <v>3.5</v>
      </c>
      <c r="L39" s="71">
        <f t="array" ref="L39">IF(L$5&gt;=$D$25, INDEX($D38:$AC38, L$5-$D$25+1), 0) + IF(L$5&lt;$D$25, INDEX(Assumptions!$B:$B,MATCH("F9 starting fleet at 2025 SoY (boosters)",Assumptions!$A$1:$A$327,0))/$D$25, 0)</f>
        <v>8</v>
      </c>
      <c r="M39" s="71">
        <f t="array" ref="M39">IF(M$5&gt;=$D$25, INDEX($D38:$AC38, M$5-$D$25+1), 0) + IF(M$5&lt;$D$25, INDEX(Assumptions!$B:$B,MATCH("F9 starting fleet at 2025 SoY (boosters)",Assumptions!$A$1:$A$327,0))/$D$25, 0)</f>
        <v>8</v>
      </c>
      <c r="N39" s="71">
        <f t="array" ref="N39">IF(N$5&gt;=$D$25, INDEX($D38:$AC38, N$5-$D$25+1), 0) + IF(N$5&lt;$D$25, INDEX(Assumptions!$B:$B,MATCH("F9 starting fleet at 2025 SoY (boosters)",Assumptions!$A$1:$A$327,0))/$D$25, 0)</f>
        <v>7</v>
      </c>
      <c r="O39" s="71">
        <f t="array" ref="O39">IF(O$5&gt;=$D$25, INDEX($D38:$AC38, O$5-$D$25+1), 0) + IF(O$5&lt;$D$25, INDEX(Assumptions!$B:$B,MATCH("F9 starting fleet at 2025 SoY (boosters)",Assumptions!$A$1:$A$327,0))/$D$25, 0)</f>
        <v>6</v>
      </c>
      <c r="P39" s="71">
        <f t="array" ref="P39">IF(P$5&gt;=$D$25, INDEX($D38:$AC38, P$5-$D$25+1), 0) + IF(P$5&lt;$D$25, INDEX(Assumptions!$B:$B,MATCH("F9 starting fleet at 2025 SoY (boosters)",Assumptions!$A$1:$A$327,0))/$D$25, 0)</f>
        <v>5</v>
      </c>
      <c r="Q39" s="71">
        <f t="array" ref="Q39">IF(Q$5&gt;=$D$25, INDEX($D38:$AC38, Q$5-$D$25+1), 0) + IF(Q$5&lt;$D$25, INDEX(Assumptions!$B:$B,MATCH("F9 starting fleet at 2025 SoY (boosters)",Assumptions!$A$1:$A$327,0))/$D$25, 0)</f>
        <v>4</v>
      </c>
      <c r="R39" s="71">
        <f t="array" ref="R39">IF(R$5&gt;=$D$25, INDEX($D38:$AC38, R$5-$D$25+1), 0) + IF(R$5&lt;$D$25, INDEX(Assumptions!$B:$B,MATCH("F9 starting fleet at 2025 SoY (boosters)",Assumptions!$A$1:$A$327,0))/$D$25, 0)</f>
        <v>3</v>
      </c>
      <c r="S39" s="71">
        <f t="array" ref="S39">IF(S$5&gt;=$D$25, INDEX($D38:$AC38, S$5-$D$25+1), 0) + IF(S$5&lt;$D$25, INDEX(Assumptions!$B:$B,MATCH("F9 starting fleet at 2025 SoY (boosters)",Assumptions!$A$1:$A$327,0))/$D$25, 0)</f>
        <v>2</v>
      </c>
      <c r="T39" s="94"/>
      <c r="U39" s="94"/>
      <c r="V39" s="94"/>
      <c r="W39" s="94"/>
      <c r="X39" s="94"/>
      <c r="Y39" s="94"/>
      <c r="Z39" s="94"/>
      <c r="AA39" s="94"/>
      <c r="AB39" s="94"/>
      <c r="AC39" s="94"/>
    </row>
    <row r="40" spans="1:29" x14ac:dyDescent="0.2">
      <c r="A40" s="22" t="s">
        <v>614</v>
      </c>
      <c r="B40" s="8"/>
      <c r="C40" s="8"/>
      <c r="D40" s="74">
        <f>INDEX(Assumptions!$B:$B,MATCH("F9 starting fleet at 2025 SoY (boosters)",Assumptions!$A$1:$A$327,0))+D38-D39</f>
        <v>32.5</v>
      </c>
      <c r="E40" s="82">
        <f t="shared" ref="E40:S40" si="2">MAX(0, D40 + E38 - E39)</f>
        <v>37</v>
      </c>
      <c r="F40" s="82">
        <f t="shared" si="2"/>
        <v>40.5</v>
      </c>
      <c r="G40" s="82">
        <f t="shared" si="2"/>
        <v>43</v>
      </c>
      <c r="H40" s="82">
        <f t="shared" si="2"/>
        <v>44.5</v>
      </c>
      <c r="I40" s="82">
        <f t="shared" si="2"/>
        <v>45</v>
      </c>
      <c r="J40" s="82">
        <f t="shared" si="2"/>
        <v>44.5</v>
      </c>
      <c r="K40" s="82">
        <f t="shared" si="2"/>
        <v>43</v>
      </c>
      <c r="L40" s="82">
        <f t="shared" si="2"/>
        <v>36</v>
      </c>
      <c r="M40" s="82">
        <f t="shared" si="2"/>
        <v>28</v>
      </c>
      <c r="N40" s="82">
        <f t="shared" si="2"/>
        <v>21</v>
      </c>
      <c r="O40" s="82">
        <f t="shared" si="2"/>
        <v>15</v>
      </c>
      <c r="P40" s="82">
        <f t="shared" si="2"/>
        <v>10</v>
      </c>
      <c r="Q40" s="82">
        <f t="shared" si="2"/>
        <v>6</v>
      </c>
      <c r="R40" s="82">
        <f t="shared" si="2"/>
        <v>3</v>
      </c>
      <c r="S40" s="82">
        <f t="shared" si="2"/>
        <v>1</v>
      </c>
      <c r="T40" s="94"/>
      <c r="U40" s="94"/>
      <c r="V40" s="94"/>
      <c r="W40" s="94"/>
      <c r="X40" s="94"/>
      <c r="Y40" s="94"/>
      <c r="Z40" s="94"/>
      <c r="AA40" s="94"/>
      <c r="AB40" s="94"/>
      <c r="AC40" s="94"/>
    </row>
    <row r="41" spans="1:29" x14ac:dyDescent="0.2">
      <c r="A41" s="20" t="s">
        <v>615</v>
      </c>
      <c r="B41" s="20"/>
      <c r="C41" s="20"/>
      <c r="D41" s="193">
        <f t="shared" ref="D41:S41" si="3">D40*D23</f>
        <v>195</v>
      </c>
      <c r="E41" s="193">
        <f t="shared" si="3"/>
        <v>222</v>
      </c>
      <c r="F41" s="193">
        <f t="shared" si="3"/>
        <v>243</v>
      </c>
      <c r="G41" s="193">
        <f t="shared" si="3"/>
        <v>258</v>
      </c>
      <c r="H41" s="193">
        <f t="shared" si="3"/>
        <v>267</v>
      </c>
      <c r="I41" s="193">
        <f t="shared" si="3"/>
        <v>270</v>
      </c>
      <c r="J41" s="193">
        <f t="shared" si="3"/>
        <v>267</v>
      </c>
      <c r="K41" s="193">
        <f t="shared" si="3"/>
        <v>258</v>
      </c>
      <c r="L41" s="193">
        <f t="shared" si="3"/>
        <v>216</v>
      </c>
      <c r="M41" s="193">
        <f t="shared" si="3"/>
        <v>168</v>
      </c>
      <c r="N41" s="193">
        <f t="shared" si="3"/>
        <v>126</v>
      </c>
      <c r="O41" s="193">
        <f t="shared" si="3"/>
        <v>90</v>
      </c>
      <c r="P41" s="193">
        <f t="shared" si="3"/>
        <v>60</v>
      </c>
      <c r="Q41" s="193">
        <f t="shared" si="3"/>
        <v>36</v>
      </c>
      <c r="R41" s="193">
        <f t="shared" si="3"/>
        <v>18</v>
      </c>
      <c r="S41" s="193">
        <f t="shared" si="3"/>
        <v>6</v>
      </c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spans="1:29" x14ac:dyDescent="0.2">
      <c r="A42" s="22" t="s">
        <v>616</v>
      </c>
      <c r="B42" s="8"/>
      <c r="C42" s="8"/>
      <c r="D42" s="82">
        <f t="shared" ref="D42:S42" ca="1" si="4">MAX(0, MIN(D41-D9, (D36+D37)-D47))</f>
        <v>29</v>
      </c>
      <c r="E42" s="82">
        <f t="shared" ca="1" si="4"/>
        <v>84</v>
      </c>
      <c r="F42" s="82">
        <f t="shared" ca="1" si="4"/>
        <v>200.20558467153288</v>
      </c>
      <c r="G42" s="82">
        <f t="shared" ca="1" si="4"/>
        <v>219.22022247560051</v>
      </c>
      <c r="H42" s="82">
        <f t="shared" ca="1" si="4"/>
        <v>243.65397969694556</v>
      </c>
      <c r="I42" s="82">
        <f t="shared" ca="1" si="4"/>
        <v>270</v>
      </c>
      <c r="J42" s="82">
        <f t="shared" ca="1" si="4"/>
        <v>267</v>
      </c>
      <c r="K42" s="82">
        <f t="shared" ca="1" si="4"/>
        <v>61.539136051043272</v>
      </c>
      <c r="L42" s="82">
        <f t="shared" ca="1" si="4"/>
        <v>27.416506458860624</v>
      </c>
      <c r="M42" s="82">
        <f t="shared" ca="1" si="4"/>
        <v>11.352319127390047</v>
      </c>
      <c r="N42" s="82">
        <f t="shared" ca="1" si="4"/>
        <v>4.5611339034795719</v>
      </c>
      <c r="O42" s="82">
        <f t="shared" ca="1" si="4"/>
        <v>1.811967029299808</v>
      </c>
      <c r="P42" s="82">
        <f t="shared" ca="1" si="4"/>
        <v>0.71679629206266782</v>
      </c>
      <c r="Q42" s="82">
        <f t="shared" ca="1" si="4"/>
        <v>0.28317870723714123</v>
      </c>
      <c r="R42" s="82">
        <f t="shared" ca="1" si="4"/>
        <v>16.132360811390413</v>
      </c>
      <c r="S42" s="82">
        <f t="shared" ca="1" si="4"/>
        <v>6</v>
      </c>
      <c r="T42" s="94"/>
      <c r="U42" s="94"/>
      <c r="V42" s="94"/>
      <c r="W42" s="94"/>
      <c r="X42" s="94"/>
      <c r="Y42" s="94"/>
      <c r="Z42" s="94"/>
      <c r="AA42" s="94"/>
      <c r="AB42" s="94"/>
      <c r="AC42" s="94"/>
    </row>
    <row r="43" spans="1:29" x14ac:dyDescent="0.2">
      <c r="A43" s="22" t="s">
        <v>617</v>
      </c>
      <c r="B43" s="8"/>
      <c r="C43" s="8"/>
      <c r="D43" s="82">
        <f t="shared" ref="D43:S43" si="5">(D36+D37)*D18</f>
        <v>0</v>
      </c>
      <c r="E43" s="82">
        <f t="shared" si="5"/>
        <v>0</v>
      </c>
      <c r="F43" s="82">
        <f t="shared" si="5"/>
        <v>0</v>
      </c>
      <c r="G43" s="82">
        <f t="shared" si="5"/>
        <v>16.629647100851162</v>
      </c>
      <c r="H43" s="82">
        <f t="shared" si="5"/>
        <v>44.448704873718611</v>
      </c>
      <c r="I43" s="82">
        <f t="shared" si="5"/>
        <v>107.23065179594823</v>
      </c>
      <c r="J43" s="82">
        <f t="shared" si="5"/>
        <v>196.07573615070032</v>
      </c>
      <c r="K43" s="82">
        <f t="shared" si="5"/>
        <v>275.79927343800779</v>
      </c>
      <c r="L43" s="82">
        <f t="shared" si="5"/>
        <v>334.00142435865763</v>
      </c>
      <c r="M43" s="82">
        <f t="shared" si="5"/>
        <v>375.93717868282891</v>
      </c>
      <c r="N43" s="82">
        <f t="shared" si="5"/>
        <v>410.5801894687832</v>
      </c>
      <c r="O43" s="82">
        <f t="shared" si="5"/>
        <v>443.37371359843735</v>
      </c>
      <c r="P43" s="82">
        <f t="shared" si="5"/>
        <v>476.77105626268184</v>
      </c>
      <c r="Q43" s="82">
        <f t="shared" si="5"/>
        <v>511.99911355553655</v>
      </c>
      <c r="R43" s="82">
        <f t="shared" si="5"/>
        <v>549.72693133744167</v>
      </c>
      <c r="S43" s="82">
        <f t="shared" si="5"/>
        <v>590.20008521734428</v>
      </c>
      <c r="T43" s="94"/>
      <c r="U43" s="94"/>
      <c r="V43" s="94"/>
      <c r="W43" s="94"/>
      <c r="X43" s="94"/>
      <c r="Y43" s="94"/>
      <c r="Z43" s="94"/>
      <c r="AA43" s="94"/>
      <c r="AB43" s="94"/>
      <c r="AC43" s="94"/>
    </row>
    <row r="44" spans="1:29" x14ac:dyDescent="0.2">
      <c r="A44" s="22" t="s">
        <v>618</v>
      </c>
      <c r="B44" s="8"/>
      <c r="C44" s="8"/>
      <c r="D44" s="82">
        <f>MAX(0,CEILING(D43/D24,1))</f>
        <v>0</v>
      </c>
      <c r="E44" s="82" cm="1">
        <f t="array" aca="1" ref="E44" ca="1">MAX(0, MAX(CEILING(E43/E24,1),CEILING(D43/D24,1)) - D45 + IF(E$5&gt;=$D$26, INDEX($D44:$AC44, E$5-$D$26+1),0))</f>
        <v>0</v>
      </c>
      <c r="F44" s="82" cm="1">
        <f t="array" aca="1" ref="F44" ca="1">MAX(0, MAX(CEILING(F43/F24,1),CEILING(E43/E24,1),CEILING(D43/D24,1)) - E45 + IF(F$5&gt;=$D$26, INDEX($D44:$AC44, F$5-$D$26+1),0))</f>
        <v>0</v>
      </c>
      <c r="G44" s="82" cm="1">
        <f t="array" aca="1" ref="G44" ca="1">MAX(0, MAX(CEILING(G43/G24,1),CEILING(F43/F24,1),CEILING(E43/E24,1)) - F45 + IF(G$5&gt;=$D$26, INDEX($D44:$AC44, G$5-$D$26+1),0))</f>
        <v>5</v>
      </c>
      <c r="H44" s="82" cm="1">
        <f t="array" aca="1" ref="H44" ca="1">MAX(0, MAX(CEILING(H43/H24,1),CEILING(G43/G24,1),CEILING(F43/F24,1)) - G45 + IF(H$5&gt;=$D$26, INDEX($D44:$AC44, H$5-$D$26+1),0))</f>
        <v>4</v>
      </c>
      <c r="I44" s="82" cm="1">
        <f t="array" aca="1" ref="I44" ca="1">MAX(0, MAX(CEILING(I43/I24,1),CEILING(H43/H24,1),CEILING(G43/G24,1)) - H45 + IF(I$5&gt;=$D$26, INDEX($D44:$AC44, I$5-$D$26+1),0))</f>
        <v>6</v>
      </c>
      <c r="J44" s="82" cm="1">
        <f t="array" aca="1" ref="J44" ca="1">MAX(0, MAX(CEILING(J43/J24,1),CEILING(I43/I24,1),CEILING(H43/H24,1)) - I45 + IF(J$5&gt;=$D$26, INDEX($D44:$AC44, J$5-$D$26+1),0))</f>
        <v>6</v>
      </c>
      <c r="K44" s="82" cm="1">
        <f t="array" aca="1" ref="K44" ca="1">MAX(0, MAX(CEILING(K43/K24,1),CEILING(J43/J24,1),CEILING(I43/I24,1)) - J45 + IF(K$5&gt;=$D$26, INDEX($D44:$AC44, K$5-$D$26+1),0))</f>
        <v>3</v>
      </c>
      <c r="L44" s="82" cm="1">
        <f t="array" aca="1" ref="L44" ca="1">MAX(0, MAX(CEILING(L43/L24,1),CEILING(K43/K24,1),CEILING(J43/J24,1)) - K45 + IF(L$5&gt;=$D$26, INDEX($D44:$AC44, L$5-$D$26+1),0))</f>
        <v>1</v>
      </c>
      <c r="M44" s="82" cm="1">
        <f t="array" aca="1" ref="M44" ca="1">MAX(0, MAX(CEILING(M43/M24,1),CEILING(L43/L24,1),CEILING(K43/K24,1)) - L45 + IF(M$5&gt;=$D$26, INDEX($D44:$AC44, M$5-$D$26+1),0))</f>
        <v>0</v>
      </c>
      <c r="N44" s="82" cm="1">
        <f t="array" aca="1" ref="N44" ca="1">MAX(0, MAX(CEILING(N43/N24,1),CEILING(M43/M24,1),CEILING(L43/L24,1)) - M45 + IF(N$5&gt;=$D$26, INDEX($D44:$AC44, N$5-$D$26+1),0))</f>
        <v>0</v>
      </c>
      <c r="O44" s="82" cm="1">
        <f t="array" aca="1" ref="O44" ca="1">MAX(0, MAX(CEILING(O43/O24,1),CEILING(N43/N24,1),CEILING(M43/M24,1)) - N45 + IF(O$5&gt;=$D$26, INDEX($D44:$AC44, O$5-$D$26+1),0))</f>
        <v>5</v>
      </c>
      <c r="P44" s="82" cm="1">
        <f t="array" aca="1" ref="P44" ca="1">MAX(0, MAX(CEILING(P43/P24,1),CEILING(O43/O24,1),CEILING(N43/N24,1)) - O45 + IF(P$5&gt;=$D$26, INDEX($D44:$AC44, P$5-$D$26+1),0))</f>
        <v>3</v>
      </c>
      <c r="Q44" s="82" cm="1">
        <f t="array" aca="1" ref="Q44" ca="1">MAX(0, MAX(CEILING(Q43/Q24,1),CEILING(P43/P24,1),CEILING(O43/O24,1)) - P45 + IF(Q$5&gt;=$D$26, INDEX($D44:$AC44, Q$5-$D$26+1),0))</f>
        <v>6</v>
      </c>
      <c r="R44" s="82" cm="1">
        <f t="array" aca="1" ref="R44" ca="1">MAX(0, MAX(CEILING(R43/R24,1),CEILING(Q43/Q24,1),CEILING(P43/P24,1)) - Q45 + IF(R$5&gt;=$D$26, INDEX($D44:$AC44, R$5-$D$26+1),0))</f>
        <v>6</v>
      </c>
      <c r="S44" s="82" cm="1">
        <f t="array" aca="1" ref="S44" ca="1">MAX(0, MAX(CEILING(S43/S24,1),CEILING(R43/R24,1),CEILING(Q43/Q24,1)) - R45 + IF(S$5&gt;=$D$26, INDEX($D44:$AC44, S$5-$D$26+1),0))</f>
        <v>4</v>
      </c>
      <c r="T44" s="94"/>
      <c r="U44" s="94"/>
      <c r="V44" s="94"/>
      <c r="W44" s="94"/>
      <c r="X44" s="94"/>
      <c r="Y44" s="94"/>
      <c r="Z44" s="94"/>
      <c r="AA44" s="94"/>
      <c r="AB44" s="94"/>
      <c r="AC44" s="94"/>
    </row>
    <row r="45" spans="1:29" x14ac:dyDescent="0.2">
      <c r="A45" s="22" t="s">
        <v>619</v>
      </c>
      <c r="B45" s="8"/>
      <c r="C45" s="8"/>
      <c r="D45" s="82">
        <f>MAX(0,D44)</f>
        <v>0</v>
      </c>
      <c r="E45" s="71">
        <f t="array" aca="1" ref="E45" ca="1">MAX(0, D45 + E44 - IF(E$5&gt;=$D$26, INDEX($D44:$AC44, E$5-$D$26+1), 0))</f>
        <v>0</v>
      </c>
      <c r="F45" s="71">
        <f t="array" aca="1" ref="F45" ca="1">MAX(0, E45 + F44 - IF(F$5&gt;=$D$26, INDEX($D44:$AC44, F$5-$D$26+1), 0))</f>
        <v>0</v>
      </c>
      <c r="G45" s="71">
        <f t="array" aca="1" ref="G45" ca="1">MAX(0, F45 + G44 - IF(G$5&gt;=$D$26, INDEX($D44:$AC44, G$5-$D$26+1), 0))</f>
        <v>5</v>
      </c>
      <c r="H45" s="71">
        <f t="array" aca="1" ref="H45" ca="1">MAX(0, G45 + H44 - IF(H$5&gt;=$D$26, INDEX($D44:$AC44, H$5-$D$26+1), 0))</f>
        <v>9</v>
      </c>
      <c r="I45" s="71">
        <f t="array" aca="1" ref="I45" ca="1">MAX(0, H45 + I44 - IF(I$5&gt;=$D$26, INDEX($D44:$AC44, I$5-$D$26+1), 0))</f>
        <v>15</v>
      </c>
      <c r="J45" s="71">
        <f t="array" aca="1" ref="J45" ca="1">MAX(0, I45 + J44 - IF(J$5&gt;=$D$26, INDEX($D44:$AC44, J$5-$D$26+1), 0))</f>
        <v>21</v>
      </c>
      <c r="K45" s="71">
        <f t="array" aca="1" ref="K45" ca="1">MAX(0, J45 + K44 - IF(K$5&gt;=$D$26, INDEX($D44:$AC44, K$5-$D$26+1), 0))</f>
        <v>24</v>
      </c>
      <c r="L45" s="71">
        <f t="array" aca="1" ref="L45" ca="1">MAX(0, K45 + L44 - IF(L$5&gt;=$D$26, INDEX($D44:$AC44, L$5-$D$26+1), 0))</f>
        <v>25</v>
      </c>
      <c r="M45" s="71">
        <f t="array" aca="1" ref="M45" ca="1">MAX(0, L45 + M44 - IF(M$5&gt;=$D$26, INDEX($D44:$AC44, M$5-$D$26+1), 0))</f>
        <v>25</v>
      </c>
      <c r="N45" s="71">
        <f t="array" aca="1" ref="N45" ca="1">MAX(0, M45 + N44 - IF(N$5&gt;=$D$26, INDEX($D44:$AC44, N$5-$D$26+1), 0))</f>
        <v>25</v>
      </c>
      <c r="O45" s="71">
        <f t="array" aca="1" ref="O45" ca="1">MAX(0, N45 + O44 - IF(O$5&gt;=$D$26, INDEX($D44:$AC44, O$5-$D$26+1), 0))</f>
        <v>25</v>
      </c>
      <c r="P45" s="71">
        <f t="array" aca="1" ref="P45" ca="1">MAX(0, O45 + P44 - IF(P$5&gt;=$D$26, INDEX($D44:$AC44, P$5-$D$26+1), 0))</f>
        <v>24</v>
      </c>
      <c r="Q45" s="71">
        <f t="array" aca="1" ref="Q45" ca="1">MAX(0, P45 + Q44 - IF(Q$5&gt;=$D$26, INDEX($D44:$AC44, Q$5-$D$26+1), 0))</f>
        <v>24</v>
      </c>
      <c r="R45" s="71">
        <f t="array" aca="1" ref="R45" ca="1">MAX(0, Q45 + R44 - IF(R$5&gt;=$D$26, INDEX($D44:$AC44, R$5-$D$26+1), 0))</f>
        <v>24</v>
      </c>
      <c r="S45" s="71">
        <f t="array" aca="1" ref="S45" ca="1">MAX(0, R45 + S44 - IF(S$5&gt;=$D$26, INDEX($D44:$AC44, S$5-$D$26+1), 0))</f>
        <v>25</v>
      </c>
      <c r="T45" s="94"/>
      <c r="U45" s="94"/>
      <c r="V45" s="94"/>
      <c r="W45" s="94"/>
      <c r="X45" s="94"/>
      <c r="Y45" s="94"/>
      <c r="Z45" s="94"/>
      <c r="AA45" s="94"/>
      <c r="AB45" s="94"/>
      <c r="AC45" s="94"/>
    </row>
    <row r="46" spans="1:29" x14ac:dyDescent="0.2">
      <c r="A46" s="20" t="s">
        <v>620</v>
      </c>
      <c r="B46" s="20"/>
      <c r="C46" s="20"/>
      <c r="D46" s="193">
        <f t="shared" ref="D46:S46" si="6">D45*D24</f>
        <v>0</v>
      </c>
      <c r="E46" s="193">
        <f t="shared" ca="1" si="6"/>
        <v>0</v>
      </c>
      <c r="F46" s="193">
        <f t="shared" ca="1" si="6"/>
        <v>0</v>
      </c>
      <c r="G46" s="193">
        <f t="shared" ca="1" si="6"/>
        <v>17.56681756767113</v>
      </c>
      <c r="H46" s="193">
        <f t="shared" ca="1" si="6"/>
        <v>47.900616967897854</v>
      </c>
      <c r="I46" s="193">
        <f t="shared" ca="1" si="6"/>
        <v>111.68545727528945</v>
      </c>
      <c r="J46" s="193">
        <f t="shared" ca="1" si="6"/>
        <v>203.02380485845845</v>
      </c>
      <c r="K46" s="193">
        <f t="shared" ca="1" si="6"/>
        <v>283.6743686861584</v>
      </c>
      <c r="L46" s="193">
        <f t="shared" ca="1" si="6"/>
        <v>341.9932108717864</v>
      </c>
      <c r="M46" s="193">
        <f t="shared" ca="1" si="6"/>
        <v>383.84027266839564</v>
      </c>
      <c r="N46" s="193">
        <f t="shared" ca="1" si="6"/>
        <v>428.75084231919215</v>
      </c>
      <c r="O46" s="193">
        <f t="shared" ca="1" si="6"/>
        <v>470.43870108698053</v>
      </c>
      <c r="P46" s="193">
        <f t="shared" ca="1" si="6"/>
        <v>494.59393238158123</v>
      </c>
      <c r="Q46" s="193">
        <f t="shared" ca="1" si="6"/>
        <v>529.65901917121255</v>
      </c>
      <c r="R46" s="193">
        <f t="shared" ca="1" si="6"/>
        <v>554.78085754637368</v>
      </c>
      <c r="S46" s="193">
        <f t="shared" ca="1" si="6"/>
        <v>601.51184542752424</v>
      </c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spans="1:29" x14ac:dyDescent="0.2">
      <c r="A47" s="22" t="s">
        <v>621</v>
      </c>
      <c r="B47" s="8"/>
      <c r="C47" s="8"/>
      <c r="D47" s="74">
        <f ca="1">MAX(0,MIN(IFERROR(INDEX('Cash Allocation Engine'!$D:$AC,MATCH("Launch capacity allotment: Customer Launch (kg)",'Cash Allocation Engine'!$A$1:$A$96,0),MATCH(D$4,'Cash Allocation Engine'!$D$4:$AC$4,0))/INDEX('Vehicle Build'!$D:$AC,MATCH("Starship payload, fully reusable (kg)",'Vehicle Build'!$A:$A,0),MATCH(D$4,'Vehicle Build'!$D$4:$AC$4,0)),0),(D36+D37)*D18))</f>
        <v>0</v>
      </c>
      <c r="E47" s="74">
        <f ca="1">MAX(0,MIN(IFERROR(INDEX('Cash Allocation Engine'!$D:$AC,MATCH("Launch capacity allotment: Customer Launch (kg)",'Cash Allocation Engine'!$A$1:$A$96,0),MATCH(E$4,'Cash Allocation Engine'!$D$4:$AC$4,0))/INDEX('Vehicle Build'!$D:$AC,MATCH("Starship payload, fully reusable (kg)",'Vehicle Build'!$A:$A,0),MATCH(E$4,'Vehicle Build'!$D$4:$AC$4,0)),0),(E36+E37)*E18))</f>
        <v>0</v>
      </c>
      <c r="F47" s="74">
        <f ca="1">MAX(0,MIN(IFERROR(INDEX('Cash Allocation Engine'!$D:$AC,MATCH("Launch capacity allotment: Customer Launch (kg)",'Cash Allocation Engine'!$A$1:$A$96,0),MATCH(F$4,'Cash Allocation Engine'!$D$4:$AC$4,0))/INDEX('Vehicle Build'!$D:$AC,MATCH("Starship payload, fully reusable (kg)",'Vehicle Build'!$A:$A,0),MATCH(F$4,'Vehicle Build'!$D$4:$AC$4,0)),0),(F36+F37)*F18))</f>
        <v>0</v>
      </c>
      <c r="G47" s="74">
        <f ca="1">MAX(0,MIN(IFERROR(INDEX('Cash Allocation Engine'!$D:$AC,MATCH("Launch capacity allotment: Customer Launch (kg)",'Cash Allocation Engine'!$A$1:$A$96,0),MATCH(G$4,'Cash Allocation Engine'!$D$4:$AC$4,0))/INDEX('Vehicle Build'!$D:$AC,MATCH("Starship payload, fully reusable (kg)",'Vehicle Build'!$A:$A,0),MATCH(G$4,'Vehicle Build'!$D$4:$AC$4,0)),0),(G36+G37)*G18))</f>
        <v>0</v>
      </c>
      <c r="H47" s="74">
        <f ca="1">MAX(0,MIN(IFERROR(INDEX('Cash Allocation Engine'!$D:$AC,MATCH("Launch capacity allotment: Customer Launch (kg)",'Cash Allocation Engine'!$A$1:$A$96,0),MATCH(H$4,'Cash Allocation Engine'!$D$4:$AC$4,0))/INDEX('Vehicle Build'!$D:$AC,MATCH("Starship payload, fully reusable (kg)",'Vehicle Build'!$A:$A,0),MATCH(H$4,'Vehicle Build'!$D$4:$AC$4,0)),0),(H36+H37)*H18))</f>
        <v>1.6047130641486054E-14</v>
      </c>
      <c r="I47" s="74">
        <f ca="1">MAX(0,MIN(IFERROR(INDEX('Cash Allocation Engine'!$D:$AC,MATCH("Launch capacity allotment: Customer Launch (kg)",'Cash Allocation Engine'!$A$1:$A$96,0),MATCH(I$4,'Cash Allocation Engine'!$D$4:$AC$4,0))/INDEX('Vehicle Build'!$D:$AC,MATCH("Starship payload, fully reusable (kg)",'Vehicle Build'!$A:$A,0),MATCH(I$4,'Vehicle Build'!$D$4:$AC$4,0)),0),(I36+I37)*I18))</f>
        <v>0</v>
      </c>
      <c r="J47" s="74">
        <f ca="1">MAX(0,MIN(IFERROR(INDEX('Cash Allocation Engine'!$D:$AC,MATCH("Launch capacity allotment: Customer Launch (kg)",'Cash Allocation Engine'!$A$1:$A$96,0),MATCH(J$4,'Cash Allocation Engine'!$D$4:$AC$4,0))/INDEX('Vehicle Build'!$D:$AC,MATCH("Starship payload, fully reusable (kg)",'Vehicle Build'!$A:$A,0),MATCH(J$4,'Vehicle Build'!$D$4:$AC$4,0)),0),(J36+J37)*J18))</f>
        <v>0</v>
      </c>
      <c r="K47" s="74">
        <f ca="1">MAX(0,MIN(IFERROR(INDEX('Cash Allocation Engine'!$D:$AC,MATCH("Launch capacity allotment: Customer Launch (kg)",'Cash Allocation Engine'!$A$1:$A$96,0),MATCH(K$4,'Cash Allocation Engine'!$D$4:$AC$4,0))/INDEX('Vehicle Build'!$D:$AC,MATCH("Starship payload, fully reusable (kg)",'Vehicle Build'!$A:$A,0),MATCH(K$4,'Vehicle Build'!$D$4:$AC$4,0)),0),(K36+K37)*K18))</f>
        <v>275.79927343800779</v>
      </c>
      <c r="L47" s="74">
        <f ca="1">MAX(0,MIN(IFERROR(INDEX('Cash Allocation Engine'!$D:$AC,MATCH("Launch capacity allotment: Customer Launch (kg)",'Cash Allocation Engine'!$A$1:$A$96,0),MATCH(L$4,'Cash Allocation Engine'!$D$4:$AC$4,0))/INDEX('Vehicle Build'!$D:$AC,MATCH("Starship payload, fully reusable (kg)",'Vehicle Build'!$A:$A,0),MATCH(L$4,'Vehicle Build'!$D$4:$AC$4,0)),0),(L36+L37)*L18))</f>
        <v>334.00142435865763</v>
      </c>
      <c r="M47" s="74">
        <f ca="1">MAX(0,MIN(IFERROR(INDEX('Cash Allocation Engine'!$D:$AC,MATCH("Launch capacity allotment: Customer Launch (kg)",'Cash Allocation Engine'!$A$1:$A$96,0),MATCH(M$4,'Cash Allocation Engine'!$D$4:$AC$4,0))/INDEX('Vehicle Build'!$D:$AC,MATCH("Starship payload, fully reusable (kg)",'Vehicle Build'!$A:$A,0),MATCH(M$4,'Vehicle Build'!$D$4:$AC$4,0)),0),(M36+M37)*M18))</f>
        <v>375.93717868282891</v>
      </c>
      <c r="N47" s="74">
        <f ca="1">MAX(0,MIN(IFERROR(INDEX('Cash Allocation Engine'!$D:$AC,MATCH("Launch capacity allotment: Customer Launch (kg)",'Cash Allocation Engine'!$A$1:$A$96,0),MATCH(N$4,'Cash Allocation Engine'!$D$4:$AC$4,0))/INDEX('Vehicle Build'!$D:$AC,MATCH("Starship payload, fully reusable (kg)",'Vehicle Build'!$A:$A,0),MATCH(N$4,'Vehicle Build'!$D$4:$AC$4,0)),0),(N36+N37)*N18))</f>
        <v>410.5801894687832</v>
      </c>
      <c r="O47" s="74">
        <f ca="1">MAX(0,MIN(IFERROR(INDEX('Cash Allocation Engine'!$D:$AC,MATCH("Launch capacity allotment: Customer Launch (kg)",'Cash Allocation Engine'!$A$1:$A$96,0),MATCH(O$4,'Cash Allocation Engine'!$D$4:$AC$4,0))/INDEX('Vehicle Build'!$D:$AC,MATCH("Starship payload, fully reusable (kg)",'Vehicle Build'!$A:$A,0),MATCH(O$4,'Vehicle Build'!$D$4:$AC$4,0)),0),(O36+O37)*O18))</f>
        <v>443.37371359843735</v>
      </c>
      <c r="P47" s="74">
        <f ca="1">MAX(0,MIN(IFERROR(INDEX('Cash Allocation Engine'!$D:$AC,MATCH("Launch capacity allotment: Customer Launch (kg)",'Cash Allocation Engine'!$A$1:$A$96,0),MATCH(P$4,'Cash Allocation Engine'!$D$4:$AC$4,0))/INDEX('Vehicle Build'!$D:$AC,MATCH("Starship payload, fully reusable (kg)",'Vehicle Build'!$A:$A,0),MATCH(P$4,'Vehicle Build'!$D$4:$AC$4,0)),0),(P36+P37)*P18))</f>
        <v>476.77105626268184</v>
      </c>
      <c r="Q47" s="74">
        <f ca="1">MAX(0,MIN(IFERROR(INDEX('Cash Allocation Engine'!$D:$AC,MATCH("Launch capacity allotment: Customer Launch (kg)",'Cash Allocation Engine'!$A$1:$A$96,0),MATCH(Q$4,'Cash Allocation Engine'!$D$4:$AC$4,0))/INDEX('Vehicle Build'!$D:$AC,MATCH("Starship payload, fully reusable (kg)",'Vehicle Build'!$A:$A,0),MATCH(Q$4,'Vehicle Build'!$D$4:$AC$4,0)),0),(Q36+Q37)*Q18))</f>
        <v>511.99911355553655</v>
      </c>
      <c r="R47" s="74">
        <f ca="1">MAX(0,MIN(IFERROR(INDEX('Cash Allocation Engine'!$D:$AC,MATCH("Launch capacity allotment: Customer Launch (kg)",'Cash Allocation Engine'!$A$1:$A$96,0),MATCH(R$4,'Cash Allocation Engine'!$D$4:$AC$4,0))/INDEX('Vehicle Build'!$D:$AC,MATCH("Starship payload, fully reusable (kg)",'Vehicle Build'!$A:$A,0),MATCH(R$4,'Vehicle Build'!$D$4:$AC$4,0)),0),(R36+R37)*R18))</f>
        <v>533.70642256817166</v>
      </c>
      <c r="S47" s="74">
        <f ca="1">MAX(0,MIN(IFERROR(INDEX('Cash Allocation Engine'!$D:$AC,MATCH("Launch capacity allotment: Customer Launch (kg)",'Cash Allocation Engine'!$A$1:$A$96,0),MATCH(S$4,'Cash Allocation Engine'!$D$4:$AC$4,0))/INDEX('Vehicle Build'!$D:$AC,MATCH("Starship payload, fully reusable (kg)",'Vehicle Build'!$A:$A,0),MATCH(S$4,'Vehicle Build'!$D$4:$AC$4,0)),0),(S36+S37)*S18))</f>
        <v>1.4901161193847657E-13</v>
      </c>
      <c r="T47" s="94"/>
      <c r="U47" s="94"/>
      <c r="V47" s="94"/>
      <c r="W47" s="94"/>
      <c r="X47" s="94"/>
      <c r="Y47" s="94"/>
      <c r="Z47" s="94"/>
      <c r="AA47" s="94"/>
      <c r="AB47" s="94"/>
      <c r="AC47" s="94"/>
    </row>
    <row r="48" spans="1:29" x14ac:dyDescent="0.2">
      <c r="A48" s="21" t="s">
        <v>622</v>
      </c>
      <c r="B48" s="21"/>
      <c r="C48" s="21"/>
      <c r="D48" s="91">
        <f t="shared" ref="D48:S48" ca="1" si="7">D42+D47</f>
        <v>29</v>
      </c>
      <c r="E48" s="91">
        <f t="shared" ca="1" si="7"/>
        <v>84</v>
      </c>
      <c r="F48" s="91">
        <f t="shared" ca="1" si="7"/>
        <v>200.20558467153288</v>
      </c>
      <c r="G48" s="91">
        <f t="shared" ca="1" si="7"/>
        <v>219.22022247560051</v>
      </c>
      <c r="H48" s="91">
        <f t="shared" ca="1" si="7"/>
        <v>243.65397969694558</v>
      </c>
      <c r="I48" s="91">
        <f t="shared" ca="1" si="7"/>
        <v>270</v>
      </c>
      <c r="J48" s="91">
        <f t="shared" ca="1" si="7"/>
        <v>267</v>
      </c>
      <c r="K48" s="91">
        <f t="shared" ca="1" si="7"/>
        <v>337.33840948905106</v>
      </c>
      <c r="L48" s="91">
        <f t="shared" ca="1" si="7"/>
        <v>361.41793081751825</v>
      </c>
      <c r="M48" s="91">
        <f t="shared" ca="1" si="7"/>
        <v>387.28949781021896</v>
      </c>
      <c r="N48" s="91">
        <f t="shared" ca="1" si="7"/>
        <v>415.14132337226278</v>
      </c>
      <c r="O48" s="91">
        <f t="shared" ca="1" si="7"/>
        <v>445.18568062773716</v>
      </c>
      <c r="P48" s="91">
        <f t="shared" ca="1" si="7"/>
        <v>477.48785255474451</v>
      </c>
      <c r="Q48" s="91">
        <f t="shared" ca="1" si="7"/>
        <v>512.28229226277369</v>
      </c>
      <c r="R48" s="91">
        <f t="shared" ca="1" si="7"/>
        <v>549.83878337956207</v>
      </c>
      <c r="S48" s="91">
        <f t="shared" ca="1" si="7"/>
        <v>6.0000000000001492</v>
      </c>
      <c r="T48" s="102"/>
      <c r="U48" s="102"/>
      <c r="V48" s="102"/>
      <c r="W48" s="102"/>
      <c r="X48" s="102"/>
      <c r="Y48" s="102"/>
      <c r="Z48" s="102"/>
      <c r="AA48" s="102"/>
      <c r="AB48" s="102"/>
      <c r="AC48" s="102"/>
    </row>
    <row r="49" spans="1:29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">
      <c r="A51" s="18" t="s">
        <v>1485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spans="1:29" x14ac:dyDescent="0.2">
      <c r="A52" s="22" t="s">
        <v>623</v>
      </c>
      <c r="B52" s="8"/>
      <c r="C52" s="8"/>
      <c r="D52" s="67">
        <f t="shared" ref="D52:S52" ca="1" si="8">D42*D11+D47*D12</f>
        <v>1589.1999999999998</v>
      </c>
      <c r="E52" s="67">
        <f t="shared" ca="1" si="8"/>
        <v>4603.2</v>
      </c>
      <c r="F52" s="67">
        <f t="shared" ca="1" si="8"/>
        <v>10971.26604</v>
      </c>
      <c r="G52" s="67">
        <f t="shared" ca="1" si="8"/>
        <v>12013.268191662908</v>
      </c>
      <c r="H52" s="67">
        <f t="shared" ca="1" si="8"/>
        <v>13352.238087392618</v>
      </c>
      <c r="I52" s="67">
        <f t="shared" ca="1" si="8"/>
        <v>14796</v>
      </c>
      <c r="J52" s="67">
        <f t="shared" ca="1" si="8"/>
        <v>14631.599999999999</v>
      </c>
      <c r="K52" s="67">
        <f t="shared" ca="1" si="8"/>
        <v>21550.274767896262</v>
      </c>
      <c r="L52" s="67">
        <f t="shared" ca="1" si="8"/>
        <v>21756.27092705456</v>
      </c>
      <c r="M52" s="67">
        <f t="shared" ca="1" si="8"/>
        <v>21595.642286896</v>
      </c>
      <c r="N52" s="67">
        <f t="shared" ca="1" si="8"/>
        <v>21320.925461448634</v>
      </c>
      <c r="O52" s="67">
        <f t="shared" ca="1" si="8"/>
        <v>21030.968812187857</v>
      </c>
      <c r="P52" s="67">
        <f ca="1">P42*P11+P47*P12</f>
        <v>20750.215120855933</v>
      </c>
      <c r="Q52" s="67">
        <f t="shared" ca="1" si="8"/>
        <v>20475.002770835839</v>
      </c>
      <c r="R52" s="67">
        <f t="shared" ca="1" si="8"/>
        <v>20508.438530295869</v>
      </c>
      <c r="S52" s="67">
        <f t="shared" ca="1" si="8"/>
        <v>328.80000000000501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x14ac:dyDescent="0.2">
      <c r="A53" s="22" t="s">
        <v>624</v>
      </c>
      <c r="B53" s="8"/>
      <c r="C53" s="8"/>
      <c r="D53" s="66" cm="1">
        <f t="array" ref="D53">INDEX(Assumptions!$D:$AC, MATCH("Launch &amp; Development revenue ($mm/yr): year-row", Assumptions!$A$1:$A$327, 0), COLUMN()-COLUMN($D17)+1)</f>
        <v>1510</v>
      </c>
      <c r="E53" s="66" cm="1">
        <f t="array" ref="E53">INDEX(Assumptions!$D:$AC, MATCH("Launch &amp; Development revenue ($mm/yr): year-row", Assumptions!$A$1:$A$327, 0), COLUMN()-COLUMN($D17)+1)</f>
        <v>1585.5</v>
      </c>
      <c r="F53" s="66" cm="1">
        <f t="array" ref="F53">INDEX(Assumptions!$D:$AC, MATCH("Launch &amp; Development revenue ($mm/yr): year-row", Assumptions!$A$1:$A$327, 0), COLUMN()-COLUMN($D17)+1)</f>
        <v>1664.7750000000001</v>
      </c>
      <c r="G53" s="66" cm="1">
        <f t="array" ref="G53">INDEX(Assumptions!$D:$AC, MATCH("Launch &amp; Development revenue ($mm/yr): year-row", Assumptions!$A$1:$A$327, 0), COLUMN()-COLUMN($D17)+1)</f>
        <v>1748.0137500000003</v>
      </c>
      <c r="H53" s="66" cm="1">
        <f t="array" ref="H53">INDEX(Assumptions!$D:$AC, MATCH("Launch &amp; Development revenue ($mm/yr): year-row", Assumptions!$A$1:$A$327, 0), COLUMN()-COLUMN($D17)+1)</f>
        <v>1835.4144375000001</v>
      </c>
      <c r="I53" s="66" cm="1">
        <f t="array" ref="I53">INDEX(Assumptions!$D:$AC, MATCH("Launch &amp; Development revenue ($mm/yr): year-row", Assumptions!$A$1:$A$327, 0), COLUMN()-COLUMN($D17)+1)</f>
        <v>1927.1851593750002</v>
      </c>
      <c r="J53" s="66" cm="1">
        <f t="array" ref="J53">INDEX(Assumptions!$D:$AC, MATCH("Launch &amp; Development revenue ($mm/yr): year-row", Assumptions!$A$1:$A$327, 0), COLUMN()-COLUMN($D17)+1)</f>
        <v>2023.54441734375</v>
      </c>
      <c r="K53" s="66" cm="1">
        <f t="array" ref="K53">INDEX(Assumptions!$D:$AC, MATCH("Launch &amp; Development revenue ($mm/yr): year-row", Assumptions!$A$1:$A$327, 0), COLUMN()-COLUMN($D17)+1)</f>
        <v>2124.7216382109377</v>
      </c>
      <c r="L53" s="66" cm="1">
        <f t="array" ref="L53">INDEX(Assumptions!$D:$AC, MATCH("Launch &amp; Development revenue ($mm/yr): year-row", Assumptions!$A$1:$A$327, 0), COLUMN()-COLUMN($D17)+1)</f>
        <v>2230.9577201214843</v>
      </c>
      <c r="M53" s="66" cm="1">
        <f t="array" ref="M53">INDEX(Assumptions!$D:$AC, MATCH("Launch &amp; Development revenue ($mm/yr): year-row", Assumptions!$A$1:$A$327, 0), COLUMN()-COLUMN($D17)+1)</f>
        <v>2342.5056061275586</v>
      </c>
      <c r="N53" s="66" cm="1">
        <f t="array" ref="N53">INDEX(Assumptions!$D:$AC, MATCH("Launch &amp; Development revenue ($mm/yr): year-row", Assumptions!$A$1:$A$327, 0), COLUMN()-COLUMN($D17)+1)</f>
        <v>2459.6308864339367</v>
      </c>
      <c r="O53" s="66" cm="1">
        <f t="array" ref="O53">INDEX(Assumptions!$D:$AC, MATCH("Launch &amp; Development revenue ($mm/yr): year-row", Assumptions!$A$1:$A$327, 0), COLUMN()-COLUMN($D17)+1)</f>
        <v>2582.6124307556338</v>
      </c>
      <c r="P53" s="66" cm="1">
        <f t="array" ref="P53">INDEX(Assumptions!$D:$AC, MATCH("Launch &amp; Development revenue ($mm/yr): year-row", Assumptions!$A$1:$A$327, 0), COLUMN()-COLUMN($D17)+1)</f>
        <v>2711.7430522934151</v>
      </c>
      <c r="Q53" s="66" cm="1">
        <f t="array" ref="Q53">INDEX(Assumptions!$D:$AC, MATCH("Launch &amp; Development revenue ($mm/yr): year-row", Assumptions!$A$1:$A$327, 0), COLUMN()-COLUMN($D17)+1)</f>
        <v>2847.3302049080862</v>
      </c>
      <c r="R53" s="66" cm="1">
        <f t="array" ref="R53">INDEX(Assumptions!$D:$AC, MATCH("Launch &amp; Development revenue ($mm/yr): year-row", Assumptions!$A$1:$A$327, 0), COLUMN()-COLUMN($D17)+1)</f>
        <v>2989.69671515349</v>
      </c>
      <c r="S53" s="66" cm="1">
        <f t="array" ref="S53">INDEX(Assumptions!$D:$AC, MATCH("Launch &amp; Development revenue ($mm/yr): year-row", Assumptions!$A$1:$A$327, 0), COLUMN()-COLUMN($D17)+1)</f>
        <v>3139.1815509111657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x14ac:dyDescent="0.2">
      <c r="A54" s="22" t="s">
        <v>625</v>
      </c>
      <c r="B54" s="8"/>
      <c r="C54" s="8"/>
      <c r="D54" s="67">
        <f t="shared" ref="D54:S54" ca="1" si="9">D52+D53</f>
        <v>3099.2</v>
      </c>
      <c r="E54" s="67">
        <f t="shared" ca="1" si="9"/>
        <v>6188.7</v>
      </c>
      <c r="F54" s="67">
        <f t="shared" ca="1" si="9"/>
        <v>12636.04104</v>
      </c>
      <c r="G54" s="67">
        <f t="shared" ca="1" si="9"/>
        <v>13761.281941662908</v>
      </c>
      <c r="H54" s="67">
        <f t="shared" ca="1" si="9"/>
        <v>15187.652524892617</v>
      </c>
      <c r="I54" s="67">
        <f t="shared" ca="1" si="9"/>
        <v>16723.185159375</v>
      </c>
      <c r="J54" s="67">
        <f t="shared" ca="1" si="9"/>
        <v>16655.144417343749</v>
      </c>
      <c r="K54" s="67">
        <f t="shared" ca="1" si="9"/>
        <v>23674.996406107199</v>
      </c>
      <c r="L54" s="67">
        <f t="shared" ca="1" si="9"/>
        <v>23987.228647176045</v>
      </c>
      <c r="M54" s="67">
        <f t="shared" ca="1" si="9"/>
        <v>23938.147893023557</v>
      </c>
      <c r="N54" s="67">
        <f t="shared" ca="1" si="9"/>
        <v>23780.556347882572</v>
      </c>
      <c r="O54" s="67">
        <f t="shared" ca="1" si="9"/>
        <v>23613.581242943492</v>
      </c>
      <c r="P54" s="67">
        <f t="shared" ca="1" si="9"/>
        <v>23461.958173149349</v>
      </c>
      <c r="Q54" s="67">
        <f t="shared" ca="1" si="9"/>
        <v>23322.332975743924</v>
      </c>
      <c r="R54" s="67">
        <f t="shared" ca="1" si="9"/>
        <v>23498.135245449361</v>
      </c>
      <c r="S54" s="67">
        <f t="shared" ca="1" si="9"/>
        <v>3467.9815509111709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x14ac:dyDescent="0.2">
      <c r="A55" s="24" t="s">
        <v>626</v>
      </c>
      <c r="B55" s="8"/>
      <c r="C55" s="8"/>
      <c r="D55" s="82">
        <f t="shared" ref="D55:S55" ca="1" si="10">IFERROR(D52/D48,0)</f>
        <v>54.8</v>
      </c>
      <c r="E55" s="82">
        <f t="shared" ca="1" si="10"/>
        <v>54.8</v>
      </c>
      <c r="F55" s="82">
        <f t="shared" ca="1" si="10"/>
        <v>54.8</v>
      </c>
      <c r="G55" s="82">
        <f t="shared" ca="1" si="10"/>
        <v>54.800000000000004</v>
      </c>
      <c r="H55" s="82">
        <f t="shared" ca="1" si="10"/>
        <v>54.8</v>
      </c>
      <c r="I55" s="82">
        <f t="shared" ca="1" si="10"/>
        <v>54.8</v>
      </c>
      <c r="J55" s="82">
        <f t="shared" ca="1" si="10"/>
        <v>54.8</v>
      </c>
      <c r="K55" s="82">
        <f t="shared" ca="1" si="10"/>
        <v>63.883252430511376</v>
      </c>
      <c r="L55" s="82">
        <f t="shared" ca="1" si="10"/>
        <v>60.196988228675934</v>
      </c>
      <c r="M55" s="82">
        <f t="shared" ca="1" si="10"/>
        <v>55.760980891556159</v>
      </c>
      <c r="N55" s="82">
        <f t="shared" ca="1" si="10"/>
        <v>51.358234560354461</v>
      </c>
      <c r="O55" s="82">
        <f t="shared" ca="1" si="10"/>
        <v>47.240892345263653</v>
      </c>
      <c r="P55" s="82">
        <f t="shared" ca="1" si="10"/>
        <v>43.457053430436531</v>
      </c>
      <c r="Q55" s="82">
        <f t="shared" ca="1" si="10"/>
        <v>39.968203234971952</v>
      </c>
      <c r="R55" s="82">
        <f t="shared" ca="1" si="10"/>
        <v>37.299003180971653</v>
      </c>
      <c r="S55" s="82">
        <f t="shared" ca="1" si="10"/>
        <v>54.799999999999471</v>
      </c>
      <c r="T55" s="68"/>
      <c r="U55" s="68"/>
      <c r="V55" s="68"/>
      <c r="W55" s="68"/>
      <c r="X55" s="68"/>
      <c r="Y55" s="68"/>
      <c r="Z55" s="68"/>
      <c r="AA55" s="68"/>
      <c r="AB55" s="68"/>
      <c r="AC55" s="68"/>
    </row>
    <row r="56" spans="1:29" x14ac:dyDescent="0.2">
      <c r="A56" s="194" t="s">
        <v>1743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">
      <c r="A58" s="18" t="s">
        <v>1486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spans="1:29" x14ac:dyDescent="0.2">
      <c r="A59" s="22" t="s">
        <v>1487</v>
      </c>
      <c r="B59" s="8"/>
      <c r="C59" s="8"/>
      <c r="D59" s="66">
        <f ca="1">D42*(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497.34999999999997</v>
      </c>
      <c r="E59" s="66">
        <f ca="1">E42*(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1440.6</v>
      </c>
      <c r="F59" s="66">
        <f ca="1">F42*(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3433.5257771167885</v>
      </c>
      <c r="G59" s="66">
        <f ca="1">G42*(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3759.6268154565482</v>
      </c>
      <c r="H59" s="66">
        <f ca="1">H42*(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4178.6657518026159</v>
      </c>
      <c r="I59" s="66">
        <f ca="1">I42*(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4630.5</v>
      </c>
      <c r="J59" s="66">
        <f ca="1">J42*(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4579.0499999999993</v>
      </c>
      <c r="K59" s="66">
        <f ca="1">K42*(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1055.3961832753921</v>
      </c>
      <c r="L59" s="66">
        <f ca="1">L42*(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470.19308576945969</v>
      </c>
      <c r="M59" s="66">
        <f ca="1">M42*(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194.69227303473929</v>
      </c>
      <c r="N59" s="66">
        <f ca="1">N42*(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78.22344644467465</v>
      </c>
      <c r="O59" s="66">
        <f ca="1">O42*(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31.075234552491704</v>
      </c>
      <c r="P59" s="66">
        <f ca="1">P42*(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12.293056408874753</v>
      </c>
      <c r="Q59" s="66">
        <f ca="1">Q42*(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4.8565148291169713</v>
      </c>
      <c r="R59" s="66">
        <f ca="1">R42*(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276.66998791534553</v>
      </c>
      <c r="S59" s="66">
        <f ca="1">S42*( INDEX(Assumptions!$B:$B,MATCH("F9 2nd stage mfg cost ($mm/unit)",Assumptions!$A$1:$A$327,0)) + INDEX(Assumptions!$B:$B,MATCH("F9 fairing cost net of 75% recovery ($mm/flight)",Assumptions!$A$1:$A$327,0)) + INDEX(Assumptions!$B:$B,MATCH("F9 per-launch ops cost ($mm)",Assumptions!$A$1:$A$327,0)) + INDEX(Assumptions!$B:$B,MATCH("F9 booster refurb % of mfg",Assumptions!$A$1:$A$327,0))*INDEX(Assumptions!$B:$B,MATCH("F9 booster (1st stage) mfg cost ($mm/unit)",Assumptions!$A$1:$A$327,0)) )</f>
        <v>102.89999999999999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x14ac:dyDescent="0.2">
      <c r="A60" s="22" t="s">
        <v>1488</v>
      </c>
      <c r="B60" s="8"/>
      <c r="C60" s="8"/>
      <c r="D60" s="66">
        <f ca="1">D47*(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0</v>
      </c>
      <c r="E60" s="66">
        <f ca="1">E47*(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0</v>
      </c>
      <c r="F60" s="66">
        <f ca="1">F47*(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0</v>
      </c>
      <c r="G60" s="66">
        <f ca="1">G47*(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0</v>
      </c>
      <c r="H60" s="66">
        <f ca="1">H47*(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4.0868832317736683E-13</v>
      </c>
      <c r="I60" s="66">
        <f ca="1">I47*(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0</v>
      </c>
      <c r="J60" s="66">
        <f ca="1">J47*(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0</v>
      </c>
      <c r="K60" s="66">
        <f ca="1">K47*(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7024.0558959191821</v>
      </c>
      <c r="L60" s="66">
        <f ca="1">L47*(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8506.3482755662917</v>
      </c>
      <c r="M60" s="66">
        <f ca="1">M47*(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9574.3680666942873</v>
      </c>
      <c r="N60" s="66">
        <f ca="1">N47*(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10456.656265390971</v>
      </c>
      <c r="O60" s="66">
        <f ca="1">O47*(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11291.841737925002</v>
      </c>
      <c r="P60" s="66">
        <f ca="1">P47*(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12142.405260897982</v>
      </c>
      <c r="Q60" s="66">
        <f ca="1">Q47*(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13039.593424032404</v>
      </c>
      <c r="R60" s="66">
        <f ca="1">R47*(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13592.435169966197</v>
      </c>
      <c r="S60" s="66">
        <f ca="1">S47*( INDEX(Assumptions!$B:$B,MATCH("Ship refurb % of manufacturing",Assumptions!$A$1:$A$327,0))*INDEX(Assumptions!$B:$B,MATCH("Starship 2nd-stage manufacturing cost ($mm/unit, base)",Assumptions!$A$1:$A$327,0)) + INDEX(Assumptions!$B:$B,MATCH("Starship at-cost rate per launch ($mm)",Assumptions!$A$1:$A$327,0)) )</f>
        <v>3.7950277328491214E-12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x14ac:dyDescent="0.2">
      <c r="A61" s="22" t="s">
        <v>627</v>
      </c>
      <c r="B61" s="8"/>
      <c r="C61" s="8"/>
      <c r="D61" s="66">
        <f ca="1">D54*INDEX(Assumptions!$B:$B,MATCH("Launch insurance % of external rev",Assumptions!$A$1:$A$327,0))</f>
        <v>154.96</v>
      </c>
      <c r="E61" s="66">
        <f ca="1">E54*INDEX(Assumptions!$B:$B,MATCH("Launch insurance % of external rev",Assumptions!$A$1:$A$327,0))</f>
        <v>309.435</v>
      </c>
      <c r="F61" s="66">
        <f ca="1">F54*INDEX(Assumptions!$B:$B,MATCH("Launch insurance % of external rev",Assumptions!$A$1:$A$327,0))</f>
        <v>631.802052</v>
      </c>
      <c r="G61" s="66">
        <f ca="1">G54*INDEX(Assumptions!$B:$B,MATCH("Launch insurance % of external rev",Assumptions!$A$1:$A$327,0))</f>
        <v>688.0640970831455</v>
      </c>
      <c r="H61" s="66">
        <f ca="1">H54*INDEX(Assumptions!$B:$B,MATCH("Launch insurance % of external rev",Assumptions!$A$1:$A$327,0))</f>
        <v>759.38262624463096</v>
      </c>
      <c r="I61" s="66">
        <f ca="1">I54*INDEX(Assumptions!$B:$B,MATCH("Launch insurance % of external rev",Assumptions!$A$1:$A$327,0))</f>
        <v>836.15925796875001</v>
      </c>
      <c r="J61" s="66">
        <f ca="1">J54*INDEX(Assumptions!$B:$B,MATCH("Launch insurance % of external rev",Assumptions!$A$1:$A$327,0))</f>
        <v>832.75722086718747</v>
      </c>
      <c r="K61" s="66">
        <f ca="1">K54*INDEX(Assumptions!$B:$B,MATCH("Launch insurance % of external rev",Assumptions!$A$1:$A$327,0))</f>
        <v>1183.7498203053599</v>
      </c>
      <c r="L61" s="66">
        <f ca="1">L54*INDEX(Assumptions!$B:$B,MATCH("Launch insurance % of external rev",Assumptions!$A$1:$A$327,0))</f>
        <v>1199.3614323588024</v>
      </c>
      <c r="M61" s="66">
        <f ca="1">M54*INDEX(Assumptions!$B:$B,MATCH("Launch insurance % of external rev",Assumptions!$A$1:$A$327,0))</f>
        <v>1196.9073946511778</v>
      </c>
      <c r="N61" s="66">
        <f ca="1">N54*INDEX(Assumptions!$B:$B,MATCH("Launch insurance % of external rev",Assumptions!$A$1:$A$327,0))</f>
        <v>1189.0278173941285</v>
      </c>
      <c r="O61" s="66">
        <f ca="1">O54*INDEX(Assumptions!$B:$B,MATCH("Launch insurance % of external rev",Assumptions!$A$1:$A$327,0))</f>
        <v>1180.6790621471746</v>
      </c>
      <c r="P61" s="66">
        <f ca="1">P54*INDEX(Assumptions!$B:$B,MATCH("Launch insurance % of external rev",Assumptions!$A$1:$A$327,0))</f>
        <v>1173.0979086574675</v>
      </c>
      <c r="Q61" s="66">
        <f ca="1">Q54*INDEX(Assumptions!$B:$B,MATCH("Launch insurance % of external rev",Assumptions!$A$1:$A$327,0))</f>
        <v>1166.1166487871963</v>
      </c>
      <c r="R61" s="66">
        <f ca="1">R54*INDEX(Assumptions!$B:$B,MATCH("Launch insurance % of external rev",Assumptions!$A$1:$A$327,0))</f>
        <v>1174.9067622724681</v>
      </c>
      <c r="S61" s="66">
        <f ca="1">S54*INDEX(Assumptions!$B:$B,MATCH("Launch insurance % of external rev",Assumptions!$A$1:$A$327,0))</f>
        <v>173.39907754555855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x14ac:dyDescent="0.2">
      <c r="A62" s="22" t="s">
        <v>628</v>
      </c>
      <c r="B62" s="8"/>
      <c r="C62" s="8"/>
      <c r="D62" s="66">
        <f ca="1">D54*INDEX(Assumptions!$B:$B,MATCH("Launch other COGS % of external rev",Assumptions!$A$1:$A$327,0))</f>
        <v>61.983999999999995</v>
      </c>
      <c r="E62" s="66">
        <f ca="1">E54*INDEX(Assumptions!$B:$B,MATCH("Launch other COGS % of external rev",Assumptions!$A$1:$A$327,0))</f>
        <v>123.774</v>
      </c>
      <c r="F62" s="66">
        <f ca="1">F54*INDEX(Assumptions!$B:$B,MATCH("Launch other COGS % of external rev",Assumptions!$A$1:$A$327,0))</f>
        <v>252.72082080000001</v>
      </c>
      <c r="G62" s="66">
        <f ca="1">G54*INDEX(Assumptions!$B:$B,MATCH("Launch other COGS % of external rev",Assumptions!$A$1:$A$327,0))</f>
        <v>275.22563883325819</v>
      </c>
      <c r="H62" s="66">
        <f ca="1">H54*INDEX(Assumptions!$B:$B,MATCH("Launch other COGS % of external rev",Assumptions!$A$1:$A$327,0))</f>
        <v>303.75305049785237</v>
      </c>
      <c r="I62" s="66">
        <f ca="1">I54*INDEX(Assumptions!$B:$B,MATCH("Launch other COGS % of external rev",Assumptions!$A$1:$A$327,0))</f>
        <v>334.46370318750002</v>
      </c>
      <c r="J62" s="66">
        <f ca="1">J54*INDEX(Assumptions!$B:$B,MATCH("Launch other COGS % of external rev",Assumptions!$A$1:$A$327,0))</f>
        <v>333.10288834687498</v>
      </c>
      <c r="K62" s="66">
        <f ca="1">K54*INDEX(Assumptions!$B:$B,MATCH("Launch other COGS % of external rev",Assumptions!$A$1:$A$327,0))</f>
        <v>473.49992812214396</v>
      </c>
      <c r="L62" s="66">
        <f ca="1">L54*INDEX(Assumptions!$B:$B,MATCH("Launch other COGS % of external rev",Assumptions!$A$1:$A$327,0))</f>
        <v>479.74457294352089</v>
      </c>
      <c r="M62" s="66">
        <f ca="1">M54*INDEX(Assumptions!$B:$B,MATCH("Launch other COGS % of external rev",Assumptions!$A$1:$A$327,0))</f>
        <v>478.76295786047115</v>
      </c>
      <c r="N62" s="66">
        <f ca="1">N54*INDEX(Assumptions!$B:$B,MATCH("Launch other COGS % of external rev",Assumptions!$A$1:$A$327,0))</f>
        <v>475.61112695765144</v>
      </c>
      <c r="O62" s="66">
        <f ca="1">O54*INDEX(Assumptions!$B:$B,MATCH("Launch other COGS % of external rev",Assumptions!$A$1:$A$327,0))</f>
        <v>472.27162485886987</v>
      </c>
      <c r="P62" s="66">
        <f ca="1">P54*INDEX(Assumptions!$B:$B,MATCH("Launch other COGS % of external rev",Assumptions!$A$1:$A$327,0))</f>
        <v>469.23916346298699</v>
      </c>
      <c r="Q62" s="66">
        <f ca="1">Q54*INDEX(Assumptions!$B:$B,MATCH("Launch other COGS % of external rev",Assumptions!$A$1:$A$327,0))</f>
        <v>466.44665951487849</v>
      </c>
      <c r="R62" s="66">
        <f ca="1">R54*INDEX(Assumptions!$B:$B,MATCH("Launch other COGS % of external rev",Assumptions!$A$1:$A$327,0))</f>
        <v>469.96270490898723</v>
      </c>
      <c r="S62" s="66">
        <f ca="1">S54*INDEX(Assumptions!$B:$B,MATCH("Launch other COGS % of external rev",Assumptions!$A$1:$A$327,0))</f>
        <v>69.359631018223425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x14ac:dyDescent="0.2">
      <c r="A63" s="20" t="s">
        <v>629</v>
      </c>
      <c r="B63" s="20"/>
      <c r="C63" s="20"/>
      <c r="D63" s="85">
        <f t="shared" ref="D63:S63" ca="1" si="11">SUM(D59:D62)</f>
        <v>714.29399999999998</v>
      </c>
      <c r="E63" s="85">
        <f t="shared" ca="1" si="11"/>
        <v>1873.8089999999997</v>
      </c>
      <c r="F63" s="85">
        <f t="shared" ca="1" si="11"/>
        <v>4318.0486499167882</v>
      </c>
      <c r="G63" s="85">
        <f t="shared" ca="1" si="11"/>
        <v>4722.9165513729522</v>
      </c>
      <c r="H63" s="85">
        <f t="shared" ca="1" si="11"/>
        <v>5241.801428545099</v>
      </c>
      <c r="I63" s="85">
        <f t="shared" ca="1" si="11"/>
        <v>5801.1229611562503</v>
      </c>
      <c r="J63" s="85">
        <f t="shared" ca="1" si="11"/>
        <v>5744.9101092140618</v>
      </c>
      <c r="K63" s="85">
        <f t="shared" ca="1" si="11"/>
        <v>9736.7018276220788</v>
      </c>
      <c r="L63" s="85">
        <f t="shared" ca="1" si="11"/>
        <v>10655.647366638075</v>
      </c>
      <c r="M63" s="85">
        <f t="shared" ca="1" si="11"/>
        <v>11444.730692240677</v>
      </c>
      <c r="N63" s="85">
        <f t="shared" ca="1" si="11"/>
        <v>12199.518656187425</v>
      </c>
      <c r="O63" s="85">
        <f t="shared" ca="1" si="11"/>
        <v>12975.867659483538</v>
      </c>
      <c r="P63" s="85">
        <f t="shared" ca="1" si="11"/>
        <v>13797.035389427312</v>
      </c>
      <c r="Q63" s="85">
        <f t="shared" ca="1" si="11"/>
        <v>14677.013247163595</v>
      </c>
      <c r="R63" s="85">
        <f t="shared" ca="1" si="11"/>
        <v>15513.974625062998</v>
      </c>
      <c r="S63" s="85">
        <f t="shared" ca="1" si="11"/>
        <v>345.65870856378575</v>
      </c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 spans="1:29" x14ac:dyDescent="0.2">
      <c r="A64" s="20" t="s">
        <v>630</v>
      </c>
      <c r="B64" s="20"/>
      <c r="C64" s="20"/>
      <c r="D64" s="85">
        <f t="shared" ref="D64:S64" ca="1" si="12">D54-D63</f>
        <v>2384.9059999999999</v>
      </c>
      <c r="E64" s="85">
        <f t="shared" ca="1" si="12"/>
        <v>4314.8909999999996</v>
      </c>
      <c r="F64" s="85">
        <f t="shared" ca="1" si="12"/>
        <v>8317.9923900832109</v>
      </c>
      <c r="G64" s="85">
        <f t="shared" ca="1" si="12"/>
        <v>9038.3653902899568</v>
      </c>
      <c r="H64" s="85">
        <f t="shared" ca="1" si="12"/>
        <v>9945.8510963475183</v>
      </c>
      <c r="I64" s="85">
        <f t="shared" ca="1" si="12"/>
        <v>10922.062198218749</v>
      </c>
      <c r="J64" s="85">
        <f t="shared" ca="1" si="12"/>
        <v>10910.234308129686</v>
      </c>
      <c r="K64" s="85">
        <f t="shared" ca="1" si="12"/>
        <v>13938.29457848512</v>
      </c>
      <c r="L64" s="85">
        <f t="shared" ca="1" si="12"/>
        <v>13331.58128053797</v>
      </c>
      <c r="M64" s="85">
        <f t="shared" ca="1" si="12"/>
        <v>12493.41720078288</v>
      </c>
      <c r="N64" s="85">
        <f t="shared" ca="1" si="12"/>
        <v>11581.037691695146</v>
      </c>
      <c r="O64" s="85">
        <f t="shared" ca="1" si="12"/>
        <v>10637.713583459954</v>
      </c>
      <c r="P64" s="85">
        <f t="shared" ca="1" si="12"/>
        <v>9664.9227837220369</v>
      </c>
      <c r="Q64" s="85">
        <f t="shared" ca="1" si="12"/>
        <v>8645.319728580329</v>
      </c>
      <c r="R64" s="85">
        <f t="shared" ca="1" si="12"/>
        <v>7984.160620386363</v>
      </c>
      <c r="S64" s="85">
        <f t="shared" ca="1" si="12"/>
        <v>3122.3228423473852</v>
      </c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 spans="1:29" x14ac:dyDescent="0.2">
      <c r="A65" s="24" t="s">
        <v>537</v>
      </c>
      <c r="B65" s="8"/>
      <c r="C65" s="8"/>
      <c r="D65" s="97">
        <f t="shared" ref="D65:S65" ca="1" si="13">IFERROR(D64/D54,0)</f>
        <v>0.76952310273619007</v>
      </c>
      <c r="E65" s="97">
        <f t="shared" ca="1" si="13"/>
        <v>0.69722090261282654</v>
      </c>
      <c r="F65" s="97">
        <f t="shared" ca="1" si="13"/>
        <v>0.65827519582693683</v>
      </c>
      <c r="G65" s="97">
        <f t="shared" ca="1" si="13"/>
        <v>0.65679675982263641</v>
      </c>
      <c r="H65" s="97">
        <f t="shared" ca="1" si="13"/>
        <v>0.65486427741523801</v>
      </c>
      <c r="I65" s="97">
        <f t="shared" ca="1" si="13"/>
        <v>0.65310896782697248</v>
      </c>
      <c r="J65" s="97">
        <f t="shared" ca="1" si="13"/>
        <v>0.65506692915663767</v>
      </c>
      <c r="K65" s="97">
        <f t="shared" ca="1" si="13"/>
        <v>0.58873481285469587</v>
      </c>
      <c r="L65" s="97">
        <f t="shared" ca="1" si="13"/>
        <v>0.55577830505682291</v>
      </c>
      <c r="M65" s="97">
        <f t="shared" ca="1" si="13"/>
        <v>0.52190408617301232</v>
      </c>
      <c r="N65" s="97">
        <f t="shared" ca="1" si="13"/>
        <v>0.48699607874087125</v>
      </c>
      <c r="O65" s="97">
        <f t="shared" ca="1" si="13"/>
        <v>0.45049132844425493</v>
      </c>
      <c r="P65" s="97">
        <f t="shared" ca="1" si="13"/>
        <v>0.41194015914591897</v>
      </c>
      <c r="Q65" s="97">
        <f t="shared" ca="1" si="13"/>
        <v>0.3706884614661739</v>
      </c>
      <c r="R65" s="97">
        <f t="shared" ca="1" si="13"/>
        <v>0.33977847761058283</v>
      </c>
      <c r="S65" s="97">
        <f t="shared" ca="1" si="13"/>
        <v>0.90032856187687393</v>
      </c>
      <c r="T65" s="52"/>
      <c r="U65" s="52"/>
      <c r="V65" s="52"/>
      <c r="W65" s="52"/>
      <c r="X65" s="52"/>
      <c r="Y65" s="52"/>
      <c r="Z65" s="52"/>
      <c r="AA65" s="52"/>
      <c r="AB65" s="52"/>
      <c r="AC65" s="52"/>
    </row>
    <row r="66" spans="1:29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">
      <c r="A67" s="18" t="s">
        <v>1332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spans="1:29" x14ac:dyDescent="0.2">
      <c r="A68" s="22" t="s">
        <v>631</v>
      </c>
      <c r="B68" s="8"/>
      <c r="C68" s="8"/>
      <c r="D68" s="66">
        <f ca="1">D54*INDEX(Assumptions!$B:$B,MATCH("Customer Launch module SG&amp;A (% of external rev)",Assumptions!$A$1:$A$327,0))</f>
        <v>263.43200000000002</v>
      </c>
      <c r="E68" s="66">
        <f ca="1">E54*INDEX(Assumptions!$B:$B,MATCH("Customer Launch module SG&amp;A (% of external rev)",Assumptions!$A$1:$A$327,0))</f>
        <v>526.03949999999998</v>
      </c>
      <c r="F68" s="66">
        <f ca="1">F54*INDEX(Assumptions!$B:$B,MATCH("Customer Launch module SG&amp;A (% of external rev)",Assumptions!$A$1:$A$327,0))</f>
        <v>1074.0634884000001</v>
      </c>
      <c r="G68" s="66">
        <f ca="1">G54*INDEX(Assumptions!$B:$B,MATCH("Customer Launch module SG&amp;A (% of external rev)",Assumptions!$A$1:$A$327,0))</f>
        <v>1169.7089650413473</v>
      </c>
      <c r="H68" s="66">
        <f ca="1">H54*INDEX(Assumptions!$B:$B,MATCH("Customer Launch module SG&amp;A (% of external rev)",Assumptions!$A$1:$A$327,0))</f>
        <v>1290.9504646158725</v>
      </c>
      <c r="I68" s="66">
        <f ca="1">I54*INDEX(Assumptions!$B:$B,MATCH("Customer Launch module SG&amp;A (% of external rev)",Assumptions!$A$1:$A$327,0))</f>
        <v>1421.4707385468751</v>
      </c>
      <c r="J68" s="66">
        <f ca="1">J54*INDEX(Assumptions!$B:$B,MATCH("Customer Launch module SG&amp;A (% of external rev)",Assumptions!$A$1:$A$327,0))</f>
        <v>1415.6872754742187</v>
      </c>
      <c r="K68" s="66">
        <f ca="1">K54*INDEX(Assumptions!$B:$B,MATCH("Customer Launch module SG&amp;A (% of external rev)",Assumptions!$A$1:$A$327,0))</f>
        <v>2012.3746945191119</v>
      </c>
      <c r="L68" s="66">
        <f ca="1">L54*INDEX(Assumptions!$B:$B,MATCH("Customer Launch module SG&amp;A (% of external rev)",Assumptions!$A$1:$A$327,0))</f>
        <v>2038.9144350099641</v>
      </c>
      <c r="M68" s="66">
        <f ca="1">M54*INDEX(Assumptions!$B:$B,MATCH("Customer Launch module SG&amp;A (% of external rev)",Assumptions!$A$1:$A$327,0))</f>
        <v>2034.7425709070026</v>
      </c>
      <c r="N68" s="66">
        <f ca="1">N54*INDEX(Assumptions!$B:$B,MATCH("Customer Launch module SG&amp;A (% of external rev)",Assumptions!$A$1:$A$327,0))</f>
        <v>2021.3472895700188</v>
      </c>
      <c r="O68" s="66">
        <f ca="1">O54*INDEX(Assumptions!$B:$B,MATCH("Customer Launch module SG&amp;A (% of external rev)",Assumptions!$A$1:$A$327,0))</f>
        <v>2007.1544056501968</v>
      </c>
      <c r="P68" s="66">
        <f ca="1">P54*INDEX(Assumptions!$B:$B,MATCH("Customer Launch module SG&amp;A (% of external rev)",Assumptions!$A$1:$A$327,0))</f>
        <v>1994.2664447176949</v>
      </c>
      <c r="Q68" s="66">
        <f ca="1">Q54*INDEX(Assumptions!$B:$B,MATCH("Customer Launch module SG&amp;A (% of external rev)",Assumptions!$A$1:$A$327,0))</f>
        <v>1982.3983029382337</v>
      </c>
      <c r="R68" s="66">
        <f ca="1">R54*INDEX(Assumptions!$B:$B,MATCH("Customer Launch module SG&amp;A (% of external rev)",Assumptions!$A$1:$A$327,0))</f>
        <v>1997.3414958631959</v>
      </c>
      <c r="S68" s="66">
        <f ca="1">S54*INDEX(Assumptions!$B:$B,MATCH("Customer Launch module SG&amp;A (% of external rev)",Assumptions!$A$1:$A$327,0))</f>
        <v>294.77843182744954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x14ac:dyDescent="0.2">
      <c r="A69" s="20" t="s">
        <v>632</v>
      </c>
      <c r="B69" s="20"/>
      <c r="C69" s="20"/>
      <c r="D69" s="85">
        <f t="shared" ref="D69:S69" ca="1" si="14">D68</f>
        <v>263.43200000000002</v>
      </c>
      <c r="E69" s="85">
        <f t="shared" ca="1" si="14"/>
        <v>526.03949999999998</v>
      </c>
      <c r="F69" s="85">
        <f t="shared" ca="1" si="14"/>
        <v>1074.0634884000001</v>
      </c>
      <c r="G69" s="85">
        <f t="shared" ca="1" si="14"/>
        <v>1169.7089650413473</v>
      </c>
      <c r="H69" s="85">
        <f t="shared" ca="1" si="14"/>
        <v>1290.9504646158725</v>
      </c>
      <c r="I69" s="85">
        <f t="shared" ca="1" si="14"/>
        <v>1421.4707385468751</v>
      </c>
      <c r="J69" s="85">
        <f t="shared" ca="1" si="14"/>
        <v>1415.6872754742187</v>
      </c>
      <c r="K69" s="85">
        <f t="shared" ca="1" si="14"/>
        <v>2012.3746945191119</v>
      </c>
      <c r="L69" s="85">
        <f t="shared" ca="1" si="14"/>
        <v>2038.9144350099641</v>
      </c>
      <c r="M69" s="85">
        <f t="shared" ca="1" si="14"/>
        <v>2034.7425709070026</v>
      </c>
      <c r="N69" s="85">
        <f t="shared" ca="1" si="14"/>
        <v>2021.3472895700188</v>
      </c>
      <c r="O69" s="85">
        <f t="shared" ca="1" si="14"/>
        <v>2007.1544056501968</v>
      </c>
      <c r="P69" s="85">
        <f t="shared" ca="1" si="14"/>
        <v>1994.2664447176949</v>
      </c>
      <c r="Q69" s="85">
        <f t="shared" ca="1" si="14"/>
        <v>1982.3983029382337</v>
      </c>
      <c r="R69" s="85">
        <f t="shared" ca="1" si="14"/>
        <v>1997.3414958631959</v>
      </c>
      <c r="S69" s="85">
        <f t="shared" ca="1" si="14"/>
        <v>294.77843182744954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spans="1:29" x14ac:dyDescent="0.2">
      <c r="A70" s="22" t="s">
        <v>633</v>
      </c>
      <c r="B70" s="8"/>
      <c r="C70" s="8"/>
      <c r="D70" s="66" cm="1">
        <f t="array" aca="1" ref="D70" ca="1">INDEX(Assumptions!$D:$AC,MATCH("Starship R&amp;D total ($mm/yr): year-row",Assumptions!$A:$A,0),D$5+1)*IFERROR(D47/INDEX('Vehicle Build'!$D:$AC,MATCH("Starship launches per year",'Vehicle Build'!$A:$A,0),D$5+1),0)</f>
        <v>0</v>
      </c>
      <c r="E70" s="66" cm="1">
        <f t="array" aca="1" ref="E70" ca="1">INDEX(Assumptions!$D:$AC,MATCH("Starship R&amp;D total ($mm/yr): year-row",Assumptions!$A:$A,0),E$5+1)*IFERROR(E47/INDEX('Vehicle Build'!$D:$AC,MATCH("Starship launches per year",'Vehicle Build'!$A:$A,0),E$5+1),0)</f>
        <v>0</v>
      </c>
      <c r="F70" s="66" cm="1">
        <f t="array" aca="1" ref="F70" ca="1">INDEX(Assumptions!$D:$AC,MATCH("Starship R&amp;D total ($mm/yr): year-row",Assumptions!$A:$A,0),F$5+1)*IFERROR(F47/INDEX('Vehicle Build'!$D:$AC,MATCH("Starship launches per year",'Vehicle Build'!$A:$A,0),F$5+1),0)</f>
        <v>0</v>
      </c>
      <c r="G70" s="66" cm="1">
        <f t="array" aca="1" ref="G70" ca="1">INDEX(Assumptions!$D:$AC,MATCH("Starship R&amp;D total ($mm/yr): year-row",Assumptions!$A:$A,0),G$5+1)*IFERROR(G47/INDEX('Vehicle Build'!$D:$AC,MATCH("Starship launches per year",'Vehicle Build'!$A:$A,0),G$5+1),0)</f>
        <v>0</v>
      </c>
      <c r="H70" s="66" cm="1">
        <f t="array" aca="1" ref="H70" ca="1">INDEX(Assumptions!$D:$AC,MATCH("Starship R&amp;D total ($mm/yr): year-row",Assumptions!$A:$A,0),H$5+1)*IFERROR(H47/INDEX('Vehicle Build'!$D:$AC,MATCH("Starship launches per year",'Vehicle Build'!$A:$A,0),H$5+1),0)</f>
        <v>1.8235375728961424E-13</v>
      </c>
      <c r="I70" s="66" cm="1">
        <f t="array" aca="1" ref="I70" ca="1">INDEX(Assumptions!$D:$AC,MATCH("Starship R&amp;D total ($mm/yr): year-row",Assumptions!$A:$A,0),I$5+1)*IFERROR(I47/INDEX('Vehicle Build'!$D:$AC,MATCH("Starship launches per year",'Vehicle Build'!$A:$A,0),I$5+1),0)</f>
        <v>0</v>
      </c>
      <c r="J70" s="66" cm="1">
        <f t="array" aca="1" ref="J70" ca="1">INDEX(Assumptions!$D:$AC,MATCH("Starship R&amp;D total ($mm/yr): year-row",Assumptions!$A:$A,0),J$5+1)*IFERROR(J47/INDEX('Vehicle Build'!$D:$AC,MATCH("Starship launches per year",'Vehicle Build'!$A:$A,0),J$5+1),0)</f>
        <v>0</v>
      </c>
      <c r="K70" s="66" cm="1">
        <f t="array" aca="1" ref="K70" ca="1">INDEX(Assumptions!$D:$AC,MATCH("Starship R&amp;D total ($mm/yr): year-row",Assumptions!$A:$A,0),K$5+1)*IFERROR(K47/INDEX('Vehicle Build'!$D:$AC,MATCH("Starship launches per year",'Vehicle Build'!$A:$A,0),K$5+1),0)</f>
        <v>684.64121984335088</v>
      </c>
      <c r="L70" s="66" cm="1">
        <f t="array" aca="1" ref="L70" ca="1">INDEX(Assumptions!$D:$AC,MATCH("Starship R&amp;D total ($mm/yr): year-row",Assumptions!$A:$A,0),L$5+1)*IFERROR(L47/INDEX('Vehicle Build'!$D:$AC,MATCH("Starship launches per year",'Vehicle Build'!$A:$A,0),L$5+1),0)</f>
        <v>641.17688438004836</v>
      </c>
      <c r="M70" s="66" cm="1">
        <f t="array" aca="1" ref="M70" ca="1">INDEX(Assumptions!$D:$AC,MATCH("Starship R&amp;D total ($mm/yr): year-row",Assumptions!$A:$A,0),M$5+1)*IFERROR(M47/INDEX('Vehicle Build'!$D:$AC,MATCH("Starship launches per year",'Vehicle Build'!$A:$A,0),M$5+1),0)</f>
        <v>476.63439654080565</v>
      </c>
      <c r="N70" s="66" cm="1">
        <f t="array" aca="1" ref="N70" ca="1">INDEX(Assumptions!$D:$AC,MATCH("Starship R&amp;D total ($mm/yr): year-row",Assumptions!$A:$A,0),N$5+1)*IFERROR(N47/INDEX('Vehicle Build'!$D:$AC,MATCH("Starship launches per year",'Vehicle Build'!$A:$A,0),N$5+1),0)</f>
        <v>399.42569387442222</v>
      </c>
      <c r="O70" s="66" cm="1">
        <f t="array" aca="1" ref="O70" ca="1">INDEX(Assumptions!$D:$AC,MATCH("Starship R&amp;D total ($mm/yr): year-row",Assumptions!$A:$A,0),O$5+1)*IFERROR(O47/INDEX('Vehicle Build'!$D:$AC,MATCH("Starship launches per year",'Vehicle Build'!$A:$A,0),O$5+1),0)</f>
        <v>310.29949179382055</v>
      </c>
      <c r="P70" s="66" cm="1">
        <f t="array" aca="1" ref="P70" ca="1">INDEX(Assumptions!$D:$AC,MATCH("Starship R&amp;D total ($mm/yr): year-row",Assumptions!$A:$A,0),P$5+1)*IFERROR(P47/INDEX('Vehicle Build'!$D:$AC,MATCH("Starship launches per year",'Vehicle Build'!$A:$A,0),P$5+1),0)</f>
        <v>321.49990750922706</v>
      </c>
      <c r="Q70" s="66" cm="1">
        <f t="array" aca="1" ref="Q70" ca="1">INDEX(Assumptions!$D:$AC,MATCH("Starship R&amp;D total ($mm/yr): year-row",Assumptions!$A:$A,0),Q$5+1)*IFERROR(Q47/INDEX('Vehicle Build'!$D:$AC,MATCH("Starship launches per year",'Vehicle Build'!$A:$A,0),Q$5+1),0)</f>
        <v>392.22321989859876</v>
      </c>
      <c r="R70" s="66" cm="1">
        <f t="array" aca="1" ref="R70" ca="1">INDEX(Assumptions!$D:$AC,MATCH("Starship R&amp;D total ($mm/yr): year-row",Assumptions!$A:$A,0),R$5+1)*IFERROR(R47/INDEX('Vehicle Build'!$D:$AC,MATCH("Starship launches per year",'Vehicle Build'!$A:$A,0),R$5+1),0)</f>
        <v>395.86948261582654</v>
      </c>
      <c r="S70" s="66" cm="1">
        <f t="array" aca="1" ref="S70" ca="1">INDEX(Assumptions!$D:$AC,MATCH("Starship R&amp;D total ($mm/yr): year-row",Assumptions!$A:$A,0),S$5+1)*IFERROR(S47/INDEX('Vehicle Build'!$D:$AC,MATCH("Starship launches per year",'Vehicle Build'!$A:$A,0),S$5+1),0)</f>
        <v>1.5368044191986886E-13</v>
      </c>
      <c r="T70" s="66" cm="1">
        <f t="array" aca="1" ref="T70" ca="1">INDEX(Assumptions!$D:$AC,MATCH("Starship R&amp;D total ($mm/yr): year-row",Assumptions!$A:$A,0),T$5+1)*IFERROR(T47/INDEX('Vehicle Build'!$D:$AC,MATCH("Starship launches per year",'Vehicle Build'!$A:$A,0),T$5+1),0)</f>
        <v>0</v>
      </c>
      <c r="U70" s="66" cm="1">
        <f t="array" aca="1" ref="U70" ca="1">INDEX(Assumptions!$D:$AC,MATCH("Starship R&amp;D total ($mm/yr): year-row",Assumptions!$A:$A,0),U$5+1)*IFERROR(U47/INDEX('Vehicle Build'!$D:$AC,MATCH("Starship launches per year",'Vehicle Build'!$A:$A,0),U$5+1),0)</f>
        <v>0</v>
      </c>
      <c r="V70" s="66" cm="1">
        <f t="array" aca="1" ref="V70" ca="1">INDEX(Assumptions!$D:$AC,MATCH("Starship R&amp;D total ($mm/yr): year-row",Assumptions!$A:$A,0),V$5+1)*IFERROR(V47/INDEX('Vehicle Build'!$D:$AC,MATCH("Starship launches per year",'Vehicle Build'!$A:$A,0),V$5+1),0)</f>
        <v>0</v>
      </c>
      <c r="W70" s="66" cm="1">
        <f t="array" aca="1" ref="W70" ca="1">INDEX(Assumptions!$D:$AC,MATCH("Starship R&amp;D total ($mm/yr): year-row",Assumptions!$A:$A,0),W$5+1)*IFERROR(W47/INDEX('Vehicle Build'!$D:$AC,MATCH("Starship launches per year",'Vehicle Build'!$A:$A,0),W$5+1),0)</f>
        <v>0</v>
      </c>
      <c r="X70" s="66" cm="1">
        <f t="array" aca="1" ref="X70" ca="1">INDEX(Assumptions!$D:$AC,MATCH("Starship R&amp;D total ($mm/yr): year-row",Assumptions!$A:$A,0),X$5+1)*IFERROR(X47/INDEX('Vehicle Build'!$D:$AC,MATCH("Starship launches per year",'Vehicle Build'!$A:$A,0),X$5+1),0)</f>
        <v>0</v>
      </c>
      <c r="Y70" s="66" cm="1">
        <f t="array" aca="1" ref="Y70" ca="1">INDEX(Assumptions!$D:$AC,MATCH("Starship R&amp;D total ($mm/yr): year-row",Assumptions!$A:$A,0),Y$5+1)*IFERROR(Y47/INDEX('Vehicle Build'!$D:$AC,MATCH("Starship launches per year",'Vehicle Build'!$A:$A,0),Y$5+1),0)</f>
        <v>0</v>
      </c>
      <c r="Z70" s="66" cm="1">
        <f t="array" aca="1" ref="Z70" ca="1">INDEX(Assumptions!$D:$AC,MATCH("Starship R&amp;D total ($mm/yr): year-row",Assumptions!$A:$A,0),Z$5+1)*IFERROR(Z47/INDEX('Vehicle Build'!$D:$AC,MATCH("Starship launches per year",'Vehicle Build'!$A:$A,0),Z$5+1),0)</f>
        <v>0</v>
      </c>
      <c r="AA70" s="66" cm="1">
        <f t="array" aca="1" ref="AA70" ca="1">INDEX(Assumptions!$D:$AC,MATCH("Starship R&amp;D total ($mm/yr): year-row",Assumptions!$A:$A,0),AA$5+1)*IFERROR(AA47/INDEX('Vehicle Build'!$D:$AC,MATCH("Starship launches per year",'Vehicle Build'!$A:$A,0),AA$5+1),0)</f>
        <v>0</v>
      </c>
      <c r="AB70" s="66" cm="1">
        <f t="array" aca="1" ref="AB70" ca="1">INDEX(Assumptions!$D:$AC,MATCH("Starship R&amp;D total ($mm/yr): year-row",Assumptions!$A:$A,0),AB$5+1)*IFERROR(AB47/INDEX('Vehicle Build'!$D:$AC,MATCH("Starship launches per year",'Vehicle Build'!$A:$A,0),AB$5+1),0)</f>
        <v>0</v>
      </c>
      <c r="AC70" s="66" cm="1">
        <f t="array" aca="1" ref="AC70" ca="1">INDEX(Assumptions!$D:$AC,MATCH("Starship R&amp;D total ($mm/yr): year-row",Assumptions!$A:$A,0),AC$5+1)*IFERROR(AC47/INDEX('Vehicle Build'!$D:$AC,MATCH("Starship launches per year",'Vehicle Build'!$A:$A,0),AC$5+1),0)</f>
        <v>0</v>
      </c>
    </row>
    <row r="71" spans="1:29" x14ac:dyDescent="0.2">
      <c r="A71" s="20" t="s">
        <v>634</v>
      </c>
      <c r="B71" s="20"/>
      <c r="C71" s="20"/>
      <c r="D71" s="85">
        <f t="shared" ref="D71:S71" ca="1" si="15">D64-D69-D70</f>
        <v>2121.4740000000002</v>
      </c>
      <c r="E71" s="85">
        <f t="shared" ca="1" si="15"/>
        <v>3788.8514999999998</v>
      </c>
      <c r="F71" s="85">
        <f t="shared" ca="1" si="15"/>
        <v>7243.9289016832108</v>
      </c>
      <c r="G71" s="85">
        <f t="shared" ca="1" si="15"/>
        <v>7868.6564252486096</v>
      </c>
      <c r="H71" s="85">
        <f t="shared" ca="1" si="15"/>
        <v>8654.9006317316453</v>
      </c>
      <c r="I71" s="85">
        <f t="shared" ca="1" si="15"/>
        <v>9500.591459671874</v>
      </c>
      <c r="J71" s="85">
        <f t="shared" ca="1" si="15"/>
        <v>9494.5470326554678</v>
      </c>
      <c r="K71" s="85">
        <f t="shared" ca="1" si="15"/>
        <v>11241.278664122656</v>
      </c>
      <c r="L71" s="85">
        <f t="shared" ca="1" si="15"/>
        <v>10651.489961147956</v>
      </c>
      <c r="M71" s="85">
        <f t="shared" ca="1" si="15"/>
        <v>9982.0402333350721</v>
      </c>
      <c r="N71" s="85">
        <f t="shared" ca="1" si="15"/>
        <v>9160.2647082507065</v>
      </c>
      <c r="O71" s="85">
        <f t="shared" ca="1" si="15"/>
        <v>8320.2596860159356</v>
      </c>
      <c r="P71" s="85">
        <f t="shared" ca="1" si="15"/>
        <v>7349.1564314951147</v>
      </c>
      <c r="Q71" s="85">
        <f t="shared" ca="1" si="15"/>
        <v>6270.6982057434971</v>
      </c>
      <c r="R71" s="85">
        <f t="shared" ca="1" si="15"/>
        <v>5590.9496419073412</v>
      </c>
      <c r="S71" s="85">
        <f t="shared" ca="1" si="15"/>
        <v>2827.5444105199358</v>
      </c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 spans="1:29" x14ac:dyDescent="0.2">
      <c r="A72" s="21" t="s">
        <v>635</v>
      </c>
      <c r="B72" s="20"/>
      <c r="C72" s="20"/>
      <c r="D72" s="103">
        <f t="shared" ref="D72:S72" ca="1" si="16">IFERROR(D71/D54,0)</f>
        <v>0.6845231027361901</v>
      </c>
      <c r="E72" s="103">
        <f t="shared" ca="1" si="16"/>
        <v>0.61222090261282658</v>
      </c>
      <c r="F72" s="103">
        <f t="shared" ca="1" si="16"/>
        <v>0.57327519582693687</v>
      </c>
      <c r="G72" s="103">
        <f t="shared" ca="1" si="16"/>
        <v>0.57179675982263645</v>
      </c>
      <c r="H72" s="103">
        <f t="shared" ca="1" si="16"/>
        <v>0.56986427741523793</v>
      </c>
      <c r="I72" s="103">
        <f t="shared" ca="1" si="16"/>
        <v>0.5681089678269724</v>
      </c>
      <c r="J72" s="103">
        <f t="shared" ca="1" si="16"/>
        <v>0.5700669291566377</v>
      </c>
      <c r="K72" s="103">
        <f t="shared" ca="1" si="16"/>
        <v>0.47481648872490884</v>
      </c>
      <c r="L72" s="103">
        <f t="shared" ca="1" si="16"/>
        <v>0.44404837748532189</v>
      </c>
      <c r="M72" s="103">
        <f t="shared" ca="1" si="16"/>
        <v>0.41699300538803169</v>
      </c>
      <c r="N72" s="103">
        <f t="shared" ca="1" si="16"/>
        <v>0.38519976464160138</v>
      </c>
      <c r="O72" s="103">
        <f t="shared" ca="1" si="16"/>
        <v>0.35235060706864618</v>
      </c>
      <c r="P72" s="103">
        <f t="shared" ca="1" si="16"/>
        <v>0.31323712953788041</v>
      </c>
      <c r="Q72" s="103">
        <f t="shared" ca="1" si="16"/>
        <v>0.26887096639368163</v>
      </c>
      <c r="R72" s="103">
        <f t="shared" ca="1" si="16"/>
        <v>0.23793163089356556</v>
      </c>
      <c r="S72" s="103">
        <f t="shared" ca="1" si="16"/>
        <v>0.81532856187687397</v>
      </c>
      <c r="T72" s="104"/>
      <c r="U72" s="104"/>
      <c r="V72" s="104"/>
      <c r="W72" s="104"/>
      <c r="X72" s="104"/>
      <c r="Y72" s="104"/>
      <c r="Z72" s="104"/>
      <c r="AA72" s="104"/>
      <c r="AB72" s="104"/>
      <c r="AC72" s="104"/>
    </row>
    <row r="73" spans="1:29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">
      <c r="A74" s="18" t="s">
        <v>1333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x14ac:dyDescent="0.2">
      <c r="A75" s="22" t="s">
        <v>636</v>
      </c>
      <c r="B75" s="8"/>
      <c r="C75" s="8"/>
      <c r="D75" s="66">
        <f ca="1">MIN(SUM($D82:D82)/INDEX(Assumptions!$B:$B,MATCH("Asset life L: Customer Launch F9 (years)",Assumptions!$A$1:$A$327,0)), SUM($D82:D82)-SUM(C$75:$D75))</f>
        <v>4.4615384615384617</v>
      </c>
      <c r="E75" s="66">
        <f ca="1">MIN(SUM($D82:E82)/INDEX(Assumptions!$B:$B,MATCH("Asset life L: Customer Launch F9 (years)",Assumptions!$A$1:$A$327,0)), SUM($D82:E82)-SUM(D$75:$D75))</f>
        <v>15.585862785862787</v>
      </c>
      <c r="F75" s="66">
        <f ca="1">MIN(SUM($D82:F82)/INDEX(Assumptions!$B:$B,MATCH("Asset life L: Customer Launch F9 (years)",Assumptions!$A$1:$A$327,0)), SUM($D82:F82)-SUM($D$75:E75))</f>
        <v>40.796362785862783</v>
      </c>
      <c r="G75" s="66">
        <f ca="1">MIN(SUM($D82:G82)/INDEX(Assumptions!$B:$B,MATCH("Asset life L: Customer Launch F9 (years)",Assumptions!$A$1:$A$327,0)), SUM($D82:G82)-SUM($D$75:F75))</f>
        <v>61.973182785862782</v>
      </c>
      <c r="H75" s="66">
        <f ca="1">MIN(SUM($D82:H82)/INDEX(Assumptions!$B:$B,MATCH("Asset life L: Customer Launch F9 (years)",Assumptions!$A$1:$A$327,0)), SUM($D82:H82)-SUM($D$75:G75))</f>
        <v>79.267585785862778</v>
      </c>
      <c r="I75" s="66">
        <f ca="1">MIN(SUM($D82:I82)/INDEX(Assumptions!$B:$B,MATCH("Asset life L: Customer Launch F9 (years)",Assumptions!$A$1:$A$327,0)), SUM($D82:I82)-SUM($D$75:H75))</f>
        <v>92.826397737862777</v>
      </c>
      <c r="J75" s="66">
        <f ca="1">MIN(SUM($D82:J82)/INDEX(Assumptions!$B:$B,MATCH("Asset life L: Customer Launch F9 (years)",Assumptions!$A$1:$A$327,0)), SUM($D82:J82)-SUM($D$75:I75))</f>
        <v>102.79212452258278</v>
      </c>
      <c r="K75" s="66">
        <f ca="1">MIN(SUM($D82:K82)/INDEX(Assumptions!$B:$B,MATCH("Asset life L: Customer Launch F9 (years)",Assumptions!$A$1:$A$327,0)), SUM($D82:K82)-SUM($D$75:J75))</f>
        <v>109.30306602193318</v>
      </c>
      <c r="L75" s="66">
        <f ca="1">MIN(SUM($D82:L82)/INDEX(Assumptions!$B:$B,MATCH("Asset life L: Customer Launch F9 (years)",Assumptions!$A$1:$A$327,0)), SUM($D82:L82)-SUM($D$75:K75))</f>
        <v>112.49342735661487</v>
      </c>
      <c r="M75" s="66">
        <f ca="1">MIN(SUM($D82:M82)/INDEX(Assumptions!$B:$B,MATCH("Asset life L: Customer Launch F9 (years)",Assumptions!$A$1:$A$327,0)), SUM($D82:M82)-SUM($D$75:L75))</f>
        <v>112.49342735661487</v>
      </c>
      <c r="N75" s="66">
        <f ca="1">MIN(SUM($D82:N82)/INDEX(Assumptions!$B:$B,MATCH("Asset life L: Customer Launch F9 (years)",Assumptions!$A$1:$A$327,0)), SUM($D82:N82)-SUM($D$75:M75))</f>
        <v>112.49342735661487</v>
      </c>
      <c r="O75" s="66">
        <f ca="1">MIN(SUM($D82:O82)/INDEX(Assumptions!$B:$B,MATCH("Asset life L: Customer Launch F9 (years)",Assumptions!$A$1:$A$327,0)), SUM($D82:O82)-SUM($D$75:N75))</f>
        <v>55.461015895705941</v>
      </c>
      <c r="P75" s="66">
        <f ca="1">MIN(SUM($D82:P82)/INDEX(Assumptions!$B:$B,MATCH("Asset life L: Customer Launch F9 (years)",Assumptions!$A$1:$A$327,0)), SUM($D82:P82)-SUM($D$75:O75))</f>
        <v>0</v>
      </c>
      <c r="Q75" s="66">
        <f ca="1">MIN(SUM($D82:Q82)/INDEX(Assumptions!$B:$B,MATCH("Asset life L: Customer Launch F9 (years)",Assumptions!$A$1:$A$327,0)), SUM($D82:Q82)-SUM($D$75:P75))</f>
        <v>0</v>
      </c>
      <c r="R75" s="66">
        <f ca="1">MIN(SUM($D82:R82)/INDEX(Assumptions!$B:$B,MATCH("Asset life L: Customer Launch F9 (years)",Assumptions!$A$1:$A$327,0)), SUM($D82:R82)-SUM($D$75:Q75))</f>
        <v>0</v>
      </c>
      <c r="S75" s="66">
        <f ca="1">MIN(SUM($D82:S82)/INDEX(Assumptions!$B:$B,MATCH("Asset life L: Customer Launch F9 (years)",Assumptions!$A$1:$A$327,0)), SUM($D82:S82)-SUM($D$75:R75))</f>
        <v>0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x14ac:dyDescent="0.2">
      <c r="A76" s="22" t="s">
        <v>637</v>
      </c>
      <c r="B76" s="8"/>
      <c r="C76" s="8"/>
      <c r="D76" s="66">
        <f ca="1">MIN(SUM($D83:D83)/INDEX(Assumptions!$B:$B,MATCH("Asset life L: Customer Launch Starship (years)",Assumptions!$A$1:$A$327,0)), SUM($D83:D83)-SUM(C$76:$D76))</f>
        <v>0</v>
      </c>
      <c r="E76" s="66">
        <f ca="1">MIN(SUM($D83:E83)/INDEX(Assumptions!$B:$B,MATCH("Asset life L: Customer Launch Starship (years)",Assumptions!$A$1:$A$327,0)), SUM($D83:E83)-SUM(D$76:$D76))</f>
        <v>0</v>
      </c>
      <c r="F76" s="66">
        <f ca="1">MIN(SUM($D83:F83)/INDEX(Assumptions!$B:$B,MATCH("Asset life L: Customer Launch Starship (years)",Assumptions!$A$1:$A$327,0)), SUM($D83:F83)-SUM($D$76:E76))</f>
        <v>0</v>
      </c>
      <c r="G76" s="66">
        <f ca="1">MIN(SUM($D83:G83)/INDEX(Assumptions!$B:$B,MATCH("Asset life L: Customer Launch Starship (years)",Assumptions!$A$1:$A$327,0)), SUM($D83:G83)-SUM($D$76:F76))</f>
        <v>0</v>
      </c>
      <c r="H76" s="66">
        <f ca="1">MIN(SUM($D83:H83)/INDEX(Assumptions!$B:$B,MATCH("Asset life L: Customer Launch Starship (years)",Assumptions!$A$1:$A$327,0)), SUM($D83:H83)-SUM($D$76:G76))</f>
        <v>1.7297402208228684E-14</v>
      </c>
      <c r="I76" s="66">
        <f ca="1">MIN(SUM($D83:I83)/INDEX(Assumptions!$B:$B,MATCH("Asset life L: Customer Launch Starship (years)",Assumptions!$A$1:$A$327,0)), SUM($D83:I83)-SUM($D$76:H76))</f>
        <v>1.7297402208228684E-14</v>
      </c>
      <c r="J76" s="66">
        <f ca="1">MIN(SUM($D83:J83)/INDEX(Assumptions!$B:$B,MATCH("Asset life L: Customer Launch Starship (years)",Assumptions!$A$1:$A$327,0)), SUM($D83:J83)-SUM($D$76:I76))</f>
        <v>1.7297402208228684E-14</v>
      </c>
      <c r="K76" s="66">
        <f ca="1">MIN(SUM($D83:K83)/INDEX(Assumptions!$B:$B,MATCH("Asset life L: Customer Launch Starship (years)",Assumptions!$A$1:$A$327,0)), SUM($D83:K83)-SUM($D$76:J76))</f>
        <v>60.1171536443522</v>
      </c>
      <c r="L76" s="66">
        <f ca="1">MIN(SUM($D83:L83)/INDEX(Assumptions!$B:$B,MATCH("Asset life L: Customer Launch Starship (years)",Assumptions!$A$1:$A$327,0)), SUM($D83:L83)-SUM($D$76:K76))</f>
        <v>115.70790266171511</v>
      </c>
      <c r="M76" s="66">
        <f ca="1">MIN(SUM($D83:M83)/INDEX(Assumptions!$B:$B,MATCH("Asset life L: Customer Launch Starship (years)",Assumptions!$A$1:$A$327,0)), SUM($D83:M83)-SUM($D$76:L76))</f>
        <v>130.94826855997729</v>
      </c>
      <c r="N76" s="66">
        <f ca="1">MIN(SUM($D83:N83)/INDEX(Assumptions!$B:$B,MATCH("Asset life L: Customer Launch Starship (years)",Assumptions!$A$1:$A$327,0)), SUM($D83:N83)-SUM($D$76:M76))</f>
        <v>152.69652706702956</v>
      </c>
      <c r="O76" s="66">
        <f ca="1">MIN(SUM($D83:O83)/INDEX(Assumptions!$B:$B,MATCH("Asset life L: Customer Launch Starship (years)",Assumptions!$A$1:$A$327,0)), SUM($D83:O83)-SUM($D$76:N76))</f>
        <v>174.60075737936498</v>
      </c>
      <c r="P76" s="66">
        <f ca="1">MIN(SUM($D83:P83)/INDEX(Assumptions!$B:$B,MATCH("Asset life L: Customer Launch Starship (years)",Assumptions!$A$1:$A$327,0)), SUM($D83:P83)-SUM($D$76:O76))</f>
        <v>190.38541759207018</v>
      </c>
      <c r="Q76" s="66">
        <f ca="1">MIN(SUM($D83:Q83)/INDEX(Assumptions!$B:$B,MATCH("Asset life L: Customer Launch Starship (years)",Assumptions!$A$1:$A$327,0)), SUM($D83:Q83)-SUM($D$76:P76))</f>
        <v>198.88867038037418</v>
      </c>
      <c r="R76" s="66">
        <f ca="1">MIN(SUM($D83:R83)/INDEX(Assumptions!$B:$B,MATCH("Asset life L: Customer Launch Starship (years)",Assumptions!$A$1:$A$327,0)), SUM($D83:R83)-SUM($D$76:Q76))</f>
        <v>233.16061650775956</v>
      </c>
      <c r="S76" s="66">
        <f ca="1">MIN(SUM($D83:S83)/INDEX(Assumptions!$B:$B,MATCH("Asset life L: Customer Launch Starship (years)",Assumptions!$A$1:$A$327,0)), SUM($D83:S83)-SUM($D$76:R76))</f>
        <v>233.16061650775958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x14ac:dyDescent="0.2">
      <c r="A77" s="22" t="s">
        <v>638</v>
      </c>
      <c r="B77" s="8"/>
      <c r="C77" s="8"/>
      <c r="D77" s="67">
        <f t="shared" ref="D77:S77" ca="1" si="17">D32</f>
        <v>25</v>
      </c>
      <c r="E77" s="67">
        <f t="shared" ca="1" si="17"/>
        <v>50</v>
      </c>
      <c r="F77" s="67">
        <f t="shared" ca="1" si="17"/>
        <v>62.5</v>
      </c>
      <c r="G77" s="67">
        <f t="shared" ca="1" si="17"/>
        <v>78.213333333333338</v>
      </c>
      <c r="H77" s="67">
        <f t="shared" ca="1" si="17"/>
        <v>107.94666666666666</v>
      </c>
      <c r="I77" s="67">
        <f t="shared" ca="1" si="17"/>
        <v>137.68</v>
      </c>
      <c r="J77" s="67">
        <f t="shared" ca="1" si="17"/>
        <v>174.07999999999998</v>
      </c>
      <c r="K77" s="67">
        <f t="shared" ca="1" si="17"/>
        <v>199.91333333333333</v>
      </c>
      <c r="L77" s="67">
        <f t="shared" ca="1" si="17"/>
        <v>219.07999999999998</v>
      </c>
      <c r="M77" s="67">
        <f t="shared" ca="1" si="17"/>
        <v>258.24666666666667</v>
      </c>
      <c r="N77" s="67">
        <f t="shared" ca="1" si="17"/>
        <v>284.08</v>
      </c>
      <c r="O77" s="67">
        <f t="shared" ca="1" si="17"/>
        <v>329.9133333333333</v>
      </c>
      <c r="P77" s="67">
        <f t="shared" ca="1" si="17"/>
        <v>342.4133333333333</v>
      </c>
      <c r="Q77" s="67">
        <f t="shared" ca="1" si="17"/>
        <v>354.9133333333333</v>
      </c>
      <c r="R77" s="67">
        <f t="shared" ca="1" si="17"/>
        <v>367.4133333333333</v>
      </c>
      <c r="S77" s="67">
        <f t="shared" ca="1" si="17"/>
        <v>379.9133333333333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x14ac:dyDescent="0.2">
      <c r="A78" s="20" t="s">
        <v>639</v>
      </c>
      <c r="B78" s="20"/>
      <c r="C78" s="20"/>
      <c r="D78" s="85">
        <f t="shared" ref="D78:S78" ca="1" si="18">D75+D76+D77</f>
        <v>29.46153846153846</v>
      </c>
      <c r="E78" s="85">
        <f t="shared" ca="1" si="18"/>
        <v>65.585862785862787</v>
      </c>
      <c r="F78" s="85">
        <f t="shared" ca="1" si="18"/>
        <v>103.29636278586278</v>
      </c>
      <c r="G78" s="85">
        <f t="shared" ca="1" si="18"/>
        <v>140.18651611919611</v>
      </c>
      <c r="H78" s="85">
        <f t="shared" ca="1" si="18"/>
        <v>187.21425245252945</v>
      </c>
      <c r="I78" s="85">
        <f t="shared" ca="1" si="18"/>
        <v>230.50639773786281</v>
      </c>
      <c r="J78" s="85">
        <f t="shared" ca="1" si="18"/>
        <v>276.87212452258279</v>
      </c>
      <c r="K78" s="85">
        <f t="shared" ca="1" si="18"/>
        <v>369.33355299961875</v>
      </c>
      <c r="L78" s="85">
        <f t="shared" ca="1" si="18"/>
        <v>447.28133001832998</v>
      </c>
      <c r="M78" s="85">
        <f t="shared" ca="1" si="18"/>
        <v>501.68836258325882</v>
      </c>
      <c r="N78" s="85">
        <f t="shared" ca="1" si="18"/>
        <v>549.26995442364444</v>
      </c>
      <c r="O78" s="85">
        <f t="shared" ca="1" si="18"/>
        <v>559.97510660840419</v>
      </c>
      <c r="P78" s="85">
        <f t="shared" ca="1" si="18"/>
        <v>532.79875092540351</v>
      </c>
      <c r="Q78" s="85">
        <f t="shared" ca="1" si="18"/>
        <v>553.80200371370745</v>
      </c>
      <c r="R78" s="85">
        <f t="shared" ca="1" si="18"/>
        <v>600.57394984109283</v>
      </c>
      <c r="S78" s="85">
        <f t="shared" ca="1" si="18"/>
        <v>613.07394984109283</v>
      </c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 spans="1:29" x14ac:dyDescent="0.2">
      <c r="A79" s="20" t="s">
        <v>640</v>
      </c>
      <c r="B79" s="20"/>
      <c r="C79" s="20"/>
      <c r="D79" s="85">
        <f t="shared" ref="D79:S79" ca="1" si="19">D71-D78</f>
        <v>2092.0124615384616</v>
      </c>
      <c r="E79" s="85">
        <f t="shared" ca="1" si="19"/>
        <v>3723.2656372141369</v>
      </c>
      <c r="F79" s="85">
        <f t="shared" ca="1" si="19"/>
        <v>7140.6325388973482</v>
      </c>
      <c r="G79" s="85">
        <f t="shared" ca="1" si="19"/>
        <v>7728.4699091294133</v>
      </c>
      <c r="H79" s="85">
        <f t="shared" ca="1" si="19"/>
        <v>8467.6863792791155</v>
      </c>
      <c r="I79" s="85">
        <f t="shared" ca="1" si="19"/>
        <v>9270.0850619340108</v>
      </c>
      <c r="J79" s="85">
        <f t="shared" ca="1" si="19"/>
        <v>9217.6749081328853</v>
      </c>
      <c r="K79" s="85">
        <f t="shared" ca="1" si="19"/>
        <v>10871.945111123037</v>
      </c>
      <c r="L79" s="85">
        <f t="shared" ca="1" si="19"/>
        <v>10204.208631129626</v>
      </c>
      <c r="M79" s="85">
        <f t="shared" ca="1" si="19"/>
        <v>9480.3518707518124</v>
      </c>
      <c r="N79" s="85">
        <f t="shared" ca="1" si="19"/>
        <v>8610.9947538270626</v>
      </c>
      <c r="O79" s="85">
        <f t="shared" ca="1" si="19"/>
        <v>7760.2845794075311</v>
      </c>
      <c r="P79" s="85">
        <f t="shared" ca="1" si="19"/>
        <v>6816.3576805697112</v>
      </c>
      <c r="Q79" s="85">
        <f t="shared" ca="1" si="19"/>
        <v>5716.8962020297895</v>
      </c>
      <c r="R79" s="85">
        <f t="shared" ca="1" si="19"/>
        <v>4990.3756920662481</v>
      </c>
      <c r="S79" s="85">
        <f t="shared" ca="1" si="19"/>
        <v>2214.4704606788428</v>
      </c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 spans="1:29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">
      <c r="A81" s="18" t="s">
        <v>1489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spans="1:29" x14ac:dyDescent="0.2">
      <c r="A82" s="22" t="s">
        <v>641</v>
      </c>
      <c r="B82" s="8"/>
      <c r="C82" s="8"/>
      <c r="D82" s="70">
        <f t="array" aca="1" ref="D82" ca="1">IFERROR(D131/INDEX('Vehicle Build'!$D:$AC,MATCH("Memo: Total F9 launches (internal + customer)",'Vehicle Build'!$A$1:$A$119,0),D$5+1),0)*INDEX('Vehicle Build'!$D:$AC,MATCH("F9 boosters built per year",'Vehicle Build'!$A$1:$A$119,0),D$5+1)*INDEX(Assumptions!$B:$B,MATCH("F9 booster (1st stage) mfg cost ($mm/unit)",Assumptions!$A$1:$A$327,0))*(1-INDEX(Assumptions!$B:$B,MATCH("F9 Wright's Law mfg learning rate",Assumptions!$A$1:$A$327,0)))^D$5</f>
        <v>35.692307692307693</v>
      </c>
      <c r="E82" s="70">
        <f t="array" aca="1" ref="E82" ca="1">IFERROR(E131/INDEX('Vehicle Build'!$D:$AC,MATCH("Memo: Total F9 launches (internal + customer)",'Vehicle Build'!$A$1:$A$119,0),E$5+1),0)*INDEX('Vehicle Build'!$D:$AC,MATCH("F9 boosters built per year",'Vehicle Build'!$A$1:$A$119,0),E$5+1)*INDEX(Assumptions!$B:$B,MATCH("F9 booster (1st stage) mfg cost ($mm/unit)",Assumptions!$A$1:$A$327,0))*(1-INDEX(Assumptions!$B:$B,MATCH("F9 Wright's Law mfg learning rate",Assumptions!$A$1:$A$327,0)))^E$5</f>
        <v>88.994594594594602</v>
      </c>
      <c r="F82" s="70">
        <f t="array" aca="1" ref="F82" ca="1">IFERROR(F131/INDEX('Vehicle Build'!$D:$AC,MATCH("Memo: Total F9 launches (internal + customer)",'Vehicle Build'!$A$1:$A$119,0),F$5+1),0)*INDEX('Vehicle Build'!$D:$AC,MATCH("F9 boosters built per year",'Vehicle Build'!$A$1:$A$119,0),F$5+1)*INDEX(Assumptions!$B:$B,MATCH("F9 booster (1st stage) mfg cost ($mm/unit)",Assumptions!$A$1:$A$327,0))*(1-INDEX(Assumptions!$B:$B,MATCH("F9 Wright's Law mfg learning rate",Assumptions!$A$1:$A$327,0)))^F$5</f>
        <v>201.68399999999997</v>
      </c>
      <c r="G82" s="70">
        <f t="array" aca="1" ref="G82" ca="1">IFERROR(G131/INDEX('Vehicle Build'!$D:$AC,MATCH("Memo: Total F9 launches (internal + customer)",'Vehicle Build'!$A$1:$A$119,0),G$5+1),0)*INDEX('Vehicle Build'!$D:$AC,MATCH("F9 boosters built per year",'Vehicle Build'!$A$1:$A$119,0),G$5+1)*INDEX(Assumptions!$B:$B,MATCH("F9 booster (1st stage) mfg cost ($mm/unit)",Assumptions!$A$1:$A$327,0))*(1-INDEX(Assumptions!$B:$B,MATCH("F9 Wright's Law mfg learning rate",Assumptions!$A$1:$A$327,0)))^G$5</f>
        <v>169.41455999999999</v>
      </c>
      <c r="H82" s="70">
        <f t="array" aca="1" ref="H82" ca="1">IFERROR(H131/INDEX('Vehicle Build'!$D:$AC,MATCH("Memo: Total F9 launches (internal + customer)",'Vehicle Build'!$A$1:$A$119,0),H$5+1),0)*INDEX('Vehicle Build'!$D:$AC,MATCH("F9 boosters built per year",'Vehicle Build'!$A$1:$A$119,0),H$5+1)*INDEX(Assumptions!$B:$B,MATCH("F9 booster (1st stage) mfg cost ($mm/unit)",Assumptions!$A$1:$A$327,0))*(1-INDEX(Assumptions!$B:$B,MATCH("F9 Wright's Law mfg learning rate",Assumptions!$A$1:$A$327,0)))^H$5</f>
        <v>138.35522399999999</v>
      </c>
      <c r="I82" s="70">
        <f t="array" aca="1" ref="I82" ca="1">IFERROR(I131/INDEX('Vehicle Build'!$D:$AC,MATCH("Memo: Total F9 launches (internal + customer)",'Vehicle Build'!$A$1:$A$119,0),I$5+1),0)*INDEX('Vehicle Build'!$D:$AC,MATCH("F9 boosters built per year",'Vehicle Build'!$A$1:$A$119,0),I$5+1)*INDEX(Assumptions!$B:$B,MATCH("F9 booster (1st stage) mfg cost ($mm/unit)",Assumptions!$A$1:$A$327,0))*(1-INDEX(Assumptions!$B:$B,MATCH("F9 Wright's Law mfg learning rate",Assumptions!$A$1:$A$327,0)))^I$5</f>
        <v>108.47049561599998</v>
      </c>
      <c r="J82" s="70">
        <f t="array" aca="1" ref="J82" ca="1">IFERROR(J131/INDEX('Vehicle Build'!$D:$AC,MATCH("Memo: Total F9 launches (internal + customer)",'Vehicle Build'!$A$1:$A$119,0),J$5+1),0)*INDEX('Vehicle Build'!$D:$AC,MATCH("F9 boosters built per year",'Vehicle Build'!$A$1:$A$119,0),J$5+1)*INDEX(Assumptions!$B:$B,MATCH("F9 booster (1st stage) mfg cost ($mm/unit)",Assumptions!$A$1:$A$327,0))*(1-INDEX(Assumptions!$B:$B,MATCH("F9 Wright's Law mfg learning rate",Assumptions!$A$1:$A$327,0)))^J$5</f>
        <v>79.72581427775998</v>
      </c>
      <c r="K82" s="70">
        <f t="array" aca="1" ref="K82" ca="1">IFERROR(K131/INDEX('Vehicle Build'!$D:$AC,MATCH("Memo: Total F9 launches (internal + customer)",'Vehicle Build'!$A$1:$A$119,0),K$5+1),0)*INDEX('Vehicle Build'!$D:$AC,MATCH("F9 boosters built per year",'Vehicle Build'!$A$1:$A$119,0),K$5+1)*INDEX(Assumptions!$B:$B,MATCH("F9 booster (1st stage) mfg cost ($mm/unit)",Assumptions!$A$1:$A$327,0))*(1-INDEX(Assumptions!$B:$B,MATCH("F9 Wright's Law mfg learning rate",Assumptions!$A$1:$A$327,0)))^K$5</f>
        <v>52.087531994803186</v>
      </c>
      <c r="L82" s="70">
        <f t="array" aca="1" ref="L82" ca="1">IFERROR(L131/INDEX('Vehicle Build'!$D:$AC,MATCH("Memo: Total F9 launches (internal + customer)",'Vehicle Build'!$A$1:$A$119,0),L$5+1),0)*INDEX('Vehicle Build'!$D:$AC,MATCH("F9 boosters built per year",'Vehicle Build'!$A$1:$A$119,0),L$5+1)*INDEX(Assumptions!$B:$B,MATCH("F9 booster (1st stage) mfg cost ($mm/unit)",Assumptions!$A$1:$A$327,0))*(1-INDEX(Assumptions!$B:$B,MATCH("F9 Wright's Law mfg learning rate",Assumptions!$A$1:$A$327,0)))^L$5</f>
        <v>25.52289067745356</v>
      </c>
      <c r="M82" s="70">
        <f t="array" aca="1" ref="M82" ca="1">IFERROR(M131/INDEX('Vehicle Build'!$D:$AC,MATCH("Memo: Total F9 launches (internal + customer)",'Vehicle Build'!$A$1:$A$119,0),M$5+1),0)*INDEX('Vehicle Build'!$D:$AC,MATCH("F9 boosters built per year",'Vehicle Build'!$A$1:$A$119,0),M$5+1)*INDEX(Assumptions!$B:$B,MATCH("F9 booster (1st stage) mfg cost ($mm/unit)",Assumptions!$A$1:$A$327,0))*(1-INDEX(Assumptions!$B:$B,MATCH("F9 Wright's Law mfg learning rate",Assumptions!$A$1:$A$327,0)))^M$5</f>
        <v>0</v>
      </c>
      <c r="N82" s="70">
        <f t="array" aca="1" ref="N82" ca="1">IFERROR(N131/INDEX('Vehicle Build'!$D:$AC,MATCH("Memo: Total F9 launches (internal + customer)",'Vehicle Build'!$A$1:$A$119,0),N$5+1),0)*INDEX('Vehicle Build'!$D:$AC,MATCH("F9 boosters built per year",'Vehicle Build'!$A$1:$A$119,0),N$5+1)*INDEX(Assumptions!$B:$B,MATCH("F9 booster (1st stage) mfg cost ($mm/unit)",Assumptions!$A$1:$A$327,0))*(1-INDEX(Assumptions!$B:$B,MATCH("F9 Wright's Law mfg learning rate",Assumptions!$A$1:$A$327,0)))^N$5</f>
        <v>0</v>
      </c>
      <c r="O82" s="70">
        <f t="array" aca="1" ref="O82" ca="1">IFERROR(O131/INDEX('Vehicle Build'!$D:$AC,MATCH("Memo: Total F9 launches (internal + customer)",'Vehicle Build'!$A$1:$A$119,0),O$5+1),0)*INDEX('Vehicle Build'!$D:$AC,MATCH("F9 boosters built per year",'Vehicle Build'!$A$1:$A$119,0),O$5+1)*INDEX(Assumptions!$B:$B,MATCH("F9 booster (1st stage) mfg cost ($mm/unit)",Assumptions!$A$1:$A$327,0))*(1-INDEX(Assumptions!$B:$B,MATCH("F9 Wright's Law mfg learning rate",Assumptions!$A$1:$A$327,0)))^O$5</f>
        <v>0</v>
      </c>
      <c r="P82" s="70">
        <f t="array" aca="1" ref="P82" ca="1">IFERROR(P131/INDEX('Vehicle Build'!$D:$AC,MATCH("Memo: Total F9 launches (internal + customer)",'Vehicle Build'!$A$1:$A$119,0),P$5+1),0)*INDEX('Vehicle Build'!$D:$AC,MATCH("F9 boosters built per year",'Vehicle Build'!$A$1:$A$119,0),P$5+1)*INDEX(Assumptions!$B:$B,MATCH("F9 booster (1st stage) mfg cost ($mm/unit)",Assumptions!$A$1:$A$327,0))*(1-INDEX(Assumptions!$B:$B,MATCH("F9 Wright's Law mfg learning rate",Assumptions!$A$1:$A$327,0)))^P$5</f>
        <v>0</v>
      </c>
      <c r="Q82" s="70">
        <f t="array" aca="1" ref="Q82" ca="1">IFERROR(Q131/INDEX('Vehicle Build'!$D:$AC,MATCH("Memo: Total F9 launches (internal + customer)",'Vehicle Build'!$A$1:$A$119,0),Q$5+1),0)*INDEX('Vehicle Build'!$D:$AC,MATCH("F9 boosters built per year",'Vehicle Build'!$A$1:$A$119,0),Q$5+1)*INDEX(Assumptions!$B:$B,MATCH("F9 booster (1st stage) mfg cost ($mm/unit)",Assumptions!$A$1:$A$327,0))*(1-INDEX(Assumptions!$B:$B,MATCH("F9 Wright's Law mfg learning rate",Assumptions!$A$1:$A$327,0)))^Q$5</f>
        <v>0</v>
      </c>
      <c r="R82" s="70">
        <f t="array" aca="1" ref="R82" ca="1">IFERROR(R131/INDEX('Vehicle Build'!$D:$AC,MATCH("Memo: Total F9 launches (internal + customer)",'Vehicle Build'!$A$1:$A$119,0),R$5+1),0)*INDEX('Vehicle Build'!$D:$AC,MATCH("F9 boosters built per year",'Vehicle Build'!$A$1:$A$119,0),R$5+1)*INDEX(Assumptions!$B:$B,MATCH("F9 booster (1st stage) mfg cost ($mm/unit)",Assumptions!$A$1:$A$327,0))*(1-INDEX(Assumptions!$B:$B,MATCH("F9 Wright's Law mfg learning rate",Assumptions!$A$1:$A$327,0)))^R$5</f>
        <v>0</v>
      </c>
      <c r="S82" s="70">
        <f t="array" aca="1" ref="S82" ca="1">IFERROR(S131/INDEX('Vehicle Build'!$D:$AC,MATCH("Memo: Total F9 launches (internal + customer)",'Vehicle Build'!$A$1:$A$119,0),S$5+1),0)*INDEX('Vehicle Build'!$D:$AC,MATCH("F9 boosters built per year",'Vehicle Build'!$A$1:$A$119,0),S$5+1)*INDEX(Assumptions!$B:$B,MATCH("F9 booster (1st stage) mfg cost ($mm/unit)",Assumptions!$A$1:$A$327,0))*(1-INDEX(Assumptions!$B:$B,MATCH("F9 Wright's Law mfg learning rate",Assumptions!$A$1:$A$327,0)))^S$5</f>
        <v>0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x14ac:dyDescent="0.2">
      <c r="A83" s="22" t="s">
        <v>642</v>
      </c>
      <c r="B83" s="8"/>
      <c r="C83" s="8"/>
      <c r="D83" s="70">
        <f t="array" aca="1" ref="D83" ca="1">IFERROR(D47/INDEX('Vehicle Build'!$D:$AC,MATCH("Starship launches per year",'Vehicle Build'!$A$1:$A$119,0),D$5+1),0)*INDEX('Vehicle Build'!$D:$AC,MATCH("Total Starship build CapEx ($mm)",'Vehicle Build'!$A$1:$A$119,0),D$5+1)</f>
        <v>0</v>
      </c>
      <c r="E83" s="70">
        <f t="array" aca="1" ref="E83" ca="1">IFERROR(E47/INDEX('Vehicle Build'!$D:$AC,MATCH("Starship launches per year",'Vehicle Build'!$A$1:$A$119,0),E$5+1),0)*INDEX('Vehicle Build'!$D:$AC,MATCH("Total Starship build CapEx ($mm)",'Vehicle Build'!$A$1:$A$119,0),E$5+1)</f>
        <v>0</v>
      </c>
      <c r="F83" s="70">
        <f t="array" aca="1" ref="F83" ca="1">IFERROR(F47/INDEX('Vehicle Build'!$D:$AC,MATCH("Starship launches per year",'Vehicle Build'!$A$1:$A$119,0),F$5+1),0)*INDEX('Vehicle Build'!$D:$AC,MATCH("Total Starship build CapEx ($mm)",'Vehicle Build'!$A$1:$A$119,0),F$5+1)</f>
        <v>0</v>
      </c>
      <c r="G83" s="70">
        <f t="array" aca="1" ref="G83" ca="1">IFERROR(G47/INDEX('Vehicle Build'!$D:$AC,MATCH("Starship launches per year",'Vehicle Build'!$A$1:$A$119,0),G$5+1),0)*INDEX('Vehicle Build'!$D:$AC,MATCH("Total Starship build CapEx ($mm)",'Vehicle Build'!$A$1:$A$119,0),G$5+1)</f>
        <v>0</v>
      </c>
      <c r="H83" s="70">
        <f t="array" aca="1" ref="H83" ca="1">IFERROR(H47/INDEX('Vehicle Build'!$D:$AC,MATCH("Starship launches per year",'Vehicle Build'!$A$1:$A$119,0),H$5+1),0)*INDEX('Vehicle Build'!$D:$AC,MATCH("Total Starship build CapEx ($mm)",'Vehicle Build'!$A$1:$A$119,0),H$5+1)</f>
        <v>1.3837921766582947E-13</v>
      </c>
      <c r="I83" s="70">
        <f t="array" aca="1" ref="I83" ca="1">IFERROR(I47/INDEX('Vehicle Build'!$D:$AC,MATCH("Starship launches per year",'Vehicle Build'!$A$1:$A$119,0),I$5+1),0)*INDEX('Vehicle Build'!$D:$AC,MATCH("Total Starship build CapEx ($mm)",'Vehicle Build'!$A$1:$A$119,0),I$5+1)</f>
        <v>0</v>
      </c>
      <c r="J83" s="70">
        <f t="array" aca="1" ref="J83" ca="1">IFERROR(J47/INDEX('Vehicle Build'!$D:$AC,MATCH("Starship launches per year",'Vehicle Build'!$A$1:$A$119,0),J$5+1),0)*INDEX('Vehicle Build'!$D:$AC,MATCH("Total Starship build CapEx ($mm)",'Vehicle Build'!$A$1:$A$119,0),J$5+1)</f>
        <v>0</v>
      </c>
      <c r="K83" s="70">
        <f t="array" aca="1" ref="K83" ca="1">IFERROR(K47/INDEX('Vehicle Build'!$D:$AC,MATCH("Starship launches per year",'Vehicle Build'!$A$1:$A$119,0),K$5+1),0)*INDEX('Vehicle Build'!$D:$AC,MATCH("Total Starship build CapEx ($mm)",'Vehicle Build'!$A$1:$A$119,0),K$5+1)</f>
        <v>480.93722915481749</v>
      </c>
      <c r="L83" s="70">
        <f t="array" aca="1" ref="L83" ca="1">IFERROR(L47/INDEX('Vehicle Build'!$D:$AC,MATCH("Starship launches per year",'Vehicle Build'!$A$1:$A$119,0),L$5+1),0)*INDEX('Vehicle Build'!$D:$AC,MATCH("Total Starship build CapEx ($mm)",'Vehicle Build'!$A$1:$A$119,0),L$5+1)</f>
        <v>444.72599213890322</v>
      </c>
      <c r="M83" s="70">
        <f t="array" aca="1" ref="M83" ca="1">IFERROR(M47/INDEX('Vehicle Build'!$D:$AC,MATCH("Starship launches per year",'Vehicle Build'!$A$1:$A$119,0),M$5+1),0)*INDEX('Vehicle Build'!$D:$AC,MATCH("Total Starship build CapEx ($mm)",'Vehicle Build'!$A$1:$A$119,0),M$5+1)</f>
        <v>121.92292718609752</v>
      </c>
      <c r="N83" s="70">
        <f t="array" aca="1" ref="N83" ca="1">IFERROR(N47/INDEX('Vehicle Build'!$D:$AC,MATCH("Starship launches per year",'Vehicle Build'!$A$1:$A$119,0),N$5+1),0)*INDEX('Vehicle Build'!$D:$AC,MATCH("Total Starship build CapEx ($mm)",'Vehicle Build'!$A$1:$A$119,0),N$5+1)</f>
        <v>173.98606805641819</v>
      </c>
      <c r="O83" s="70">
        <f t="array" aca="1" ref="O83" ca="1">IFERROR(O47/INDEX('Vehicle Build'!$D:$AC,MATCH("Starship launches per year",'Vehicle Build'!$A$1:$A$119,0),O$5+1),0)*INDEX('Vehicle Build'!$D:$AC,MATCH("Total Starship build CapEx ($mm)",'Vehicle Build'!$A$1:$A$119,0),O$5+1)</f>
        <v>175.23384249868337</v>
      </c>
      <c r="P83" s="70">
        <f t="array" aca="1" ref="P83" ca="1">IFERROR(P47/INDEX('Vehicle Build'!$D:$AC,MATCH("Starship launches per year",'Vehicle Build'!$A$1:$A$119,0),P$5+1),0)*INDEX('Vehicle Build'!$D:$AC,MATCH("Total Starship build CapEx ($mm)",'Vehicle Build'!$A$1:$A$119,0),P$5+1)</f>
        <v>126.27728170164173</v>
      </c>
      <c r="Q83" s="70">
        <f t="array" aca="1" ref="Q83" ca="1">IFERROR(Q47/INDEX('Vehicle Build'!$D:$AC,MATCH("Starship launches per year",'Vehicle Build'!$A$1:$A$119,0),Q$5+1),0)*INDEX('Vehicle Build'!$D:$AC,MATCH("Total Starship build CapEx ($mm)",'Vehicle Build'!$A$1:$A$119,0),Q$5+1)</f>
        <v>68.026022306431884</v>
      </c>
      <c r="R83" s="70">
        <f t="array" aca="1" ref="R83" ca="1">IFERROR(R47/INDEX('Vehicle Build'!$D:$AC,MATCH("Starship launches per year",'Vehicle Build'!$A$1:$A$119,0),R$5+1),0)*INDEX('Vehicle Build'!$D:$AC,MATCH("Total Starship build CapEx ($mm)",'Vehicle Build'!$A$1:$A$119,0),R$5+1)</f>
        <v>274.17556901908296</v>
      </c>
      <c r="S83" s="70">
        <f t="array" aca="1" ref="S83" ca="1">IFERROR(S47/INDEX('Vehicle Build'!$D:$AC,MATCH("Starship launches per year",'Vehicle Build'!$A$1:$A$119,0),S$5+1),0)*INDEX('Vehicle Build'!$D:$AC,MATCH("Total Starship build CapEx ($mm)",'Vehicle Build'!$A$1:$A$119,0),S$5+1)</f>
        <v>1.6325471073272916E-13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x14ac:dyDescent="0.2">
      <c r="A84" s="22" t="s">
        <v>643</v>
      </c>
      <c r="B84" s="8"/>
      <c r="C84" s="8"/>
      <c r="D84" s="67">
        <f t="shared" ref="D84:S84" ca="1" si="20">D31</f>
        <v>750</v>
      </c>
      <c r="E84" s="67">
        <f t="shared" ca="1" si="20"/>
        <v>750</v>
      </c>
      <c r="F84" s="67">
        <f t="shared" ca="1" si="20"/>
        <v>375</v>
      </c>
      <c r="G84" s="67">
        <f t="shared" ca="1" si="20"/>
        <v>471.4</v>
      </c>
      <c r="H84" s="67">
        <f t="shared" ca="1" si="20"/>
        <v>892</v>
      </c>
      <c r="I84" s="67">
        <f t="shared" ca="1" si="20"/>
        <v>892</v>
      </c>
      <c r="J84" s="67">
        <f t="shared" ca="1" si="20"/>
        <v>1092</v>
      </c>
      <c r="K84" s="67">
        <f t="shared" ca="1" si="20"/>
        <v>775</v>
      </c>
      <c r="L84" s="67">
        <f t="shared" ca="1" si="20"/>
        <v>575</v>
      </c>
      <c r="M84" s="67">
        <f t="shared" ca="1" si="20"/>
        <v>1175</v>
      </c>
      <c r="N84" s="67">
        <f t="shared" ca="1" si="20"/>
        <v>775</v>
      </c>
      <c r="O84" s="67">
        <f t="shared" ca="1" si="20"/>
        <v>1375</v>
      </c>
      <c r="P84" s="67">
        <f t="shared" ca="1" si="20"/>
        <v>375</v>
      </c>
      <c r="Q84" s="67">
        <f t="shared" ca="1" si="20"/>
        <v>375</v>
      </c>
      <c r="R84" s="67">
        <f t="shared" ca="1" si="20"/>
        <v>375</v>
      </c>
      <c r="S84" s="67">
        <f t="shared" ca="1" si="20"/>
        <v>375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x14ac:dyDescent="0.2">
      <c r="A85" s="22" t="s">
        <v>644</v>
      </c>
      <c r="B85" s="8"/>
      <c r="C85" s="8"/>
      <c r="D85" s="67">
        <f ca="1">0.02*D54</f>
        <v>61.983999999999995</v>
      </c>
      <c r="E85" s="67">
        <f t="shared" ref="E85:S85" ca="1" si="21">0.02*(E54-D54)</f>
        <v>61.79</v>
      </c>
      <c r="F85" s="67">
        <f t="shared" ca="1" si="21"/>
        <v>128.94682080000001</v>
      </c>
      <c r="G85" s="67">
        <f t="shared" ca="1" si="21"/>
        <v>22.504818033258161</v>
      </c>
      <c r="H85" s="67">
        <f t="shared" ca="1" si="21"/>
        <v>28.527411664594183</v>
      </c>
      <c r="I85" s="67">
        <f t="shared" ca="1" si="21"/>
        <v>30.710652689647649</v>
      </c>
      <c r="J85" s="67">
        <f t="shared" ca="1" si="21"/>
        <v>-1.3608148406250258</v>
      </c>
      <c r="K85" s="67">
        <f t="shared" ca="1" si="21"/>
        <v>140.39703977526901</v>
      </c>
      <c r="L85" s="67">
        <f t="shared" ca="1" si="21"/>
        <v>6.2446448213769328</v>
      </c>
      <c r="M85" s="67">
        <f t="shared" ca="1" si="21"/>
        <v>-0.98161508304976453</v>
      </c>
      <c r="N85" s="67">
        <f t="shared" ca="1" si="21"/>
        <v>-3.1518309028197109</v>
      </c>
      <c r="O85" s="67">
        <f t="shared" ca="1" si="21"/>
        <v>-3.3395020987815953</v>
      </c>
      <c r="P85" s="67">
        <f t="shared" ca="1" si="21"/>
        <v>-3.0324613958828559</v>
      </c>
      <c r="Q85" s="67">
        <f t="shared" ca="1" si="21"/>
        <v>-2.792503948108497</v>
      </c>
      <c r="R85" s="67">
        <f t="shared" ca="1" si="21"/>
        <v>3.5160453941087328</v>
      </c>
      <c r="S85" s="67">
        <f t="shared" ca="1" si="21"/>
        <v>-400.60307389076377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x14ac:dyDescent="0.2">
      <c r="A86" s="20" t="s">
        <v>645</v>
      </c>
      <c r="B86" s="20"/>
      <c r="C86" s="20"/>
      <c r="D86" s="85">
        <f t="shared" ref="D86:S86" ca="1" si="22">SUM(D82:D85)</f>
        <v>847.67630769230777</v>
      </c>
      <c r="E86" s="85">
        <f t="shared" ca="1" si="22"/>
        <v>900.78459459459452</v>
      </c>
      <c r="F86" s="85">
        <f t="shared" ca="1" si="22"/>
        <v>705.63082080000004</v>
      </c>
      <c r="G86" s="85">
        <f t="shared" ca="1" si="22"/>
        <v>663.3193780332582</v>
      </c>
      <c r="H86" s="85">
        <f t="shared" ca="1" si="22"/>
        <v>1058.8826356645943</v>
      </c>
      <c r="I86" s="85">
        <f t="shared" ca="1" si="22"/>
        <v>1031.1811483056476</v>
      </c>
      <c r="J86" s="85">
        <f t="shared" ca="1" si="22"/>
        <v>1170.3649994371351</v>
      </c>
      <c r="K86" s="85">
        <f t="shared" ca="1" si="22"/>
        <v>1448.4218009248896</v>
      </c>
      <c r="L86" s="85">
        <f t="shared" ca="1" si="22"/>
        <v>1051.4935276377337</v>
      </c>
      <c r="M86" s="85">
        <f t="shared" ca="1" si="22"/>
        <v>1295.9413121030477</v>
      </c>
      <c r="N86" s="85">
        <f t="shared" ca="1" si="22"/>
        <v>945.83423715359845</v>
      </c>
      <c r="O86" s="85">
        <f t="shared" ca="1" si="22"/>
        <v>1546.8943403999017</v>
      </c>
      <c r="P86" s="85">
        <f t="shared" ca="1" si="22"/>
        <v>498.24482030575888</v>
      </c>
      <c r="Q86" s="85">
        <f t="shared" ca="1" si="22"/>
        <v>440.23351835832335</v>
      </c>
      <c r="R86" s="85">
        <f t="shared" ca="1" si="22"/>
        <v>652.6916144131917</v>
      </c>
      <c r="S86" s="85">
        <f t="shared" ca="1" si="22"/>
        <v>-25.603073890763596</v>
      </c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 spans="1:29" x14ac:dyDescent="0.2">
      <c r="A87" s="22" t="s">
        <v>646</v>
      </c>
      <c r="B87" s="8"/>
      <c r="C87" s="8"/>
      <c r="D87" s="67">
        <f t="shared" ref="D87:S87" ca="1" si="23">D79+D78-D86</f>
        <v>1273.7976923076924</v>
      </c>
      <c r="E87" s="67">
        <f t="shared" ca="1" si="23"/>
        <v>2888.0669054054051</v>
      </c>
      <c r="F87" s="67">
        <f t="shared" ca="1" si="23"/>
        <v>6538.2980808832108</v>
      </c>
      <c r="G87" s="67">
        <f t="shared" ca="1" si="23"/>
        <v>7205.337047215351</v>
      </c>
      <c r="H87" s="67">
        <f t="shared" ca="1" si="23"/>
        <v>7596.0179960670512</v>
      </c>
      <c r="I87" s="67">
        <f t="shared" ca="1" si="23"/>
        <v>8469.4103113662259</v>
      </c>
      <c r="J87" s="67">
        <f t="shared" ca="1" si="23"/>
        <v>8324.1820332183324</v>
      </c>
      <c r="K87" s="67">
        <f t="shared" ca="1" si="23"/>
        <v>9792.8568631977669</v>
      </c>
      <c r="L87" s="67">
        <f t="shared" ca="1" si="23"/>
        <v>9599.9964335102231</v>
      </c>
      <c r="M87" s="67">
        <f t="shared" ca="1" si="23"/>
        <v>8686.0989212320237</v>
      </c>
      <c r="N87" s="67">
        <f t="shared" ca="1" si="23"/>
        <v>8214.4304710971082</v>
      </c>
      <c r="O87" s="67">
        <f t="shared" ca="1" si="23"/>
        <v>6773.3653456160337</v>
      </c>
      <c r="P87" s="67">
        <f t="shared" ca="1" si="23"/>
        <v>6850.9116111893554</v>
      </c>
      <c r="Q87" s="67">
        <f t="shared" ca="1" si="23"/>
        <v>5830.4646873851734</v>
      </c>
      <c r="R87" s="67">
        <f t="shared" ca="1" si="23"/>
        <v>4938.2580274941492</v>
      </c>
      <c r="S87" s="67">
        <f t="shared" ca="1" si="23"/>
        <v>2853.1474844106992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">
      <c r="A89" s="18" t="s">
        <v>1334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x14ac:dyDescent="0.2">
      <c r="A90" s="24" t="s">
        <v>1490</v>
      </c>
      <c r="B90" s="8"/>
      <c r="C90" s="8"/>
      <c r="D90" s="82">
        <f t="shared" ref="D90:S90" ca="1" si="24">D11*IFERROR(D42/D40,0)</f>
        <v>48.89846153846154</v>
      </c>
      <c r="E90" s="82">
        <f t="shared" ca="1" si="24"/>
        <v>124.4108108108108</v>
      </c>
      <c r="F90" s="82">
        <f t="shared" ca="1" si="24"/>
        <v>270.89545777777778</v>
      </c>
      <c r="G90" s="82">
        <f t="shared" ca="1" si="24"/>
        <v>279.37833003867223</v>
      </c>
      <c r="H90" s="82">
        <f t="shared" ca="1" si="24"/>
        <v>300.05029409871042</v>
      </c>
      <c r="I90" s="82">
        <f t="shared" ca="1" si="24"/>
        <v>328.79999999999995</v>
      </c>
      <c r="J90" s="82">
        <f t="shared" ca="1" si="24"/>
        <v>328.79999999999995</v>
      </c>
      <c r="K90" s="82">
        <f t="shared" ca="1" si="24"/>
        <v>78.426619897608632</v>
      </c>
      <c r="L90" s="82">
        <f t="shared" ca="1" si="24"/>
        <v>41.734015387376729</v>
      </c>
      <c r="M90" s="82">
        <f t="shared" ca="1" si="24"/>
        <v>22.218110292177663</v>
      </c>
      <c r="N90" s="82">
        <f t="shared" ca="1" si="24"/>
        <v>11.902387519556216</v>
      </c>
      <c r="O90" s="82">
        <f t="shared" ca="1" si="24"/>
        <v>6.6197195470419645</v>
      </c>
      <c r="P90" s="82">
        <f t="shared" ca="1" si="24"/>
        <v>3.9280436805034191</v>
      </c>
      <c r="Q90" s="82">
        <f t="shared" ca="1" si="24"/>
        <v>2.5863655260992231</v>
      </c>
      <c r="R90" s="82">
        <f t="shared" ca="1" si="24"/>
        <v>294.68445748806488</v>
      </c>
      <c r="S90" s="82">
        <f t="shared" ca="1" si="24"/>
        <v>328.79999999999995</v>
      </c>
      <c r="T90" s="68"/>
      <c r="U90" s="68"/>
      <c r="V90" s="68"/>
      <c r="W90" s="68"/>
      <c r="X90" s="68"/>
      <c r="Y90" s="68"/>
      <c r="Z90" s="68"/>
      <c r="AA90" s="68"/>
      <c r="AB90" s="68"/>
      <c r="AC90" s="68"/>
    </row>
    <row r="91" spans="1:29" x14ac:dyDescent="0.2">
      <c r="A91" s="24" t="s">
        <v>1335</v>
      </c>
      <c r="B91" s="8"/>
      <c r="C91" s="8"/>
      <c r="D91" s="82">
        <f ca="1">D90 - IFERROR(D59/D40,0) - IFERROR(D69/D40,0) - IFERROR(D61/D40,0) - IFERROR(D62/D40,0)</f>
        <v>18.814584615384614</v>
      </c>
      <c r="E91" s="82">
        <f t="shared" ref="E91:AC91" ca="1" si="25">E90 - IFERROR(E59/E40,0) - IFERROR(E69/E40,0) - IFERROR(E61/E40,0) - IFERROR(E62/E40,0)</f>
        <v>59.550040540540522</v>
      </c>
      <c r="F91" s="82">
        <f t="shared" ca="1" si="25"/>
        <v>137.75688646131383</v>
      </c>
      <c r="G91" s="82">
        <f t="shared" ca="1" si="25"/>
        <v>142.34052733136295</v>
      </c>
      <c r="H91" s="82">
        <f t="shared" ca="1" si="25"/>
        <v>153.24688076925037</v>
      </c>
      <c r="I91" s="82">
        <f t="shared" ca="1" si="25"/>
        <v>168.29791778437493</v>
      </c>
      <c r="J91" s="82">
        <f t="shared" ca="1" si="25"/>
        <v>167.88769922048803</v>
      </c>
      <c r="K91" s="82">
        <f t="shared" ca="1" si="25"/>
        <v>-31.457580712205505</v>
      </c>
      <c r="L91" s="82">
        <f t="shared" ca="1" si="25"/>
        <v>-74.605249226005128</v>
      </c>
      <c r="M91" s="82">
        <f t="shared" ca="1" si="25"/>
        <v>-117.24993243830056</v>
      </c>
      <c r="N91" s="82">
        <f t="shared" ca="1" si="25"/>
        <v>-167.3456924978949</v>
      </c>
      <c r="O91" s="82">
        <f t="shared" ca="1" si="25"/>
        <v>-239.45896893354023</v>
      </c>
      <c r="P91" s="82">
        <f t="shared" ca="1" si="25"/>
        <v>-360.96161364419902</v>
      </c>
      <c r="Q91" s="82">
        <f t="shared" ca="1" si="25"/>
        <v>-600.71665548547162</v>
      </c>
      <c r="R91" s="82">
        <f t="shared" ca="1" si="25"/>
        <v>-1011.609192831934</v>
      </c>
      <c r="S91" s="82">
        <f t="shared" ca="1" si="25"/>
        <v>-311.63714039123153</v>
      </c>
      <c r="T91" s="82">
        <f t="shared" si="25"/>
        <v>0</v>
      </c>
      <c r="U91" s="82">
        <f t="shared" si="25"/>
        <v>0</v>
      </c>
      <c r="V91" s="82">
        <f t="shared" si="25"/>
        <v>0</v>
      </c>
      <c r="W91" s="82">
        <f t="shared" si="25"/>
        <v>0</v>
      </c>
      <c r="X91" s="82">
        <f t="shared" si="25"/>
        <v>0</v>
      </c>
      <c r="Y91" s="82">
        <f t="shared" si="25"/>
        <v>0</v>
      </c>
      <c r="Z91" s="82">
        <f t="shared" si="25"/>
        <v>0</v>
      </c>
      <c r="AA91" s="82">
        <f t="shared" si="25"/>
        <v>0</v>
      </c>
      <c r="AB91" s="82">
        <f t="shared" si="25"/>
        <v>0</v>
      </c>
      <c r="AC91" s="82">
        <f t="shared" si="25"/>
        <v>0</v>
      </c>
    </row>
    <row r="92" spans="1:29" x14ac:dyDescent="0.2">
      <c r="A92" s="24" t="s">
        <v>1491</v>
      </c>
      <c r="B92" s="8"/>
      <c r="C92" s="8"/>
      <c r="D92" s="82">
        <f ca="1">D21 + D136 + INDEX(Assumptions!$B:$B, MATCH("Launch IRR slug working-capital % of build", Assumptions!$A$1:$A$470, 0)) * D21</f>
        <v>309.375</v>
      </c>
      <c r="E92" s="82">
        <f ca="1">E21 + E136 + INDEX(Assumptions!$B:$B, MATCH("Launch IRR slug working-capital % of build", Assumptions!$A$1:$A$470, 0)) * E21</f>
        <v>170.4375</v>
      </c>
      <c r="F92" s="82">
        <f ca="1">F21 + F136 + INDEX(Assumptions!$B:$B, MATCH("Launch IRR slug working-capital % of build", Assumptions!$A$1:$A$470, 0)) * F21</f>
        <v>128.1521739130435</v>
      </c>
      <c r="G92" s="82">
        <f ca="1">G21 + G136 + INDEX(Assumptions!$B:$B, MATCH("Launch IRR slug working-capital % of build", Assumptions!$A$1:$A$470, 0)) * G21</f>
        <v>96.882352941176464</v>
      </c>
      <c r="H92" s="82">
        <f ca="1">H21 + H136 + INDEX(Assumptions!$B:$B, MATCH("Launch IRR slug working-capital % of build", Assumptions!$A$1:$A$470, 0)) * H21</f>
        <v>88.034883720930225</v>
      </c>
      <c r="I92" s="82">
        <f ca="1">I21 + I136 + INDEX(Assumptions!$B:$B, MATCH("Launch IRR slug working-capital % of build", Assumptions!$A$1:$A$470, 0)) * I21</f>
        <v>103.61320754716981</v>
      </c>
      <c r="J92" s="82">
        <f ca="1">J21 + J136 + INDEX(Assumptions!$B:$B, MATCH("Launch IRR slug working-capital % of build", Assumptions!$A$1:$A$470, 0)) * J21</f>
        <v>122.33890505883177</v>
      </c>
      <c r="K92" s="82">
        <f ca="1">K21 + K136 + INDEX(Assumptions!$B:$B, MATCH("Launch IRR slug working-capital % of build", Assumptions!$A$1:$A$470, 0)) * K21</f>
        <v>154.93459013436652</v>
      </c>
      <c r="L92" s="82">
        <f ca="1">L21 + L136 + INDEX(Assumptions!$B:$B, MATCH("Launch IRR slug working-capital % of build", Assumptions!$A$1:$A$470, 0)) * L21</f>
        <v>175.70420922298172</v>
      </c>
      <c r="M92" s="82">
        <f ca="1">M21 + M136 + INDEX(Assumptions!$B:$B, MATCH("Launch IRR slug working-capital % of build", Assumptions!$A$1:$A$470, 0)) * M21</f>
        <v>198.34517238213735</v>
      </c>
      <c r="N92" s="82">
        <f ca="1">N21 + N136 + INDEX(Assumptions!$B:$B, MATCH("Launch IRR slug working-capital % of build", Assumptions!$A$1:$A$470, 0)) * N21</f>
        <v>254.40274576441911</v>
      </c>
      <c r="O92" s="82">
        <f ca="1">O21 + O136 + INDEX(Assumptions!$B:$B, MATCH("Launch IRR slug working-capital % of build", Assumptions!$A$1:$A$470, 0)) * O21</f>
        <v>266.25614939946308</v>
      </c>
      <c r="P92" s="82">
        <f ca="1">P21 + P136 + INDEX(Assumptions!$B:$B, MATCH("Launch IRR slug working-capital % of build", Assumptions!$A$1:$A$470, 0)) * P21</f>
        <v>320.98279043490504</v>
      </c>
      <c r="Q92" s="82">
        <f ca="1">Q21 + Q136 + INDEX(Assumptions!$B:$B, MATCH("Launch IRR slug working-capital % of build", Assumptions!$A$1:$A$470, 0)) * Q21</f>
        <v>300.05632365647818</v>
      </c>
      <c r="R92" s="82">
        <f ca="1">R21 + R136 + INDEX(Assumptions!$B:$B, MATCH("Launch IRR slug working-capital % of build", Assumptions!$A$1:$A$470, 0)) * R21</f>
        <v>281.9514029605358</v>
      </c>
      <c r="S92" s="82">
        <f ca="1">S21 + S136 + INDEX(Assumptions!$B:$B, MATCH("Launch IRR slug working-capital % of build", Assumptions!$A$1:$A$470, 0)) * S21</f>
        <v>271.17929960739451</v>
      </c>
      <c r="T92" s="82">
        <f ca="1">T21 + T136 + INDEX(Assumptions!$B:$B, MATCH("Launch IRR slug working-capital % of build", Assumptions!$A$1:$A$470, 0)) * T21</f>
        <v>239.67929960739451</v>
      </c>
      <c r="U92" s="82">
        <f ca="1">U21 + U136 + INDEX(Assumptions!$B:$B, MATCH("Launch IRR slug working-capital % of build", Assumptions!$A$1:$A$470, 0)) * U21</f>
        <v>239.67929960739451</v>
      </c>
      <c r="V92" s="82">
        <f ca="1">V21 + V136 + INDEX(Assumptions!$B:$B, MATCH("Launch IRR slug working-capital % of build", Assumptions!$A$1:$A$470, 0)) * V21</f>
        <v>239.67929960739451</v>
      </c>
      <c r="W92" s="82">
        <f ca="1">W21 + W136 + INDEX(Assumptions!$B:$B, MATCH("Launch IRR slug working-capital % of build", Assumptions!$A$1:$A$470, 0)) * W21</f>
        <v>239.67929960739451</v>
      </c>
      <c r="X92" s="82">
        <f ca="1">X21 + X136 + INDEX(Assumptions!$B:$B, MATCH("Launch IRR slug working-capital % of build", Assumptions!$A$1:$A$470, 0)) * X21</f>
        <v>239.67929960739451</v>
      </c>
      <c r="Y92" s="82">
        <f ca="1">Y21 + Y136 + INDEX(Assumptions!$B:$B, MATCH("Launch IRR slug working-capital % of build", Assumptions!$A$1:$A$470, 0)) * Y21</f>
        <v>239.67929960739451</v>
      </c>
      <c r="Z92" s="82">
        <f ca="1">Z21 + Z136 + INDEX(Assumptions!$B:$B, MATCH("Launch IRR slug working-capital % of build", Assumptions!$A$1:$A$470, 0)) * Z21</f>
        <v>239.67929960739451</v>
      </c>
      <c r="AA92" s="82">
        <f ca="1">AA21 + AA136 + INDEX(Assumptions!$B:$B, MATCH("Launch IRR slug working-capital % of build", Assumptions!$A$1:$A$470, 0)) * AA21</f>
        <v>239.67929960739451</v>
      </c>
      <c r="AB92" s="82">
        <f ca="1">AB21 + AB136 + INDEX(Assumptions!$B:$B, MATCH("Launch IRR slug working-capital % of build", Assumptions!$A$1:$A$470, 0)) * AB21</f>
        <v>239.67929960739451</v>
      </c>
      <c r="AC92" s="82">
        <f ca="1">AC21 + AC136 + INDEX(Assumptions!$B:$B, MATCH("Launch IRR slug working-capital % of build", Assumptions!$A$1:$A$470, 0)) * AC21</f>
        <v>239.67929960739451</v>
      </c>
    </row>
    <row r="93" spans="1:29" x14ac:dyDescent="0.2">
      <c r="A93" s="24" t="s">
        <v>1869</v>
      </c>
      <c r="B93" s="8"/>
      <c r="C93" s="8"/>
      <c r="D93" s="97">
        <f t="shared" ref="D93:S93" ca="1" si="26">IF(D91&lt;=0,0,IF(D91&gt;=D92,3,MIN(3,IFERROR(IFERROR(IFERROR(IFERROR(RATE(D25,-D91,D92,0,0,0.1),RATE(D25,-D91,D92,0,0,0.5)),RATE(D25,-D91,D92,0,0,1.5)),RATE(D25,-D91,D92,0,0,2.5)),0))))</f>
        <v>-0.13718329188613659</v>
      </c>
      <c r="E93" s="97">
        <f t="shared" ca="1" si="26"/>
        <v>0.30881787578855646</v>
      </c>
      <c r="F93" s="97">
        <f t="shared" ca="1" si="26"/>
        <v>3</v>
      </c>
      <c r="G93" s="97">
        <f t="shared" ca="1" si="26"/>
        <v>3</v>
      </c>
      <c r="H93" s="97">
        <f t="shared" ca="1" si="26"/>
        <v>3</v>
      </c>
      <c r="I93" s="97">
        <f t="shared" ca="1" si="26"/>
        <v>3</v>
      </c>
      <c r="J93" s="97">
        <f t="shared" ca="1" si="26"/>
        <v>3</v>
      </c>
      <c r="K93" s="97">
        <f t="shared" ca="1" si="26"/>
        <v>0</v>
      </c>
      <c r="L93" s="97">
        <f t="shared" ca="1" si="26"/>
        <v>0</v>
      </c>
      <c r="M93" s="97">
        <f t="shared" ca="1" si="26"/>
        <v>0</v>
      </c>
      <c r="N93" s="97">
        <f t="shared" ca="1" si="26"/>
        <v>0</v>
      </c>
      <c r="O93" s="97">
        <f t="shared" ca="1" si="26"/>
        <v>0</v>
      </c>
      <c r="P93" s="97">
        <f t="shared" ca="1" si="26"/>
        <v>0</v>
      </c>
      <c r="Q93" s="97">
        <f t="shared" ca="1" si="26"/>
        <v>0</v>
      </c>
      <c r="R93" s="97">
        <f t="shared" ca="1" si="26"/>
        <v>0</v>
      </c>
      <c r="S93" s="97">
        <f t="shared" ca="1" si="26"/>
        <v>0</v>
      </c>
      <c r="T93" s="52"/>
      <c r="U93" s="52"/>
      <c r="V93" s="52"/>
      <c r="W93" s="52"/>
      <c r="X93" s="52"/>
      <c r="Y93" s="52"/>
      <c r="Z93" s="52"/>
      <c r="AA93" s="52"/>
      <c r="AB93" s="52"/>
      <c r="AC93" s="52"/>
    </row>
    <row r="94" spans="1:29" x14ac:dyDescent="0.2">
      <c r="A94" s="24" t="s">
        <v>1336</v>
      </c>
      <c r="B94" s="8"/>
      <c r="C94" s="8"/>
      <c r="D94" s="82">
        <f ca="1">D12*IFERROR(D47/D45,0)</f>
        <v>0</v>
      </c>
      <c r="E94" s="82">
        <f ca="1">E12*IFERROR(E47/E45,0)</f>
        <v>0</v>
      </c>
      <c r="F94" s="82">
        <f ca="1">F12*IFERROR(F47/F45,0)</f>
        <v>0</v>
      </c>
      <c r="G94" s="82">
        <f ca="1">G12*IFERROR(G47/G45,0)</f>
        <v>0</v>
      </c>
      <c r="H94" s="82">
        <f t="shared" ref="H94" ca="1" si="27">H12*IFERROR(H47/H45,0)</f>
        <v>1.5091434861059774E-13</v>
      </c>
      <c r="I94" s="82">
        <f t="shared" ref="I94:S94" ca="1" si="28">I12*IFERROR(I47/I45,0)</f>
        <v>0</v>
      </c>
      <c r="J94" s="82">
        <f t="shared" ca="1" si="28"/>
        <v>0</v>
      </c>
      <c r="K94" s="82">
        <f t="shared" ca="1" si="28"/>
        <v>757.41375467912883</v>
      </c>
      <c r="L94" s="82">
        <f t="shared" ca="1" si="28"/>
        <v>810.15385492435996</v>
      </c>
      <c r="M94" s="82">
        <f t="shared" ca="1" si="28"/>
        <v>838.94140794860095</v>
      </c>
      <c r="N94" s="82">
        <f t="shared" ca="1" si="28"/>
        <v>842.83901294151815</v>
      </c>
      <c r="O94" s="82">
        <f t="shared" ca="1" si="28"/>
        <v>837.26692075928918</v>
      </c>
      <c r="P94" s="82">
        <f t="shared" ca="1" si="28"/>
        <v>862.95561183545408</v>
      </c>
      <c r="Q94" s="82">
        <f t="shared" ca="1" si="28"/>
        <v>852.47852406996844</v>
      </c>
      <c r="R94" s="82">
        <f t="shared" ca="1" si="28"/>
        <v>817.6827149096531</v>
      </c>
      <c r="S94" s="82">
        <f t="shared" ca="1" si="28"/>
        <v>2.0164251327514649E-13</v>
      </c>
      <c r="T94" s="68"/>
      <c r="U94" s="68"/>
      <c r="V94" s="68"/>
      <c r="W94" s="68"/>
      <c r="X94" s="68"/>
      <c r="Y94" s="68"/>
      <c r="Z94" s="68"/>
      <c r="AA94" s="68"/>
      <c r="AB94" s="68"/>
      <c r="AC94" s="68"/>
    </row>
    <row r="95" spans="1:29" x14ac:dyDescent="0.2">
      <c r="A95" s="24" t="s">
        <v>1337</v>
      </c>
      <c r="B95" s="8"/>
      <c r="C95" s="8"/>
      <c r="D95" s="82">
        <f ca="1">D94 - IFERROR(D60/D45,0) - IFERROR(D69/D45,0) - IFERROR(D70/D45,0) - IFERROR(D61/D45,0) - IFERROR(D62/D45,0)</f>
        <v>0</v>
      </c>
      <c r="E95" s="82">
        <f ca="1">E94 - IFERROR(E60/E45,0) - IFERROR(E69/E45,0) - IFERROR(E70/E45,0) - IFERROR(E61/E45,0) - IFERROR(E62/E45,0)</f>
        <v>0</v>
      </c>
      <c r="F95" s="82">
        <f ca="1">F94 - IFERROR(F60/F45,0) - IFERROR(F69/F45,0) - IFERROR(F70/F45,0) - IFERROR(F61/F45,0) - IFERROR(F62/F45,0)</f>
        <v>0</v>
      </c>
      <c r="G95" s="82">
        <f ca="1">G94 - IFERROR(G60/G45,0) - IFERROR(G69/G45,0) - IFERROR(G70/G45,0) - IFERROR(G61/G45,0) - IFERROR(G62/G45,0)</f>
        <v>-426.59974019155021</v>
      </c>
      <c r="H95" s="82">
        <f t="shared" ref="H95:AC95" ca="1" si="29">H94 - IFERROR(H60/H45,0) - IFERROR(H69/H45,0) - IFERROR(H70/H45,0) - IFERROR(H61/H45,0) - IFERROR(H62/H45,0)</f>
        <v>-261.565126817595</v>
      </c>
      <c r="I95" s="82">
        <f t="shared" ref="I95:S95" ca="1" si="30">I94 - IFERROR(I60/I45,0) - IFERROR(I69/I45,0) - IFERROR(I70/I45,0) - IFERROR(I61/I45,0) - IFERROR(I62/I45,0)</f>
        <v>-172.80624664687502</v>
      </c>
      <c r="J95" s="82">
        <f t="shared" ca="1" si="30"/>
        <v>-122.9308278422991</v>
      </c>
      <c r="K95" s="82">
        <f t="shared" ca="1" si="30"/>
        <v>283.3170230662476</v>
      </c>
      <c r="L95" s="82">
        <f t="shared" ca="1" si="30"/>
        <v>295.53203091401485</v>
      </c>
      <c r="M95" s="82">
        <f t="shared" ca="1" si="30"/>
        <v>288.48479248245121</v>
      </c>
      <c r="N95" s="82">
        <f t="shared" ca="1" si="30"/>
        <v>261.15628521403039</v>
      </c>
      <c r="O95" s="82">
        <f t="shared" ca="1" si="30"/>
        <v>226.77706786428666</v>
      </c>
      <c r="P95" s="82">
        <f t="shared" ca="1" si="30"/>
        <v>192.10108328356418</v>
      </c>
      <c r="Q95" s="82">
        <f t="shared" ca="1" si="30"/>
        <v>142.19609677116378</v>
      </c>
      <c r="R95" s="82">
        <f t="shared" ca="1" si="30"/>
        <v>83.077897591875001</v>
      </c>
      <c r="S95" s="82">
        <f t="shared" ca="1" si="30"/>
        <v>-21.501485615649212</v>
      </c>
      <c r="T95" s="82">
        <f t="shared" ca="1" si="29"/>
        <v>0</v>
      </c>
      <c r="U95" s="82">
        <f t="shared" ca="1" si="29"/>
        <v>0</v>
      </c>
      <c r="V95" s="82">
        <f t="shared" ca="1" si="29"/>
        <v>0</v>
      </c>
      <c r="W95" s="82">
        <f t="shared" ca="1" si="29"/>
        <v>0</v>
      </c>
      <c r="X95" s="82">
        <f t="shared" ca="1" si="29"/>
        <v>0</v>
      </c>
      <c r="Y95" s="82">
        <f t="shared" ca="1" si="29"/>
        <v>0</v>
      </c>
      <c r="Z95" s="82">
        <f t="shared" ca="1" si="29"/>
        <v>0</v>
      </c>
      <c r="AA95" s="82">
        <f t="shared" ca="1" si="29"/>
        <v>0</v>
      </c>
      <c r="AB95" s="82">
        <f t="shared" ca="1" si="29"/>
        <v>0</v>
      </c>
      <c r="AC95" s="82">
        <f t="shared" ca="1" si="29"/>
        <v>0</v>
      </c>
    </row>
    <row r="96" spans="1:29" x14ac:dyDescent="0.2">
      <c r="A96" s="24" t="s">
        <v>1492</v>
      </c>
      <c r="B96" s="8"/>
      <c r="C96" s="8"/>
      <c r="D96" s="74">
        <f ca="1">D22 + IFERROR( SUM('Facilities Build'!$D$26:INDEX('Facilities Build'!$D$26:$AC$26,1,D$5+1)) / SUM('Facilities Build'!$D$18:INDEX('Facilities Build'!$D$18:$AC$18,1,D$5+1)), 0 ) + D136 + INDEX(Assumptions!$B:$B, MATCH("Launch IRR slug working-capital % of build", Assumptions!$A$1:$A$470, 0)) * D22</f>
        <v>346.20054254604986</v>
      </c>
      <c r="E96" s="74">
        <f ca="1">E22 + IFERROR( SUM('Facilities Build'!$D$26:INDEX('Facilities Build'!$D$26:$AC$26,1,E$5+1)) / SUM('Facilities Build'!$D$18:INDEX('Facilities Build'!$D$18:$AC$18,1,E$5+1)), 0 ) + E136 + INDEX(Assumptions!$B:$B, MATCH("Launch IRR slug working-capital % of build", Assumptions!$A$1:$A$470, 0)) * E22</f>
        <v>390.45706097592705</v>
      </c>
      <c r="F96" s="74">
        <f ca="1">F22 + IFERROR( SUM('Facilities Build'!$D$26:INDEX('Facilities Build'!$D$26:$AC$26,1,F$5+1)) / SUM('Facilities Build'!$D$18:INDEX('Facilities Build'!$D$18:$AC$18,1,F$5+1)), 0 ) + F136 + INDEX(Assumptions!$B:$B, MATCH("Launch IRR slug working-capital % of build", Assumptions!$A$1:$A$470, 0)) * F22</f>
        <v>213.68988483784017</v>
      </c>
      <c r="G96" s="74">
        <f ca="1">G22 + IFERROR( SUM('Facilities Build'!$D$26:INDEX('Facilities Build'!$D$26:$AC$26,1,G$5+1)) / SUM('Facilities Build'!$D$18:INDEX('Facilities Build'!$D$18:$AC$18,1,G$5+1)), 0 ) + G136 + INDEX(Assumptions!$B:$B, MATCH("Launch IRR slug working-capital % of build", Assumptions!$A$1:$A$470, 0)) * G22</f>
        <v>149.47474695902307</v>
      </c>
      <c r="H96" s="74">
        <f ca="1">H22 + IFERROR( SUM('Facilities Build'!$D$26:INDEX('Facilities Build'!$D$26:$AC$26,1,H$5+1)) / SUM('Facilities Build'!$D$18:INDEX('Facilities Build'!$D$18:$AC$18,1,H$5+1)), 0 ) + H136 + INDEX(Assumptions!$B:$B, MATCH("Launch IRR slug working-capital % of build", Assumptions!$A$1:$A$470, 0)) * H22</f>
        <v>128.18063075170429</v>
      </c>
      <c r="I96" s="74">
        <f ca="1">I22 + IFERROR( SUM('Facilities Build'!$D$26:INDEX('Facilities Build'!$D$26:$AC$26,1,I$5+1)) / SUM('Facilities Build'!$D$18:INDEX('Facilities Build'!$D$18:$AC$18,1,I$5+1)), 0 ) + I136 + INDEX(Assumptions!$B:$B, MATCH("Launch IRR slug working-capital % of build", Assumptions!$A$1:$A$470, 0)) * I22</f>
        <v>135.10706762584479</v>
      </c>
      <c r="J96" s="74">
        <f ca="1">J22 + IFERROR( SUM('Facilities Build'!$D$26:INDEX('Facilities Build'!$D$26:$AC$26,1,J$5+1)) / SUM('Facilities Build'!$D$18:INDEX('Facilities Build'!$D$18:$AC$18,1,J$5+1)), 0 ) + J136 + INDEX(Assumptions!$B:$B, MATCH("Launch IRR slug working-capital % of build", Assumptions!$A$1:$A$470, 0)) * J22</f>
        <v>148.1835612929365</v>
      </c>
      <c r="K96" s="74">
        <f ca="1">K22 + IFERROR( SUM('Facilities Build'!$D$26:INDEX('Facilities Build'!$D$26:$AC$26,1,K$5+1)) / SUM('Facilities Build'!$D$18:INDEX('Facilities Build'!$D$18:$AC$18,1,K$5+1)), 0 ) + K136 + INDEX(Assumptions!$B:$B, MATCH("Launch IRR slug working-capital % of build", Assumptions!$A$1:$A$470, 0)) * K22</f>
        <v>175.35059429034018</v>
      </c>
      <c r="L96" s="74">
        <f ca="1">L22 + IFERROR( SUM('Facilities Build'!$D$26:INDEX('Facilities Build'!$D$26:$AC$26,1,L$5+1)) / SUM('Facilities Build'!$D$18:INDEX('Facilities Build'!$D$18:$AC$18,1,L$5+1)), 0 ) + L136 + INDEX(Assumptions!$B:$B, MATCH("Launch IRR slug working-capital % of build", Assumptions!$A$1:$A$470, 0)) * L22</f>
        <v>192.49406346673752</v>
      </c>
      <c r="M96" s="74">
        <f ca="1">M22 + IFERROR( SUM('Facilities Build'!$D$26:INDEX('Facilities Build'!$D$26:$AC$26,1,M$5+1)) / SUM('Facilities Build'!$D$18:INDEX('Facilities Build'!$D$18:$AC$18,1,M$5+1)), 0 ) + M136 + INDEX(Assumptions!$B:$B, MATCH("Launch IRR slug working-capital % of build", Assumptions!$A$1:$A$470, 0)) * M22</f>
        <v>216.18229839700251</v>
      </c>
      <c r="N96" s="74">
        <f ca="1">N22 + IFERROR( SUM('Facilities Build'!$D$26:INDEX('Facilities Build'!$D$26:$AC$26,1,N$5+1)) / SUM('Facilities Build'!$D$18:INDEX('Facilities Build'!$D$18:$AC$18,1,N$5+1)), 0 ) + N136 + INDEX(Assumptions!$B:$B, MATCH("Launch IRR slug working-capital % of build", Assumptions!$A$1:$A$470, 0)) * N22</f>
        <v>271.70632670964528</v>
      </c>
      <c r="O96" s="74">
        <f ca="1">O22 + IFERROR( SUM('Facilities Build'!$D$26:INDEX('Facilities Build'!$D$26:$AC$26,1,O$5+1)) / SUM('Facilities Build'!$D$18:INDEX('Facilities Build'!$D$18:$AC$18,1,O$5+1)), 0 ) + O136 + INDEX(Assumptions!$B:$B, MATCH("Launch IRR slug working-capital % of build", Assumptions!$A$1:$A$470, 0)) * O22</f>
        <v>283.68804952674316</v>
      </c>
      <c r="P96" s="74">
        <f ca="1">P22 + IFERROR( SUM('Facilities Build'!$D$26:INDEX('Facilities Build'!$D$26:$AC$26,1,P$5+1)) / SUM('Facilities Build'!$D$18:INDEX('Facilities Build'!$D$18:$AC$18,1,P$5+1)), 0 ) + P136 + INDEX(Assumptions!$B:$B, MATCH("Launch IRR slug working-capital % of build", Assumptions!$A$1:$A$470, 0)) * P22</f>
        <v>337.64078042352247</v>
      </c>
      <c r="Q96" s="74">
        <f ca="1">Q22 + IFERROR( SUM('Facilities Build'!$D$26:INDEX('Facilities Build'!$D$26:$AC$26,1,Q$5+1)) / SUM('Facilities Build'!$D$18:INDEX('Facilities Build'!$D$18:$AC$18,1,Q$5+1)), 0 ) + Q136 + INDEX(Assumptions!$B:$B, MATCH("Launch IRR slug working-capital % of build", Assumptions!$A$1:$A$470, 0)) * Q22</f>
        <v>316.76942125998113</v>
      </c>
      <c r="R96" s="74">
        <f ca="1">R22 + IFERROR( SUM('Facilities Build'!$D$26:INDEX('Facilities Build'!$D$26:$AC$26,1,R$5+1)) / SUM('Facilities Build'!$D$18:INDEX('Facilities Build'!$D$18:$AC$18,1,R$5+1)), 0 ) + R136 + INDEX(Assumptions!$B:$B, MATCH("Launch IRR slug working-capital % of build", Assumptions!$A$1:$A$470, 0)) * R22</f>
        <v>297.30724957422569</v>
      </c>
      <c r="S96" s="74">
        <f ca="1">S22 + IFERROR( SUM('Facilities Build'!$D$26:INDEX('Facilities Build'!$D$26:$AC$26,1,S$5+1)) / SUM('Facilities Build'!$D$18:INDEX('Facilities Build'!$D$18:$AC$18,1,S$5+1)), 0 ) + S136 + INDEX(Assumptions!$B:$B, MATCH("Launch IRR slug working-capital % of build", Assumptions!$A$1:$A$470, 0)) * S22</f>
        <v>285.27801863929278</v>
      </c>
      <c r="T96" s="74">
        <f ca="1">T22 + IFERROR( SUM('Facilities Build'!$D$26:INDEX('Facilities Build'!$D$26:$AC$26,1,T$5+1)) / SUM('Facilities Build'!$D$18:INDEX('Facilities Build'!$D$18:$AC$18,1,T$5+1)), 0 ) + T136 + INDEX(Assumptions!$B:$B, MATCH("Launch IRR slug working-capital % of build", Assumptions!$A$1:$A$470, 0)) * T22</f>
        <v>239.67929960739451</v>
      </c>
      <c r="U96" s="74">
        <f ca="1">U22 + IFERROR( SUM('Facilities Build'!$D$26:INDEX('Facilities Build'!$D$26:$AC$26,1,U$5+1)) / SUM('Facilities Build'!$D$18:INDEX('Facilities Build'!$D$18:$AC$18,1,U$5+1)), 0 ) + U136 + INDEX(Assumptions!$B:$B, MATCH("Launch IRR slug working-capital % of build", Assumptions!$A$1:$A$470, 0)) * U22</f>
        <v>239.67929960739451</v>
      </c>
      <c r="V96" s="74">
        <f ca="1">V22 + IFERROR( SUM('Facilities Build'!$D$26:INDEX('Facilities Build'!$D$26:$AC$26,1,V$5+1)) / SUM('Facilities Build'!$D$18:INDEX('Facilities Build'!$D$18:$AC$18,1,V$5+1)), 0 ) + V136 + INDEX(Assumptions!$B:$B, MATCH("Launch IRR slug working-capital % of build", Assumptions!$A$1:$A$470, 0)) * V22</f>
        <v>239.67929960739451</v>
      </c>
      <c r="W96" s="74">
        <f ca="1">W22 + IFERROR( SUM('Facilities Build'!$D$26:INDEX('Facilities Build'!$D$26:$AC$26,1,W$5+1)) / SUM('Facilities Build'!$D$18:INDEX('Facilities Build'!$D$18:$AC$18,1,W$5+1)), 0 ) + W136 + INDEX(Assumptions!$B:$B, MATCH("Launch IRR slug working-capital % of build", Assumptions!$A$1:$A$470, 0)) * W22</f>
        <v>239.67929960739451</v>
      </c>
      <c r="X96" s="74">
        <f ca="1">X22 + IFERROR( SUM('Facilities Build'!$D$26:INDEX('Facilities Build'!$D$26:$AC$26,1,X$5+1)) / SUM('Facilities Build'!$D$18:INDEX('Facilities Build'!$D$18:$AC$18,1,X$5+1)), 0 ) + X136 + INDEX(Assumptions!$B:$B, MATCH("Launch IRR slug working-capital % of build", Assumptions!$A$1:$A$470, 0)) * X22</f>
        <v>239.67929960739451</v>
      </c>
      <c r="Y96" s="74">
        <f ca="1">Y22 + IFERROR( SUM('Facilities Build'!$D$26:INDEX('Facilities Build'!$D$26:$AC$26,1,Y$5+1)) / SUM('Facilities Build'!$D$18:INDEX('Facilities Build'!$D$18:$AC$18,1,Y$5+1)), 0 ) + Y136 + INDEX(Assumptions!$B:$B, MATCH("Launch IRR slug working-capital % of build", Assumptions!$A$1:$A$470, 0)) * Y22</f>
        <v>239.67929960739451</v>
      </c>
      <c r="Z96" s="74">
        <f ca="1">Z22 + IFERROR( SUM('Facilities Build'!$D$26:INDEX('Facilities Build'!$D$26:$AC$26,1,Z$5+1)) / SUM('Facilities Build'!$D$18:INDEX('Facilities Build'!$D$18:$AC$18,1,Z$5+1)), 0 ) + Z136 + INDEX(Assumptions!$B:$B, MATCH("Launch IRR slug working-capital % of build", Assumptions!$A$1:$A$470, 0)) * Z22</f>
        <v>239.67929960739451</v>
      </c>
      <c r="AA96" s="74">
        <f ca="1">AA22 + IFERROR( SUM('Facilities Build'!$D$26:INDEX('Facilities Build'!$D$26:$AC$26,1,AA$5+1)) / SUM('Facilities Build'!$D$18:INDEX('Facilities Build'!$D$18:$AC$18,1,AA$5+1)), 0 ) + AA136 + INDEX(Assumptions!$B:$B, MATCH("Launch IRR slug working-capital % of build", Assumptions!$A$1:$A$470, 0)) * AA22</f>
        <v>239.67929960739451</v>
      </c>
      <c r="AB96" s="74">
        <f ca="1">AB22 + IFERROR( SUM('Facilities Build'!$D$26:INDEX('Facilities Build'!$D$26:$AC$26,1,AB$5+1)) / SUM('Facilities Build'!$D$18:INDEX('Facilities Build'!$D$18:$AC$18,1,AB$5+1)), 0 ) + AB136 + INDEX(Assumptions!$B:$B, MATCH("Launch IRR slug working-capital % of build", Assumptions!$A$1:$A$470, 0)) * AB22</f>
        <v>239.67929960739451</v>
      </c>
      <c r="AC96" s="74">
        <f ca="1">AC22 + IFERROR( SUM('Facilities Build'!$D$26:INDEX('Facilities Build'!$D$26:$AC$26,1,AC$5+1)) / SUM('Facilities Build'!$D$18:INDEX('Facilities Build'!$D$18:$AC$18,1,AC$5+1)), 0 ) + AC136 + INDEX(Assumptions!$B:$B, MATCH("Launch IRR slug working-capital % of build", Assumptions!$A$1:$A$470, 0)) * AC22</f>
        <v>239.67929960739451</v>
      </c>
    </row>
    <row r="97" spans="1:78" s="4" customFormat="1" x14ac:dyDescent="0.2">
      <c r="A97" s="195" t="s">
        <v>1870</v>
      </c>
      <c r="B97" s="196"/>
      <c r="C97" s="196"/>
      <c r="D97" s="97">
        <f t="shared" ref="D97:S97" ca="1" si="31">IF(D47&lt;=0,0, IF(D95&lt;=0,0, MIN(3, IFERROR(IFERROR(IFERROR(IFERROR(RATE(D26,-D95,D96,0,0,0.1), RATE(D26,-D95,D96,0,0,0.5)), RATE(D26,-D95,D96,0,0,1.5)), RATE(D26,-D95,D96,0,0,2.5)), 3))))</f>
        <v>0</v>
      </c>
      <c r="E97" s="97">
        <f t="shared" ca="1" si="31"/>
        <v>0</v>
      </c>
      <c r="F97" s="97">
        <f t="shared" ca="1" si="31"/>
        <v>0</v>
      </c>
      <c r="G97" s="97">
        <f t="shared" ca="1" si="31"/>
        <v>0</v>
      </c>
      <c r="H97" s="97">
        <f t="shared" ca="1" si="31"/>
        <v>0</v>
      </c>
      <c r="I97" s="97">
        <f t="shared" ca="1" si="31"/>
        <v>0</v>
      </c>
      <c r="J97" s="97">
        <f t="shared" ca="1" si="31"/>
        <v>0</v>
      </c>
      <c r="K97" s="97">
        <f t="shared" ca="1" si="31"/>
        <v>1.6149785365470763</v>
      </c>
      <c r="L97" s="97">
        <f t="shared" ca="1" si="31"/>
        <v>1.534376652394057</v>
      </c>
      <c r="M97" s="97">
        <f t="shared" ca="1" si="31"/>
        <v>1.3329306442564384</v>
      </c>
      <c r="N97" s="97">
        <f t="shared" ca="1" si="31"/>
        <v>0.95669804309004647</v>
      </c>
      <c r="O97" s="97">
        <f t="shared" ca="1" si="31"/>
        <v>0.791867243702014</v>
      </c>
      <c r="P97" s="97">
        <f t="shared" ca="1" si="31"/>
        <v>0.55205362081796305</v>
      </c>
      <c r="Q97" s="97">
        <f t="shared" ca="1" si="31"/>
        <v>0.42205234191811308</v>
      </c>
      <c r="R97" s="97">
        <f t="shared" ca="1" si="31"/>
        <v>0.22395019223821155</v>
      </c>
      <c r="S97" s="97">
        <f t="shared" ca="1" si="31"/>
        <v>0</v>
      </c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1:78" s="4" customFormat="1" x14ac:dyDescent="0.2">
      <c r="A98" s="195" t="s">
        <v>647</v>
      </c>
      <c r="B98" s="196"/>
      <c r="C98" s="196"/>
      <c r="D98" s="97">
        <f t="shared" ref="D98:S98" ca="1" si="32">D97</f>
        <v>0</v>
      </c>
      <c r="E98" s="97">
        <f t="shared" ca="1" si="32"/>
        <v>0</v>
      </c>
      <c r="F98" s="97">
        <f t="shared" ca="1" si="32"/>
        <v>0</v>
      </c>
      <c r="G98" s="97">
        <f t="shared" ca="1" si="32"/>
        <v>0</v>
      </c>
      <c r="H98" s="97">
        <f t="shared" ca="1" si="32"/>
        <v>0</v>
      </c>
      <c r="I98" s="97">
        <f t="shared" ca="1" si="32"/>
        <v>0</v>
      </c>
      <c r="J98" s="97">
        <f t="shared" ca="1" si="32"/>
        <v>0</v>
      </c>
      <c r="K98" s="97">
        <f t="shared" ca="1" si="32"/>
        <v>1.6149785365470763</v>
      </c>
      <c r="L98" s="97">
        <f t="shared" ca="1" si="32"/>
        <v>1.534376652394057</v>
      </c>
      <c r="M98" s="97">
        <f t="shared" ca="1" si="32"/>
        <v>1.3329306442564384</v>
      </c>
      <c r="N98" s="97">
        <f t="shared" ca="1" si="32"/>
        <v>0.95669804309004647</v>
      </c>
      <c r="O98" s="97">
        <f t="shared" ca="1" si="32"/>
        <v>0.791867243702014</v>
      </c>
      <c r="P98" s="97">
        <f t="shared" ca="1" si="32"/>
        <v>0.55205362081796305</v>
      </c>
      <c r="Q98" s="97">
        <f t="shared" ca="1" si="32"/>
        <v>0.42205234191811308</v>
      </c>
      <c r="R98" s="97">
        <f t="shared" ca="1" si="32"/>
        <v>0.22395019223821155</v>
      </c>
      <c r="S98" s="97">
        <f t="shared" ca="1" si="32"/>
        <v>0</v>
      </c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1:78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78" x14ac:dyDescent="0.2">
      <c r="A100" s="168" t="s">
        <v>1338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spans="1:78" x14ac:dyDescent="0.2">
      <c r="A101" s="24" t="s">
        <v>525</v>
      </c>
      <c r="B101" s="8"/>
      <c r="C101" s="8"/>
      <c r="D101" s="67">
        <f t="shared" ref="D101:S101" ca="1" si="33">D54</f>
        <v>3099.2</v>
      </c>
      <c r="E101" s="67">
        <f t="shared" ca="1" si="33"/>
        <v>6188.7</v>
      </c>
      <c r="F101" s="67">
        <f t="shared" ca="1" si="33"/>
        <v>12636.04104</v>
      </c>
      <c r="G101" s="67">
        <f t="shared" ca="1" si="33"/>
        <v>13761.281941662908</v>
      </c>
      <c r="H101" s="67">
        <f t="shared" ca="1" si="33"/>
        <v>15187.652524892617</v>
      </c>
      <c r="I101" s="67">
        <f t="shared" ca="1" si="33"/>
        <v>16723.185159375</v>
      </c>
      <c r="J101" s="67">
        <f t="shared" ca="1" si="33"/>
        <v>16655.144417343749</v>
      </c>
      <c r="K101" s="67">
        <f t="shared" ca="1" si="33"/>
        <v>23674.996406107199</v>
      </c>
      <c r="L101" s="67">
        <f t="shared" ca="1" si="33"/>
        <v>23987.228647176045</v>
      </c>
      <c r="M101" s="67">
        <f t="shared" ca="1" si="33"/>
        <v>23938.147893023557</v>
      </c>
      <c r="N101" s="67">
        <f t="shared" ca="1" si="33"/>
        <v>23780.556347882572</v>
      </c>
      <c r="O101" s="67">
        <f t="shared" ca="1" si="33"/>
        <v>23613.581242943492</v>
      </c>
      <c r="P101" s="67">
        <f t="shared" ca="1" si="33"/>
        <v>23461.958173149349</v>
      </c>
      <c r="Q101" s="67">
        <f t="shared" ca="1" si="33"/>
        <v>23322.332975743924</v>
      </c>
      <c r="R101" s="67">
        <f t="shared" ca="1" si="33"/>
        <v>23498.135245449361</v>
      </c>
      <c r="S101" s="67">
        <f t="shared" ca="1" si="33"/>
        <v>3467.9815509111709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78" x14ac:dyDescent="0.2">
      <c r="A102" s="21" t="s">
        <v>563</v>
      </c>
      <c r="B102" s="20"/>
      <c r="C102" s="20"/>
      <c r="D102" s="85">
        <f t="shared" ref="D102:S102" ca="1" si="34">D63</f>
        <v>714.29399999999998</v>
      </c>
      <c r="E102" s="85">
        <f t="shared" ca="1" si="34"/>
        <v>1873.8089999999997</v>
      </c>
      <c r="F102" s="85">
        <f t="shared" ca="1" si="34"/>
        <v>4318.0486499167882</v>
      </c>
      <c r="G102" s="85">
        <f t="shared" ca="1" si="34"/>
        <v>4722.9165513729522</v>
      </c>
      <c r="H102" s="85">
        <f t="shared" ca="1" si="34"/>
        <v>5241.801428545099</v>
      </c>
      <c r="I102" s="85">
        <f t="shared" ca="1" si="34"/>
        <v>5801.1229611562503</v>
      </c>
      <c r="J102" s="85">
        <f t="shared" ca="1" si="34"/>
        <v>5744.9101092140618</v>
      </c>
      <c r="K102" s="85">
        <f t="shared" ca="1" si="34"/>
        <v>9736.7018276220788</v>
      </c>
      <c r="L102" s="85">
        <f t="shared" ca="1" si="34"/>
        <v>10655.647366638075</v>
      </c>
      <c r="M102" s="85">
        <f t="shared" ca="1" si="34"/>
        <v>11444.730692240677</v>
      </c>
      <c r="N102" s="85">
        <f t="shared" ca="1" si="34"/>
        <v>12199.518656187425</v>
      </c>
      <c r="O102" s="85">
        <f t="shared" ca="1" si="34"/>
        <v>12975.867659483538</v>
      </c>
      <c r="P102" s="85">
        <f t="shared" ca="1" si="34"/>
        <v>13797.035389427312</v>
      </c>
      <c r="Q102" s="85">
        <f t="shared" ca="1" si="34"/>
        <v>14677.013247163595</v>
      </c>
      <c r="R102" s="85">
        <f t="shared" ca="1" si="34"/>
        <v>15513.974625062998</v>
      </c>
      <c r="S102" s="85">
        <f t="shared" ca="1" si="34"/>
        <v>345.65870856378575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 spans="1:78" x14ac:dyDescent="0.2">
      <c r="A103" s="21" t="s">
        <v>564</v>
      </c>
      <c r="B103" s="20"/>
      <c r="C103" s="20"/>
      <c r="D103" s="85">
        <f t="shared" ref="D103:S103" ca="1" si="35">D64</f>
        <v>2384.9059999999999</v>
      </c>
      <c r="E103" s="85">
        <f t="shared" ca="1" si="35"/>
        <v>4314.8909999999996</v>
      </c>
      <c r="F103" s="85">
        <f t="shared" ca="1" si="35"/>
        <v>8317.9923900832109</v>
      </c>
      <c r="G103" s="85">
        <f t="shared" ca="1" si="35"/>
        <v>9038.3653902899568</v>
      </c>
      <c r="H103" s="85">
        <f t="shared" ca="1" si="35"/>
        <v>9945.8510963475183</v>
      </c>
      <c r="I103" s="85">
        <f t="shared" ca="1" si="35"/>
        <v>10922.062198218749</v>
      </c>
      <c r="J103" s="85">
        <f t="shared" ca="1" si="35"/>
        <v>10910.234308129686</v>
      </c>
      <c r="K103" s="85">
        <f t="shared" ca="1" si="35"/>
        <v>13938.29457848512</v>
      </c>
      <c r="L103" s="85">
        <f t="shared" ca="1" si="35"/>
        <v>13331.58128053797</v>
      </c>
      <c r="M103" s="85">
        <f t="shared" ca="1" si="35"/>
        <v>12493.41720078288</v>
      </c>
      <c r="N103" s="85">
        <f t="shared" ca="1" si="35"/>
        <v>11581.037691695146</v>
      </c>
      <c r="O103" s="85">
        <f t="shared" ca="1" si="35"/>
        <v>10637.713583459954</v>
      </c>
      <c r="P103" s="85">
        <f t="shared" ca="1" si="35"/>
        <v>9664.9227837220369</v>
      </c>
      <c r="Q103" s="85">
        <f t="shared" ca="1" si="35"/>
        <v>8645.319728580329</v>
      </c>
      <c r="R103" s="85">
        <f t="shared" ca="1" si="35"/>
        <v>7984.160620386363</v>
      </c>
      <c r="S103" s="85">
        <f t="shared" ca="1" si="35"/>
        <v>3122.3228423473852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spans="1:78" x14ac:dyDescent="0.2">
      <c r="A104" s="24" t="s">
        <v>565</v>
      </c>
      <c r="B104" s="8"/>
      <c r="C104" s="8"/>
      <c r="D104" s="67">
        <f t="shared" ref="D104:S104" ca="1" si="36">D69</f>
        <v>263.43200000000002</v>
      </c>
      <c r="E104" s="67">
        <f t="shared" ca="1" si="36"/>
        <v>526.03949999999998</v>
      </c>
      <c r="F104" s="67">
        <f t="shared" ca="1" si="36"/>
        <v>1074.0634884000001</v>
      </c>
      <c r="G104" s="67">
        <f t="shared" ca="1" si="36"/>
        <v>1169.7089650413473</v>
      </c>
      <c r="H104" s="67">
        <f t="shared" ca="1" si="36"/>
        <v>1290.9504646158725</v>
      </c>
      <c r="I104" s="67">
        <f t="shared" ca="1" si="36"/>
        <v>1421.4707385468751</v>
      </c>
      <c r="J104" s="67">
        <f t="shared" ca="1" si="36"/>
        <v>1415.6872754742187</v>
      </c>
      <c r="K104" s="67">
        <f t="shared" ca="1" si="36"/>
        <v>2012.3746945191119</v>
      </c>
      <c r="L104" s="67">
        <f t="shared" ca="1" si="36"/>
        <v>2038.9144350099641</v>
      </c>
      <c r="M104" s="67">
        <f t="shared" ca="1" si="36"/>
        <v>2034.7425709070026</v>
      </c>
      <c r="N104" s="67">
        <f t="shared" ca="1" si="36"/>
        <v>2021.3472895700188</v>
      </c>
      <c r="O104" s="67">
        <f t="shared" ca="1" si="36"/>
        <v>2007.1544056501968</v>
      </c>
      <c r="P104" s="67">
        <f t="shared" ca="1" si="36"/>
        <v>1994.2664447176949</v>
      </c>
      <c r="Q104" s="67">
        <f t="shared" ca="1" si="36"/>
        <v>1982.3983029382337</v>
      </c>
      <c r="R104" s="67">
        <f t="shared" ca="1" si="36"/>
        <v>1997.3414958631959</v>
      </c>
      <c r="S104" s="67">
        <f t="shared" ca="1" si="36"/>
        <v>294.77843182744954</v>
      </c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78" x14ac:dyDescent="0.2">
      <c r="A105" s="24" t="s">
        <v>567</v>
      </c>
      <c r="B105" s="8"/>
      <c r="C105" s="8"/>
      <c r="D105" s="67">
        <f t="shared" ref="D105:S105" ca="1" si="37">D70</f>
        <v>0</v>
      </c>
      <c r="E105" s="67">
        <f t="shared" ca="1" si="37"/>
        <v>0</v>
      </c>
      <c r="F105" s="67">
        <f t="shared" ca="1" si="37"/>
        <v>0</v>
      </c>
      <c r="G105" s="67">
        <f t="shared" ca="1" si="37"/>
        <v>0</v>
      </c>
      <c r="H105" s="67">
        <f t="shared" ca="1" si="37"/>
        <v>1.8235375728961424E-13</v>
      </c>
      <c r="I105" s="67">
        <f t="shared" ca="1" si="37"/>
        <v>0</v>
      </c>
      <c r="J105" s="67">
        <f t="shared" ca="1" si="37"/>
        <v>0</v>
      </c>
      <c r="K105" s="67">
        <f t="shared" ca="1" si="37"/>
        <v>684.64121984335088</v>
      </c>
      <c r="L105" s="67">
        <f t="shared" ca="1" si="37"/>
        <v>641.17688438004836</v>
      </c>
      <c r="M105" s="67">
        <f t="shared" ca="1" si="37"/>
        <v>476.63439654080565</v>
      </c>
      <c r="N105" s="67">
        <f t="shared" ca="1" si="37"/>
        <v>399.42569387442222</v>
      </c>
      <c r="O105" s="67">
        <f t="shared" ca="1" si="37"/>
        <v>310.29949179382055</v>
      </c>
      <c r="P105" s="67">
        <f t="shared" ca="1" si="37"/>
        <v>321.49990750922706</v>
      </c>
      <c r="Q105" s="67">
        <f t="shared" ca="1" si="37"/>
        <v>392.22321989859876</v>
      </c>
      <c r="R105" s="67">
        <f t="shared" ca="1" si="37"/>
        <v>395.86948261582654</v>
      </c>
      <c r="S105" s="67">
        <f t="shared" ca="1" si="37"/>
        <v>1.5368044191986886E-13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78" x14ac:dyDescent="0.2">
      <c r="A106" s="21" t="s">
        <v>566</v>
      </c>
      <c r="B106" s="20"/>
      <c r="C106" s="20"/>
      <c r="D106" s="85">
        <f t="shared" ref="D106:S106" ca="1" si="38">D71</f>
        <v>2121.4740000000002</v>
      </c>
      <c r="E106" s="85">
        <f t="shared" ca="1" si="38"/>
        <v>3788.8514999999998</v>
      </c>
      <c r="F106" s="85">
        <f t="shared" ca="1" si="38"/>
        <v>7243.9289016832108</v>
      </c>
      <c r="G106" s="85">
        <f t="shared" ca="1" si="38"/>
        <v>7868.6564252486096</v>
      </c>
      <c r="H106" s="85">
        <f t="shared" ca="1" si="38"/>
        <v>8654.9006317316453</v>
      </c>
      <c r="I106" s="85">
        <f t="shared" ca="1" si="38"/>
        <v>9500.591459671874</v>
      </c>
      <c r="J106" s="85">
        <f t="shared" ca="1" si="38"/>
        <v>9494.5470326554678</v>
      </c>
      <c r="K106" s="85">
        <f t="shared" ca="1" si="38"/>
        <v>11241.278664122656</v>
      </c>
      <c r="L106" s="85">
        <f t="shared" ca="1" si="38"/>
        <v>10651.489961147956</v>
      </c>
      <c r="M106" s="85">
        <f t="shared" ca="1" si="38"/>
        <v>9982.0402333350721</v>
      </c>
      <c r="N106" s="85">
        <f t="shared" ca="1" si="38"/>
        <v>9160.2647082507065</v>
      </c>
      <c r="O106" s="85">
        <f t="shared" ca="1" si="38"/>
        <v>8320.2596860159356</v>
      </c>
      <c r="P106" s="85">
        <f t="shared" ca="1" si="38"/>
        <v>7349.1564314951147</v>
      </c>
      <c r="Q106" s="85">
        <f t="shared" ca="1" si="38"/>
        <v>6270.6982057434971</v>
      </c>
      <c r="R106" s="85">
        <f t="shared" ca="1" si="38"/>
        <v>5590.9496419073412</v>
      </c>
      <c r="S106" s="85">
        <f t="shared" ca="1" si="38"/>
        <v>2827.5444105199358</v>
      </c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 spans="1:78" x14ac:dyDescent="0.2">
      <c r="A107" s="24" t="s">
        <v>568</v>
      </c>
      <c r="B107" s="8"/>
      <c r="C107" s="8"/>
      <c r="D107" s="67">
        <f t="shared" ref="D107:S107" ca="1" si="39">D78</f>
        <v>29.46153846153846</v>
      </c>
      <c r="E107" s="67">
        <f t="shared" ca="1" si="39"/>
        <v>65.585862785862787</v>
      </c>
      <c r="F107" s="67">
        <f t="shared" ca="1" si="39"/>
        <v>103.29636278586278</v>
      </c>
      <c r="G107" s="67">
        <f t="shared" ca="1" si="39"/>
        <v>140.18651611919611</v>
      </c>
      <c r="H107" s="67">
        <f t="shared" ca="1" si="39"/>
        <v>187.21425245252945</v>
      </c>
      <c r="I107" s="67">
        <f t="shared" ca="1" si="39"/>
        <v>230.50639773786281</v>
      </c>
      <c r="J107" s="67">
        <f t="shared" ca="1" si="39"/>
        <v>276.87212452258279</v>
      </c>
      <c r="K107" s="67">
        <f t="shared" ca="1" si="39"/>
        <v>369.33355299961875</v>
      </c>
      <c r="L107" s="67">
        <f t="shared" ca="1" si="39"/>
        <v>447.28133001832998</v>
      </c>
      <c r="M107" s="67">
        <f t="shared" ca="1" si="39"/>
        <v>501.68836258325882</v>
      </c>
      <c r="N107" s="67">
        <f t="shared" ca="1" si="39"/>
        <v>549.26995442364444</v>
      </c>
      <c r="O107" s="67">
        <f t="shared" ca="1" si="39"/>
        <v>559.97510660840419</v>
      </c>
      <c r="P107" s="67">
        <f t="shared" ca="1" si="39"/>
        <v>532.79875092540351</v>
      </c>
      <c r="Q107" s="67">
        <f t="shared" ca="1" si="39"/>
        <v>553.80200371370745</v>
      </c>
      <c r="R107" s="67">
        <f t="shared" ca="1" si="39"/>
        <v>600.57394984109283</v>
      </c>
      <c r="S107" s="67">
        <f t="shared" ca="1" si="39"/>
        <v>613.07394984109283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78" x14ac:dyDescent="0.2">
      <c r="A108" s="21" t="s">
        <v>569</v>
      </c>
      <c r="B108" s="20"/>
      <c r="C108" s="20"/>
      <c r="D108" s="85">
        <f t="shared" ref="D108:S108" ca="1" si="40">D79</f>
        <v>2092.0124615384616</v>
      </c>
      <c r="E108" s="85">
        <f t="shared" ca="1" si="40"/>
        <v>3723.2656372141369</v>
      </c>
      <c r="F108" s="85">
        <f t="shared" ca="1" si="40"/>
        <v>7140.6325388973482</v>
      </c>
      <c r="G108" s="85">
        <f t="shared" ca="1" si="40"/>
        <v>7728.4699091294133</v>
      </c>
      <c r="H108" s="85">
        <f t="shared" ca="1" si="40"/>
        <v>8467.6863792791155</v>
      </c>
      <c r="I108" s="85">
        <f t="shared" ca="1" si="40"/>
        <v>9270.0850619340108</v>
      </c>
      <c r="J108" s="85">
        <f t="shared" ca="1" si="40"/>
        <v>9217.6749081328853</v>
      </c>
      <c r="K108" s="85">
        <f t="shared" ca="1" si="40"/>
        <v>10871.945111123037</v>
      </c>
      <c r="L108" s="85">
        <f t="shared" ca="1" si="40"/>
        <v>10204.208631129626</v>
      </c>
      <c r="M108" s="85">
        <f t="shared" ca="1" si="40"/>
        <v>9480.3518707518124</v>
      </c>
      <c r="N108" s="85">
        <f t="shared" ca="1" si="40"/>
        <v>8610.9947538270626</v>
      </c>
      <c r="O108" s="85">
        <f t="shared" ca="1" si="40"/>
        <v>7760.2845794075311</v>
      </c>
      <c r="P108" s="85">
        <f t="shared" ca="1" si="40"/>
        <v>6816.3576805697112</v>
      </c>
      <c r="Q108" s="85">
        <f t="shared" ca="1" si="40"/>
        <v>5716.8962020297895</v>
      </c>
      <c r="R108" s="85">
        <f t="shared" ca="1" si="40"/>
        <v>4990.3756920662481</v>
      </c>
      <c r="S108" s="85">
        <f t="shared" ca="1" si="40"/>
        <v>2214.4704606788428</v>
      </c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 spans="1:78" x14ac:dyDescent="0.2">
      <c r="A109" s="24" t="s">
        <v>648</v>
      </c>
      <c r="B109" s="8"/>
      <c r="C109" s="8"/>
      <c r="D109" s="67">
        <f t="shared" ref="D109:S109" ca="1" si="41">D82</f>
        <v>35.692307692307693</v>
      </c>
      <c r="E109" s="67">
        <f t="shared" ca="1" si="41"/>
        <v>88.994594594594602</v>
      </c>
      <c r="F109" s="67">
        <f t="shared" ca="1" si="41"/>
        <v>201.68399999999997</v>
      </c>
      <c r="G109" s="67">
        <f t="shared" ca="1" si="41"/>
        <v>169.41455999999999</v>
      </c>
      <c r="H109" s="67">
        <f t="shared" ca="1" si="41"/>
        <v>138.35522399999999</v>
      </c>
      <c r="I109" s="67">
        <f t="shared" ca="1" si="41"/>
        <v>108.47049561599998</v>
      </c>
      <c r="J109" s="67">
        <f t="shared" ca="1" si="41"/>
        <v>79.72581427775998</v>
      </c>
      <c r="K109" s="67">
        <f t="shared" ca="1" si="41"/>
        <v>52.087531994803186</v>
      </c>
      <c r="L109" s="67">
        <f t="shared" ca="1" si="41"/>
        <v>25.52289067745356</v>
      </c>
      <c r="M109" s="67">
        <f t="shared" ca="1" si="41"/>
        <v>0</v>
      </c>
      <c r="N109" s="67">
        <f t="shared" ca="1" si="41"/>
        <v>0</v>
      </c>
      <c r="O109" s="67">
        <f t="shared" ca="1" si="41"/>
        <v>0</v>
      </c>
      <c r="P109" s="67">
        <f t="shared" ca="1" si="41"/>
        <v>0</v>
      </c>
      <c r="Q109" s="67">
        <f t="shared" ca="1" si="41"/>
        <v>0</v>
      </c>
      <c r="R109" s="67">
        <f t="shared" ca="1" si="41"/>
        <v>0</v>
      </c>
      <c r="S109" s="67">
        <f t="shared" ca="1" si="41"/>
        <v>0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78" x14ac:dyDescent="0.2">
      <c r="A110" s="24" t="s">
        <v>649</v>
      </c>
      <c r="B110" s="8"/>
      <c r="C110" s="8"/>
      <c r="D110" s="67">
        <f t="shared" ref="D110:S110" ca="1" si="42">D83</f>
        <v>0</v>
      </c>
      <c r="E110" s="67">
        <f t="shared" ca="1" si="42"/>
        <v>0</v>
      </c>
      <c r="F110" s="67">
        <f t="shared" ca="1" si="42"/>
        <v>0</v>
      </c>
      <c r="G110" s="67">
        <f t="shared" ca="1" si="42"/>
        <v>0</v>
      </c>
      <c r="H110" s="67">
        <f t="shared" ca="1" si="42"/>
        <v>1.3837921766582947E-13</v>
      </c>
      <c r="I110" s="67">
        <f t="shared" ca="1" si="42"/>
        <v>0</v>
      </c>
      <c r="J110" s="67">
        <f t="shared" ca="1" si="42"/>
        <v>0</v>
      </c>
      <c r="K110" s="67">
        <f t="shared" ca="1" si="42"/>
        <v>480.93722915481749</v>
      </c>
      <c r="L110" s="67">
        <f t="shared" ca="1" si="42"/>
        <v>444.72599213890322</v>
      </c>
      <c r="M110" s="67">
        <f t="shared" ca="1" si="42"/>
        <v>121.92292718609752</v>
      </c>
      <c r="N110" s="67">
        <f t="shared" ca="1" si="42"/>
        <v>173.98606805641819</v>
      </c>
      <c r="O110" s="67">
        <f t="shared" ca="1" si="42"/>
        <v>175.23384249868337</v>
      </c>
      <c r="P110" s="67">
        <f t="shared" ca="1" si="42"/>
        <v>126.27728170164173</v>
      </c>
      <c r="Q110" s="67">
        <f t="shared" ca="1" si="42"/>
        <v>68.026022306431884</v>
      </c>
      <c r="R110" s="67">
        <f t="shared" ca="1" si="42"/>
        <v>274.17556901908296</v>
      </c>
      <c r="S110" s="67">
        <f t="shared" ca="1" si="42"/>
        <v>1.6325471073272916E-13</v>
      </c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78" x14ac:dyDescent="0.2">
      <c r="A111" s="24" t="s">
        <v>571</v>
      </c>
      <c r="B111" s="8"/>
      <c r="C111" s="8"/>
      <c r="D111" s="67">
        <f t="shared" ref="D111:S111" ca="1" si="43">D84</f>
        <v>750</v>
      </c>
      <c r="E111" s="67">
        <f t="shared" ca="1" si="43"/>
        <v>750</v>
      </c>
      <c r="F111" s="67">
        <f t="shared" ca="1" si="43"/>
        <v>375</v>
      </c>
      <c r="G111" s="67">
        <f t="shared" ca="1" si="43"/>
        <v>471.4</v>
      </c>
      <c r="H111" s="67">
        <f t="shared" ca="1" si="43"/>
        <v>892</v>
      </c>
      <c r="I111" s="67">
        <f t="shared" ca="1" si="43"/>
        <v>892</v>
      </c>
      <c r="J111" s="67">
        <f t="shared" ca="1" si="43"/>
        <v>1092</v>
      </c>
      <c r="K111" s="67">
        <f t="shared" ca="1" si="43"/>
        <v>775</v>
      </c>
      <c r="L111" s="67">
        <f t="shared" ca="1" si="43"/>
        <v>575</v>
      </c>
      <c r="M111" s="67">
        <f t="shared" ca="1" si="43"/>
        <v>1175</v>
      </c>
      <c r="N111" s="67">
        <f t="shared" ca="1" si="43"/>
        <v>775</v>
      </c>
      <c r="O111" s="67">
        <f t="shared" ca="1" si="43"/>
        <v>1375</v>
      </c>
      <c r="P111" s="67">
        <f t="shared" ca="1" si="43"/>
        <v>375</v>
      </c>
      <c r="Q111" s="67">
        <f t="shared" ca="1" si="43"/>
        <v>375</v>
      </c>
      <c r="R111" s="67">
        <f t="shared" ca="1" si="43"/>
        <v>375</v>
      </c>
      <c r="S111" s="67">
        <f t="shared" ca="1" si="43"/>
        <v>375</v>
      </c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78" x14ac:dyDescent="0.2">
      <c r="A112" s="24" t="s">
        <v>572</v>
      </c>
      <c r="B112" s="8"/>
      <c r="C112" s="8"/>
      <c r="D112" s="67">
        <f t="shared" ref="D112:S112" ca="1" si="44">D85</f>
        <v>61.983999999999995</v>
      </c>
      <c r="E112" s="67">
        <f t="shared" ca="1" si="44"/>
        <v>61.79</v>
      </c>
      <c r="F112" s="67">
        <f t="shared" ca="1" si="44"/>
        <v>128.94682080000001</v>
      </c>
      <c r="G112" s="67">
        <f t="shared" ca="1" si="44"/>
        <v>22.504818033258161</v>
      </c>
      <c r="H112" s="67">
        <f t="shared" ca="1" si="44"/>
        <v>28.527411664594183</v>
      </c>
      <c r="I112" s="67">
        <f t="shared" ca="1" si="44"/>
        <v>30.710652689647649</v>
      </c>
      <c r="J112" s="67">
        <f t="shared" ca="1" si="44"/>
        <v>-1.3608148406250258</v>
      </c>
      <c r="K112" s="67">
        <f t="shared" ca="1" si="44"/>
        <v>140.39703977526901</v>
      </c>
      <c r="L112" s="67">
        <f t="shared" ca="1" si="44"/>
        <v>6.2446448213769328</v>
      </c>
      <c r="M112" s="67">
        <f t="shared" ca="1" si="44"/>
        <v>-0.98161508304976453</v>
      </c>
      <c r="N112" s="67">
        <f t="shared" ca="1" si="44"/>
        <v>-3.1518309028197109</v>
      </c>
      <c r="O112" s="67">
        <f t="shared" ca="1" si="44"/>
        <v>-3.3395020987815953</v>
      </c>
      <c r="P112" s="67">
        <f t="shared" ca="1" si="44"/>
        <v>-3.0324613958828559</v>
      </c>
      <c r="Q112" s="67">
        <f t="shared" ca="1" si="44"/>
        <v>-2.792503948108497</v>
      </c>
      <c r="R112" s="67">
        <f t="shared" ca="1" si="44"/>
        <v>3.5160453941087328</v>
      </c>
      <c r="S112" s="67">
        <f t="shared" ca="1" si="44"/>
        <v>-400.60307389076377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x14ac:dyDescent="0.2">
      <c r="A113" s="24" t="s">
        <v>573</v>
      </c>
      <c r="B113" s="8"/>
      <c r="C113" s="8"/>
      <c r="D113" s="67">
        <f t="shared" ref="D113:S113" ca="1" si="45">D86</f>
        <v>847.67630769230777</v>
      </c>
      <c r="E113" s="67">
        <f t="shared" ca="1" si="45"/>
        <v>900.78459459459452</v>
      </c>
      <c r="F113" s="67">
        <f t="shared" ca="1" si="45"/>
        <v>705.63082080000004</v>
      </c>
      <c r="G113" s="67">
        <f t="shared" ca="1" si="45"/>
        <v>663.3193780332582</v>
      </c>
      <c r="H113" s="67">
        <f t="shared" ca="1" si="45"/>
        <v>1058.8826356645943</v>
      </c>
      <c r="I113" s="67">
        <f t="shared" ca="1" si="45"/>
        <v>1031.1811483056476</v>
      </c>
      <c r="J113" s="67">
        <f t="shared" ca="1" si="45"/>
        <v>1170.3649994371351</v>
      </c>
      <c r="K113" s="67">
        <f t="shared" ca="1" si="45"/>
        <v>1448.4218009248896</v>
      </c>
      <c r="L113" s="67">
        <f t="shared" ca="1" si="45"/>
        <v>1051.4935276377337</v>
      </c>
      <c r="M113" s="67">
        <f t="shared" ca="1" si="45"/>
        <v>1295.9413121030477</v>
      </c>
      <c r="N113" s="67">
        <f t="shared" ca="1" si="45"/>
        <v>945.83423715359845</v>
      </c>
      <c r="O113" s="67">
        <f t="shared" ca="1" si="45"/>
        <v>1546.8943403999017</v>
      </c>
      <c r="P113" s="67">
        <f t="shared" ca="1" si="45"/>
        <v>498.24482030575888</v>
      </c>
      <c r="Q113" s="67">
        <f t="shared" ca="1" si="45"/>
        <v>440.23351835832335</v>
      </c>
      <c r="R113" s="67">
        <f t="shared" ca="1" si="45"/>
        <v>652.6916144131917</v>
      </c>
      <c r="S113" s="67">
        <f t="shared" ca="1" si="45"/>
        <v>-25.603073890763596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x14ac:dyDescent="0.2">
      <c r="A114" s="24" t="s">
        <v>574</v>
      </c>
      <c r="B114" s="8"/>
      <c r="C114" s="8"/>
      <c r="D114" s="67">
        <f t="shared" ref="D114:S114" ca="1" si="46">D87</f>
        <v>1273.7976923076924</v>
      </c>
      <c r="E114" s="67">
        <f t="shared" ca="1" si="46"/>
        <v>2888.0669054054051</v>
      </c>
      <c r="F114" s="67">
        <f t="shared" ca="1" si="46"/>
        <v>6538.2980808832108</v>
      </c>
      <c r="G114" s="67">
        <f t="shared" ca="1" si="46"/>
        <v>7205.337047215351</v>
      </c>
      <c r="H114" s="67">
        <f t="shared" ca="1" si="46"/>
        <v>7596.0179960670512</v>
      </c>
      <c r="I114" s="67">
        <f t="shared" ca="1" si="46"/>
        <v>8469.4103113662259</v>
      </c>
      <c r="J114" s="67">
        <f t="shared" ca="1" si="46"/>
        <v>8324.1820332183324</v>
      </c>
      <c r="K114" s="67">
        <f t="shared" ca="1" si="46"/>
        <v>9792.8568631977669</v>
      </c>
      <c r="L114" s="67">
        <f t="shared" ca="1" si="46"/>
        <v>9599.9964335102231</v>
      </c>
      <c r="M114" s="67">
        <f t="shared" ca="1" si="46"/>
        <v>8686.0989212320237</v>
      </c>
      <c r="N114" s="67">
        <f t="shared" ca="1" si="46"/>
        <v>8214.4304710971082</v>
      </c>
      <c r="O114" s="67">
        <f t="shared" ca="1" si="46"/>
        <v>6773.3653456160337</v>
      </c>
      <c r="P114" s="67">
        <f t="shared" ca="1" si="46"/>
        <v>6850.9116111893554</v>
      </c>
      <c r="Q114" s="67">
        <f t="shared" ca="1" si="46"/>
        <v>5830.4646873851734</v>
      </c>
      <c r="R114" s="67">
        <f t="shared" ca="1" si="46"/>
        <v>4938.2580274941492</v>
      </c>
      <c r="S114" s="67">
        <f t="shared" ca="1" si="46"/>
        <v>2853.1474844106992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x14ac:dyDescent="0.2">
      <c r="A115" s="24" t="s">
        <v>576</v>
      </c>
      <c r="B115" s="8"/>
      <c r="C115" s="8"/>
      <c r="D115" s="66">
        <f ca="1">E47*INDEX('Vehicle Build'!$D:$AC,MATCH("Starship payload, fully reusable (kg)",'Vehicle Build'!$A$1:$A$119,0),MATCH(E$4,'Vehicle Build'!$D$4:$AC$4,0))</f>
        <v>0</v>
      </c>
      <c r="E115" s="66">
        <f ca="1">F47*INDEX('Vehicle Build'!$D:$AC,MATCH("Starship payload, fully reusable (kg)",'Vehicle Build'!$A$1:$A$119,0),MATCH(F$4,'Vehicle Build'!$D$4:$AC$4,0))</f>
        <v>0</v>
      </c>
      <c r="F115" s="66">
        <f ca="1">G47*INDEX('Vehicle Build'!$D:$AC,MATCH("Starship payload, fully reusable (kg)",'Vehicle Build'!$A$1:$A$119,0),MATCH(G$4,'Vehicle Build'!$D$4:$AC$4,0))</f>
        <v>0</v>
      </c>
      <c r="G115" s="66">
        <f ca="1">H47*INDEX('Vehicle Build'!$D:$AC,MATCH("Starship payload, fully reusable (kg)",'Vehicle Build'!$A$1:$A$119,0),MATCH(H$4,'Vehicle Build'!$D$4:$AC$4,0))</f>
        <v>2.7939677238464355E-9</v>
      </c>
      <c r="H115" s="66">
        <f ca="1">I47*INDEX('Vehicle Build'!$D:$AC,MATCH("Starship payload, fully reusable (kg)",'Vehicle Build'!$A$1:$A$119,0),MATCH(I$4,'Vehicle Build'!$D$4:$AC$4,0))</f>
        <v>0</v>
      </c>
      <c r="I115" s="66">
        <f ca="1">J47*INDEX('Vehicle Build'!$D:$AC,MATCH("Starship payload, fully reusable (kg)",'Vehicle Build'!$A$1:$A$119,0),MATCH(J$4,'Vehicle Build'!$D$4:$AC$4,0))</f>
        <v>0</v>
      </c>
      <c r="J115" s="66">
        <f ca="1">K47*INDEX('Vehicle Build'!$D:$AC,MATCH("Starship payload, fully reusable (kg)",'Vehicle Build'!$A$1:$A$119,0),MATCH(K$4,'Vehicle Build'!$D$4:$AC$4,0))</f>
        <v>55159854.687601559</v>
      </c>
      <c r="K115" s="66">
        <f ca="1">L47*INDEX('Vehicle Build'!$D:$AC,MATCH("Starship payload, fully reusable (kg)",'Vehicle Build'!$A$1:$A$119,0),MATCH(L$4,'Vehicle Build'!$D$4:$AC$4,0))</f>
        <v>66800284.871731527</v>
      </c>
      <c r="L115" s="66">
        <f ca="1">M47*INDEX('Vehicle Build'!$D:$AC,MATCH("Starship payload, fully reusable (kg)",'Vehicle Build'!$A$1:$A$119,0),MATCH(M$4,'Vehicle Build'!$D$4:$AC$4,0))</f>
        <v>75187435.736565784</v>
      </c>
      <c r="M115" s="66">
        <f ca="1">N47*INDEX('Vehicle Build'!$D:$AC,MATCH("Starship payload, fully reusable (kg)",'Vehicle Build'!$A$1:$A$119,0),MATCH(N$4,'Vehicle Build'!$D$4:$AC$4,0))</f>
        <v>82116037.893756643</v>
      </c>
      <c r="N115" s="66">
        <f ca="1">O47*INDEX('Vehicle Build'!$D:$AC,MATCH("Starship payload, fully reusable (kg)",'Vehicle Build'!$A$1:$A$119,0),MATCH(O$4,'Vehicle Build'!$D$4:$AC$4,0))</f>
        <v>88674742.719687477</v>
      </c>
      <c r="O115" s="66">
        <f ca="1">P47*INDEX('Vehicle Build'!$D:$AC,MATCH("Starship payload, fully reusable (kg)",'Vehicle Build'!$A$1:$A$119,0),MATCH(P$4,'Vehicle Build'!$D$4:$AC$4,0))</f>
        <v>95354211.252536371</v>
      </c>
      <c r="P115" s="66">
        <f ca="1">Q47*INDEX('Vehicle Build'!$D:$AC,MATCH("Starship payload, fully reusable (kg)",'Vehicle Build'!$A$1:$A$119,0),MATCH(Q$4,'Vehicle Build'!$D$4:$AC$4,0))</f>
        <v>102399822.71110731</v>
      </c>
      <c r="Q115" s="66">
        <f ca="1">R47*INDEX('Vehicle Build'!$D:$AC,MATCH("Starship payload, fully reusable (kg)",'Vehicle Build'!$A$1:$A$119,0),MATCH(R$4,'Vehicle Build'!$D$4:$AC$4,0))</f>
        <v>106741284.51363434</v>
      </c>
      <c r="R115" s="66">
        <f ca="1">S47*INDEX('Vehicle Build'!$D:$AC,MATCH("Starship payload, fully reusable (kg)",'Vehicle Build'!$A$1:$A$119,0),MATCH(S$4,'Vehicle Build'!$D$4:$AC$4,0))</f>
        <v>2.9802322387695312E-8</v>
      </c>
      <c r="S115" s="70">
        <v>0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x14ac:dyDescent="0.2">
      <c r="A116" s="24" t="s">
        <v>577</v>
      </c>
      <c r="B116" s="8"/>
      <c r="C116" s="8"/>
      <c r="D116" s="97">
        <f t="shared" ref="D116:S116" ca="1" si="47">D98</f>
        <v>0</v>
      </c>
      <c r="E116" s="97">
        <f t="shared" ca="1" si="47"/>
        <v>0</v>
      </c>
      <c r="F116" s="97">
        <f t="shared" ca="1" si="47"/>
        <v>0</v>
      </c>
      <c r="G116" s="97">
        <f t="shared" ca="1" si="47"/>
        <v>0</v>
      </c>
      <c r="H116" s="97">
        <f t="shared" ca="1" si="47"/>
        <v>0</v>
      </c>
      <c r="I116" s="97">
        <f t="shared" ca="1" si="47"/>
        <v>0</v>
      </c>
      <c r="J116" s="97">
        <f t="shared" ca="1" si="47"/>
        <v>0</v>
      </c>
      <c r="K116" s="97">
        <f t="shared" ca="1" si="47"/>
        <v>1.6149785365470763</v>
      </c>
      <c r="L116" s="97">
        <f t="shared" ca="1" si="47"/>
        <v>1.534376652394057</v>
      </c>
      <c r="M116" s="97">
        <f t="shared" ca="1" si="47"/>
        <v>1.3329306442564384</v>
      </c>
      <c r="N116" s="97">
        <f t="shared" ca="1" si="47"/>
        <v>0.95669804309004647</v>
      </c>
      <c r="O116" s="97">
        <f t="shared" ca="1" si="47"/>
        <v>0.791867243702014</v>
      </c>
      <c r="P116" s="97">
        <f t="shared" ca="1" si="47"/>
        <v>0.55205362081796305</v>
      </c>
      <c r="Q116" s="97">
        <f t="shared" ca="1" si="47"/>
        <v>0.42205234191811308</v>
      </c>
      <c r="R116" s="97">
        <f t="shared" ca="1" si="47"/>
        <v>0.22395019223821155</v>
      </c>
      <c r="S116" s="97">
        <f t="shared" ca="1" si="47"/>
        <v>0</v>
      </c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1:29" x14ac:dyDescent="0.2">
      <c r="A117" s="24" t="s">
        <v>575</v>
      </c>
      <c r="B117" s="8"/>
      <c r="C117" s="8"/>
      <c r="D117" s="67">
        <f ca="1">SUM($D86:D86)</f>
        <v>847.67630769230777</v>
      </c>
      <c r="E117" s="67">
        <f ca="1">SUM($D86:E86)</f>
        <v>1748.4609022869022</v>
      </c>
      <c r="F117" s="67">
        <f ca="1">SUM($D86:F86)</f>
        <v>2454.0917230869022</v>
      </c>
      <c r="G117" s="67">
        <f ca="1">SUM($D86:G86)</f>
        <v>3117.4111011201603</v>
      </c>
      <c r="H117" s="67">
        <f ca="1">SUM($D86:H86)</f>
        <v>4176.2937367847544</v>
      </c>
      <c r="I117" s="67">
        <f ca="1">SUM($D86:I86)</f>
        <v>5207.4748850904016</v>
      </c>
      <c r="J117" s="67">
        <f ca="1">SUM($D86:J86)</f>
        <v>6377.8398845275369</v>
      </c>
      <c r="K117" s="67">
        <f ca="1">SUM($D86:K86)</f>
        <v>7826.2616854524267</v>
      </c>
      <c r="L117" s="67">
        <f ca="1">SUM($D86:L86)</f>
        <v>8877.7552130901604</v>
      </c>
      <c r="M117" s="67">
        <f ca="1">SUM($D86:M86)</f>
        <v>10173.696525193209</v>
      </c>
      <c r="N117" s="67">
        <f ca="1">SUM($D86:N86)</f>
        <v>11119.530762346807</v>
      </c>
      <c r="O117" s="67">
        <f ca="1">SUM($D86:O86)</f>
        <v>12666.425102746709</v>
      </c>
      <c r="P117" s="67">
        <f ca="1">SUM($D86:P86)</f>
        <v>13164.669923052468</v>
      </c>
      <c r="Q117" s="67">
        <f ca="1">SUM($D86:Q86)</f>
        <v>13604.903441410792</v>
      </c>
      <c r="R117" s="67">
        <f ca="1">SUM($D86:R86)</f>
        <v>14257.595055823984</v>
      </c>
      <c r="S117" s="67">
        <f ca="1">SUM($D86:S86)</f>
        <v>14231.991981933221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x14ac:dyDescent="0.2">
      <c r="A118" s="24" t="s">
        <v>1744</v>
      </c>
      <c r="B118" s="8"/>
      <c r="C118" s="8"/>
      <c r="D118" s="98">
        <f t="shared" ref="D118:S118" ca="1" si="48">IFERROR(D75/(D42+D9),0)</f>
        <v>2.2879684418145956E-2</v>
      </c>
      <c r="E118" s="98">
        <f t="shared" ca="1" si="48"/>
        <v>7.0206589125508048E-2</v>
      </c>
      <c r="F118" s="98">
        <f t="shared" ca="1" si="48"/>
        <v>0.20377235156948945</v>
      </c>
      <c r="G118" s="98">
        <f t="shared" ca="1" si="48"/>
        <v>0.28269829346040592</v>
      </c>
      <c r="H118" s="98">
        <f t="shared" ca="1" si="48"/>
        <v>0.32532850842188182</v>
      </c>
      <c r="I118" s="98">
        <f t="shared" ca="1" si="48"/>
        <v>0.34380147310319548</v>
      </c>
      <c r="J118" s="98">
        <f t="shared" ca="1" si="48"/>
        <v>0.38498923042165833</v>
      </c>
      <c r="K118" s="98">
        <f t="shared" ca="1" si="48"/>
        <v>1.7761553547204887</v>
      </c>
      <c r="L118" s="98">
        <f t="shared" ca="1" si="48"/>
        <v>4.1031277097764072</v>
      </c>
      <c r="M118" s="98">
        <f t="shared" ca="1" si="48"/>
        <v>9.9092904361011964</v>
      </c>
      <c r="N118" s="98">
        <f t="shared" ca="1" si="48"/>
        <v>24.663478366814999</v>
      </c>
      <c r="O118" s="98">
        <f t="shared" ca="1" si="48"/>
        <v>30.608181605344964</v>
      </c>
      <c r="P118" s="98">
        <f t="shared" ca="1" si="48"/>
        <v>0</v>
      </c>
      <c r="Q118" s="98">
        <f t="shared" ca="1" si="48"/>
        <v>0</v>
      </c>
      <c r="R118" s="98">
        <f t="shared" ca="1" si="48"/>
        <v>0</v>
      </c>
      <c r="S118" s="98">
        <f t="shared" ca="1" si="48"/>
        <v>0</v>
      </c>
      <c r="T118" s="96"/>
      <c r="U118" s="96"/>
      <c r="V118" s="96"/>
      <c r="W118" s="96"/>
      <c r="X118" s="96"/>
      <c r="Y118" s="96"/>
      <c r="Z118" s="96"/>
      <c r="AA118" s="96"/>
      <c r="AB118" s="96"/>
      <c r="AC118" s="96"/>
    </row>
    <row r="119" spans="1:29" x14ac:dyDescent="0.2">
      <c r="A119" s="24" t="s">
        <v>1745</v>
      </c>
      <c r="B119" s="8"/>
      <c r="C119" s="8"/>
      <c r="D119" s="98">
        <f t="shared" ref="D119:S119" ca="1" si="49">IFERROR(D76/(D47+D10),0)</f>
        <v>0</v>
      </c>
      <c r="E119" s="98">
        <f t="shared" ca="1" si="49"/>
        <v>0</v>
      </c>
      <c r="F119" s="98">
        <f t="shared" ca="1" si="49"/>
        <v>0</v>
      </c>
      <c r="G119" s="98">
        <f t="shared" ca="1" si="49"/>
        <v>0</v>
      </c>
      <c r="H119" s="98">
        <f t="shared" ca="1" si="49"/>
        <v>6.5520462909957139E-17</v>
      </c>
      <c r="I119" s="98">
        <f t="shared" ca="1" si="49"/>
        <v>4.9280348171591692E-17</v>
      </c>
      <c r="J119" s="98">
        <f t="shared" ca="1" si="49"/>
        <v>3.0943474433325017E-17</v>
      </c>
      <c r="K119" s="98">
        <f t="shared" ca="1" si="49"/>
        <v>8.935377313526699E-2</v>
      </c>
      <c r="L119" s="98">
        <f t="shared" ca="1" si="49"/>
        <v>0.1419726385788444</v>
      </c>
      <c r="M119" s="98">
        <f t="shared" ca="1" si="49"/>
        <v>0.12238874503004392</v>
      </c>
      <c r="N119" s="98">
        <f t="shared" ca="1" si="49"/>
        <v>0.12398423454090479</v>
      </c>
      <c r="O119" s="98">
        <f t="shared" ca="1" si="49"/>
        <v>0.10985506799659998</v>
      </c>
      <c r="P119" s="98">
        <f t="shared" ca="1" si="49"/>
        <v>0.12762375083817534</v>
      </c>
      <c r="Q119" s="98">
        <f t="shared" ca="1" si="49"/>
        <v>0.18484092400705196</v>
      </c>
      <c r="R119" s="98">
        <f t="shared" ca="1" si="49"/>
        <v>0.25296624912094984</v>
      </c>
      <c r="S119" s="98">
        <f t="shared" ca="1" si="49"/>
        <v>0.59028004179179616</v>
      </c>
      <c r="T119" s="96"/>
      <c r="U119" s="96"/>
      <c r="V119" s="96"/>
      <c r="W119" s="96"/>
      <c r="X119" s="96"/>
      <c r="Y119" s="96"/>
      <c r="Z119" s="96"/>
      <c r="AA119" s="96"/>
      <c r="AB119" s="96"/>
      <c r="AC119" s="96"/>
    </row>
    <row r="120" spans="1:29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">
      <c r="A121" s="168" t="s">
        <v>1339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spans="1:29" x14ac:dyDescent="0.2">
      <c r="A122" s="24" t="s">
        <v>579</v>
      </c>
      <c r="B122" s="8"/>
      <c r="C122" s="8"/>
      <c r="D122" s="189" t="str">
        <f t="shared" ref="D122:S122" ca="1" si="50">IF(ABS((D59+D60+D82+D83)-((D42+D9)*D19+(D47+D10)*D20))/MAX(1,D54)&lt;0.05,"OK","CHECK")</f>
        <v>CHECK</v>
      </c>
      <c r="E122" s="189" t="str">
        <f t="shared" ca="1" si="50"/>
        <v>CHECK</v>
      </c>
      <c r="F122" s="189" t="str">
        <f t="shared" ca="1" si="50"/>
        <v>CHECK</v>
      </c>
      <c r="G122" s="189" t="str">
        <f t="shared" ca="1" si="50"/>
        <v>CHECK</v>
      </c>
      <c r="H122" s="189" t="str">
        <f t="shared" ca="1" si="50"/>
        <v>CHECK</v>
      </c>
      <c r="I122" s="189" t="str">
        <f t="shared" ca="1" si="50"/>
        <v>CHECK</v>
      </c>
      <c r="J122" s="189" t="str">
        <f t="shared" ca="1" si="50"/>
        <v>CHECK</v>
      </c>
      <c r="K122" s="189" t="str">
        <f t="shared" ca="1" si="50"/>
        <v>CHECK</v>
      </c>
      <c r="L122" s="189" t="str">
        <f t="shared" ca="1" si="50"/>
        <v>CHECK</v>
      </c>
      <c r="M122" s="189" t="str">
        <f t="shared" ca="1" si="50"/>
        <v>CHECK</v>
      </c>
      <c r="N122" s="189" t="str">
        <f t="shared" ca="1" si="50"/>
        <v>CHECK</v>
      </c>
      <c r="O122" s="189" t="str">
        <f t="shared" ca="1" si="50"/>
        <v>CHECK</v>
      </c>
      <c r="P122" s="189" t="str">
        <f t="shared" ca="1" si="50"/>
        <v>CHECK</v>
      </c>
      <c r="Q122" s="189" t="str">
        <f t="shared" ca="1" si="50"/>
        <v>CHECK</v>
      </c>
      <c r="R122" s="189" t="str">
        <f t="shared" ca="1" si="50"/>
        <v>CHECK</v>
      </c>
      <c r="S122" s="189" t="str">
        <f t="shared" ca="1" si="50"/>
        <v>CHECK</v>
      </c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x14ac:dyDescent="0.2">
      <c r="A123" s="24" t="s">
        <v>650</v>
      </c>
      <c r="B123" s="8"/>
      <c r="C123" s="8"/>
      <c r="D123" s="185" t="str">
        <f ca="1">IF(ABS((D40*(D91+INDEX(Assumptions!$B:$B,MATCH("Customer Launch R&amp;D: end-state % (floor)",Assumptions!$A$1:$A$327,0))*D90)+D45*(D95+INDEX(Assumptions!$B:$B,MATCH("Customer Launch R&amp;D: end-state % (floor)",Assumptions!$A$1:$A$327,0))*D94))-(D64-D69))/MAX(1,D54)&lt;0.05,"OK","CHECK")</f>
        <v>CHECK</v>
      </c>
      <c r="E123" s="185" t="str">
        <f ca="1">IF(ABS((E40*(E91+INDEX(Assumptions!$B:$B,MATCH("Customer Launch R&amp;D: end-state % (floor)",Assumptions!$A$1:$A$327,0))*E90)+E45*(E95+INDEX(Assumptions!$B:$B,MATCH("Customer Launch R&amp;D: end-state % (floor)",Assumptions!$A$1:$A$327,0))*E94))-(E64-E69))/MAX(1,E54)&lt;0.05,"OK","CHECK")</f>
        <v>CHECK</v>
      </c>
      <c r="F123" s="185" t="str">
        <f ca="1">IF(ABS((F40*(F91+INDEX(Assumptions!$B:$B,MATCH("Customer Launch R&amp;D: end-state % (floor)",Assumptions!$A$1:$A$327,0))*F90)+F45*(F95+INDEX(Assumptions!$B:$B,MATCH("Customer Launch R&amp;D: end-state % (floor)",Assumptions!$A$1:$A$327,0))*F94))-(F64-F69))/MAX(1,F54)&lt;0.05,"OK","CHECK")</f>
        <v>CHECK</v>
      </c>
      <c r="G123" s="185" t="str">
        <f ca="1">IF(ABS((G40*(G91+INDEX(Assumptions!$B:$B,MATCH("Customer Launch R&amp;D: end-state % (floor)",Assumptions!$A$1:$A$327,0))*G90)+G45*(G95+INDEX(Assumptions!$B:$B,MATCH("Customer Launch R&amp;D: end-state % (floor)",Assumptions!$A$1:$A$327,0))*G94))-(G64-G69))/MAX(1,G54)&lt;0.05,"OK","CHECK")</f>
        <v>CHECK</v>
      </c>
      <c r="H123" s="185" t="str">
        <f ca="1">IF(ABS((H40*(H91+INDEX(Assumptions!$B:$B,MATCH("Customer Launch R&amp;D: end-state % (floor)",Assumptions!$A$1:$A$327,0))*H90)+H45*(H95+INDEX(Assumptions!$B:$B,MATCH("Customer Launch R&amp;D: end-state % (floor)",Assumptions!$A$1:$A$327,0))*H94))-(H64-H69))/MAX(1,H54)&lt;0.05,"OK","CHECK")</f>
        <v>CHECK</v>
      </c>
      <c r="I123" s="185" t="str">
        <f ca="1">IF(ABS((I40*(I91+INDEX(Assumptions!$B:$B,MATCH("Customer Launch R&amp;D: end-state % (floor)",Assumptions!$A$1:$A$327,0))*I90)+I45*(I95+INDEX(Assumptions!$B:$B,MATCH("Customer Launch R&amp;D: end-state % (floor)",Assumptions!$A$1:$A$327,0))*I94))-(I64-I69))/MAX(1,I54)&lt;0.05,"OK","CHECK")</f>
        <v>CHECK</v>
      </c>
      <c r="J123" s="185" t="str">
        <f ca="1">IF(ABS((J40*(J91+INDEX(Assumptions!$B:$B,MATCH("Customer Launch R&amp;D: end-state % (floor)",Assumptions!$A$1:$A$327,0))*J90)+J45*(J95+INDEX(Assumptions!$B:$B,MATCH("Customer Launch R&amp;D: end-state % (floor)",Assumptions!$A$1:$A$327,0))*J94))-(J64-J69))/MAX(1,J54)&lt;0.05,"OK","CHECK")</f>
        <v>CHECK</v>
      </c>
      <c r="K123" s="185" t="str">
        <f ca="1">IF(ABS((K40*(K91+INDEX(Assumptions!$B:$B,MATCH("Customer Launch R&amp;D: end-state % (floor)",Assumptions!$A$1:$A$327,0))*K90)+K45*(K95+INDEX(Assumptions!$B:$B,MATCH("Customer Launch R&amp;D: end-state % (floor)",Assumptions!$A$1:$A$327,0))*K94))-(K64-K69))/MAX(1,K54)&lt;0.05,"OK","CHECK")</f>
        <v>CHECK</v>
      </c>
      <c r="L123" s="185" t="str">
        <f ca="1">IF(ABS((L40*(L91+INDEX(Assumptions!$B:$B,MATCH("Customer Launch R&amp;D: end-state % (floor)",Assumptions!$A$1:$A$327,0))*L90)+L45*(L95+INDEX(Assumptions!$B:$B,MATCH("Customer Launch R&amp;D: end-state % (floor)",Assumptions!$A$1:$A$327,0))*L94))-(L64-L69))/MAX(1,L54)&lt;0.05,"OK","CHECK")</f>
        <v>CHECK</v>
      </c>
      <c r="M123" s="185" t="str">
        <f ca="1">IF(ABS((M40*(M91+INDEX(Assumptions!$B:$B,MATCH("Customer Launch R&amp;D: end-state % (floor)",Assumptions!$A$1:$A$327,0))*M90)+M45*(M95+INDEX(Assumptions!$B:$B,MATCH("Customer Launch R&amp;D: end-state % (floor)",Assumptions!$A$1:$A$327,0))*M94))-(M64-M69))/MAX(1,M54)&lt;0.05,"OK","CHECK")</f>
        <v>CHECK</v>
      </c>
      <c r="N123" s="185" t="str">
        <f ca="1">IF(ABS((N40*(N91+INDEX(Assumptions!$B:$B,MATCH("Customer Launch R&amp;D: end-state % (floor)",Assumptions!$A$1:$A$327,0))*N90)+N45*(N95+INDEX(Assumptions!$B:$B,MATCH("Customer Launch R&amp;D: end-state % (floor)",Assumptions!$A$1:$A$327,0))*N94))-(N64-N69))/MAX(1,N54)&lt;0.05,"OK","CHECK")</f>
        <v>CHECK</v>
      </c>
      <c r="O123" s="185" t="str">
        <f ca="1">IF(ABS((O40*(O91+INDEX(Assumptions!$B:$B,MATCH("Customer Launch R&amp;D: end-state % (floor)",Assumptions!$A$1:$A$327,0))*O90)+O45*(O95+INDEX(Assumptions!$B:$B,MATCH("Customer Launch R&amp;D: end-state % (floor)",Assumptions!$A$1:$A$327,0))*O94))-(O64-O69))/MAX(1,O54)&lt;0.05,"OK","CHECK")</f>
        <v>CHECK</v>
      </c>
      <c r="P123" s="185" t="str">
        <f ca="1">IF(ABS((P40*(P91+INDEX(Assumptions!$B:$B,MATCH("Customer Launch R&amp;D: end-state % (floor)",Assumptions!$A$1:$A$327,0))*P90)+P45*(P95+INDEX(Assumptions!$B:$B,MATCH("Customer Launch R&amp;D: end-state % (floor)",Assumptions!$A$1:$A$327,0))*P94))-(P64-P69))/MAX(1,P54)&lt;0.05,"OK","CHECK")</f>
        <v>CHECK</v>
      </c>
      <c r="Q123" s="185" t="str">
        <f ca="1">IF(ABS((Q40*(Q91+INDEX(Assumptions!$B:$B,MATCH("Customer Launch R&amp;D: end-state % (floor)",Assumptions!$A$1:$A$327,0))*Q90)+Q45*(Q95+INDEX(Assumptions!$B:$B,MATCH("Customer Launch R&amp;D: end-state % (floor)",Assumptions!$A$1:$A$327,0))*Q94))-(Q64-Q69))/MAX(1,Q54)&lt;0.05,"OK","CHECK")</f>
        <v>CHECK</v>
      </c>
      <c r="R123" s="185" t="str">
        <f ca="1">IF(ABS((R40*(R91+INDEX(Assumptions!$B:$B,MATCH("Customer Launch R&amp;D: end-state % (floor)",Assumptions!$A$1:$A$327,0))*R90)+R45*(R95+INDEX(Assumptions!$B:$B,MATCH("Customer Launch R&amp;D: end-state % (floor)",Assumptions!$A$1:$A$327,0))*R94))-(R64-R69))/MAX(1,R54)&lt;0.05,"OK","CHECK")</f>
        <v>CHECK</v>
      </c>
      <c r="S123" s="185" t="str">
        <f ca="1">IF(ABS((S40*(S91+INDEX(Assumptions!$B:$B,MATCH("Customer Launch R&amp;D: end-state % (floor)",Assumptions!$A$1:$A$327,0))*S90)+S45*(S95+INDEX(Assumptions!$B:$B,MATCH("Customer Launch R&amp;D: end-state % (floor)",Assumptions!$A$1:$A$327,0))*S94))-(S64-S69))/MAX(1,S54)&lt;0.05,"OK","CHECK")</f>
        <v>CHECK</v>
      </c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x14ac:dyDescent="0.2">
      <c r="A124" s="24" t="s">
        <v>651</v>
      </c>
      <c r="B124" s="8"/>
      <c r="C124" s="8"/>
      <c r="D124" s="185" t="s">
        <v>1340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x14ac:dyDescent="0.2">
      <c r="A125" s="24" t="s">
        <v>581</v>
      </c>
      <c r="B125" s="8"/>
      <c r="C125" s="8"/>
      <c r="D125" s="189" t="str">
        <f ca="1">IF(ABS(D54-4086)/4086&lt;0.05,"OK","CHECK")</f>
        <v>CHECK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x14ac:dyDescent="0.2">
      <c r="A126" s="21" t="s">
        <v>652</v>
      </c>
      <c r="B126" s="20"/>
      <c r="C126" s="20"/>
      <c r="D126" s="197" t="str">
        <f ca="1">IF(ABS(D79-(-657))/657&lt;0.05,"OK","CHECK")</f>
        <v>CHECK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x14ac:dyDescent="0.2">
      <c r="A127" s="24" t="s">
        <v>653</v>
      </c>
      <c r="B127" s="8"/>
      <c r="C127" s="8"/>
      <c r="D127" s="189" t="str">
        <f ca="1">IF(ABS(D78-757)/757&lt;0.1,"OK","CHECK")</f>
        <v>CHECK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x14ac:dyDescent="0.2">
      <c r="A128" s="24" t="s">
        <v>654</v>
      </c>
      <c r="B128" s="8"/>
      <c r="C128" s="8"/>
      <c r="D128" s="189" t="str">
        <f ca="1">IF(ABS(D86-3832)/3832&lt;0.1,"OK","CHECK")</f>
        <v>CHECK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">
      <c r="A130" s="168" t="s">
        <v>1633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spans="1:29" x14ac:dyDescent="0.2">
      <c r="A131" s="24" t="s">
        <v>655</v>
      </c>
      <c r="B131" s="8"/>
      <c r="C131" s="8"/>
      <c r="D131" s="67">
        <f t="shared" ref="D131:S131" ca="1" si="51">D$42</f>
        <v>29</v>
      </c>
      <c r="E131" s="67">
        <f t="shared" ca="1" si="51"/>
        <v>84</v>
      </c>
      <c r="F131" s="67">
        <f t="shared" ca="1" si="51"/>
        <v>200.20558467153288</v>
      </c>
      <c r="G131" s="67">
        <f t="shared" ca="1" si="51"/>
        <v>219.22022247560051</v>
      </c>
      <c r="H131" s="67">
        <f t="shared" ca="1" si="51"/>
        <v>243.65397969694556</v>
      </c>
      <c r="I131" s="67">
        <f t="shared" ca="1" si="51"/>
        <v>270</v>
      </c>
      <c r="J131" s="67">
        <f t="shared" ca="1" si="51"/>
        <v>267</v>
      </c>
      <c r="K131" s="67">
        <f t="shared" ca="1" si="51"/>
        <v>61.539136051043272</v>
      </c>
      <c r="L131" s="67">
        <f t="shared" ca="1" si="51"/>
        <v>27.416506458860624</v>
      </c>
      <c r="M131" s="67">
        <f t="shared" ca="1" si="51"/>
        <v>11.352319127390047</v>
      </c>
      <c r="N131" s="67">
        <f t="shared" ca="1" si="51"/>
        <v>4.5611339034795719</v>
      </c>
      <c r="O131" s="67">
        <f t="shared" ca="1" si="51"/>
        <v>1.811967029299808</v>
      </c>
      <c r="P131" s="67">
        <f t="shared" ca="1" si="51"/>
        <v>0.71679629206266782</v>
      </c>
      <c r="Q131" s="67">
        <f t="shared" ca="1" si="51"/>
        <v>0.28317870723714123</v>
      </c>
      <c r="R131" s="67">
        <f t="shared" ca="1" si="51"/>
        <v>16.132360811390413</v>
      </c>
      <c r="S131" s="67">
        <f t="shared" ca="1" si="51"/>
        <v>6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x14ac:dyDescent="0.2">
      <c r="A132" s="24" t="s">
        <v>656</v>
      </c>
      <c r="B132" s="8"/>
      <c r="C132" s="8"/>
      <c r="D132" s="67">
        <f t="shared" ref="D132:S132" ca="1" si="52">D$47</f>
        <v>0</v>
      </c>
      <c r="E132" s="67">
        <f t="shared" ca="1" si="52"/>
        <v>0</v>
      </c>
      <c r="F132" s="67">
        <f t="shared" ca="1" si="52"/>
        <v>0</v>
      </c>
      <c r="G132" s="67">
        <f t="shared" ca="1" si="52"/>
        <v>0</v>
      </c>
      <c r="H132" s="67">
        <f t="shared" ca="1" si="52"/>
        <v>1.6047130641486054E-14</v>
      </c>
      <c r="I132" s="67">
        <f t="shared" ca="1" si="52"/>
        <v>0</v>
      </c>
      <c r="J132" s="67">
        <f t="shared" ca="1" si="52"/>
        <v>0</v>
      </c>
      <c r="K132" s="67">
        <f t="shared" ca="1" si="52"/>
        <v>275.79927343800779</v>
      </c>
      <c r="L132" s="67">
        <f t="shared" ca="1" si="52"/>
        <v>334.00142435865763</v>
      </c>
      <c r="M132" s="67">
        <f t="shared" ca="1" si="52"/>
        <v>375.93717868282891</v>
      </c>
      <c r="N132" s="67">
        <f t="shared" ca="1" si="52"/>
        <v>410.5801894687832</v>
      </c>
      <c r="O132" s="67">
        <f t="shared" ca="1" si="52"/>
        <v>443.37371359843735</v>
      </c>
      <c r="P132" s="67">
        <f t="shared" ca="1" si="52"/>
        <v>476.77105626268184</v>
      </c>
      <c r="Q132" s="67">
        <f t="shared" ca="1" si="52"/>
        <v>511.99911355553655</v>
      </c>
      <c r="R132" s="67">
        <f t="shared" ca="1" si="52"/>
        <v>533.70642256817166</v>
      </c>
      <c r="S132" s="67">
        <f t="shared" ca="1" si="52"/>
        <v>1.4901161193847657E-13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x14ac:dyDescent="0.2">
      <c r="A133" s="24" t="s">
        <v>554</v>
      </c>
      <c r="B133" s="8"/>
      <c r="C133" s="8"/>
      <c r="D133" s="67">
        <f t="shared" ref="D133:S133" ca="1" si="53">D$82+D$83</f>
        <v>35.692307692307693</v>
      </c>
      <c r="E133" s="67">
        <f t="shared" ca="1" si="53"/>
        <v>88.994594594594602</v>
      </c>
      <c r="F133" s="67">
        <f t="shared" ca="1" si="53"/>
        <v>201.68399999999997</v>
      </c>
      <c r="G133" s="67">
        <f t="shared" ca="1" si="53"/>
        <v>169.41455999999999</v>
      </c>
      <c r="H133" s="67">
        <f t="shared" ca="1" si="53"/>
        <v>138.35522400000013</v>
      </c>
      <c r="I133" s="67">
        <f t="shared" ca="1" si="53"/>
        <v>108.47049561599998</v>
      </c>
      <c r="J133" s="67">
        <f t="shared" ca="1" si="53"/>
        <v>79.72581427775998</v>
      </c>
      <c r="K133" s="67">
        <f t="shared" ca="1" si="53"/>
        <v>533.02476114962064</v>
      </c>
      <c r="L133" s="67">
        <f t="shared" ca="1" si="53"/>
        <v>470.2488828163568</v>
      </c>
      <c r="M133" s="67">
        <f t="shared" ca="1" si="53"/>
        <v>121.92292718609752</v>
      </c>
      <c r="N133" s="67">
        <f t="shared" ca="1" si="53"/>
        <v>173.98606805641819</v>
      </c>
      <c r="O133" s="67">
        <f t="shared" ca="1" si="53"/>
        <v>175.23384249868337</v>
      </c>
      <c r="P133" s="67">
        <f t="shared" ca="1" si="53"/>
        <v>126.27728170164173</v>
      </c>
      <c r="Q133" s="67">
        <f t="shared" ca="1" si="53"/>
        <v>68.026022306431884</v>
      </c>
      <c r="R133" s="67">
        <f t="shared" ca="1" si="53"/>
        <v>274.17556901908296</v>
      </c>
      <c r="S133" s="67">
        <f t="shared" ca="1" si="53"/>
        <v>1.6325471073272916E-13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x14ac:dyDescent="0.2">
      <c r="A134" s="29" t="s">
        <v>1203</v>
      </c>
      <c r="B134" s="8"/>
      <c r="C134" s="8"/>
      <c r="D134" s="66">
        <f ca="1">'Facilities Build'!D73</f>
        <v>2223</v>
      </c>
      <c r="E134" s="66">
        <f ca="1">D134+'Facilities Build'!E73</f>
        <v>2223</v>
      </c>
      <c r="F134" s="66">
        <f ca="1">E134+'Facilities Build'!F73</f>
        <v>2223</v>
      </c>
      <c r="G134" s="66">
        <f ca="1">F134+'Facilities Build'!G73</f>
        <v>2223</v>
      </c>
      <c r="H134" s="66">
        <f ca="1">G134+'Facilities Build'!H73</f>
        <v>2431</v>
      </c>
      <c r="I134" s="66">
        <f ca="1">H134+'Facilities Build'!I73</f>
        <v>3822</v>
      </c>
      <c r="J134" s="66">
        <f ca="1">I134+'Facilities Build'!J73</f>
        <v>5632.01211364757</v>
      </c>
      <c r="K134" s="66">
        <f ca="1">J134+'Facilities Build'!K73</f>
        <v>8270.1175390025564</v>
      </c>
      <c r="L134" s="66">
        <f ca="1">K134+'Facilities Build'!L73</f>
        <v>9950.0904363857389</v>
      </c>
      <c r="M134" s="66">
        <f ca="1">L134+'Facilities Build'!M73</f>
        <v>11512.316894367477</v>
      </c>
      <c r="N134" s="66">
        <f ca="1">M134+'Facilities Build'!N73</f>
        <v>15380.289457744919</v>
      </c>
      <c r="O134" s="66">
        <f ca="1">N134+'Facilities Build'!O73</f>
        <v>17371.955055560265</v>
      </c>
      <c r="P134" s="66">
        <f ca="1">O134+'Facilities Build'!P73</f>
        <v>22290.174863487689</v>
      </c>
      <c r="Q134" s="66">
        <f ca="1">P134+'Facilities Build'!Q73</f>
        <v>22290.174863487689</v>
      </c>
      <c r="R134" s="66">
        <f ca="1">Q134+'Facilities Build'!R73</f>
        <v>22290.174863487689</v>
      </c>
      <c r="S134" s="66">
        <f ca="1">R134+'Facilities Build'!S73</f>
        <v>22290.174863487689</v>
      </c>
      <c r="T134" s="66">
        <f ca="1">S134+'Facilities Build'!T73</f>
        <v>22290.174863487689</v>
      </c>
      <c r="U134" s="66">
        <f ca="1">T134+'Facilities Build'!U73</f>
        <v>22290.174863487689</v>
      </c>
      <c r="V134" s="66">
        <f ca="1">U134+'Facilities Build'!V73</f>
        <v>22290.174863487689</v>
      </c>
      <c r="W134" s="66">
        <f ca="1">V134+'Facilities Build'!W73</f>
        <v>22290.174863487689</v>
      </c>
      <c r="X134" s="66">
        <f ca="1">W134+'Facilities Build'!X73</f>
        <v>22290.174863487689</v>
      </c>
      <c r="Y134" s="66">
        <f ca="1">X134+'Facilities Build'!Y73</f>
        <v>22290.174863487689</v>
      </c>
      <c r="Z134" s="66">
        <f ca="1">Y134+'Facilities Build'!Z73</f>
        <v>22290.174863487689</v>
      </c>
      <c r="AA134" s="66">
        <f ca="1">Z134+'Facilities Build'!AA73</f>
        <v>22290.174863487689</v>
      </c>
      <c r="AB134" s="66">
        <f ca="1">AA134+'Facilities Build'!AB73</f>
        <v>22290.174863487689</v>
      </c>
      <c r="AC134" s="66">
        <f ca="1">AB134+'Facilities Build'!AC73</f>
        <v>22290.174863487689</v>
      </c>
    </row>
    <row r="135" spans="1:29" x14ac:dyDescent="0.2">
      <c r="A135" s="29" t="s">
        <v>1204</v>
      </c>
      <c r="B135" s="8"/>
      <c r="C135" s="8"/>
      <c r="D135" s="67">
        <f>D38+D44</f>
        <v>8</v>
      </c>
      <c r="E135" s="67">
        <f t="shared" ref="E135:AC135" ca="1" si="54">D135+E38+E44</f>
        <v>16</v>
      </c>
      <c r="F135" s="67">
        <f t="shared" ca="1" si="54"/>
        <v>23</v>
      </c>
      <c r="G135" s="67">
        <f t="shared" ca="1" si="54"/>
        <v>34</v>
      </c>
      <c r="H135" s="67">
        <f t="shared" ca="1" si="54"/>
        <v>43</v>
      </c>
      <c r="I135" s="67">
        <f t="shared" ca="1" si="54"/>
        <v>53</v>
      </c>
      <c r="J135" s="67">
        <f t="shared" ca="1" si="54"/>
        <v>62</v>
      </c>
      <c r="K135" s="67">
        <f t="shared" ca="1" si="54"/>
        <v>67</v>
      </c>
      <c r="L135" s="67">
        <f t="shared" ca="1" si="54"/>
        <v>69</v>
      </c>
      <c r="M135" s="67">
        <f t="shared" ca="1" si="54"/>
        <v>69</v>
      </c>
      <c r="N135" s="67">
        <f t="shared" ca="1" si="54"/>
        <v>69</v>
      </c>
      <c r="O135" s="67">
        <f t="shared" ca="1" si="54"/>
        <v>74</v>
      </c>
      <c r="P135" s="67">
        <f t="shared" ca="1" si="54"/>
        <v>77</v>
      </c>
      <c r="Q135" s="67">
        <f t="shared" ca="1" si="54"/>
        <v>83</v>
      </c>
      <c r="R135" s="67">
        <f t="shared" ca="1" si="54"/>
        <v>89</v>
      </c>
      <c r="S135" s="67">
        <f t="shared" ca="1" si="54"/>
        <v>93</v>
      </c>
      <c r="T135" s="67">
        <f t="shared" ca="1" si="54"/>
        <v>93</v>
      </c>
      <c r="U135" s="67">
        <f t="shared" ca="1" si="54"/>
        <v>93</v>
      </c>
      <c r="V135" s="67">
        <f t="shared" ca="1" si="54"/>
        <v>93</v>
      </c>
      <c r="W135" s="67">
        <f t="shared" ca="1" si="54"/>
        <v>93</v>
      </c>
      <c r="X135" s="67">
        <f t="shared" ca="1" si="54"/>
        <v>93</v>
      </c>
      <c r="Y135" s="67">
        <f t="shared" ca="1" si="54"/>
        <v>93</v>
      </c>
      <c r="Z135" s="67">
        <f t="shared" ca="1" si="54"/>
        <v>93</v>
      </c>
      <c r="AA135" s="67">
        <f t="shared" ca="1" si="54"/>
        <v>93</v>
      </c>
      <c r="AB135" s="67">
        <f t="shared" ca="1" si="54"/>
        <v>93</v>
      </c>
      <c r="AC135" s="67">
        <f t="shared" ca="1" si="54"/>
        <v>93</v>
      </c>
    </row>
    <row r="136" spans="1:29" x14ac:dyDescent="0.2">
      <c r="A136" s="29" t="s">
        <v>1205</v>
      </c>
      <c r="B136" s="8"/>
      <c r="C136" s="8"/>
      <c r="D136" s="67">
        <f ca="1">IFERROR(D134/D135,0)</f>
        <v>277.875</v>
      </c>
      <c r="E136" s="67">
        <f t="shared" ref="E136:AC136" ca="1" si="55">IFERROR(E134/E135,0)</f>
        <v>138.9375</v>
      </c>
      <c r="F136" s="67">
        <f t="shared" ca="1" si="55"/>
        <v>96.652173913043484</v>
      </c>
      <c r="G136" s="67">
        <f t="shared" ca="1" si="55"/>
        <v>65.382352941176464</v>
      </c>
      <c r="H136" s="67">
        <f t="shared" ca="1" si="55"/>
        <v>56.534883720930232</v>
      </c>
      <c r="I136" s="67">
        <f t="shared" ca="1" si="55"/>
        <v>72.113207547169807</v>
      </c>
      <c r="J136" s="67">
        <f t="shared" ca="1" si="55"/>
        <v>90.83890505883177</v>
      </c>
      <c r="K136" s="67">
        <f t="shared" ca="1" si="55"/>
        <v>123.43459013436652</v>
      </c>
      <c r="L136" s="67">
        <f t="shared" ca="1" si="55"/>
        <v>144.20420922298172</v>
      </c>
      <c r="M136" s="67">
        <f t="shared" ca="1" si="55"/>
        <v>166.84517238213735</v>
      </c>
      <c r="N136" s="67">
        <f t="shared" ca="1" si="55"/>
        <v>222.90274576441911</v>
      </c>
      <c r="O136" s="67">
        <f t="shared" ca="1" si="55"/>
        <v>234.75614939946306</v>
      </c>
      <c r="P136" s="67">
        <f t="shared" ca="1" si="55"/>
        <v>289.48279043490504</v>
      </c>
      <c r="Q136" s="67">
        <f t="shared" ca="1" si="55"/>
        <v>268.55632365647818</v>
      </c>
      <c r="R136" s="67">
        <f t="shared" ca="1" si="55"/>
        <v>250.45140296053583</v>
      </c>
      <c r="S136" s="67">
        <f t="shared" ca="1" si="55"/>
        <v>239.67929960739451</v>
      </c>
      <c r="T136" s="67">
        <f t="shared" ca="1" si="55"/>
        <v>239.67929960739451</v>
      </c>
      <c r="U136" s="67">
        <f t="shared" ca="1" si="55"/>
        <v>239.67929960739451</v>
      </c>
      <c r="V136" s="67">
        <f t="shared" ca="1" si="55"/>
        <v>239.67929960739451</v>
      </c>
      <c r="W136" s="67">
        <f t="shared" ca="1" si="55"/>
        <v>239.67929960739451</v>
      </c>
      <c r="X136" s="67">
        <f t="shared" ca="1" si="55"/>
        <v>239.67929960739451</v>
      </c>
      <c r="Y136" s="67">
        <f t="shared" ca="1" si="55"/>
        <v>239.67929960739451</v>
      </c>
      <c r="Z136" s="67">
        <f t="shared" ca="1" si="55"/>
        <v>239.67929960739451</v>
      </c>
      <c r="AA136" s="67">
        <f t="shared" ca="1" si="55"/>
        <v>239.67929960739451</v>
      </c>
      <c r="AB136" s="67">
        <f t="shared" ca="1" si="55"/>
        <v>239.67929960739451</v>
      </c>
      <c r="AC136" s="67">
        <f t="shared" ca="1" si="55"/>
        <v>239.67929960739451</v>
      </c>
    </row>
    <row r="138" spans="1:29" x14ac:dyDescent="0.2">
      <c r="A138" s="170" t="s">
        <v>1888</v>
      </c>
      <c r="B138" s="170" t="s">
        <v>1888</v>
      </c>
      <c r="C138" s="170" t="s">
        <v>1888</v>
      </c>
      <c r="D138" s="224">
        <f>IF(D12&gt;0, (1-D18)*(D11/INDEX(Assumptions!$B:$B,MATCH("F9 average realized payload per launch (kg)",Assumptions!$A$1:$A$470,0))) + D18*(D12/INDEX('Vehicle Build'!$D:$AC,MATCH("Starship payload, fully reusable (kg)",'Vehicle Build'!$A:$A,0),MATCH(D$4,'Vehicle Build'!$D$4:$AC$4,0))), D11/INDEX(Assumptions!$B:$B,MATCH("F9 average realized payload per launch (kg)",Assumptions!$A$1:$A$470,0)))</f>
        <v>4.2480620155038755E-3</v>
      </c>
      <c r="E138" s="224">
        <f>IF(E12&gt;0, (1-E18)*(E11/INDEX(Assumptions!$B:$B,MATCH("F9 average realized payload per launch (kg)",Assumptions!$A$1:$A$470,0))) + E18*(E12/INDEX('Vehicle Build'!$D:$AC,MATCH("Starship payload, fully reusable (kg)",'Vehicle Build'!$A:$A,0),MATCH(E$4,'Vehicle Build'!$D$4:$AC$4,0))), E11/INDEX(Assumptions!$B:$B,MATCH("F9 average realized payload per launch (kg)",Assumptions!$A$1:$A$470,0)))</f>
        <v>4.2480620155038755E-3</v>
      </c>
      <c r="F138" s="224">
        <f>IF(F12&gt;0, (1-F18)*(F11/INDEX(Assumptions!$B:$B,MATCH("F9 average realized payload per launch (kg)",Assumptions!$A$1:$A$470,0))) + F18*(F12/INDEX('Vehicle Build'!$D:$AC,MATCH("Starship payload, fully reusable (kg)",'Vehicle Build'!$A:$A,0),MATCH(F$4,'Vehicle Build'!$D$4:$AC$4,0))), F11/INDEX(Assumptions!$B:$B,MATCH("F9 average realized payload per launch (kg)",Assumptions!$A$1:$A$470,0)))</f>
        <v>4.2480620155038755E-3</v>
      </c>
      <c r="G138" s="224">
        <f>IF(G12&gt;0, (1-G18)*(G11/INDEX(Assumptions!$B:$B,MATCH("F9 average realized payload per launch (kg)",Assumptions!$A$1:$A$470,0))) + G18*(G12/INDEX('Vehicle Build'!$D:$AC,MATCH("Starship payload, fully reusable (kg)",'Vehicle Build'!$A:$A,0),MATCH(G$4,'Vehicle Build'!$D$4:$AC$4,0))), G11/INDEX(Assumptions!$B:$B,MATCH("F9 average realized payload per launch (kg)",Assumptions!$A$1:$A$470,0)))</f>
        <v>3.9718556779624143E-3</v>
      </c>
      <c r="H138" s="224">
        <f>IF(H12&gt;0, (1-H18)*(H11/INDEX(Assumptions!$B:$B,MATCH("F9 average realized payload per launch (kg)",Assumptions!$A$1:$A$470,0))) + H18*(H12/INDEX('Vehicle Build'!$D:$AC,MATCH("Starship payload, fully reusable (kg)",'Vehicle Build'!$A:$A,0),MATCH(H$4,'Vehicle Build'!$D$4:$AC$4,0))), H11/INDEX(Assumptions!$B:$B,MATCH("F9 average realized payload per launch (kg)",Assumptions!$A$1:$A$470,0)))</f>
        <v>3.5617894408652841E-3</v>
      </c>
      <c r="I138" s="224">
        <f>IF(I12&gt;0, (1-I18)*(I11/INDEX(Assumptions!$B:$B,MATCH("F9 average realized payload per launch (kg)",Assumptions!$A$1:$A$470,0))) + I18*(I12/INDEX('Vehicle Build'!$D:$AC,MATCH("Starship payload, fully reusable (kg)",'Vehicle Build'!$A:$A,0),MATCH(I$4,'Vehicle Build'!$D$4:$AC$4,0))), I11/INDEX(Assumptions!$B:$B,MATCH("F9 average realized payload per launch (kg)",Assumptions!$A$1:$A$470,0)))</f>
        <v>2.7912413004711027E-3</v>
      </c>
      <c r="J138" s="224">
        <f>IF(J12&gt;0, (1-J18)*(J11/INDEX(Assumptions!$B:$B,MATCH("F9 average realized payload per launch (kg)",Assumptions!$A$1:$A$470,0))) + J18*(J12/INDEX('Vehicle Build'!$D:$AC,MATCH("Starship payload, fully reusable (kg)",'Vehicle Build'!$A:$A,0),MATCH(J$4,'Vehicle Build'!$D$4:$AC$4,0))), J11/INDEX(Assumptions!$B:$B,MATCH("F9 average realized payload per launch (kg)",Assumptions!$A$1:$A$470,0)))</f>
        <v>1.826781106865835E-3</v>
      </c>
      <c r="K138" s="224">
        <f>IF(K12&gt;0, (1-K18)*(K11/INDEX(Assumptions!$B:$B,MATCH("F9 average realized payload per launch (kg)",Assumptions!$A$1:$A$470,0))) + K18*(K12/INDEX('Vehicle Build'!$D:$AC,MATCH("Starship payload, fully reusable (kg)",'Vehicle Build'!$A:$A,0),MATCH(K$4,'Vehicle Build'!$D$4:$AC$4,0))), K11/INDEX(Assumptions!$B:$B,MATCH("F9 average realized payload per launch (kg)",Assumptions!$A$1:$A$470,0)))</f>
        <v>1.0443866069697956E-3</v>
      </c>
      <c r="L138" s="224">
        <f>IF(L12&gt;0, (1-L18)*(L11/INDEX(Assumptions!$B:$B,MATCH("F9 average realized payload per launch (kg)",Assumptions!$A$1:$A$470,0))) + L18*(L12/INDEX('Vehicle Build'!$D:$AC,MATCH("Starship payload, fully reusable (kg)",'Vehicle Build'!$A:$A,0),MATCH(L$4,'Vehicle Build'!$D$4:$AC$4,0))), L11/INDEX(Assumptions!$B:$B,MATCH("F9 average realized payload per launch (kg)",Assumptions!$A$1:$A$470,0)))</f>
        <v>6.0245005293105823E-4</v>
      </c>
      <c r="M138" s="224">
        <f>IF(M12&gt;0, (1-M18)*(M11/INDEX(Assumptions!$B:$B,MATCH("F9 average realized payload per launch (kg)",Assumptions!$A$1:$A$470,0))) + M18*(M12/INDEX('Vehicle Build'!$D:$AC,MATCH("Starship payload, fully reusable (kg)",'Vehicle Build'!$A:$A,0),MATCH(M$4,'Vehicle Build'!$D$4:$AC$4,0))), M11/INDEX(Assumptions!$B:$B,MATCH("F9 average realized payload per launch (kg)",Assumptions!$A$1:$A$470,0)))</f>
        <v>3.9529352727643075E-4</v>
      </c>
      <c r="N138" s="224">
        <f>IF(N12&gt;0, (1-N18)*(N11/INDEX(Assumptions!$B:$B,MATCH("F9 average realized payload per launch (kg)",Assumptions!$A$1:$A$470,0))) + N18*(N12/INDEX('Vehicle Build'!$D:$AC,MATCH("Starship payload, fully reusable (kg)",'Vehicle Build'!$A:$A,0),MATCH(N$4,'Vehicle Build'!$D$4:$AC$4,0))), N11/INDEX(Assumptions!$B:$B,MATCH("F9 average realized payload per launch (kg)",Assumptions!$A$1:$A$470,0)))</f>
        <v>3.0045396417653294E-4</v>
      </c>
      <c r="O138" s="224">
        <f>IF(O12&gt;0, (1-O18)*(O11/INDEX(Assumptions!$B:$B,MATCH("F9 average realized payload per launch (kg)",Assumptions!$A$1:$A$470,0))) + O18*(O12/INDEX('Vehicle Build'!$D:$AC,MATCH("Starship payload, fully reusable (kg)",'Vehicle Build'!$A:$A,0),MATCH(O$4,'Vehicle Build'!$D$4:$AC$4,0))), O11/INDEX(Assumptions!$B:$B,MATCH("F9 average realized payload per launch (kg)",Assumptions!$A$1:$A$470,0)))</f>
        <v>2.5237944142093041E-4</v>
      </c>
      <c r="P138" s="224">
        <f>IF(P12&gt;0, (1-P18)*(P11/INDEX(Assumptions!$B:$B,MATCH("F9 average realized payload per launch (kg)",Assumptions!$A$1:$A$470,0))) + P18*(P12/INDEX('Vehicle Build'!$D:$AC,MATCH("Starship payload, fully reusable (kg)",'Vehicle Build'!$A:$A,0),MATCH(P$4,'Vehicle Build'!$D$4:$AC$4,0))), P11/INDEX(Assumptions!$B:$B,MATCH("F9 average realized payload per launch (kg)",Assumptions!$A$1:$A$470,0)))</f>
        <v>2.232510585370296E-4</v>
      </c>
      <c r="Q138" s="224">
        <f>IF(Q12&gt;0, (1-Q18)*(Q11/INDEX(Assumptions!$B:$B,MATCH("F9 average realized payload per launch (kg)",Assumptions!$A$1:$A$470,0))) + Q18*(Q12/INDEX('Vehicle Build'!$D:$AC,MATCH("Starship payload, fully reusable (kg)",'Vehicle Build'!$A:$A,0),MATCH(Q$4,'Vehicle Build'!$D$4:$AC$4,0))), Q11/INDEX(Assumptions!$B:$B,MATCH("F9 average realized payload per launch (kg)",Assumptions!$A$1:$A$470,0)))</f>
        <v>2.0203779275883982E-4</v>
      </c>
      <c r="R138" s="224">
        <f>IF(R12&gt;0, (1-R18)*(R11/INDEX(Assumptions!$B:$B,MATCH("F9 average realized payload per launch (kg)",Assumptions!$A$1:$A$470,0))) + R18*(R12/INDEX('Vehicle Build'!$D:$AC,MATCH("Starship payload, fully reusable (kg)",'Vehicle Build'!$A:$A,0),MATCH(R$4,'Vehicle Build'!$D$4:$AC$4,0))), R11/INDEX(Assumptions!$B:$B,MATCH("F9 average realized payload per launch (kg)",Assumptions!$A$1:$A$470,0)))</f>
        <v>1.8467677036848961E-4</v>
      </c>
      <c r="S138" s="224">
        <f>IF(S12&gt;0, (1-S18)*(S11/INDEX(Assumptions!$B:$B,MATCH("F9 average realized payload per launch (kg)",Assumptions!$A$1:$A$470,0))) + S18*(S12/INDEX('Vehicle Build'!$D:$AC,MATCH("Starship payload, fully reusable (kg)",'Vehicle Build'!$A:$A,0),MATCH(S$4,'Vehicle Build'!$D$4:$AC$4,0))), S11/INDEX(Assumptions!$B:$B,MATCH("F9 average realized payload per launch (kg)",Assumptions!$A$1:$A$470,0)))</f>
        <v>1.6945529117670782E-4</v>
      </c>
      <c r="T138" s="224">
        <f>IF(T12&gt;0, (1-T18)*(T11/INDEX(Assumptions!$B:$B,MATCH("F9 average realized payload per launch (kg)",Assumptions!$A$1:$A$470,0))) + T18*(T12/INDEX('Vehicle Build'!$D:$AC,MATCH("Starship payload, fully reusable (kg)",'Vehicle Build'!$A:$A,0),MATCH(T$4,'Vehicle Build'!$D$4:$AC$4,0))), T11/INDEX(Assumptions!$B:$B,MATCH("F9 average realized payload per launch (kg)",Assumptions!$A$1:$A$470,0)))</f>
        <v>0</v>
      </c>
      <c r="U138" s="224">
        <f>IF(U12&gt;0, (1-U18)*(U11/INDEX(Assumptions!$B:$B,MATCH("F9 average realized payload per launch (kg)",Assumptions!$A$1:$A$470,0))) + U18*(U12/INDEX('Vehicle Build'!$D:$AC,MATCH("Starship payload, fully reusable (kg)",'Vehicle Build'!$A:$A,0),MATCH(U$4,'Vehicle Build'!$D$4:$AC$4,0))), U11/INDEX(Assumptions!$B:$B,MATCH("F9 average realized payload per launch (kg)",Assumptions!$A$1:$A$470,0)))</f>
        <v>0</v>
      </c>
      <c r="V138" s="224">
        <f>IF(V12&gt;0, (1-V18)*(V11/INDEX(Assumptions!$B:$B,MATCH("F9 average realized payload per launch (kg)",Assumptions!$A$1:$A$470,0))) + V18*(V12/INDEX('Vehicle Build'!$D:$AC,MATCH("Starship payload, fully reusable (kg)",'Vehicle Build'!$A:$A,0),MATCH(V$4,'Vehicle Build'!$D$4:$AC$4,0))), V11/INDEX(Assumptions!$B:$B,MATCH("F9 average realized payload per launch (kg)",Assumptions!$A$1:$A$470,0)))</f>
        <v>0</v>
      </c>
      <c r="W138" s="224">
        <f>IF(W12&gt;0, (1-W18)*(W11/INDEX(Assumptions!$B:$B,MATCH("F9 average realized payload per launch (kg)",Assumptions!$A$1:$A$470,0))) + W18*(W12/INDEX('Vehicle Build'!$D:$AC,MATCH("Starship payload, fully reusable (kg)",'Vehicle Build'!$A:$A,0),MATCH(W$4,'Vehicle Build'!$D$4:$AC$4,0))), W11/INDEX(Assumptions!$B:$B,MATCH("F9 average realized payload per launch (kg)",Assumptions!$A$1:$A$470,0)))</f>
        <v>0</v>
      </c>
      <c r="X138" s="224">
        <f>IF(X12&gt;0, (1-X18)*(X11/INDEX(Assumptions!$B:$B,MATCH("F9 average realized payload per launch (kg)",Assumptions!$A$1:$A$470,0))) + X18*(X12/INDEX('Vehicle Build'!$D:$AC,MATCH("Starship payload, fully reusable (kg)",'Vehicle Build'!$A:$A,0),MATCH(X$4,'Vehicle Build'!$D$4:$AC$4,0))), X11/INDEX(Assumptions!$B:$B,MATCH("F9 average realized payload per launch (kg)",Assumptions!$A$1:$A$470,0)))</f>
        <v>0</v>
      </c>
      <c r="Y138" s="224">
        <f>IF(Y12&gt;0, (1-Y18)*(Y11/INDEX(Assumptions!$B:$B,MATCH("F9 average realized payload per launch (kg)",Assumptions!$A$1:$A$470,0))) + Y18*(Y12/INDEX('Vehicle Build'!$D:$AC,MATCH("Starship payload, fully reusable (kg)",'Vehicle Build'!$A:$A,0),MATCH(Y$4,'Vehicle Build'!$D$4:$AC$4,0))), Y11/INDEX(Assumptions!$B:$B,MATCH("F9 average realized payload per launch (kg)",Assumptions!$A$1:$A$470,0)))</f>
        <v>0</v>
      </c>
      <c r="Z138" s="224">
        <f>IF(Z12&gt;0, (1-Z18)*(Z11/INDEX(Assumptions!$B:$B,MATCH("F9 average realized payload per launch (kg)",Assumptions!$A$1:$A$470,0))) + Z18*(Z12/INDEX('Vehicle Build'!$D:$AC,MATCH("Starship payload, fully reusable (kg)",'Vehicle Build'!$A:$A,0),MATCH(Z$4,'Vehicle Build'!$D$4:$AC$4,0))), Z11/INDEX(Assumptions!$B:$B,MATCH("F9 average realized payload per launch (kg)",Assumptions!$A$1:$A$470,0)))</f>
        <v>0</v>
      </c>
      <c r="AA138" s="224">
        <f>IF(AA12&gt;0, (1-AA18)*(AA11/INDEX(Assumptions!$B:$B,MATCH("F9 average realized payload per launch (kg)",Assumptions!$A$1:$A$470,0))) + AA18*(AA12/INDEX('Vehicle Build'!$D:$AC,MATCH("Starship payload, fully reusable (kg)",'Vehicle Build'!$A:$A,0),MATCH(AA$4,'Vehicle Build'!$D$4:$AC$4,0))), AA11/INDEX(Assumptions!$B:$B,MATCH("F9 average realized payload per launch (kg)",Assumptions!$A$1:$A$470,0)))</f>
        <v>0</v>
      </c>
      <c r="AB138" s="224">
        <f>IF(AB12&gt;0, (1-AB18)*(AB11/INDEX(Assumptions!$B:$B,MATCH("F9 average realized payload per launch (kg)",Assumptions!$A$1:$A$470,0))) + AB18*(AB12/INDEX('Vehicle Build'!$D:$AC,MATCH("Starship payload, fully reusable (kg)",'Vehicle Build'!$A:$A,0),MATCH(AB$4,'Vehicle Build'!$D$4:$AC$4,0))), AB11/INDEX(Assumptions!$B:$B,MATCH("F9 average realized payload per launch (kg)",Assumptions!$A$1:$A$470,0)))</f>
        <v>0</v>
      </c>
      <c r="AC138" s="224">
        <f>IF(AC12&gt;0, (1-AC18)*(AC11/INDEX(Assumptions!$B:$B,MATCH("F9 average realized payload per launch (kg)",Assumptions!$A$1:$A$470,0))) + AC18*(AC12/INDEX('Vehicle Build'!$D:$AC,MATCH("Starship payload, fully reusable (kg)",'Vehicle Build'!$A:$A,0),MATCH(AC$4,'Vehicle Build'!$D$4:$AC$4,0))), AC11/INDEX(Assumptions!$B:$B,MATCH("F9 average realized payload per launch (kg)",Assumptions!$A$1:$A$470,0)))</f>
        <v>0</v>
      </c>
    </row>
    <row r="139" spans="1:29" x14ac:dyDescent="0.2">
      <c r="A139" s="170" t="s">
        <v>1889</v>
      </c>
      <c r="D139" s="225">
        <f>IFERROR(MIN(INDEX(Assumptions!$B:$B,MATCH("Launch demand elasticity multiplier cap (x)",Assumptions!$A$1:$A$470,0)), ($D$138/D138)^INDEX(Assumptions!$B:$B,MATCH("Launch demand price elasticity e (extra, on $/kg)",Assumptions!$A$1:$A$470,0))), 1)</f>
        <v>1</v>
      </c>
      <c r="E139" s="225">
        <f>IFERROR(MIN(INDEX(Assumptions!$B:$B,MATCH("Launch demand elasticity multiplier cap (x)",Assumptions!$A$1:$A$470,0)), ($D$138/E138)^INDEX(Assumptions!$B:$B,MATCH("Launch demand price elasticity e (extra, on $/kg)",Assumptions!$A$1:$A$470,0))), 1)</f>
        <v>1</v>
      </c>
      <c r="F139" s="225">
        <f>IFERROR(MIN(INDEX(Assumptions!$B:$B,MATCH("Launch demand elasticity multiplier cap (x)",Assumptions!$A$1:$A$470,0)), ($D$138/F138)^INDEX(Assumptions!$B:$B,MATCH("Launch demand price elasticity e (extra, on $/kg)",Assumptions!$A$1:$A$470,0))), 1)</f>
        <v>1</v>
      </c>
      <c r="G139" s="225">
        <f>IFERROR(MIN(INDEX(Assumptions!$B:$B,MATCH("Launch demand elasticity multiplier cap (x)",Assumptions!$A$1:$A$470,0)), ($D$138/G138)^INDEX(Assumptions!$B:$B,MATCH("Launch demand price elasticity e (extra, on $/kg)",Assumptions!$A$1:$A$470,0))), 1)</f>
        <v>1.0238093372312362</v>
      </c>
      <c r="H139" s="225">
        <f>IFERROR(MIN(INDEX(Assumptions!$B:$B,MATCH("Launch demand elasticity multiplier cap (x)",Assumptions!$A$1:$A$470,0)), ($D$138/H138)^INDEX(Assumptions!$B:$B,MATCH("Launch demand price elasticity e (extra, on $/kg)",Assumptions!$A$1:$A$470,0))), 1)</f>
        <v>1.063611225125227</v>
      </c>
      <c r="I139" s="225">
        <f>IFERROR(MIN(INDEX(Assumptions!$B:$B,MATCH("Launch demand elasticity multiplier cap (x)",Assumptions!$A$1:$A$470,0)), ($D$138/I138)^INDEX(Assumptions!$B:$B,MATCH("Launch demand price elasticity e (extra, on $/kg)",Assumptions!$A$1:$A$470,0))), 1)</f>
        <v>1.158344425526223</v>
      </c>
      <c r="J139" s="225">
        <f>IFERROR(MIN(INDEX(Assumptions!$B:$B,MATCH("Launch demand elasticity multiplier cap (x)",Assumptions!$A$1:$A$470,0)), ($D$138/J138)^INDEX(Assumptions!$B:$B,MATCH("Launch demand price elasticity e (extra, on $/kg)",Assumptions!$A$1:$A$470,0))), 1)</f>
        <v>1.2</v>
      </c>
      <c r="K139" s="225">
        <f>IFERROR(MIN(INDEX(Assumptions!$B:$B,MATCH("Launch demand elasticity multiplier cap (x)",Assumptions!$A$1:$A$470,0)), ($D$138/K138)^INDEX(Assumptions!$B:$B,MATCH("Launch demand price elasticity e (extra, on $/kg)",Assumptions!$A$1:$A$470,0))), 1)</f>
        <v>1.2</v>
      </c>
      <c r="L139" s="225">
        <f>IFERROR(MIN(INDEX(Assumptions!$B:$B,MATCH("Launch demand elasticity multiplier cap (x)",Assumptions!$A$1:$A$470,0)), ($D$138/L138)^INDEX(Assumptions!$B:$B,MATCH("Launch demand price elasticity e (extra, on $/kg)",Assumptions!$A$1:$A$470,0))), 1)</f>
        <v>1.2</v>
      </c>
      <c r="M139" s="225">
        <f>IFERROR(MIN(INDEX(Assumptions!$B:$B,MATCH("Launch demand elasticity multiplier cap (x)",Assumptions!$A$1:$A$470,0)), ($D$138/M138)^INDEX(Assumptions!$B:$B,MATCH("Launch demand price elasticity e (extra, on $/kg)",Assumptions!$A$1:$A$470,0))), 1)</f>
        <v>1.2</v>
      </c>
      <c r="N139" s="225">
        <f>IFERROR(MIN(INDEX(Assumptions!$B:$B,MATCH("Launch demand elasticity multiplier cap (x)",Assumptions!$A$1:$A$470,0)), ($D$138/N138)^INDEX(Assumptions!$B:$B,MATCH("Launch demand price elasticity e (extra, on $/kg)",Assumptions!$A$1:$A$470,0))), 1)</f>
        <v>1.2</v>
      </c>
      <c r="O139" s="225">
        <f>IFERROR(MIN(INDEX(Assumptions!$B:$B,MATCH("Launch demand elasticity multiplier cap (x)",Assumptions!$A$1:$A$470,0)), ($D$138/O138)^INDEX(Assumptions!$B:$B,MATCH("Launch demand price elasticity e (extra, on $/kg)",Assumptions!$A$1:$A$470,0))), 1)</f>
        <v>1.2</v>
      </c>
      <c r="P139" s="225">
        <f>IFERROR(MIN(INDEX(Assumptions!$B:$B,MATCH("Launch demand elasticity multiplier cap (x)",Assumptions!$A$1:$A$470,0)), ($D$138/P138)^INDEX(Assumptions!$B:$B,MATCH("Launch demand price elasticity e (extra, on $/kg)",Assumptions!$A$1:$A$470,0))), 1)</f>
        <v>1.2</v>
      </c>
      <c r="Q139" s="225">
        <f>IFERROR(MIN(INDEX(Assumptions!$B:$B,MATCH("Launch demand elasticity multiplier cap (x)",Assumptions!$A$1:$A$470,0)), ($D$138/Q138)^INDEX(Assumptions!$B:$B,MATCH("Launch demand price elasticity e (extra, on $/kg)",Assumptions!$A$1:$A$470,0))), 1)</f>
        <v>1.2</v>
      </c>
      <c r="R139" s="225">
        <f>IFERROR(MIN(INDEX(Assumptions!$B:$B,MATCH("Launch demand elasticity multiplier cap (x)",Assumptions!$A$1:$A$470,0)), ($D$138/R138)^INDEX(Assumptions!$B:$B,MATCH("Launch demand price elasticity e (extra, on $/kg)",Assumptions!$A$1:$A$470,0))), 1)</f>
        <v>1.2</v>
      </c>
      <c r="S139" s="225">
        <f>IFERROR(MIN(INDEX(Assumptions!$B:$B,MATCH("Launch demand elasticity multiplier cap (x)",Assumptions!$A$1:$A$470,0)), ($D$138/S138)^INDEX(Assumptions!$B:$B,MATCH("Launch demand price elasticity e (extra, on $/kg)",Assumptions!$A$1:$A$470,0))), 1)</f>
        <v>1.2</v>
      </c>
      <c r="T139" s="225">
        <f>IFERROR(MIN(INDEX(Assumptions!$B:$B,MATCH("Launch demand elasticity multiplier cap (x)",Assumptions!$A$1:$A$470,0)), ($D$138/T138)^INDEX(Assumptions!$B:$B,MATCH("Launch demand price elasticity e (extra, on $/kg)",Assumptions!$A$1:$A$470,0))), 1)</f>
        <v>1</v>
      </c>
      <c r="U139" s="225">
        <f>IFERROR(MIN(INDEX(Assumptions!$B:$B,MATCH("Launch demand elasticity multiplier cap (x)",Assumptions!$A$1:$A$470,0)), ($D$138/U138)^INDEX(Assumptions!$B:$B,MATCH("Launch demand price elasticity e (extra, on $/kg)",Assumptions!$A$1:$A$470,0))), 1)</f>
        <v>1</v>
      </c>
      <c r="V139" s="225">
        <f>IFERROR(MIN(INDEX(Assumptions!$B:$B,MATCH("Launch demand elasticity multiplier cap (x)",Assumptions!$A$1:$A$470,0)), ($D$138/V138)^INDEX(Assumptions!$B:$B,MATCH("Launch demand price elasticity e (extra, on $/kg)",Assumptions!$A$1:$A$470,0))), 1)</f>
        <v>1</v>
      </c>
      <c r="W139" s="225">
        <f>IFERROR(MIN(INDEX(Assumptions!$B:$B,MATCH("Launch demand elasticity multiplier cap (x)",Assumptions!$A$1:$A$470,0)), ($D$138/W138)^INDEX(Assumptions!$B:$B,MATCH("Launch demand price elasticity e (extra, on $/kg)",Assumptions!$A$1:$A$470,0))), 1)</f>
        <v>1</v>
      </c>
      <c r="X139" s="225">
        <f>IFERROR(MIN(INDEX(Assumptions!$B:$B,MATCH("Launch demand elasticity multiplier cap (x)",Assumptions!$A$1:$A$470,0)), ($D$138/X138)^INDEX(Assumptions!$B:$B,MATCH("Launch demand price elasticity e (extra, on $/kg)",Assumptions!$A$1:$A$470,0))), 1)</f>
        <v>1</v>
      </c>
      <c r="Y139" s="225">
        <f>IFERROR(MIN(INDEX(Assumptions!$B:$B,MATCH("Launch demand elasticity multiplier cap (x)",Assumptions!$A$1:$A$470,0)), ($D$138/Y138)^INDEX(Assumptions!$B:$B,MATCH("Launch demand price elasticity e (extra, on $/kg)",Assumptions!$A$1:$A$470,0))), 1)</f>
        <v>1</v>
      </c>
      <c r="Z139" s="225">
        <f>IFERROR(MIN(INDEX(Assumptions!$B:$B,MATCH("Launch demand elasticity multiplier cap (x)",Assumptions!$A$1:$A$470,0)), ($D$138/Z138)^INDEX(Assumptions!$B:$B,MATCH("Launch demand price elasticity e (extra, on $/kg)",Assumptions!$A$1:$A$470,0))), 1)</f>
        <v>1</v>
      </c>
      <c r="AA139" s="225">
        <f>IFERROR(MIN(INDEX(Assumptions!$B:$B,MATCH("Launch demand elasticity multiplier cap (x)",Assumptions!$A$1:$A$470,0)), ($D$138/AA138)^INDEX(Assumptions!$B:$B,MATCH("Launch demand price elasticity e (extra, on $/kg)",Assumptions!$A$1:$A$470,0))), 1)</f>
        <v>1</v>
      </c>
      <c r="AB139" s="225">
        <f>IFERROR(MIN(INDEX(Assumptions!$B:$B,MATCH("Launch demand elasticity multiplier cap (x)",Assumptions!$A$1:$A$470,0)), ($D$138/AB138)^INDEX(Assumptions!$B:$B,MATCH("Launch demand price elasticity e (extra, on $/kg)",Assumptions!$A$1:$A$470,0))), 1)</f>
        <v>1</v>
      </c>
      <c r="AC139" s="225">
        <f>IFERROR(MIN(INDEX(Assumptions!$B:$B,MATCH("Launch demand elasticity multiplier cap (x)",Assumptions!$A$1:$A$470,0)), ($D$138/AC138)^INDEX(Assumptions!$B:$B,MATCH("Launch demand price elasticity e (extra, on $/kg)",Assumptions!$A$1:$A$470,0))), 1)</f>
        <v>1</v>
      </c>
    </row>
    <row r="140" spans="1:29" x14ac:dyDescent="0.2">
      <c r="A140" s="172" t="s">
        <v>1893</v>
      </c>
      <c r="D140" s="228">
        <f>D13*D139</f>
        <v>8000</v>
      </c>
      <c r="E140" s="228">
        <f t="shared" ref="E140:AC140" si="56">E13*E139</f>
        <v>8640</v>
      </c>
      <c r="F140" s="228">
        <f t="shared" si="56"/>
        <v>9331.2000000000007</v>
      </c>
      <c r="G140" s="228">
        <f t="shared" si="56"/>
        <v>10317.64335781523</v>
      </c>
      <c r="H140" s="228">
        <f t="shared" si="56"/>
        <v>11576.238213140457</v>
      </c>
      <c r="I140" s="228">
        <f t="shared" si="56"/>
        <v>13615.875384290541</v>
      </c>
      <c r="J140" s="228">
        <f t="shared" si="56"/>
        <v>15234</v>
      </c>
      <c r="K140" s="228">
        <f t="shared" si="56"/>
        <v>16452.72</v>
      </c>
      <c r="L140" s="228">
        <f t="shared" si="56"/>
        <v>17768.879999999997</v>
      </c>
      <c r="M140" s="228">
        <f t="shared" si="56"/>
        <v>19190.399999999998</v>
      </c>
      <c r="N140" s="228">
        <f t="shared" si="56"/>
        <v>20725.68</v>
      </c>
      <c r="O140" s="228">
        <f t="shared" si="56"/>
        <v>22383.719999999998</v>
      </c>
      <c r="P140" s="228">
        <f t="shared" si="56"/>
        <v>24174.48</v>
      </c>
      <c r="Q140" s="228">
        <f t="shared" si="56"/>
        <v>26108.399999999998</v>
      </c>
      <c r="R140" s="228">
        <f t="shared" si="56"/>
        <v>28197</v>
      </c>
      <c r="S140" s="228">
        <f t="shared" si="56"/>
        <v>30452.880000000001</v>
      </c>
      <c r="T140" s="228">
        <f t="shared" si="56"/>
        <v>0</v>
      </c>
      <c r="U140" s="228">
        <f t="shared" si="56"/>
        <v>0</v>
      </c>
      <c r="V140" s="228">
        <f t="shared" si="56"/>
        <v>0</v>
      </c>
      <c r="W140" s="228">
        <f t="shared" si="56"/>
        <v>0</v>
      </c>
      <c r="X140" s="228">
        <f t="shared" si="56"/>
        <v>0</v>
      </c>
      <c r="Y140" s="228">
        <f t="shared" si="56"/>
        <v>0</v>
      </c>
      <c r="Z140" s="228">
        <f t="shared" si="56"/>
        <v>0</v>
      </c>
      <c r="AA140" s="228">
        <f t="shared" si="56"/>
        <v>0</v>
      </c>
      <c r="AB140" s="228">
        <f t="shared" si="56"/>
        <v>0</v>
      </c>
      <c r="AC140" s="228">
        <f t="shared" si="56"/>
        <v>0</v>
      </c>
    </row>
    <row r="141" spans="1:29" x14ac:dyDescent="0.2">
      <c r="A141" s="172" t="s">
        <v>1894</v>
      </c>
      <c r="D141" s="228">
        <f>D14*D139</f>
        <v>4000</v>
      </c>
      <c r="E141" s="228">
        <f t="shared" ref="E141:AC141" si="57">E14*E139</f>
        <v>4200</v>
      </c>
      <c r="F141" s="228">
        <f t="shared" si="57"/>
        <v>4410</v>
      </c>
      <c r="G141" s="228">
        <f t="shared" si="57"/>
        <v>4740.7491360492395</v>
      </c>
      <c r="H141" s="228">
        <f t="shared" si="57"/>
        <v>5171.2990487833567</v>
      </c>
      <c r="I141" s="228">
        <f t="shared" si="57"/>
        <v>5913.4988770866867</v>
      </c>
      <c r="J141" s="228">
        <f t="shared" si="57"/>
        <v>6432.4560000000001</v>
      </c>
      <c r="K141" s="228">
        <f t="shared" si="57"/>
        <v>6754.079999999999</v>
      </c>
      <c r="L141" s="228">
        <f t="shared" si="57"/>
        <v>7091.7839999999997</v>
      </c>
      <c r="M141" s="228">
        <f t="shared" si="57"/>
        <v>7446.3720000000003</v>
      </c>
      <c r="N141" s="228">
        <f t="shared" si="57"/>
        <v>7818.6959999999999</v>
      </c>
      <c r="O141" s="228">
        <f t="shared" si="57"/>
        <v>8209.6319999999996</v>
      </c>
      <c r="P141" s="228">
        <f t="shared" si="57"/>
        <v>8620.116</v>
      </c>
      <c r="Q141" s="228">
        <f t="shared" si="57"/>
        <v>9051.1200000000008</v>
      </c>
      <c r="R141" s="228">
        <f t="shared" si="57"/>
        <v>9503.6759999999995</v>
      </c>
      <c r="S141" s="228">
        <f t="shared" si="57"/>
        <v>9978.851999999999</v>
      </c>
      <c r="T141" s="228">
        <f t="shared" si="57"/>
        <v>0</v>
      </c>
      <c r="U141" s="228">
        <f t="shared" si="57"/>
        <v>0</v>
      </c>
      <c r="V141" s="228">
        <f t="shared" si="57"/>
        <v>0</v>
      </c>
      <c r="W141" s="228">
        <f t="shared" si="57"/>
        <v>0</v>
      </c>
      <c r="X141" s="228">
        <f t="shared" si="57"/>
        <v>0</v>
      </c>
      <c r="Y141" s="228">
        <f t="shared" si="57"/>
        <v>0</v>
      </c>
      <c r="Z141" s="228">
        <f t="shared" si="57"/>
        <v>0</v>
      </c>
      <c r="AA141" s="228">
        <f t="shared" si="57"/>
        <v>0</v>
      </c>
      <c r="AB141" s="228">
        <f t="shared" si="57"/>
        <v>0</v>
      </c>
      <c r="AC141" s="228">
        <f t="shared" si="57"/>
        <v>0</v>
      </c>
    </row>
    <row r="142" spans="1:29" x14ac:dyDescent="0.2">
      <c r="A142" s="172" t="s">
        <v>1895</v>
      </c>
      <c r="D142" s="229">
        <f ca="1">IFERROR(D52/(D140+D141),0)</f>
        <v>0.13243333333333332</v>
      </c>
      <c r="E142" s="229">
        <f t="shared" ref="E142:AC142" ca="1" si="58">IFERROR(E52/(E140+E141),0)</f>
        <v>0.35850467289719623</v>
      </c>
      <c r="F142" s="229">
        <f t="shared" ca="1" si="58"/>
        <v>0.79842124705265916</v>
      </c>
      <c r="G142" s="229">
        <f t="shared" ca="1" si="58"/>
        <v>0.797778926041256</v>
      </c>
      <c r="H142" s="229">
        <f t="shared" ca="1" si="58"/>
        <v>0.79726576382961434</v>
      </c>
      <c r="I142" s="229">
        <f t="shared" ca="1" si="58"/>
        <v>0.75762796093583462</v>
      </c>
      <c r="J142" s="229">
        <f t="shared" ca="1" si="58"/>
        <v>0.67531118148717995</v>
      </c>
      <c r="K142" s="229">
        <f t="shared" ca="1" si="58"/>
        <v>0.92861897236569724</v>
      </c>
      <c r="L142" s="229">
        <f t="shared" ca="1" si="58"/>
        <v>0.87512831222265675</v>
      </c>
      <c r="M142" s="229">
        <f t="shared" ca="1" si="58"/>
        <v>0.81074547196995195</v>
      </c>
      <c r="N142" s="229">
        <f t="shared" ca="1" si="58"/>
        <v>0.74693962346378262</v>
      </c>
      <c r="O142" s="229">
        <f t="shared" ca="1" si="58"/>
        <v>0.68743591131131554</v>
      </c>
      <c r="P142" s="229">
        <f t="shared" ca="1" si="58"/>
        <v>0.63273275636193038</v>
      </c>
      <c r="Q142" s="229">
        <f t="shared" ca="1" si="58"/>
        <v>0.58234591288037607</v>
      </c>
      <c r="R142" s="229">
        <f t="shared" ca="1" si="58"/>
        <v>0.54398065780825444</v>
      </c>
      <c r="S142" s="229">
        <f t="shared" ca="1" si="58"/>
        <v>8.1322264403613717E-3</v>
      </c>
      <c r="T142" s="229">
        <f t="shared" si="58"/>
        <v>0</v>
      </c>
      <c r="U142" s="229">
        <f t="shared" si="58"/>
        <v>0</v>
      </c>
      <c r="V142" s="229">
        <f t="shared" si="58"/>
        <v>0</v>
      </c>
      <c r="W142" s="229">
        <f t="shared" si="58"/>
        <v>0</v>
      </c>
      <c r="X142" s="229">
        <f t="shared" si="58"/>
        <v>0</v>
      </c>
      <c r="Y142" s="229">
        <f t="shared" si="58"/>
        <v>0</v>
      </c>
      <c r="Z142" s="229">
        <f t="shared" si="58"/>
        <v>0</v>
      </c>
      <c r="AA142" s="229">
        <f t="shared" si="58"/>
        <v>0</v>
      </c>
      <c r="AB142" s="229">
        <f t="shared" si="58"/>
        <v>0</v>
      </c>
      <c r="AC142" s="229">
        <f t="shared" si="5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AH169"/>
  <sheetViews>
    <sheetView showGridLines="0" topLeftCell="A11" zoomScale="125" workbookViewId="0">
      <selection activeCell="L29" sqref="L29:P29"/>
    </sheetView>
  </sheetViews>
  <sheetFormatPr baseColWidth="10" defaultColWidth="10.6640625" defaultRowHeight="16" x14ac:dyDescent="0.2"/>
  <cols>
    <col min="1" max="1" width="55.1640625" customWidth="1"/>
    <col min="3" max="3" width="24.83203125" customWidth="1"/>
    <col min="4" max="19" width="10.6640625" customWidth="1"/>
    <col min="20" max="20" width="11.6640625" bestFit="1" customWidth="1"/>
    <col min="21" max="22" width="10.1640625" bestFit="1" customWidth="1"/>
    <col min="23" max="29" width="11.1640625" bestFit="1" customWidth="1"/>
  </cols>
  <sheetData>
    <row r="4" spans="1:20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  <c r="T4" s="230" t="s">
        <v>1896</v>
      </c>
    </row>
    <row r="5" spans="1:20" ht="10" customHeight="1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</row>
    <row r="6" spans="1:20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0" x14ac:dyDescent="0.2">
      <c r="A7" s="18" t="s">
        <v>1360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20" x14ac:dyDescent="0.2">
      <c r="A8" s="22" t="s">
        <v>657</v>
      </c>
      <c r="B8" s="8"/>
      <c r="C8" s="8"/>
      <c r="D8" s="58"/>
      <c r="E8" s="67">
        <f t="shared" ref="E8:S8" si="0">D56</f>
        <v>24700</v>
      </c>
      <c r="F8" s="67">
        <f t="shared" ca="1" si="0"/>
        <v>7144.499276117167</v>
      </c>
      <c r="G8" s="67">
        <f t="shared" ca="1" si="0"/>
        <v>54382.940537364266</v>
      </c>
      <c r="H8" s="67">
        <f t="shared" ca="1" si="0"/>
        <v>67215.513649472094</v>
      </c>
      <c r="I8" s="67">
        <f t="shared" ca="1" si="0"/>
        <v>124305.0499004944</v>
      </c>
      <c r="J8" s="67">
        <f t="shared" ca="1" si="0"/>
        <v>192404.81159035888</v>
      </c>
      <c r="K8" s="67">
        <f t="shared" ca="1" si="0"/>
        <v>268624.6591581729</v>
      </c>
      <c r="L8" s="67">
        <f t="shared" ca="1" si="0"/>
        <v>350430.46930401592</v>
      </c>
      <c r="M8" s="67">
        <f t="shared" ca="1" si="0"/>
        <v>492652.45372807363</v>
      </c>
      <c r="N8" s="67">
        <f t="shared" ca="1" si="0"/>
        <v>593995.21200576215</v>
      </c>
      <c r="O8" s="67">
        <f t="shared" ca="1" si="0"/>
        <v>701020.49703638186</v>
      </c>
      <c r="P8" s="67">
        <f t="shared" ca="1" si="0"/>
        <v>839176.48008896702</v>
      </c>
      <c r="Q8" s="67">
        <f t="shared" ca="1" si="0"/>
        <v>1049179.8841603368</v>
      </c>
      <c r="R8" s="67">
        <f t="shared" ca="1" si="0"/>
        <v>1359593.5996440256</v>
      </c>
      <c r="S8" s="67">
        <f t="shared" ca="1" si="0"/>
        <v>1737392.7655974862</v>
      </c>
    </row>
    <row r="9" spans="1:20" x14ac:dyDescent="0.2">
      <c r="A9" s="22" t="s">
        <v>658</v>
      </c>
      <c r="B9" s="8"/>
      <c r="C9" s="8"/>
      <c r="D9" s="58"/>
      <c r="E9" s="66">
        <f>IF(E$4=Assumptions!$B$10,Assumptions!$B$9,0)</f>
        <v>0</v>
      </c>
      <c r="F9" s="66">
        <f>IF(F$4=Assumptions!$B$10,Assumptions!$B$9,0)</f>
        <v>45000</v>
      </c>
      <c r="G9" s="66">
        <f>IF(G$4=Assumptions!$B$10,Assumptions!$B$9,0)</f>
        <v>0</v>
      </c>
      <c r="H9" s="66">
        <f>IF(H$4=Assumptions!$B$10,Assumptions!$B$9,0)</f>
        <v>0</v>
      </c>
      <c r="I9" s="66">
        <f>IF(I$4=Assumptions!$B$10,Assumptions!$B$9,0)</f>
        <v>0</v>
      </c>
      <c r="J9" s="66">
        <f>IF(J$4=Assumptions!$B$10,Assumptions!$B$9,0)</f>
        <v>0</v>
      </c>
      <c r="K9" s="66">
        <f>IF(K$4=Assumptions!$B$10,Assumptions!$B$9,0)</f>
        <v>0</v>
      </c>
      <c r="L9" s="66">
        <f>IF(L$4=Assumptions!$B$10,Assumptions!$B$9,0)</f>
        <v>0</v>
      </c>
      <c r="M9" s="66">
        <f>IF(M$4=Assumptions!$B$10,Assumptions!$B$9,0)</f>
        <v>0</v>
      </c>
      <c r="N9" s="66">
        <f>IF(N$4=Assumptions!$B$10,Assumptions!$B$9,0)</f>
        <v>0</v>
      </c>
      <c r="O9" s="66">
        <f>IF(O$4=Assumptions!$B$10,Assumptions!$B$9,0)</f>
        <v>0</v>
      </c>
      <c r="P9" s="66">
        <f>IF(P$4=Assumptions!$B$10,Assumptions!$B$9,0)</f>
        <v>0</v>
      </c>
      <c r="Q9" s="66">
        <f>IF(Q$4=Assumptions!$B$10,Assumptions!$B$9,0)</f>
        <v>0</v>
      </c>
      <c r="R9" s="66">
        <f>IF(R$4=Assumptions!$B$10,Assumptions!$B$9,0)</f>
        <v>0</v>
      </c>
      <c r="S9" s="66">
        <f>IF(S$4=Assumptions!$B$10,Assumptions!$B$9,0)</f>
        <v>0</v>
      </c>
    </row>
    <row r="10" spans="1:20" x14ac:dyDescent="0.2">
      <c r="A10" s="22" t="s">
        <v>353</v>
      </c>
      <c r="B10" s="8"/>
      <c r="C10" s="8"/>
      <c r="D10" s="105"/>
      <c r="E10" s="198">
        <f>0</f>
        <v>0</v>
      </c>
      <c r="F10" s="198">
        <f>0</f>
        <v>0</v>
      </c>
      <c r="G10" s="198">
        <f>0</f>
        <v>0</v>
      </c>
      <c r="H10" s="67">
        <f>0</f>
        <v>0</v>
      </c>
      <c r="I10" s="67">
        <f>0</f>
        <v>0</v>
      </c>
      <c r="J10" s="67">
        <f>0</f>
        <v>0</v>
      </c>
      <c r="K10" s="67">
        <f>0</f>
        <v>0</v>
      </c>
      <c r="L10" s="67">
        <f>0</f>
        <v>0</v>
      </c>
      <c r="M10" s="67">
        <f>0</f>
        <v>0</v>
      </c>
      <c r="N10" s="67">
        <f>0</f>
        <v>0</v>
      </c>
      <c r="O10" s="67">
        <f>0</f>
        <v>0</v>
      </c>
      <c r="P10" s="67">
        <f>0</f>
        <v>0</v>
      </c>
      <c r="Q10" s="67">
        <f>0</f>
        <v>0</v>
      </c>
      <c r="R10" s="67">
        <f>0</f>
        <v>0</v>
      </c>
      <c r="S10" s="67">
        <f>0</f>
        <v>0</v>
      </c>
    </row>
    <row r="11" spans="1:20" x14ac:dyDescent="0.2">
      <c r="A11" s="22" t="s">
        <v>659</v>
      </c>
      <c r="B11" s="8"/>
      <c r="C11" s="8"/>
      <c r="D11" s="106"/>
      <c r="E11" s="198">
        <f t="shared" ref="E11:S11" si="1">E8+E9+E105</f>
        <v>40000</v>
      </c>
      <c r="F11" s="198">
        <f t="shared" ca="1" si="1"/>
        <v>72855.50072388284</v>
      </c>
      <c r="G11" s="198">
        <f t="shared" ca="1" si="1"/>
        <v>56071.820186518569</v>
      </c>
      <c r="H11" s="198">
        <f t="shared" ca="1" si="1"/>
        <v>67215.513649472094</v>
      </c>
      <c r="I11" s="198">
        <f t="shared" ca="1" si="1"/>
        <v>124305.0499004944</v>
      </c>
      <c r="J11" s="198">
        <f t="shared" ca="1" si="1"/>
        <v>192404.81159035888</v>
      </c>
      <c r="K11" s="198">
        <f t="shared" ca="1" si="1"/>
        <v>268624.6591581729</v>
      </c>
      <c r="L11" s="198">
        <f t="shared" ca="1" si="1"/>
        <v>350430.46930401592</v>
      </c>
      <c r="M11" s="198">
        <f t="shared" ca="1" si="1"/>
        <v>492652.45372807363</v>
      </c>
      <c r="N11" s="198">
        <f t="shared" ca="1" si="1"/>
        <v>593995.21200576215</v>
      </c>
      <c r="O11" s="198">
        <f t="shared" ca="1" si="1"/>
        <v>701020.49703638186</v>
      </c>
      <c r="P11" s="198">
        <f t="shared" ca="1" si="1"/>
        <v>839176.48008896702</v>
      </c>
      <c r="Q11" s="198">
        <f t="shared" ca="1" si="1"/>
        <v>1049179.8841603368</v>
      </c>
      <c r="R11" s="198">
        <f t="shared" ca="1" si="1"/>
        <v>1359593.5996440256</v>
      </c>
      <c r="S11" s="198">
        <f t="shared" ca="1" si="1"/>
        <v>1737392.7655974862</v>
      </c>
    </row>
    <row r="12" spans="1:20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20" x14ac:dyDescent="0.2">
      <c r="A13" s="18" t="s">
        <v>1498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20" x14ac:dyDescent="0.2">
      <c r="A14" s="20" t="s">
        <v>660</v>
      </c>
      <c r="B14" s="20"/>
      <c r="C14" s="20"/>
      <c r="D14" s="124">
        <f ca="1">Starlink!D65 + 'Customer Launch'!D101 + 'AI - Compute'!D8 + 'Lunar - Mars'!D106</f>
        <v>14461.389830359478</v>
      </c>
      <c r="E14" s="124">
        <f ca="1">Starlink!D65+'Customer Launch'!D101+'AI - Compute'!D8+'Lunar - Mars'!D106</f>
        <v>14461.389830359478</v>
      </c>
      <c r="F14" s="124">
        <f ca="1">Starlink!E65+'Customer Launch'!E101+'AI - Compute'!E8+'Lunar - Mars'!E106</f>
        <v>23765.238531318886</v>
      </c>
      <c r="G14" s="124">
        <f ca="1">Starlink!F65+'Customer Launch'!F101+'AI - Compute'!F8+'Lunar - Mars'!F106</f>
        <v>76087.189602633283</v>
      </c>
      <c r="H14" s="124">
        <f ca="1">Starlink!G65+'Customer Launch'!G101+'AI - Compute'!G8+'Lunar - Mars'!G106</f>
        <v>132955.85061999588</v>
      </c>
      <c r="I14" s="124">
        <f ca="1">Starlink!H65+'Customer Launch'!H101+'AI - Compute'!H8+'Lunar - Mars'!H106</f>
        <v>210772.32801826874</v>
      </c>
      <c r="J14" s="124">
        <f ca="1">Starlink!I65+'Customer Launch'!I101+'AI - Compute'!I8+'Lunar - Mars'!I106</f>
        <v>285043.56240807043</v>
      </c>
      <c r="K14" s="124">
        <f ca="1">Starlink!J65+'Customer Launch'!J101+'AI - Compute'!J8+'Lunar - Mars'!J106</f>
        <v>389591.34862066183</v>
      </c>
      <c r="L14" s="124">
        <f ca="1">Starlink!K65+'Customer Launch'!K101+'AI - Compute'!K8+'Lunar - Mars'!K106</f>
        <v>459225.75897234323</v>
      </c>
      <c r="M14" s="124">
        <f ca="1">Starlink!L65+'Customer Launch'!L101+'AI - Compute'!L8+'Lunar - Mars'!L106</f>
        <v>496467.68253111665</v>
      </c>
      <c r="N14" s="124">
        <f ca="1">Starlink!M65+'Customer Launch'!M101+'AI - Compute'!M8+'Lunar - Mars'!M106</f>
        <v>550400.6674966662</v>
      </c>
      <c r="O14" s="124">
        <f ca="1">Starlink!N65+'Customer Launch'!N101+'AI - Compute'!N8+'Lunar - Mars'!N106</f>
        <v>654051.41670097481</v>
      </c>
      <c r="P14" s="124">
        <f ca="1">Starlink!O65+'Customer Launch'!O101+'AI - Compute'!O8+'Lunar - Mars'!O106</f>
        <v>807850.81816132064</v>
      </c>
      <c r="Q14" s="124">
        <f ca="1">Starlink!P65+'Customer Launch'!P101+'AI - Compute'!P8+'Lunar - Mars'!P106</f>
        <v>996952.44438955234</v>
      </c>
      <c r="R14" s="124">
        <f ca="1">Starlink!Q65+'Customer Launch'!Q101+'AI - Compute'!Q8+'Lunar - Mars'!Q106</f>
        <v>1173797.1249223978</v>
      </c>
      <c r="S14" s="124">
        <f ca="1">Starlink!R65+'Customer Launch'!R101+'AI - Compute'!R8+'Lunar - Mars'!R106</f>
        <v>1426058.1549557641</v>
      </c>
    </row>
    <row r="15" spans="1:20" x14ac:dyDescent="0.2">
      <c r="A15" s="22" t="s">
        <v>661</v>
      </c>
      <c r="B15" s="8"/>
      <c r="C15" s="8"/>
      <c r="D15" s="66">
        <f ca="1">MAX(Assumptions!$B$154, Assumptions!$B$153*(1+Assumptions!$B$155)^D$5)*D14 + Assumptions!$B$157*D14</f>
        <v>506.14864406258175</v>
      </c>
      <c r="E15" s="66">
        <f ca="1">MAX(Assumptions!$B$154, Assumptions!$B$153*(1+Assumptions!$B$155)^E$5)*E14 + Assumptions!$B$157*E14</f>
        <v>480.11814236793464</v>
      </c>
      <c r="F15" s="66">
        <f ca="1">MAX(Assumptions!$B$154, Assumptions!$B$153*(1+Assumptions!$B$155)^F$5)*F14 + Assumptions!$B$157*F14</f>
        <v>748.79513564479544</v>
      </c>
      <c r="G15" s="66">
        <f ca="1">MAX(Assumptions!$B$154, Assumptions!$B$153*(1+Assumptions!$B$155)^G$5)*G14 + Assumptions!$B$157*G14</f>
        <v>2276.3400166805732</v>
      </c>
      <c r="H15" s="66">
        <f ca="1">MAX(Assumptions!$B$154, Assumptions!$B$153*(1+Assumptions!$B$155)^H$5)*H14 + Assumptions!$B$157*H14</f>
        <v>3778.9335160242936</v>
      </c>
      <c r="I15" s="66">
        <f ca="1">MAX(Assumptions!$B$154, Assumptions!$B$153*(1+Assumptions!$B$155)^I$5)*I14 + Assumptions!$B$157*I14</f>
        <v>5694.4614203879319</v>
      </c>
      <c r="J15" s="66">
        <f ca="1">MAX(Assumptions!$B$154, Assumptions!$B$153*(1+Assumptions!$B$155)^J$5)*J14 + Assumptions!$B$157*J14</f>
        <v>7324.5060117366857</v>
      </c>
      <c r="K15" s="66">
        <f ca="1">MAX(Assumptions!$B$154, Assumptions!$B$153*(1+Assumptions!$B$155)^K$5)*K14 + Assumptions!$B$157*K14</f>
        <v>9527.1945572570949</v>
      </c>
      <c r="L15" s="66">
        <f ca="1">MAX(Assumptions!$B$154, Assumptions!$B$153*(1+Assumptions!$B$155)^L$5)*L14 + Assumptions!$B$157*L14</f>
        <v>10694.021548286531</v>
      </c>
      <c r="M15" s="66">
        <f ca="1">MAX(Assumptions!$B$154, Assumptions!$B$153*(1+Assumptions!$B$155)^M$5)*M14 + Assumptions!$B$157*M14</f>
        <v>11016.540459600086</v>
      </c>
      <c r="N15" s="66">
        <f ca="1">MAX(Assumptions!$B$154, Assumptions!$B$153*(1+Assumptions!$B$155)^N$5)*N14 + Assumptions!$B$157*N14</f>
        <v>11645.626887132103</v>
      </c>
      <c r="O15" s="66">
        <f ca="1">MAX(Assumptions!$B$154, Assumptions!$B$153*(1+Assumptions!$B$155)^O$5)*O14 + Assumptions!$B$157*O14</f>
        <v>13204.608875240074</v>
      </c>
      <c r="P15" s="66">
        <f ca="1">MAX(Assumptions!$B$154, Assumptions!$B$153*(1+Assumptions!$B$155)^P$5)*P14 + Assumptions!$B$157*P14</f>
        <v>16157.016363226414</v>
      </c>
      <c r="Q15" s="66">
        <f ca="1">MAX(Assumptions!$B$154, Assumptions!$B$153*(1+Assumptions!$B$155)^Q$5)*Q14 + Assumptions!$B$157*Q14</f>
        <v>19939.048887791047</v>
      </c>
      <c r="R15" s="66">
        <f ca="1">MAX(Assumptions!$B$154, Assumptions!$B$153*(1+Assumptions!$B$155)^R$5)*R14 + Assumptions!$B$157*R14</f>
        <v>23475.942498447956</v>
      </c>
      <c r="S15" s="66">
        <f ca="1">MAX(Assumptions!$B$154, Assumptions!$B$153*(1+Assumptions!$B$155)^S$5)*S14 + Assumptions!$B$157*S14</f>
        <v>28521.163099115282</v>
      </c>
    </row>
    <row r="16" spans="1:20" x14ac:dyDescent="0.2">
      <c r="A16" s="22" t="s">
        <v>662</v>
      </c>
      <c r="B16" s="8"/>
      <c r="C16" s="8"/>
      <c r="D16" s="58"/>
      <c r="E16" s="66">
        <f>Assumptions!E148</f>
        <v>110</v>
      </c>
      <c r="F16" s="66">
        <f>Assumptions!F148</f>
        <v>121</v>
      </c>
      <c r="G16" s="66">
        <f>Assumptions!G148</f>
        <v>133.1</v>
      </c>
      <c r="H16" s="66">
        <f>Assumptions!H148</f>
        <v>146.41</v>
      </c>
      <c r="I16" s="66">
        <f>Assumptions!I148</f>
        <v>161.05000000000001</v>
      </c>
      <c r="J16" s="66">
        <f>Assumptions!J148</f>
        <v>177.16</v>
      </c>
      <c r="K16" s="66">
        <f>Assumptions!K148</f>
        <v>194.87</v>
      </c>
      <c r="L16" s="66">
        <f>Assumptions!L148</f>
        <v>214.36</v>
      </c>
      <c r="M16" s="66">
        <f>Assumptions!M148</f>
        <v>235.79</v>
      </c>
      <c r="N16" s="66">
        <f>Assumptions!N148</f>
        <v>259.37</v>
      </c>
      <c r="O16" s="66">
        <f>Assumptions!O148</f>
        <v>285.31</v>
      </c>
      <c r="P16" s="66">
        <f>Assumptions!P148</f>
        <v>313.83999999999997</v>
      </c>
      <c r="Q16" s="66">
        <f>Assumptions!Q148</f>
        <v>345.23</v>
      </c>
      <c r="R16" s="66">
        <f>Assumptions!R148</f>
        <v>379.75</v>
      </c>
      <c r="S16" s="66">
        <f>Assumptions!S148</f>
        <v>417.72</v>
      </c>
    </row>
    <row r="17" spans="1:19" x14ac:dyDescent="0.2">
      <c r="A17" s="22" t="s">
        <v>663</v>
      </c>
      <c r="B17" s="8"/>
      <c r="C17" s="8"/>
      <c r="D17" s="66">
        <f ca="1">'Facilities Build'!D79</f>
        <v>3164.3136372769609</v>
      </c>
      <c r="E17" s="66">
        <f ca="1">'Facilities Build'!E79</f>
        <v>949.59780278493474</v>
      </c>
      <c r="F17" s="66">
        <f ca="1">'Facilities Build'!F79</f>
        <v>1433.3719735263319</v>
      </c>
      <c r="G17" s="66">
        <f ca="1">'Facilities Build'!G79</f>
        <v>5887.8891125373757</v>
      </c>
      <c r="H17" s="66">
        <f ca="1">'Facilities Build'!H79</f>
        <v>10267.271129646642</v>
      </c>
      <c r="I17" s="66">
        <f ca="1">'Facilities Build'!I79</f>
        <v>17364.479117693238</v>
      </c>
      <c r="J17" s="66">
        <f ca="1">'Facilities Build'!J79</f>
        <v>22281.669241285545</v>
      </c>
      <c r="K17" s="66">
        <f ca="1">'Facilities Build'!K79</f>
        <v>29752.412966863987</v>
      </c>
      <c r="L17" s="66">
        <f ca="1">'Facilities Build'!L79</f>
        <v>29252.690048881257</v>
      </c>
      <c r="M17" s="66">
        <f ca="1">'Facilities Build'!M79</f>
        <v>30440.566415495108</v>
      </c>
      <c r="N17" s="66">
        <f ca="1">'Facilities Build'!N79</f>
        <v>35040.215327845362</v>
      </c>
      <c r="O17" s="66">
        <f ca="1">'Facilities Build'!O79</f>
        <v>39329.56297090782</v>
      </c>
      <c r="P17" s="66">
        <f ca="1">'Facilities Build'!P79</f>
        <v>50829.835784381336</v>
      </c>
      <c r="Q17" s="66">
        <f ca="1">'Facilities Build'!Q79</f>
        <v>51556.951469588923</v>
      </c>
      <c r="R17" s="66">
        <f ca="1">'Facilities Build'!R79</f>
        <v>55808.259226481001</v>
      </c>
      <c r="S17" s="66">
        <f ca="1">'Facilities Build'!S79</f>
        <v>69093.295734861662</v>
      </c>
    </row>
    <row r="18" spans="1:19" x14ac:dyDescent="0.2">
      <c r="A18" s="22" t="s">
        <v>664</v>
      </c>
      <c r="B18" s="8"/>
      <c r="C18" s="8"/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</row>
    <row r="19" spans="1:19" x14ac:dyDescent="0.2">
      <c r="A19" s="22" t="s">
        <v>665</v>
      </c>
      <c r="B19" s="8"/>
      <c r="C19" s="8"/>
      <c r="D19" s="42"/>
      <c r="E19" s="66">
        <f ca="1">Assumptions!$B$3*MAX(0,(Starlink!D152+'Customer Launch'!D108+'Customer Launch'!D105+'AI - Compute'!D12+'Lunar - Mars'!D94)-E15-E16-E18-Assumptions!E146)</f>
        <v>40.4536266987229</v>
      </c>
      <c r="F19" s="66">
        <f ca="1">Assumptions!$B$3*MAX(0,(Starlink!E152+'Customer Launch'!E108+'Customer Launch'!E105+'AI - Compute'!E12+'Lunar - Mars'!E94)-F15-F16-F18-Assumptions!F146)</f>
        <v>296.31805230102952</v>
      </c>
      <c r="G19" s="66">
        <f ca="1">Assumptions!$B$3*MAX(0,(Starlink!F152+'Customer Launch'!F108+'Customer Launch'!F105+'AI - Compute'!F12+'Lunar - Mars'!F94)-G15-G16-G18-Assumptions!G146)</f>
        <v>4803.5007140740163</v>
      </c>
      <c r="H19" s="66">
        <f ca="1">Assumptions!$B$3*MAX(0,(Starlink!G152+'Customer Launch'!G108+'Customer Launch'!G105+'AI - Compute'!G12+'Lunar - Mars'!G94)-H15-H16-H18-Assumptions!H146)</f>
        <v>11258.108103243747</v>
      </c>
      <c r="I19" s="66">
        <f ca="1">Assumptions!$B$3*MAX(0,(Starlink!H152+'Customer Launch'!H108+'Customer Launch'!H105+'AI - Compute'!H12+'Lunar - Mars'!H94)-I15-I16-I18-Assumptions!I146)</f>
        <v>20270.880547799556</v>
      </c>
      <c r="J19" s="66">
        <f ca="1">Assumptions!$B$3*MAX(0,(Starlink!I152+'Customer Launch'!I108+'Customer Launch'!I105+'AI - Compute'!I12+'Lunar - Mars'!I94)-J15-J16-J18-Assumptions!J146)</f>
        <v>31247.299515422517</v>
      </c>
      <c r="K19" s="66">
        <f ca="1">Assumptions!$B$3*MAX(0,(Starlink!J152+'Customer Launch'!J108+'Customer Launch'!J105+'AI - Compute'!J12+'Lunar - Mars'!J94)-K15-K16-K18-Assumptions!K146)</f>
        <v>42382.775276005763</v>
      </c>
      <c r="L19" s="66">
        <f ca="1">Assumptions!$B$3*MAX(0,(Starlink!K152+'Customer Launch'!K108+'Customer Launch'!K105+'AI - Compute'!K12+'Lunar - Mars'!K94)-L15-L16-L18-Assumptions!L146)</f>
        <v>51732.701246540004</v>
      </c>
      <c r="M19" s="66">
        <f ca="1">Assumptions!$B$3*MAX(0,(Starlink!L152+'Customer Launch'!L108+'Customer Launch'!L105+'AI - Compute'!L12+'Lunar - Mars'!L94)-M15-M16-M18-Assumptions!M146)</f>
        <v>55072.467941441748</v>
      </c>
      <c r="N19" s="66">
        <f ca="1">Assumptions!$B$3*MAX(0,(Starlink!M152+'Customer Launch'!M108+'Customer Launch'!M105+'AI - Compute'!M12+'Lunar - Mars'!M94)-N15-N16-N18-Assumptions!N146)</f>
        <v>59499.908076913664</v>
      </c>
      <c r="O19" s="66">
        <f ca="1">Assumptions!$B$3*MAX(0,(Starlink!N152+'Customer Launch'!N108+'Customer Launch'!N105+'AI - Compute'!N12+'Lunar - Mars'!N94)-O15-O16-O18-Assumptions!O146)</f>
        <v>70359.488585040148</v>
      </c>
      <c r="P19" s="66">
        <f ca="1">Assumptions!$B$3*MAX(0,(Starlink!O152+'Customer Launch'!O108+'Customer Launch'!O105+'AI - Compute'!O12+'Lunar - Mars'!O94)-P15-P16-P18-Assumptions!P146)</f>
        <v>89133.217775638972</v>
      </c>
      <c r="Q19" s="66">
        <f ca="1">Assumptions!$B$3*MAX(0,(Starlink!P152+'Customer Launch'!P108+'Customer Launch'!P105+'AI - Compute'!P12+'Lunar - Mars'!P94)-Q15-Q16-Q18-Assumptions!Q146)</f>
        <v>112176.45166891579</v>
      </c>
      <c r="R19" s="66">
        <f ca="1">Assumptions!$B$3*MAX(0,(Starlink!Q152+'Customer Launch'!Q108+'Customer Launch'!Q105+'AI - Compute'!Q12+'Lunar - Mars'!Q94)-R15-R16-R18-Assumptions!R146)</f>
        <v>135653.5147012852</v>
      </c>
      <c r="S19" s="66">
        <f ca="1">Assumptions!$B$3*MAX(0,(Starlink!R152+'Customer Launch'!R108+'Customer Launch'!R105+'AI - Compute'!R12+'Lunar - Mars'!R94)-S15-S16-S18-Assumptions!S146)</f>
        <v>170608.66208643949</v>
      </c>
    </row>
    <row r="20" spans="1:19" x14ac:dyDescent="0.2">
      <c r="A20" s="20" t="s">
        <v>666</v>
      </c>
      <c r="B20" s="20"/>
      <c r="C20" s="20"/>
      <c r="D20" s="113"/>
      <c r="E20" s="124" cm="1">
        <f t="array" aca="1" ref="E20" ca="1">E15+E16+E17+E18+E19+Assumptions!E146 + INDEX($D:$AC, MATCH("Placeholder AI/strategic CapEx ($mm): TEMP (retire when AI-Compute loaded)",$A$1:$A$91,0), E$5+1)</f>
        <v>5080.1695718515921</v>
      </c>
      <c r="F20" s="124" cm="1">
        <f t="array" aca="1" ref="F20" ca="1">F15+F16+F17+F18+F19+Assumptions!F146 + INDEX($D:$AC, MATCH("Placeholder AI/strategic CapEx ($mm): TEMP (retire when AI-Compute loaded)",$A$1:$A$91,0), F$5+1)</f>
        <v>6399.4851614721574</v>
      </c>
      <c r="G20" s="124" cm="1">
        <f t="array" aca="1" ref="G20" ca="1">G15+G16+G17+G18+G19+Assumptions!G146 + INDEX($D:$AC, MATCH("Placeholder AI/strategic CapEx ($mm): TEMP (retire when AI-Compute loaded)",$A$1:$A$91,0), G$5+1)</f>
        <v>16600.829843291966</v>
      </c>
      <c r="H20" s="124" cm="1">
        <f t="array" aca="1" ref="H20" ca="1">H15+H16+H17+H18+H19+Assumptions!H146 + INDEX($D:$AC, MATCH("Placeholder AI/strategic CapEx ($mm): TEMP (retire when AI-Compute loaded)",$A$1:$A$91,0), H$5+1)</f>
        <v>28450.722748914683</v>
      </c>
      <c r="I20" s="124" cm="1">
        <f t="array" aca="1" ref="I20" ca="1">I15+I16+I17+I18+I19+Assumptions!I146 + INDEX($D:$AC, MATCH("Placeholder AI/strategic CapEx ($mm): TEMP (retire when AI-Compute loaded)",$A$1:$A$91,0), I$5+1)</f>
        <v>45990.871085880724</v>
      </c>
      <c r="J20" s="124" cm="1">
        <f t="array" aca="1" ref="J20" ca="1">J15+J16+J17+J18+J19+Assumptions!J146 + INDEX($D:$AC, MATCH("Placeholder AI/strategic CapEx ($mm): TEMP (retire when AI-Compute loaded)",$A$1:$A$91,0), J$5+1)</f>
        <v>63230.634768444746</v>
      </c>
      <c r="K20" s="124" cm="1">
        <f t="array" aca="1" ref="K20" ca="1">K15+K16+K17+K18+K19+Assumptions!K146 + INDEX($D:$AC, MATCH("Placeholder AI/strategic CapEx ($mm): TEMP (retire when AI-Compute loaded)",$A$1:$A$91,0), K$5+1)</f>
        <v>83757.252800126851</v>
      </c>
      <c r="L20" s="124" cm="1">
        <f t="array" aca="1" ref="L20" ca="1">L15+L16+L17+L18+L19+Assumptions!L146 + INDEX($D:$AC, MATCH("Placeholder AI/strategic CapEx ($mm): TEMP (retire when AI-Compute loaded)",$A$1:$A$91,0), L$5+1)</f>
        <v>93593.772843707789</v>
      </c>
      <c r="M20" s="124" cm="1">
        <f t="array" aca="1" ref="M20" ca="1">M15+M16+M17+M18+M19+Assumptions!M146 + INDEX($D:$AC, MATCH("Placeholder AI/strategic CapEx ($mm): TEMP (retire when AI-Compute loaded)",$A$1:$A$91,0), M$5+1)</f>
        <v>98265.364816536952</v>
      </c>
      <c r="N20" s="124" cm="1">
        <f t="array" aca="1" ref="N20" ca="1">N15+N16+N17+N18+N19+Assumptions!N146 + INDEX($D:$AC, MATCH("Placeholder AI/strategic CapEx ($mm): TEMP (retire when AI-Compute loaded)",$A$1:$A$91,0), N$5+1)</f>
        <v>107745.12029189113</v>
      </c>
      <c r="O20" s="124" cm="1">
        <f t="array" aca="1" ref="O20" ca="1">O15+O16+O17+O18+O19+Assumptions!O146 + INDEX($D:$AC, MATCH("Placeholder AI/strategic CapEx ($mm): TEMP (retire when AI-Compute loaded)",$A$1:$A$91,0), O$5+1)</f>
        <v>124378.97043118803</v>
      </c>
      <c r="P20" s="124" cm="1">
        <f t="array" aca="1" ref="P20" ca="1">P15+P16+P17+P18+P19+Assumptions!P146 + INDEX($D:$AC, MATCH("Placeholder AI/strategic CapEx ($mm): TEMP (retire when AI-Compute loaded)",$A$1:$A$91,0), P$5+1)</f>
        <v>157533.90992324671</v>
      </c>
      <c r="Q20" s="124" cm="1">
        <f t="array" aca="1" ref="Q20" ca="1">Q15+Q16+Q17+Q18+Q19+Assumptions!Q146 + INDEX($D:$AC, MATCH("Placeholder AI/strategic CapEx ($mm): TEMP (retire when AI-Compute loaded)",$A$1:$A$91,0), Q$5+1)</f>
        <v>185017.68202629575</v>
      </c>
      <c r="R20" s="124" cm="1">
        <f t="array" aca="1" ref="R20" ca="1">R15+R16+R17+R18+R19+Assumptions!R146 + INDEX($D:$AC, MATCH("Placeholder AI/strategic CapEx ($mm): TEMP (retire when AI-Compute loaded)",$A$1:$A$91,0), R$5+1)</f>
        <v>216267.46642621415</v>
      </c>
      <c r="S20" s="124" cm="1">
        <f t="array" aca="1" ref="S20" ca="1">S15+S16+S17+S18+S19+Assumptions!S146 + INDEX($D:$AC, MATCH("Placeholder AI/strategic CapEx ($mm): TEMP (retire when AI-Compute loaded)",$A$1:$A$91,0), S$5+1)</f>
        <v>269540.84092041641</v>
      </c>
    </row>
    <row r="21" spans="1:19" x14ac:dyDescent="0.2">
      <c r="A21" s="22" t="s">
        <v>667</v>
      </c>
      <c r="B21" s="8"/>
      <c r="C21" s="8"/>
      <c r="D21" s="42"/>
      <c r="E21" s="67">
        <f t="shared" ref="E21:S21" ca="1" si="2">MAX(0,E11-E20)</f>
        <v>34919.830428148409</v>
      </c>
      <c r="F21" s="67">
        <f t="shared" ca="1" si="2"/>
        <v>66456.015562410685</v>
      </c>
      <c r="G21" s="67">
        <f t="shared" ca="1" si="2"/>
        <v>39470.9903432266</v>
      </c>
      <c r="H21" s="67">
        <f t="shared" ca="1" si="2"/>
        <v>38764.790900557411</v>
      </c>
      <c r="I21" s="67">
        <f t="shared" ca="1" si="2"/>
        <v>78314.178814613668</v>
      </c>
      <c r="J21" s="67">
        <f t="shared" ca="1" si="2"/>
        <v>129174.17682191412</v>
      </c>
      <c r="K21" s="67">
        <f t="shared" ca="1" si="2"/>
        <v>184867.40635804605</v>
      </c>
      <c r="L21" s="67">
        <f t="shared" ca="1" si="2"/>
        <v>256836.69646030813</v>
      </c>
      <c r="M21" s="67">
        <f t="shared" ca="1" si="2"/>
        <v>394387.08891153667</v>
      </c>
      <c r="N21" s="67">
        <f t="shared" ca="1" si="2"/>
        <v>486250.09171387099</v>
      </c>
      <c r="O21" s="67">
        <f t="shared" ca="1" si="2"/>
        <v>576641.52660519385</v>
      </c>
      <c r="P21" s="67">
        <f t="shared" ca="1" si="2"/>
        <v>681642.5701657203</v>
      </c>
      <c r="Q21" s="67">
        <f t="shared" ca="1" si="2"/>
        <v>864162.20213404112</v>
      </c>
      <c r="R21" s="67">
        <f t="shared" ca="1" si="2"/>
        <v>1143326.1332178114</v>
      </c>
      <c r="S21" s="67">
        <f t="shared" ca="1" si="2"/>
        <v>1467851.9246770698</v>
      </c>
    </row>
    <row r="22" spans="1:19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2">
      <c r="A23" s="18" t="s">
        <v>1499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x14ac:dyDescent="0.2">
      <c r="A24" s="22" t="s">
        <v>668</v>
      </c>
      <c r="B24" s="8"/>
      <c r="C24" s="8"/>
      <c r="D24" s="66">
        <f>Assumptions!$B15</f>
        <v>700</v>
      </c>
      <c r="E24" s="66">
        <f>IF(E$4&lt;Assumptions!$B115,Assumptions!$B15,MAX(Assumptions!$B13,E98*IF(Assumptions!$B14=1,D55,0)))</f>
        <v>700</v>
      </c>
      <c r="F24" s="66">
        <f>IF(F$4&lt;Assumptions!$B115,Assumptions!$B15,MAX(Assumptions!$B13,F98*IF(Assumptions!$B14=1,E55,0)))</f>
        <v>700</v>
      </c>
      <c r="G24" s="66">
        <f>IF(G$4&lt;Assumptions!$B115,Assumptions!$B15,MAX(Assumptions!$B13,G98*IF(Assumptions!$B14=1,F55,0)))</f>
        <v>700</v>
      </c>
      <c r="H24" s="66">
        <f>IF(H$4&lt;Assumptions!$B115,Assumptions!$B15,MAX(Assumptions!$B13,H98*IF(Assumptions!$B14=1,G55,0)))</f>
        <v>700</v>
      </c>
      <c r="I24" s="66">
        <f ca="1">IF(I$4&lt;Assumptions!$B115,Assumptions!$B15,MAX(Assumptions!$B13,I98*IF(Assumptions!$B14=1,H55,0)))</f>
        <v>14863.061562173079</v>
      </c>
      <c r="J24" s="66">
        <f ca="1">IF(J$4&lt;Assumptions!$B115,Assumptions!$B15,MAX(Assumptions!$B13,J98*IF(Assumptions!$B14=1,I55,0)))</f>
        <v>15637.176088763632</v>
      </c>
      <c r="K24" s="66">
        <f ca="1">IF(K$4&lt;Assumptions!$B115,Assumptions!$B15,MAX(Assumptions!$B13,K98*IF(Assumptions!$B14=1,J55,0)))</f>
        <v>18483.910353186762</v>
      </c>
      <c r="L24" s="66">
        <f ca="1">IF(L$4&lt;Assumptions!$B115,Assumptions!$B15,MAX(Assumptions!$B13,L98*IF(Assumptions!$B14=1,K55,0)))</f>
        <v>13878.807468103392</v>
      </c>
      <c r="M24" s="66">
        <f ca="1">IF(M$4&lt;Assumptions!$B115,Assumptions!$B15,MAX(Assumptions!$B13,M98*IF(Assumptions!$B14=1,L55,0)))</f>
        <v>21935.389692153189</v>
      </c>
      <c r="N24" s="66">
        <f ca="1">IF(N$4&lt;Assumptions!$B115,Assumptions!$B15,MAX(Assumptions!$B13,N98*IF(Assumptions!$B14=1,M55,0)))</f>
        <v>20009.772993663591</v>
      </c>
      <c r="O24" s="66">
        <f ca="1">IF(O$4&lt;Assumptions!$B115,Assumptions!$B15,MAX(Assumptions!$B13,O98*IF(Assumptions!$B14=1,N55,0)))</f>
        <v>23904.501943829422</v>
      </c>
      <c r="P24" s="66">
        <f ca="1">IF(P$4&lt;Assumptions!$B115,Assumptions!$B15,MAX(Assumptions!$B13,P98*IF(Assumptions!$B14=1,O55,0)))</f>
        <v>26587.675008960563</v>
      </c>
      <c r="Q24" s="66">
        <f ca="1">IF(Q$4&lt;Assumptions!$B115,Assumptions!$B15,MAX(Assumptions!$B13,Q98*IF(Assumptions!$B14=1,P55,0)))</f>
        <v>43671.563021575952</v>
      </c>
      <c r="R24" s="66">
        <f ca="1">IF(R$4&lt;Assumptions!$B115,Assumptions!$B15,MAX(Assumptions!$B13,R98*IF(Assumptions!$B14=1,Q55,0)))</f>
        <v>68284.055539735331</v>
      </c>
      <c r="S24" s="66">
        <f ca="1">IF(S$4&lt;Assumptions!$B115,Assumptions!$B15,MAX(Assumptions!$B13,S98*IF(Assumptions!$B14=1,R55,0)))</f>
        <v>90725.662340825889</v>
      </c>
    </row>
    <row r="25" spans="1:19" x14ac:dyDescent="0.2">
      <c r="A25" s="22" t="s">
        <v>1871</v>
      </c>
      <c r="B25" s="8"/>
      <c r="C25" s="8"/>
      <c r="D25" s="42"/>
      <c r="E25" s="67">
        <f t="shared" ref="E25:S25" ca="1" si="3">MAX(0,E21-E24)</f>
        <v>34219.830428148409</v>
      </c>
      <c r="F25" s="67">
        <f t="shared" ca="1" si="3"/>
        <v>65756.015562410685</v>
      </c>
      <c r="G25" s="67">
        <f t="shared" ca="1" si="3"/>
        <v>38770.9903432266</v>
      </c>
      <c r="H25" s="67">
        <f t="shared" ca="1" si="3"/>
        <v>38064.790900557411</v>
      </c>
      <c r="I25" s="67">
        <f t="shared" ca="1" si="3"/>
        <v>63451.117252440585</v>
      </c>
      <c r="J25" s="67">
        <f t="shared" ca="1" si="3"/>
        <v>113537.00073315049</v>
      </c>
      <c r="K25" s="67">
        <f t="shared" ca="1" si="3"/>
        <v>166383.49600485928</v>
      </c>
      <c r="L25" s="67">
        <f t="shared" ca="1" si="3"/>
        <v>242957.88899220474</v>
      </c>
      <c r="M25" s="67">
        <f t="shared" ca="1" si="3"/>
        <v>372451.69921938347</v>
      </c>
      <c r="N25" s="67">
        <f t="shared" ca="1" si="3"/>
        <v>466240.31872020738</v>
      </c>
      <c r="O25" s="67">
        <f t="shared" ca="1" si="3"/>
        <v>552737.02466136438</v>
      </c>
      <c r="P25" s="67">
        <f t="shared" ca="1" si="3"/>
        <v>655054.89515675977</v>
      </c>
      <c r="Q25" s="67">
        <f t="shared" ca="1" si="3"/>
        <v>820490.6391124652</v>
      </c>
      <c r="R25" s="67">
        <f t="shared" ca="1" si="3"/>
        <v>1075042.077678076</v>
      </c>
      <c r="S25" s="67">
        <f t="shared" ca="1" si="3"/>
        <v>1377126.2623362439</v>
      </c>
    </row>
    <row r="26" spans="1:19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18" t="s">
        <v>1872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x14ac:dyDescent="0.2">
      <c r="A28" s="22" t="s">
        <v>1500</v>
      </c>
      <c r="B28" s="8"/>
      <c r="C28" s="8"/>
      <c r="D28" s="92"/>
      <c r="E28" s="92">
        <f>IFERROR(Starlink!D160,0)</f>
        <v>0.46904363917801295</v>
      </c>
      <c r="F28" s="92">
        <f ca="1">IFERROR(Starlink!E160,0)</f>
        <v>0.40627114299883704</v>
      </c>
      <c r="G28" s="92">
        <f ca="1">IFERROR(Starlink!F160,0)</f>
        <v>1.7114632715099836</v>
      </c>
      <c r="H28" s="92">
        <f ca="1">IFERROR(Starlink!G160,0)</f>
        <v>1.2166599873867274</v>
      </c>
      <c r="I28" s="92">
        <f ca="1">IFERROR(Starlink!H160,0)</f>
        <v>0.58172936754812798</v>
      </c>
      <c r="J28" s="92">
        <f ca="1">IFERROR(Starlink!I160,0)</f>
        <v>0.43785443777491401</v>
      </c>
      <c r="K28" s="92">
        <f ca="1">IFERROR(Starlink!J160,0)</f>
        <v>8.6904863580247772E-3</v>
      </c>
      <c r="L28" s="92">
        <f ca="1">IFERROR(Starlink!K160,0)</f>
        <v>-8.0487062674283377E-2</v>
      </c>
      <c r="M28" s="92">
        <f ca="1">IFERROR(Starlink!L160,0)</f>
        <v>-0.12259007804679428</v>
      </c>
      <c r="N28" s="92">
        <f ca="1">IFERROR(Starlink!M160,0)</f>
        <v>-0.14432797627370397</v>
      </c>
      <c r="O28" s="92">
        <f ca="1">IFERROR(Starlink!N160,0)</f>
        <v>-1.2847449308497173E-2</v>
      </c>
      <c r="P28" s="92">
        <f ca="1">IFERROR(Starlink!O160,0)</f>
        <v>-1.5657769254631051E-2</v>
      </c>
      <c r="Q28" s="92">
        <f ca="1">IFERROR(Starlink!P160,0)</f>
        <v>-1.6521758565313224E-2</v>
      </c>
      <c r="R28" s="92">
        <f ca="1">IFERROR(Starlink!Q160,0)</f>
        <v>-1.1969409473280616E-2</v>
      </c>
      <c r="S28" s="92">
        <f ca="1">IFERROR(Starlink!R160,0)</f>
        <v>-2.8066851211143045E-3</v>
      </c>
    </row>
    <row r="29" spans="1:19" x14ac:dyDescent="0.2">
      <c r="A29" s="22" t="s">
        <v>1501</v>
      </c>
      <c r="B29" s="8"/>
      <c r="C29" s="8"/>
      <c r="D29" s="92"/>
      <c r="E29" s="92">
        <f ca="1">IFERROR('Customer Launch'!D116,0)</f>
        <v>0</v>
      </c>
      <c r="F29" s="92">
        <f ca="1">IFERROR('Customer Launch'!E116,0)</f>
        <v>0</v>
      </c>
      <c r="G29" s="92">
        <f ca="1">IFERROR('Customer Launch'!F116,0)</f>
        <v>0</v>
      </c>
      <c r="H29" s="92">
        <f ca="1">IFERROR('Customer Launch'!G116,0)</f>
        <v>0</v>
      </c>
      <c r="I29" s="92">
        <f ca="1">IFERROR('Customer Launch'!H116,0)</f>
        <v>0</v>
      </c>
      <c r="J29" s="92">
        <f ca="1">IFERROR('Customer Launch'!I116,0)</f>
        <v>0</v>
      </c>
      <c r="K29" s="92">
        <f ca="1">IFERROR('Customer Launch'!J116,0)</f>
        <v>0</v>
      </c>
      <c r="L29" s="92">
        <f ca="1">IFERROR('Customer Launch'!K116,0)</f>
        <v>1.6149785365470763</v>
      </c>
      <c r="M29" s="92">
        <f ca="1">IFERROR('Customer Launch'!L116,0)</f>
        <v>1.534376652394057</v>
      </c>
      <c r="N29" s="92">
        <f ca="1">IFERROR('Customer Launch'!M116,0)</f>
        <v>1.3329306442564384</v>
      </c>
      <c r="O29" s="92">
        <f ca="1">IFERROR('Customer Launch'!N116,0)</f>
        <v>0.95669804309004647</v>
      </c>
      <c r="P29" s="92">
        <f ca="1">IFERROR('Customer Launch'!O116,0)</f>
        <v>0.791867243702014</v>
      </c>
      <c r="Q29" s="92">
        <f ca="1">IFERROR('Customer Launch'!P116,0)</f>
        <v>0.55205362081796305</v>
      </c>
      <c r="R29" s="92">
        <f ca="1">IFERROR('Customer Launch'!Q116,0)</f>
        <v>0.42205234191811308</v>
      </c>
      <c r="S29" s="92">
        <f ca="1">IFERROR('Customer Launch'!R116,0)</f>
        <v>0.22395019223821155</v>
      </c>
    </row>
    <row r="30" spans="1:19" x14ac:dyDescent="0.2">
      <c r="A30" s="22" t="s">
        <v>1502</v>
      </c>
      <c r="B30" s="8"/>
      <c r="C30" s="8"/>
      <c r="D30" s="92"/>
      <c r="E30" s="92">
        <f ca="1">IFERROR('AI - Compute'!D16,0)</f>
        <v>0</v>
      </c>
      <c r="F30" s="92">
        <f ca="1">IFERROR('AI - Compute'!E16,0)</f>
        <v>0</v>
      </c>
      <c r="G30" s="92">
        <f ca="1">IFERROR('AI - Compute'!F16,0)</f>
        <v>8.452802954997304E-3</v>
      </c>
      <c r="H30" s="92">
        <f ca="1">IFERROR('AI - Compute'!G16,0)</f>
        <v>9.7025855542499442E-2</v>
      </c>
      <c r="I30" s="92">
        <f ca="1">IFERROR('AI - Compute'!H16,0)</f>
        <v>0.1234439273640872</v>
      </c>
      <c r="J30" s="92">
        <f ca="1">IFERROR('AI - Compute'!I16,0)</f>
        <v>0.22268286499335674</v>
      </c>
      <c r="K30" s="92">
        <f ca="1">IFERROR('AI - Compute'!J16,0)</f>
        <v>0.33817895807749676</v>
      </c>
      <c r="L30" s="92">
        <f ca="1">IFERROR('AI - Compute'!K16,0)</f>
        <v>0.37107396542289356</v>
      </c>
      <c r="M30" s="92">
        <f ca="1">IFERROR('AI - Compute'!L16,0)</f>
        <v>0.37947063955806687</v>
      </c>
      <c r="N30" s="92">
        <f ca="1">IFERROR('AI - Compute'!M16,0)</f>
        <v>0.40397574614878917</v>
      </c>
      <c r="O30" s="92">
        <f ca="1">IFERROR('AI - Compute'!N16,0)</f>
        <v>0.46291720657652602</v>
      </c>
      <c r="P30" s="92">
        <f ca="1">IFERROR('AI - Compute'!O16,0)</f>
        <v>0.54560493215878891</v>
      </c>
      <c r="Q30" s="92">
        <f ca="1">IFERROR('AI - Compute'!P16,0)</f>
        <v>0.61672941994825792</v>
      </c>
      <c r="R30" s="92">
        <f ca="1">IFERROR('AI - Compute'!Q16,0)</f>
        <v>0.67005163377429233</v>
      </c>
      <c r="S30" s="92">
        <f ca="1">IFERROR('AI - Compute'!R16,0)</f>
        <v>0.73800107788706348</v>
      </c>
    </row>
    <row r="31" spans="1:19" x14ac:dyDescent="0.2">
      <c r="A31" s="22" t="s">
        <v>1503</v>
      </c>
      <c r="B31" s="8"/>
      <c r="C31" s="8"/>
      <c r="D31" s="44"/>
      <c r="E31" s="59">
        <f>EXP(MIN(Assumptions!$B$17*E28,700))</f>
        <v>4.0842206123323157</v>
      </c>
      <c r="F31" s="59">
        <f ca="1">EXP(MIN(Assumptions!$B$17*F28,700))</f>
        <v>3.3831709784271498</v>
      </c>
      <c r="G31" s="59">
        <f ca="1">EXP(MIN(Assumptions!$B$17*G28,700))</f>
        <v>169.76070275086235</v>
      </c>
      <c r="H31" s="59">
        <f ca="1">EXP(MIN(Assumptions!$B$17*H28,700))</f>
        <v>38.473895107560821</v>
      </c>
      <c r="I31" s="59">
        <f ca="1">EXP(MIN(Assumptions!$B$17*I28,700))</f>
        <v>5.7269786339353201</v>
      </c>
      <c r="J31" s="59">
        <f ca="1">EXP(MIN(Assumptions!$B$17*J28,700))</f>
        <v>3.7194035273725854</v>
      </c>
      <c r="K31" s="59">
        <f ca="1">EXP(MIN(Assumptions!$B$17*K28,700))</f>
        <v>1.0264142924678203</v>
      </c>
      <c r="L31" s="59">
        <f ca="1">EXP(MIN(Assumptions!$B$17*L28,700))</f>
        <v>0.78547928920160581</v>
      </c>
      <c r="M31" s="59">
        <f ca="1">EXP(MIN(Assumptions!$B$17*M28,700))</f>
        <v>0.69227622485858253</v>
      </c>
      <c r="N31" s="59">
        <f ca="1">EXP(MIN(Assumptions!$B$17*N28,700))</f>
        <v>0.64857091502041608</v>
      </c>
      <c r="O31" s="59">
        <f ca="1">EXP(MIN(Assumptions!$B$17*O28,700))</f>
        <v>0.96219095708607505</v>
      </c>
      <c r="P31" s="59">
        <f ca="1">EXP(MIN(Assumptions!$B$17*P28,700))</f>
        <v>0.95411286465633915</v>
      </c>
      <c r="Q31" s="59">
        <f ca="1">EXP(MIN(Assumptions!$B$17*Q28,700))</f>
        <v>0.95164303694745944</v>
      </c>
      <c r="R31" s="59">
        <f ca="1">EXP(MIN(Assumptions!$B$17*R28,700))</f>
        <v>0.96472882410937577</v>
      </c>
      <c r="S31" s="59">
        <f ca="1">EXP(MIN(Assumptions!$B$17*S28,700))</f>
        <v>0.99161529401865656</v>
      </c>
    </row>
    <row r="32" spans="1:19" x14ac:dyDescent="0.2">
      <c r="A32" s="22" t="s">
        <v>1504</v>
      </c>
      <c r="B32" s="8"/>
      <c r="C32" s="8"/>
      <c r="D32" s="44"/>
      <c r="E32" s="59">
        <f ca="1">EXP(MIN(Assumptions!$B$17*E29,700))</f>
        <v>1</v>
      </c>
      <c r="F32" s="59">
        <f ca="1">EXP(MIN(Assumptions!$B$17*F29,700))</f>
        <v>1</v>
      </c>
      <c r="G32" s="59">
        <f ca="1">EXP(MIN(Assumptions!$B$17*G29,700))</f>
        <v>1</v>
      </c>
      <c r="H32" s="59">
        <f ca="1">EXP(MIN(Assumptions!$B$17*H29,700))</f>
        <v>1</v>
      </c>
      <c r="I32" s="59">
        <f ca="1">EXP(MIN(Assumptions!$B$17*I29,700))</f>
        <v>1</v>
      </c>
      <c r="J32" s="59">
        <f ca="1">EXP(MIN(Assumptions!$B$17*J29,700))</f>
        <v>1</v>
      </c>
      <c r="K32" s="59">
        <f ca="1">EXP(MIN(Assumptions!$B$17*K29,700))</f>
        <v>1</v>
      </c>
      <c r="L32" s="59">
        <f ca="1">EXP(MIN(Assumptions!$B$17*L29,700))</f>
        <v>127.09509803129539</v>
      </c>
      <c r="M32" s="59">
        <f ca="1">EXP(MIN(Assumptions!$B$17*M29,700))</f>
        <v>99.796185104617123</v>
      </c>
      <c r="N32" s="59">
        <f ca="1">EXP(MIN(Assumptions!$B$17*N29,700))</f>
        <v>54.532231622186181</v>
      </c>
      <c r="O32" s="59">
        <f ca="1">EXP(MIN(Assumptions!$B$17*O29,700))</f>
        <v>17.638678437625167</v>
      </c>
      <c r="P32" s="59">
        <f ca="1">EXP(MIN(Assumptions!$B$17*P29,700))</f>
        <v>10.757484351887509</v>
      </c>
      <c r="Q32" s="59">
        <f ca="1">EXP(MIN(Assumptions!$B$17*Q29,700))</f>
        <v>5.2391583355962767</v>
      </c>
      <c r="R32" s="59">
        <f ca="1">EXP(MIN(Assumptions!$B$17*R29,700))</f>
        <v>3.5471945581539499</v>
      </c>
      <c r="S32" s="59">
        <f ca="1">EXP(MIN(Assumptions!$B$17*S29,700))</f>
        <v>1.9578571350554714</v>
      </c>
    </row>
    <row r="33" spans="1:34" x14ac:dyDescent="0.2">
      <c r="A33" s="22" t="s">
        <v>1505</v>
      </c>
      <c r="B33" s="8"/>
      <c r="C33" s="8"/>
      <c r="D33" s="44"/>
      <c r="E33" s="59">
        <f ca="1">EXP(MIN(Assumptions!$B$17*E30,700))</f>
        <v>1</v>
      </c>
      <c r="F33" s="59">
        <f ca="1">EXP(MIN(Assumptions!$B$17*F30,700))</f>
        <v>1</v>
      </c>
      <c r="G33" s="59">
        <f ca="1">EXP(MIN(Assumptions!$B$17*G30,700))</f>
        <v>1.0256826684153117</v>
      </c>
      <c r="H33" s="59">
        <f ca="1">EXP(MIN(Assumptions!$B$17*H30,700))</f>
        <v>1.337868353861688</v>
      </c>
      <c r="I33" s="59">
        <f ca="1">EXP(MIN(Assumptions!$B$17*I30,700))</f>
        <v>1.4482150267744778</v>
      </c>
      <c r="J33" s="59">
        <f ca="1">EXP(MIN(Assumptions!$B$17*J30,700))</f>
        <v>1.9504275305490339</v>
      </c>
      <c r="K33" s="59">
        <f ca="1">EXP(MIN(Assumptions!$B$17*K30,700))</f>
        <v>2.7580857609610425</v>
      </c>
      <c r="L33" s="59">
        <f ca="1">EXP(MIN(Assumptions!$B$17*L30,700))</f>
        <v>3.0441505486063258</v>
      </c>
      <c r="M33" s="59">
        <f ca="1">EXP(MIN(Assumptions!$B$17*M30,700))</f>
        <v>3.1218067435074386</v>
      </c>
      <c r="N33" s="59">
        <f ca="1">EXP(MIN(Assumptions!$B$17*N30,700))</f>
        <v>3.3599538489403709</v>
      </c>
      <c r="O33" s="59">
        <f ca="1">EXP(MIN(Assumptions!$B$17*O30,700))</f>
        <v>4.00984112057606</v>
      </c>
      <c r="P33" s="59">
        <f ca="1">EXP(MIN(Assumptions!$B$17*P30,700))</f>
        <v>5.1387753713376512</v>
      </c>
      <c r="Q33" s="59">
        <f ca="1">EXP(MIN(Assumptions!$B$17*Q30,700))</f>
        <v>6.3610169339466474</v>
      </c>
      <c r="R33" s="59">
        <f ca="1">EXP(MIN(Assumptions!$B$17*R30,700))</f>
        <v>7.4644735145929513</v>
      </c>
      <c r="S33" s="59">
        <f ca="1">EXP(MIN(Assumptions!$B$17*S30,700))</f>
        <v>9.1522818770060894</v>
      </c>
    </row>
    <row r="34" spans="1:34" x14ac:dyDescent="0.2">
      <c r="A34" s="22" t="s">
        <v>669</v>
      </c>
      <c r="B34" s="8"/>
      <c r="C34" s="8"/>
      <c r="D34" s="44"/>
      <c r="E34" s="44">
        <f t="shared" ref="E34:S34" ca="1" si="4">E31+E32+E33</f>
        <v>6.0842206123323157</v>
      </c>
      <c r="F34" s="44">
        <f t="shared" ca="1" si="4"/>
        <v>5.3831709784271498</v>
      </c>
      <c r="G34" s="44">
        <f t="shared" ca="1" si="4"/>
        <v>171.78638541927765</v>
      </c>
      <c r="H34" s="44">
        <f t="shared" ca="1" si="4"/>
        <v>40.811763461422508</v>
      </c>
      <c r="I34" s="44">
        <f t="shared" ca="1" si="4"/>
        <v>8.1751936607097981</v>
      </c>
      <c r="J34" s="44">
        <f t="shared" ca="1" si="4"/>
        <v>6.6698310579216198</v>
      </c>
      <c r="K34" s="44">
        <f t="shared" ca="1" si="4"/>
        <v>4.7845000534288626</v>
      </c>
      <c r="L34" s="44">
        <f t="shared" ca="1" si="4"/>
        <v>130.92472786910332</v>
      </c>
      <c r="M34" s="44">
        <f t="shared" ca="1" si="4"/>
        <v>103.61026807298315</v>
      </c>
      <c r="N34" s="44">
        <f t="shared" ca="1" si="4"/>
        <v>58.540756386146967</v>
      </c>
      <c r="O34" s="44">
        <f t="shared" ca="1" si="4"/>
        <v>22.610710515287302</v>
      </c>
      <c r="P34" s="44">
        <f t="shared" ca="1" si="4"/>
        <v>16.850372587881502</v>
      </c>
      <c r="Q34" s="44">
        <f t="shared" ca="1" si="4"/>
        <v>12.551818306490382</v>
      </c>
      <c r="R34" s="44">
        <f t="shared" ca="1" si="4"/>
        <v>11.976396896856276</v>
      </c>
      <c r="S34" s="44">
        <f t="shared" ca="1" si="4"/>
        <v>12.101754306080217</v>
      </c>
    </row>
    <row r="35" spans="1:34" s="4" customFormat="1" x14ac:dyDescent="0.2">
      <c r="A35" s="199" t="s">
        <v>1873</v>
      </c>
      <c r="B35" s="196"/>
      <c r="C35" s="196"/>
      <c r="D35" s="95"/>
      <c r="E35" s="95">
        <f ca="1">Assumptions!$B$473 + (1-3*Assumptions!$B$473) * IFERROR(E31/E34,0)</f>
        <v>0.62058869848436926</v>
      </c>
      <c r="F35" s="95">
        <f ca="1">Assumptions!$B$473 + (1-3*Assumptions!$B$473) * IFERROR(F31/F34,0)</f>
        <v>0.58420100219504745</v>
      </c>
      <c r="G35" s="95">
        <f ca="1">Assumptions!$B$473 + (1-3*Assumptions!$B$473) * IFERROR(G31/G34,0)</f>
        <v>0.88997691077817054</v>
      </c>
      <c r="H35" s="95">
        <f ca="1">Assumptions!$B$473 + (1-3*Assumptions!$B$473) * IFERROR(H31/H34,0)</f>
        <v>0.85130844804927797</v>
      </c>
      <c r="I35" s="95">
        <f ca="1">Assumptions!$B$473 + (1-3*Assumptions!$B$473) * IFERROR(I31/I34,0)</f>
        <v>0.64545156247985103</v>
      </c>
      <c r="J35" s="95">
        <f ca="1">Assumptions!$B$473 + (1-3*Assumptions!$B$473) * IFERROR(J31/J34,0)</f>
        <v>0.52399896201446639</v>
      </c>
      <c r="K35" s="95">
        <f ca="1">Assumptions!$B$473 + (1-3*Assumptions!$B$473) * IFERROR(K31/K34,0)</f>
        <v>0.2323496998338197</v>
      </c>
      <c r="L35" s="95">
        <f ca="1">Assumptions!$B$473 + (1-3*Assumptions!$B$473) * IFERROR(L31/L34,0)</f>
        <v>5.5099551526193585E-2</v>
      </c>
      <c r="M35" s="95">
        <f ca="1">Assumptions!$B$473 + (1-3*Assumptions!$B$473) * IFERROR(M31/M34,0)</f>
        <v>5.5679309609693334E-2</v>
      </c>
      <c r="N35" s="95">
        <f ca="1">Assumptions!$B$473 + (1-3*Assumptions!$B$473) * IFERROR(N31/N34,0)</f>
        <v>5.9417119145693337E-2</v>
      </c>
      <c r="O35" s="95">
        <f ca="1">Assumptions!$B$473 + (1-3*Assumptions!$B$473) * IFERROR(O31/O34,0)</f>
        <v>8.6171455690001425E-2</v>
      </c>
      <c r="P35" s="95">
        <f ca="1">Assumptions!$B$473 + (1-3*Assumptions!$B$473) * IFERROR(P31/P34,0)</f>
        <v>9.8129258313323142E-2</v>
      </c>
      <c r="Q35" s="95">
        <f ca="1">Assumptions!$B$473 + (1-3*Assumptions!$B$473) * IFERROR(Q31/Q34,0)</f>
        <v>0.11444457381820693</v>
      </c>
      <c r="R35" s="95">
        <f ca="1">Assumptions!$B$473 + (1-3*Assumptions!$B$473) * IFERROR(R31/R34,0)</f>
        <v>0.11846963302528986</v>
      </c>
      <c r="S35" s="95">
        <f ca="1">Assumptions!$B$473 + (1-3*Assumptions!$B$473) * IFERROR(S31/S34,0)</f>
        <v>0.11964882764909367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s="4" customFormat="1" x14ac:dyDescent="0.2">
      <c r="A36" s="199" t="s">
        <v>1874</v>
      </c>
      <c r="B36" s="196"/>
      <c r="C36" s="196"/>
      <c r="D36" s="95"/>
      <c r="E36" s="95">
        <f ca="1">Assumptions!$B$473 + (1-3*Assumptions!$B$473) * IFERROR(E32/E34,0)</f>
        <v>0.18970565075781537</v>
      </c>
      <c r="F36" s="95">
        <f ca="1">Assumptions!$B$473 + (1-3*Assumptions!$B$473) * IFERROR(F32/F34,0)</f>
        <v>0.20789949890247628</v>
      </c>
      <c r="G36" s="95">
        <f ca="1">Assumptions!$B$473 + (1-3*Assumptions!$B$473) * IFERROR(G32/G34,0)</f>
        <v>5.4948005617123923E-2</v>
      </c>
      <c r="H36" s="95">
        <f ca="1">Assumptions!$B$473 + (1-3*Assumptions!$B$473) * IFERROR(H32/H34,0)</f>
        <v>7.0827328395242375E-2</v>
      </c>
      <c r="I36" s="95">
        <f ca="1">Assumptions!$B$473 + (1-3*Assumptions!$B$473) * IFERROR(I32/I34,0)</f>
        <v>0.15397307211022082</v>
      </c>
      <c r="J36" s="95">
        <f ca="1">Assumptions!$B$473 + (1-3*Assumptions!$B$473) * IFERROR(J32/J34,0)</f>
        <v>0.17743950972948147</v>
      </c>
      <c r="K36" s="95">
        <f ca="1">Assumptions!$B$473 + (1-3*Assumptions!$B$473) * IFERROR(K32/K34,0)</f>
        <v>0.22765701546828043</v>
      </c>
      <c r="L36" s="95">
        <f ca="1">Assumptions!$B$473 + (1-3*Assumptions!$B$473) * IFERROR(L32/L34,0)</f>
        <v>0.87513697056990469</v>
      </c>
      <c r="M36" s="95">
        <f ca="1">Assumptions!$B$473 + (1-3*Assumptions!$B$473) * IFERROR(M32/M34,0)</f>
        <v>0.86870994947308244</v>
      </c>
      <c r="N36" s="95">
        <f ca="1">Assumptions!$B$473 + (1-3*Assumptions!$B$473) * IFERROR(N32/N34,0)</f>
        <v>0.84179702723873662</v>
      </c>
      <c r="O36" s="95">
        <f ca="1">Assumptions!$B$473 + (1-3*Assumptions!$B$473) * IFERROR(O32/O34,0)</f>
        <v>0.71308737453626569</v>
      </c>
      <c r="P36" s="95">
        <f ca="1">Assumptions!$B$473 + (1-3*Assumptions!$B$473) * IFERROR(P32/P34,0)</f>
        <v>0.59265041626916259</v>
      </c>
      <c r="Q36" s="95">
        <f ca="1">Assumptions!$B$473 + (1-3*Assumptions!$B$473) * IFERROR(Q32/Q34,0)</f>
        <v>0.40479198921753823</v>
      </c>
      <c r="R36" s="95">
        <f ca="1">Assumptions!$B$473 + (1-3*Assumptions!$B$473) * IFERROR(R32/R34,0)</f>
        <v>0.30175479740674804</v>
      </c>
      <c r="S36" s="95">
        <f ca="1">Assumptions!$B$473 + (1-3*Assumptions!$B$473) * IFERROR(S32/S34,0)</f>
        <v>0.1875154810374085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4" customFormat="1" x14ac:dyDescent="0.2">
      <c r="A37" s="199" t="s">
        <v>1875</v>
      </c>
      <c r="B37" s="196"/>
      <c r="C37" s="196"/>
      <c r="D37" s="95"/>
      <c r="E37" s="95">
        <f ca="1">Assumptions!$B$473 + (1-3*Assumptions!$B$473) * IFERROR(E33/E34,0)</f>
        <v>0.18970565075781537</v>
      </c>
      <c r="F37" s="95">
        <f ca="1">Assumptions!$B$473 + (1-3*Assumptions!$B$473) * IFERROR(F33/F34,0)</f>
        <v>0.20789949890247628</v>
      </c>
      <c r="G37" s="95">
        <f ca="1">Assumptions!$B$473 + (1-3*Assumptions!$B$473) * IFERROR(G33/G34,0)</f>
        <v>5.5075083604705616E-2</v>
      </c>
      <c r="H37" s="95">
        <f ca="1">Assumptions!$B$473 + (1-3*Assumptions!$B$473) * IFERROR(H33/H34,0)</f>
        <v>7.78642235554797E-2</v>
      </c>
      <c r="I37" s="95">
        <f ca="1">Assumptions!$B$473 + (1-3*Assumptions!$B$473) * IFERROR(I33/I34,0)</f>
        <v>0.20057536540992815</v>
      </c>
      <c r="J37" s="95">
        <f ca="1">Assumptions!$B$473 + (1-3*Assumptions!$B$473) * IFERROR(J33/J34,0)</f>
        <v>0.29856152825605214</v>
      </c>
      <c r="K37" s="95">
        <f ca="1">Assumptions!$B$473 + (1-3*Assumptions!$B$473) * IFERROR(K33/K34,0)</f>
        <v>0.53999328469789998</v>
      </c>
      <c r="L37" s="95">
        <f ca="1">Assumptions!$B$473 + (1-3*Assumptions!$B$473) * IFERROR(L33/L34,0)</f>
        <v>6.9763477903901777E-2</v>
      </c>
      <c r="M37" s="95">
        <f ca="1">Assumptions!$B$473 + (1-3*Assumptions!$B$473) * IFERROR(M33/M34,0)</f>
        <v>7.5610740917224251E-2</v>
      </c>
      <c r="N37" s="95">
        <f ca="1">Assumptions!$B$473 + (1-3*Assumptions!$B$473) * IFERROR(N33/N34,0)</f>
        <v>9.8785853615570074E-2</v>
      </c>
      <c r="O37" s="95">
        <f ca="1">Assumptions!$B$473 + (1-3*Assumptions!$B$473) * IFERROR(O33/O34,0)</f>
        <v>0.20074116977373291</v>
      </c>
      <c r="P37" s="95">
        <f ca="1">Assumptions!$B$473 + (1-3*Assumptions!$B$473) * IFERROR(P33/P34,0)</f>
        <v>0.30922032541751415</v>
      </c>
      <c r="Q37" s="95">
        <f ca="1">Assumptions!$B$473 + (1-3*Assumptions!$B$473) * IFERROR(Q33/Q34,0)</f>
        <v>0.48076343696425489</v>
      </c>
      <c r="R37" s="95">
        <f ca="1">Assumptions!$B$473 + (1-3*Assumptions!$B$473) * IFERROR(R33/R34,0)</f>
        <v>0.57977556956796228</v>
      </c>
      <c r="S37" s="95">
        <f ca="1">Assumptions!$B$473 + (1-3*Assumptions!$B$473) * IFERROR(S33/S34,0)</f>
        <v>0.69283569131349787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x14ac:dyDescent="0.2">
      <c r="A38" s="22" t="s">
        <v>670</v>
      </c>
      <c r="B38" s="8"/>
      <c r="C38" s="8"/>
      <c r="D38" s="44"/>
      <c r="E38" s="44">
        <f t="shared" ref="E38:S38" ca="1" si="5">E35+E36+E37</f>
        <v>1</v>
      </c>
      <c r="F38" s="44">
        <f t="shared" ca="1" si="5"/>
        <v>1</v>
      </c>
      <c r="G38" s="44">
        <f t="shared" ca="1" si="5"/>
        <v>1</v>
      </c>
      <c r="H38" s="44">
        <f t="shared" ca="1" si="5"/>
        <v>1</v>
      </c>
      <c r="I38" s="44">
        <f t="shared" ca="1" si="5"/>
        <v>1</v>
      </c>
      <c r="J38" s="44">
        <f t="shared" ca="1" si="5"/>
        <v>1</v>
      </c>
      <c r="K38" s="44">
        <f t="shared" ca="1" si="5"/>
        <v>1</v>
      </c>
      <c r="L38" s="44">
        <f t="shared" ca="1" si="5"/>
        <v>1</v>
      </c>
      <c r="M38" s="44">
        <f t="shared" ca="1" si="5"/>
        <v>1</v>
      </c>
      <c r="N38" s="44">
        <f t="shared" ca="1" si="5"/>
        <v>1</v>
      </c>
      <c r="O38" s="44">
        <f t="shared" ca="1" si="5"/>
        <v>1</v>
      </c>
      <c r="P38" s="44">
        <f t="shared" ca="1" si="5"/>
        <v>0.99999999999999978</v>
      </c>
      <c r="Q38" s="44">
        <f t="shared" ca="1" si="5"/>
        <v>1</v>
      </c>
      <c r="R38" s="44">
        <f t="shared" ca="1" si="5"/>
        <v>1.0000000000000002</v>
      </c>
      <c r="S38" s="44">
        <f t="shared" ca="1" si="5"/>
        <v>1</v>
      </c>
    </row>
    <row r="39" spans="1:34" x14ac:dyDescent="0.2">
      <c r="A39" s="22" t="s">
        <v>671</v>
      </c>
      <c r="B39" s="8"/>
      <c r="C39" s="8"/>
      <c r="D39" s="42"/>
      <c r="E39" s="67">
        <f ca="1">E127</f>
        <v>25727.691308577967</v>
      </c>
      <c r="F39" s="67">
        <f t="shared" ref="F39:AC39" ca="1" si="6">F127</f>
        <v>48421.835114502152</v>
      </c>
      <c r="G39" s="67">
        <f t="shared" ca="1" si="6"/>
        <v>35963.544731402966</v>
      </c>
      <c r="H39" s="67">
        <f t="shared" ca="1" si="6"/>
        <v>33987.006870262972</v>
      </c>
      <c r="I39" s="67">
        <f t="shared" ca="1" si="6"/>
        <v>47929.441363579383</v>
      </c>
      <c r="J39" s="67">
        <f t="shared" ca="1" si="6"/>
        <v>71941.235230396982</v>
      </c>
      <c r="K39" s="67">
        <f t="shared" ca="1" si="6"/>
        <v>48539.514477932687</v>
      </c>
      <c r="L39" s="67">
        <f t="shared" ca="1" si="6"/>
        <v>56781.091862109432</v>
      </c>
      <c r="M39" s="67">
        <f t="shared" ca="1" si="6"/>
        <v>79229.122156942118</v>
      </c>
      <c r="N39" s="67">
        <f t="shared" ca="1" si="6"/>
        <v>91052.018687956894</v>
      </c>
      <c r="O39" s="67">
        <f t="shared" ca="1" si="6"/>
        <v>123606.92843673532</v>
      </c>
      <c r="P39" s="67">
        <f t="shared" ca="1" si="6"/>
        <v>106796.37741109876</v>
      </c>
      <c r="Q39" s="67">
        <f t="shared" ca="1" si="6"/>
        <v>57814.378001057979</v>
      </c>
      <c r="R39" s="67">
        <f t="shared" ca="1" si="6"/>
        <v>39109.522664813128</v>
      </c>
      <c r="S39" s="67">
        <f t="shared" ca="1" si="6"/>
        <v>41495.900342813802</v>
      </c>
      <c r="T39" s="67">
        <f t="shared" si="6"/>
        <v>0</v>
      </c>
      <c r="U39" s="67">
        <f t="shared" si="6"/>
        <v>0</v>
      </c>
      <c r="V39" s="67">
        <f t="shared" si="6"/>
        <v>0</v>
      </c>
      <c r="W39" s="67">
        <f t="shared" si="6"/>
        <v>0</v>
      </c>
      <c r="X39" s="67">
        <f t="shared" si="6"/>
        <v>0</v>
      </c>
      <c r="Y39" s="67">
        <f t="shared" si="6"/>
        <v>0</v>
      </c>
      <c r="Z39" s="67">
        <f t="shared" si="6"/>
        <v>0</v>
      </c>
      <c r="AA39" s="67">
        <f t="shared" si="6"/>
        <v>0</v>
      </c>
      <c r="AB39" s="67">
        <f t="shared" si="6"/>
        <v>0</v>
      </c>
      <c r="AC39" s="67">
        <f t="shared" si="6"/>
        <v>0</v>
      </c>
    </row>
    <row r="40" spans="1:34" x14ac:dyDescent="0.2">
      <c r="A40" s="22" t="s">
        <v>672</v>
      </c>
      <c r="B40" s="8"/>
      <c r="C40" s="8"/>
      <c r="D40" s="42"/>
      <c r="E40" s="67">
        <f ca="1">E128</f>
        <v>900.78459459459452</v>
      </c>
      <c r="F40" s="67">
        <f t="shared" ref="F40:AC40" ca="1" si="7">F128</f>
        <v>705.63082080000004</v>
      </c>
      <c r="G40" s="67">
        <f t="shared" ca="1" si="7"/>
        <v>663.3193780332582</v>
      </c>
      <c r="H40" s="67">
        <f t="shared" ca="1" si="7"/>
        <v>1058.8826356645943</v>
      </c>
      <c r="I40" s="67">
        <f t="shared" ca="1" si="7"/>
        <v>1031.1811483056476</v>
      </c>
      <c r="J40" s="67">
        <f t="shared" ca="1" si="7"/>
        <v>1170.3649994371351</v>
      </c>
      <c r="K40" s="67">
        <f t="shared" ca="1" si="7"/>
        <v>1448.4218009248896</v>
      </c>
      <c r="L40" s="67">
        <f t="shared" ca="1" si="7"/>
        <v>1051.4935276377337</v>
      </c>
      <c r="M40" s="67">
        <f t="shared" ca="1" si="7"/>
        <v>1295.9413121030477</v>
      </c>
      <c r="N40" s="67">
        <f t="shared" ca="1" si="7"/>
        <v>945.83423715359845</v>
      </c>
      <c r="O40" s="67">
        <f t="shared" ca="1" si="7"/>
        <v>1546.8943403999017</v>
      </c>
      <c r="P40" s="67">
        <f t="shared" ca="1" si="7"/>
        <v>498.24482030575888</v>
      </c>
      <c r="Q40" s="67">
        <f t="shared" ca="1" si="7"/>
        <v>440.23351835832335</v>
      </c>
      <c r="R40" s="67">
        <f t="shared" ca="1" si="7"/>
        <v>652.6916144131917</v>
      </c>
      <c r="S40" s="67">
        <f t="shared" ca="1" si="7"/>
        <v>-25.603073890763596</v>
      </c>
      <c r="T40" s="67">
        <f t="shared" si="7"/>
        <v>0</v>
      </c>
      <c r="U40" s="67">
        <f t="shared" si="7"/>
        <v>0</v>
      </c>
      <c r="V40" s="67">
        <f t="shared" si="7"/>
        <v>0</v>
      </c>
      <c r="W40" s="67">
        <f t="shared" si="7"/>
        <v>0</v>
      </c>
      <c r="X40" s="67">
        <f t="shared" si="7"/>
        <v>0</v>
      </c>
      <c r="Y40" s="67">
        <f t="shared" si="7"/>
        <v>0</v>
      </c>
      <c r="Z40" s="67">
        <f t="shared" si="7"/>
        <v>0</v>
      </c>
      <c r="AA40" s="67">
        <f t="shared" si="7"/>
        <v>0</v>
      </c>
      <c r="AB40" s="67">
        <f t="shared" si="7"/>
        <v>0</v>
      </c>
      <c r="AC40" s="67">
        <f t="shared" si="7"/>
        <v>0</v>
      </c>
    </row>
    <row r="41" spans="1:34" x14ac:dyDescent="0.2">
      <c r="A41" s="22" t="s">
        <v>673</v>
      </c>
      <c r="B41" s="8"/>
      <c r="C41" s="8"/>
      <c r="D41" s="42"/>
      <c r="E41" s="67">
        <f t="shared" ref="E41:S41" ca="1" si="8">E88+E90</f>
        <v>7591.3545249758499</v>
      </c>
      <c r="F41" s="67">
        <f t="shared" ca="1" si="8"/>
        <v>16628.549627108536</v>
      </c>
      <c r="G41" s="67">
        <f t="shared" ca="1" si="8"/>
        <v>2144.1262337903754</v>
      </c>
      <c r="H41" s="67">
        <f t="shared" ca="1" si="8"/>
        <v>3018.901394629846</v>
      </c>
      <c r="I41" s="67">
        <f t="shared" ca="1" si="8"/>
        <v>14490.494740555554</v>
      </c>
      <c r="J41" s="67">
        <f t="shared" ca="1" si="8"/>
        <v>40425.40050331637</v>
      </c>
      <c r="K41" s="67">
        <f t="shared" ca="1" si="8"/>
        <v>85194.676986837905</v>
      </c>
      <c r="L41" s="67">
        <f t="shared" ca="1" si="8"/>
        <v>28662.605865571837</v>
      </c>
      <c r="M41" s="67">
        <f t="shared" ca="1" si="8"/>
        <v>50706.338974058395</v>
      </c>
      <c r="N41" s="67">
        <f t="shared" ca="1" si="8"/>
        <v>85239.900357208986</v>
      </c>
      <c r="O41" s="67">
        <f t="shared" ca="1" si="8"/>
        <v>125963.24586269185</v>
      </c>
      <c r="P41" s="67">
        <f t="shared" ca="1" si="8"/>
        <v>156322.22818552432</v>
      </c>
      <c r="Q41" s="67">
        <f t="shared" ca="1" si="8"/>
        <v>145966.10192919511</v>
      </c>
      <c r="R41" s="67">
        <f t="shared" ca="1" si="8"/>
        <v>188480.64899391955</v>
      </c>
      <c r="S41" s="67">
        <f t="shared" ca="1" si="8"/>
        <v>260278.29958339414</v>
      </c>
    </row>
    <row r="42" spans="1:34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34" x14ac:dyDescent="0.2">
      <c r="A43" s="22" t="s">
        <v>674</v>
      </c>
      <c r="B43" s="8"/>
      <c r="C43" s="8"/>
      <c r="D43" s="58"/>
      <c r="E43" s="66">
        <f ca="1">Starlink!E156+'Customer Launch'!E113+'AI - Compute'!E13</f>
        <v>38471.458011078183</v>
      </c>
      <c r="F43" s="66">
        <f ca="1">Starlink!F156+'Customer Launch'!F113+'AI - Compute'!F13</f>
        <v>48318.869114113484</v>
      </c>
      <c r="G43" s="66">
        <f ca="1">Starlink!G156+'Customer Launch'!G113+'AI - Compute'!G13</f>
        <v>45820.688539591516</v>
      </c>
      <c r="H43" s="66">
        <f ca="1">Starlink!H156+'Customer Launch'!H113+'AI - Compute'!H13</f>
        <v>49149.632827643865</v>
      </c>
      <c r="I43" s="66">
        <f ca="1">Starlink!I156+'Customer Launch'!I113+'AI - Compute'!I13</f>
        <v>86791.26199389172</v>
      </c>
      <c r="J43" s="66">
        <f ca="1">Starlink!J156+'Customer Launch'!J113+'AI - Compute'!J13</f>
        <v>153584.06760439964</v>
      </c>
      <c r="K43" s="66">
        <f ca="1">Starlink!K156+'Customer Launch'!K113+'AI - Compute'!K13</f>
        <v>164130.85859167093</v>
      </c>
      <c r="L43" s="66">
        <f ca="1">Starlink!L156+'Customer Launch'!L113+'AI - Compute'!L13</f>
        <v>141926.41748200028</v>
      </c>
      <c r="M43" s="66">
        <f ca="1">Starlink!M156+'Customer Launch'!M113+'AI - Compute'!M13</f>
        <v>186089.27239585959</v>
      </c>
      <c r="N43" s="66">
        <f ca="1">Starlink!N156+'Customer Launch'!N113+'AI - Compute'!N13</f>
        <v>246086.68261399114</v>
      </c>
      <c r="O43" s="66">
        <f ca="1">Starlink!O156+'Customer Launch'!O113+'AI - Compute'!O13</f>
        <v>346884.29886598914</v>
      </c>
      <c r="P43" s="66">
        <f ca="1">Starlink!P156+'Customer Launch'!P113+'AI - Compute'!P13</f>
        <v>404895.19252634048</v>
      </c>
      <c r="Q43" s="66">
        <f ca="1">Starlink!Q156+'Customer Launch'!Q113+'AI - Compute'!Q13</f>
        <v>411864.02379575226</v>
      </c>
      <c r="R43" s="66">
        <f ca="1">Starlink!R156+'Customer Launch'!R113+'AI - Compute'!R13</f>
        <v>497689.57857975853</v>
      </c>
      <c r="S43" s="66">
        <f ca="1">Starlink!S156+'Customer Launch'!S113+'AI - Compute'!S13</f>
        <v>645461.20787640184</v>
      </c>
    </row>
    <row r="44" spans="1:34" x14ac:dyDescent="0.2">
      <c r="A44" s="22" t="s">
        <v>675</v>
      </c>
      <c r="B44" s="8"/>
      <c r="C44" s="8"/>
      <c r="D44" s="42"/>
      <c r="E44" s="67">
        <f t="shared" ref="E44:S44" ca="1" si="9">MAX(0,E25-E43)</f>
        <v>0</v>
      </c>
      <c r="F44" s="67">
        <f t="shared" ca="1" si="9"/>
        <v>17437.146448297201</v>
      </c>
      <c r="G44" s="67">
        <f t="shared" ca="1" si="9"/>
        <v>0</v>
      </c>
      <c r="H44" s="67">
        <f t="shared" ca="1" si="9"/>
        <v>0</v>
      </c>
      <c r="I44" s="67">
        <f t="shared" ca="1" si="9"/>
        <v>0</v>
      </c>
      <c r="J44" s="67">
        <f t="shared" ca="1" si="9"/>
        <v>0</v>
      </c>
      <c r="K44" s="67">
        <f t="shared" ca="1" si="9"/>
        <v>2252.6374131883495</v>
      </c>
      <c r="L44" s="67">
        <f t="shared" ca="1" si="9"/>
        <v>101031.47151020446</v>
      </c>
      <c r="M44" s="67">
        <f t="shared" ca="1" si="9"/>
        <v>186362.42682352389</v>
      </c>
      <c r="N44" s="67">
        <f t="shared" ca="1" si="9"/>
        <v>220153.63610621623</v>
      </c>
      <c r="O44" s="67">
        <f t="shared" ca="1" si="9"/>
        <v>205852.72579537524</v>
      </c>
      <c r="P44" s="67">
        <f t="shared" ca="1" si="9"/>
        <v>250159.70263041928</v>
      </c>
      <c r="Q44" s="67">
        <f t="shared" ca="1" si="9"/>
        <v>408626.61531671294</v>
      </c>
      <c r="R44" s="67">
        <f t="shared" ca="1" si="9"/>
        <v>577352.49909831746</v>
      </c>
      <c r="S44" s="67">
        <f t="shared" ca="1" si="9"/>
        <v>731665.05445984204</v>
      </c>
      <c r="T44" t="s">
        <v>1897</v>
      </c>
    </row>
    <row r="45" spans="1:34" x14ac:dyDescent="0.2">
      <c r="A45" s="18" t="s">
        <v>676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34" x14ac:dyDescent="0.2">
      <c r="A46" s="20" t="s">
        <v>677</v>
      </c>
      <c r="B46" s="20"/>
      <c r="C46" s="20"/>
      <c r="D46" s="112"/>
      <c r="E46" s="124">
        <f ca="1">Starlink!E159+'Customer Launch'!E115+'AI - Compute'!E15</f>
        <v>41721739.651219949</v>
      </c>
      <c r="F46" s="124">
        <f ca="1">Starlink!F159+'Customer Launch'!F115+'AI - Compute'!F15</f>
        <v>54362171.453616835</v>
      </c>
      <c r="G46" s="124">
        <f ca="1">Starlink!G159+'Customer Launch'!G115+'AI - Compute'!G15</f>
        <v>71703525.606272161</v>
      </c>
      <c r="H46" s="124">
        <f ca="1">Starlink!H159+'Customer Launch'!H115+'AI - Compute'!H15</f>
        <v>101930311.68027732</v>
      </c>
      <c r="I46" s="124">
        <f ca="1">Starlink!I159+'Customer Launch'!I115+'AI - Compute'!I15</f>
        <v>121979495.8319148</v>
      </c>
      <c r="J46" s="124">
        <f ca="1">Starlink!J159+'Customer Launch'!J115+'AI - Compute'!J15</f>
        <v>201281837.71537021</v>
      </c>
      <c r="K46" s="124">
        <f ca="1">Starlink!K159+'Customer Launch'!K115+'AI - Compute'!K15</f>
        <v>165788669.21158293</v>
      </c>
      <c r="L46" s="124">
        <f ca="1">Starlink!L159+'Customer Launch'!L115+'AI - Compute'!L15</f>
        <v>198796846.26506218</v>
      </c>
      <c r="M46" s="124">
        <f ca="1">Starlink!M159+'Customer Launch'!M115+'AI - Compute'!M15</f>
        <v>260990122.26018822</v>
      </c>
      <c r="N46" s="124">
        <f ca="1">Starlink!N159+'Customer Launch'!N115+'AI - Compute'!N15</f>
        <v>312676797.23364413</v>
      </c>
      <c r="O46" s="124">
        <f ca="1">Starlink!O159+'Customer Launch'!O115+'AI - Compute'!O15</f>
        <v>394034336.61835659</v>
      </c>
      <c r="P46" s="124">
        <f ca="1">Starlink!P159+'Customer Launch'!P115+'AI - Compute'!P15</f>
        <v>371198300.16692901</v>
      </c>
      <c r="Q46" s="124">
        <f ca="1">Starlink!Q159+'Customer Launch'!Q115+'AI - Compute'!Q15</f>
        <v>305219806.57617784</v>
      </c>
      <c r="R46" s="124">
        <f ca="1">Starlink!R159+'Customer Launch'!R115+'AI - Compute'!R15</f>
        <v>193226697.19563371</v>
      </c>
      <c r="S46" s="124">
        <f ca="1">Starlink!S159+'Customer Launch'!S115+'AI - Compute'!S15</f>
        <v>78883255.87493515</v>
      </c>
    </row>
    <row r="47" spans="1:34" x14ac:dyDescent="0.2">
      <c r="A47" s="22" t="s">
        <v>678</v>
      </c>
      <c r="B47" s="8"/>
      <c r="C47" s="8"/>
      <c r="D47" s="58"/>
      <c r="E47" s="66">
        <f>'Lunar - Mars'!E114</f>
        <v>0</v>
      </c>
      <c r="F47" s="66">
        <f>'Lunar - Mars'!F114</f>
        <v>0</v>
      </c>
      <c r="G47" s="66">
        <f>'Lunar - Mars'!G114</f>
        <v>0</v>
      </c>
      <c r="H47" s="66">
        <f>'Lunar - Mars'!H114</f>
        <v>0</v>
      </c>
      <c r="I47" s="66">
        <f ca="1">'Lunar - Mars'!I114</f>
        <v>14446340.209962619</v>
      </c>
      <c r="J47" s="66">
        <f ca="1">'Lunar - Mars'!J114</f>
        <v>15432577.523116257</v>
      </c>
      <c r="K47" s="66">
        <f ca="1">'Lunar - Mars'!K114</f>
        <v>18518459.718332905</v>
      </c>
      <c r="L47" s="66">
        <f ca="1">'Lunar - Mars'!L114</f>
        <v>14112282.733921956</v>
      </c>
      <c r="M47" s="66">
        <f ca="1">'Lunar - Mars'!M114</f>
        <v>22632402.074894503</v>
      </c>
      <c r="N47" s="66">
        <f ca="1">'Lunar - Mars'!N114</f>
        <v>20944809.114862826</v>
      </c>
      <c r="O47" s="66">
        <f ca="1">'Lunar - Mars'!O114</f>
        <v>25051024.410892349</v>
      </c>
      <c r="P47" s="66">
        <f ca="1">'Lunar - Mars'!P114</f>
        <v>27896683.157999855</v>
      </c>
      <c r="Q47" s="66">
        <f ca="1">'Lunar - Mars'!Q114</f>
        <v>45875548.445094742</v>
      </c>
      <c r="R47" s="66">
        <f ca="1">'Lunar - Mars'!R114</f>
        <v>71814405.028013989</v>
      </c>
      <c r="S47" s="66">
        <f ca="1">'Lunar - Mars'!S114</f>
        <v>95531578.734730572</v>
      </c>
    </row>
    <row r="48" spans="1:34" x14ac:dyDescent="0.2">
      <c r="A48" s="22" t="s">
        <v>679</v>
      </c>
      <c r="B48" s="8"/>
      <c r="C48" s="8"/>
      <c r="D48" s="58">
        <f>MIN(IF(INDEX(Assumptions!$B:$B,MATCH("Max Starship launch capacity (kg/yr ceiling): 0 = off",Assumptions!$A:$A,0))=0,1E+30,INDEX(Assumptions!$B:$B,MATCH("Max Starship launch capacity (kg/yr ceiling): 0 = off",Assumptions!$A:$A,0))),MAX(0,'Vehicle Build'!D68-D47))</f>
        <v>5107200</v>
      </c>
      <c r="E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Build'!E68-E47))</f>
        <v>5675245.7142857146</v>
      </c>
      <c r="F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Build'!F68-F47))</f>
        <v>8463944.0858080592</v>
      </c>
      <c r="G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Build'!G68-G47))</f>
        <v>20795565.623956859</v>
      </c>
      <c r="H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Build'!H68-H47))</f>
        <v>60080413.873316675</v>
      </c>
      <c r="I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Build'!I68-I47))</f>
        <v>140989169.03331625</v>
      </c>
      <c r="J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Build'!J68-J47))</f>
        <v>288311714.65952319</v>
      </c>
      <c r="K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Build'!K68-K47))</f>
        <v>504193529.29681975</v>
      </c>
      <c r="L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Build'!L68-L47))</f>
        <v>529684052.04135519</v>
      </c>
      <c r="M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Build'!M68-M47))</f>
        <v>526086225.24301738</v>
      </c>
      <c r="N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Build'!N68-N47))</f>
        <v>520610399.64228225</v>
      </c>
      <c r="O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Build'!O68-O47))</f>
        <v>490643432.78183526</v>
      </c>
      <c r="P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Build'!P68-P47))</f>
        <v>435019697.47830856</v>
      </c>
      <c r="Q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Build'!Q68-Q47))</f>
        <v>353055875.44669163</v>
      </c>
      <c r="R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Build'!R68-R47))</f>
        <v>269977462.53284872</v>
      </c>
      <c r="S48" s="58">
        <f ca="1">MIN(IF(INDEX(Assumptions!$B:$B,MATCH("Max Starship launch capacity (kg/yr ceiling): 0 = off",Assumptions!$A:$A,0))=0,1E+30,INDEX(Assumptions!$B:$B,MATCH("Max Starship launch capacity (kg/yr ceiling): 0 = off",Assumptions!$A:$A,0))),MAX(0,'Vehicle Build'!S68-S47))</f>
        <v>188673233.98240533</v>
      </c>
      <c r="T48" s="58">
        <f>MIN(IF(INDEX(Assumptions!$B:$B,MATCH("Max Starship launch capacity (kg/yr ceiling): 0 = off",Assumptions!$A:$A,0))=0,1E+30,INDEX(Assumptions!$B:$B,MATCH("Max Starship launch capacity (kg/yr ceiling): 0 = off",Assumptions!$A:$A,0))),MAX(0,'Vehicle Build'!T68-T47))</f>
        <v>0</v>
      </c>
      <c r="U48" s="58">
        <f>MIN(IF(INDEX(Assumptions!$B:$B,MATCH("Max Starship launch capacity (kg/yr ceiling): 0 = off",Assumptions!$A:$A,0))=0,1E+30,INDEX(Assumptions!$B:$B,MATCH("Max Starship launch capacity (kg/yr ceiling): 0 = off",Assumptions!$A:$A,0))),MAX(0,'Vehicle Build'!U68-U47))</f>
        <v>0</v>
      </c>
      <c r="V48" s="58">
        <f>MIN(IF(INDEX(Assumptions!$B:$B,MATCH("Max Starship launch capacity (kg/yr ceiling): 0 = off",Assumptions!$A:$A,0))=0,1E+30,INDEX(Assumptions!$B:$B,MATCH("Max Starship launch capacity (kg/yr ceiling): 0 = off",Assumptions!$A:$A,0))),MAX(0,'Vehicle Build'!V68-V47))</f>
        <v>0</v>
      </c>
      <c r="W48" s="58">
        <f>MIN(IF(INDEX(Assumptions!$B:$B,MATCH("Max Starship launch capacity (kg/yr ceiling): 0 = off",Assumptions!$A:$A,0))=0,1E+30,INDEX(Assumptions!$B:$B,MATCH("Max Starship launch capacity (kg/yr ceiling): 0 = off",Assumptions!$A:$A,0))),MAX(0,'Vehicle Build'!W68-W47))</f>
        <v>0</v>
      </c>
      <c r="X48" s="58">
        <f>MIN(IF(INDEX(Assumptions!$B:$B,MATCH("Max Starship launch capacity (kg/yr ceiling): 0 = off",Assumptions!$A:$A,0))=0,1E+30,INDEX(Assumptions!$B:$B,MATCH("Max Starship launch capacity (kg/yr ceiling): 0 = off",Assumptions!$A:$A,0))),MAX(0,'Vehicle Build'!X68-X47))</f>
        <v>0</v>
      </c>
      <c r="Y48" s="58">
        <f>MIN(IF(INDEX(Assumptions!$B:$B,MATCH("Max Starship launch capacity (kg/yr ceiling): 0 = off",Assumptions!$A:$A,0))=0,1E+30,INDEX(Assumptions!$B:$B,MATCH("Max Starship launch capacity (kg/yr ceiling): 0 = off",Assumptions!$A:$A,0))),MAX(0,'Vehicle Build'!Y68-Y47))</f>
        <v>0</v>
      </c>
      <c r="Z48" s="58">
        <f>MIN(IF(INDEX(Assumptions!$B:$B,MATCH("Max Starship launch capacity (kg/yr ceiling): 0 = off",Assumptions!$A:$A,0))=0,1E+30,INDEX(Assumptions!$B:$B,MATCH("Max Starship launch capacity (kg/yr ceiling): 0 = off",Assumptions!$A:$A,0))),MAX(0,'Vehicle Build'!Z68-Z47))</f>
        <v>0</v>
      </c>
      <c r="AA48" s="58">
        <f>MIN(IF(INDEX(Assumptions!$B:$B,MATCH("Max Starship launch capacity (kg/yr ceiling): 0 = off",Assumptions!$A:$A,0))=0,1E+30,INDEX(Assumptions!$B:$B,MATCH("Max Starship launch capacity (kg/yr ceiling): 0 = off",Assumptions!$A:$A,0))),MAX(0,'Vehicle Build'!AA68-AA47))</f>
        <v>0</v>
      </c>
      <c r="AB48" s="58">
        <f>MIN(IF(INDEX(Assumptions!$B:$B,MATCH("Max Starship launch capacity (kg/yr ceiling): 0 = off",Assumptions!$A:$A,0))=0,1E+30,INDEX(Assumptions!$B:$B,MATCH("Max Starship launch capacity (kg/yr ceiling): 0 = off",Assumptions!$A:$A,0))),MAX(0,'Vehicle Build'!AB68-AB47))</f>
        <v>0</v>
      </c>
      <c r="AC48" s="58">
        <f>MIN(IF(INDEX(Assumptions!$B:$B,MATCH("Max Starship launch capacity (kg/yr ceiling): 0 = off",Assumptions!$A:$A,0))=0,1E+30,INDEX(Assumptions!$B:$B,MATCH("Max Starship launch capacity (kg/yr ceiling): 0 = off",Assumptions!$A:$A,0))),MAX(0,'Vehicle Build'!AC68-AC47))</f>
        <v>0</v>
      </c>
    </row>
    <row r="49" spans="1:29" x14ac:dyDescent="0.2">
      <c r="A49" s="22" t="s">
        <v>680</v>
      </c>
      <c r="B49" s="8"/>
      <c r="C49" s="8"/>
      <c r="D49" s="47"/>
      <c r="E49" s="47">
        <f t="shared" ref="E49:S49" ca="1" si="10">IF(E46&gt;E48,1,0)</f>
        <v>1</v>
      </c>
      <c r="F49" s="47">
        <f t="shared" ca="1" si="10"/>
        <v>1</v>
      </c>
      <c r="G49" s="47">
        <f t="shared" ca="1" si="10"/>
        <v>1</v>
      </c>
      <c r="H49" s="47">
        <f t="shared" ca="1" si="10"/>
        <v>1</v>
      </c>
      <c r="I49" s="47">
        <f t="shared" ca="1" si="10"/>
        <v>0</v>
      </c>
      <c r="J49" s="47">
        <f t="shared" ca="1" si="10"/>
        <v>0</v>
      </c>
      <c r="K49" s="47">
        <f t="shared" ca="1" si="10"/>
        <v>0</v>
      </c>
      <c r="L49" s="47">
        <f t="shared" ca="1" si="10"/>
        <v>0</v>
      </c>
      <c r="M49" s="47">
        <f t="shared" ca="1" si="10"/>
        <v>0</v>
      </c>
      <c r="N49" s="47">
        <f t="shared" ca="1" si="10"/>
        <v>0</v>
      </c>
      <c r="O49" s="47">
        <f t="shared" ca="1" si="10"/>
        <v>0</v>
      </c>
      <c r="P49" s="47">
        <f t="shared" ca="1" si="10"/>
        <v>0</v>
      </c>
      <c r="Q49" s="47">
        <f t="shared" ca="1" si="10"/>
        <v>0</v>
      </c>
      <c r="R49" s="47">
        <f t="shared" ca="1" si="10"/>
        <v>0</v>
      </c>
      <c r="S49" s="47">
        <f t="shared" ca="1" si="10"/>
        <v>0</v>
      </c>
    </row>
    <row r="50" spans="1:29" x14ac:dyDescent="0.2">
      <c r="A50" s="22" t="s">
        <v>1361</v>
      </c>
      <c r="B50" s="8"/>
      <c r="C50" s="8"/>
      <c r="D50" s="67">
        <f ca="1">IFERROR(D99*MIN(1,D48/(D99+D101)),0)</f>
        <v>4264959.8191809235</v>
      </c>
      <c r="E50" s="67">
        <f t="shared" ref="E50:AC50" ca="1" si="11">IFERROR(E99*MIN(1,E48/(E99+E101)),0)</f>
        <v>4617887.3642931255</v>
      </c>
      <c r="F50" s="67">
        <f t="shared" ca="1" si="11"/>
        <v>7837470.6009799857</v>
      </c>
      <c r="G50" s="67">
        <f t="shared" ca="1" si="11"/>
        <v>18994759.922100622</v>
      </c>
      <c r="H50" s="67">
        <f t="shared" ca="1" si="11"/>
        <v>54047207.826505683</v>
      </c>
      <c r="I50" s="67">
        <f t="shared" ca="1" si="11"/>
        <v>124794704.1323912</v>
      </c>
      <c r="J50" s="67">
        <f t="shared" ca="1" si="11"/>
        <v>255762670.24353921</v>
      </c>
      <c r="K50" s="67">
        <f t="shared" ca="1" si="11"/>
        <v>352654879.83528459</v>
      </c>
      <c r="L50" s="67">
        <f t="shared" ca="1" si="11"/>
        <v>335404222.12931043</v>
      </c>
      <c r="M50" s="67">
        <f t="shared" ca="1" si="11"/>
        <v>324752029.43746173</v>
      </c>
      <c r="N50" s="67">
        <f t="shared" ca="1" si="11"/>
        <v>316698673.12961364</v>
      </c>
      <c r="O50" s="67">
        <f t="shared" ca="1" si="11"/>
        <v>274584441.40495932</v>
      </c>
      <c r="P50" s="67">
        <f t="shared" ca="1" si="11"/>
        <v>202940367.01054126</v>
      </c>
      <c r="Q50" s="67">
        <f t="shared" ca="1" si="11"/>
        <v>112686292.17484766</v>
      </c>
      <c r="R50" s="67">
        <f t="shared" ca="1" si="11"/>
        <v>77443948.131518543</v>
      </c>
      <c r="S50" s="67">
        <f t="shared" ca="1" si="11"/>
        <v>78883255.87493515</v>
      </c>
      <c r="T50" s="67">
        <f t="shared" si="11"/>
        <v>0</v>
      </c>
      <c r="U50" s="67">
        <f t="shared" si="11"/>
        <v>0</v>
      </c>
      <c r="V50" s="67">
        <f t="shared" si="11"/>
        <v>0</v>
      </c>
      <c r="W50" s="67">
        <f t="shared" si="11"/>
        <v>0</v>
      </c>
      <c r="X50" s="67">
        <f t="shared" si="11"/>
        <v>0</v>
      </c>
      <c r="Y50" s="67">
        <f t="shared" si="11"/>
        <v>0</v>
      </c>
      <c r="Z50" s="67">
        <f t="shared" si="11"/>
        <v>0</v>
      </c>
      <c r="AA50" s="67">
        <f t="shared" si="11"/>
        <v>0</v>
      </c>
      <c r="AB50" s="67">
        <f t="shared" si="11"/>
        <v>0</v>
      </c>
      <c r="AC50" s="67">
        <f t="shared" si="11"/>
        <v>0</v>
      </c>
    </row>
    <row r="51" spans="1:29" x14ac:dyDescent="0.2">
      <c r="A51" s="22" t="s">
        <v>1362</v>
      </c>
      <c r="B51" s="8"/>
      <c r="C51" s="8"/>
      <c r="D51" s="67">
        <f ca="1">MAX(0,D48-D50-D52)</f>
        <v>1.1641532182693481E-10</v>
      </c>
      <c r="E51" s="67">
        <f t="shared" ref="E51:AC51" ca="1" si="12">MAX(0,E48-E50-E52)</f>
        <v>0</v>
      </c>
      <c r="F51" s="67">
        <f t="shared" ca="1" si="12"/>
        <v>1.280568540096283E-9</v>
      </c>
      <c r="G51" s="67">
        <f t="shared" ca="1" si="12"/>
        <v>0</v>
      </c>
      <c r="H51" s="67">
        <f t="shared" ca="1" si="12"/>
        <v>2.7939677238464355E-9</v>
      </c>
      <c r="I51" s="67">
        <f t="shared" ca="1" si="12"/>
        <v>0</v>
      </c>
      <c r="J51" s="67">
        <f t="shared" ca="1" si="12"/>
        <v>0</v>
      </c>
      <c r="K51" s="67">
        <f t="shared" ca="1" si="12"/>
        <v>117125517.17969969</v>
      </c>
      <c r="L51" s="67">
        <f t="shared" ca="1" si="12"/>
        <v>174503887.93029994</v>
      </c>
      <c r="M51" s="67">
        <f t="shared" ca="1" si="12"/>
        <v>173872712.02600971</v>
      </c>
      <c r="N51" s="67">
        <f t="shared" ca="1" si="12"/>
        <v>163758331.38177395</v>
      </c>
      <c r="O51" s="67">
        <f t="shared" ca="1" si="12"/>
        <v>156213894.35858381</v>
      </c>
      <c r="P51" s="67">
        <f t="shared" ca="1" si="12"/>
        <v>162506093.76590848</v>
      </c>
      <c r="Q51" s="67">
        <f t="shared" ca="1" si="12"/>
        <v>174511472.82656357</v>
      </c>
      <c r="R51" s="67">
        <f t="shared" ca="1" si="12"/>
        <v>106741284.51363432</v>
      </c>
      <c r="S51" s="67">
        <f t="shared" ca="1" si="12"/>
        <v>2.9802322387695312E-8</v>
      </c>
      <c r="T51" s="67">
        <f t="shared" si="12"/>
        <v>0</v>
      </c>
      <c r="U51" s="67">
        <f t="shared" si="12"/>
        <v>0</v>
      </c>
      <c r="V51" s="67">
        <f t="shared" si="12"/>
        <v>0</v>
      </c>
      <c r="W51" s="67">
        <f t="shared" si="12"/>
        <v>0</v>
      </c>
      <c r="X51" s="67">
        <f t="shared" si="12"/>
        <v>0</v>
      </c>
      <c r="Y51" s="67">
        <f t="shared" si="12"/>
        <v>0</v>
      </c>
      <c r="Z51" s="67">
        <f t="shared" si="12"/>
        <v>0</v>
      </c>
      <c r="AA51" s="67">
        <f t="shared" si="12"/>
        <v>0</v>
      </c>
      <c r="AB51" s="67">
        <f t="shared" si="12"/>
        <v>0</v>
      </c>
      <c r="AC51" s="67">
        <f t="shared" si="12"/>
        <v>0</v>
      </c>
    </row>
    <row r="52" spans="1:29" x14ac:dyDescent="0.2">
      <c r="A52" s="22" t="s">
        <v>1363</v>
      </c>
      <c r="B52" s="8"/>
      <c r="C52" s="8"/>
      <c r="D52" s="67">
        <f ca="1">IFERROR(D101*MIN(1,D48/(D99+D101)),0)</f>
        <v>842240.18081907637</v>
      </c>
      <c r="E52" s="67">
        <f t="shared" ref="E52:AC52" ca="1" si="13">IFERROR(E101*MIN(1,E48/(E99+E101)),0)</f>
        <v>1057358.3499925893</v>
      </c>
      <c r="F52" s="67">
        <f t="shared" ca="1" si="13"/>
        <v>626473.48482807225</v>
      </c>
      <c r="G52" s="67">
        <f t="shared" ca="1" si="13"/>
        <v>1800805.7018562376</v>
      </c>
      <c r="H52" s="67">
        <f t="shared" ca="1" si="13"/>
        <v>6033206.0468109893</v>
      </c>
      <c r="I52" s="67">
        <f t="shared" ca="1" si="13"/>
        <v>16194464.900925063</v>
      </c>
      <c r="J52" s="67">
        <f t="shared" ca="1" si="13"/>
        <v>32549044.415983982</v>
      </c>
      <c r="K52" s="67">
        <f t="shared" ca="1" si="13"/>
        <v>34413132.281835474</v>
      </c>
      <c r="L52" s="67">
        <f t="shared" ca="1" si="13"/>
        <v>19775941.981744822</v>
      </c>
      <c r="M52" s="67">
        <f t="shared" ca="1" si="13"/>
        <v>27461483.779545944</v>
      </c>
      <c r="N52" s="67">
        <f t="shared" ca="1" si="13"/>
        <v>40153395.130894676</v>
      </c>
      <c r="O52" s="67">
        <f t="shared" ca="1" si="13"/>
        <v>59845097.018292136</v>
      </c>
      <c r="P52" s="67">
        <f t="shared" ca="1" si="13"/>
        <v>69573236.701858833</v>
      </c>
      <c r="Q52" s="67">
        <f t="shared" ca="1" si="13"/>
        <v>65858110.445280403</v>
      </c>
      <c r="R52" s="67">
        <f t="shared" ca="1" si="13"/>
        <v>85792229.887695849</v>
      </c>
      <c r="S52" s="67">
        <f t="shared" ca="1" si="13"/>
        <v>109789978.10747015</v>
      </c>
      <c r="T52" s="67">
        <f t="shared" si="13"/>
        <v>0</v>
      </c>
      <c r="U52" s="67">
        <f t="shared" si="13"/>
        <v>0</v>
      </c>
      <c r="V52" s="67">
        <f t="shared" si="13"/>
        <v>0</v>
      </c>
      <c r="W52" s="67">
        <f t="shared" si="13"/>
        <v>0</v>
      </c>
      <c r="X52" s="67">
        <f t="shared" si="13"/>
        <v>0</v>
      </c>
      <c r="Y52" s="67">
        <f t="shared" si="13"/>
        <v>0</v>
      </c>
      <c r="Z52" s="67">
        <f t="shared" si="13"/>
        <v>0</v>
      </c>
      <c r="AA52" s="67">
        <f t="shared" si="13"/>
        <v>0</v>
      </c>
      <c r="AB52" s="67">
        <f t="shared" si="13"/>
        <v>0</v>
      </c>
      <c r="AC52" s="67">
        <f t="shared" si="13"/>
        <v>0</v>
      </c>
    </row>
    <row r="53" spans="1:29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29" x14ac:dyDescent="0.2">
      <c r="A54" s="18" t="s">
        <v>1364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29" x14ac:dyDescent="0.2">
      <c r="A55" s="20" t="s">
        <v>681</v>
      </c>
      <c r="B55" s="20"/>
      <c r="C55" s="20"/>
      <c r="D55" s="113"/>
      <c r="E55" s="124">
        <f ca="1">Starlink!E157+'Customer Launch'!E114+'Customer Launch'!E105+'AI - Compute'!E14+'Lunar - Mars'!E96-E20</f>
        <v>-32855.500723882833</v>
      </c>
      <c r="F55" s="124">
        <f ca="1">Starlink!F157+'Customer Launch'!F114+'Customer Launch'!F105+'AI - Compute'!F14+'Lunar - Mars'!F96-F20</f>
        <v>-16071.820186518567</v>
      </c>
      <c r="G55" s="124">
        <f ca="1">Starlink!G157+'Customer Launch'!G114+'Customer Launch'!G105+'AI - Compute'!G14+'Lunar - Mars'!G96-G20</f>
        <v>14507.331403217813</v>
      </c>
      <c r="H55" s="124">
        <f ca="1">Starlink!H157+'Customer Launch'!H114+'Customer Launch'!H105+'AI - Compute'!H14+'Lunar - Mars'!H96-H20</f>
        <v>52617.986904106168</v>
      </c>
      <c r="I55" s="124">
        <f ca="1">Starlink!I157+'Customer Launch'!I114+'Customer Launch'!I105+'AI - Compute'!I14+'Lunar - Mars'!I96-I20</f>
        <v>53937.952611399283</v>
      </c>
      <c r="J55" s="124">
        <f ca="1">Starlink!J157+'Customer Launch'!J114+'Customer Launch'!J105+'AI - Compute'!J14+'Lunar - Mars'!J96-J20</f>
        <v>54016.760803907709</v>
      </c>
      <c r="K55" s="124">
        <f ca="1">Starlink!K157+'Customer Launch'!K114+'Customer Launch'!K105+'AI - Compute'!K14+'Lunar - Mars'!K96-K20</f>
        <v>92525.383120689279</v>
      </c>
      <c r="L55" s="124">
        <f ca="1">Starlink!L157+'Customer Launch'!L114+'Customer Launch'!L105+'AI - Compute'!L14+'Lunar - Mars'!L96-L20</f>
        <v>146235.93128102127</v>
      </c>
      <c r="M55" s="124">
        <f ca="1">Starlink!M157+'Customer Launch'!M114+'Customer Launch'!M105+'AI - Compute'!M14+'Lunar - Mars'!M96-M20</f>
        <v>133398.48662442394</v>
      </c>
      <c r="N55" s="124">
        <f ca="1">Starlink!N157+'Customer Launch'!N114+'Customer Launch'!N105+'AI - Compute'!N14+'Lunar - Mars'!N96-N20</f>
        <v>144404.31121210544</v>
      </c>
      <c r="O55" s="124">
        <f ca="1">Starlink!O157+'Customer Launch'!O114+'Customer Launch'!O105+'AI - Compute'!O14+'Lunar - Mars'!O96-O20</f>
        <v>147957.87574161493</v>
      </c>
      <c r="P55" s="124">
        <f ca="1">Starlink!P157+'Customer Launch'!P114+'Customer Launch'!P105+'AI - Compute'!P14+'Lunar - Mars'!P96-P20</f>
        <v>210003.40407136985</v>
      </c>
      <c r="Q55" s="124">
        <f ca="1">Starlink!Q157+'Customer Launch'!Q114+'Customer Launch'!Q105+'AI - Compute'!Q14+'Lunar - Mars'!Q96-Q20</f>
        <v>310413.71548368875</v>
      </c>
      <c r="R55" s="124">
        <f ca="1">Starlink!R157+'Customer Launch'!R114+'Customer Launch'!R105+'AI - Compute'!R14+'Lunar - Mars'!R96-R20</f>
        <v>377799.16595346056</v>
      </c>
      <c r="S55" s="124">
        <f ca="1">Starlink!S157+'Customer Launch'!S114+'Customer Launch'!S105+'AI - Compute'!S14+'Lunar - Mars'!S96-S20</f>
        <v>444236.97747896111</v>
      </c>
    </row>
    <row r="56" spans="1:29" x14ac:dyDescent="0.2">
      <c r="A56" s="22" t="s">
        <v>682</v>
      </c>
      <c r="B56" s="8"/>
      <c r="C56" s="8"/>
      <c r="D56" s="70">
        <v>24700</v>
      </c>
      <c r="E56" s="67">
        <f ca="1">E8+E9+E10+E55+E105-E106-E107+E134-E135-E136</f>
        <v>7144.499276117167</v>
      </c>
      <c r="F56" s="67">
        <f t="shared" ref="F56:S56" ca="1" si="14">F8+F9+F10+F55+F105-F106-F107+F134-F135-F136</f>
        <v>54382.940537364266</v>
      </c>
      <c r="G56" s="67">
        <f t="shared" ca="1" si="14"/>
        <v>67215.513649472094</v>
      </c>
      <c r="H56" s="67">
        <f t="shared" ca="1" si="14"/>
        <v>124305.0499004944</v>
      </c>
      <c r="I56" s="67">
        <f t="shared" ca="1" si="14"/>
        <v>192404.81159035888</v>
      </c>
      <c r="J56" s="67">
        <f t="shared" ca="1" si="14"/>
        <v>268624.6591581729</v>
      </c>
      <c r="K56" s="67">
        <f t="shared" ca="1" si="14"/>
        <v>350430.46930401592</v>
      </c>
      <c r="L56" s="67">
        <f t="shared" ca="1" si="14"/>
        <v>492652.45372807363</v>
      </c>
      <c r="M56" s="67">
        <f t="shared" ca="1" si="14"/>
        <v>593995.21200576215</v>
      </c>
      <c r="N56" s="67">
        <f t="shared" ca="1" si="14"/>
        <v>701020.49703638186</v>
      </c>
      <c r="O56" s="67">
        <f t="shared" ca="1" si="14"/>
        <v>839176.48008896702</v>
      </c>
      <c r="P56" s="67">
        <f t="shared" ca="1" si="14"/>
        <v>1049179.8841603368</v>
      </c>
      <c r="Q56" s="67">
        <f t="shared" ca="1" si="14"/>
        <v>1359593.5996440256</v>
      </c>
      <c r="R56" s="67">
        <f t="shared" ca="1" si="14"/>
        <v>1737392.7655974862</v>
      </c>
      <c r="S56" s="67">
        <f t="shared" ca="1" si="14"/>
        <v>2181629.7430764474</v>
      </c>
    </row>
    <row r="57" spans="1:29" x14ac:dyDescent="0.2">
      <c r="A57" s="22" t="s">
        <v>1151</v>
      </c>
      <c r="B57" s="8"/>
      <c r="C57" s="8"/>
      <c r="D57" s="66">
        <f>Assumptions!$B$8+D9+D10+D55</f>
        <v>11385</v>
      </c>
      <c r="E57" s="67">
        <f t="shared" ref="E57:S57" ca="1" si="15">D57+E9+E10+E55+E105-E107-E106</f>
        <v>-6170.500723882833</v>
      </c>
      <c r="F57" s="67">
        <f t="shared" ca="1" si="15"/>
        <v>41067.940537364266</v>
      </c>
      <c r="G57" s="67">
        <f t="shared" ca="1" si="15"/>
        <v>51403.832542458011</v>
      </c>
      <c r="H57" s="67">
        <f t="shared" ca="1" si="15"/>
        <v>98039.311673335236</v>
      </c>
      <c r="I57" s="67">
        <f t="shared" ca="1" si="15"/>
        <v>144423.38734329533</v>
      </c>
      <c r="J57" s="67">
        <f t="shared" ca="1" si="15"/>
        <v>190515.24025222129</v>
      </c>
      <c r="K57" s="67">
        <f t="shared" ca="1" si="15"/>
        <v>275395.4904964756</v>
      </c>
      <c r="L57" s="67">
        <f t="shared" ca="1" si="15"/>
        <v>414421.14107146114</v>
      </c>
      <c r="M57" s="67">
        <f t="shared" ca="1" si="15"/>
        <v>547819.62769588502</v>
      </c>
      <c r="N57" s="67">
        <f t="shared" ca="1" si="15"/>
        <v>692223.93890799046</v>
      </c>
      <c r="O57" s="67">
        <f t="shared" ca="1" si="15"/>
        <v>840181.81464960543</v>
      </c>
      <c r="P57" s="67">
        <f t="shared" ca="1" si="15"/>
        <v>1050185.2187209753</v>
      </c>
      <c r="Q57" s="67">
        <f t="shared" ca="1" si="15"/>
        <v>1360598.9342046641</v>
      </c>
      <c r="R57" s="67">
        <f t="shared" ca="1" si="15"/>
        <v>1738398.1001581247</v>
      </c>
      <c r="S57" s="67">
        <f t="shared" ca="1" si="15"/>
        <v>2182635.0776370857</v>
      </c>
    </row>
    <row r="58" spans="1:29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29" x14ac:dyDescent="0.2">
      <c r="A59" s="18" t="s">
        <v>683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29" x14ac:dyDescent="0.2">
      <c r="A60" s="22" t="s">
        <v>684</v>
      </c>
      <c r="B60" s="8"/>
      <c r="C60" s="8"/>
      <c r="D60" s="66">
        <f>D24-'Lunar - Mars'!D30</f>
        <v>0</v>
      </c>
      <c r="E60" s="66">
        <f>E24-'Lunar - Mars'!E30</f>
        <v>0</v>
      </c>
      <c r="F60" s="66">
        <f>F24-'Lunar - Mars'!F30</f>
        <v>0</v>
      </c>
      <c r="G60" s="66">
        <f>G24-'Lunar - Mars'!G30</f>
        <v>0</v>
      </c>
      <c r="H60" s="66">
        <f>H24-'Lunar - Mars'!H30</f>
        <v>0</v>
      </c>
      <c r="I60" s="66">
        <f ca="1">I24-'Lunar - Mars'!I30</f>
        <v>0</v>
      </c>
      <c r="J60" s="66">
        <f ca="1">J24-'Lunar - Mars'!J30</f>
        <v>0</v>
      </c>
      <c r="K60" s="66">
        <f ca="1">K24-'Lunar - Mars'!K30</f>
        <v>0</v>
      </c>
      <c r="L60" s="66">
        <f ca="1">L24-'Lunar - Mars'!L30</f>
        <v>0</v>
      </c>
      <c r="M60" s="66">
        <f ca="1">M24-'Lunar - Mars'!M30</f>
        <v>0</v>
      </c>
      <c r="N60" s="66">
        <f ca="1">N24-'Lunar - Mars'!N30</f>
        <v>0</v>
      </c>
      <c r="O60" s="66">
        <f ca="1">O24-'Lunar - Mars'!O30</f>
        <v>0</v>
      </c>
      <c r="P60" s="66">
        <f ca="1">P24-'Lunar - Mars'!P30</f>
        <v>0</v>
      </c>
      <c r="Q60" s="66">
        <f ca="1">Q24-'Lunar - Mars'!Q30</f>
        <v>0</v>
      </c>
      <c r="R60" s="66">
        <f ca="1">R24-'Lunar - Mars'!R30</f>
        <v>0</v>
      </c>
      <c r="S60" s="66">
        <f ca="1">S24-'Lunar - Mars'!S30</f>
        <v>0</v>
      </c>
    </row>
    <row r="61" spans="1:29" x14ac:dyDescent="0.2">
      <c r="A61" s="22" t="s">
        <v>685</v>
      </c>
      <c r="B61" s="8"/>
      <c r="C61" s="8"/>
      <c r="D61" s="66">
        <f ca="1">'Vehicle Build'!D30</f>
        <v>0</v>
      </c>
      <c r="E61" s="66">
        <f ca="1">'Vehicle Build'!E30</f>
        <v>487.76808362611092</v>
      </c>
      <c r="F61" s="66">
        <f ca="1">'Vehicle Build'!F30</f>
        <v>0</v>
      </c>
      <c r="G61" s="66">
        <f ca="1">'Vehicle Build'!G30</f>
        <v>0</v>
      </c>
      <c r="H61" s="66">
        <f ca="1">'Vehicle Build'!H30</f>
        <v>0</v>
      </c>
      <c r="I61" s="66">
        <f ca="1">'Vehicle Build'!I30</f>
        <v>455.97910187718026</v>
      </c>
      <c r="J61" s="66">
        <f ca="1">'Vehicle Build'!J30</f>
        <v>366.40605246344012</v>
      </c>
      <c r="K61" s="66">
        <f ca="1">'Vehicle Build'!K30</f>
        <v>161.46193197191292</v>
      </c>
      <c r="L61" s="66">
        <f ca="1">'Vehicle Build'!L30</f>
        <v>93.953176281199831</v>
      </c>
      <c r="M61" s="66">
        <f ca="1">'Vehicle Build'!M30</f>
        <v>36.700396591419633</v>
      </c>
      <c r="N61" s="66">
        <f ca="1">'Vehicle Build'!N30</f>
        <v>44.377506240644834</v>
      </c>
      <c r="O61" s="66">
        <f ca="1">'Vehicle Build'!O30</f>
        <v>49.504369918790417</v>
      </c>
      <c r="P61" s="66">
        <f ca="1">'Vehicle Build'!P30</f>
        <v>36.943489662502884</v>
      </c>
      <c r="Q61" s="66">
        <f ca="1">'Vehicle Build'!Q30</f>
        <v>30.475942235272072</v>
      </c>
      <c r="R61" s="66">
        <f ca="1">'Vehicle Build'!R30</f>
        <v>184.46241725531809</v>
      </c>
      <c r="S61" s="66">
        <f ca="1">'Vehicle Build'!S30</f>
        <v>523.31425884509576</v>
      </c>
    </row>
    <row r="62" spans="1:29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29" x14ac:dyDescent="0.2">
      <c r="A63" s="18" t="s">
        <v>1634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29" x14ac:dyDescent="0.2">
      <c r="A64" s="22" t="s">
        <v>1506</v>
      </c>
      <c r="B64" s="8"/>
      <c r="C64" s="8"/>
      <c r="D64" s="63">
        <f>Starlink!D38*Starlink!D37</f>
        <v>289467.39591800002</v>
      </c>
      <c r="E64" s="63">
        <f>Starlink!E38*Starlink!E37</f>
        <v>292589.38685229764</v>
      </c>
      <c r="F64" s="8">
        <f ca="1">Starlink!F38*Starlink!F37</f>
        <v>416271.84350753826</v>
      </c>
      <c r="G64" s="8">
        <f ca="1">Starlink!G38*Starlink!G37</f>
        <v>389972.71881094063</v>
      </c>
      <c r="H64" s="8">
        <f ca="1">Starlink!H38*Starlink!H37</f>
        <v>349669.95457739453</v>
      </c>
      <c r="I64" s="8">
        <f ca="1">Starlink!I38*Starlink!I37</f>
        <v>295082.42385070625</v>
      </c>
      <c r="J64" s="8">
        <f ca="1">Starlink!J38*Starlink!J37</f>
        <v>262341.91740846203</v>
      </c>
      <c r="K64" s="8">
        <f ca="1">Starlink!K38*Starlink!K37</f>
        <v>216098.5842109512</v>
      </c>
      <c r="L64" s="8">
        <f ca="1">Starlink!L38*Starlink!L37</f>
        <v>198076.22058654134</v>
      </c>
      <c r="M64" s="8">
        <f ca="1">Starlink!M38*Starlink!M37</f>
        <v>185479.31352423065</v>
      </c>
      <c r="N64" s="8">
        <f ca="1">Starlink!N38*Starlink!N37</f>
        <v>175661.47633438141</v>
      </c>
      <c r="O64" s="8">
        <f ca="1">Starlink!O38*Starlink!O37</f>
        <v>148142.8148953018</v>
      </c>
      <c r="P64" s="8">
        <f ca="1">Starlink!P38*Starlink!P37</f>
        <v>106796.37741109876</v>
      </c>
      <c r="Q64" s="8">
        <f ca="1">Starlink!Q38*Starlink!Q37</f>
        <v>57814.378001057979</v>
      </c>
      <c r="R64" s="8">
        <f ca="1">Starlink!R38*Starlink!R37</f>
        <v>39109.522664813128</v>
      </c>
      <c r="S64" s="8">
        <f ca="1">Starlink!S38*Starlink!S37</f>
        <v>41495.900342813802</v>
      </c>
      <c r="T64" s="8">
        <f>Starlink!T38*Starlink!T37</f>
        <v>0</v>
      </c>
      <c r="U64" s="8">
        <f>Starlink!U38*Starlink!U37</f>
        <v>0</v>
      </c>
      <c r="V64" s="8">
        <f>Starlink!V38*Starlink!V37</f>
        <v>0</v>
      </c>
      <c r="W64" s="8">
        <f>Starlink!W38*Starlink!W37</f>
        <v>0</v>
      </c>
      <c r="X64" s="8">
        <f>Starlink!X38*Starlink!X37</f>
        <v>0</v>
      </c>
      <c r="Y64" s="8">
        <f>Starlink!Y38*Starlink!Y37</f>
        <v>0</v>
      </c>
      <c r="Z64" s="8">
        <f>Starlink!Z38*Starlink!Z37</f>
        <v>0</v>
      </c>
      <c r="AA64" s="8">
        <f>Starlink!AA38*Starlink!AA37</f>
        <v>0</v>
      </c>
      <c r="AB64" s="8">
        <f>Starlink!AB38*Starlink!AB37</f>
        <v>0</v>
      </c>
      <c r="AC64" s="8">
        <f>Starlink!AC38*Starlink!AC37</f>
        <v>0</v>
      </c>
    </row>
    <row r="65" spans="1:29" x14ac:dyDescent="0.2">
      <c r="A65" s="22" t="s">
        <v>1365</v>
      </c>
      <c r="B65" s="8"/>
      <c r="C65" s="8"/>
      <c r="D65" s="63">
        <f ca="1">'Customer Launch'!D113</f>
        <v>847.67630769230777</v>
      </c>
      <c r="E65" s="63">
        <f ca="1">'Customer Launch'!E113</f>
        <v>900.78459459459452</v>
      </c>
      <c r="F65" s="8">
        <f ca="1">'Customer Launch'!F113</f>
        <v>705.63082080000004</v>
      </c>
      <c r="G65" s="8">
        <f ca="1">'Customer Launch'!G113</f>
        <v>663.3193780332582</v>
      </c>
      <c r="H65" s="8">
        <f ca="1">'Customer Launch'!H113</f>
        <v>1058.8826356645943</v>
      </c>
      <c r="I65" s="8">
        <f ca="1">'Customer Launch'!I113</f>
        <v>1031.1811483056476</v>
      </c>
      <c r="J65" s="8">
        <f ca="1">'Customer Launch'!J113</f>
        <v>1170.3649994371351</v>
      </c>
      <c r="K65" s="8">
        <f ca="1">'Customer Launch'!K113</f>
        <v>1448.4218009248896</v>
      </c>
      <c r="L65" s="8">
        <f ca="1">'Customer Launch'!L113</f>
        <v>1051.4935276377337</v>
      </c>
      <c r="M65" s="8">
        <f ca="1">'Customer Launch'!M113</f>
        <v>1295.9413121030477</v>
      </c>
      <c r="N65" s="8">
        <f ca="1">'Customer Launch'!N113</f>
        <v>945.83423715359845</v>
      </c>
      <c r="O65" s="8">
        <f ca="1">'Customer Launch'!O113</f>
        <v>1546.8943403999017</v>
      </c>
      <c r="P65" s="8">
        <f ca="1">'Customer Launch'!P113</f>
        <v>498.24482030575888</v>
      </c>
      <c r="Q65" s="8">
        <f ca="1">'Customer Launch'!Q113</f>
        <v>440.23351835832335</v>
      </c>
      <c r="R65" s="8">
        <f ca="1">'Customer Launch'!R113</f>
        <v>652.6916144131917</v>
      </c>
      <c r="S65" s="8">
        <f ca="1">'Customer Launch'!S113</f>
        <v>-25.603073890763596</v>
      </c>
      <c r="T65" s="8">
        <f>'Customer Launch'!T113</f>
        <v>0</v>
      </c>
      <c r="U65" s="8">
        <f>'Customer Launch'!U113</f>
        <v>0</v>
      </c>
      <c r="V65" s="8">
        <f>'Customer Launch'!V113</f>
        <v>0</v>
      </c>
      <c r="W65" s="8">
        <f>'Customer Launch'!W113</f>
        <v>0</v>
      </c>
      <c r="X65" s="8">
        <f>'Customer Launch'!X113</f>
        <v>0</v>
      </c>
      <c r="Y65" s="8">
        <f>'Customer Launch'!Y113</f>
        <v>0</v>
      </c>
      <c r="Z65" s="8">
        <f>'Customer Launch'!Z113</f>
        <v>0</v>
      </c>
      <c r="AA65" s="8">
        <f>'Customer Launch'!AA113</f>
        <v>0</v>
      </c>
      <c r="AB65" s="8">
        <f>'Customer Launch'!AB113</f>
        <v>0</v>
      </c>
      <c r="AC65" s="8">
        <f>'Customer Launch'!AC113</f>
        <v>0</v>
      </c>
    </row>
    <row r="66" spans="1:29" x14ac:dyDescent="0.2">
      <c r="A66" s="22" t="s">
        <v>1507</v>
      </c>
      <c r="B66" s="8"/>
      <c r="C66" s="8"/>
      <c r="D66" s="63">
        <f ca="1">INDEX('AI - Compute'!D:D, MATCH("Demand-buildable CapEx ($mm)", 'AI - Compute'!$A:$A, 0))</f>
        <v>105195.1550433404</v>
      </c>
      <c r="E66" s="63">
        <f ca="1">INDEX('AI - Compute'!E:E, MATCH("Demand-buildable CapEx ($mm)", 'AI - Compute'!$A:$A, 0))</f>
        <v>126614.88146798909</v>
      </c>
      <c r="F66" s="63">
        <f ca="1">INDEX('AI - Compute'!F:F, MATCH("Demand-buildable CapEx ($mm)", 'AI - Compute'!$A:$A, 0))</f>
        <v>137517.35121000535</v>
      </c>
      <c r="G66" s="63">
        <f ca="1">INDEX('AI - Compute'!G:G, MATCH("Demand-buildable CapEx ($mm)", 'AI - Compute'!$A:$A, 0))</f>
        <v>152121.27013391547</v>
      </c>
      <c r="H66" s="63">
        <f ca="1">INDEX('AI - Compute'!H:H, MATCH("Demand-buildable CapEx ($mm)", 'AI - Compute'!$A:$A, 0))</f>
        <v>176646.96958075408</v>
      </c>
      <c r="I66" s="63">
        <f ca="1">INDEX('AI - Compute'!I:I, MATCH("Demand-buildable CapEx ($mm)", 'AI - Compute'!$A:$A, 0))</f>
        <v>192439.4417104451</v>
      </c>
      <c r="J66" s="63">
        <f ca="1">INDEX('AI - Compute'!J:J, MATCH("Demand-buildable CapEx ($mm)", 'AI - Compute'!$A:$A, 0))</f>
        <v>176824.07145519735</v>
      </c>
      <c r="K66" s="63">
        <f ca="1">INDEX('AI - Compute'!K:K, MATCH("Demand-buildable CapEx ($mm)", 'AI - Compute'!$A:$A, 0))</f>
        <v>103538.76545302647</v>
      </c>
      <c r="L66" s="63">
        <f ca="1">INDEX('AI - Compute'!L:L, MATCH("Demand-buildable CapEx ($mm)", 'AI - Compute'!$A:$A, 0))</f>
        <v>36506.866087492817</v>
      </c>
      <c r="M66" s="63">
        <f ca="1">INDEX('AI - Compute'!M:M, MATCH("Demand-buildable CapEx ($mm)", 'AI - Compute'!$A:$A, 0))</f>
        <v>50706.338974058395</v>
      </c>
      <c r="N66" s="63">
        <f ca="1">INDEX('AI - Compute'!N:N, MATCH("Demand-buildable CapEx ($mm)", 'AI - Compute'!$A:$A, 0))</f>
        <v>85239.900357208986</v>
      </c>
      <c r="O66" s="63">
        <f ca="1">INDEX('AI - Compute'!O:O, MATCH("Demand-buildable CapEx ($mm)", 'AI - Compute'!$A:$A, 0))</f>
        <v>128288.81687978041</v>
      </c>
      <c r="P66" s="63">
        <f ca="1">INDEX('AI - Compute'!P:P, MATCH("Demand-buildable CapEx ($mm)", 'AI - Compute'!$A:$A, 0))</f>
        <v>156322.22818552432</v>
      </c>
      <c r="Q66" s="63">
        <f ca="1">INDEX('AI - Compute'!Q:Q, MATCH("Demand-buildable CapEx ($mm)", 'AI - Compute'!$A:$A, 0))</f>
        <v>154361.85608166058</v>
      </c>
      <c r="R66" s="63">
        <f ca="1">INDEX('AI - Compute'!R:R, MATCH("Demand-buildable CapEx ($mm)", 'AI - Compute'!$A:$A, 0))</f>
        <v>213842.81859817344</v>
      </c>
      <c r="S66" s="63">
        <f ca="1">INDEX('AI - Compute'!S:S, MATCH("Demand-buildable CapEx ($mm)", 'AI - Compute'!$A:$A, 0))</f>
        <v>308509.36483974528</v>
      </c>
    </row>
    <row r="67" spans="1:29" x14ac:dyDescent="0.2">
      <c r="A67" s="22" t="s">
        <v>1508</v>
      </c>
      <c r="B67" s="8"/>
      <c r="C67" s="8"/>
      <c r="D67" s="110">
        <f>D28-0.000000001</f>
        <v>-1.0000000000000001E-9</v>
      </c>
      <c r="E67" s="110">
        <f>E28-0.000000001</f>
        <v>0.46904363817801292</v>
      </c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</row>
    <row r="68" spans="1:29" x14ac:dyDescent="0.2">
      <c r="A68" s="22" t="s">
        <v>1509</v>
      </c>
      <c r="B68" s="8"/>
      <c r="C68" s="8"/>
      <c r="D68" s="110">
        <f>D29-0.000000002</f>
        <v>-2.0000000000000001E-9</v>
      </c>
      <c r="E68" s="110">
        <f ca="1">E29-0.000000002</f>
        <v>-2.0000000000000001E-9</v>
      </c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</row>
    <row r="69" spans="1:29" x14ac:dyDescent="0.2">
      <c r="A69" s="22" t="s">
        <v>1510</v>
      </c>
      <c r="B69" s="8"/>
      <c r="C69" s="8"/>
      <c r="D69" s="110">
        <f>D30-0.000000003</f>
        <v>-3E-9</v>
      </c>
      <c r="E69" s="110">
        <f ca="1">E30-0.000000003</f>
        <v>-3E-9</v>
      </c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</row>
    <row r="70" spans="1:29" x14ac:dyDescent="0.2">
      <c r="A70" s="22" t="s">
        <v>686</v>
      </c>
      <c r="B70" s="8"/>
      <c r="C70" s="8"/>
      <c r="D70" s="175">
        <f>IF(D68&gt;D67,D65,0)+IF(D69&gt;D67,D66,0)</f>
        <v>0</v>
      </c>
      <c r="E70" s="175">
        <f ca="1">IF(E68&gt;E67,E65,0)+IF(E69&gt;E67,E66,0)</f>
        <v>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29" x14ac:dyDescent="0.2">
      <c r="A71" s="22" t="s">
        <v>687</v>
      </c>
      <c r="B71" s="8"/>
      <c r="C71" s="8"/>
      <c r="D71" s="175">
        <f>IF(D67&gt;D68,D64,0)+IF(D69&gt;D68,D66,0)</f>
        <v>289467.39591800002</v>
      </c>
      <c r="E71" s="175">
        <f ca="1">IF(E67&gt;E68,E64,0)+IF(E69&gt;E68,E66,0)</f>
        <v>292589.38685229764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29" x14ac:dyDescent="0.2">
      <c r="A72" s="22" t="s">
        <v>688</v>
      </c>
      <c r="B72" s="8"/>
      <c r="C72" s="8"/>
      <c r="D72" s="175">
        <f ca="1">IF(D67&gt;D69,D64,0)+IF(D68&gt;D69,D65,0)</f>
        <v>290315.07222569233</v>
      </c>
      <c r="E72" s="175">
        <f ca="1">IF(E67&gt;E69,E64,0)+IF(E68&gt;E69,E65,0)</f>
        <v>293490.17144689226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29" x14ac:dyDescent="0.2">
      <c r="A73" s="11"/>
      <c r="B73" s="8"/>
      <c r="C73" s="8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</row>
    <row r="74" spans="1:29" x14ac:dyDescent="0.2">
      <c r="A74" s="22" t="s">
        <v>1366</v>
      </c>
      <c r="B74" s="8"/>
      <c r="C74" s="8"/>
      <c r="D74" s="66" cm="1">
        <f t="array" ref="D74">IF(D$4&gt;=2026, INDEX(Assumptions!$B:$B, MATCH("Placeholder AI/strategic CapEx (% of Group revenue): TEMP", Assumptions!$A$1:$A$327, 0)) * INDEX($D:$AC, MATCH("Memo: Group revenue (claims base) ($mm)",$A$1:$A$91,0), D$5+1), 0)</f>
        <v>0</v>
      </c>
      <c r="E74" s="66" cm="1">
        <f t="array" aca="1" ref="E74" ca="1">IF(E$4&gt;=2026, INDEX(Assumptions!$B:$B, MATCH("Placeholder AI/strategic CapEx (% of Group revenue): TEMP", Assumptions!$A$1:$A$327, 0)) * INDEX($D:$AC, MATCH("Memo: Group revenue (claims base) ($mm)",$A$1:$A$91,0), E$5+1), 0)</f>
        <v>0</v>
      </c>
      <c r="F74" s="66" cm="1">
        <f t="array" aca="1" ref="F74" ca="1">IF(F$4&gt;=2026, INDEX(Assumptions!$B:$B, MATCH("Placeholder AI/strategic CapEx (% of Group revenue): TEMP", Assumptions!$A$1:$A$327, 0)) * INDEX($D:$AC, MATCH("Memo: Group revenue (claims base) ($mm)",$A$1:$A$91,0), F$5+1), 0)</f>
        <v>0</v>
      </c>
      <c r="G74" s="66" cm="1">
        <f t="array" aca="1" ref="G74" ca="1">IF(G$4&gt;=2026, INDEX(Assumptions!$B:$B, MATCH("Placeholder AI/strategic CapEx (% of Group revenue): TEMP", Assumptions!$A$1:$A$327, 0)) * INDEX($D:$AC, MATCH("Memo: Group revenue (claims base) ($mm)",$A$1:$A$91,0), G$5+1), 0)</f>
        <v>0</v>
      </c>
      <c r="H74" s="66" cm="1">
        <f t="array" aca="1" ref="H74" ca="1">IF(H$4&gt;=2026, INDEX(Assumptions!$B:$B, MATCH("Placeholder AI/strategic CapEx (% of Group revenue): TEMP", Assumptions!$A$1:$A$327, 0)) * INDEX($D:$AC, MATCH("Memo: Group revenue (claims base) ($mm)",$A$1:$A$91,0), H$5+1), 0)</f>
        <v>0</v>
      </c>
      <c r="I74" s="66" cm="1">
        <f t="array" aca="1" ref="I74" ca="1">IF(I$4&gt;=2026, INDEX(Assumptions!$B:$B, MATCH("Placeholder AI/strategic CapEx (% of Group revenue): TEMP", Assumptions!$A$1:$A$327, 0)) * INDEX($D:$AC, MATCH("Memo: Group revenue (claims base) ($mm)",$A$1:$A$91,0), I$5+1), 0)</f>
        <v>0</v>
      </c>
      <c r="J74" s="66" cm="1">
        <f t="array" aca="1" ref="J74" ca="1">IF(J$4&gt;=2026, INDEX(Assumptions!$B:$B, MATCH("Placeholder AI/strategic CapEx (% of Group revenue): TEMP", Assumptions!$A$1:$A$327, 0)) * INDEX($D:$AC, MATCH("Memo: Group revenue (claims base) ($mm)",$A$1:$A$91,0), J$5+1), 0)</f>
        <v>0</v>
      </c>
      <c r="K74" s="66" cm="1">
        <f t="array" aca="1" ref="K74" ca="1">IF(K$4&gt;=2026, INDEX(Assumptions!$B:$B, MATCH("Placeholder AI/strategic CapEx (% of Group revenue): TEMP", Assumptions!$A$1:$A$327, 0)) * INDEX($D:$AC, MATCH("Memo: Group revenue (claims base) ($mm)",$A$1:$A$91,0), K$5+1), 0)</f>
        <v>0</v>
      </c>
      <c r="L74" s="66" cm="1">
        <f t="array" aca="1" ref="L74" ca="1">IF(L$4&gt;=2026, INDEX(Assumptions!$B:$B, MATCH("Placeholder AI/strategic CapEx (% of Group revenue): TEMP", Assumptions!$A$1:$A$327, 0)) * INDEX($D:$AC, MATCH("Memo: Group revenue (claims base) ($mm)",$A$1:$A$91,0), L$5+1), 0)</f>
        <v>0</v>
      </c>
      <c r="M74" s="66" cm="1">
        <f t="array" aca="1" ref="M74" ca="1">IF(M$4&gt;=2026, INDEX(Assumptions!$B:$B, MATCH("Placeholder AI/strategic CapEx (% of Group revenue): TEMP", Assumptions!$A$1:$A$327, 0)) * INDEX($D:$AC, MATCH("Memo: Group revenue (claims base) ($mm)",$A$1:$A$91,0), M$5+1), 0)</f>
        <v>0</v>
      </c>
      <c r="N74" s="66" cm="1">
        <f t="array" aca="1" ref="N74" ca="1">IF(N$4&gt;=2026, INDEX(Assumptions!$B:$B, MATCH("Placeholder AI/strategic CapEx (% of Group revenue): TEMP", Assumptions!$A$1:$A$327, 0)) * INDEX($D:$AC, MATCH("Memo: Group revenue (claims base) ($mm)",$A$1:$A$91,0), N$5+1), 0)</f>
        <v>0</v>
      </c>
      <c r="O74" s="66" cm="1">
        <f t="array" aca="1" ref="O74" ca="1">IF(O$4&gt;=2026, INDEX(Assumptions!$B:$B, MATCH("Placeholder AI/strategic CapEx (% of Group revenue): TEMP", Assumptions!$A$1:$A$327, 0)) * INDEX($D:$AC, MATCH("Memo: Group revenue (claims base) ($mm)",$A$1:$A$91,0), O$5+1), 0)</f>
        <v>0</v>
      </c>
      <c r="P74" s="66" cm="1">
        <f t="array" aca="1" ref="P74" ca="1">IF(P$4&gt;=2026, INDEX(Assumptions!$B:$B, MATCH("Placeholder AI/strategic CapEx (% of Group revenue): TEMP", Assumptions!$A$1:$A$327, 0)) * INDEX($D:$AC, MATCH("Memo: Group revenue (claims base) ($mm)",$A$1:$A$91,0), P$5+1), 0)</f>
        <v>0</v>
      </c>
      <c r="Q74" s="66" cm="1">
        <f t="array" aca="1" ref="Q74" ca="1">IF(Q$4&gt;=2026, INDEX(Assumptions!$B:$B, MATCH("Placeholder AI/strategic CapEx (% of Group revenue): TEMP", Assumptions!$A$1:$A$327, 0)) * INDEX($D:$AC, MATCH("Memo: Group revenue (claims base) ($mm)",$A$1:$A$91,0), Q$5+1), 0)</f>
        <v>0</v>
      </c>
      <c r="R74" s="66" cm="1">
        <f t="array" aca="1" ref="R74" ca="1">IF(R$4&gt;=2026, INDEX(Assumptions!$B:$B, MATCH("Placeholder AI/strategic CapEx (% of Group revenue): TEMP", Assumptions!$A$1:$A$327, 0)) * INDEX($D:$AC, MATCH("Memo: Group revenue (claims base) ($mm)",$A$1:$A$91,0), R$5+1), 0)</f>
        <v>0</v>
      </c>
      <c r="S74" s="66" cm="1">
        <f t="array" aca="1" ref="S74" ca="1">IF(S$4&gt;=2026, INDEX(Assumptions!$B:$B, MATCH("Placeholder AI/strategic CapEx (% of Group revenue): TEMP", Assumptions!$A$1:$A$327, 0)) * INDEX($D:$AC, MATCH("Memo: Group revenue (claims base) ($mm)",$A$1:$A$91,0), S$5+1), 0)</f>
        <v>0</v>
      </c>
    </row>
    <row r="75" spans="1:29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29" x14ac:dyDescent="0.2">
      <c r="A76" s="18" t="s">
        <v>1367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29" x14ac:dyDescent="0.2">
      <c r="A77" s="22" t="s">
        <v>1511</v>
      </c>
      <c r="B77" s="8"/>
      <c r="C77" s="8"/>
      <c r="D77" s="8"/>
      <c r="E77" s="92">
        <f ca="1">IFERROR('AI - Compute'!D80,0)</f>
        <v>-2.1437508775871059E-2</v>
      </c>
      <c r="F77" s="92">
        <f ca="1">IFERROR('AI - Compute'!E80,0)</f>
        <v>8.9772312234035215E-2</v>
      </c>
      <c r="G77" s="92">
        <f ca="1">IFERROR('AI - Compute'!F80,0)</f>
        <v>0.24081057363528899</v>
      </c>
      <c r="H77" s="92">
        <f ca="1">IFERROR('AI - Compute'!G80,0)</f>
        <v>0.15926844432428156</v>
      </c>
      <c r="I77" s="92">
        <f ca="1">IFERROR('AI - Compute'!H80,0)</f>
        <v>0.34848208846657236</v>
      </c>
      <c r="J77" s="92">
        <f ca="1">IFERROR('AI - Compute'!I80,0)</f>
        <v>0.53907861166678661</v>
      </c>
      <c r="K77" s="92">
        <f ca="1">IFERROR('AI - Compute'!J80,0)</f>
        <v>0.64916225554592344</v>
      </c>
      <c r="L77" s="92">
        <f ca="1">IFERROR('AI - Compute'!K80,0)</f>
        <v>0.61464696744989211</v>
      </c>
      <c r="M77" s="92">
        <f ca="1">IFERROR('AI - Compute'!L80,0)</f>
        <v>0.76762492230136636</v>
      </c>
      <c r="N77" s="92">
        <f ca="1">IFERROR('AI - Compute'!M80,0)</f>
        <v>0.88613168984269919</v>
      </c>
      <c r="O77" s="92">
        <f ca="1">IFERROR('AI - Compute'!N80,0)</f>
        <v>0.98402505852972522</v>
      </c>
      <c r="P77" s="92">
        <f ca="1">IFERROR('AI - Compute'!O80,0)</f>
        <v>1.0765049335667871</v>
      </c>
      <c r="Q77" s="92">
        <f ca="1">IFERROR('AI - Compute'!P80,0)</f>
        <v>1.1807345583086839</v>
      </c>
      <c r="R77" s="92">
        <f ca="1">IFERROR('AI - Compute'!Q80,0)</f>
        <v>1.3391879305020344</v>
      </c>
      <c r="S77" s="92">
        <f ca="1">IFERROR('AI - Compute'!R80,0)</f>
        <v>1.5042063811019026</v>
      </c>
    </row>
    <row r="78" spans="1:29" x14ac:dyDescent="0.2">
      <c r="A78" s="22" t="s">
        <v>1512</v>
      </c>
      <c r="B78" s="8"/>
      <c r="C78" s="8"/>
      <c r="D78" s="8"/>
      <c r="E78" s="92">
        <f ca="1">IFERROR('AI - Compute'!D113,0)</f>
        <v>0</v>
      </c>
      <c r="F78" s="92">
        <f ca="1">IFERROR('AI - Compute'!E113,0)</f>
        <v>0.19958957878080141</v>
      </c>
      <c r="G78" s="92">
        <f ca="1">IFERROR('AI - Compute'!F113,0)</f>
        <v>0.13198586069922522</v>
      </c>
      <c r="H78" s="92">
        <f ca="1">IFERROR('AI - Compute'!G113,0)</f>
        <v>0.1427430738569892</v>
      </c>
      <c r="I78" s="92">
        <f ca="1">IFERROR('AI - Compute'!H113,0)</f>
        <v>0.149654066859393</v>
      </c>
      <c r="J78" s="92">
        <f ca="1">IFERROR('AI - Compute'!I113,0)</f>
        <v>0.17236815596725694</v>
      </c>
      <c r="K78" s="92">
        <f ca="1">IFERROR('AI - Compute'!J113,0)</f>
        <v>0.19037560927519234</v>
      </c>
      <c r="L78" s="92">
        <f ca="1">IFERROR('AI - Compute'!K113,0)</f>
        <v>0.18270988102670296</v>
      </c>
      <c r="M78" s="92">
        <f ca="1">IFERROR('AI - Compute'!L113,0)</f>
        <v>0.15417070553027515</v>
      </c>
      <c r="N78" s="92">
        <f ca="1">IFERROR('AI - Compute'!M113,0)</f>
        <v>0.17864269738469332</v>
      </c>
      <c r="O78" s="92">
        <f ca="1">IFERROR('AI - Compute'!N113,0)</f>
        <v>0.13845668275169579</v>
      </c>
      <c r="P78" s="92">
        <f ca="1">IFERROR('AI - Compute'!O113,0)</f>
        <v>0.16161333927846275</v>
      </c>
      <c r="Q78" s="92">
        <f ca="1">IFERROR('AI - Compute'!P113,0)</f>
        <v>0.19689154882292553</v>
      </c>
      <c r="R78" s="92">
        <f ca="1">IFERROR('AI - Compute'!Q113,0)</f>
        <v>0.20711495941103711</v>
      </c>
      <c r="S78" s="92">
        <f ca="1">IFERROR('AI - Compute'!R113,0)</f>
        <v>0.21929219355480228</v>
      </c>
    </row>
    <row r="79" spans="1:29" x14ac:dyDescent="0.2">
      <c r="A79" s="22" t="s">
        <v>1513</v>
      </c>
      <c r="B79" s="8"/>
      <c r="C79" s="8"/>
      <c r="D79" s="8"/>
      <c r="E79" s="59">
        <f ca="1">EXP(MIN(Assumptions!$B$442*E77,700))</f>
        <v>0.93771189407691458</v>
      </c>
      <c r="F79" s="59">
        <f ca="1">EXP(MIN(Assumptions!$B$442*F77,700))</f>
        <v>1.3090699676244748</v>
      </c>
      <c r="G79" s="59">
        <f ca="1">EXP(MIN(Assumptions!$B$442*G77,700))</f>
        <v>2.0594350979641098</v>
      </c>
      <c r="H79" s="59">
        <f ca="1">EXP(MIN(Assumptions!$B$442*H77,700))</f>
        <v>1.6125315461057215</v>
      </c>
      <c r="I79" s="59">
        <f ca="1">EXP(MIN(Assumptions!$B$442*I77,700))</f>
        <v>2.8446677172080026</v>
      </c>
      <c r="J79" s="59">
        <f ca="1">EXP(MIN(Assumptions!$B$442*J77,700))</f>
        <v>5.0391420277378067</v>
      </c>
      <c r="K79" s="59">
        <f ca="1">EXP(MIN(Assumptions!$B$442*K77,700))</f>
        <v>7.0110450276817122</v>
      </c>
      <c r="L79" s="59">
        <f ca="1">EXP(MIN(Assumptions!$B$442*L77,700))</f>
        <v>6.3214012626067033</v>
      </c>
      <c r="M79" s="59">
        <f ca="1">EXP(MIN(Assumptions!$B$442*M77,700))</f>
        <v>10.002897158695918</v>
      </c>
      <c r="N79" s="59">
        <f ca="1">EXP(MIN(Assumptions!$B$442*N77,700))</f>
        <v>14.273362951025593</v>
      </c>
      <c r="O79" s="59">
        <f ca="1">EXP(MIN(Assumptions!$B$442*O77,700))</f>
        <v>19.145643103985215</v>
      </c>
      <c r="P79" s="59">
        <f ca="1">EXP(MIN(Assumptions!$B$442*P77,700))</f>
        <v>25.267394274271965</v>
      </c>
      <c r="Q79" s="59">
        <f ca="1">EXP(MIN(Assumptions!$B$442*Q77,700))</f>
        <v>34.542956826801358</v>
      </c>
      <c r="R79" s="59">
        <f ca="1">EXP(MIN(Assumptions!$B$442*R77,700))</f>
        <v>55.56557148165664</v>
      </c>
      <c r="S79" s="59">
        <f ca="1">EXP(MIN(Assumptions!$B$442*S77,700))</f>
        <v>91.160267913090607</v>
      </c>
    </row>
    <row r="80" spans="1:29" x14ac:dyDescent="0.2">
      <c r="A80" s="22" t="s">
        <v>1514</v>
      </c>
      <c r="B80" s="8"/>
      <c r="C80" s="8"/>
      <c r="D80" s="8"/>
      <c r="E80" s="59">
        <f ca="1">EXP(MIN(Assumptions!$B$442*E78,700))</f>
        <v>1</v>
      </c>
      <c r="F80" s="59">
        <f ca="1">EXP(MIN(Assumptions!$B$442*F78,700))</f>
        <v>1.8198766723404154</v>
      </c>
      <c r="G80" s="59">
        <f ca="1">EXP(MIN(Assumptions!$B$442*G78,700))</f>
        <v>1.4858062914285384</v>
      </c>
      <c r="H80" s="59">
        <f ca="1">EXP(MIN(Assumptions!$B$442*H78,700))</f>
        <v>1.5345377898193036</v>
      </c>
      <c r="I80" s="59">
        <f ca="1">EXP(MIN(Assumptions!$B$442*I78,700))</f>
        <v>1.5666854362765334</v>
      </c>
      <c r="J80" s="59">
        <f ca="1">EXP(MIN(Assumptions!$B$442*J78,700))</f>
        <v>1.6771643289975542</v>
      </c>
      <c r="K80" s="59">
        <f ca="1">EXP(MIN(Assumptions!$B$442*K78,700))</f>
        <v>1.7702607069926688</v>
      </c>
      <c r="L80" s="59">
        <f ca="1">EXP(MIN(Assumptions!$B$442*L78,700))</f>
        <v>1.730014245865483</v>
      </c>
      <c r="M80" s="59">
        <f ca="1">EXP(MIN(Assumptions!$B$442*M78,700))</f>
        <v>1.5880583660527994</v>
      </c>
      <c r="N80" s="59">
        <f ca="1">EXP(MIN(Assumptions!$B$442*N78,700))</f>
        <v>1.7090336471584719</v>
      </c>
      <c r="O80" s="59">
        <f ca="1">EXP(MIN(Assumptions!$B$442*O78,700))</f>
        <v>1.5149312346407047</v>
      </c>
      <c r="P80" s="59">
        <f ca="1">EXP(MIN(Assumptions!$B$442*P78,700))</f>
        <v>1.6239151905943032</v>
      </c>
      <c r="Q80" s="59">
        <f ca="1">EXP(MIN(Assumptions!$B$442*Q78,700))</f>
        <v>1.8052058804450895</v>
      </c>
      <c r="R80" s="59">
        <f ca="1">EXP(MIN(Assumptions!$B$442*R78,700))</f>
        <v>1.861429755579844</v>
      </c>
      <c r="S80" s="59">
        <f ca="1">EXP(MIN(Assumptions!$B$442*S78,700))</f>
        <v>1.9306883177649985</v>
      </c>
    </row>
    <row r="81" spans="1:29" x14ac:dyDescent="0.2">
      <c r="A81" s="22" t="s">
        <v>1515</v>
      </c>
      <c r="B81" s="8"/>
      <c r="C81" s="8"/>
      <c r="D81" s="8"/>
      <c r="E81" s="44">
        <f t="shared" ref="E81:S81" ca="1" si="16">E79+E80</f>
        <v>1.9377118940769145</v>
      </c>
      <c r="F81" s="44">
        <f t="shared" ca="1" si="16"/>
        <v>3.12894663996489</v>
      </c>
      <c r="G81" s="44">
        <f t="shared" ca="1" si="16"/>
        <v>3.5452413893926482</v>
      </c>
      <c r="H81" s="44">
        <f t="shared" ca="1" si="16"/>
        <v>3.1470693359250248</v>
      </c>
      <c r="I81" s="44">
        <f t="shared" ca="1" si="16"/>
        <v>4.4113531534845363</v>
      </c>
      <c r="J81" s="44">
        <f t="shared" ca="1" si="16"/>
        <v>6.7163063567353607</v>
      </c>
      <c r="K81" s="44">
        <f t="shared" ca="1" si="16"/>
        <v>8.7813057346743815</v>
      </c>
      <c r="L81" s="44">
        <f t="shared" ca="1" si="16"/>
        <v>8.0514155084721857</v>
      </c>
      <c r="M81" s="44">
        <f t="shared" ca="1" si="16"/>
        <v>11.590955524748717</v>
      </c>
      <c r="N81" s="44">
        <f t="shared" ca="1" si="16"/>
        <v>15.982396598184065</v>
      </c>
      <c r="O81" s="44">
        <f t="shared" ca="1" si="16"/>
        <v>20.660574338625921</v>
      </c>
      <c r="P81" s="44">
        <f t="shared" ca="1" si="16"/>
        <v>26.891309464866268</v>
      </c>
      <c r="Q81" s="44">
        <f t="shared" ca="1" si="16"/>
        <v>36.348162707246445</v>
      </c>
      <c r="R81" s="44">
        <f t="shared" ca="1" si="16"/>
        <v>57.427001237236482</v>
      </c>
      <c r="S81" s="44">
        <f t="shared" ca="1" si="16"/>
        <v>93.09095623085561</v>
      </c>
    </row>
    <row r="82" spans="1:29" x14ac:dyDescent="0.2">
      <c r="A82" s="22" t="s">
        <v>1876</v>
      </c>
      <c r="B82" s="8"/>
      <c r="C82" s="8"/>
      <c r="D82" s="8"/>
      <c r="E82" s="97">
        <f t="shared" ref="E82:S82" ca="1" si="17">IFERROR(E79/E81,0)</f>
        <v>0.48392740785833954</v>
      </c>
      <c r="F82" s="97">
        <f t="shared" ca="1" si="17"/>
        <v>0.41837401472565988</v>
      </c>
      <c r="G82" s="97">
        <f t="shared" ca="1" si="17"/>
        <v>0.58090123401073157</v>
      </c>
      <c r="H82" s="97">
        <f t="shared" ca="1" si="17"/>
        <v>0.51239148998023165</v>
      </c>
      <c r="I82" s="97">
        <f t="shared" ca="1" si="17"/>
        <v>0.64485150434192606</v>
      </c>
      <c r="J82" s="97">
        <f t="shared" ca="1" si="17"/>
        <v>0.75028471902333171</v>
      </c>
      <c r="K82" s="97">
        <f t="shared" ca="1" si="17"/>
        <v>0.79840575416905102</v>
      </c>
      <c r="L82" s="97">
        <f t="shared" ca="1" si="17"/>
        <v>0.78512918081981276</v>
      </c>
      <c r="M82" s="97">
        <f t="shared" ca="1" si="17"/>
        <v>0.86299159179223695</v>
      </c>
      <c r="N82" s="97">
        <f t="shared" ca="1" si="17"/>
        <v>0.89306774884108087</v>
      </c>
      <c r="O82" s="97">
        <f t="shared" ca="1" si="17"/>
        <v>0.9266752603383116</v>
      </c>
      <c r="P82" s="97">
        <f t="shared" ca="1" si="17"/>
        <v>0.93961189607683615</v>
      </c>
      <c r="Q82" s="97">
        <f t="shared" ca="1" si="17"/>
        <v>0.95033570486121999</v>
      </c>
      <c r="R82" s="97">
        <f t="shared" ca="1" si="17"/>
        <v>0.967586157809458</v>
      </c>
      <c r="S82" s="97">
        <f t="shared" ca="1" si="17"/>
        <v>0.97926019458885882</v>
      </c>
    </row>
    <row r="83" spans="1:29" x14ac:dyDescent="0.2">
      <c r="A83" s="22" t="s">
        <v>1877</v>
      </c>
      <c r="B83" s="8"/>
      <c r="C83" s="8"/>
      <c r="D83" s="8"/>
      <c r="E83" s="97">
        <f t="shared" ref="E83:S83" ca="1" si="18">IFERROR(E80/E81,0)</f>
        <v>0.51607259214166057</v>
      </c>
      <c r="F83" s="97">
        <f t="shared" ca="1" si="18"/>
        <v>0.58162598527434017</v>
      </c>
      <c r="G83" s="97">
        <f t="shared" ca="1" si="18"/>
        <v>0.41909876598926843</v>
      </c>
      <c r="H83" s="97">
        <f t="shared" ca="1" si="18"/>
        <v>0.48760851001976846</v>
      </c>
      <c r="I83" s="97">
        <f t="shared" ca="1" si="18"/>
        <v>0.35514849565807388</v>
      </c>
      <c r="J83" s="97">
        <f t="shared" ca="1" si="18"/>
        <v>0.24971528097666834</v>
      </c>
      <c r="K83" s="97">
        <f t="shared" ca="1" si="18"/>
        <v>0.20159424583094893</v>
      </c>
      <c r="L83" s="97">
        <f t="shared" ca="1" si="18"/>
        <v>0.21487081918018733</v>
      </c>
      <c r="M83" s="97">
        <f t="shared" ca="1" si="18"/>
        <v>0.13700840820776311</v>
      </c>
      <c r="N83" s="97">
        <f t="shared" ca="1" si="18"/>
        <v>0.10693225115891905</v>
      </c>
      <c r="O83" s="97">
        <f t="shared" ca="1" si="18"/>
        <v>7.3324739661688357E-2</v>
      </c>
      <c r="P83" s="97">
        <f t="shared" ca="1" si="18"/>
        <v>6.0388103923163829E-2</v>
      </c>
      <c r="Q83" s="97">
        <f t="shared" ca="1" si="18"/>
        <v>4.9664295138780144E-2</v>
      </c>
      <c r="R83" s="97">
        <f t="shared" ca="1" si="18"/>
        <v>3.2413842190542011E-2</v>
      </c>
      <c r="S83" s="97">
        <f t="shared" ca="1" si="18"/>
        <v>2.07398054111411E-2</v>
      </c>
    </row>
    <row r="84" spans="1:29" x14ac:dyDescent="0.2">
      <c r="A84" s="24" t="s">
        <v>1062</v>
      </c>
      <c r="B84" s="8"/>
      <c r="C84" s="8"/>
      <c r="D84" s="8"/>
      <c r="E84" s="108">
        <f t="shared" ref="E84:S84" ca="1" si="19">E82+E83</f>
        <v>1</v>
      </c>
      <c r="F84" s="108">
        <f t="shared" ca="1" si="19"/>
        <v>1</v>
      </c>
      <c r="G84" s="108">
        <f t="shared" ca="1" si="19"/>
        <v>1</v>
      </c>
      <c r="H84" s="108">
        <f t="shared" ca="1" si="19"/>
        <v>1</v>
      </c>
      <c r="I84" s="108">
        <f t="shared" ca="1" si="19"/>
        <v>1</v>
      </c>
      <c r="J84" s="108">
        <f t="shared" ca="1" si="19"/>
        <v>1</v>
      </c>
      <c r="K84" s="108">
        <f t="shared" ca="1" si="19"/>
        <v>1</v>
      </c>
      <c r="L84" s="108">
        <f t="shared" ca="1" si="19"/>
        <v>1</v>
      </c>
      <c r="M84" s="108">
        <f t="shared" ca="1" si="19"/>
        <v>1</v>
      </c>
      <c r="N84" s="108">
        <f t="shared" ca="1" si="19"/>
        <v>0.99999999999999989</v>
      </c>
      <c r="O84" s="108">
        <f t="shared" ca="1" si="19"/>
        <v>1</v>
      </c>
      <c r="P84" s="108">
        <f t="shared" ca="1" si="19"/>
        <v>1</v>
      </c>
      <c r="Q84" s="108">
        <f t="shared" ca="1" si="19"/>
        <v>1.0000000000000002</v>
      </c>
      <c r="R84" s="108">
        <f t="shared" ca="1" si="19"/>
        <v>1</v>
      </c>
      <c r="S84" s="108">
        <f t="shared" ca="1" si="19"/>
        <v>0.99999999999999989</v>
      </c>
    </row>
    <row r="85" spans="1:29" x14ac:dyDescent="0.2">
      <c r="A85" s="22" t="s">
        <v>1063</v>
      </c>
      <c r="B85" s="8"/>
      <c r="C85" s="8"/>
      <c r="D85" s="8"/>
      <c r="E85" s="67">
        <f ca="1">E82*E129</f>
        <v>3673.6645174052396</v>
      </c>
      <c r="F85" s="67">
        <f t="shared" ref="F85:AC85" ca="1" si="20">F82*F129</f>
        <v>6956.9530665582724</v>
      </c>
      <c r="G85" s="67">
        <f t="shared" ca="1" si="20"/>
        <v>1245.5255750836113</v>
      </c>
      <c r="H85" s="67">
        <f t="shared" ca="1" si="20"/>
        <v>1546.8593836977861</v>
      </c>
      <c r="I85" s="67">
        <f t="shared" ca="1" si="20"/>
        <v>9344.2173321060163</v>
      </c>
      <c r="J85" s="67">
        <f t="shared" ca="1" si="20"/>
        <v>30330.560258036374</v>
      </c>
      <c r="K85" s="67">
        <f t="shared" ca="1" si="20"/>
        <v>82665.946117256084</v>
      </c>
      <c r="L85" s="67">
        <f t="shared" ca="1" si="20"/>
        <v>28662.605865571837</v>
      </c>
      <c r="M85" s="67">
        <f t="shared" ca="1" si="20"/>
        <v>43759.144185179401</v>
      </c>
      <c r="N85" s="67">
        <f t="shared" ca="1" si="20"/>
        <v>76125.005923450677</v>
      </c>
      <c r="O85" s="67">
        <f t="shared" ca="1" si="20"/>
        <v>118882.0727805645</v>
      </c>
      <c r="P85" s="67">
        <f t="shared" ca="1" si="20"/>
        <v>146882.22522435634</v>
      </c>
      <c r="Q85" s="67">
        <f t="shared" ca="1" si="20"/>
        <v>146695.5833030511</v>
      </c>
      <c r="R85" s="67">
        <f t="shared" ca="1" si="20"/>
        <v>206911.35122255154</v>
      </c>
      <c r="S85" s="67">
        <f t="shared" ca="1" si="20"/>
        <v>302110.94064545422</v>
      </c>
      <c r="T85" s="67">
        <f t="shared" si="20"/>
        <v>0</v>
      </c>
      <c r="U85" s="67">
        <f t="shared" si="20"/>
        <v>0</v>
      </c>
      <c r="V85" s="67">
        <f t="shared" si="20"/>
        <v>0</v>
      </c>
      <c r="W85" s="67">
        <f t="shared" si="20"/>
        <v>0</v>
      </c>
      <c r="X85" s="67">
        <f t="shared" si="20"/>
        <v>0</v>
      </c>
      <c r="Y85" s="67">
        <f t="shared" si="20"/>
        <v>0</v>
      </c>
      <c r="Z85" s="67">
        <f t="shared" si="20"/>
        <v>0</v>
      </c>
      <c r="AA85" s="67">
        <f t="shared" si="20"/>
        <v>0</v>
      </c>
      <c r="AB85" s="67">
        <f t="shared" si="20"/>
        <v>0</v>
      </c>
      <c r="AC85" s="67">
        <f t="shared" si="20"/>
        <v>0</v>
      </c>
    </row>
    <row r="86" spans="1:29" x14ac:dyDescent="0.2">
      <c r="A86" s="22" t="s">
        <v>1064</v>
      </c>
      <c r="B86" s="8"/>
      <c r="C86" s="8"/>
      <c r="D86" s="8"/>
      <c r="E86" s="67">
        <f ca="1">E83*E129</f>
        <v>3917.6900075706112</v>
      </c>
      <c r="F86" s="67">
        <f t="shared" ref="F86:AC86" ca="1" si="21">F83*F129</f>
        <v>9671.5965605502643</v>
      </c>
      <c r="G86" s="67">
        <f t="shared" ca="1" si="21"/>
        <v>898.60065870676397</v>
      </c>
      <c r="H86" s="67">
        <f t="shared" ca="1" si="21"/>
        <v>1472.0420109320603</v>
      </c>
      <c r="I86" s="67">
        <f t="shared" ca="1" si="21"/>
        <v>5146.2774084495368</v>
      </c>
      <c r="J86" s="67">
        <f t="shared" ca="1" si="21"/>
        <v>10094.840245279996</v>
      </c>
      <c r="K86" s="67">
        <f t="shared" ca="1" si="21"/>
        <v>20872.819335770379</v>
      </c>
      <c r="L86" s="67">
        <f t="shared" ca="1" si="21"/>
        <v>7844.2602219209821</v>
      </c>
      <c r="M86" s="67">
        <f t="shared" ca="1" si="21"/>
        <v>6947.194788879001</v>
      </c>
      <c r="N86" s="67">
        <f t="shared" ca="1" si="21"/>
        <v>9114.8944337583052</v>
      </c>
      <c r="O86" s="67">
        <f t="shared" ca="1" si="21"/>
        <v>9406.74409921591</v>
      </c>
      <c r="P86" s="67">
        <f t="shared" ca="1" si="21"/>
        <v>9440.0029611679729</v>
      </c>
      <c r="Q86" s="67">
        <f t="shared" ca="1" si="21"/>
        <v>7666.2727786094956</v>
      </c>
      <c r="R86" s="67">
        <f t="shared" ca="1" si="21"/>
        <v>6931.4673756218963</v>
      </c>
      <c r="S86" s="67">
        <f t="shared" ca="1" si="21"/>
        <v>6398.424194291053</v>
      </c>
      <c r="T86" s="67">
        <f t="shared" si="21"/>
        <v>0</v>
      </c>
      <c r="U86" s="67">
        <f t="shared" si="21"/>
        <v>0</v>
      </c>
      <c r="V86" s="67">
        <f t="shared" si="21"/>
        <v>0</v>
      </c>
      <c r="W86" s="67">
        <f t="shared" si="21"/>
        <v>0</v>
      </c>
      <c r="X86" s="67">
        <f t="shared" si="21"/>
        <v>0</v>
      </c>
      <c r="Y86" s="67">
        <f t="shared" si="21"/>
        <v>0</v>
      </c>
      <c r="Z86" s="67">
        <f t="shared" si="21"/>
        <v>0</v>
      </c>
      <c r="AA86" s="67">
        <f t="shared" si="21"/>
        <v>0</v>
      </c>
      <c r="AB86" s="67">
        <f t="shared" si="21"/>
        <v>0</v>
      </c>
      <c r="AC86" s="67">
        <f t="shared" si="21"/>
        <v>0</v>
      </c>
    </row>
    <row r="87" spans="1:29" x14ac:dyDescent="0.2">
      <c r="A87" s="200" t="s">
        <v>1368</v>
      </c>
      <c r="B87" s="8"/>
      <c r="C87" s="8"/>
      <c r="D87" s="8"/>
      <c r="E87" s="66">
        <f ca="1">IFERROR((E52/'AI - Compute'!D26)*'AI - Compute'!D40,E85)</f>
        <v>2448.9247422244284</v>
      </c>
      <c r="F87" s="66">
        <f ca="1">IFERROR((F52/'AI - Compute'!E26)*'AI - Compute'!E40,F85)</f>
        <v>1465.244222024224</v>
      </c>
      <c r="G87" s="66">
        <f ca="1">IFERROR((G52/'AI - Compute'!F26)*'AI - Compute'!F40,G85)</f>
        <v>3912.2070136432822</v>
      </c>
      <c r="H87" s="66">
        <f ca="1">IFERROR((H52/'AI - Compute'!G26)*'AI - Compute'!G40,H85)</f>
        <v>12537.445855250166</v>
      </c>
      <c r="I87" s="66">
        <f ca="1">IFERROR((I52/'AI - Compute'!H26)*'AI - Compute'!H40,I85)</f>
        <v>32520.060505939986</v>
      </c>
      <c r="J87" s="66">
        <f ca="1">IFERROR((J52/'AI - Compute'!I26)*'AI - Compute'!I40,J85)</f>
        <v>63629.573940866241</v>
      </c>
      <c r="K87" s="66">
        <f ca="1">IFERROR((K52/'AI - Compute'!J26)*'AI - Compute'!J40,K85)</f>
        <v>65634.187693798696</v>
      </c>
      <c r="L87" s="66">
        <f ca="1">IFERROR((L52/'AI - Compute'!K26)*'AI - Compute'!K40,L85)</f>
        <v>36963.369525562855</v>
      </c>
      <c r="M87" s="66">
        <f ca="1">IFERROR((M52/'AI - Compute'!L26)*'AI - Compute'!L40,M85)</f>
        <v>50694.561696690776</v>
      </c>
      <c r="N87" s="66">
        <f ca="1">IFERROR((N52/'AI - Compute'!M26)*'AI - Compute'!M40,N85)</f>
        <v>73336.56155915097</v>
      </c>
      <c r="O87" s="66">
        <f ca="1">IFERROR((O52/'AI - Compute'!N26)*'AI - Compute'!N40,O85)</f>
        <v>108082.09453397585</v>
      </c>
      <c r="P87" s="66">
        <f ca="1">IFERROR((P52/'AI - Compute'!O26)*'AI - Compute'!O40,P85)</f>
        <v>123873.74031072571</v>
      </c>
      <c r="Q87" s="66">
        <f ca="1">IFERROR((Q52/'AI - Compute'!P26)*'AI - Compute'!P40,Q85)</f>
        <v>114998.9362033012</v>
      </c>
      <c r="R87" s="66">
        <f ca="1">IFERROR((R52/'AI - Compute'!Q26)*'AI - Compute'!Q40,R85)</f>
        <v>147077.78052529853</v>
      </c>
      <c r="S87" s="66">
        <f ca="1">IFERROR((S52/'AI - Compute'!R26)*'AI - Compute'!R40,S85)</f>
        <v>185097.97928440082</v>
      </c>
    </row>
    <row r="88" spans="1:29" x14ac:dyDescent="0.2">
      <c r="A88" s="201" t="s">
        <v>1065</v>
      </c>
      <c r="B88" s="8"/>
      <c r="C88" s="8"/>
      <c r="D88" s="63">
        <f ca="1">MIN(D85 + D94, INDEX('AI - Compute'!D:D, MATCH("ODC demand-buildable CapEx ($mm)", 'AI - Compute'!$A:$A,0)))</f>
        <v>0</v>
      </c>
      <c r="E88" s="66">
        <f ca="1">MIN(E85 + E94, INDEX('AI - Compute'!E:E, MATCH("ODC demand-buildable CapEx ($mm)", 'AI - Compute'!$A:$A,0)))</f>
        <v>3673.6645174052396</v>
      </c>
      <c r="F88" s="66">
        <f ca="1">MIN(F85 + F94, INDEX('AI - Compute'!F:F, MATCH("ODC demand-buildable CapEx ($mm)", 'AI - Compute'!$A:$A,0)))</f>
        <v>6956.9530665582733</v>
      </c>
      <c r="G88" s="66">
        <f ca="1">MIN(G85 + G94, INDEX('AI - Compute'!G:G, MATCH("ODC demand-buildable CapEx ($mm)", 'AI - Compute'!$A:$A,0)))</f>
        <v>1245.5255750836131</v>
      </c>
      <c r="H88" s="66">
        <f ca="1">MIN(H85 + H94, INDEX('AI - Compute'!H:H, MATCH("ODC demand-buildable CapEx ($mm)", 'AI - Compute'!$A:$A,0)))</f>
        <v>1546.859383697788</v>
      </c>
      <c r="I88" s="66">
        <f ca="1">MIN(I85 + I94, INDEX('AI - Compute'!I:I, MATCH("ODC demand-buildable CapEx ($mm)", 'AI - Compute'!$A:$A,0)))</f>
        <v>9344.2173321060181</v>
      </c>
      <c r="J88" s="66">
        <f ca="1">MIN(J85 + J94, INDEX('AI - Compute'!J:J, MATCH("ODC demand-buildable CapEx ($mm)", 'AI - Compute'!$A:$A,0)))</f>
        <v>30330.560258036374</v>
      </c>
      <c r="K88" s="66">
        <f ca="1">MIN(K85 + K94, INDEX('AI - Compute'!K:K, MATCH("ODC demand-buildable CapEx ($mm)", 'AI - Compute'!$A:$A,0)))</f>
        <v>64321.857651067534</v>
      </c>
      <c r="L88" s="66">
        <f ca="1">MIN(L85 + L94, INDEX('AI - Compute'!L:L, MATCH("ODC demand-buildable CapEx ($mm)", 'AI - Compute'!$A:$A,0)))</f>
        <v>28662.605865571837</v>
      </c>
      <c r="M88" s="66">
        <f ca="1">MIN(M85 + M94, INDEX('AI - Compute'!M:M, MATCH("ODC demand-buildable CapEx ($mm)", 'AI - Compute'!$A:$A,0)))</f>
        <v>50155.928014036006</v>
      </c>
      <c r="N88" s="66">
        <f ca="1">MIN(N85 + N94, INDEX('AI - Compute'!N:N, MATCH("ODC demand-buildable CapEx ($mm)", 'AI - Compute'!$A:$A,0)))</f>
        <v>72518.27241705246</v>
      </c>
      <c r="O88" s="66">
        <f ca="1">MIN(O85 + O94, INDEX('AI - Compute'!O:O, MATCH("ODC demand-buildable CapEx ($mm)", 'AI - Compute'!$A:$A,0)))</f>
        <v>106552.98442822111</v>
      </c>
      <c r="P88" s="66">
        <f ca="1">MIN(P85 + P94, INDEX('AI - Compute'!P:P, MATCH("ODC demand-buildable CapEx ($mm)", 'AI - Compute'!$A:$A,0)))</f>
        <v>121486.14885606094</v>
      </c>
      <c r="Q88" s="66">
        <f ca="1">MIN(Q85 + Q94, INDEX('AI - Compute'!Q:Q, MATCH("ODC demand-buildable CapEx ($mm)", 'AI - Compute'!$A:$A,0)))</f>
        <v>112903.7527822902</v>
      </c>
      <c r="R88" s="66">
        <f ca="1">MIN(R85 + R94, INDEX('AI - Compute'!R:R, MATCH("ODC demand-buildable CapEx ($mm)", 'AI - Compute'!$A:$A,0)))</f>
        <v>144639.50776063409</v>
      </c>
      <c r="S88" s="66">
        <f ca="1">MIN(S85 + S94, INDEX('AI - Compute'!S:S, MATCH("ODC demand-buildable CapEx ($mm)", 'AI - Compute'!$A:$A,0)))</f>
        <v>191608.03192718563</v>
      </c>
    </row>
    <row r="89" spans="1:29" x14ac:dyDescent="0.2">
      <c r="A89" s="200" t="s">
        <v>1369</v>
      </c>
      <c r="B89" s="8"/>
      <c r="C89" s="8"/>
      <c r="D89" s="161">
        <v>0</v>
      </c>
      <c r="E89" s="175">
        <f t="shared" ref="E89:S89" ca="1" si="22">MAX(0, (D85 + D94) - D88)</f>
        <v>0</v>
      </c>
      <c r="F89" s="67">
        <f t="shared" ca="1" si="22"/>
        <v>0</v>
      </c>
      <c r="G89" s="67">
        <f t="shared" ca="1" si="22"/>
        <v>0</v>
      </c>
      <c r="H89" s="67">
        <f t="shared" ca="1" si="22"/>
        <v>0</v>
      </c>
      <c r="I89" s="67">
        <f t="shared" ca="1" si="22"/>
        <v>0</v>
      </c>
      <c r="J89" s="67">
        <f t="shared" ca="1" si="22"/>
        <v>0</v>
      </c>
      <c r="K89" s="67">
        <f t="shared" ca="1" si="22"/>
        <v>0</v>
      </c>
      <c r="L89" s="67">
        <f t="shared" ca="1" si="22"/>
        <v>18344.08846618855</v>
      </c>
      <c r="M89" s="67">
        <f t="shared" ca="1" si="22"/>
        <v>0</v>
      </c>
      <c r="N89" s="67">
        <f t="shared" ca="1" si="22"/>
        <v>19791.564859252918</v>
      </c>
      <c r="O89" s="67">
        <f t="shared" ca="1" si="22"/>
        <v>10003.51733525483</v>
      </c>
      <c r="P89" s="67">
        <f t="shared" ca="1" si="22"/>
        <v>28513.919705198074</v>
      </c>
      <c r="Q89" s="67">
        <f t="shared" ca="1" si="22"/>
        <v>25396.076368295398</v>
      </c>
      <c r="R89" s="67">
        <f t="shared" ca="1" si="22"/>
        <v>36909.673857663569</v>
      </c>
      <c r="S89" s="67">
        <f t="shared" ca="1" si="22"/>
        <v>62271.843461917451</v>
      </c>
    </row>
    <row r="90" spans="1:29" x14ac:dyDescent="0.2">
      <c r="A90" s="201" t="s">
        <v>1066</v>
      </c>
      <c r="B90" s="8"/>
      <c r="C90" s="8"/>
      <c r="D90" s="63">
        <f ca="1">MIN(D86 + D89, INDEX('AI - Compute'!D:D, MATCH("Terr demand-buildable CapEx ($mm)", 'AI - Compute'!$A:$A,0)), MAX(0, (D37*D25) - D88))</f>
        <v>0</v>
      </c>
      <c r="E90" s="63">
        <f ca="1">MIN(E86 + E89, INDEX('AI - Compute'!E:E, MATCH("Terr demand-buildable CapEx ($mm)", 'AI - Compute'!$A:$A,0)), MAX(0, E129 - E88))</f>
        <v>3917.6900075706103</v>
      </c>
      <c r="F90" s="63">
        <f ca="1">MIN(F86 + F89, INDEX('AI - Compute'!F:F, MATCH("Terr demand-buildable CapEx ($mm)", 'AI - Compute'!$A:$A,0)), MAX(0, F129 - F88))</f>
        <v>9671.5965605502624</v>
      </c>
      <c r="G90" s="63">
        <f ca="1">MIN(G86 + G89, INDEX('AI - Compute'!G:G, MATCH("Terr demand-buildable CapEx ($mm)", 'AI - Compute'!$A:$A,0)), MAX(0, G129 - G88))</f>
        <v>898.60065870676226</v>
      </c>
      <c r="H90" s="63">
        <f ca="1">MIN(H86 + H89, INDEX('AI - Compute'!H:H, MATCH("Terr demand-buildable CapEx ($mm)", 'AI - Compute'!$A:$A,0)), MAX(0, H129 - H88))</f>
        <v>1472.042010932058</v>
      </c>
      <c r="I90" s="63">
        <f ca="1">MIN(I86 + I89, INDEX('AI - Compute'!I:I, MATCH("Terr demand-buildable CapEx ($mm)", 'AI - Compute'!$A:$A,0)), MAX(0, I129 - I88))</f>
        <v>5146.2774084495359</v>
      </c>
      <c r="J90" s="63">
        <f ca="1">MIN(J86 + J89, INDEX('AI - Compute'!J:J, MATCH("Terr demand-buildable CapEx ($mm)", 'AI - Compute'!$A:$A,0)), MAX(0, J129 - J88))</f>
        <v>10094.840245279996</v>
      </c>
      <c r="K90" s="63">
        <f ca="1">MIN(K86 + K89, INDEX('AI - Compute'!K:K, MATCH("Terr demand-buildable CapEx ($mm)", 'AI - Compute'!$A:$A,0)), MAX(0, K129 - K88))</f>
        <v>20872.819335770379</v>
      </c>
      <c r="L90" s="63">
        <f ca="1">MIN(L86 + L89, INDEX('AI - Compute'!L:L, MATCH("Terr demand-buildable CapEx ($mm)", 'AI - Compute'!$A:$A,0)), MAX(0, L129 - L88))</f>
        <v>0</v>
      </c>
      <c r="M90" s="63">
        <f ca="1">MIN(M86 + M89, INDEX('AI - Compute'!M:M, MATCH("Terr demand-buildable CapEx ($mm)", 'AI - Compute'!$A:$A,0)), MAX(0, M129 - M88))</f>
        <v>550.41096002238919</v>
      </c>
      <c r="N90" s="63">
        <f ca="1">MIN(N86 + N89, INDEX('AI - Compute'!N:N, MATCH("Terr demand-buildable CapEx ($mm)", 'AI - Compute'!$A:$A,0)), MAX(0, N129 - N88))</f>
        <v>12721.627940156526</v>
      </c>
      <c r="O90" s="63">
        <f ca="1">MIN(O86 + O89, INDEX('AI - Compute'!O:O, MATCH("Terr demand-buildable CapEx ($mm)", 'AI - Compute'!$A:$A,0)), MAX(0, O129 - O88))</f>
        <v>19410.26143447074</v>
      </c>
      <c r="P90" s="63">
        <f ca="1">MIN(P86 + P89, INDEX('AI - Compute'!P:P, MATCH("Terr demand-buildable CapEx ($mm)", 'AI - Compute'!$A:$A,0)), MAX(0, P129 - P88))</f>
        <v>34836.07932946337</v>
      </c>
      <c r="Q90" s="63">
        <f ca="1">MIN(Q86 + Q89, INDEX('AI - Compute'!Q:Q, MATCH("Terr demand-buildable CapEx ($mm)", 'AI - Compute'!$A:$A,0)), MAX(0, Q129 - Q88))</f>
        <v>33062.349146904897</v>
      </c>
      <c r="R90" s="63">
        <f ca="1">MIN(R86 + R89, INDEX('AI - Compute'!R:R, MATCH("Terr demand-buildable CapEx ($mm)", 'AI - Compute'!$A:$A,0)), MAX(0, R129 - R88))</f>
        <v>43841.141233285467</v>
      </c>
      <c r="S90" s="63">
        <f ca="1">MIN(S86 + S89, INDEX('AI - Compute'!S:S, MATCH("Terr demand-buildable CapEx ($mm)", 'AI - Compute'!$A:$A,0)), MAX(0, S129 - S88))</f>
        <v>68670.267656208511</v>
      </c>
      <c r="T90" s="63">
        <f>MIN(T86 + T89, INDEX('AI - Compute'!T:T, MATCH("Terr demand-buildable CapEx ($mm)", 'AI - Compute'!$A:$A,0)), MAX(0, T129 - T88))</f>
        <v>0</v>
      </c>
      <c r="U90" s="63">
        <f>MIN(U86 + U89, INDEX('AI - Compute'!U:U, MATCH("Terr demand-buildable CapEx ($mm)", 'AI - Compute'!$A:$A,0)), MAX(0, U129 - U88))</f>
        <v>0</v>
      </c>
      <c r="V90" s="63">
        <f>MIN(V86 + V89, INDEX('AI - Compute'!V:V, MATCH("Terr demand-buildable CapEx ($mm)", 'AI - Compute'!$A:$A,0)), MAX(0, V129 - V88))</f>
        <v>0</v>
      </c>
      <c r="W90" s="63">
        <f>MIN(W86 + W89, INDEX('AI - Compute'!W:W, MATCH("Terr demand-buildable CapEx ($mm)", 'AI - Compute'!$A:$A,0)), MAX(0, W129 - W88))</f>
        <v>0</v>
      </c>
      <c r="X90" s="63">
        <f>MIN(X86 + X89, INDEX('AI - Compute'!X:X, MATCH("Terr demand-buildable CapEx ($mm)", 'AI - Compute'!$A:$A,0)), MAX(0, X129 - X88))</f>
        <v>0</v>
      </c>
      <c r="Y90" s="63">
        <f>MIN(Y86 + Y89, INDEX('AI - Compute'!Y:Y, MATCH("Terr demand-buildable CapEx ($mm)", 'AI - Compute'!$A:$A,0)), MAX(0, Y129 - Y88))</f>
        <v>0</v>
      </c>
      <c r="Z90" s="63">
        <f>MIN(Z86 + Z89, INDEX('AI - Compute'!Z:Z, MATCH("Terr demand-buildable CapEx ($mm)", 'AI - Compute'!$A:$A,0)), MAX(0, Z129 - Z88))</f>
        <v>0</v>
      </c>
      <c r="AA90" s="63">
        <f>MIN(AA86 + AA89, INDEX('AI - Compute'!AA:AA, MATCH("Terr demand-buildable CapEx ($mm)", 'AI - Compute'!$A:$A,0)), MAX(0, AA129 - AA88))</f>
        <v>0</v>
      </c>
      <c r="AB90" s="63">
        <f>MIN(AB86 + AB89, INDEX('AI - Compute'!AB:AB, MATCH("Terr demand-buildable CapEx ($mm)", 'AI - Compute'!$A:$A,0)), MAX(0, AB129 - AB88))</f>
        <v>0</v>
      </c>
      <c r="AC90" s="63">
        <f>MIN(AC86 + AC89, INDEX('AI - Compute'!AC:AC, MATCH("Terr demand-buildable CapEx ($mm)", 'AI - Compute'!$A:$A,0)), MAX(0, AC129 - AC88))</f>
        <v>0</v>
      </c>
    </row>
    <row r="91" spans="1:29" x14ac:dyDescent="0.2">
      <c r="A91" s="200" t="s">
        <v>1370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29" x14ac:dyDescent="0.2">
      <c r="A92" s="24" t="s">
        <v>1067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29" x14ac:dyDescent="0.2">
      <c r="A93" s="22" t="s">
        <v>1371</v>
      </c>
      <c r="B93" s="8"/>
      <c r="C93" s="8"/>
      <c r="D93" s="175">
        <f t="shared" ref="D93" ca="1" si="23">ROUND((D85+D86)-(D88+D90),3)</f>
        <v>0</v>
      </c>
      <c r="E93" s="67">
        <f t="shared" ref="E93:S93" ca="1" si="24">ROUND((E85+E86)-(E88+E90),3)</f>
        <v>0</v>
      </c>
      <c r="F93" s="67">
        <f t="shared" ca="1" si="24"/>
        <v>0</v>
      </c>
      <c r="G93" s="67">
        <f t="shared" ca="1" si="24"/>
        <v>0</v>
      </c>
      <c r="H93" s="67">
        <f t="shared" ca="1" si="24"/>
        <v>0</v>
      </c>
      <c r="I93" s="67">
        <f t="shared" ca="1" si="24"/>
        <v>0</v>
      </c>
      <c r="J93" s="67">
        <f t="shared" ca="1" si="24"/>
        <v>0</v>
      </c>
      <c r="K93" s="67">
        <f t="shared" ca="1" si="24"/>
        <v>18344.088</v>
      </c>
      <c r="L93" s="67">
        <f t="shared" ca="1" si="24"/>
        <v>7844.26</v>
      </c>
      <c r="M93" s="67">
        <f t="shared" ca="1" si="24"/>
        <v>0</v>
      </c>
      <c r="N93" s="67">
        <f t="shared" ca="1" si="24"/>
        <v>0</v>
      </c>
      <c r="O93" s="67">
        <f t="shared" ca="1" si="24"/>
        <v>2325.5709999999999</v>
      </c>
      <c r="P93" s="67">
        <f t="shared" ca="1" si="24"/>
        <v>0</v>
      </c>
      <c r="Q93" s="67">
        <f t="shared" ca="1" si="24"/>
        <v>8395.7540000000008</v>
      </c>
      <c r="R93" s="67">
        <f t="shared" ca="1" si="24"/>
        <v>25362.17</v>
      </c>
      <c r="S93" s="67">
        <f t="shared" ca="1" si="24"/>
        <v>48231.065000000002</v>
      </c>
    </row>
    <row r="94" spans="1:29" x14ac:dyDescent="0.2">
      <c r="A94" s="24" t="s">
        <v>1372</v>
      </c>
      <c r="B94" s="8"/>
      <c r="C94" s="8"/>
      <c r="D94" s="161">
        <v>0</v>
      </c>
      <c r="E94" s="175">
        <f t="shared" ref="E94:S94" ca="1" si="25">MAX(0, (D86 + D89) - D90)</f>
        <v>0</v>
      </c>
      <c r="F94" s="67">
        <f t="shared" ca="1" si="25"/>
        <v>9.0949470177292824E-13</v>
      </c>
      <c r="G94" s="67">
        <f t="shared" ca="1" si="25"/>
        <v>1.8189894035458565E-12</v>
      </c>
      <c r="H94" s="67">
        <f t="shared" ca="1" si="25"/>
        <v>1.7053025658242404E-12</v>
      </c>
      <c r="I94" s="67">
        <f t="shared" ca="1" si="25"/>
        <v>2.2737367544323206E-12</v>
      </c>
      <c r="J94" s="67">
        <f t="shared" ca="1" si="25"/>
        <v>9.0949470177292824E-13</v>
      </c>
      <c r="K94" s="67">
        <f t="shared" ca="1" si="25"/>
        <v>0</v>
      </c>
      <c r="L94" s="67">
        <f t="shared" ca="1" si="25"/>
        <v>0</v>
      </c>
      <c r="M94" s="67">
        <f t="shared" ca="1" si="25"/>
        <v>26188.34868810953</v>
      </c>
      <c r="N94" s="67">
        <f t="shared" ca="1" si="25"/>
        <v>6396.7838288566118</v>
      </c>
      <c r="O94" s="67">
        <f t="shared" ca="1" si="25"/>
        <v>16184.831352854697</v>
      </c>
      <c r="P94" s="67">
        <f t="shared" ca="1" si="25"/>
        <v>0</v>
      </c>
      <c r="Q94" s="67">
        <f t="shared" ca="1" si="25"/>
        <v>3117.8433369026752</v>
      </c>
      <c r="R94" s="67">
        <f t="shared" ca="1" si="25"/>
        <v>0</v>
      </c>
      <c r="S94" s="67">
        <f t="shared" ca="1" si="25"/>
        <v>0</v>
      </c>
    </row>
    <row r="95" spans="1:29" x14ac:dyDescent="0.2">
      <c r="A95" s="18" t="s">
        <v>1635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</row>
    <row r="96" spans="1:29" x14ac:dyDescent="0.2">
      <c r="A96" s="22" t="s">
        <v>1373</v>
      </c>
      <c r="B96" s="8"/>
      <c r="C96" s="8"/>
      <c r="D96" s="44">
        <f>IFERROR(AVERAGE(D28,D29,D30),0)</f>
        <v>0</v>
      </c>
      <c r="E96" s="44">
        <f t="shared" ref="E96:S96" ca="1" si="26">AVERAGE(E28,E29,E30)</f>
        <v>0.15634787972600431</v>
      </c>
      <c r="F96" s="44">
        <f t="shared" ca="1" si="26"/>
        <v>0.13542371433294567</v>
      </c>
      <c r="G96" s="44">
        <f t="shared" ca="1" si="26"/>
        <v>0.57330535815499362</v>
      </c>
      <c r="H96" s="44">
        <f t="shared" ca="1" si="26"/>
        <v>0.43789528097640895</v>
      </c>
      <c r="I96" s="44">
        <f t="shared" ca="1" si="26"/>
        <v>0.23505776497073838</v>
      </c>
      <c r="J96" s="44">
        <f t="shared" ca="1" si="26"/>
        <v>0.22017910092275692</v>
      </c>
      <c r="K96" s="44">
        <f t="shared" ca="1" si="26"/>
        <v>0.11562314814517384</v>
      </c>
      <c r="L96" s="44">
        <f t="shared" ca="1" si="26"/>
        <v>0.63518847976522885</v>
      </c>
      <c r="M96" s="44">
        <f t="shared" ca="1" si="26"/>
        <v>0.59708573796844322</v>
      </c>
      <c r="N96" s="44">
        <f t="shared" ca="1" si="26"/>
        <v>0.53085947137717449</v>
      </c>
      <c r="O96" s="44">
        <f t="shared" ca="1" si="26"/>
        <v>0.46892260011935843</v>
      </c>
      <c r="P96" s="44">
        <f t="shared" ca="1" si="26"/>
        <v>0.44060480220205728</v>
      </c>
      <c r="Q96" s="44">
        <f t="shared" ca="1" si="26"/>
        <v>0.38408709406696923</v>
      </c>
      <c r="R96" s="44">
        <f t="shared" ca="1" si="26"/>
        <v>0.36004485540637493</v>
      </c>
      <c r="S96" s="44">
        <f t="shared" ca="1" si="26"/>
        <v>0.31971486166805357</v>
      </c>
    </row>
    <row r="97" spans="1:19" x14ac:dyDescent="0.2">
      <c r="A97" s="22" t="s">
        <v>1072</v>
      </c>
      <c r="B97" s="8"/>
      <c r="C97" s="8"/>
      <c r="D97" s="43">
        <v>0</v>
      </c>
      <c r="E97" s="59">
        <f>IF(E$4&lt;Assumptions!$B$406, 0, IFERROR(MEDIAN(0,(Assumptions!$B$407-E96)/(Assumptions!$B$407-Assumptions!$B$408),1),0))</f>
        <v>0</v>
      </c>
      <c r="F97" s="59">
        <f>IF(F$4&lt;Assumptions!$B$406, 0, IFERROR(MEDIAN(0,(Assumptions!$B$407-F96)/(Assumptions!$B$407-Assumptions!$B$408),1),0))</f>
        <v>0</v>
      </c>
      <c r="G97" s="59">
        <f>IF(G$4&lt;Assumptions!$B$406, 0, IFERROR(MEDIAN(0,(Assumptions!$B$407-G96)/(Assumptions!$B$407-Assumptions!$B$408),1),0))</f>
        <v>0</v>
      </c>
      <c r="H97" s="59">
        <f>IF(H$4&lt;Assumptions!$B$406, 0, IFERROR(MEDIAN(0,(Assumptions!$B$407-H96)/(Assumptions!$B$407-Assumptions!$B$408),1),0))</f>
        <v>0</v>
      </c>
      <c r="I97" s="59">
        <f ca="1">IF(I$4&lt;Assumptions!$B$406, 0, IFERROR(MEDIAN(0,(Assumptions!$B$407-I96)/(Assumptions!$B$407-Assumptions!$B$408),1),0))</f>
        <v>0.66235558757315405</v>
      </c>
      <c r="J97" s="59">
        <f ca="1">IF(J$4&lt;Assumptions!$B$406, 0, IFERROR(MEDIAN(0,(Assumptions!$B$407-J96)/(Assumptions!$B$407-Assumptions!$B$408),1),0))</f>
        <v>0.69955224769310764</v>
      </c>
      <c r="K97" s="59">
        <f ca="1">IF(K$4&lt;Assumptions!$B$406, 0, IFERROR(MEDIAN(0,(Assumptions!$B$407-K96)/(Assumptions!$B$407-Assumptions!$B$408),1),0))</f>
        <v>0.96094212963706538</v>
      </c>
      <c r="L97" s="59">
        <f ca="1">IF(L$4&lt;Assumptions!$B$406, 0, IFERROR(MEDIAN(0,(Assumptions!$B$407-L96)/(Assumptions!$B$407-Assumptions!$B$408),1),0))</f>
        <v>0</v>
      </c>
      <c r="M97" s="59">
        <f ca="1">IF(M$4&lt;Assumptions!$B$406, 0, IFERROR(MEDIAN(0,(Assumptions!$B$407-M96)/(Assumptions!$B$407-Assumptions!$B$408),1),0))</f>
        <v>0</v>
      </c>
      <c r="N97" s="59">
        <f ca="1">IF(N$4&lt;Assumptions!$B$406, 0, IFERROR(MEDIAN(0,(Assumptions!$B$407-N96)/(Assumptions!$B$407-Assumptions!$B$408),1),0))</f>
        <v>0</v>
      </c>
      <c r="O97" s="59">
        <f ca="1">IF(O$4&lt;Assumptions!$B$406, 0, IFERROR(MEDIAN(0,(Assumptions!$B$407-O96)/(Assumptions!$B$407-Assumptions!$B$408),1),0))</f>
        <v>7.7693499701603913E-2</v>
      </c>
      <c r="P97" s="59">
        <f ca="1">IF(P$4&lt;Assumptions!$B$406, 0, IFERROR(MEDIAN(0,(Assumptions!$B$407-P96)/(Assumptions!$B$407-Assumptions!$B$408),1),0))</f>
        <v>0.14848799449485681</v>
      </c>
      <c r="Q97" s="59">
        <f ca="1">IF(Q$4&lt;Assumptions!$B$406, 0, IFERROR(MEDIAN(0,(Assumptions!$B$407-Q96)/(Assumptions!$B$407-Assumptions!$B$408),1),0))</f>
        <v>0.28978226483257691</v>
      </c>
      <c r="R97" s="59">
        <f ca="1">IF(R$4&lt;Assumptions!$B$406, 0, IFERROR(MEDIAN(0,(Assumptions!$B$407-R96)/(Assumptions!$B$407-Assumptions!$B$408),1),0))</f>
        <v>0.34988786148406265</v>
      </c>
      <c r="S97" s="59">
        <f ca="1">IF(S$4&lt;Assumptions!$B$406, 0, IFERROR(MEDIAN(0,(Assumptions!$B$407-S96)/(Assumptions!$B$407-Assumptions!$B$408),1),0))</f>
        <v>0.45071284582986604</v>
      </c>
    </row>
    <row r="98" spans="1:19" x14ac:dyDescent="0.2">
      <c r="A98" s="22" t="s">
        <v>1073</v>
      </c>
      <c r="B98" s="8"/>
      <c r="C98" s="8"/>
      <c r="D98" s="92">
        <f>Assumptions!$B$12</f>
        <v>0.15</v>
      </c>
      <c r="E98" s="92">
        <f>Assumptions!$B$12 + E97*(Assumptions!$B$409-Assumptions!$B$12)</f>
        <v>0.15</v>
      </c>
      <c r="F98" s="92">
        <f>Assumptions!$B$12 + F97*(Assumptions!$B$409-Assumptions!$B$12)</f>
        <v>0.15</v>
      </c>
      <c r="G98" s="92">
        <f>Assumptions!$B$12 + G97*(Assumptions!$B$409-Assumptions!$B$12)</f>
        <v>0.15</v>
      </c>
      <c r="H98" s="92">
        <f>Assumptions!$B$12 + H97*(Assumptions!$B$409-Assumptions!$B$12)</f>
        <v>0.15</v>
      </c>
      <c r="I98" s="92">
        <f ca="1">Assumptions!$B$12 + I97*(Assumptions!$B$409-Assumptions!$B$12)</f>
        <v>0.28247111751463083</v>
      </c>
      <c r="J98" s="92">
        <f ca="1">Assumptions!$B$12 + J97*(Assumptions!$B$409-Assumptions!$B$12)</f>
        <v>0.28991044953862155</v>
      </c>
      <c r="K98" s="92">
        <f ca="1">Assumptions!$B$12 + K97*(Assumptions!$B$409-Assumptions!$B$12)</f>
        <v>0.34218842592741305</v>
      </c>
      <c r="L98" s="92">
        <f ca="1">Assumptions!$B$12 + L97*(Assumptions!$B$409-Assumptions!$B$12)</f>
        <v>0.15</v>
      </c>
      <c r="M98" s="92">
        <f ca="1">Assumptions!$B$12 + M97*(Assumptions!$B$409-Assumptions!$B$12)</f>
        <v>0.15</v>
      </c>
      <c r="N98" s="92">
        <f ca="1">Assumptions!$B$12 + N97*(Assumptions!$B$409-Assumptions!$B$12)</f>
        <v>0.15</v>
      </c>
      <c r="O98" s="92">
        <f ca="1">Assumptions!$B$12 + O97*(Assumptions!$B$409-Assumptions!$B$12)</f>
        <v>0.16553869994032078</v>
      </c>
      <c r="P98" s="92">
        <f ca="1">Assumptions!$B$12 + P97*(Assumptions!$B$409-Assumptions!$B$12)</f>
        <v>0.17969759889897136</v>
      </c>
      <c r="Q98" s="92">
        <f ca="1">Assumptions!$B$12 + Q97*(Assumptions!$B$409-Assumptions!$B$12)</f>
        <v>0.20795645296651538</v>
      </c>
      <c r="R98" s="92">
        <f ca="1">Assumptions!$B$12 + R97*(Assumptions!$B$409-Assumptions!$B$12)</f>
        <v>0.21997757229681253</v>
      </c>
      <c r="S98" s="92">
        <f ca="1">Assumptions!$B$12 + S97*(Assumptions!$B$409-Assumptions!$B$12)</f>
        <v>0.24014256916597321</v>
      </c>
    </row>
    <row r="99" spans="1:19" x14ac:dyDescent="0.2">
      <c r="A99" s="22" t="s">
        <v>1516</v>
      </c>
      <c r="B99" s="8"/>
      <c r="C99" s="8"/>
      <c r="D99" s="66">
        <f>IFERROR(INDEX(Starlink!$D:$AC,MATCH("Demand-saturation deployment headroom (sats)",Starlink!$A:$A,0),MATCH(D$4,Starlink!$D$4:$AC$4,0)) * INDEX(Starlink!$D:$AC,MATCH("Blended new-sat mass (kg/sat): share-weighted, regime-gated (acyclic)",Starlink!$A:$A,0),MATCH(D$4,Starlink!$D$4:$AC$4,0)),0)</f>
        <v>149533125.97600001</v>
      </c>
      <c r="E99" s="66">
        <f>IFERROR(INDEX(Starlink!$D:$AC,MATCH("Demand-saturation deployment headroom (sats)",Starlink!$A:$A,0),MATCH(E$4,Starlink!$D$4:$AC$4,0)) * INDEX(Starlink!$D:$AC,MATCH("Blended new-sat mass (kg/sat): share-weighted, regime-gated (acyclic)",Starlink!$A:$A,0),MATCH(E$4,Starlink!$D$4:$AC$4,0)),0)</f>
        <v>149533125.97600001</v>
      </c>
      <c r="F99" s="66">
        <f ca="1">IFERROR(INDEX(Starlink!$D:$AC,MATCH("Demand-saturation deployment headroom (sats)",Starlink!$A:$A,0),MATCH(F$4,Starlink!$D$4:$AC$4,0)) * INDEX(Starlink!$D:$AC,MATCH("Blended new-sat mass (kg/sat): share-weighted, regime-gated (acyclic)",Starlink!$A:$A,0),MATCH(F$4,Starlink!$D$4:$AC$4,0)),0)</f>
        <v>498572672</v>
      </c>
      <c r="G99" s="66">
        <f ca="1">IFERROR(INDEX(Starlink!$D:$AC,MATCH("Demand-saturation deployment headroom (sats)",Starlink!$A:$A,0),MATCH(G$4,Starlink!$D$4:$AC$4,0)) * INDEX(Starlink!$D:$AC,MATCH("Blended new-sat mass (kg/sat): share-weighted, regime-gated (acyclic)",Starlink!$A:$A,0),MATCH(G$4,Starlink!$D$4:$AC$4,0)),0)</f>
        <v>490738963.24987143</v>
      </c>
      <c r="H99" s="66">
        <f ca="1">IFERROR(INDEX(Starlink!$D:$AC,MATCH("Demand-saturation deployment headroom (sats)",Starlink!$A:$A,0),MATCH(H$4,Starlink!$D$4:$AC$4,0)) * INDEX(Starlink!$D:$AC,MATCH("Blended new-sat mass (kg/sat): share-weighted, regime-gated (acyclic)",Starlink!$A:$A,0),MATCH(H$4,Starlink!$D$4:$AC$4,0)),0)</f>
        <v>472180394.81956673</v>
      </c>
      <c r="I99" s="66">
        <f ca="1">IFERROR(INDEX(Starlink!$D:$AC,MATCH("Demand-saturation deployment headroom (sats)",Starlink!$A:$A,0),MATCH(I$4,Starlink!$D$4:$AC$4,0)) * INDEX(Starlink!$D:$AC,MATCH("Blended new-sat mass (kg/sat): share-weighted, regime-gated (acyclic)",Starlink!$A:$A,0),MATCH(I$4,Starlink!$D$4:$AC$4,0)),0)</f>
        <v>431810954.44176048</v>
      </c>
      <c r="J99" s="66">
        <f ca="1">IFERROR(INDEX(Starlink!$D:$AC,MATCH("Demand-saturation deployment headroom (sats)",Starlink!$A:$A,0),MATCH(J$4,Starlink!$D$4:$AC$4,0)) * INDEX(Starlink!$D:$AC,MATCH("Blended new-sat mass (kg/sat): share-weighted, regime-gated (acyclic)",Starlink!$A:$A,0),MATCH(J$4,Starlink!$D$4:$AC$4,0)),0)</f>
        <v>407359061.91114902</v>
      </c>
      <c r="K99" s="66">
        <f ca="1">IFERROR(INDEX(Starlink!$D:$AC,MATCH("Demand-saturation deployment headroom (sats)",Starlink!$A:$A,0),MATCH(K$4,Starlink!$D$4:$AC$4,0)) * INDEX(Starlink!$D:$AC,MATCH("Blended new-sat mass (kg/sat): share-weighted, regime-gated (acyclic)",Starlink!$A:$A,0),MATCH(K$4,Starlink!$D$4:$AC$4,0)),0)</f>
        <v>352654879.83528459</v>
      </c>
      <c r="L99" s="66">
        <f ca="1">IFERROR(INDEX(Starlink!$D:$AC,MATCH("Demand-saturation deployment headroom (sats)",Starlink!$A:$A,0),MATCH(L$4,Starlink!$D$4:$AC$4,0)) * INDEX(Starlink!$D:$AC,MATCH("Blended new-sat mass (kg/sat): share-weighted, regime-gated (acyclic)",Starlink!$A:$A,0),MATCH(L$4,Starlink!$D$4:$AC$4,0)),0)</f>
        <v>335404222.12931043</v>
      </c>
      <c r="M99" s="66">
        <f ca="1">IFERROR(INDEX(Starlink!$D:$AC,MATCH("Demand-saturation deployment headroom (sats)",Starlink!$A:$A,0),MATCH(M$4,Starlink!$D$4:$AC$4,0)) * INDEX(Starlink!$D:$AC,MATCH("Blended new-sat mass (kg/sat): share-weighted, regime-gated (acyclic)",Starlink!$A:$A,0),MATCH(M$4,Starlink!$D$4:$AC$4,0)),0)</f>
        <v>324752029.43746173</v>
      </c>
      <c r="N99" s="66">
        <f ca="1">IFERROR(INDEX(Starlink!$D:$AC,MATCH("Demand-saturation deployment headroom (sats)",Starlink!$A:$A,0),MATCH(N$4,Starlink!$D$4:$AC$4,0)) * INDEX(Starlink!$D:$AC,MATCH("Blended new-sat mass (kg/sat): share-weighted, regime-gated (acyclic)",Starlink!$A:$A,0),MATCH(N$4,Starlink!$D$4:$AC$4,0)),0)</f>
        <v>316698673.12961364</v>
      </c>
      <c r="O99" s="66">
        <f ca="1">IFERROR(INDEX(Starlink!$D:$AC,MATCH("Demand-saturation deployment headroom (sats)",Starlink!$A:$A,0),MATCH(O$4,Starlink!$D$4:$AC$4,0)) * INDEX(Starlink!$D:$AC,MATCH("Blended new-sat mass (kg/sat): share-weighted, regime-gated (acyclic)",Starlink!$A:$A,0),MATCH(O$4,Starlink!$D$4:$AC$4,0)),0)</f>
        <v>274584441.40495932</v>
      </c>
      <c r="P99" s="66">
        <f ca="1">IFERROR(INDEX(Starlink!$D:$AC,MATCH("Demand-saturation deployment headroom (sats)",Starlink!$A:$A,0),MATCH(P$4,Starlink!$D$4:$AC$4,0)) * INDEX(Starlink!$D:$AC,MATCH("Blended new-sat mass (kg/sat): share-weighted, regime-gated (acyclic)",Starlink!$A:$A,0),MATCH(P$4,Starlink!$D$4:$AC$4,0)),0)</f>
        <v>202940367.01054126</v>
      </c>
      <c r="Q99" s="66">
        <f ca="1">IFERROR(INDEX(Starlink!$D:$AC,MATCH("Demand-saturation deployment headroom (sats)",Starlink!$A:$A,0),MATCH(Q$4,Starlink!$D$4:$AC$4,0)) * INDEX(Starlink!$D:$AC,MATCH("Blended new-sat mass (kg/sat): share-weighted, regime-gated (acyclic)",Starlink!$A:$A,0),MATCH(Q$4,Starlink!$D$4:$AC$4,0)),0)</f>
        <v>112686292.17484766</v>
      </c>
      <c r="R99" s="66">
        <f ca="1">IFERROR(INDEX(Starlink!$D:$AC,MATCH("Demand-saturation deployment headroom (sats)",Starlink!$A:$A,0),MATCH(R$4,Starlink!$D$4:$AC$4,0)) * INDEX(Starlink!$D:$AC,MATCH("Blended new-sat mass (kg/sat): share-weighted, regime-gated (acyclic)",Starlink!$A:$A,0),MATCH(R$4,Starlink!$D$4:$AC$4,0)),0)</f>
        <v>77443948.131518543</v>
      </c>
      <c r="S99" s="66">
        <f ca="1">IFERROR(INDEX(Starlink!$D:$AC,MATCH("Demand-saturation deployment headroom (sats)",Starlink!$A:$A,0),MATCH(S$4,Starlink!$D$4:$AC$4,0)) * INDEX(Starlink!$D:$AC,MATCH("Blended new-sat mass (kg/sat): share-weighted, regime-gated (acyclic)",Starlink!$A:$A,0),MATCH(S$4,Starlink!$D$4:$AC$4,0)),0)</f>
        <v>83189015.771436512</v>
      </c>
    </row>
    <row r="100" spans="1:19" x14ac:dyDescent="0.2">
      <c r="A100" s="22" t="s">
        <v>1517</v>
      </c>
      <c r="B100" s="8"/>
      <c r="C100" s="8"/>
      <c r="D100" s="66">
        <f>IFERROR((INDEX('Customer Launch'!$D:$AC,MATCH("External commercial launch demand (count)",'Customer Launch'!$A:$A,0),MATCH(D$4,'Customer Launch'!$D$4:$AC$4,0)) + INDEX('Customer Launch'!$D:$AC,MATCH("External government launch demand (count)",'Customer Launch'!$A:$A,0),MATCH(D$4,'Customer Launch'!$D$4:$AC$4,0))) * INDEX('Customer Launch'!$D:$AC,MATCH("Starship commercial-readiness factor",'Customer Launch'!$A:$A,0),MATCH(D$4,'Customer Launch'!$D$4:$AC$4,0)) * INDEX('Vehicle Build'!$D:$AC,MATCH("Starship payload, fully reusable (kg)",'Vehicle Build'!$A:$A,0),MATCH(D$4,'Vehicle Build'!$D$4:$AC$4,0)),0)</f>
        <v>0</v>
      </c>
      <c r="E100" s="66">
        <f>IFERROR((INDEX('Customer Launch'!$D:$AC,MATCH("External commercial launch demand (count)",'Customer Launch'!$A:$A,0),MATCH(E$4,'Customer Launch'!$D$4:$AC$4,0)) + INDEX('Customer Launch'!$D:$AC,MATCH("External government launch demand (count)",'Customer Launch'!$A:$A,0),MATCH(E$4,'Customer Launch'!$D$4:$AC$4,0))) * INDEX('Customer Launch'!$D:$AC,MATCH("Starship commercial-readiness factor",'Customer Launch'!$A:$A,0),MATCH(E$4,'Customer Launch'!$D$4:$AC$4,0)) * INDEX('Vehicle Build'!$D:$AC,MATCH("Starship payload, fully reusable (kg)",'Vehicle Build'!$A:$A,0),MATCH(E$4,'Vehicle Build'!$D$4:$AC$4,0)),0)</f>
        <v>0</v>
      </c>
      <c r="F100" s="66">
        <f>IFERROR((INDEX('Customer Launch'!$D:$AC,MATCH("External commercial launch demand (count)",'Customer Launch'!$A:$A,0),MATCH(F$4,'Customer Launch'!$D$4:$AC$4,0)) + INDEX('Customer Launch'!$D:$AC,MATCH("External government launch demand (count)",'Customer Launch'!$A:$A,0),MATCH(F$4,'Customer Launch'!$D$4:$AC$4,0))) * INDEX('Customer Launch'!$D:$AC,MATCH("Starship commercial-readiness factor",'Customer Launch'!$A:$A,0),MATCH(F$4,'Customer Launch'!$D$4:$AC$4,0)) * INDEX('Vehicle Build'!$D:$AC,MATCH("Starship payload, fully reusable (kg)",'Vehicle Build'!$A:$A,0),MATCH(F$4,'Vehicle Build'!$D$4:$AC$4,0)),0)</f>
        <v>0</v>
      </c>
      <c r="G100" s="66">
        <f>IFERROR((INDEX('Customer Launch'!$D:$AC,MATCH("External commercial launch demand (count)",'Customer Launch'!$A:$A,0),MATCH(G$4,'Customer Launch'!$D$4:$AC$4,0)) + INDEX('Customer Launch'!$D:$AC,MATCH("External government launch demand (count)",'Customer Launch'!$A:$A,0),MATCH(G$4,'Customer Launch'!$D$4:$AC$4,0))) * INDEX('Customer Launch'!$D:$AC,MATCH("Starship commercial-readiness factor",'Customer Launch'!$A:$A,0),MATCH(G$4,'Customer Launch'!$D$4:$AC$4,0)) * INDEX('Vehicle Build'!$D:$AC,MATCH("Starship payload, fully reusable (kg)",'Vehicle Build'!$A:$A,0),MATCH(G$4,'Vehicle Build'!$D$4:$AC$4,0)),0)</f>
        <v>2520583.1605981719</v>
      </c>
      <c r="H100" s="66">
        <f>IFERROR((INDEX('Customer Launch'!$D:$AC,MATCH("External commercial launch demand (count)",'Customer Launch'!$A:$A,0),MATCH(H$4,'Customer Launch'!$D$4:$AC$4,0)) + INDEX('Customer Launch'!$D:$AC,MATCH("External government launch demand (count)",'Customer Launch'!$A:$A,0),MATCH(H$4,'Customer Launch'!$D$4:$AC$4,0))) * INDEX('Customer Launch'!$D:$AC,MATCH("Starship commercial-readiness factor",'Customer Launch'!$A:$A,0),MATCH(H$4,'Customer Launch'!$D$4:$AC$4,0)) * INDEX('Vehicle Build'!$D:$AC,MATCH("Starship payload, fully reusable (kg)",'Vehicle Build'!$A:$A,0),MATCH(H$4,'Vehicle Build'!$D$4:$AC$4,0)),0)</f>
        <v>7738969.0131197833</v>
      </c>
      <c r="I100" s="66">
        <f>IFERROR((INDEX('Customer Launch'!$D:$AC,MATCH("External commercial launch demand (count)",'Customer Launch'!$A:$A,0),MATCH(I$4,'Customer Launch'!$D$4:$AC$4,0)) + INDEX('Customer Launch'!$D:$AC,MATCH("External government launch demand (count)",'Customer Launch'!$A:$A,0),MATCH(I$4,'Customer Launch'!$D$4:$AC$4,0))) * INDEX('Customer Launch'!$D:$AC,MATCH("Starship commercial-readiness factor",'Customer Launch'!$A:$A,0),MATCH(I$4,'Customer Launch'!$D$4:$AC$4,0)) * INDEX('Vehicle Build'!$D:$AC,MATCH("Starship payload, fully reusable (kg)",'Vehicle Build'!$A:$A,0),MATCH(I$4,'Vehicle Build'!$D$4:$AC$4,0)),0)</f>
        <v>21446130.359189648</v>
      </c>
      <c r="J100" s="66">
        <f>IFERROR((INDEX('Customer Launch'!$D:$AC,MATCH("External commercial launch demand (count)",'Customer Launch'!$A:$A,0),MATCH(J$4,'Customer Launch'!$D$4:$AC$4,0)) + INDEX('Customer Launch'!$D:$AC,MATCH("External government launch demand (count)",'Customer Launch'!$A:$A,0),MATCH(J$4,'Customer Launch'!$D$4:$AC$4,0))) * INDEX('Customer Launch'!$D:$AC,MATCH("Starship commercial-readiness factor",'Customer Launch'!$A:$A,0),MATCH(J$4,'Customer Launch'!$D$4:$AC$4,0)) * INDEX('Vehicle Build'!$D:$AC,MATCH("Starship payload, fully reusable (kg)",'Vehicle Build'!$A:$A,0),MATCH(J$4,'Vehicle Build'!$D$4:$AC$4,0)),0)</f>
        <v>39215147.230140068</v>
      </c>
      <c r="K100" s="66">
        <f>IFERROR((INDEX('Customer Launch'!$D:$AC,MATCH("External commercial launch demand (count)",'Customer Launch'!$A:$A,0),MATCH(K$4,'Customer Launch'!$D$4:$AC$4,0)) + INDEX('Customer Launch'!$D:$AC,MATCH("External government launch demand (count)",'Customer Launch'!$A:$A,0),MATCH(K$4,'Customer Launch'!$D$4:$AC$4,0))) * INDEX('Customer Launch'!$D:$AC,MATCH("Starship commercial-readiness factor",'Customer Launch'!$A:$A,0),MATCH(K$4,'Customer Launch'!$D$4:$AC$4,0)) * INDEX('Vehicle Build'!$D:$AC,MATCH("Starship payload, fully reusable (kg)",'Vehicle Build'!$A:$A,0),MATCH(K$4,'Vehicle Build'!$D$4:$AC$4,0)),0)</f>
        <v>55159854.687601559</v>
      </c>
      <c r="L100" s="66">
        <f>IFERROR((INDEX('Customer Launch'!$D:$AC,MATCH("External commercial launch demand (count)",'Customer Launch'!$A:$A,0),MATCH(L$4,'Customer Launch'!$D$4:$AC$4,0)) + INDEX('Customer Launch'!$D:$AC,MATCH("External government launch demand (count)",'Customer Launch'!$A:$A,0),MATCH(L$4,'Customer Launch'!$D$4:$AC$4,0))) * INDEX('Customer Launch'!$D:$AC,MATCH("Starship commercial-readiness factor",'Customer Launch'!$A:$A,0),MATCH(L$4,'Customer Launch'!$D$4:$AC$4,0)) * INDEX('Vehicle Build'!$D:$AC,MATCH("Starship payload, fully reusable (kg)",'Vehicle Build'!$A:$A,0),MATCH(L$4,'Vehicle Build'!$D$4:$AC$4,0)),0)</f>
        <v>66800284.871731527</v>
      </c>
      <c r="M100" s="66">
        <f>IFERROR((INDEX('Customer Launch'!$D:$AC,MATCH("External commercial launch demand (count)",'Customer Launch'!$A:$A,0),MATCH(M$4,'Customer Launch'!$D$4:$AC$4,0)) + INDEX('Customer Launch'!$D:$AC,MATCH("External government launch demand (count)",'Customer Launch'!$A:$A,0),MATCH(M$4,'Customer Launch'!$D$4:$AC$4,0))) * INDEX('Customer Launch'!$D:$AC,MATCH("Starship commercial-readiness factor",'Customer Launch'!$A:$A,0),MATCH(M$4,'Customer Launch'!$D$4:$AC$4,0)) * INDEX('Vehicle Build'!$D:$AC,MATCH("Starship payload, fully reusable (kg)",'Vehicle Build'!$A:$A,0),MATCH(M$4,'Vehicle Build'!$D$4:$AC$4,0)),0)</f>
        <v>75187435.736565784</v>
      </c>
      <c r="N100" s="66">
        <f>IFERROR((INDEX('Customer Launch'!$D:$AC,MATCH("External commercial launch demand (count)",'Customer Launch'!$A:$A,0),MATCH(N$4,'Customer Launch'!$D$4:$AC$4,0)) + INDEX('Customer Launch'!$D:$AC,MATCH("External government launch demand (count)",'Customer Launch'!$A:$A,0),MATCH(N$4,'Customer Launch'!$D$4:$AC$4,0))) * INDEX('Customer Launch'!$D:$AC,MATCH("Starship commercial-readiness factor",'Customer Launch'!$A:$A,0),MATCH(N$4,'Customer Launch'!$D$4:$AC$4,0)) * INDEX('Vehicle Build'!$D:$AC,MATCH("Starship payload, fully reusable (kg)",'Vehicle Build'!$A:$A,0),MATCH(N$4,'Vehicle Build'!$D$4:$AC$4,0)),0)</f>
        <v>82116037.893756643</v>
      </c>
      <c r="O100" s="66">
        <f>IFERROR((INDEX('Customer Launch'!$D:$AC,MATCH("External commercial launch demand (count)",'Customer Launch'!$A:$A,0),MATCH(O$4,'Customer Launch'!$D$4:$AC$4,0)) + INDEX('Customer Launch'!$D:$AC,MATCH("External government launch demand (count)",'Customer Launch'!$A:$A,0),MATCH(O$4,'Customer Launch'!$D$4:$AC$4,0))) * INDEX('Customer Launch'!$D:$AC,MATCH("Starship commercial-readiness factor",'Customer Launch'!$A:$A,0),MATCH(O$4,'Customer Launch'!$D$4:$AC$4,0)) * INDEX('Vehicle Build'!$D:$AC,MATCH("Starship payload, fully reusable (kg)",'Vehicle Build'!$A:$A,0),MATCH(O$4,'Vehicle Build'!$D$4:$AC$4,0)),0)</f>
        <v>88674742.719687477</v>
      </c>
      <c r="P100" s="66">
        <f>IFERROR((INDEX('Customer Launch'!$D:$AC,MATCH("External commercial launch demand (count)",'Customer Launch'!$A:$A,0),MATCH(P$4,'Customer Launch'!$D$4:$AC$4,0)) + INDEX('Customer Launch'!$D:$AC,MATCH("External government launch demand (count)",'Customer Launch'!$A:$A,0),MATCH(P$4,'Customer Launch'!$D$4:$AC$4,0))) * INDEX('Customer Launch'!$D:$AC,MATCH("Starship commercial-readiness factor",'Customer Launch'!$A:$A,0),MATCH(P$4,'Customer Launch'!$D$4:$AC$4,0)) * INDEX('Vehicle Build'!$D:$AC,MATCH("Starship payload, fully reusable (kg)",'Vehicle Build'!$A:$A,0),MATCH(P$4,'Vehicle Build'!$D$4:$AC$4,0)),0)</f>
        <v>95354211.252536371</v>
      </c>
      <c r="Q100" s="66">
        <f>IFERROR((INDEX('Customer Launch'!$D:$AC,MATCH("External commercial launch demand (count)",'Customer Launch'!$A:$A,0),MATCH(Q$4,'Customer Launch'!$D$4:$AC$4,0)) + INDEX('Customer Launch'!$D:$AC,MATCH("External government launch demand (count)",'Customer Launch'!$A:$A,0),MATCH(Q$4,'Customer Launch'!$D$4:$AC$4,0))) * INDEX('Customer Launch'!$D:$AC,MATCH("Starship commercial-readiness factor",'Customer Launch'!$A:$A,0),MATCH(Q$4,'Customer Launch'!$D$4:$AC$4,0)) * INDEX('Vehicle Build'!$D:$AC,MATCH("Starship payload, fully reusable (kg)",'Vehicle Build'!$A:$A,0),MATCH(Q$4,'Vehicle Build'!$D$4:$AC$4,0)),0)</f>
        <v>102399822.71110731</v>
      </c>
      <c r="R100" s="66">
        <f>IFERROR((INDEX('Customer Launch'!$D:$AC,MATCH("External commercial launch demand (count)",'Customer Launch'!$A:$A,0),MATCH(R$4,'Customer Launch'!$D$4:$AC$4,0)) + INDEX('Customer Launch'!$D:$AC,MATCH("External government launch demand (count)",'Customer Launch'!$A:$A,0),MATCH(R$4,'Customer Launch'!$D$4:$AC$4,0))) * INDEX('Customer Launch'!$D:$AC,MATCH("Starship commercial-readiness factor",'Customer Launch'!$A:$A,0),MATCH(R$4,'Customer Launch'!$D$4:$AC$4,0)) * INDEX('Vehicle Build'!$D:$AC,MATCH("Starship payload, fully reusable (kg)",'Vehicle Build'!$A:$A,0),MATCH(R$4,'Vehicle Build'!$D$4:$AC$4,0)),0)</f>
        <v>109945386.26748833</v>
      </c>
      <c r="S100" s="66">
        <f>IFERROR((INDEX('Customer Launch'!$D:$AC,MATCH("External commercial launch demand (count)",'Customer Launch'!$A:$A,0),MATCH(S$4,'Customer Launch'!$D$4:$AC$4,0)) + INDEX('Customer Launch'!$D:$AC,MATCH("External government launch demand (count)",'Customer Launch'!$A:$A,0),MATCH(S$4,'Customer Launch'!$D$4:$AC$4,0))) * INDEX('Customer Launch'!$D:$AC,MATCH("Starship commercial-readiness factor",'Customer Launch'!$A:$A,0),MATCH(S$4,'Customer Launch'!$D$4:$AC$4,0)) * INDEX('Vehicle Build'!$D:$AC,MATCH("Starship payload, fully reusable (kg)",'Vehicle Build'!$A:$A,0),MATCH(S$4,'Vehicle Build'!$D$4:$AC$4,0)),0)</f>
        <v>118040017.04346886</v>
      </c>
    </row>
    <row r="101" spans="1:19" x14ac:dyDescent="0.2">
      <c r="A101" s="22" t="s">
        <v>1518</v>
      </c>
      <c r="B101" s="8"/>
      <c r="C101" s="8"/>
      <c r="D101" s="66">
        <f ca="1">IFERROR(INDEX('AI - Compute'!$D:$AC,MATCH("Sats added (target)",'AI - Compute'!$A:$A,0),MATCH(D$4,'AI - Compute'!$D$4:$AC$4,0)) * INDEX('AI - Compute'!$D:$AC,MATCH("Total sat dry mass (kg): derived",'AI - Compute'!$A:$A,0),MATCH(D$4,'AI - Compute'!$D$4:$AC$4,0)),0)</f>
        <v>29529658.519656353</v>
      </c>
      <c r="E101" s="66">
        <f ca="1">IFERROR(INDEX('AI - Compute'!$D:$AC,MATCH("Sats added (target)",'AI - Compute'!$A:$A,0),MATCH(E$4,'AI - Compute'!$D$4:$AC$4,0)) * INDEX('AI - Compute'!$D:$AC,MATCH("Total sat dry mass (kg): derived",'AI - Compute'!$A:$A,0),MATCH(E$4,'AI - Compute'!$D$4:$AC$4,0)),0)</f>
        <v>34238621.88016355</v>
      </c>
      <c r="F101" s="66">
        <f ca="1">IFERROR(INDEX('AI - Compute'!$D:$AC,MATCH("Sats added (target)",'AI - Compute'!$A:$A,0),MATCH(F$4,'AI - Compute'!$D$4:$AC$4,0)) * INDEX('AI - Compute'!$D:$AC,MATCH("Total sat dry mass (kg): derived",'AI - Compute'!$A:$A,0),MATCH(F$4,'AI - Compute'!$D$4:$AC$4,0)),0)</f>
        <v>39852469.651219949</v>
      </c>
      <c r="G101" s="66">
        <f ca="1">IFERROR(INDEX('AI - Compute'!$D:$AC,MATCH("Sats added (target)",'AI - Compute'!$A:$A,0),MATCH(G$4,'AI - Compute'!$D$4:$AC$4,0)) * INDEX('AI - Compute'!$D:$AC,MATCH("Total sat dry mass (kg): derived",'AI - Compute'!$A:$A,0),MATCH(G$4,'AI - Compute'!$D$4:$AC$4,0)),0)</f>
        <v>46524700.852636851</v>
      </c>
      <c r="H101" s="66">
        <f ca="1">IFERROR(INDEX('AI - Compute'!$D:$AC,MATCH("Sats added (target)",'AI - Compute'!$A:$A,0),MATCH(H$4,'AI - Compute'!$D$4:$AC$4,0)) * INDEX('AI - Compute'!$D:$AC,MATCH("Total sat dry mass (kg): derived",'AI - Compute'!$A:$A,0),MATCH(H$4,'AI - Compute'!$D$4:$AC$4,0)),0)</f>
        <v>52708765.684171535</v>
      </c>
      <c r="I101" s="66">
        <f ca="1">IFERROR(INDEX('AI - Compute'!$D:$AC,MATCH("Sats added (target)",'AI - Compute'!$A:$A,0),MATCH(I$4,'AI - Compute'!$D$4:$AC$4,0)) * INDEX('AI - Compute'!$D:$AC,MATCH("Total sat dry mass (kg): derived",'AI - Compute'!$A:$A,0),MATCH(I$4,'AI - Compute'!$D$4:$AC$4,0)),0)</f>
        <v>56035609.797379062</v>
      </c>
      <c r="J101" s="66">
        <f ca="1">IFERROR(INDEX('AI - Compute'!$D:$AC,MATCH("Sats added (target)",'AI - Compute'!$A:$A,0),MATCH(J$4,'AI - Compute'!$D$4:$AC$4,0)) * INDEX('AI - Compute'!$D:$AC,MATCH("Total sat dry mass (kg): derived",'AI - Compute'!$A:$A,0),MATCH(J$4,'AI - Compute'!$D$4:$AC$4,0)),0)</f>
        <v>51841608.420705393</v>
      </c>
      <c r="K101" s="66">
        <f ca="1">IFERROR(INDEX('AI - Compute'!$D:$AC,MATCH("Sats added (target)",'AI - Compute'!$A:$A,0),MATCH(K$4,'AI - Compute'!$D$4:$AC$4,0)) * INDEX('AI - Compute'!$D:$AC,MATCH("Total sat dry mass (kg): derived",'AI - Compute'!$A:$A,0),MATCH(K$4,'AI - Compute'!$D$4:$AC$4,0)),0)</f>
        <v>34413132.281835474</v>
      </c>
      <c r="L101" s="66">
        <f ca="1">IFERROR(INDEX('AI - Compute'!$D:$AC,MATCH("Sats added (target)",'AI - Compute'!$A:$A,0),MATCH(L$4,'AI - Compute'!$D$4:$AC$4,0)) * INDEX('AI - Compute'!$D:$AC,MATCH("Total sat dry mass (kg): derived",'AI - Compute'!$A:$A,0),MATCH(L$4,'AI - Compute'!$D$4:$AC$4,0)),0)</f>
        <v>19775941.981744822</v>
      </c>
      <c r="M101" s="66">
        <f ca="1">IFERROR(INDEX('AI - Compute'!$D:$AC,MATCH("Sats added (target)",'AI - Compute'!$A:$A,0),MATCH(M$4,'AI - Compute'!$D$4:$AC$4,0)) * INDEX('AI - Compute'!$D:$AC,MATCH("Total sat dry mass (kg): derived",'AI - Compute'!$A:$A,0),MATCH(M$4,'AI - Compute'!$D$4:$AC$4,0)),0)</f>
        <v>27461483.779545944</v>
      </c>
      <c r="N101" s="66">
        <f ca="1">IFERROR(INDEX('AI - Compute'!$D:$AC,MATCH("Sats added (target)",'AI - Compute'!$A:$A,0),MATCH(N$4,'AI - Compute'!$D$4:$AC$4,0)) * INDEX('AI - Compute'!$D:$AC,MATCH("Total sat dry mass (kg): derived",'AI - Compute'!$A:$A,0),MATCH(N$4,'AI - Compute'!$D$4:$AC$4,0)),0)</f>
        <v>40153395.130894676</v>
      </c>
      <c r="O101" s="66">
        <f ca="1">IFERROR(INDEX('AI - Compute'!$D:$AC,MATCH("Sats added (target)",'AI - Compute'!$A:$A,0),MATCH(O$4,'AI - Compute'!$D$4:$AC$4,0)) * INDEX('AI - Compute'!$D:$AC,MATCH("Total sat dry mass (kg): derived",'AI - Compute'!$A:$A,0),MATCH(O$4,'AI - Compute'!$D$4:$AC$4,0)),0)</f>
        <v>59845097.018292136</v>
      </c>
      <c r="P101" s="66">
        <f ca="1">IFERROR(INDEX('AI - Compute'!$D:$AC,MATCH("Sats added (target)",'AI - Compute'!$A:$A,0),MATCH(P$4,'AI - Compute'!$D$4:$AC$4,0)) * INDEX('AI - Compute'!$D:$AC,MATCH("Total sat dry mass (kg): derived",'AI - Compute'!$A:$A,0),MATCH(P$4,'AI - Compute'!$D$4:$AC$4,0)),0)</f>
        <v>69573236.701858833</v>
      </c>
      <c r="Q101" s="66">
        <f ca="1">IFERROR(INDEX('AI - Compute'!$D:$AC,MATCH("Sats added (target)",'AI - Compute'!$A:$A,0),MATCH(Q$4,'AI - Compute'!$D$4:$AC$4,0)) * INDEX('AI - Compute'!$D:$AC,MATCH("Total sat dry mass (kg): derived",'AI - Compute'!$A:$A,0),MATCH(Q$4,'AI - Compute'!$D$4:$AC$4,0)),0)</f>
        <v>65858110.445280403</v>
      </c>
      <c r="R101" s="66">
        <f ca="1">IFERROR(INDEX('AI - Compute'!$D:$AC,MATCH("Sats added (target)",'AI - Compute'!$A:$A,0),MATCH(R$4,'AI - Compute'!$D$4:$AC$4,0)) * INDEX('AI - Compute'!$D:$AC,MATCH("Total sat dry mass (kg): derived",'AI - Compute'!$A:$A,0),MATCH(R$4,'AI - Compute'!$D$4:$AC$4,0)),0)</f>
        <v>85792229.887695849</v>
      </c>
      <c r="S101" s="66">
        <f ca="1">IFERROR(INDEX('AI - Compute'!$D:$AC,MATCH("Sats added (target)",'AI - Compute'!$A:$A,0),MATCH(S$4,'AI - Compute'!$D$4:$AC$4,0)) * INDEX('AI - Compute'!$D:$AC,MATCH("Total sat dry mass (kg): derived",'AI - Compute'!$A:$A,0),MATCH(S$4,'AI - Compute'!$D$4:$AC$4,0)),0)</f>
        <v>115782749.06411515</v>
      </c>
    </row>
    <row r="102" spans="1:19" x14ac:dyDescent="0.2">
      <c r="A102" s="20" t="s">
        <v>1131</v>
      </c>
      <c r="B102" s="20"/>
      <c r="C102" s="20"/>
      <c r="D102" s="85">
        <f t="shared" ref="D102:S102" ca="1" si="27">INDEX($D:$AC,MATCH("Desired launch kg: Starlink",$A:$A,0),MATCH(D$4,$D$4:$AC$4,0)) + INDEX($D:$AC,MATCH("Desired launch kg: Customer Launch",$A:$A,0),MATCH(D$4,$D$4:$AC$4,0)) + INDEX($D:$AC,MATCH("Desired launch kg: AI-Compute",$A:$A,0),MATCH(D$4,$D$4:$AC$4,0))</f>
        <v>179062784.49565637</v>
      </c>
      <c r="E102" s="85">
        <f t="shared" ca="1" si="27"/>
        <v>183771747.85616356</v>
      </c>
      <c r="F102" s="85">
        <f t="shared" ca="1" si="27"/>
        <v>538425141.65121996</v>
      </c>
      <c r="G102" s="85">
        <f t="shared" ca="1" si="27"/>
        <v>539784247.26310647</v>
      </c>
      <c r="H102" s="85">
        <f t="shared" ca="1" si="27"/>
        <v>532628129.51685804</v>
      </c>
      <c r="I102" s="85">
        <f t="shared" ca="1" si="27"/>
        <v>509292694.59832919</v>
      </c>
      <c r="J102" s="85">
        <f t="shared" ca="1" si="27"/>
        <v>498415817.56199449</v>
      </c>
      <c r="K102" s="85">
        <f t="shared" ca="1" si="27"/>
        <v>442227866.80472165</v>
      </c>
      <c r="L102" s="85">
        <f t="shared" ca="1" si="27"/>
        <v>421980448.98278677</v>
      </c>
      <c r="M102" s="85">
        <f t="shared" ca="1" si="27"/>
        <v>427400948.95357347</v>
      </c>
      <c r="N102" s="85">
        <f t="shared" ca="1" si="27"/>
        <v>438968106.15426493</v>
      </c>
      <c r="O102" s="85">
        <f t="shared" ca="1" si="27"/>
        <v>423104281.14293891</v>
      </c>
      <c r="P102" s="85">
        <f t="shared" ca="1" si="27"/>
        <v>367867814.96493644</v>
      </c>
      <c r="Q102" s="85">
        <f t="shared" ca="1" si="27"/>
        <v>280944225.33123541</v>
      </c>
      <c r="R102" s="85">
        <f t="shared" ca="1" si="27"/>
        <v>273181564.28670275</v>
      </c>
      <c r="S102" s="85">
        <f t="shared" ca="1" si="27"/>
        <v>317011781.87902051</v>
      </c>
    </row>
    <row r="103" spans="1:19" x14ac:dyDescent="0.2">
      <c r="A103" s="18" t="s">
        <v>1636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1:19" x14ac:dyDescent="0.2">
      <c r="A104" s="22" t="s">
        <v>1143</v>
      </c>
      <c r="B104" s="8"/>
      <c r="C104" s="8"/>
      <c r="D104" s="66">
        <f ca="1">'Facilities Build'!D63</f>
        <v>0</v>
      </c>
      <c r="E104" s="66">
        <f ca="1">'Facilities Build'!E63</f>
        <v>23226.916666666668</v>
      </c>
      <c r="F104" s="66">
        <f ca="1">'Facilities Build'!F63</f>
        <v>23226.916666666668</v>
      </c>
      <c r="G104" s="66">
        <f ca="1">'Facilities Build'!G63</f>
        <v>23226.916666666668</v>
      </c>
      <c r="H104" s="66">
        <f ca="1">'Facilities Build'!H63</f>
        <v>0</v>
      </c>
      <c r="I104" s="66">
        <f ca="1">'Facilities Build'!I63</f>
        <v>0</v>
      </c>
      <c r="J104" s="66">
        <f ca="1">'Facilities Build'!J63</f>
        <v>0</v>
      </c>
      <c r="K104" s="66">
        <f ca="1">'Facilities Build'!K63</f>
        <v>0</v>
      </c>
      <c r="L104" s="66">
        <f ca="1">'Facilities Build'!L63</f>
        <v>0</v>
      </c>
      <c r="M104" s="66">
        <f ca="1">'Facilities Build'!M63</f>
        <v>0</v>
      </c>
      <c r="N104" s="66">
        <f ca="1">'Facilities Build'!N63</f>
        <v>0</v>
      </c>
      <c r="O104" s="66">
        <f ca="1">'Facilities Build'!O63</f>
        <v>0</v>
      </c>
      <c r="P104" s="66">
        <f ca="1">'Facilities Build'!P63</f>
        <v>0</v>
      </c>
      <c r="Q104" s="66">
        <f ca="1">'Facilities Build'!Q63</f>
        <v>0</v>
      </c>
      <c r="R104" s="66">
        <f ca="1">'Facilities Build'!R63</f>
        <v>0</v>
      </c>
      <c r="S104" s="66">
        <f ca="1">'Facilities Build'!S63</f>
        <v>0</v>
      </c>
    </row>
    <row r="105" spans="1:19" x14ac:dyDescent="0.2">
      <c r="A105" s="22" t="s">
        <v>1144</v>
      </c>
      <c r="B105" s="8"/>
      <c r="C105" s="8"/>
      <c r="D105" s="70">
        <v>0</v>
      </c>
      <c r="E105" s="66">
        <f>IF(E$4&lt;=Assumptions!$B$433, MIN( MAX(0, Assumptions!$B$430 - (D56 + E9 + D55)), MAX(0, Assumptions!$B$428 - D108) ), 0)</f>
        <v>15300</v>
      </c>
      <c r="F105" s="66">
        <f ca="1">IF(F$4&lt;=Assumptions!$B$433, MIN( MAX(0, Assumptions!$B$430 - (E56 + F9 + E55)), MAX(0, Assumptions!$B$428 - E108) ), 0)</f>
        <v>20711.001447765666</v>
      </c>
      <c r="G105" s="66">
        <f ca="1">IF(G$4&lt;=Assumptions!$B$433, MIN( MAX(0, Assumptions!$B$430 - (F56 + G9 + F55)), MAX(0, Assumptions!$B$428 - F108) ), 0)</f>
        <v>1688.8796491543035</v>
      </c>
      <c r="H105" s="66">
        <f ca="1">IF(H$4&lt;=Assumptions!$B$433, MIN( MAX(0, Assumptions!$B$430 - (G56 + H9 + G55)), MAX(0, Assumptions!$B$428 - G108) ), 0)</f>
        <v>0</v>
      </c>
      <c r="I105" s="66">
        <f ca="1">IF(I$4&lt;=Assumptions!$B$433, MIN( MAX(0, Assumptions!$B$430 - (H56 + I9 + H55)), MAX(0, Assumptions!$B$428 - H108) ), 0)</f>
        <v>0</v>
      </c>
      <c r="J105" s="66">
        <f>IF(J$4&lt;=Assumptions!$B$433, MIN( MAX(0, Assumptions!$B$430 - (I56 + J9 + I55)), MAX(0, Assumptions!$B$428 - I108) ), 0)</f>
        <v>0</v>
      </c>
      <c r="K105" s="66">
        <f>IF(K$4&lt;=Assumptions!$B$433, MIN( MAX(0, Assumptions!$B$430 - (J56 + K9 + J55)), MAX(0, Assumptions!$B$428 - J108) ), 0)</f>
        <v>0</v>
      </c>
      <c r="L105" s="66">
        <f>IF(L$4&lt;=Assumptions!$B$433, MIN( MAX(0, Assumptions!$B$430 - (K56 + L9 + K55)), MAX(0, Assumptions!$B$428 - K108) ), 0)</f>
        <v>0</v>
      </c>
      <c r="M105" s="66">
        <f>IF(M$4&lt;=Assumptions!$B$433, MIN( MAX(0, Assumptions!$B$430 - (L56 + M9 + L55)), MAX(0, Assumptions!$B$428 - L108) ), 0)</f>
        <v>0</v>
      </c>
      <c r="N105" s="66">
        <f>IF(N$4&lt;=Assumptions!$B$433, MIN( MAX(0, Assumptions!$B$430 - (M56 + N9 + M55)), MAX(0, Assumptions!$B$428 - M108) ), 0)</f>
        <v>0</v>
      </c>
      <c r="O105" s="66">
        <f>IF(O$4&lt;=Assumptions!$B$433, MIN( MAX(0, Assumptions!$B$430 - (N56 + O9 + N55)), MAX(0, Assumptions!$B$428 - N108) ), 0)</f>
        <v>0</v>
      </c>
      <c r="P105" s="66">
        <f>IF(P$4&lt;=Assumptions!$B$433, MIN( MAX(0, Assumptions!$B$430 - (O56 + P9 + O55)), MAX(0, Assumptions!$B$428 - O108) ), 0)</f>
        <v>0</v>
      </c>
      <c r="Q105" s="66">
        <f>IF(Q$4&lt;=Assumptions!$B$433, MIN( MAX(0, Assumptions!$B$430 - (P56 + Q9 + P55)), MAX(0, Assumptions!$B$428 - P108) ), 0)</f>
        <v>0</v>
      </c>
      <c r="R105" s="66">
        <f>IF(R$4&lt;=Assumptions!$B$433, MIN( MAX(0, Assumptions!$B$430 - (Q56 + R9 + Q55)), MAX(0, Assumptions!$B$428 - Q108) ), 0)</f>
        <v>0</v>
      </c>
      <c r="S105" s="66">
        <f>IF(S$4&lt;=Assumptions!$B$433, MIN( MAX(0, Assumptions!$B$430 - (R56 + S9 + R55)), MAX(0, Assumptions!$B$428 - R108) ), 0)</f>
        <v>0</v>
      </c>
    </row>
    <row r="106" spans="1:19" x14ac:dyDescent="0.2">
      <c r="A106" s="22" t="s">
        <v>1145</v>
      </c>
      <c r="B106" s="8"/>
      <c r="C106" s="8"/>
      <c r="D106" s="70">
        <v>0</v>
      </c>
      <c r="E106" s="66">
        <f>D108*Assumptions!$B$429</f>
        <v>0</v>
      </c>
      <c r="F106" s="66">
        <f>E108*Assumptions!$B$429</f>
        <v>700.74</v>
      </c>
      <c r="G106" s="66">
        <f ca="1">F108*Assumptions!$B$429</f>
        <v>1571.4438663076676</v>
      </c>
      <c r="H106" s="66">
        <f ca="1">G108*Assumptions!$B$429</f>
        <v>1452.3640709504762</v>
      </c>
      <c r="I106" s="66">
        <f ca="1">H108*Assumptions!$B$429</f>
        <v>1244.8834893861224</v>
      </c>
      <c r="J106" s="66">
        <f ca="1">I108*Assumptions!$B$429</f>
        <v>955.93158928209107</v>
      </c>
      <c r="K106" s="66">
        <f ca="1">J108*Assumptions!$B$429</f>
        <v>636.75247448104744</v>
      </c>
      <c r="L106" s="66">
        <f ca="1">K108*Assumptions!$B$429</f>
        <v>315.76865207156089</v>
      </c>
      <c r="M106" s="66">
        <f ca="1">L108*Assumptions!$B$429</f>
        <v>0</v>
      </c>
      <c r="N106" s="66">
        <f ca="1">M108*Assumptions!$B$429</f>
        <v>0</v>
      </c>
      <c r="O106" s="66">
        <f ca="1">N108*Assumptions!$B$429</f>
        <v>0</v>
      </c>
      <c r="P106" s="66">
        <f ca="1">O108*Assumptions!$B$429</f>
        <v>0</v>
      </c>
      <c r="Q106" s="66">
        <f ca="1">P108*Assumptions!$B$429</f>
        <v>0</v>
      </c>
      <c r="R106" s="66">
        <f ca="1">Q108*Assumptions!$B$429</f>
        <v>0</v>
      </c>
      <c r="S106" s="66">
        <f ca="1">R108*Assumptions!$B$429</f>
        <v>0</v>
      </c>
    </row>
    <row r="107" spans="1:19" x14ac:dyDescent="0.2">
      <c r="A107" s="22" t="s">
        <v>1146</v>
      </c>
      <c r="B107" s="8"/>
      <c r="C107" s="8"/>
      <c r="D107" s="70">
        <v>0</v>
      </c>
      <c r="E107" s="66">
        <f>MIN( D108 + E105, MAX( Assumptions!$B$431*MAX(0, D55 - Assumptions!$B$430), IF(E$4&lt;=Assumptions!$B$432, D108/MAX(1, Assumptions!$B$432 - E$4 + 1), D108) ) )</f>
        <v>0</v>
      </c>
      <c r="F107" s="66">
        <f ca="1">MIN( E108 + F105, MAX( Assumptions!$B$431*MAX(0, E55 - Assumptions!$B$430), IF(F$4&lt;=Assumptions!$B$432, E108/MAX(1, Assumptions!$B$432 - F$4 + 1), E108) ) )</f>
        <v>1700</v>
      </c>
      <c r="G107" s="66">
        <f ca="1">MIN( F108 + G105, MAX( Assumptions!$B$431*MAX(0, F55 - Assumptions!$B$430), IF(G$4&lt;=Assumptions!$B$432, F108/MAX(1, Assumptions!$B$432 - G$4 + 1), F108) ) )</f>
        <v>4288.8751809707082</v>
      </c>
      <c r="H107" s="66">
        <f ca="1">MIN( G108 + H105, MAX( Assumptions!$B$431*MAX(0, G55 - Assumptions!$B$430), IF(H$4&lt;=Assumptions!$B$432, G108/MAX(1, Assumptions!$B$432 - H$4 + 1), G108) ) )</f>
        <v>4530.1437022784658</v>
      </c>
      <c r="I107" s="66">
        <f ca="1">MIN( H108 + I105, MAX( Assumptions!$B$431*MAX(0, H55 - Assumptions!$B$430), IF(I$4&lt;=Assumptions!$B$432, H108/MAX(1, Assumptions!$B$432 - I$4 + 1), H108) ) )</f>
        <v>6308.9934520530842</v>
      </c>
      <c r="J107" s="66">
        <f ca="1">MIN( I108 + J105, MAX( Assumptions!$B$431*MAX(0, I55 - Assumptions!$B$430), IF(J$4&lt;=Assumptions!$B$432, I108/MAX(1, Assumptions!$B$432 - J$4 + 1), I108) ) )</f>
        <v>6968.9763056996417</v>
      </c>
      <c r="K107" s="66">
        <f ca="1">MIN( J108 + K105, MAX( Assumptions!$B$431*MAX(0, J55 - Assumptions!$B$430), IF(K$4&lt;=Assumptions!$B$432, J108/MAX(1, Assumptions!$B$432 - K$4 + 1), J108) ) )</f>
        <v>7008.3804019538547</v>
      </c>
      <c r="L107" s="66">
        <f ca="1">MIN( K108 + L105, MAX( Assumptions!$B$431*MAX(0, K55 - Assumptions!$B$430), IF(L$4&lt;=Assumptions!$B$432, K108/MAX(1, Assumptions!$B$432 - L$4 + 1), K108) ) )</f>
        <v>6894.5120539642121</v>
      </c>
      <c r="M107" s="66">
        <f ca="1">MIN( L108 + M105, MAX( Assumptions!$B$431*MAX(0, L55 - Assumptions!$B$430), IF(M$4&lt;=Assumptions!$B$432, L108/MAX(1, Assumptions!$B$432 - M$4 + 1), L108) ) )</f>
        <v>0</v>
      </c>
      <c r="N107" s="66">
        <f ca="1">MIN( M108 + N105, MAX( Assumptions!$B$431*MAX(0, M55 - Assumptions!$B$430), IF(N$4&lt;=Assumptions!$B$432, M108/MAX(1, Assumptions!$B$432 - N$4 + 1), M108) ) )</f>
        <v>0</v>
      </c>
      <c r="O107" s="66">
        <f ca="1">MIN( N108 + O105, MAX( Assumptions!$B$431*MAX(0, N55 - Assumptions!$B$430), IF(O$4&lt;=Assumptions!$B$432, N108/MAX(1, Assumptions!$B$432 - O$4 + 1), N108) ) )</f>
        <v>0</v>
      </c>
      <c r="P107" s="66">
        <f ca="1">MIN( O108 + P105, MAX( Assumptions!$B$431*MAX(0, O55 - Assumptions!$B$430), IF(P$4&lt;=Assumptions!$B$432, O108/MAX(1, Assumptions!$B$432 - P$4 + 1), O108) ) )</f>
        <v>0</v>
      </c>
      <c r="Q107" s="66">
        <f ca="1">MIN( P108 + Q105, MAX( Assumptions!$B$431*MAX(0, P55 - Assumptions!$B$430), IF(Q$4&lt;=Assumptions!$B$432, P108/MAX(1, Assumptions!$B$432 - Q$4 + 1), P108) ) )</f>
        <v>0</v>
      </c>
      <c r="R107" s="66">
        <f ca="1">MIN( Q108 + R105, MAX( Assumptions!$B$431*MAX(0, Q55 - Assumptions!$B$430), IF(R$4&lt;=Assumptions!$B$432, Q108/MAX(1, Assumptions!$B$432 - R$4 + 1), Q108) ) )</f>
        <v>0</v>
      </c>
      <c r="S107" s="66">
        <f ca="1">MIN( R108 + S105, MAX( Assumptions!$B$431*MAX(0, R55 - Assumptions!$B$430), IF(S$4&lt;=Assumptions!$B$432, R108/MAX(1, Assumptions!$B$432 - S$4 + 1), R108) ) )</f>
        <v>0</v>
      </c>
    </row>
    <row r="108" spans="1:19" x14ac:dyDescent="0.2">
      <c r="A108" s="22" t="s">
        <v>1147</v>
      </c>
      <c r="B108" s="8"/>
      <c r="C108" s="8"/>
      <c r="D108" s="70">
        <v>0</v>
      </c>
      <c r="E108" s="67">
        <f t="shared" ref="E108:S108" si="28">D108 + E105 - E107</f>
        <v>15300</v>
      </c>
      <c r="F108" s="67">
        <f t="shared" ca="1" si="28"/>
        <v>34311.001447765666</v>
      </c>
      <c r="G108" s="67">
        <f t="shared" ca="1" si="28"/>
        <v>31711.005915949259</v>
      </c>
      <c r="H108" s="67">
        <f t="shared" ca="1" si="28"/>
        <v>27180.862213670793</v>
      </c>
      <c r="I108" s="67">
        <f t="shared" ca="1" si="28"/>
        <v>20871.868761617709</v>
      </c>
      <c r="J108" s="67">
        <f t="shared" ca="1" si="28"/>
        <v>13902.892455918067</v>
      </c>
      <c r="K108" s="67">
        <f t="shared" ca="1" si="28"/>
        <v>6894.5120539642121</v>
      </c>
      <c r="L108" s="67">
        <f t="shared" ca="1" si="28"/>
        <v>0</v>
      </c>
      <c r="M108" s="67">
        <f t="shared" ca="1" si="28"/>
        <v>0</v>
      </c>
      <c r="N108" s="67">
        <f t="shared" ca="1" si="28"/>
        <v>0</v>
      </c>
      <c r="O108" s="67">
        <f t="shared" ca="1" si="28"/>
        <v>0</v>
      </c>
      <c r="P108" s="67">
        <f t="shared" ca="1" si="28"/>
        <v>0</v>
      </c>
      <c r="Q108" s="67">
        <f t="shared" ca="1" si="28"/>
        <v>0</v>
      </c>
      <c r="R108" s="67">
        <f t="shared" ca="1" si="28"/>
        <v>0</v>
      </c>
      <c r="S108" s="67">
        <f t="shared" ca="1" si="28"/>
        <v>0</v>
      </c>
    </row>
    <row r="109" spans="1:19" x14ac:dyDescent="0.2">
      <c r="A109" s="24" t="s">
        <v>1148</v>
      </c>
      <c r="B109" s="8"/>
      <c r="C109" s="8"/>
      <c r="D109" s="109">
        <v>0</v>
      </c>
      <c r="E109" s="12">
        <f t="shared" ref="E109:S109" si="29">D109 + E105</f>
        <v>15300</v>
      </c>
      <c r="F109" s="12">
        <f t="shared" ca="1" si="29"/>
        <v>36011.001447765666</v>
      </c>
      <c r="G109" s="12">
        <f t="shared" ca="1" si="29"/>
        <v>37699.881096919969</v>
      </c>
      <c r="H109" s="12">
        <f t="shared" ca="1" si="29"/>
        <v>37699.881096919969</v>
      </c>
      <c r="I109" s="12">
        <f t="shared" ca="1" si="29"/>
        <v>37699.881096919969</v>
      </c>
      <c r="J109" s="12">
        <f t="shared" ca="1" si="29"/>
        <v>37699.881096919969</v>
      </c>
      <c r="K109" s="12">
        <f t="shared" ca="1" si="29"/>
        <v>37699.881096919969</v>
      </c>
      <c r="L109" s="12">
        <f t="shared" ca="1" si="29"/>
        <v>37699.881096919969</v>
      </c>
      <c r="M109" s="12">
        <f t="shared" ca="1" si="29"/>
        <v>37699.881096919969</v>
      </c>
      <c r="N109" s="12">
        <f t="shared" ca="1" si="29"/>
        <v>37699.881096919969</v>
      </c>
      <c r="O109" s="12">
        <f t="shared" ca="1" si="29"/>
        <v>37699.881096919969</v>
      </c>
      <c r="P109" s="12">
        <f t="shared" ca="1" si="29"/>
        <v>37699.881096919969</v>
      </c>
      <c r="Q109" s="12">
        <f t="shared" ca="1" si="29"/>
        <v>37699.881096919969</v>
      </c>
      <c r="R109" s="12">
        <f t="shared" ca="1" si="29"/>
        <v>37699.881096919969</v>
      </c>
      <c r="S109" s="12">
        <f t="shared" ca="1" si="29"/>
        <v>37699.881096919969</v>
      </c>
    </row>
    <row r="110" spans="1:19" x14ac:dyDescent="0.2">
      <c r="A110" s="24" t="s">
        <v>1149</v>
      </c>
      <c r="B110" s="8"/>
      <c r="C110" s="8"/>
      <c r="D110" s="109">
        <v>0</v>
      </c>
      <c r="E110" s="12">
        <f t="shared" ref="E110:S110" si="30">D110 + E107</f>
        <v>0</v>
      </c>
      <c r="F110" s="12">
        <f t="shared" ca="1" si="30"/>
        <v>1700</v>
      </c>
      <c r="G110" s="12">
        <f t="shared" ca="1" si="30"/>
        <v>5988.8751809707082</v>
      </c>
      <c r="H110" s="12">
        <f t="shared" ca="1" si="30"/>
        <v>10519.018883249173</v>
      </c>
      <c r="I110" s="12">
        <f t="shared" ca="1" si="30"/>
        <v>16828.012335302257</v>
      </c>
      <c r="J110" s="12">
        <f t="shared" ca="1" si="30"/>
        <v>23796.988641001899</v>
      </c>
      <c r="K110" s="12">
        <f t="shared" ca="1" si="30"/>
        <v>30805.369042955754</v>
      </c>
      <c r="L110" s="12">
        <f t="shared" ca="1" si="30"/>
        <v>37699.881096919969</v>
      </c>
      <c r="M110" s="12">
        <f t="shared" ca="1" si="30"/>
        <v>37699.881096919969</v>
      </c>
      <c r="N110" s="12">
        <f t="shared" ca="1" si="30"/>
        <v>37699.881096919969</v>
      </c>
      <c r="O110" s="12">
        <f t="shared" ca="1" si="30"/>
        <v>37699.881096919969</v>
      </c>
      <c r="P110" s="12">
        <f t="shared" ca="1" si="30"/>
        <v>37699.881096919969</v>
      </c>
      <c r="Q110" s="12">
        <f t="shared" ca="1" si="30"/>
        <v>37699.881096919969</v>
      </c>
      <c r="R110" s="12">
        <f t="shared" ca="1" si="30"/>
        <v>37699.881096919969</v>
      </c>
      <c r="S110" s="12">
        <f t="shared" ca="1" si="30"/>
        <v>37699.881096919969</v>
      </c>
    </row>
    <row r="111" spans="1:19" x14ac:dyDescent="0.2">
      <c r="A111" s="22" t="s">
        <v>1150</v>
      </c>
      <c r="B111" s="8"/>
      <c r="C111" s="8"/>
      <c r="D111" s="111">
        <f>D109-D110-D108</f>
        <v>0</v>
      </c>
      <c r="E111" s="111">
        <f t="shared" ref="E111:S111" si="31">E109 - E110 - E108</f>
        <v>0</v>
      </c>
      <c r="F111" s="111">
        <f t="shared" ca="1" si="31"/>
        <v>0</v>
      </c>
      <c r="G111" s="111">
        <f t="shared" ca="1" si="31"/>
        <v>0</v>
      </c>
      <c r="H111" s="111">
        <f t="shared" ca="1" si="31"/>
        <v>0</v>
      </c>
      <c r="I111" s="111">
        <f t="shared" ca="1" si="31"/>
        <v>0</v>
      </c>
      <c r="J111" s="111">
        <f t="shared" ca="1" si="31"/>
        <v>0</v>
      </c>
      <c r="K111" s="111">
        <f t="shared" ca="1" si="31"/>
        <v>0</v>
      </c>
      <c r="L111" s="111">
        <f t="shared" ca="1" si="31"/>
        <v>0</v>
      </c>
      <c r="M111" s="111">
        <f t="shared" ca="1" si="31"/>
        <v>0</v>
      </c>
      <c r="N111" s="111">
        <f t="shared" ca="1" si="31"/>
        <v>0</v>
      </c>
      <c r="O111" s="111">
        <f t="shared" ca="1" si="31"/>
        <v>0</v>
      </c>
      <c r="P111" s="111">
        <f t="shared" ca="1" si="31"/>
        <v>0</v>
      </c>
      <c r="Q111" s="111">
        <f t="shared" ca="1" si="31"/>
        <v>0</v>
      </c>
      <c r="R111" s="111">
        <f t="shared" ca="1" si="31"/>
        <v>0</v>
      </c>
      <c r="S111" s="111">
        <f t="shared" ca="1" si="31"/>
        <v>0</v>
      </c>
    </row>
    <row r="112" spans="1:19" x14ac:dyDescent="0.2">
      <c r="A112" s="22" t="s">
        <v>1957</v>
      </c>
    </row>
    <row r="113" spans="1:29" x14ac:dyDescent="0.2">
      <c r="A113" s="22" t="s">
        <v>1958</v>
      </c>
      <c r="E113">
        <f ca="1">E35*E$25</f>
        <v>21236.440027760436</v>
      </c>
      <c r="F113">
        <f t="shared" ref="F113:AC113" ca="1" si="32">F35*F$25</f>
        <v>38414.730191913455</v>
      </c>
      <c r="G113">
        <f t="shared" ca="1" si="32"/>
        <v>34505.28621347509</v>
      </c>
      <c r="H113">
        <f t="shared" ca="1" si="32"/>
        <v>32404.878066873807</v>
      </c>
      <c r="I113">
        <f t="shared" ca="1" si="32"/>
        <v>40954.622771680006</v>
      </c>
      <c r="J113">
        <f t="shared" ca="1" si="32"/>
        <v>59493.270534406569</v>
      </c>
      <c r="K113">
        <f t="shared" ca="1" si="32"/>
        <v>38659.15535403059</v>
      </c>
      <c r="L113">
        <f t="shared" ca="1" si="32"/>
        <v>13386.870723221205</v>
      </c>
      <c r="M113">
        <f t="shared" ca="1" si="32"/>
        <v>20737.853475492429</v>
      </c>
      <c r="N113">
        <f t="shared" ca="1" si="32"/>
        <v>27702.656567924598</v>
      </c>
      <c r="O113">
        <f t="shared" ca="1" si="32"/>
        <v>47630.154028829988</v>
      </c>
      <c r="P113">
        <f t="shared" ca="1" si="32"/>
        <v>64280.051016244484</v>
      </c>
      <c r="Q113">
        <f t="shared" ca="1" si="32"/>
        <v>93900.701515054301</v>
      </c>
      <c r="R113">
        <f t="shared" ca="1" si="32"/>
        <v>127359.84042926681</v>
      </c>
      <c r="S113">
        <f t="shared" ca="1" si="32"/>
        <v>164771.54281330979</v>
      </c>
      <c r="T113">
        <f t="shared" si="32"/>
        <v>0</v>
      </c>
      <c r="U113">
        <f t="shared" si="32"/>
        <v>0</v>
      </c>
      <c r="V113">
        <f t="shared" si="32"/>
        <v>0</v>
      </c>
      <c r="W113">
        <f t="shared" si="32"/>
        <v>0</v>
      </c>
      <c r="X113">
        <f t="shared" si="32"/>
        <v>0</v>
      </c>
      <c r="Y113">
        <f t="shared" si="32"/>
        <v>0</v>
      </c>
      <c r="Z113">
        <f t="shared" si="32"/>
        <v>0</v>
      </c>
      <c r="AA113">
        <f t="shared" si="32"/>
        <v>0</v>
      </c>
      <c r="AB113">
        <f t="shared" si="32"/>
        <v>0</v>
      </c>
      <c r="AC113">
        <f t="shared" si="32"/>
        <v>0</v>
      </c>
    </row>
    <row r="114" spans="1:29" x14ac:dyDescent="0.2">
      <c r="A114" s="22" t="s">
        <v>1959</v>
      </c>
      <c r="E114">
        <f ca="1">E36*E$25</f>
        <v>6491.6952001939853</v>
      </c>
      <c r="F114">
        <f t="shared" ref="F114:AC114" ca="1" si="33">F36*F$25</f>
        <v>13670.642685248613</v>
      </c>
      <c r="G114">
        <f t="shared" ca="1" si="33"/>
        <v>2130.3885951610728</v>
      </c>
      <c r="H114">
        <f t="shared" ca="1" si="33"/>
        <v>2696.0274454100136</v>
      </c>
      <c r="I114">
        <f t="shared" ca="1" si="33"/>
        <v>9769.7634521841101</v>
      </c>
      <c r="J114">
        <f t="shared" ca="1" si="33"/>
        <v>20145.949746246002</v>
      </c>
      <c r="K114">
        <f t="shared" ca="1" si="33"/>
        <v>37878.370123644825</v>
      </c>
      <c r="L114">
        <f t="shared" ca="1" si="33"/>
        <v>212621.43094869726</v>
      </c>
      <c r="M114">
        <f t="shared" ca="1" si="33"/>
        <v>323552.49681003432</v>
      </c>
      <c r="N114">
        <f t="shared" ca="1" si="33"/>
        <v>392479.71427751164</v>
      </c>
      <c r="O114">
        <f t="shared" ca="1" si="33"/>
        <v>394149.79372475948</v>
      </c>
      <c r="P114">
        <f t="shared" ca="1" si="33"/>
        <v>388218.55629380635</v>
      </c>
      <c r="Q114">
        <f t="shared" ca="1" si="33"/>
        <v>332128.03794070409</v>
      </c>
      <c r="R114">
        <f t="shared" ca="1" si="33"/>
        <v>324399.10435347731</v>
      </c>
      <c r="S114">
        <f t="shared" ca="1" si="33"/>
        <v>258232.49353122918</v>
      </c>
      <c r="T114">
        <f t="shared" si="33"/>
        <v>0</v>
      </c>
      <c r="U114">
        <f t="shared" si="33"/>
        <v>0</v>
      </c>
      <c r="V114">
        <f t="shared" si="33"/>
        <v>0</v>
      </c>
      <c r="W114">
        <f t="shared" si="33"/>
        <v>0</v>
      </c>
      <c r="X114">
        <f t="shared" si="33"/>
        <v>0</v>
      </c>
      <c r="Y114">
        <f t="shared" si="33"/>
        <v>0</v>
      </c>
      <c r="Z114">
        <f t="shared" si="33"/>
        <v>0</v>
      </c>
      <c r="AA114">
        <f t="shared" si="33"/>
        <v>0</v>
      </c>
      <c r="AB114">
        <f t="shared" si="33"/>
        <v>0</v>
      </c>
      <c r="AC114">
        <f t="shared" si="33"/>
        <v>0</v>
      </c>
    </row>
    <row r="115" spans="1:29" x14ac:dyDescent="0.2">
      <c r="A115" s="22" t="s">
        <v>1960</v>
      </c>
      <c r="E115">
        <f ca="1">E37*E$25</f>
        <v>6491.6952001939853</v>
      </c>
      <c r="F115">
        <f t="shared" ref="F115:AC115" ca="1" si="34">F37*F$25</f>
        <v>13670.642685248613</v>
      </c>
      <c r="G115">
        <f t="shared" ca="1" si="34"/>
        <v>2135.3155345904393</v>
      </c>
      <c r="H115">
        <f t="shared" ca="1" si="34"/>
        <v>2963.8853882735916</v>
      </c>
      <c r="I115">
        <f t="shared" ca="1" si="34"/>
        <v>12726.731028576467</v>
      </c>
      <c r="J115">
        <f t="shared" ca="1" si="34"/>
        <v>33897.780452497922</v>
      </c>
      <c r="K115">
        <f t="shared" ca="1" si="34"/>
        <v>89845.970527183876</v>
      </c>
      <c r="L115">
        <f t="shared" ca="1" si="34"/>
        <v>16949.587320286297</v>
      </c>
      <c r="M115">
        <f t="shared" ca="1" si="34"/>
        <v>28161.348933856738</v>
      </c>
      <c r="N115">
        <f t="shared" ca="1" si="34"/>
        <v>46057.94787477114</v>
      </c>
      <c r="O115">
        <f t="shared" ca="1" si="34"/>
        <v>110957.07690777494</v>
      </c>
      <c r="P115">
        <f t="shared" ca="1" si="34"/>
        <v>202556.28784670887</v>
      </c>
      <c r="Q115">
        <f t="shared" ca="1" si="34"/>
        <v>394461.8996567069</v>
      </c>
      <c r="R115">
        <f t="shared" ca="1" si="34"/>
        <v>623283.13289533206</v>
      </c>
      <c r="S115">
        <f t="shared" ca="1" si="34"/>
        <v>954122.22599170497</v>
      </c>
      <c r="T115">
        <f t="shared" si="34"/>
        <v>0</v>
      </c>
      <c r="U115">
        <f t="shared" si="34"/>
        <v>0</v>
      </c>
      <c r="V115">
        <f t="shared" si="34"/>
        <v>0</v>
      </c>
      <c r="W115">
        <f t="shared" si="34"/>
        <v>0</v>
      </c>
      <c r="X115">
        <f t="shared" si="34"/>
        <v>0</v>
      </c>
      <c r="Y115">
        <f t="shared" si="34"/>
        <v>0</v>
      </c>
      <c r="Z115">
        <f t="shared" si="34"/>
        <v>0</v>
      </c>
      <c r="AA115">
        <f t="shared" si="34"/>
        <v>0</v>
      </c>
      <c r="AB115">
        <f t="shared" si="34"/>
        <v>0</v>
      </c>
      <c r="AC115">
        <f t="shared" si="34"/>
        <v>0</v>
      </c>
    </row>
    <row r="116" spans="1:29" x14ac:dyDescent="0.2">
      <c r="A116" s="22" t="s">
        <v>1961</v>
      </c>
      <c r="E116">
        <f ca="1">MIN(E113,E64)</f>
        <v>21236.440027760436</v>
      </c>
      <c r="F116">
        <f t="shared" ref="F116:AC116" ca="1" si="35">MIN(F113,F64)</f>
        <v>38414.730191913455</v>
      </c>
      <c r="G116">
        <f t="shared" ca="1" si="35"/>
        <v>34505.28621347509</v>
      </c>
      <c r="H116">
        <f t="shared" ca="1" si="35"/>
        <v>32404.878066873807</v>
      </c>
      <c r="I116">
        <f t="shared" ca="1" si="35"/>
        <v>40954.622771680006</v>
      </c>
      <c r="J116">
        <f t="shared" ca="1" si="35"/>
        <v>59493.270534406569</v>
      </c>
      <c r="K116">
        <f t="shared" ca="1" si="35"/>
        <v>38659.15535403059</v>
      </c>
      <c r="L116">
        <f t="shared" ca="1" si="35"/>
        <v>13386.870723221205</v>
      </c>
      <c r="M116">
        <f t="shared" ca="1" si="35"/>
        <v>20737.853475492429</v>
      </c>
      <c r="N116">
        <f t="shared" ca="1" si="35"/>
        <v>27702.656567924598</v>
      </c>
      <c r="O116">
        <f t="shared" ca="1" si="35"/>
        <v>47630.154028829988</v>
      </c>
      <c r="P116">
        <f t="shared" ca="1" si="35"/>
        <v>64280.051016244484</v>
      </c>
      <c r="Q116">
        <f t="shared" ca="1" si="35"/>
        <v>57814.378001057979</v>
      </c>
      <c r="R116">
        <f t="shared" ca="1" si="35"/>
        <v>39109.522664813128</v>
      </c>
      <c r="S116">
        <f t="shared" ca="1" si="35"/>
        <v>41495.900342813802</v>
      </c>
      <c r="T116">
        <f t="shared" si="35"/>
        <v>0</v>
      </c>
      <c r="U116">
        <f t="shared" si="35"/>
        <v>0</v>
      </c>
      <c r="V116">
        <f t="shared" si="35"/>
        <v>0</v>
      </c>
      <c r="W116">
        <f t="shared" si="35"/>
        <v>0</v>
      </c>
      <c r="X116">
        <f t="shared" si="35"/>
        <v>0</v>
      </c>
      <c r="Y116">
        <f t="shared" si="35"/>
        <v>0</v>
      </c>
      <c r="Z116">
        <f t="shared" si="35"/>
        <v>0</v>
      </c>
      <c r="AA116">
        <f t="shared" si="35"/>
        <v>0</v>
      </c>
      <c r="AB116">
        <f t="shared" si="35"/>
        <v>0</v>
      </c>
      <c r="AC116">
        <f t="shared" si="35"/>
        <v>0</v>
      </c>
    </row>
    <row r="117" spans="1:29" x14ac:dyDescent="0.2">
      <c r="A117" s="22" t="s">
        <v>1962</v>
      </c>
      <c r="E117">
        <f ca="1">MIN(E114,E65)</f>
        <v>900.78459459459452</v>
      </c>
      <c r="F117">
        <f t="shared" ref="F117:AC117" ca="1" si="36">MIN(F114,F65)</f>
        <v>705.63082080000004</v>
      </c>
      <c r="G117">
        <f t="shared" ca="1" si="36"/>
        <v>663.3193780332582</v>
      </c>
      <c r="H117">
        <f t="shared" ca="1" si="36"/>
        <v>1058.8826356645943</v>
      </c>
      <c r="I117">
        <f t="shared" ca="1" si="36"/>
        <v>1031.1811483056476</v>
      </c>
      <c r="J117">
        <f t="shared" ca="1" si="36"/>
        <v>1170.3649994371351</v>
      </c>
      <c r="K117">
        <f t="shared" ca="1" si="36"/>
        <v>1448.4218009248896</v>
      </c>
      <c r="L117">
        <f t="shared" ca="1" si="36"/>
        <v>1051.4935276377337</v>
      </c>
      <c r="M117">
        <f t="shared" ca="1" si="36"/>
        <v>1295.9413121030477</v>
      </c>
      <c r="N117">
        <f t="shared" ca="1" si="36"/>
        <v>945.83423715359845</v>
      </c>
      <c r="O117">
        <f t="shared" ca="1" si="36"/>
        <v>1546.8943403999017</v>
      </c>
      <c r="P117">
        <f t="shared" ca="1" si="36"/>
        <v>498.24482030575888</v>
      </c>
      <c r="Q117">
        <f t="shared" ca="1" si="36"/>
        <v>440.23351835832335</v>
      </c>
      <c r="R117">
        <f t="shared" ca="1" si="36"/>
        <v>652.6916144131917</v>
      </c>
      <c r="S117">
        <f t="shared" ca="1" si="36"/>
        <v>-25.603073890763596</v>
      </c>
      <c r="T117">
        <f t="shared" si="36"/>
        <v>0</v>
      </c>
      <c r="U117">
        <f t="shared" si="36"/>
        <v>0</v>
      </c>
      <c r="V117">
        <f t="shared" si="36"/>
        <v>0</v>
      </c>
      <c r="W117">
        <f t="shared" si="36"/>
        <v>0</v>
      </c>
      <c r="X117">
        <f t="shared" si="36"/>
        <v>0</v>
      </c>
      <c r="Y117">
        <f t="shared" si="36"/>
        <v>0</v>
      </c>
      <c r="Z117">
        <f t="shared" si="36"/>
        <v>0</v>
      </c>
      <c r="AA117">
        <f t="shared" si="36"/>
        <v>0</v>
      </c>
      <c r="AB117">
        <f t="shared" si="36"/>
        <v>0</v>
      </c>
      <c r="AC117">
        <f t="shared" si="36"/>
        <v>0</v>
      </c>
    </row>
    <row r="118" spans="1:29" x14ac:dyDescent="0.2">
      <c r="A118" s="22" t="s">
        <v>1963</v>
      </c>
      <c r="E118">
        <f ca="1">MIN(E115,E66)</f>
        <v>6491.6952001939853</v>
      </c>
      <c r="F118">
        <f t="shared" ref="F118:AC118" ca="1" si="37">MIN(F115,F66)</f>
        <v>13670.642685248613</v>
      </c>
      <c r="G118">
        <f t="shared" ca="1" si="37"/>
        <v>2135.3155345904393</v>
      </c>
      <c r="H118">
        <f t="shared" ca="1" si="37"/>
        <v>2963.8853882735916</v>
      </c>
      <c r="I118">
        <f t="shared" ca="1" si="37"/>
        <v>12726.731028576467</v>
      </c>
      <c r="J118">
        <f t="shared" ca="1" si="37"/>
        <v>33897.780452497922</v>
      </c>
      <c r="K118">
        <f t="shared" ca="1" si="37"/>
        <v>89845.970527183876</v>
      </c>
      <c r="L118">
        <f t="shared" ca="1" si="37"/>
        <v>16949.587320286297</v>
      </c>
      <c r="M118">
        <f t="shared" ca="1" si="37"/>
        <v>28161.348933856738</v>
      </c>
      <c r="N118">
        <f t="shared" ca="1" si="37"/>
        <v>46057.94787477114</v>
      </c>
      <c r="O118">
        <f t="shared" ca="1" si="37"/>
        <v>110957.07690777494</v>
      </c>
      <c r="P118">
        <f t="shared" ca="1" si="37"/>
        <v>156322.22818552432</v>
      </c>
      <c r="Q118">
        <f t="shared" ca="1" si="37"/>
        <v>154361.85608166058</v>
      </c>
      <c r="R118">
        <f t="shared" ca="1" si="37"/>
        <v>213842.81859817344</v>
      </c>
      <c r="S118">
        <f t="shared" ca="1" si="37"/>
        <v>308509.36483974528</v>
      </c>
      <c r="T118">
        <f t="shared" si="37"/>
        <v>0</v>
      </c>
      <c r="U118">
        <f t="shared" si="37"/>
        <v>0</v>
      </c>
      <c r="V118">
        <f t="shared" si="37"/>
        <v>0</v>
      </c>
      <c r="W118">
        <f t="shared" si="37"/>
        <v>0</v>
      </c>
      <c r="X118">
        <f t="shared" si="37"/>
        <v>0</v>
      </c>
      <c r="Y118">
        <f t="shared" si="37"/>
        <v>0</v>
      </c>
      <c r="Z118">
        <f t="shared" si="37"/>
        <v>0</v>
      </c>
      <c r="AA118">
        <f t="shared" si="37"/>
        <v>0</v>
      </c>
      <c r="AB118">
        <f t="shared" si="37"/>
        <v>0</v>
      </c>
      <c r="AC118">
        <f t="shared" si="37"/>
        <v>0</v>
      </c>
    </row>
    <row r="119" spans="1:29" x14ac:dyDescent="0.2">
      <c r="A119" s="22" t="s">
        <v>1964</v>
      </c>
      <c r="E119">
        <f ca="1">MAX(0, E$25 - E116 - E117 - E118)</f>
        <v>5590.9106055993934</v>
      </c>
      <c r="F119">
        <f t="shared" ref="F119:AC119" ca="1" si="38">MAX(0, F$25 - F116 - F117 - F118)</f>
        <v>12965.011864448616</v>
      </c>
      <c r="G119">
        <f t="shared" ca="1" si="38"/>
        <v>1467.0692171278124</v>
      </c>
      <c r="H119">
        <f t="shared" ca="1" si="38"/>
        <v>1637.1448097454181</v>
      </c>
      <c r="I119">
        <f t="shared" ca="1" si="38"/>
        <v>8738.5823038784638</v>
      </c>
      <c r="J119">
        <f t="shared" ca="1" si="38"/>
        <v>18975.584746808861</v>
      </c>
      <c r="K119">
        <f t="shared" ca="1" si="38"/>
        <v>36429.948322719923</v>
      </c>
      <c r="L119">
        <f t="shared" ca="1" si="38"/>
        <v>211569.9374210595</v>
      </c>
      <c r="M119">
        <f t="shared" ca="1" si="38"/>
        <v>322256.5554979312</v>
      </c>
      <c r="N119">
        <f t="shared" ca="1" si="38"/>
        <v>391533.88004035805</v>
      </c>
      <c r="O119">
        <f t="shared" ca="1" si="38"/>
        <v>392602.89938435954</v>
      </c>
      <c r="P119">
        <f t="shared" ca="1" si="38"/>
        <v>433954.37113468524</v>
      </c>
      <c r="Q119">
        <f t="shared" ca="1" si="38"/>
        <v>607874.17151138827</v>
      </c>
      <c r="R119">
        <f t="shared" ca="1" si="38"/>
        <v>821437.04480067629</v>
      </c>
      <c r="S119">
        <f t="shared" ca="1" si="38"/>
        <v>1027146.6002275757</v>
      </c>
      <c r="T119">
        <f t="shared" si="38"/>
        <v>0</v>
      </c>
      <c r="U119">
        <f t="shared" si="38"/>
        <v>0</v>
      </c>
      <c r="V119">
        <f t="shared" si="38"/>
        <v>0</v>
      </c>
      <c r="W119">
        <f t="shared" si="38"/>
        <v>0</v>
      </c>
      <c r="X119">
        <f t="shared" si="38"/>
        <v>0</v>
      </c>
      <c r="Y119">
        <f t="shared" si="38"/>
        <v>0</v>
      </c>
      <c r="Z119">
        <f t="shared" si="38"/>
        <v>0</v>
      </c>
      <c r="AA119">
        <f t="shared" si="38"/>
        <v>0</v>
      </c>
      <c r="AB119">
        <f t="shared" si="38"/>
        <v>0</v>
      </c>
      <c r="AC119">
        <f t="shared" si="38"/>
        <v>0</v>
      </c>
    </row>
    <row r="120" spans="1:29" x14ac:dyDescent="0.2">
      <c r="A120" s="22" t="s">
        <v>1965</v>
      </c>
      <c r="E120">
        <f ca="1">MAX(0, E64 - E116)</f>
        <v>271352.94682453718</v>
      </c>
      <c r="F120">
        <f t="shared" ref="F120:AC120" ca="1" si="39">MAX(0, F64 - F116)</f>
        <v>377857.11331562483</v>
      </c>
      <c r="G120">
        <f t="shared" ca="1" si="39"/>
        <v>355467.43259746552</v>
      </c>
      <c r="H120">
        <f t="shared" ca="1" si="39"/>
        <v>317265.07651052071</v>
      </c>
      <c r="I120">
        <f t="shared" ca="1" si="39"/>
        <v>254127.80107902625</v>
      </c>
      <c r="J120">
        <f t="shared" ca="1" si="39"/>
        <v>202848.64687405547</v>
      </c>
      <c r="K120">
        <f t="shared" ca="1" si="39"/>
        <v>177439.42885692063</v>
      </c>
      <c r="L120">
        <f t="shared" ca="1" si="39"/>
        <v>184689.34986332012</v>
      </c>
      <c r="M120">
        <f t="shared" ca="1" si="39"/>
        <v>164741.46004873823</v>
      </c>
      <c r="N120">
        <f t="shared" ca="1" si="39"/>
        <v>147958.81976645681</v>
      </c>
      <c r="O120">
        <f t="shared" ca="1" si="39"/>
        <v>100512.66086647181</v>
      </c>
      <c r="P120">
        <f t="shared" ca="1" si="39"/>
        <v>42516.326394854274</v>
      </c>
      <c r="Q120">
        <f t="shared" ca="1" si="39"/>
        <v>0</v>
      </c>
      <c r="R120">
        <f t="shared" ca="1" si="39"/>
        <v>0</v>
      </c>
      <c r="S120">
        <f t="shared" ca="1" si="39"/>
        <v>0</v>
      </c>
      <c r="T120">
        <f t="shared" si="39"/>
        <v>0</v>
      </c>
      <c r="U120">
        <f t="shared" si="39"/>
        <v>0</v>
      </c>
      <c r="V120">
        <f t="shared" si="39"/>
        <v>0</v>
      </c>
      <c r="W120">
        <f t="shared" si="39"/>
        <v>0</v>
      </c>
      <c r="X120">
        <f t="shared" si="39"/>
        <v>0</v>
      </c>
      <c r="Y120">
        <f t="shared" si="39"/>
        <v>0</v>
      </c>
      <c r="Z120">
        <f t="shared" si="39"/>
        <v>0</v>
      </c>
      <c r="AA120">
        <f t="shared" si="39"/>
        <v>0</v>
      </c>
      <c r="AB120">
        <f t="shared" si="39"/>
        <v>0</v>
      </c>
      <c r="AC120">
        <f t="shared" si="39"/>
        <v>0</v>
      </c>
    </row>
    <row r="121" spans="1:29" x14ac:dyDescent="0.2">
      <c r="A121" s="22" t="s">
        <v>1966</v>
      </c>
      <c r="E121">
        <f ca="1">MAX(0, E65 - E117)</f>
        <v>0</v>
      </c>
      <c r="F121">
        <f t="shared" ref="F121:AC121" ca="1" si="40">MAX(0, F65 - F117)</f>
        <v>0</v>
      </c>
      <c r="G121">
        <f t="shared" ca="1" si="40"/>
        <v>0</v>
      </c>
      <c r="H121">
        <f t="shared" ca="1" si="40"/>
        <v>0</v>
      </c>
      <c r="I121">
        <f t="shared" ca="1" si="40"/>
        <v>0</v>
      </c>
      <c r="J121">
        <f t="shared" ca="1" si="40"/>
        <v>0</v>
      </c>
      <c r="K121">
        <f t="shared" ca="1" si="40"/>
        <v>0</v>
      </c>
      <c r="L121">
        <f t="shared" ca="1" si="40"/>
        <v>0</v>
      </c>
      <c r="M121">
        <f t="shared" ca="1" si="40"/>
        <v>0</v>
      </c>
      <c r="N121">
        <f t="shared" ca="1" si="40"/>
        <v>0</v>
      </c>
      <c r="O121">
        <f t="shared" ca="1" si="40"/>
        <v>0</v>
      </c>
      <c r="P121">
        <f t="shared" ca="1" si="40"/>
        <v>0</v>
      </c>
      <c r="Q121">
        <f t="shared" ca="1" si="40"/>
        <v>0</v>
      </c>
      <c r="R121">
        <f t="shared" ca="1" si="40"/>
        <v>0</v>
      </c>
      <c r="S121">
        <f t="shared" ca="1" si="40"/>
        <v>0</v>
      </c>
      <c r="T121">
        <f t="shared" si="40"/>
        <v>0</v>
      </c>
      <c r="U121">
        <f t="shared" si="40"/>
        <v>0</v>
      </c>
      <c r="V121">
        <f t="shared" si="40"/>
        <v>0</v>
      </c>
      <c r="W121">
        <f t="shared" si="40"/>
        <v>0</v>
      </c>
      <c r="X121">
        <f t="shared" si="40"/>
        <v>0</v>
      </c>
      <c r="Y121">
        <f t="shared" si="40"/>
        <v>0</v>
      </c>
      <c r="Z121">
        <f t="shared" si="40"/>
        <v>0</v>
      </c>
      <c r="AA121">
        <f t="shared" si="40"/>
        <v>0</v>
      </c>
      <c r="AB121">
        <f t="shared" si="40"/>
        <v>0</v>
      </c>
      <c r="AC121">
        <f t="shared" si="40"/>
        <v>0</v>
      </c>
    </row>
    <row r="122" spans="1:29" x14ac:dyDescent="0.2">
      <c r="A122" s="22" t="s">
        <v>1967</v>
      </c>
      <c r="E122">
        <f ca="1">MAX(0, E66 - E118)</f>
        <v>120123.18626779511</v>
      </c>
      <c r="F122">
        <f t="shared" ref="F122:AC122" ca="1" si="41">MAX(0, F66 - F118)</f>
        <v>123846.70852475673</v>
      </c>
      <c r="G122">
        <f t="shared" ca="1" si="41"/>
        <v>149985.95459932502</v>
      </c>
      <c r="H122">
        <f t="shared" ca="1" si="41"/>
        <v>173683.08419248048</v>
      </c>
      <c r="I122">
        <f t="shared" ca="1" si="41"/>
        <v>179712.71068186863</v>
      </c>
      <c r="J122">
        <f t="shared" ca="1" si="41"/>
        <v>142926.29100269944</v>
      </c>
      <c r="K122">
        <f t="shared" ca="1" si="41"/>
        <v>13692.794925842594</v>
      </c>
      <c r="L122">
        <f t="shared" ca="1" si="41"/>
        <v>19557.278767206521</v>
      </c>
      <c r="M122">
        <f t="shared" ca="1" si="41"/>
        <v>22544.990040201657</v>
      </c>
      <c r="N122">
        <f t="shared" ca="1" si="41"/>
        <v>39181.952482437846</v>
      </c>
      <c r="O122">
        <f t="shared" ca="1" si="41"/>
        <v>17331.739972005467</v>
      </c>
      <c r="P122">
        <f t="shared" ca="1" si="41"/>
        <v>0</v>
      </c>
      <c r="Q122">
        <f t="shared" ca="1" si="41"/>
        <v>0</v>
      </c>
      <c r="R122">
        <f t="shared" ca="1" si="41"/>
        <v>0</v>
      </c>
      <c r="S122">
        <f t="shared" ca="1" si="41"/>
        <v>0</v>
      </c>
      <c r="T122">
        <f t="shared" si="41"/>
        <v>0</v>
      </c>
      <c r="U122">
        <f t="shared" si="41"/>
        <v>0</v>
      </c>
      <c r="V122">
        <f t="shared" si="41"/>
        <v>0</v>
      </c>
      <c r="W122">
        <f t="shared" si="41"/>
        <v>0</v>
      </c>
      <c r="X122">
        <f t="shared" si="41"/>
        <v>0</v>
      </c>
      <c r="Y122">
        <f t="shared" si="41"/>
        <v>0</v>
      </c>
      <c r="Z122">
        <f t="shared" si="41"/>
        <v>0</v>
      </c>
      <c r="AA122">
        <f t="shared" si="41"/>
        <v>0</v>
      </c>
      <c r="AB122">
        <f t="shared" si="41"/>
        <v>0</v>
      </c>
      <c r="AC122">
        <f t="shared" si="41"/>
        <v>0</v>
      </c>
    </row>
    <row r="123" spans="1:29" x14ac:dyDescent="0.2">
      <c r="A123" s="22" t="s">
        <v>1968</v>
      </c>
      <c r="E123">
        <f ca="1">IF(E120&gt;0, E31, 0)</f>
        <v>4.0842206123323157</v>
      </c>
      <c r="F123">
        <f t="shared" ref="F123:AC123" ca="1" si="42">IF(F120&gt;0, F31, 0)</f>
        <v>3.3831709784271498</v>
      </c>
      <c r="G123">
        <f t="shared" ca="1" si="42"/>
        <v>169.76070275086235</v>
      </c>
      <c r="H123">
        <f t="shared" ca="1" si="42"/>
        <v>38.473895107560821</v>
      </c>
      <c r="I123">
        <f t="shared" ca="1" si="42"/>
        <v>5.7269786339353201</v>
      </c>
      <c r="J123">
        <f t="shared" ca="1" si="42"/>
        <v>3.7194035273725854</v>
      </c>
      <c r="K123">
        <f t="shared" ca="1" si="42"/>
        <v>1.0264142924678203</v>
      </c>
      <c r="L123">
        <f t="shared" ca="1" si="42"/>
        <v>0.78547928920160581</v>
      </c>
      <c r="M123">
        <f t="shared" ca="1" si="42"/>
        <v>0.69227622485858253</v>
      </c>
      <c r="N123">
        <f t="shared" ca="1" si="42"/>
        <v>0.64857091502041608</v>
      </c>
      <c r="O123">
        <f t="shared" ca="1" si="42"/>
        <v>0.96219095708607505</v>
      </c>
      <c r="P123">
        <f t="shared" ca="1" si="42"/>
        <v>0.95411286465633915</v>
      </c>
      <c r="Q123">
        <f t="shared" ca="1" si="42"/>
        <v>0</v>
      </c>
      <c r="R123">
        <f t="shared" ca="1" si="42"/>
        <v>0</v>
      </c>
      <c r="S123">
        <f t="shared" ca="1" si="42"/>
        <v>0</v>
      </c>
      <c r="T123">
        <f t="shared" si="42"/>
        <v>0</v>
      </c>
      <c r="U123">
        <f t="shared" si="42"/>
        <v>0</v>
      </c>
      <c r="V123">
        <f t="shared" si="42"/>
        <v>0</v>
      </c>
      <c r="W123">
        <f t="shared" si="42"/>
        <v>0</v>
      </c>
      <c r="X123">
        <f t="shared" si="42"/>
        <v>0</v>
      </c>
      <c r="Y123">
        <f t="shared" si="42"/>
        <v>0</v>
      </c>
      <c r="Z123">
        <f t="shared" si="42"/>
        <v>0</v>
      </c>
      <c r="AA123">
        <f t="shared" si="42"/>
        <v>0</v>
      </c>
      <c r="AB123">
        <f t="shared" si="42"/>
        <v>0</v>
      </c>
      <c r="AC123">
        <f t="shared" si="42"/>
        <v>0</v>
      </c>
    </row>
    <row r="124" spans="1:29" x14ac:dyDescent="0.2">
      <c r="A124" s="22" t="s">
        <v>1969</v>
      </c>
      <c r="E124">
        <f ca="1">IF(E121&gt;0, E32, 0)</f>
        <v>0</v>
      </c>
      <c r="F124">
        <f t="shared" ref="F124:AC124" ca="1" si="43">IF(F121&gt;0, F32, 0)</f>
        <v>0</v>
      </c>
      <c r="G124">
        <f t="shared" ca="1" si="43"/>
        <v>0</v>
      </c>
      <c r="H124">
        <f t="shared" ca="1" si="43"/>
        <v>0</v>
      </c>
      <c r="I124">
        <f t="shared" ca="1" si="43"/>
        <v>0</v>
      </c>
      <c r="J124">
        <f t="shared" ca="1" si="43"/>
        <v>0</v>
      </c>
      <c r="K124">
        <f t="shared" ca="1" si="43"/>
        <v>0</v>
      </c>
      <c r="L124">
        <f t="shared" ca="1" si="43"/>
        <v>0</v>
      </c>
      <c r="M124">
        <f t="shared" ca="1" si="43"/>
        <v>0</v>
      </c>
      <c r="N124">
        <f t="shared" ca="1" si="43"/>
        <v>0</v>
      </c>
      <c r="O124">
        <f t="shared" ca="1" si="43"/>
        <v>0</v>
      </c>
      <c r="P124">
        <f t="shared" ca="1" si="43"/>
        <v>0</v>
      </c>
      <c r="Q124">
        <f t="shared" ca="1" si="43"/>
        <v>0</v>
      </c>
      <c r="R124">
        <f t="shared" ca="1" si="43"/>
        <v>0</v>
      </c>
      <c r="S124">
        <f t="shared" ca="1" si="43"/>
        <v>0</v>
      </c>
      <c r="T124">
        <f t="shared" si="43"/>
        <v>0</v>
      </c>
      <c r="U124">
        <f t="shared" si="43"/>
        <v>0</v>
      </c>
      <c r="V124">
        <f t="shared" si="43"/>
        <v>0</v>
      </c>
      <c r="W124">
        <f t="shared" si="43"/>
        <v>0</v>
      </c>
      <c r="X124">
        <f t="shared" si="43"/>
        <v>0</v>
      </c>
      <c r="Y124">
        <f t="shared" si="43"/>
        <v>0</v>
      </c>
      <c r="Z124">
        <f t="shared" si="43"/>
        <v>0</v>
      </c>
      <c r="AA124">
        <f t="shared" si="43"/>
        <v>0</v>
      </c>
      <c r="AB124">
        <f t="shared" si="43"/>
        <v>0</v>
      </c>
      <c r="AC124">
        <f t="shared" si="43"/>
        <v>0</v>
      </c>
    </row>
    <row r="125" spans="1:29" x14ac:dyDescent="0.2">
      <c r="A125" s="22" t="s">
        <v>1970</v>
      </c>
      <c r="E125">
        <f ca="1">IF(E122&gt;0, E33, 0)</f>
        <v>1</v>
      </c>
      <c r="F125">
        <f t="shared" ref="F125:AC125" ca="1" si="44">IF(F122&gt;0, F33, 0)</f>
        <v>1</v>
      </c>
      <c r="G125">
        <f t="shared" ca="1" si="44"/>
        <v>1.0256826684153117</v>
      </c>
      <c r="H125">
        <f t="shared" ca="1" si="44"/>
        <v>1.337868353861688</v>
      </c>
      <c r="I125">
        <f t="shared" ca="1" si="44"/>
        <v>1.4482150267744778</v>
      </c>
      <c r="J125">
        <f t="shared" ca="1" si="44"/>
        <v>1.9504275305490339</v>
      </c>
      <c r="K125">
        <f t="shared" ca="1" si="44"/>
        <v>2.7580857609610425</v>
      </c>
      <c r="L125">
        <f t="shared" ca="1" si="44"/>
        <v>3.0441505486063258</v>
      </c>
      <c r="M125">
        <f t="shared" ca="1" si="44"/>
        <v>3.1218067435074386</v>
      </c>
      <c r="N125">
        <f t="shared" ca="1" si="44"/>
        <v>3.3599538489403709</v>
      </c>
      <c r="O125">
        <f t="shared" ca="1" si="44"/>
        <v>4.00984112057606</v>
      </c>
      <c r="P125">
        <f t="shared" ca="1" si="44"/>
        <v>0</v>
      </c>
      <c r="Q125">
        <f t="shared" ca="1" si="44"/>
        <v>0</v>
      </c>
      <c r="R125">
        <f t="shared" ca="1" si="44"/>
        <v>0</v>
      </c>
      <c r="S125">
        <f t="shared" ca="1" si="44"/>
        <v>0</v>
      </c>
      <c r="T125">
        <f t="shared" si="44"/>
        <v>0</v>
      </c>
      <c r="U125">
        <f t="shared" si="44"/>
        <v>0</v>
      </c>
      <c r="V125">
        <f t="shared" si="44"/>
        <v>0</v>
      </c>
      <c r="W125">
        <f t="shared" si="44"/>
        <v>0</v>
      </c>
      <c r="X125">
        <f t="shared" si="44"/>
        <v>0</v>
      </c>
      <c r="Y125">
        <f t="shared" si="44"/>
        <v>0</v>
      </c>
      <c r="Z125">
        <f t="shared" si="44"/>
        <v>0</v>
      </c>
      <c r="AA125">
        <f t="shared" si="44"/>
        <v>0</v>
      </c>
      <c r="AB125">
        <f t="shared" si="44"/>
        <v>0</v>
      </c>
      <c r="AC125">
        <f t="shared" si="44"/>
        <v>0</v>
      </c>
    </row>
    <row r="126" spans="1:29" x14ac:dyDescent="0.2">
      <c r="A126" s="22" t="s">
        <v>1971</v>
      </c>
      <c r="E126">
        <f ca="1">E123+E124+E125</f>
        <v>5.0842206123323157</v>
      </c>
      <c r="F126">
        <f t="shared" ref="F126:AC126" ca="1" si="45">F123+F124+F125</f>
        <v>4.3831709784271498</v>
      </c>
      <c r="G126">
        <f t="shared" ca="1" si="45"/>
        <v>170.78638541927765</v>
      </c>
      <c r="H126">
        <f t="shared" ca="1" si="45"/>
        <v>39.811763461422508</v>
      </c>
      <c r="I126">
        <f t="shared" ca="1" si="45"/>
        <v>7.1751936607097981</v>
      </c>
      <c r="J126">
        <f t="shared" ca="1" si="45"/>
        <v>5.6698310579216198</v>
      </c>
      <c r="K126">
        <f t="shared" ca="1" si="45"/>
        <v>3.7845000534288626</v>
      </c>
      <c r="L126">
        <f t="shared" ca="1" si="45"/>
        <v>3.8296298378079316</v>
      </c>
      <c r="M126">
        <f t="shared" ca="1" si="45"/>
        <v>3.8140829683660211</v>
      </c>
      <c r="N126">
        <f t="shared" ca="1" si="45"/>
        <v>4.0085247639607866</v>
      </c>
      <c r="O126">
        <f t="shared" ca="1" si="45"/>
        <v>4.972032077662135</v>
      </c>
      <c r="P126">
        <f t="shared" ca="1" si="45"/>
        <v>0.95411286465633915</v>
      </c>
      <c r="Q126">
        <f t="shared" ca="1" si="45"/>
        <v>0</v>
      </c>
      <c r="R126">
        <f t="shared" ca="1" si="45"/>
        <v>0</v>
      </c>
      <c r="S126">
        <f t="shared" ca="1" si="45"/>
        <v>0</v>
      </c>
      <c r="T126">
        <f t="shared" si="45"/>
        <v>0</v>
      </c>
      <c r="U126">
        <f t="shared" si="45"/>
        <v>0</v>
      </c>
      <c r="V126">
        <f t="shared" si="45"/>
        <v>0</v>
      </c>
      <c r="W126">
        <f t="shared" si="45"/>
        <v>0</v>
      </c>
      <c r="X126">
        <f t="shared" si="45"/>
        <v>0</v>
      </c>
      <c r="Y126">
        <f t="shared" si="45"/>
        <v>0</v>
      </c>
      <c r="Z126">
        <f t="shared" si="45"/>
        <v>0</v>
      </c>
      <c r="AA126">
        <f t="shared" si="45"/>
        <v>0</v>
      </c>
      <c r="AB126">
        <f t="shared" si="45"/>
        <v>0</v>
      </c>
      <c r="AC126">
        <f t="shared" si="45"/>
        <v>0</v>
      </c>
    </row>
    <row r="127" spans="1:29" x14ac:dyDescent="0.2">
      <c r="A127" s="22" t="s">
        <v>1972</v>
      </c>
      <c r="E127">
        <f ca="1">E116 + IFERROR(MIN(E$119*E123/E$126, E120), 0)</f>
        <v>25727.691308577967</v>
      </c>
      <c r="F127">
        <f t="shared" ref="F127:AC127" ca="1" si="46">F116 + IFERROR(MIN(F$119*F123/F$126, F120), 0)</f>
        <v>48421.835114502152</v>
      </c>
      <c r="G127">
        <f t="shared" ca="1" si="46"/>
        <v>35963.544731402966</v>
      </c>
      <c r="H127">
        <f t="shared" ca="1" si="46"/>
        <v>33987.006870262972</v>
      </c>
      <c r="I127">
        <f t="shared" ca="1" si="46"/>
        <v>47929.441363579383</v>
      </c>
      <c r="J127">
        <f t="shared" ca="1" si="46"/>
        <v>71941.235230396982</v>
      </c>
      <c r="K127">
        <f t="shared" ca="1" si="46"/>
        <v>48539.514477932687</v>
      </c>
      <c r="L127">
        <f t="shared" ca="1" si="46"/>
        <v>56781.091862109432</v>
      </c>
      <c r="M127">
        <f t="shared" ca="1" si="46"/>
        <v>79229.122156942118</v>
      </c>
      <c r="N127">
        <f t="shared" ca="1" si="46"/>
        <v>91052.018687956894</v>
      </c>
      <c r="O127">
        <f t="shared" ca="1" si="46"/>
        <v>123606.92843673532</v>
      </c>
      <c r="P127">
        <f t="shared" ca="1" si="46"/>
        <v>106796.37741109876</v>
      </c>
      <c r="Q127">
        <f t="shared" ca="1" si="46"/>
        <v>57814.378001057979</v>
      </c>
      <c r="R127">
        <f t="shared" ca="1" si="46"/>
        <v>39109.522664813128</v>
      </c>
      <c r="S127">
        <f t="shared" ca="1" si="46"/>
        <v>41495.900342813802</v>
      </c>
      <c r="T127">
        <f t="shared" si="46"/>
        <v>0</v>
      </c>
      <c r="U127">
        <f t="shared" si="46"/>
        <v>0</v>
      </c>
      <c r="V127">
        <f t="shared" si="46"/>
        <v>0</v>
      </c>
      <c r="W127">
        <f t="shared" si="46"/>
        <v>0</v>
      </c>
      <c r="X127">
        <f t="shared" si="46"/>
        <v>0</v>
      </c>
      <c r="Y127">
        <f t="shared" si="46"/>
        <v>0</v>
      </c>
      <c r="Z127">
        <f t="shared" si="46"/>
        <v>0</v>
      </c>
      <c r="AA127">
        <f t="shared" si="46"/>
        <v>0</v>
      </c>
      <c r="AB127">
        <f t="shared" si="46"/>
        <v>0</v>
      </c>
      <c r="AC127">
        <f t="shared" si="46"/>
        <v>0</v>
      </c>
    </row>
    <row r="128" spans="1:29" x14ac:dyDescent="0.2">
      <c r="A128" s="22" t="s">
        <v>1973</v>
      </c>
      <c r="E128">
        <f ca="1">E117 + IFERROR(MIN(E$119*E124/E$126, E121), 0)</f>
        <v>900.78459459459452</v>
      </c>
      <c r="F128">
        <f t="shared" ref="F128:AC128" ca="1" si="47">F117 + IFERROR(MIN(F$119*F124/F$126, F121), 0)</f>
        <v>705.63082080000004</v>
      </c>
      <c r="G128">
        <f t="shared" ca="1" si="47"/>
        <v>663.3193780332582</v>
      </c>
      <c r="H128">
        <f t="shared" ca="1" si="47"/>
        <v>1058.8826356645943</v>
      </c>
      <c r="I128">
        <f t="shared" ca="1" si="47"/>
        <v>1031.1811483056476</v>
      </c>
      <c r="J128">
        <f t="shared" ca="1" si="47"/>
        <v>1170.3649994371351</v>
      </c>
      <c r="K128">
        <f t="shared" ca="1" si="47"/>
        <v>1448.4218009248896</v>
      </c>
      <c r="L128">
        <f t="shared" ca="1" si="47"/>
        <v>1051.4935276377337</v>
      </c>
      <c r="M128">
        <f t="shared" ca="1" si="47"/>
        <v>1295.9413121030477</v>
      </c>
      <c r="N128">
        <f t="shared" ca="1" si="47"/>
        <v>945.83423715359845</v>
      </c>
      <c r="O128">
        <f t="shared" ca="1" si="47"/>
        <v>1546.8943403999017</v>
      </c>
      <c r="P128">
        <f t="shared" ca="1" si="47"/>
        <v>498.24482030575888</v>
      </c>
      <c r="Q128">
        <f t="shared" ca="1" si="47"/>
        <v>440.23351835832335</v>
      </c>
      <c r="R128">
        <f t="shared" ca="1" si="47"/>
        <v>652.6916144131917</v>
      </c>
      <c r="S128">
        <f t="shared" ca="1" si="47"/>
        <v>-25.603073890763596</v>
      </c>
      <c r="T128">
        <f t="shared" si="47"/>
        <v>0</v>
      </c>
      <c r="U128">
        <f t="shared" si="47"/>
        <v>0</v>
      </c>
      <c r="V128">
        <f t="shared" si="47"/>
        <v>0</v>
      </c>
      <c r="W128">
        <f t="shared" si="47"/>
        <v>0</v>
      </c>
      <c r="X128">
        <f t="shared" si="47"/>
        <v>0</v>
      </c>
      <c r="Y128">
        <f t="shared" si="47"/>
        <v>0</v>
      </c>
      <c r="Z128">
        <f t="shared" si="47"/>
        <v>0</v>
      </c>
      <c r="AA128">
        <f t="shared" si="47"/>
        <v>0</v>
      </c>
      <c r="AB128">
        <f t="shared" si="47"/>
        <v>0</v>
      </c>
      <c r="AC128">
        <f t="shared" si="47"/>
        <v>0</v>
      </c>
    </row>
    <row r="129" spans="1:29" x14ac:dyDescent="0.2">
      <c r="A129" s="22" t="s">
        <v>1974</v>
      </c>
      <c r="E129">
        <f ca="1">E118 + IFERROR(MIN(E$119*E125/E$126, E122), 0)</f>
        <v>7591.3545249758499</v>
      </c>
      <c r="F129">
        <f t="shared" ref="F129:AC129" ca="1" si="48">F118 + IFERROR(MIN(F$119*F125/F$126, F122), 0)</f>
        <v>16628.549627108536</v>
      </c>
      <c r="G129">
        <f t="shared" ca="1" si="48"/>
        <v>2144.1262337903754</v>
      </c>
      <c r="H129">
        <f t="shared" ca="1" si="48"/>
        <v>3018.901394629846</v>
      </c>
      <c r="I129">
        <f t="shared" ca="1" si="48"/>
        <v>14490.494740555554</v>
      </c>
      <c r="J129">
        <f t="shared" ca="1" si="48"/>
        <v>40425.40050331637</v>
      </c>
      <c r="K129">
        <f t="shared" ca="1" si="48"/>
        <v>103538.76545302647</v>
      </c>
      <c r="L129">
        <f t="shared" ca="1" si="48"/>
        <v>36506.866087492817</v>
      </c>
      <c r="M129">
        <f t="shared" ca="1" si="48"/>
        <v>50706.338974058395</v>
      </c>
      <c r="N129">
        <f t="shared" ca="1" si="48"/>
        <v>85239.900357208986</v>
      </c>
      <c r="O129">
        <f t="shared" ca="1" si="48"/>
        <v>128288.81687978041</v>
      </c>
      <c r="P129">
        <f t="shared" ca="1" si="48"/>
        <v>156322.22818552432</v>
      </c>
      <c r="Q129">
        <f t="shared" ca="1" si="48"/>
        <v>154361.85608166058</v>
      </c>
      <c r="R129">
        <f t="shared" ca="1" si="48"/>
        <v>213842.81859817344</v>
      </c>
      <c r="S129">
        <f t="shared" ca="1" si="48"/>
        <v>308509.36483974528</v>
      </c>
      <c r="T129">
        <f t="shared" si="48"/>
        <v>0</v>
      </c>
      <c r="U129">
        <f t="shared" si="48"/>
        <v>0</v>
      </c>
      <c r="V129">
        <f t="shared" si="48"/>
        <v>0</v>
      </c>
      <c r="W129">
        <f t="shared" si="48"/>
        <v>0</v>
      </c>
      <c r="X129">
        <f t="shared" si="48"/>
        <v>0</v>
      </c>
      <c r="Y129">
        <f t="shared" si="48"/>
        <v>0</v>
      </c>
      <c r="Z129">
        <f t="shared" si="48"/>
        <v>0</v>
      </c>
      <c r="AA129">
        <f t="shared" si="48"/>
        <v>0</v>
      </c>
      <c r="AB129">
        <f t="shared" si="48"/>
        <v>0</v>
      </c>
      <c r="AC129">
        <f t="shared" si="48"/>
        <v>0</v>
      </c>
    </row>
    <row r="131" spans="1:29" x14ac:dyDescent="0.2">
      <c r="A131" s="222" t="s">
        <v>2004</v>
      </c>
    </row>
    <row r="132" spans="1:29" x14ac:dyDescent="0.2">
      <c r="A132" s="177" t="s">
        <v>2018</v>
      </c>
      <c r="D132" s="231">
        <f ca="1">MIN( 'AI - Compute'!D32, IFERROR( D52 / 'AI - Compute'!D26, 0 ) ) * 'AI - Compute'!D40</f>
        <v>1950.6942161263194</v>
      </c>
      <c r="E132" s="231">
        <f ca="1">MIN( 'AI - Compute'!E32, IFERROR( E52 / 'AI - Compute'!E26, 0 ) ) * 'AI - Compute'!E40</f>
        <v>2473.0307833553265</v>
      </c>
      <c r="F132" s="231">
        <f ca="1">MIN( 'AI - Compute'!F32, IFERROR( F52 / 'AI - Compute'!F26, 0 ) ) * 'AI - Compute'!F40</f>
        <v>1360.998556745792</v>
      </c>
      <c r="G132" s="231">
        <f ca="1">MIN( 'AI - Compute'!G32, IFERROR( G52 / 'AI - Compute'!G26, 0 ) ) * 'AI - Compute'!G40</f>
        <v>3742.2066820977029</v>
      </c>
      <c r="H132" s="231">
        <f ca="1">MIN( 'AI - Compute'!H32, IFERROR( H52 / 'AI - Compute'!H26, 0 ) ) * 'AI - Compute'!H40</f>
        <v>12115.264498544129</v>
      </c>
      <c r="I132" s="231">
        <f ca="1">MIN( 'AI - Compute'!I32, IFERROR( I52 / 'AI - Compute'!I26, 0 ) ) * 'AI - Compute'!I40</f>
        <v>31658.284300971638</v>
      </c>
      <c r="J132" s="231">
        <f ca="1">MIN( 'AI - Compute'!J32, IFERROR( J52 / 'AI - Compute'!J26, 0 ) ) * 'AI - Compute'!J40</f>
        <v>62078.920133059706</v>
      </c>
      <c r="K132" s="231">
        <f ca="1">MIN( 'AI - Compute'!K32, IFERROR( K52 / 'AI - Compute'!K26, 0 ) ) * 'AI - Compute'!K40</f>
        <v>64321.857651067534</v>
      </c>
      <c r="L132" s="231">
        <f ca="1">MIN( 'AI - Compute'!L32, IFERROR( L52 / 'AI - Compute'!L26, 0 ) ) * 'AI - Compute'!L40</f>
        <v>36506.866087492825</v>
      </c>
      <c r="M132" s="231">
        <f ca="1">MIN( 'AI - Compute'!M32, IFERROR( M52 / 'AI - Compute'!M26, 0 ) ) * 'AI - Compute'!M40</f>
        <v>50155.928014036006</v>
      </c>
      <c r="N132" s="231">
        <f ca="1">MIN( 'AI - Compute'!N32, IFERROR( N52 / 'AI - Compute'!N26, 0 ) ) * 'AI - Compute'!N40</f>
        <v>72518.272417052474</v>
      </c>
      <c r="O132" s="231">
        <f ca="1">MIN( 'AI - Compute'!O32, IFERROR( O52 / 'AI - Compute'!O26, 0 ) ) * 'AI - Compute'!O40</f>
        <v>106552.98442822111</v>
      </c>
      <c r="P132" s="231">
        <f ca="1">MIN( 'AI - Compute'!P32, IFERROR( P52 / 'AI - Compute'!P26, 0 ) ) * 'AI - Compute'!P40</f>
        <v>121486.14885606094</v>
      </c>
      <c r="Q132" s="231">
        <f ca="1">MIN( 'AI - Compute'!Q32, IFERROR( Q52 / 'AI - Compute'!Q26, 0 ) ) * 'AI - Compute'!Q40</f>
        <v>112903.7527822902</v>
      </c>
      <c r="R132" s="231">
        <f ca="1">MIN( 'AI - Compute'!R32, IFERROR( R52 / 'AI - Compute'!R26, 0 ) ) * 'AI - Compute'!R40</f>
        <v>144639.50776063409</v>
      </c>
      <c r="S132" s="231">
        <f ca="1">MIN( 'AI - Compute'!S32, IFERROR( S52 / 'AI - Compute'!S26, 0 ) ) * 'AI - Compute'!S40</f>
        <v>181690.63872245798</v>
      </c>
    </row>
    <row r="133" spans="1:29" x14ac:dyDescent="0.2">
      <c r="A133" s="175" t="s">
        <v>2005</v>
      </c>
      <c r="D133" s="231">
        <f ca="1">D88</f>
        <v>0</v>
      </c>
      <c r="E133" s="231">
        <f ca="1">E88</f>
        <v>3673.6645174052396</v>
      </c>
      <c r="F133" s="231">
        <f t="shared" ref="F133:S133" ca="1" si="49">F88</f>
        <v>6956.9530665582733</v>
      </c>
      <c r="G133" s="231">
        <f t="shared" ca="1" si="49"/>
        <v>1245.5255750836131</v>
      </c>
      <c r="H133" s="231">
        <f t="shared" ca="1" si="49"/>
        <v>1546.859383697788</v>
      </c>
      <c r="I133" s="231">
        <f t="shared" ca="1" si="49"/>
        <v>9344.2173321060181</v>
      </c>
      <c r="J133" s="231">
        <f t="shared" ca="1" si="49"/>
        <v>30330.560258036374</v>
      </c>
      <c r="K133" s="231">
        <f t="shared" ca="1" si="49"/>
        <v>64321.857651067534</v>
      </c>
      <c r="L133" s="231">
        <f t="shared" ca="1" si="49"/>
        <v>28662.605865571837</v>
      </c>
      <c r="M133" s="231">
        <f t="shared" ca="1" si="49"/>
        <v>50155.928014036006</v>
      </c>
      <c r="N133" s="231">
        <f t="shared" ca="1" si="49"/>
        <v>72518.27241705246</v>
      </c>
      <c r="O133" s="231">
        <f t="shared" ca="1" si="49"/>
        <v>106552.98442822111</v>
      </c>
      <c r="P133" s="231">
        <f t="shared" ca="1" si="49"/>
        <v>121486.14885606094</v>
      </c>
      <c r="Q133" s="231">
        <f t="shared" ca="1" si="49"/>
        <v>112903.7527822902</v>
      </c>
      <c r="R133" s="231">
        <f t="shared" ca="1" si="49"/>
        <v>144639.50776063409</v>
      </c>
      <c r="S133" s="231">
        <f t="shared" ca="1" si="49"/>
        <v>191608.03192718563</v>
      </c>
    </row>
    <row r="134" spans="1:29" x14ac:dyDescent="0.2">
      <c r="A134" s="175" t="s">
        <v>2006</v>
      </c>
      <c r="D134" s="231">
        <v>0</v>
      </c>
      <c r="E134" s="231">
        <f>IF( AND( E$4&gt;=Assumptions!$B$424, E$4&lt;=Assumptions!$B$492 ), MIN( MAX(0, E132 - E133), MAX(0, Assumptions!$B$490 - D137) ), 0 )</f>
        <v>0</v>
      </c>
      <c r="F134" s="231">
        <f>IF( AND( F$4&gt;=Assumptions!$B$424, F$4&lt;=Assumptions!$B$492 ), MIN( MAX(0, F132 - F133), MAX(0, Assumptions!$B$490 - E137) ), 0 )</f>
        <v>0</v>
      </c>
      <c r="G134" s="231">
        <f ca="1">IF( AND( G$4&gt;=Assumptions!$B$424, G$4&lt;=Assumptions!$B$492 ), MIN( MAX(0, G132 - G133), MAX(0, Assumptions!$B$490 - F137) ), 0 )</f>
        <v>2496.6811070140898</v>
      </c>
      <c r="H134" s="231">
        <f ca="1">IF( AND( H$4&gt;=Assumptions!$B$424, H$4&lt;=Assumptions!$B$492 ), MIN( MAX(0, H132 - H133), MAX(0, Assumptions!$B$490 - G137) ), 0 )</f>
        <v>10568.40511484634</v>
      </c>
      <c r="I134" s="231">
        <f ca="1">IF( AND( I$4&gt;=Assumptions!$B$424, I$4&lt;=Assumptions!$B$492 ), MIN( MAX(0, I132 - I133), MAX(0, Assumptions!$B$490 - H137) ), 0 )</f>
        <v>22314.06696886562</v>
      </c>
      <c r="J134" s="231">
        <f ca="1">IF( AND( J$4&gt;=Assumptions!$B$424, J$4&lt;=Assumptions!$B$492 ), MIN( MAX(0, J132 - J133), MAX(0, Assumptions!$B$490 - I137) ), 0 )</f>
        <v>31748.359875023332</v>
      </c>
      <c r="K134" s="231">
        <f ca="1">IF( AND( K$4&gt;=Assumptions!$B$424, K$4&lt;=Assumptions!$B$492 ), MIN( MAX(0, K132 - K133), MAX(0, Assumptions!$B$490 - J137) ), 0 )</f>
        <v>0</v>
      </c>
      <c r="L134" s="231">
        <f ca="1">IF( AND( L$4&gt;=Assumptions!$B$424, L$4&lt;=Assumptions!$B$492 ), MIN( MAX(0, L132 - L133), MAX(0, Assumptions!$B$490 - K137) ), 0 )</f>
        <v>7844.2602219209875</v>
      </c>
      <c r="M134" s="231">
        <f ca="1">IF( AND( M$4&gt;=Assumptions!$B$424, M$4&lt;=Assumptions!$B$492 ), MIN( MAX(0, M132 - M133), MAX(0, Assumptions!$B$490 - L137) ), 0 )</f>
        <v>0</v>
      </c>
      <c r="N134" s="231">
        <f ca="1">IF( AND( N$4&gt;=Assumptions!$B$424, N$4&lt;=Assumptions!$B$492 ), MIN( MAX(0, N132 - N133), MAX(0, Assumptions!$B$490 - M137) ), 0 )</f>
        <v>1.4551915228366852E-11</v>
      </c>
      <c r="O134" s="231">
        <f>IF( AND( O$4&gt;=Assumptions!$B$424, O$4&lt;=Assumptions!$B$492 ), MIN( MAX(0, O132 - O133), MAX(0, Assumptions!$B$490 - N137) ), 0 )</f>
        <v>0</v>
      </c>
      <c r="P134" s="231">
        <f>IF( AND( P$4&gt;=Assumptions!$B$424, P$4&lt;=Assumptions!$B$492 ), MIN( MAX(0, P132 - P133), MAX(0, Assumptions!$B$490 - O137) ), 0 )</f>
        <v>0</v>
      </c>
      <c r="Q134" s="231">
        <f>IF( AND( Q$4&gt;=Assumptions!$B$424, Q$4&lt;=Assumptions!$B$492 ), MIN( MAX(0, Q132 - Q133), MAX(0, Assumptions!$B$490 - P137) ), 0 )</f>
        <v>0</v>
      </c>
      <c r="R134" s="231">
        <f>IF( AND( R$4&gt;=Assumptions!$B$424, R$4&lt;=Assumptions!$B$492 ), MIN( MAX(0, R132 - R133), MAX(0, Assumptions!$B$490 - Q137) ), 0 )</f>
        <v>0</v>
      </c>
      <c r="S134" s="231">
        <f>IF( AND( S$4&gt;=Assumptions!$B$424, S$4&lt;=Assumptions!$B$492 ), MIN( MAX(0, S132 - S133), MAX(0, Assumptions!$B$490 - R137) ), 0 )</f>
        <v>0</v>
      </c>
    </row>
    <row r="135" spans="1:29" x14ac:dyDescent="0.2">
      <c r="A135" s="175" t="s">
        <v>2007</v>
      </c>
      <c r="D135" s="231">
        <v>0</v>
      </c>
      <c r="E135" s="231">
        <f>D137*Assumptions!$B$491</f>
        <v>0</v>
      </c>
      <c r="F135" s="231">
        <f ca="1">E137*Assumptions!$B$491</f>
        <v>0</v>
      </c>
      <c r="G135" s="231">
        <f ca="1">F137*Assumptions!$B$491</f>
        <v>0</v>
      </c>
      <c r="H135" s="231">
        <f ca="1">G137*Assumptions!$B$491</f>
        <v>114.34799470124531</v>
      </c>
      <c r="I135" s="231">
        <f ca="1">H137*Assumptions!$B$491</f>
        <v>598.38094896120776</v>
      </c>
      <c r="J135" s="231">
        <f ca="1">I137*Assumptions!$B$491</f>
        <v>1620.3652161352531</v>
      </c>
      <c r="K135" s="231">
        <f ca="1">J137*Assumptions!$B$491</f>
        <v>3074.4400984113217</v>
      </c>
      <c r="L135" s="231">
        <f ca="1">K137*Assumptions!$B$491</f>
        <v>3074.4400984113217</v>
      </c>
      <c r="M135" s="231">
        <f ca="1">L137*Assumptions!$B$491</f>
        <v>3361.6415452060673</v>
      </c>
      <c r="N135" s="231">
        <f ca="1">M137*Assumptions!$B$491</f>
        <v>2047.4523696960237</v>
      </c>
      <c r="O135" s="231">
        <f ca="1">N137*Assumptions!$B$491</f>
        <v>429.26628911605286</v>
      </c>
      <c r="P135" s="231">
        <f ca="1">O137*Assumptions!$B$491</f>
        <v>0</v>
      </c>
      <c r="Q135" s="231">
        <f ca="1">P137*Assumptions!$B$491</f>
        <v>0</v>
      </c>
      <c r="R135" s="231">
        <f ca="1">Q137*Assumptions!$B$491</f>
        <v>0</v>
      </c>
      <c r="S135" s="231">
        <f ca="1">R137*Assumptions!$B$491</f>
        <v>0</v>
      </c>
    </row>
    <row r="136" spans="1:29" x14ac:dyDescent="0.2">
      <c r="A136" s="175" t="s">
        <v>2008</v>
      </c>
      <c r="D136" s="231">
        <v>0</v>
      </c>
      <c r="E136" s="231">
        <f ca="1">MIN( D137 + E134, MAX( Assumptions!$B$494*MAX(0,'AI - Compute'!D14), IF(AND(E$4&gt;Assumptions!$B$492, E$4&lt;=Assumptions!$B$493), D137/MAX(1, Assumptions!$B$493 - E$4 + 1), 0) ) )</f>
        <v>0</v>
      </c>
      <c r="F136" s="231">
        <f ca="1">MIN( E137 + F134, MAX( Assumptions!$B$494*MAX(0,'AI - Compute'!E14), IF(AND(F$4&gt;Assumptions!$B$492, F$4&lt;=Assumptions!$B$493), E137/MAX(1, Assumptions!$B$493 - F$4 + 1), 0) ) )</f>
        <v>0</v>
      </c>
      <c r="G136" s="231">
        <f ca="1">MIN( F137 + G134, MAX( Assumptions!$B$494*MAX(0,'AI - Compute'!F14), IF(AND(G$4&gt;Assumptions!$B$492, G$4&lt;=Assumptions!$B$493), F137/MAX(1, Assumptions!$B$493 - G$4 + 1), 0) ) )</f>
        <v>0</v>
      </c>
      <c r="H136" s="231">
        <f ca="1">MIN( G137 + H134, MAX( Assumptions!$B$494*MAX(0,'AI - Compute'!G14), IF(AND(H$4&gt;Assumptions!$B$492, H$4&lt;=Assumptions!$B$493), G137/MAX(1, Assumptions!$B$493 - H$4 + 1), 0) ) )</f>
        <v>0</v>
      </c>
      <c r="I136" s="231">
        <f ca="1">MIN( H137 + I134, MAX( Assumptions!$B$494*MAX(0,'AI - Compute'!H14), IF(AND(I$4&gt;Assumptions!$B$492, I$4&lt;=Assumptions!$B$493), H137/MAX(1, Assumptions!$B$493 - I$4 + 1), 0) ) )</f>
        <v>0</v>
      </c>
      <c r="J136" s="231">
        <f ca="1">MIN( I137 + J134, MAX( Assumptions!$B$494*MAX(0,'AI - Compute'!I14), IF(AND(J$4&gt;Assumptions!$B$492, J$4&lt;=Assumptions!$B$493), I137/MAX(1, Assumptions!$B$493 - J$4 + 1), 0) ) )</f>
        <v>0</v>
      </c>
      <c r="K136" s="231">
        <f ca="1">MIN( J137 + K134, MAX( Assumptions!$B$494*MAX(0,'AI - Compute'!J14), IF(AND(K$4&gt;Assumptions!$B$492, K$4&lt;=Assumptions!$B$493), J137/MAX(1, Assumptions!$B$493 - K$4 + 1), 0) ) )</f>
        <v>0</v>
      </c>
      <c r="L136" s="231">
        <f ca="1">MIN( K137 + L134, MAX( Assumptions!$B$494*MAX(0,'AI - Compute'!K14), IF(AND(L$4&gt;Assumptions!$B$492, L$4&lt;=Assumptions!$B$493), K137/MAX(1, Assumptions!$B$493 - L$4 + 1), 0) ) )</f>
        <v>1573.4862744374477</v>
      </c>
      <c r="M136" s="231">
        <f ca="1">MIN( L137 + M134, MAX( Assumptions!$B$494*MAX(0,'AI - Compute'!L14), IF(AND(M$4&gt;Assumptions!$B$492, M$4&lt;=Assumptions!$B$493), L137/MAX(1, Assumptions!$B$493 - M$4 + 1), 0) ) )</f>
        <v>28694.086801529338</v>
      </c>
      <c r="N136" s="231">
        <f ca="1">MIN( M137 + N134, MAX( Assumptions!$B$494*MAX(0,'AI - Compute'!M14), IF(AND(N$4&gt;Assumptions!$B$492, N$4&lt;=Assumptions!$B$493), M137/MAX(1, Assumptions!$B$493 - N$4 + 1), 0) ) )</f>
        <v>35331.573811789771</v>
      </c>
      <c r="O136" s="231">
        <f ca="1">MIN( N137 + O134, MAX( Assumptions!$B$494*MAX(0,'AI - Compute'!N14), IF(AND(O$4&gt;Assumptions!$B$492, O$4&lt;=Assumptions!$B$493), N137/MAX(1, Assumptions!$B$493 - O$4 + 1), 0) ) )</f>
        <v>9372.6263999138173</v>
      </c>
      <c r="P136" s="231">
        <f ca="1">MIN( O137 + P134, MAX( Assumptions!$B$494*MAX(0,'AI - Compute'!O14), IF(AND(P$4&gt;Assumptions!$B$492, P$4&lt;=Assumptions!$B$493), O137/MAX(1, Assumptions!$B$493 - P$4 + 1), 0) ) )</f>
        <v>0</v>
      </c>
      <c r="Q136" s="231">
        <f ca="1">MIN( P137 + Q134, MAX( Assumptions!$B$494*MAX(0,'AI - Compute'!P14), IF(AND(Q$4&gt;Assumptions!$B$492, Q$4&lt;=Assumptions!$B$493), P137/MAX(1, Assumptions!$B$493 - Q$4 + 1), 0) ) )</f>
        <v>0</v>
      </c>
      <c r="R136" s="231">
        <f ca="1">MIN( Q137 + R134, MAX( Assumptions!$B$494*MAX(0,'AI - Compute'!Q14), IF(AND(R$4&gt;Assumptions!$B$492, R$4&lt;=Assumptions!$B$493), Q137/MAX(1, Assumptions!$B$493 - R$4 + 1), 0) ) )</f>
        <v>0</v>
      </c>
      <c r="S136" s="231">
        <f ca="1">MIN( R137 + S134, MAX( Assumptions!$B$494*MAX(0,'AI - Compute'!R14), IF(AND(S$4&gt;Assumptions!$B$492, S$4&lt;=Assumptions!$B$493), R137/MAX(1, Assumptions!$B$493 - S$4 + 1), 0) ) )</f>
        <v>0</v>
      </c>
    </row>
    <row r="137" spans="1:29" x14ac:dyDescent="0.2">
      <c r="A137" s="175" t="s">
        <v>2009</v>
      </c>
      <c r="D137" s="231">
        <v>0</v>
      </c>
      <c r="E137" s="231">
        <f ca="1">D137 + E134 - E136</f>
        <v>0</v>
      </c>
      <c r="F137" s="231">
        <f t="shared" ref="F137:S137" ca="1" si="50">E137 + F134 - F136</f>
        <v>0</v>
      </c>
      <c r="G137" s="231">
        <f t="shared" ca="1" si="50"/>
        <v>2496.6811070140898</v>
      </c>
      <c r="H137" s="231">
        <f t="shared" ca="1" si="50"/>
        <v>13065.086221860431</v>
      </c>
      <c r="I137" s="231">
        <f t="shared" ca="1" si="50"/>
        <v>35379.153190726051</v>
      </c>
      <c r="J137" s="231">
        <f t="shared" ca="1" si="50"/>
        <v>67127.513065749386</v>
      </c>
      <c r="K137" s="231">
        <f t="shared" ca="1" si="50"/>
        <v>67127.513065749386</v>
      </c>
      <c r="L137" s="231">
        <f t="shared" ca="1" si="50"/>
        <v>73398.287013232912</v>
      </c>
      <c r="M137" s="231">
        <f t="shared" ca="1" si="50"/>
        <v>44704.200211703574</v>
      </c>
      <c r="N137" s="231">
        <f t="shared" ca="1" si="50"/>
        <v>9372.6263999138173</v>
      </c>
      <c r="O137" s="231">
        <f t="shared" ca="1" si="50"/>
        <v>0</v>
      </c>
      <c r="P137" s="231">
        <f t="shared" ca="1" si="50"/>
        <v>0</v>
      </c>
      <c r="Q137" s="231">
        <f t="shared" ca="1" si="50"/>
        <v>0</v>
      </c>
      <c r="R137" s="231">
        <f t="shared" ca="1" si="50"/>
        <v>0</v>
      </c>
      <c r="S137" s="231">
        <f t="shared" ca="1" si="50"/>
        <v>0</v>
      </c>
    </row>
    <row r="138" spans="1:29" x14ac:dyDescent="0.2">
      <c r="A138" s="189" t="s">
        <v>2010</v>
      </c>
      <c r="D138" s="231">
        <v>0</v>
      </c>
      <c r="E138" s="231">
        <f>D138 + E134</f>
        <v>0</v>
      </c>
      <c r="F138" s="231">
        <f t="shared" ref="F138:S138" si="51">E138 + F134</f>
        <v>0</v>
      </c>
      <c r="G138" s="231">
        <f t="shared" ca="1" si="51"/>
        <v>2496.6811070140898</v>
      </c>
      <c r="H138" s="231">
        <f t="shared" ca="1" si="51"/>
        <v>13065.086221860431</v>
      </c>
      <c r="I138" s="231">
        <f t="shared" ca="1" si="51"/>
        <v>35379.153190726051</v>
      </c>
      <c r="J138" s="231">
        <f t="shared" ca="1" si="51"/>
        <v>67127.513065749386</v>
      </c>
      <c r="K138" s="231">
        <f t="shared" ca="1" si="51"/>
        <v>67127.513065749386</v>
      </c>
      <c r="L138" s="231">
        <f t="shared" ca="1" si="51"/>
        <v>74971.773287670367</v>
      </c>
      <c r="M138" s="231">
        <f t="shared" ca="1" si="51"/>
        <v>74971.773287670367</v>
      </c>
      <c r="N138" s="231">
        <f t="shared" ca="1" si="51"/>
        <v>74971.773287670381</v>
      </c>
      <c r="O138" s="231">
        <f t="shared" ca="1" si="51"/>
        <v>74971.773287670381</v>
      </c>
      <c r="P138" s="231">
        <f t="shared" ca="1" si="51"/>
        <v>74971.773287670381</v>
      </c>
      <c r="Q138" s="231">
        <f t="shared" ca="1" si="51"/>
        <v>74971.773287670381</v>
      </c>
      <c r="R138" s="231">
        <f t="shared" ca="1" si="51"/>
        <v>74971.773287670381</v>
      </c>
      <c r="S138" s="231">
        <f t="shared" ca="1" si="51"/>
        <v>74971.773287670381</v>
      </c>
    </row>
    <row r="139" spans="1:29" x14ac:dyDescent="0.2">
      <c r="A139" s="189" t="s">
        <v>2011</v>
      </c>
      <c r="D139" s="231">
        <v>0</v>
      </c>
      <c r="E139" s="231">
        <f ca="1">D139 + E136</f>
        <v>0</v>
      </c>
      <c r="F139" s="231">
        <f t="shared" ref="F139:S139" ca="1" si="52">E139 + F136</f>
        <v>0</v>
      </c>
      <c r="G139" s="231">
        <f t="shared" ca="1" si="52"/>
        <v>0</v>
      </c>
      <c r="H139" s="231">
        <f t="shared" ca="1" si="52"/>
        <v>0</v>
      </c>
      <c r="I139" s="231">
        <f t="shared" ca="1" si="52"/>
        <v>0</v>
      </c>
      <c r="J139" s="231">
        <f t="shared" ca="1" si="52"/>
        <v>0</v>
      </c>
      <c r="K139" s="231">
        <f t="shared" ca="1" si="52"/>
        <v>0</v>
      </c>
      <c r="L139" s="231">
        <f t="shared" ca="1" si="52"/>
        <v>1573.4862744374477</v>
      </c>
      <c r="M139" s="231">
        <f t="shared" ca="1" si="52"/>
        <v>30267.573075966786</v>
      </c>
      <c r="N139" s="231">
        <f t="shared" ca="1" si="52"/>
        <v>65599.146887756564</v>
      </c>
      <c r="O139" s="231">
        <f t="shared" ca="1" si="52"/>
        <v>74971.773287670381</v>
      </c>
      <c r="P139" s="231">
        <f t="shared" ca="1" si="52"/>
        <v>74971.773287670381</v>
      </c>
      <c r="Q139" s="231">
        <f t="shared" ca="1" si="52"/>
        <v>74971.773287670381</v>
      </c>
      <c r="R139" s="231">
        <f t="shared" ca="1" si="52"/>
        <v>74971.773287670381</v>
      </c>
      <c r="S139" s="231">
        <f t="shared" ca="1" si="52"/>
        <v>74971.773287670381</v>
      </c>
    </row>
    <row r="140" spans="1:29" x14ac:dyDescent="0.2">
      <c r="A140" s="175" t="s">
        <v>2012</v>
      </c>
      <c r="D140" s="233">
        <f>D138-D139-D137</f>
        <v>0</v>
      </c>
      <c r="E140" s="233">
        <f ca="1">E138 - E139 - E137</f>
        <v>0</v>
      </c>
      <c r="F140" s="233">
        <f t="shared" ref="F140:S140" ca="1" si="53">F138 - F139 - F137</f>
        <v>0</v>
      </c>
      <c r="G140" s="233">
        <f t="shared" ca="1" si="53"/>
        <v>0</v>
      </c>
      <c r="H140" s="233">
        <f t="shared" ca="1" si="53"/>
        <v>0</v>
      </c>
      <c r="I140" s="233">
        <f t="shared" ca="1" si="53"/>
        <v>0</v>
      </c>
      <c r="J140" s="233">
        <f t="shared" ca="1" si="53"/>
        <v>0</v>
      </c>
      <c r="K140" s="233">
        <f t="shared" ca="1" si="53"/>
        <v>0</v>
      </c>
      <c r="L140" s="233">
        <f t="shared" ca="1" si="53"/>
        <v>0</v>
      </c>
      <c r="M140" s="233">
        <f t="shared" ca="1" si="53"/>
        <v>0</v>
      </c>
      <c r="N140" s="233">
        <f t="shared" ca="1" si="53"/>
        <v>0</v>
      </c>
      <c r="O140" s="233">
        <f t="shared" ca="1" si="53"/>
        <v>0</v>
      </c>
      <c r="P140" s="233">
        <f t="shared" ca="1" si="53"/>
        <v>0</v>
      </c>
      <c r="Q140" s="233">
        <f t="shared" ca="1" si="53"/>
        <v>0</v>
      </c>
      <c r="R140" s="233">
        <f t="shared" ca="1" si="53"/>
        <v>0</v>
      </c>
      <c r="S140" s="233">
        <f t="shared" ca="1" si="53"/>
        <v>0</v>
      </c>
    </row>
    <row r="169" spans="26:26" x14ac:dyDescent="0.2">
      <c r="Z169" s="1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BZ255"/>
  <sheetViews>
    <sheetView showGridLines="0" topLeftCell="A210" zoomScale="109" zoomScaleNormal="110" workbookViewId="0">
      <selection activeCell="G263" sqref="G263"/>
    </sheetView>
  </sheetViews>
  <sheetFormatPr baseColWidth="10" defaultColWidth="10.6640625" defaultRowHeight="16" x14ac:dyDescent="0.2"/>
  <cols>
    <col min="1" max="19" width="15.33203125" customWidth="1"/>
    <col min="20" max="29" width="14.83203125" customWidth="1"/>
  </cols>
  <sheetData>
    <row r="4" spans="1:19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</row>
    <row r="5" spans="1:19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</row>
    <row r="6" spans="1:1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202" t="s">
        <v>1882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x14ac:dyDescent="0.2">
      <c r="A8" s="22" t="s">
        <v>525</v>
      </c>
      <c r="B8" s="8"/>
      <c r="C8" s="8"/>
      <c r="D8" s="67">
        <f ca="1">D153</f>
        <v>483.065</v>
      </c>
      <c r="E8" s="67">
        <f t="shared" ref="E8:S8" ca="1" si="0">E153</f>
        <v>3324.5486776854018</v>
      </c>
      <c r="F8" s="67">
        <f t="shared" ca="1" si="0"/>
        <v>8258.093203792323</v>
      </c>
      <c r="G8" s="67">
        <f t="shared" ca="1" si="0"/>
        <v>10803.798180795218</v>
      </c>
      <c r="H8" s="67">
        <f t="shared" ca="1" si="0"/>
        <v>19465.017740822652</v>
      </c>
      <c r="I8" s="67">
        <f t="shared" ca="1" si="0"/>
        <v>47484.566164807766</v>
      </c>
      <c r="J8" s="67">
        <f t="shared" ca="1" si="0"/>
        <v>105795.94570867221</v>
      </c>
      <c r="K8" s="67">
        <f t="shared" ca="1" si="0"/>
        <v>160235.37287958449</v>
      </c>
      <c r="L8" s="67">
        <f t="shared" ca="1" si="0"/>
        <v>184931.17716083347</v>
      </c>
      <c r="M8" s="67">
        <f t="shared" ca="1" si="0"/>
        <v>228757.03455152758</v>
      </c>
      <c r="N8" s="67">
        <f t="shared" ca="1" si="0"/>
        <v>309543.41563913337</v>
      </c>
      <c r="O8" s="67">
        <f t="shared" ca="1" si="0"/>
        <v>443381.30339818494</v>
      </c>
      <c r="P8" s="67">
        <f t="shared" ca="1" si="0"/>
        <v>613330.08831753838</v>
      </c>
      <c r="Q8" s="67">
        <f t="shared" ca="1" si="0"/>
        <v>782340.79559172702</v>
      </c>
      <c r="R8" s="67">
        <f t="shared" ca="1" si="0"/>
        <v>1028073.5119250666</v>
      </c>
      <c r="S8" s="67">
        <f t="shared" ca="1" si="0"/>
        <v>1378465.0120286108</v>
      </c>
    </row>
    <row r="9" spans="1:19" x14ac:dyDescent="0.2">
      <c r="A9" s="22" t="s">
        <v>565</v>
      </c>
      <c r="B9" s="8"/>
      <c r="C9" s="8"/>
      <c r="D9" s="67">
        <f t="shared" ref="D9:D16" ca="1" si="1">D157</f>
        <v>51.872599999999998</v>
      </c>
      <c r="E9" s="67">
        <f t="shared" ref="E9:S9" ca="1" si="2">E157</f>
        <v>157.82660930138101</v>
      </c>
      <c r="F9" s="67">
        <f t="shared" ca="1" si="2"/>
        <v>366.97455246825928</v>
      </c>
      <c r="G9" s="67">
        <f t="shared" ca="1" si="2"/>
        <v>487.39320758759447</v>
      </c>
      <c r="H9" s="67">
        <f t="shared" ca="1" si="2"/>
        <v>862.74592429399331</v>
      </c>
      <c r="I9" s="67">
        <f t="shared" ca="1" si="2"/>
        <v>2026.9481373488534</v>
      </c>
      <c r="J9" s="67">
        <f t="shared" ca="1" si="2"/>
        <v>4426.6266304557394</v>
      </c>
      <c r="K9" s="67">
        <f t="shared" ca="1" si="2"/>
        <v>6692.8413416025642</v>
      </c>
      <c r="L9" s="67">
        <f t="shared" ca="1" si="2"/>
        <v>7822.1223327630823</v>
      </c>
      <c r="M9" s="67">
        <f t="shared" ca="1" si="2"/>
        <v>9806.5226782044956</v>
      </c>
      <c r="N9" s="67">
        <f t="shared" ca="1" si="2"/>
        <v>13433.898513647438</v>
      </c>
      <c r="O9" s="67">
        <f t="shared" ca="1" si="2"/>
        <v>19494.495684530266</v>
      </c>
      <c r="P9" s="67">
        <f t="shared" ca="1" si="2"/>
        <v>27447.237053845471</v>
      </c>
      <c r="Q9" s="67">
        <f t="shared" ca="1" si="2"/>
        <v>35961.244128740786</v>
      </c>
      <c r="R9" s="67">
        <f t="shared" ca="1" si="2"/>
        <v>48786.778761890797</v>
      </c>
      <c r="S9" s="67">
        <f t="shared" ca="1" si="2"/>
        <v>68064.115879561854</v>
      </c>
    </row>
    <row r="10" spans="1:19" x14ac:dyDescent="0.2">
      <c r="A10" s="22" t="s">
        <v>567</v>
      </c>
      <c r="B10" s="8"/>
      <c r="C10" s="8"/>
      <c r="D10" s="67">
        <f t="shared" ca="1" si="1"/>
        <v>2072.45975</v>
      </c>
      <c r="E10" s="67">
        <f t="shared" ref="E10:S10" ca="1" si="3">E158</f>
        <v>3495.7074842913325</v>
      </c>
      <c r="F10" s="67">
        <f t="shared" ca="1" si="3"/>
        <v>4828.693236416877</v>
      </c>
      <c r="G10" s="67">
        <f t="shared" ca="1" si="3"/>
        <v>2727.85327398648</v>
      </c>
      <c r="H10" s="67">
        <f t="shared" ca="1" si="3"/>
        <v>4397.218834518816</v>
      </c>
      <c r="I10" s="67">
        <f t="shared" ca="1" si="3"/>
        <v>9432.5025759786786</v>
      </c>
      <c r="J10" s="67">
        <f t="shared" ca="1" si="3"/>
        <v>17933.840668219113</v>
      </c>
      <c r="K10" s="67">
        <f t="shared" ca="1" si="3"/>
        <v>22750.676525975181</v>
      </c>
      <c r="L10" s="67">
        <f t="shared" ca="1" si="3"/>
        <v>21399.132781836004</v>
      </c>
      <c r="M10" s="67">
        <f t="shared" ca="1" si="3"/>
        <v>25758.369554350011</v>
      </c>
      <c r="N10" s="67">
        <f t="shared" ca="1" si="3"/>
        <v>34692.534563381872</v>
      </c>
      <c r="O10" s="67">
        <f t="shared" ca="1" si="3"/>
        <v>49428.950639547111</v>
      </c>
      <c r="P10" s="67">
        <f t="shared" ca="1" si="3"/>
        <v>67444.743213255395</v>
      </c>
      <c r="Q10" s="67">
        <f t="shared" ca="1" si="3"/>
        <v>83881.236732609672</v>
      </c>
      <c r="R10" s="67">
        <f t="shared" ca="1" si="3"/>
        <v>108477.21344634217</v>
      </c>
      <c r="S10" s="67">
        <f t="shared" ca="1" si="3"/>
        <v>142873.75146692892</v>
      </c>
    </row>
    <row r="11" spans="1:19" x14ac:dyDescent="0.2">
      <c r="A11" s="22" t="s">
        <v>568</v>
      </c>
      <c r="B11" s="8"/>
      <c r="C11" s="8"/>
      <c r="D11" s="67">
        <f t="shared" ca="1" si="1"/>
        <v>0</v>
      </c>
      <c r="E11" s="67">
        <f t="shared" ref="E11:S11" ca="1" si="4">E159</f>
        <v>3745.3155785258996</v>
      </c>
      <c r="F11" s="67">
        <f t="shared" ca="1" si="4"/>
        <v>7815.5895861575</v>
      </c>
      <c r="G11" s="67">
        <f t="shared" ca="1" si="4"/>
        <v>11729.221726165679</v>
      </c>
      <c r="H11" s="67">
        <f t="shared" ca="1" si="4"/>
        <v>14468.413283077492</v>
      </c>
      <c r="I11" s="67">
        <f t="shared" ca="1" si="4"/>
        <v>21434.257946246787</v>
      </c>
      <c r="J11" s="67">
        <f t="shared" ca="1" si="4"/>
        <v>35146.793075266549</v>
      </c>
      <c r="K11" s="67">
        <f t="shared" ca="1" si="4"/>
        <v>50850.339198647984</v>
      </c>
      <c r="L11" s="67">
        <f t="shared" ca="1" si="4"/>
        <v>60035.565458905956</v>
      </c>
      <c r="M11" s="67">
        <f t="shared" ca="1" si="4"/>
        <v>68223.748520766894</v>
      </c>
      <c r="N11" s="67">
        <f t="shared" ca="1" si="4"/>
        <v>79304.6199581447</v>
      </c>
      <c r="O11" s="67">
        <f t="shared" ca="1" si="4"/>
        <v>94145.234597139599</v>
      </c>
      <c r="P11" s="67">
        <f t="shared" ca="1" si="4"/>
        <v>117994.57811137635</v>
      </c>
      <c r="Q11" s="67">
        <f t="shared" ca="1" si="4"/>
        <v>148139.06160388596</v>
      </c>
      <c r="R11" s="67">
        <f t="shared" ca="1" si="4"/>
        <v>186748.25791454493</v>
      </c>
      <c r="S11" s="67">
        <f t="shared" ca="1" si="4"/>
        <v>235821.01093345572</v>
      </c>
    </row>
    <row r="12" spans="1:19" x14ac:dyDescent="0.2">
      <c r="A12" s="20" t="s">
        <v>569</v>
      </c>
      <c r="B12" s="20"/>
      <c r="C12" s="20"/>
      <c r="D12" s="85">
        <f t="shared" ca="1" si="1"/>
        <v>-1641.2673500000001</v>
      </c>
      <c r="E12" s="85">
        <f t="shared" ref="E12:S12" ca="1" si="5">E160</f>
        <v>-4211.5506830854156</v>
      </c>
      <c r="F12" s="85">
        <f t="shared" ca="1" si="5"/>
        <v>-5145.0559315958972</v>
      </c>
      <c r="G12" s="85">
        <f t="shared" ca="1" si="5"/>
        <v>-4789.5652088267834</v>
      </c>
      <c r="H12" s="85">
        <f t="shared" ca="1" si="5"/>
        <v>-1381.4600911602374</v>
      </c>
      <c r="I12" s="85">
        <f t="shared" ca="1" si="5"/>
        <v>12371.921864129155</v>
      </c>
      <c r="J12" s="85">
        <f t="shared" ca="1" si="5"/>
        <v>44106.335746327204</v>
      </c>
      <c r="K12" s="85">
        <f t="shared" ca="1" si="5"/>
        <v>74227.874952603248</v>
      </c>
      <c r="L12" s="85">
        <f t="shared" ca="1" si="5"/>
        <v>89941.854739500108</v>
      </c>
      <c r="M12" s="85">
        <f t="shared" ca="1" si="5"/>
        <v>118031.93202744059</v>
      </c>
      <c r="N12" s="85">
        <f t="shared" ca="1" si="5"/>
        <v>172922.1141600874</v>
      </c>
      <c r="O12" s="85">
        <f t="shared" ca="1" si="5"/>
        <v>267473.09192078846</v>
      </c>
      <c r="P12" s="85">
        <f t="shared" ca="1" si="5"/>
        <v>383285.80280303885</v>
      </c>
      <c r="Q12" s="85">
        <f t="shared" ca="1" si="5"/>
        <v>493412.07512097363</v>
      </c>
      <c r="R12" s="85">
        <f t="shared" ca="1" si="5"/>
        <v>656881.54502895952</v>
      </c>
      <c r="S12" s="85">
        <f t="shared" ca="1" si="5"/>
        <v>895592.70499962172</v>
      </c>
    </row>
    <row r="13" spans="1:19" x14ac:dyDescent="0.2">
      <c r="A13" s="22" t="s">
        <v>573</v>
      </c>
      <c r="B13" s="8"/>
      <c r="C13" s="8"/>
      <c r="D13" s="67">
        <f t="shared" ca="1" si="1"/>
        <v>0</v>
      </c>
      <c r="E13" s="67">
        <f t="shared" ref="E13:S13" ca="1" si="6">E161</f>
        <v>35856.181594555157</v>
      </c>
      <c r="F13" s="67">
        <f t="shared" ca="1" si="6"/>
        <v>40694.377327911105</v>
      </c>
      <c r="G13" s="67">
        <f t="shared" ca="1" si="6"/>
        <v>30738.506805856676</v>
      </c>
      <c r="H13" s="67">
        <f t="shared" ca="1" si="6"/>
        <v>17343.281305165438</v>
      </c>
      <c r="I13" s="67">
        <f t="shared" ca="1" si="6"/>
        <v>43531.354333796844</v>
      </c>
      <c r="J13" s="67">
        <f t="shared" ca="1" si="6"/>
        <v>88640.492674853842</v>
      </c>
      <c r="K13" s="67">
        <f t="shared" ca="1" si="6"/>
        <v>121931.24160237634</v>
      </c>
      <c r="L13" s="67">
        <f t="shared" ca="1" si="6"/>
        <v>92589.246595347387</v>
      </c>
      <c r="M13" s="67">
        <f t="shared" ca="1" si="6"/>
        <v>115592.53292462794</v>
      </c>
      <c r="N13" s="67">
        <f t="shared" ca="1" si="6"/>
        <v>165162.5702902159</v>
      </c>
      <c r="O13" s="67">
        <f t="shared" ca="1" si="6"/>
        <v>234102.63374422595</v>
      </c>
      <c r="P13" s="67">
        <f t="shared" ca="1" si="6"/>
        <v>311172.86519086419</v>
      </c>
      <c r="Q13" s="67">
        <f t="shared" ca="1" si="6"/>
        <v>360340.35804876371</v>
      </c>
      <c r="R13" s="67">
        <f t="shared" ca="1" si="6"/>
        <v>461944.26316063129</v>
      </c>
      <c r="S13" s="67">
        <f t="shared" ca="1" si="6"/>
        <v>609672.66684936837</v>
      </c>
    </row>
    <row r="14" spans="1:19" x14ac:dyDescent="0.2">
      <c r="A14" s="22" t="s">
        <v>574</v>
      </c>
      <c r="B14" s="8"/>
      <c r="C14" s="8"/>
      <c r="D14" s="67">
        <f t="shared" ca="1" si="1"/>
        <v>-1641.2673500000001</v>
      </c>
      <c r="E14" s="67">
        <f t="shared" ref="E14:S14" ca="1" si="7">E162</f>
        <v>-36322.41669911467</v>
      </c>
      <c r="F14" s="67">
        <f t="shared" ca="1" si="7"/>
        <v>-38023.843673349504</v>
      </c>
      <c r="G14" s="67">
        <f t="shared" ca="1" si="7"/>
        <v>-23798.85028851778</v>
      </c>
      <c r="H14" s="67">
        <f t="shared" ca="1" si="7"/>
        <v>-4256.3281132481825</v>
      </c>
      <c r="I14" s="67">
        <f t="shared" ca="1" si="7"/>
        <v>-9725.1745234209011</v>
      </c>
      <c r="J14" s="67">
        <f t="shared" ca="1" si="7"/>
        <v>-9387.3638532600889</v>
      </c>
      <c r="K14" s="67">
        <f t="shared" ca="1" si="7"/>
        <v>3146.9725488748954</v>
      </c>
      <c r="L14" s="67">
        <f t="shared" ca="1" si="7"/>
        <v>57388.173603058676</v>
      </c>
      <c r="M14" s="67">
        <f t="shared" ca="1" si="7"/>
        <v>70663.147623579542</v>
      </c>
      <c r="N14" s="67">
        <f t="shared" ca="1" si="7"/>
        <v>87064.163828016201</v>
      </c>
      <c r="O14" s="67">
        <f t="shared" ca="1" si="7"/>
        <v>127515.69277370209</v>
      </c>
      <c r="P14" s="67">
        <f t="shared" ca="1" si="7"/>
        <v>190107.51572355104</v>
      </c>
      <c r="Q14" s="67">
        <f t="shared" ca="1" si="7"/>
        <v>281210.77867609588</v>
      </c>
      <c r="R14" s="67">
        <f t="shared" ca="1" si="7"/>
        <v>381685.53978287312</v>
      </c>
      <c r="S14" s="67">
        <f t="shared" ca="1" si="7"/>
        <v>521741.04908370913</v>
      </c>
    </row>
    <row r="15" spans="1:19" x14ac:dyDescent="0.2">
      <c r="A15" s="22" t="s">
        <v>576</v>
      </c>
      <c r="B15" s="8"/>
      <c r="C15" s="8"/>
      <c r="D15" s="67">
        <f t="shared" ca="1" si="1"/>
        <v>34238621.88016355</v>
      </c>
      <c r="E15" s="67">
        <f t="shared" ref="E15:S15" ca="1" si="8">E163</f>
        <v>39852469.651219949</v>
      </c>
      <c r="F15" s="67">
        <f t="shared" ca="1" si="8"/>
        <v>46524700.852636851</v>
      </c>
      <c r="G15" s="67">
        <f t="shared" ca="1" si="8"/>
        <v>52708765.684171535</v>
      </c>
      <c r="H15" s="67">
        <f t="shared" ca="1" si="8"/>
        <v>56035609.797379062</v>
      </c>
      <c r="I15" s="67">
        <f t="shared" ca="1" si="8"/>
        <v>51841608.420705393</v>
      </c>
      <c r="J15" s="67">
        <f t="shared" ca="1" si="8"/>
        <v>34413132.281835474</v>
      </c>
      <c r="K15" s="67">
        <f t="shared" ca="1" si="8"/>
        <v>19775941.981744822</v>
      </c>
      <c r="L15" s="67">
        <f t="shared" ca="1" si="8"/>
        <v>27461483.779545944</v>
      </c>
      <c r="M15" s="67">
        <f t="shared" ca="1" si="8"/>
        <v>40153395.130894676</v>
      </c>
      <c r="N15" s="67">
        <f t="shared" ca="1" si="8"/>
        <v>59845097.018292136</v>
      </c>
      <c r="O15" s="67">
        <f t="shared" ca="1" si="8"/>
        <v>69573236.701858833</v>
      </c>
      <c r="P15" s="67">
        <f t="shared" ca="1" si="8"/>
        <v>65858110.445280403</v>
      </c>
      <c r="Q15" s="67">
        <f t="shared" ca="1" si="8"/>
        <v>85792229.887695849</v>
      </c>
      <c r="R15" s="67">
        <f t="shared" ca="1" si="8"/>
        <v>115782749.06411515</v>
      </c>
      <c r="S15" s="67">
        <f t="shared" si="8"/>
        <v>0</v>
      </c>
    </row>
    <row r="16" spans="1:19" x14ac:dyDescent="0.2">
      <c r="A16" s="22" t="s">
        <v>577</v>
      </c>
      <c r="B16" s="8"/>
      <c r="C16" s="8"/>
      <c r="D16" s="97">
        <f t="shared" ca="1" si="1"/>
        <v>0</v>
      </c>
      <c r="E16" s="97">
        <f t="shared" ref="E16:S16" ca="1" si="9">E164</f>
        <v>0</v>
      </c>
      <c r="F16" s="97">
        <f t="shared" ca="1" si="9"/>
        <v>8.452802954997304E-3</v>
      </c>
      <c r="G16" s="97">
        <f t="shared" ca="1" si="9"/>
        <v>9.7025855542499442E-2</v>
      </c>
      <c r="H16" s="97">
        <f t="shared" ca="1" si="9"/>
        <v>0.1234439273640872</v>
      </c>
      <c r="I16" s="97">
        <f t="shared" ca="1" si="9"/>
        <v>0.22268286499335674</v>
      </c>
      <c r="J16" s="97">
        <f t="shared" ca="1" si="9"/>
        <v>0.33817895807749676</v>
      </c>
      <c r="K16" s="97">
        <f t="shared" ca="1" si="9"/>
        <v>0.37107396542289356</v>
      </c>
      <c r="L16" s="97">
        <f t="shared" ca="1" si="9"/>
        <v>0.37947063955806687</v>
      </c>
      <c r="M16" s="97">
        <f t="shared" ca="1" si="9"/>
        <v>0.40397574614878917</v>
      </c>
      <c r="N16" s="97">
        <f t="shared" ca="1" si="9"/>
        <v>0.46291720657652602</v>
      </c>
      <c r="O16" s="97">
        <f t="shared" ca="1" si="9"/>
        <v>0.54560493215878891</v>
      </c>
      <c r="P16" s="97">
        <f t="shared" ca="1" si="9"/>
        <v>0.61672941994825792</v>
      </c>
      <c r="Q16" s="97">
        <f t="shared" ca="1" si="9"/>
        <v>0.67005163377429233</v>
      </c>
      <c r="R16" s="97">
        <f t="shared" ca="1" si="9"/>
        <v>0.73800107788706348</v>
      </c>
      <c r="S16" s="97">
        <f t="shared" ca="1" si="9"/>
        <v>0.8144799040236671</v>
      </c>
    </row>
    <row r="17" spans="1:19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2">
      <c r="A19" s="168" t="s">
        <v>1792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x14ac:dyDescent="0.2">
      <c r="A20" s="22" t="s">
        <v>931</v>
      </c>
      <c r="B20" s="8"/>
      <c r="C20" s="8"/>
      <c r="D20" s="66">
        <f>D21/(Assumptions!$B$454*(1+Assumptions!$B$455)^D$5)</f>
        <v>699.29328621908121</v>
      </c>
      <c r="E20" s="66">
        <f>E21/(Assumptions!$B$454*(1+Assumptions!$B$455)^E$5)</f>
        <v>688.64096913509866</v>
      </c>
      <c r="F20" s="66">
        <f>F21/(Assumptions!$B$454*(1+Assumptions!$B$455)^F$5)</f>
        <v>678.1509185299941</v>
      </c>
      <c r="G20" s="66">
        <f>G21/(Assumptions!$B$454*(1+Assumptions!$B$455)^G$5)</f>
        <v>667.82066260256568</v>
      </c>
      <c r="H20" s="66">
        <f>H21/(Assumptions!$B$454*(1+Assumptions!$B$455)^H$5)</f>
        <v>657.64776720449788</v>
      </c>
      <c r="I20" s="66">
        <f>I21/(Assumptions!$B$454*(1+Assumptions!$B$455)^I$5)</f>
        <v>647.62983526679477</v>
      </c>
      <c r="J20" s="66">
        <f>J21/(Assumptions!$B$454*(1+Assumptions!$B$455)^J$5)</f>
        <v>637.76450623495282</v>
      </c>
      <c r="K20" s="66">
        <f>K21/(Assumptions!$B$454*(1+Assumptions!$B$455)^K$5)</f>
        <v>628.04945551273568</v>
      </c>
      <c r="L20" s="66">
        <f>L21/(Assumptions!$B$454*(1+Assumptions!$B$455)^L$5)</f>
        <v>618.48239391442326</v>
      </c>
      <c r="M20" s="66">
        <f>M21/(Assumptions!$B$454*(1+Assumptions!$B$455)^M$5)</f>
        <v>609.06106712540407</v>
      </c>
      <c r="N20" s="66">
        <f>N21/(Assumptions!$B$454*(1+Assumptions!$B$455)^N$5)</f>
        <v>599.78325517098483</v>
      </c>
      <c r="O20" s="66">
        <f>O21/(Assumptions!$B$454*(1+Assumptions!$B$455)^O$5)</f>
        <v>590.64677189329052</v>
      </c>
      <c r="P20" s="66">
        <f>P21/(Assumptions!$B$454*(1+Assumptions!$B$455)^P$5)</f>
        <v>581.64946443613451</v>
      </c>
      <c r="Q20" s="66">
        <f>Q21/(Assumptions!$B$454*(1+Assumptions!$B$455)^Q$5)</f>
        <v>572.78921273773472</v>
      </c>
      <c r="R20" s="66">
        <f>R21/(Assumptions!$B$454*(1+Assumptions!$B$455)^R$5)</f>
        <v>564.06392903115602</v>
      </c>
      <c r="S20" s="66">
        <f>S21/(Assumptions!$B$454*(1+Assumptions!$B$455)^S$5)</f>
        <v>555.47155735236595</v>
      </c>
    </row>
    <row r="21" spans="1:19" x14ac:dyDescent="0.2">
      <c r="A21" s="22" t="s">
        <v>932</v>
      </c>
      <c r="B21" s="8"/>
      <c r="C21" s="8"/>
      <c r="D21" s="66">
        <f>Assumptions!$B$95*(1+Assumptions!$B$456)^D$5</f>
        <v>1979</v>
      </c>
      <c r="E21" s="66">
        <f>Assumptions!$B$95*(1+Assumptions!$B$456)^E$5</f>
        <v>2174.9209999999998</v>
      </c>
      <c r="F21" s="66">
        <f>Assumptions!$B$95*(1+Assumptions!$B$456)^F$5</f>
        <v>2390.2381789999999</v>
      </c>
      <c r="G21" s="66">
        <f>Assumptions!$B$95*(1+Assumptions!$B$456)^G$5</f>
        <v>2626.8717587209994</v>
      </c>
      <c r="H21" s="66">
        <f>Assumptions!$B$95*(1+Assumptions!$B$456)^H$5</f>
        <v>2886.9320628343789</v>
      </c>
      <c r="I21" s="66">
        <f>Assumptions!$B$95*(1+Assumptions!$B$456)^I$5</f>
        <v>3172.7383370549819</v>
      </c>
      <c r="J21" s="66">
        <f>Assumptions!$B$95*(1+Assumptions!$B$456)^J$5</f>
        <v>3486.839432423425</v>
      </c>
      <c r="K21" s="66">
        <f>Assumptions!$B$95*(1+Assumptions!$B$456)^K$5</f>
        <v>3832.0365362333437</v>
      </c>
      <c r="L21" s="66">
        <f>Assumptions!$B$95*(1+Assumptions!$B$456)^L$5</f>
        <v>4211.4081533204453</v>
      </c>
      <c r="M21" s="66">
        <f>Assumptions!$B$95*(1+Assumptions!$B$456)^M$5</f>
        <v>4628.3375604991688</v>
      </c>
      <c r="N21" s="66">
        <f>Assumptions!$B$95*(1+Assumptions!$B$456)^N$5</f>
        <v>5086.5429789885866</v>
      </c>
      <c r="O21" s="66">
        <f>Assumptions!$B$95*(1+Assumptions!$B$456)^O$5</f>
        <v>5590.1107339084565</v>
      </c>
      <c r="P21" s="66">
        <f>Assumptions!$B$95*(1+Assumptions!$B$456)^P$5</f>
        <v>6143.5316965653938</v>
      </c>
      <c r="Q21" s="66">
        <f>Assumptions!$B$95*(1+Assumptions!$B$456)^Q$5</f>
        <v>6751.7413345253681</v>
      </c>
      <c r="R21" s="66">
        <f>Assumptions!$B$95*(1+Assumptions!$B$456)^R$5</f>
        <v>7420.1637266433791</v>
      </c>
      <c r="S21" s="66">
        <f>Assumptions!$B$95*(1+Assumptions!$B$456)^S$5</f>
        <v>8154.7599355810717</v>
      </c>
    </row>
    <row r="22" spans="1:19" x14ac:dyDescent="0.2">
      <c r="A22" s="22" t="s">
        <v>1374</v>
      </c>
      <c r="B22" s="8"/>
      <c r="C22" s="8"/>
      <c r="D22" s="117">
        <f>Assumptions!D$392</f>
        <v>2</v>
      </c>
      <c r="E22" s="117">
        <f>Assumptions!E$392</f>
        <v>1.9</v>
      </c>
      <c r="F22" s="117">
        <f>Assumptions!F$392</f>
        <v>1.8049999999999999</v>
      </c>
      <c r="G22" s="117">
        <f>Assumptions!G$392</f>
        <v>1.7147499999999998</v>
      </c>
      <c r="H22" s="117">
        <f>Assumptions!H$392</f>
        <v>1.6290125</v>
      </c>
      <c r="I22" s="117">
        <f>Assumptions!I$392</f>
        <v>1.547561875</v>
      </c>
      <c r="J22" s="117">
        <f>Assumptions!J$392</f>
        <v>1.4701837812499998</v>
      </c>
      <c r="K22" s="117">
        <f>Assumptions!K$392</f>
        <v>1.3966745921874999</v>
      </c>
      <c r="L22" s="117">
        <f>Assumptions!L$392</f>
        <v>1.3268408625781249</v>
      </c>
      <c r="M22" s="117">
        <f>Assumptions!M$392</f>
        <v>1.2604988194492186</v>
      </c>
      <c r="N22" s="117">
        <f>Assumptions!N$392</f>
        <v>1.1974738784767578</v>
      </c>
      <c r="O22" s="117">
        <f>Assumptions!O$392</f>
        <v>1.1376001845529198</v>
      </c>
      <c r="P22" s="117">
        <f>Assumptions!P$392</f>
        <v>1.0807201753252738</v>
      </c>
      <c r="Q22" s="117">
        <f>Assumptions!Q$392</f>
        <v>1.0266841665590101</v>
      </c>
      <c r="R22" s="117">
        <f>Assumptions!R$392</f>
        <v>0.97534995823105952</v>
      </c>
      <c r="S22" s="117">
        <f>Assumptions!S$392</f>
        <v>0.92658246031950664</v>
      </c>
    </row>
    <row r="23" spans="1:19" x14ac:dyDescent="0.2">
      <c r="A23" s="22" t="s">
        <v>934</v>
      </c>
      <c r="B23" s="8"/>
      <c r="C23" s="8"/>
      <c r="D23" s="92">
        <f>Assumptions!D$393</f>
        <v>0.4</v>
      </c>
      <c r="E23" s="92">
        <f>Assumptions!E$393</f>
        <v>0.49</v>
      </c>
      <c r="F23" s="92">
        <f>Assumptions!F$393</f>
        <v>0.58000000000000007</v>
      </c>
      <c r="G23" s="92">
        <f>Assumptions!G$393</f>
        <v>0.67</v>
      </c>
      <c r="H23" s="92">
        <f>Assumptions!H$393</f>
        <v>0.76</v>
      </c>
      <c r="I23" s="92">
        <f>Assumptions!I$393</f>
        <v>0.85</v>
      </c>
      <c r="J23" s="92">
        <f>Assumptions!J$393</f>
        <v>0.85</v>
      </c>
      <c r="K23" s="92">
        <f>Assumptions!K$393</f>
        <v>0.85</v>
      </c>
      <c r="L23" s="92">
        <f>Assumptions!L$393</f>
        <v>0.85</v>
      </c>
      <c r="M23" s="92">
        <f>Assumptions!M$393</f>
        <v>0.85</v>
      </c>
      <c r="N23" s="92">
        <f>Assumptions!N$393</f>
        <v>0.85</v>
      </c>
      <c r="O23" s="92">
        <f>Assumptions!O$393</f>
        <v>0.85</v>
      </c>
      <c r="P23" s="92">
        <f>Assumptions!P$393</f>
        <v>0.85</v>
      </c>
      <c r="Q23" s="92">
        <f>Assumptions!Q$393</f>
        <v>0.85</v>
      </c>
      <c r="R23" s="92">
        <f>Assumptions!R$393</f>
        <v>0.85</v>
      </c>
      <c r="S23" s="92">
        <f>Assumptions!S$393</f>
        <v>0.85</v>
      </c>
    </row>
    <row r="24" spans="1:19" x14ac:dyDescent="0.2">
      <c r="A24" s="22" t="s">
        <v>1519</v>
      </c>
      <c r="B24" s="8"/>
      <c r="C24" s="8"/>
      <c r="D24" s="62">
        <f>Assumptions!$B$353*(1-Assumptions!$B$423)^D$5*D21</f>
        <v>30001.64</v>
      </c>
      <c r="E24" s="62">
        <f>Assumptions!$B$353*(1-Assumptions!$B$423)^E$5*E21</f>
        <v>28026.032005999998</v>
      </c>
      <c r="F24" s="62">
        <f>Assumptions!$B$353*(1-Assumptions!$B$423)^F$5*F21</f>
        <v>26180.517798404897</v>
      </c>
      <c r="G24" s="62">
        <f>Assumptions!$B$353*(1-Assumptions!$B$423)^G$5*G21</f>
        <v>24456.530701379928</v>
      </c>
      <c r="H24" s="62">
        <f>Assumptions!$B$353*(1-Assumptions!$B$423)^H$5*H21</f>
        <v>22846.068154694061</v>
      </c>
      <c r="I24" s="62">
        <f>Assumptions!$B$353*(1-Assumptions!$B$423)^I$5*I21</f>
        <v>21341.654566707453</v>
      </c>
      <c r="J24" s="62">
        <f>Assumptions!$B$353*(1-Assumptions!$B$423)^J$5*J21</f>
        <v>19936.306613489767</v>
      </c>
      <c r="K24" s="62">
        <f>Assumptions!$B$353*(1-Assumptions!$B$423)^K$5*K21</f>
        <v>18623.50082299146</v>
      </c>
      <c r="L24" s="62">
        <f>Assumptions!$B$353*(1-Assumptions!$B$423)^L$5*L21</f>
        <v>17397.143293797475</v>
      </c>
      <c r="M24" s="62">
        <f>Assumptions!$B$353*(1-Assumptions!$B$423)^M$5*M21</f>
        <v>16251.54140790091</v>
      </c>
      <c r="N24" s="62">
        <f>Assumptions!$B$353*(1-Assumptions!$B$423)^N$5*N21</f>
        <v>15181.377406190635</v>
      </c>
      <c r="O24" s="62">
        <f>Assumptions!$B$353*(1-Assumptions!$B$423)^O$5*O21</f>
        <v>14181.683703992981</v>
      </c>
      <c r="P24" s="62">
        <f>Assumptions!$B$353*(1-Assumptions!$B$423)^P$5*P21</f>
        <v>13247.819832085044</v>
      </c>
      <c r="Q24" s="62">
        <f>Assumptions!$B$353*(1-Assumptions!$B$423)^Q$5*Q21</f>
        <v>12375.450896142243</v>
      </c>
      <c r="R24" s="62">
        <f>Assumptions!$B$353*(1-Assumptions!$B$423)^R$5*R21</f>
        <v>11560.527454631274</v>
      </c>
      <c r="S24" s="62">
        <f>Assumptions!$B$353*(1-Assumptions!$B$423)^S$5*S21</f>
        <v>10799.266721743801</v>
      </c>
    </row>
    <row r="25" spans="1:19" x14ac:dyDescent="0.2">
      <c r="A25" s="22" t="s">
        <v>1520</v>
      </c>
      <c r="B25" s="8"/>
      <c r="C25" s="8"/>
      <c r="D25" s="66">
        <f>D217*(D218+Assumptions!$B$483)+D219*Assumptions!$B$336</f>
        <v>906.62888936947081</v>
      </c>
      <c r="E25" s="66">
        <f>E217*(E218+Assumptions!$B$483)+E219*Assumptions!$B$336</f>
        <v>879.49310436960127</v>
      </c>
      <c r="F25" s="66">
        <f>F217*(F218+Assumptions!$B$483)+F219*Assumptions!$B$336</f>
        <v>852.35731936973173</v>
      </c>
      <c r="G25" s="66">
        <f>G217*(G218+Assumptions!$B$483)+G219*Assumptions!$B$336</f>
        <v>825.22153436986218</v>
      </c>
      <c r="H25" s="66">
        <f>H217*(H218+Assumptions!$B$483)+H219*Assumptions!$B$336</f>
        <v>798.08574936999275</v>
      </c>
      <c r="I25" s="66">
        <f>I217*(I218+Assumptions!$B$483)+I219*Assumptions!$B$336</f>
        <v>770.9499643701231</v>
      </c>
      <c r="J25" s="66">
        <f>J217*(J218+Assumptions!$B$483)+J219*Assumptions!$B$336</f>
        <v>743.81417937025367</v>
      </c>
      <c r="K25" s="66">
        <f>K217*(K218+Assumptions!$B$483)+K219*Assumptions!$B$336</f>
        <v>716.67839437038413</v>
      </c>
      <c r="L25" s="66">
        <f>L217*(L218+Assumptions!$B$483)+L219*Assumptions!$B$336</f>
        <v>689.5426093705147</v>
      </c>
      <c r="M25" s="66">
        <f>M217*(M218+Assumptions!$B$483)+M219*Assumptions!$B$336</f>
        <v>662.40682437064515</v>
      </c>
      <c r="N25" s="66">
        <f>N217*(N218+Assumptions!$B$483)+N219*Assumptions!$B$336</f>
        <v>635.27103937077572</v>
      </c>
      <c r="O25" s="66">
        <f>O217*(O218+Assumptions!$B$483)+O219*Assumptions!$B$336</f>
        <v>608.13525437090618</v>
      </c>
      <c r="P25" s="66">
        <f>P217*(P218+Assumptions!$B$483)+P219*Assumptions!$B$336</f>
        <v>580.99946937103653</v>
      </c>
      <c r="Q25" s="66">
        <f>Q217*(Q218+Assumptions!$B$483)+Q219*Assumptions!$B$336</f>
        <v>553.86368437116698</v>
      </c>
      <c r="R25" s="66">
        <f>R217*(R218+Assumptions!$B$483)+R219*Assumptions!$B$336</f>
        <v>526.72789937129755</v>
      </c>
      <c r="S25" s="66">
        <f>S217*(S218+Assumptions!$B$483)+S219*Assumptions!$B$336</f>
        <v>499.59211437142801</v>
      </c>
    </row>
    <row r="26" spans="1:19" x14ac:dyDescent="0.2">
      <c r="A26" s="20" t="s">
        <v>1521</v>
      </c>
      <c r="B26" s="20"/>
      <c r="C26" s="20"/>
      <c r="D26" s="124">
        <f>D25+D222</f>
        <v>2244.4066671472488</v>
      </c>
      <c r="E26" s="124">
        <f t="shared" ref="E26:S26" si="10">E25+E222</f>
        <v>2153.7788186553153</v>
      </c>
      <c r="F26" s="124">
        <f t="shared" si="10"/>
        <v>2072.7346778602978</v>
      </c>
      <c r="G26" s="124">
        <f t="shared" si="10"/>
        <v>1999.2566220891604</v>
      </c>
      <c r="H26" s="124">
        <f t="shared" si="10"/>
        <v>1931.8562411732714</v>
      </c>
      <c r="I26" s="124">
        <f t="shared" si="10"/>
        <v>1869.4115028316617</v>
      </c>
      <c r="J26" s="124">
        <f t="shared" si="10"/>
        <v>1811.0605561818479</v>
      </c>
      <c r="K26" s="124">
        <f t="shared" si="10"/>
        <v>1756.1304491649048</v>
      </c>
      <c r="L26" s="124">
        <f t="shared" si="10"/>
        <v>1704.0880639159691</v>
      </c>
      <c r="M26" s="124">
        <f t="shared" si="10"/>
        <v>1654.505589802744</v>
      </c>
      <c r="N26" s="124">
        <f t="shared" si="10"/>
        <v>1607.0357452531287</v>
      </c>
      <c r="O26" s="124">
        <f t="shared" si="10"/>
        <v>1561.3936813371984</v>
      </c>
      <c r="P26" s="124">
        <f t="shared" si="10"/>
        <v>1517.3435553925419</v>
      </c>
      <c r="Q26" s="124">
        <f t="shared" si="10"/>
        <v>1474.6884266392083</v>
      </c>
      <c r="R26" s="124">
        <f t="shared" si="10"/>
        <v>1433.2625528366441</v>
      </c>
      <c r="S26" s="124">
        <f t="shared" si="10"/>
        <v>1392.9254477047612</v>
      </c>
    </row>
    <row r="27" spans="1:19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18" t="s">
        <v>1375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x14ac:dyDescent="0.2">
      <c r="A29" s="22" t="s">
        <v>935</v>
      </c>
      <c r="B29" s="8"/>
      <c r="C29" s="8"/>
      <c r="D29" s="66" cm="1">
        <f t="array" aca="1" ref="D29" ca="1">INDEX('Vehicle Build'!$D:$AC,MATCH("Starship at-cost rate, fully reusable ($mm/launch)",'Vehicle Build'!$A$1:$A$119,0),D$5+1)</f>
        <v>18.192564285070283</v>
      </c>
      <c r="E29" s="66" cm="1">
        <f t="array" aca="1" ref="E29" ca="1">INDEX('Vehicle Build'!$D:$AC,MATCH("Starship at-cost rate, fully reusable ($mm/launch)",'Vehicle Build'!$A$1:$A$119,0),E$5+1)</f>
        <v>14.499423754028511</v>
      </c>
      <c r="F29" s="66" cm="1">
        <f t="array" aca="1" ref="F29" ca="1">INDEX('Vehicle Build'!$D:$AC,MATCH("Starship at-cost rate, fully reusable ($mm/launch)",'Vehicle Build'!$A$1:$A$119,0),F$5+1)</f>
        <v>11.804892604145198</v>
      </c>
      <c r="G29" s="66" cm="1">
        <f t="array" aca="1" ref="G29" ca="1">INDEX('Vehicle Build'!$D:$AC,MATCH("Starship at-cost rate, fully reusable ($mm/launch)",'Vehicle Build'!$A$1:$A$119,0),G$5+1)</f>
        <v>9.9704187366340875</v>
      </c>
      <c r="H29" s="66" cm="1">
        <f t="array" aca="1" ref="H29" ca="1">INDEX('Vehicle Build'!$D:$AC,MATCH("Starship at-cost rate, fully reusable ($mm/launch)",'Vehicle Build'!$A$1:$A$119,0),H$5+1)</f>
        <v>8.8283342988931413</v>
      </c>
      <c r="I29" s="66" cm="1">
        <f t="array" aca="1" ref="I29" ca="1">INDEX('Vehicle Build'!$D:$AC,MATCH("Starship at-cost rate, fully reusable ($mm/launch)",'Vehicle Build'!$A$1:$A$119,0),I$5+1)</f>
        <v>8.1203650367351585</v>
      </c>
      <c r="J29" s="66" cm="1">
        <f t="array" aca="1" ref="J29" ca="1">INDEX('Vehicle Build'!$D:$AC,MATCH("Starship at-cost rate, fully reusable ($mm/launch)",'Vehicle Build'!$A$1:$A$119,0),J$5+1)</f>
        <v>7.5835393237515065</v>
      </c>
      <c r="K29" s="66" cm="1">
        <f t="array" aca="1" ref="K29" ca="1">INDEX('Vehicle Build'!$D:$AC,MATCH("Starship at-cost rate, fully reusable ($mm/launch)",'Vehicle Build'!$A$1:$A$119,0),K$5+1)</f>
        <v>7.13549686064413</v>
      </c>
      <c r="L29" s="66" cm="1">
        <f t="array" aca="1" ref="L29" ca="1">INDEX('Vehicle Build'!$D:$AC,MATCH("Starship at-cost rate, fully reusable ($mm/launch)",'Vehicle Build'!$A$1:$A$119,0),L$5+1)</f>
        <v>6.8216488030609037</v>
      </c>
      <c r="M29" s="66" cm="1">
        <f t="array" aca="1" ref="M29" ca="1">INDEX('Vehicle Build'!$D:$AC,MATCH("Starship at-cost rate, fully reusable ($mm/launch)",'Vehicle Build'!$A$1:$A$119,0),M$5+1)</f>
        <v>6.7019498396911681</v>
      </c>
      <c r="N29" s="66" cm="1">
        <f t="array" aca="1" ref="N29" ca="1">INDEX('Vehicle Build'!$D:$AC,MATCH("Starship at-cost rate, fully reusable ($mm/launch)",'Vehicle Build'!$A$1:$A$119,0),N$5+1)</f>
        <v>6.5756664039789481</v>
      </c>
      <c r="O29" s="66" cm="1">
        <f t="array" aca="1" ref="O29" ca="1">INDEX('Vehicle Build'!$D:$AC,MATCH("Starship at-cost rate, fully reusable ($mm/launch)",'Vehicle Build'!$A$1:$A$119,0),O$5+1)</f>
        <v>6.4555531137210274</v>
      </c>
      <c r="P29" s="66" cm="1">
        <f t="array" aca="1" ref="P29" ca="1">INDEX('Vehicle Build'!$D:$AC,MATCH("Starship at-cost rate, fully reusable ($mm/launch)",'Vehicle Build'!$A$1:$A$119,0),P$5+1)</f>
        <v>6.3793324042162078</v>
      </c>
      <c r="Q29" s="66" cm="1">
        <f t="array" aca="1" ref="Q29" ca="1">INDEX('Vehicle Build'!$D:$AC,MATCH("Starship at-cost rate, fully reusable ($mm/launch)",'Vehicle Build'!$A$1:$A$119,0),Q$5+1)</f>
        <v>6.3416409270733691</v>
      </c>
      <c r="R29" s="66" cm="1">
        <f t="array" aca="1" ref="R29" ca="1">INDEX('Vehicle Build'!$D:$AC,MATCH("Starship at-cost rate, fully reusable ($mm/launch)",'Vehicle Build'!$A$1:$A$119,0),R$5+1)</f>
        <v>6.24714496335808</v>
      </c>
      <c r="S29" s="66" cm="1">
        <f t="array" aca="1" ref="S29" ca="1">INDEX('Vehicle Build'!$D:$AC,MATCH("Starship at-cost rate, fully reusable ($mm/launch)",'Vehicle Build'!$A$1:$A$119,0),S$5+1)</f>
        <v>6.15858460623223</v>
      </c>
    </row>
    <row r="30" spans="1:19" x14ac:dyDescent="0.2">
      <c r="A30" s="22" t="s">
        <v>1376</v>
      </c>
      <c r="B30" s="8"/>
      <c r="C30" s="8"/>
      <c r="D30" s="66">
        <f>IF(D$4&lt;Assumptions!$B$424, 0, 'Cash Allocation Engine'!D88 + 'Cash Allocation Engine'!D134)</f>
        <v>0</v>
      </c>
      <c r="E30" s="66">
        <f>IF(E$4&lt;Assumptions!$B$424, 0, 'Cash Allocation Engine'!E88 + 'Cash Allocation Engine'!E134)</f>
        <v>0</v>
      </c>
      <c r="F30" s="66">
        <f>IF(F$4&lt;Assumptions!$B$424, 0, 'Cash Allocation Engine'!F88 + 'Cash Allocation Engine'!F134)</f>
        <v>0</v>
      </c>
      <c r="G30" s="66">
        <f ca="1">IF(G$4&lt;Assumptions!$B$424, 0, 'Cash Allocation Engine'!G88 + 'Cash Allocation Engine'!G134)</f>
        <v>3742.2066820977029</v>
      </c>
      <c r="H30" s="66">
        <f ca="1">IF(H$4&lt;Assumptions!$B$424, 0, 'Cash Allocation Engine'!H88 + 'Cash Allocation Engine'!H134)</f>
        <v>12115.264498544129</v>
      </c>
      <c r="I30" s="66">
        <f ca="1">IF(I$4&lt;Assumptions!$B$424, 0, 'Cash Allocation Engine'!I88 + 'Cash Allocation Engine'!I134)</f>
        <v>31658.284300971638</v>
      </c>
      <c r="J30" s="66">
        <f ca="1">IF(J$4&lt;Assumptions!$B$424, 0, 'Cash Allocation Engine'!J88 + 'Cash Allocation Engine'!J134)</f>
        <v>62078.920133059706</v>
      </c>
      <c r="K30" s="66">
        <f ca="1">IF(K$4&lt;Assumptions!$B$424, 0, 'Cash Allocation Engine'!K88 + 'Cash Allocation Engine'!K134)</f>
        <v>64321.857651067534</v>
      </c>
      <c r="L30" s="66">
        <f ca="1">IF(L$4&lt;Assumptions!$B$424, 0, 'Cash Allocation Engine'!L88 + 'Cash Allocation Engine'!L134)</f>
        <v>36506.866087492825</v>
      </c>
      <c r="M30" s="66">
        <f ca="1">IF(M$4&lt;Assumptions!$B$424, 0, 'Cash Allocation Engine'!M88 + 'Cash Allocation Engine'!M134)</f>
        <v>50155.928014036006</v>
      </c>
      <c r="N30" s="66">
        <f ca="1">IF(N$4&lt;Assumptions!$B$424, 0, 'Cash Allocation Engine'!N88 + 'Cash Allocation Engine'!N134)</f>
        <v>72518.272417052474</v>
      </c>
      <c r="O30" s="66">
        <f ca="1">IF(O$4&lt;Assumptions!$B$424, 0, 'Cash Allocation Engine'!O88 + 'Cash Allocation Engine'!O134)</f>
        <v>106552.98442822111</v>
      </c>
      <c r="P30" s="66">
        <f ca="1">IF(P$4&lt;Assumptions!$B$424, 0, 'Cash Allocation Engine'!P88 + 'Cash Allocation Engine'!P134)</f>
        <v>121486.14885606094</v>
      </c>
      <c r="Q30" s="66">
        <f ca="1">IF(Q$4&lt;Assumptions!$B$424, 0, 'Cash Allocation Engine'!Q88 + 'Cash Allocation Engine'!Q134)</f>
        <v>112903.7527822902</v>
      </c>
      <c r="R30" s="66">
        <f ca="1">IF(R$4&lt;Assumptions!$B$424, 0, 'Cash Allocation Engine'!R88 + 'Cash Allocation Engine'!R134)</f>
        <v>144639.50776063409</v>
      </c>
      <c r="S30" s="66">
        <f ca="1">IF(S$4&lt;Assumptions!$B$424, 0, 'Cash Allocation Engine'!S88 + 'Cash Allocation Engine'!S134)</f>
        <v>191608.03192718563</v>
      </c>
    </row>
    <row r="31" spans="1:19" x14ac:dyDescent="0.2">
      <c r="A31" s="22" t="s">
        <v>1377</v>
      </c>
      <c r="B31" s="8"/>
      <c r="C31" s="8"/>
      <c r="D31" s="175">
        <f ca="1">(D32+D44)*D26</f>
        <v>29529658.519656353</v>
      </c>
      <c r="E31" s="175">
        <f t="shared" ref="E31:S31" ca="1" si="11">(E32+E44)*E26</f>
        <v>34238621.88016355</v>
      </c>
      <c r="F31" s="175">
        <f t="shared" ca="1" si="11"/>
        <v>39852469.651219949</v>
      </c>
      <c r="G31" s="175">
        <f t="shared" ca="1" si="11"/>
        <v>46524700.852636851</v>
      </c>
      <c r="H31" s="175">
        <f t="shared" ca="1" si="11"/>
        <v>52708765.684171535</v>
      </c>
      <c r="I31" s="175">
        <f t="shared" ca="1" si="11"/>
        <v>56035609.797379062</v>
      </c>
      <c r="J31" s="175">
        <f t="shared" ca="1" si="11"/>
        <v>51841608.420705393</v>
      </c>
      <c r="K31" s="175">
        <f t="shared" ca="1" si="11"/>
        <v>34413132.281835474</v>
      </c>
      <c r="L31" s="175">
        <f t="shared" ca="1" si="11"/>
        <v>21309621.239269193</v>
      </c>
      <c r="M31" s="175">
        <f t="shared" ca="1" si="11"/>
        <v>32628504.736499913</v>
      </c>
      <c r="N31" s="175">
        <f t="shared" ca="1" si="11"/>
        <v>54073538.756277271</v>
      </c>
      <c r="O31" s="175">
        <f t="shared" ca="1" si="11"/>
        <v>87906464.259284273</v>
      </c>
      <c r="P31" s="175">
        <f t="shared" ca="1" si="11"/>
        <v>99307101.013331085</v>
      </c>
      <c r="Q31" s="175">
        <f t="shared" ca="1" si="11"/>
        <v>82971869.636428416</v>
      </c>
      <c r="R31" s="175">
        <f t="shared" ca="1" si="11"/>
        <v>109581521.73967846</v>
      </c>
      <c r="S31" s="175">
        <f t="shared" ca="1" si="11"/>
        <v>150586384.30046633</v>
      </c>
    </row>
    <row r="32" spans="1:19" x14ac:dyDescent="0.2">
      <c r="A32" s="22" t="s">
        <v>938</v>
      </c>
      <c r="B32" s="8"/>
      <c r="C32" s="8"/>
      <c r="D32" s="67">
        <f t="shared" ref="D32:S32" ca="1" si="12">MAX(0, ROUNDUP(D200 - MAX(0, C46 - D44), 0))</f>
        <v>13157</v>
      </c>
      <c r="E32" s="67">
        <f t="shared" ca="1" si="12"/>
        <v>15897</v>
      </c>
      <c r="F32" s="67">
        <f t="shared" ca="1" si="12"/>
        <v>19227</v>
      </c>
      <c r="G32" s="67">
        <f t="shared" ca="1" si="12"/>
        <v>23271</v>
      </c>
      <c r="H32" s="67">
        <f t="shared" ca="1" si="12"/>
        <v>27284</v>
      </c>
      <c r="I32" s="67">
        <f t="shared" ca="1" si="12"/>
        <v>29975</v>
      </c>
      <c r="J32" s="67">
        <f t="shared" ca="1" si="12"/>
        <v>28625</v>
      </c>
      <c r="K32" s="67">
        <f t="shared" ca="1" si="12"/>
        <v>19596</v>
      </c>
      <c r="L32" s="67">
        <f t="shared" ca="1" si="12"/>
        <v>11605</v>
      </c>
      <c r="M32" s="67">
        <f t="shared" ca="1" si="12"/>
        <v>16598</v>
      </c>
      <c r="N32" s="67">
        <f t="shared" ca="1" si="12"/>
        <v>24986</v>
      </c>
      <c r="O32" s="67">
        <f t="shared" ca="1" si="12"/>
        <v>38328</v>
      </c>
      <c r="P32" s="67">
        <f ca="1">MAX(0, ROUNDUP(P200 - MAX(0, O46 - P44), 0))</f>
        <v>45852</v>
      </c>
      <c r="Q32" s="67">
        <f t="shared" ca="1" si="12"/>
        <v>44659</v>
      </c>
      <c r="R32" s="67">
        <f t="shared" ca="1" si="12"/>
        <v>59858</v>
      </c>
      <c r="S32" s="67">
        <f t="shared" ca="1" si="12"/>
        <v>83122</v>
      </c>
    </row>
    <row r="33" spans="1:19" x14ac:dyDescent="0.2">
      <c r="A33" s="22" t="s">
        <v>939</v>
      </c>
      <c r="B33" s="8"/>
      <c r="C33" s="8"/>
      <c r="D33" s="66">
        <f>IFERROR(FLOOR(Assumptions!$B$336*1000/D20,1),0)</f>
        <v>200</v>
      </c>
      <c r="E33" s="66">
        <f>IFERROR(FLOOR(Assumptions!$B$336*1000/E20,1),0)</f>
        <v>203</v>
      </c>
      <c r="F33" s="66">
        <f>IFERROR(FLOOR(Assumptions!$B$336*1000/F20,1),0)</f>
        <v>206</v>
      </c>
      <c r="G33" s="66">
        <f>IFERROR(FLOOR(Assumptions!$B$336*1000/G20,1),0)</f>
        <v>209</v>
      </c>
      <c r="H33" s="66">
        <f>IFERROR(FLOOR(Assumptions!$B$336*1000/H20,1),0)</f>
        <v>212</v>
      </c>
      <c r="I33" s="66">
        <f>IFERROR(FLOOR(Assumptions!$B$336*1000/I20,1),0)</f>
        <v>216</v>
      </c>
      <c r="J33" s="66">
        <f>IFERROR(FLOOR(Assumptions!$B$336*1000/J20,1),0)</f>
        <v>219</v>
      </c>
      <c r="K33" s="66">
        <f>IFERROR(FLOOR(Assumptions!$B$336*1000/K20,1),0)</f>
        <v>222</v>
      </c>
      <c r="L33" s="66">
        <f>IFERROR(FLOOR(Assumptions!$B$336*1000/L20,1),0)</f>
        <v>226</v>
      </c>
      <c r="M33" s="66">
        <f>IFERROR(FLOOR(Assumptions!$B$336*1000/M20,1),0)</f>
        <v>229</v>
      </c>
      <c r="N33" s="66">
        <f>IFERROR(FLOOR(Assumptions!$B$336*1000/N20,1),0)</f>
        <v>233</v>
      </c>
      <c r="O33" s="66">
        <f>IFERROR(FLOOR(Assumptions!$B$336*1000/O20,1),0)</f>
        <v>237</v>
      </c>
      <c r="P33" s="66">
        <f>IFERROR(FLOOR(Assumptions!$B$336*1000/P20,1),0)</f>
        <v>240</v>
      </c>
      <c r="Q33" s="66">
        <f>IFERROR(FLOOR(Assumptions!$B$336*1000/Q20,1),0)</f>
        <v>244</v>
      </c>
      <c r="R33" s="66">
        <f>IFERROR(FLOOR(Assumptions!$B$336*1000/R20,1),0)</f>
        <v>248</v>
      </c>
      <c r="S33" s="66">
        <f>IFERROR(FLOOR(Assumptions!$B$336*1000/S20,1),0)</f>
        <v>252</v>
      </c>
    </row>
    <row r="34" spans="1:19" x14ac:dyDescent="0.2">
      <c r="A34" s="22" t="s">
        <v>940</v>
      </c>
      <c r="B34" s="8"/>
      <c r="C34" s="8"/>
      <c r="D34" s="62">
        <f>Assumptions!$B$337*Assumptions!$B$341+D25*Assumptions!$B$342+Assumptions!$B$343+Assumptions!$B$344+Assumptions!$B$345+Assumptions!$B$346+Assumptions!$B$347+Assumptions!$B$348</f>
        <v>4504886.668108413</v>
      </c>
      <c r="E34" s="62">
        <f>Assumptions!$B$337*Assumptions!$B$341+E25*Assumptions!$B$342+Assumptions!$B$343+Assumptions!$B$344+Assumptions!$B$345+Assumptions!$B$346+Assumptions!$B$347+Assumptions!$B$348</f>
        <v>4423479.3131088037</v>
      </c>
      <c r="F34" s="62">
        <f>Assumptions!$B$337*Assumptions!$B$341+F25*Assumptions!$B$342+Assumptions!$B$343+Assumptions!$B$344+Assumptions!$B$345+Assumptions!$B$346+Assumptions!$B$347+Assumptions!$B$348</f>
        <v>4342071.9581091953</v>
      </c>
      <c r="G34" s="62">
        <f>Assumptions!$B$337*Assumptions!$B$341+G25*Assumptions!$B$342+Assumptions!$B$343+Assumptions!$B$344+Assumptions!$B$345+Assumptions!$B$346+Assumptions!$B$347+Assumptions!$B$348</f>
        <v>4260664.603109587</v>
      </c>
      <c r="H34" s="62">
        <f>Assumptions!$B$337*Assumptions!$B$341+H25*Assumptions!$B$342+Assumptions!$B$343+Assumptions!$B$344+Assumptions!$B$345+Assumptions!$B$346+Assumptions!$B$347+Assumptions!$B$348</f>
        <v>4179257.2481099782</v>
      </c>
      <c r="I34" s="62">
        <f>Assumptions!$B$337*Assumptions!$B$341+I25*Assumptions!$B$342+Assumptions!$B$343+Assumptions!$B$344+Assumptions!$B$345+Assumptions!$B$346+Assumptions!$B$347+Assumptions!$B$348</f>
        <v>4097849.8931103693</v>
      </c>
      <c r="J34" s="62">
        <f>Assumptions!$B$337*Assumptions!$B$341+J25*Assumptions!$B$342+Assumptions!$B$343+Assumptions!$B$344+Assumptions!$B$345+Assumptions!$B$346+Assumptions!$B$347+Assumptions!$B$348</f>
        <v>4016442.538110761</v>
      </c>
      <c r="K34" s="62">
        <f>Assumptions!$B$337*Assumptions!$B$341+K25*Assumptions!$B$342+Assumptions!$B$343+Assumptions!$B$344+Assumptions!$B$345+Assumptions!$B$346+Assumptions!$B$347+Assumptions!$B$348</f>
        <v>3935035.1831111521</v>
      </c>
      <c r="L34" s="62">
        <f>Assumptions!$B$337*Assumptions!$B$341+L25*Assumptions!$B$342+Assumptions!$B$343+Assumptions!$B$344+Assumptions!$B$345+Assumptions!$B$346+Assumptions!$B$347+Assumptions!$B$348</f>
        <v>3853627.8281115443</v>
      </c>
      <c r="M34" s="62">
        <f>Assumptions!$B$337*Assumptions!$B$341+M25*Assumptions!$B$342+Assumptions!$B$343+Assumptions!$B$344+Assumptions!$B$345+Assumptions!$B$346+Assumptions!$B$347+Assumptions!$B$348</f>
        <v>3772220.4731119354</v>
      </c>
      <c r="N34" s="62">
        <f>Assumptions!$B$337*Assumptions!$B$341+N25*Assumptions!$B$342+Assumptions!$B$343+Assumptions!$B$344+Assumptions!$B$345+Assumptions!$B$346+Assumptions!$B$347+Assumptions!$B$348</f>
        <v>3690813.1181123271</v>
      </c>
      <c r="O34" s="62">
        <f>Assumptions!$B$337*Assumptions!$B$341+O25*Assumptions!$B$342+Assumptions!$B$343+Assumptions!$B$344+Assumptions!$B$345+Assumptions!$B$346+Assumptions!$B$347+Assumptions!$B$348</f>
        <v>3609405.7631127182</v>
      </c>
      <c r="P34" s="62">
        <f>Assumptions!$B$337*Assumptions!$B$341+P25*Assumptions!$B$342+Assumptions!$B$343+Assumptions!$B$344+Assumptions!$B$345+Assumptions!$B$346+Assumptions!$B$347+Assumptions!$B$348</f>
        <v>3527998.4081131099</v>
      </c>
      <c r="Q34" s="62">
        <f>Assumptions!$B$337*Assumptions!$B$341+Q25*Assumptions!$B$342+Assumptions!$B$343+Assumptions!$B$344+Assumptions!$B$345+Assumptions!$B$346+Assumptions!$B$347+Assumptions!$B$348</f>
        <v>3446591.0531135011</v>
      </c>
      <c r="R34" s="62">
        <f>Assumptions!$B$337*Assumptions!$B$341+R25*Assumptions!$B$342+Assumptions!$B$343+Assumptions!$B$344+Assumptions!$B$345+Assumptions!$B$346+Assumptions!$B$347+Assumptions!$B$348</f>
        <v>3365183.6981138927</v>
      </c>
      <c r="S34" s="62">
        <f>Assumptions!$B$337*Assumptions!$B$341+S25*Assumptions!$B$342+Assumptions!$B$343+Assumptions!$B$344+Assumptions!$B$345+Assumptions!$B$346+Assumptions!$B$347+Assumptions!$B$348</f>
        <v>3283776.3431142839</v>
      </c>
    </row>
    <row r="35" spans="1:19" x14ac:dyDescent="0.2">
      <c r="A35" s="22" t="s">
        <v>941</v>
      </c>
      <c r="B35" s="8"/>
      <c r="C35" s="8"/>
      <c r="D35" s="66" cm="1">
        <f t="array" ref="D35">FLOOR(INDEX('Vehicle Build'!$D:$AC,MATCH("Starship payload, fully reusable (kg)",'Vehicle Build'!$A$1:$A$119,0),D$5+1)/D26,1)</f>
        <v>44</v>
      </c>
      <c r="E35" s="66" cm="1">
        <f t="array" ref="E35">FLOOR(INDEX('Vehicle Build'!$D:$AC,MATCH("Starship payload, fully reusable (kg)",'Vehicle Build'!$A$1:$A$119,0),E$5+1)/E26,1)</f>
        <v>53</v>
      </c>
      <c r="F35" s="66" cm="1">
        <f t="array" ref="F35">FLOOR(INDEX('Vehicle Build'!$D:$AC,MATCH("Starship payload, fully reusable (kg)",'Vehicle Build'!$A$1:$A$119,0),F$5+1)/F26,1)</f>
        <v>63</v>
      </c>
      <c r="G35" s="66" cm="1">
        <f t="array" ref="G35">FLOOR(INDEX('Vehicle Build'!$D:$AC,MATCH("Starship payload, fully reusable (kg)",'Vehicle Build'!$A$1:$A$119,0),G$5+1)/G26,1)</f>
        <v>75</v>
      </c>
      <c r="H35" s="66" cm="1">
        <f t="array" ref="H35">FLOOR(INDEX('Vehicle Build'!$D:$AC,MATCH("Starship payload, fully reusable (kg)",'Vehicle Build'!$A$1:$A$119,0),H$5+1)/H26,1)</f>
        <v>90</v>
      </c>
      <c r="I35" s="66" cm="1">
        <f t="array" ref="I35">FLOOR(INDEX('Vehicle Build'!$D:$AC,MATCH("Starship payload, fully reusable (kg)",'Vehicle Build'!$A$1:$A$119,0),I$5+1)/I26,1)</f>
        <v>106</v>
      </c>
      <c r="J35" s="66" cm="1">
        <f t="array" ref="J35">FLOOR(INDEX('Vehicle Build'!$D:$AC,MATCH("Starship payload, fully reusable (kg)",'Vehicle Build'!$A$1:$A$119,0),J$5+1)/J26,1)</f>
        <v>110</v>
      </c>
      <c r="K35" s="66" cm="1">
        <f t="array" ref="K35">FLOOR(INDEX('Vehicle Build'!$D:$AC,MATCH("Starship payload, fully reusable (kg)",'Vehicle Build'!$A$1:$A$119,0),K$5+1)/K26,1)</f>
        <v>113</v>
      </c>
      <c r="L35" s="66" cm="1">
        <f t="array" ref="L35">FLOOR(INDEX('Vehicle Build'!$D:$AC,MATCH("Starship payload, fully reusable (kg)",'Vehicle Build'!$A$1:$A$119,0),L$5+1)/L26,1)</f>
        <v>117</v>
      </c>
      <c r="M35" s="66" cm="1">
        <f t="array" ref="M35">FLOOR(INDEX('Vehicle Build'!$D:$AC,MATCH("Starship payload, fully reusable (kg)",'Vehicle Build'!$A$1:$A$119,0),M$5+1)/M26,1)</f>
        <v>120</v>
      </c>
      <c r="N35" s="66" cm="1">
        <f t="array" ref="N35">FLOOR(INDEX('Vehicle Build'!$D:$AC,MATCH("Starship payload, fully reusable (kg)",'Vehicle Build'!$A$1:$A$119,0),N$5+1)/N26,1)</f>
        <v>124</v>
      </c>
      <c r="O35" s="66" cm="1">
        <f t="array" ref="O35">FLOOR(INDEX('Vehicle Build'!$D:$AC,MATCH("Starship payload, fully reusable (kg)",'Vehicle Build'!$A$1:$A$119,0),O$5+1)/O26,1)</f>
        <v>128</v>
      </c>
      <c r="P35" s="66" cm="1">
        <f t="array" ref="P35">FLOOR(INDEX('Vehicle Build'!$D:$AC,MATCH("Starship payload, fully reusable (kg)",'Vehicle Build'!$A$1:$A$119,0),P$5+1)/P26,1)</f>
        <v>131</v>
      </c>
      <c r="Q35" s="66" cm="1">
        <f t="array" ref="Q35">FLOOR(INDEX('Vehicle Build'!$D:$AC,MATCH("Starship payload, fully reusable (kg)",'Vehicle Build'!$A$1:$A$119,0),Q$5+1)/Q26,1)</f>
        <v>135</v>
      </c>
      <c r="R35" s="66" cm="1">
        <f t="array" ref="R35">FLOOR(INDEX('Vehicle Build'!$D:$AC,MATCH("Starship payload, fully reusable (kg)",'Vehicle Build'!$A$1:$A$119,0),R$5+1)/R26,1)</f>
        <v>139</v>
      </c>
      <c r="S35" s="66" cm="1">
        <f t="array" ref="S35">FLOOR(INDEX('Vehicle Build'!$D:$AC,MATCH("Starship payload, fully reusable (kg)",'Vehicle Build'!$A$1:$A$119,0),S$5+1)/S26,1)</f>
        <v>143</v>
      </c>
    </row>
    <row r="36" spans="1:19" x14ac:dyDescent="0.2">
      <c r="A36" s="22" t="s">
        <v>942</v>
      </c>
      <c r="B36" s="8"/>
      <c r="C36" s="8"/>
      <c r="D36" s="67">
        <f ca="1">C36+D32</f>
        <v>13157</v>
      </c>
      <c r="E36" s="67">
        <f t="shared" ref="E36:S36" ca="1" si="13">D36+E32</f>
        <v>29054</v>
      </c>
      <c r="F36" s="67">
        <f t="shared" ca="1" si="13"/>
        <v>48281</v>
      </c>
      <c r="G36" s="67">
        <f t="shared" ca="1" si="13"/>
        <v>71552</v>
      </c>
      <c r="H36" s="67">
        <f t="shared" ca="1" si="13"/>
        <v>98836</v>
      </c>
      <c r="I36" s="67">
        <f t="shared" ca="1" si="13"/>
        <v>128811</v>
      </c>
      <c r="J36" s="67">
        <f t="shared" ca="1" si="13"/>
        <v>157436</v>
      </c>
      <c r="K36" s="67">
        <f t="shared" ca="1" si="13"/>
        <v>177032</v>
      </c>
      <c r="L36" s="67">
        <f t="shared" ca="1" si="13"/>
        <v>188637</v>
      </c>
      <c r="M36" s="67">
        <f t="shared" ca="1" si="13"/>
        <v>205235</v>
      </c>
      <c r="N36" s="67">
        <f t="shared" ca="1" si="13"/>
        <v>230221</v>
      </c>
      <c r="O36" s="67">
        <f t="shared" ca="1" si="13"/>
        <v>268549</v>
      </c>
      <c r="P36" s="67">
        <f t="shared" ca="1" si="13"/>
        <v>314401</v>
      </c>
      <c r="Q36" s="67">
        <f t="shared" ca="1" si="13"/>
        <v>359060</v>
      </c>
      <c r="R36" s="67">
        <f t="shared" ca="1" si="13"/>
        <v>418918</v>
      </c>
      <c r="S36" s="67">
        <f t="shared" ca="1" si="13"/>
        <v>502040</v>
      </c>
    </row>
    <row r="37" spans="1:19" x14ac:dyDescent="0.2">
      <c r="A37" s="22" t="s">
        <v>943</v>
      </c>
      <c r="B37" s="8"/>
      <c r="C37" s="8"/>
      <c r="D37" s="60">
        <f ca="1">IF(D36&lt;Assumptions!$B$350,1,(D36/Assumptions!$B$350)^LOG(1-Assumptions!$B$349,2))</f>
        <v>0.64295070046761782</v>
      </c>
      <c r="E37" s="60">
        <f ca="1">IF(D36&lt;Assumptions!$B$350,1,(D36/Assumptions!$B$350)^LOG(1-Assumptions!$B$349,2))</f>
        <v>0.64295070046761782</v>
      </c>
      <c r="F37" s="60">
        <f ca="1">IF(E36&lt;Assumptions!$B$350,1,(E36/Assumptions!$B$350)^LOG(1-Assumptions!$B$349,2))</f>
        <v>0.53396172114183948</v>
      </c>
      <c r="G37" s="60">
        <f ca="1">IF(F36&lt;Assumptions!$B$350,1,(F36/Assumptions!$B$350)^LOG(1-Assumptions!$B$349,2))</f>
        <v>0.47401714171844977</v>
      </c>
      <c r="H37" s="60">
        <f ca="1">IF(G36&lt;Assumptions!$B$350,1,(G36/Assumptions!$B$350)^LOG(1-Assumptions!$B$349,2))</f>
        <v>0.43225169883751385</v>
      </c>
      <c r="I37" s="60">
        <f ca="1">IF(H36&lt;Assumptions!$B$350,1,(H36/Assumptions!$B$350)^LOG(1-Assumptions!$B$349,2))</f>
        <v>0.40072162990374843</v>
      </c>
      <c r="J37" s="60">
        <f ca="1">IF(I36&lt;Assumptions!$B$350,1,(I36/Assumptions!$B$350)^LOG(1-Assumptions!$B$349,2))</f>
        <v>0.37659141926428313</v>
      </c>
      <c r="K37" s="60">
        <f ca="1">IF(J36&lt;Assumptions!$B$350,1,(J36/Assumptions!$B$350)^LOG(1-Assumptions!$B$349,2))</f>
        <v>0.35928287443219642</v>
      </c>
      <c r="L37" s="60">
        <f ca="1">IF(K36&lt;Assumptions!$B$350,1,(K36/Assumptions!$B$350)^LOG(1-Assumptions!$B$349,2))</f>
        <v>0.3495353018167216</v>
      </c>
      <c r="M37" s="60">
        <f ca="1">IF(L36&lt;Assumptions!$B$350,1,(L36/Assumptions!$B$350)^LOG(1-Assumptions!$B$349,2))</f>
        <v>0.34437026155183087</v>
      </c>
      <c r="N37" s="60">
        <f ca="1">IF(M36&lt;Assumptions!$B$350,1,(M36/Assumptions!$B$350)^LOG(1-Assumptions!$B$349,2))</f>
        <v>0.33762800088905326</v>
      </c>
      <c r="O37" s="60">
        <f ca="1">IF(N36&lt;Assumptions!$B$350,1,(N36/Assumptions!$B$350)^LOG(1-Assumptions!$B$349,2))</f>
        <v>0.32865493864330442</v>
      </c>
      <c r="P37" s="60">
        <f ca="1">IF(O36&lt;Assumptions!$B$350,1,(O36/Assumptions!$B$350)^LOG(1-Assumptions!$B$349,2))</f>
        <v>0.31700013998602944</v>
      </c>
      <c r="Q37" s="60">
        <f ca="1">IF(P36&lt;Assumptions!$B$350,1,(P36/Assumptions!$B$350)^LOG(1-Assumptions!$B$349,2))</f>
        <v>0.30549764999457524</v>
      </c>
      <c r="R37" s="60">
        <f ca="1">IF(Q36&lt;Assumptions!$B$350,1,(Q36/Assumptions!$B$350)^LOG(1-Assumptions!$B$349,2))</f>
        <v>0.29613053369118592</v>
      </c>
      <c r="S37" s="60">
        <f ca="1">IF(R36&lt;Assumptions!$B$350,1,(R36/Assumptions!$B$350)^LOG(1-Assumptions!$B$349,2))</f>
        <v>0.28561626013905667</v>
      </c>
    </row>
    <row r="38" spans="1:19" x14ac:dyDescent="0.2">
      <c r="A38" s="22" t="s">
        <v>944</v>
      </c>
      <c r="B38" s="8"/>
      <c r="C38" s="8"/>
      <c r="D38" s="62">
        <f ca="1">D34*Assumptions!$B$351+D34*(1-Assumptions!$B$351)*D37</f>
        <v>3218113.3646517121</v>
      </c>
      <c r="E38" s="62">
        <f ca="1">E34*Assumptions!$B$351+E34*(1-Assumptions!$B$351)*E37</f>
        <v>3159959.1609156188</v>
      </c>
      <c r="F38" s="62">
        <f ca="1">F34*Assumptions!$B$351+F34*(1-Assumptions!$B$351)*F37</f>
        <v>2723214.5644808016</v>
      </c>
      <c r="G38" s="62">
        <f ca="1">G34*Assumptions!$B$351+G34*(1-Assumptions!$B$351)*G37</f>
        <v>2467835.3662115014</v>
      </c>
      <c r="H38" s="62">
        <f ca="1">H34*Assumptions!$B$351+H34*(1-Assumptions!$B$351)*H37</f>
        <v>2281044.2859216207</v>
      </c>
      <c r="I38" s="62">
        <f ca="1">I34*Assumptions!$B$351+I34*(1-Assumptions!$B$351)*I37</f>
        <v>2133247.6492365445</v>
      </c>
      <c r="J38" s="62">
        <f ca="1">J34*Assumptions!$B$351+J34*(1-Assumptions!$B$351)*J37</f>
        <v>2013334.7442786093</v>
      </c>
      <c r="K38" s="62">
        <f ca="1">K34*Assumptions!$B$351+K34*(1-Assumptions!$B$351)*K37</f>
        <v>1918039.6378862297</v>
      </c>
      <c r="L38" s="62">
        <f ca="1">L34*Assumptions!$B$351+L34*(1-Assumptions!$B$351)*L37</f>
        <v>1848308.7384129376</v>
      </c>
      <c r="M38" s="62">
        <f ca="1">M34*Assumptions!$B$351+M34*(1-Assumptions!$B$351)*M37</f>
        <v>1793676.5353877698</v>
      </c>
      <c r="N38" s="62">
        <f ca="1">N34*Assumptions!$B$351+N34*(1-Assumptions!$B$351)*N37</f>
        <v>1735060.1074011521</v>
      </c>
      <c r="O38" s="62">
        <f ca="1">O34*Assumptions!$B$351+O34*(1-Assumptions!$B$351)*O37</f>
        <v>1670880.3763142237</v>
      </c>
      <c r="P38" s="62">
        <f ca="1">P34*Assumptions!$B$351+P34*(1-Assumptions!$B$351)*P37</f>
        <v>1600300.4730164981</v>
      </c>
      <c r="Q38" s="62">
        <f ca="1">Q34*Assumptions!$B$351+Q34*(1-Assumptions!$B$351)*Q37</f>
        <v>1531658.5843975027</v>
      </c>
      <c r="R38" s="62">
        <f ca="1">R34*Assumptions!$B$351+R34*(1-Assumptions!$B$351)*R37</f>
        <v>1470263.6552158552</v>
      </c>
      <c r="S38" s="62">
        <f ca="1">S34*Assumptions!$B$351+S34*(1-Assumptions!$B$351)*S37</f>
        <v>1407075.2032255845</v>
      </c>
    </row>
    <row r="39" spans="1:19" x14ac:dyDescent="0.2">
      <c r="A39" s="22" t="s">
        <v>945</v>
      </c>
      <c r="B39" s="8"/>
      <c r="C39" s="8"/>
      <c r="D39" s="62">
        <f>D33*D24*Assumptions!$B$390</f>
        <v>1980108.24</v>
      </c>
      <c r="E39" s="62">
        <f>E33*E24*Assumptions!$B$390</f>
        <v>1877463.8840819399</v>
      </c>
      <c r="F39" s="62">
        <f>F33*F24*Assumptions!$B$390</f>
        <v>1779751.5999355649</v>
      </c>
      <c r="G39" s="62">
        <f>G33*G24*Assumptions!$B$390</f>
        <v>1686766.9224741738</v>
      </c>
      <c r="H39" s="62">
        <f>H33*H24*Assumptions!$B$390</f>
        <v>1598310.9281023964</v>
      </c>
      <c r="I39" s="62">
        <f>I33*I24*Assumptions!$B$390</f>
        <v>1521233.1375149072</v>
      </c>
      <c r="J39" s="62">
        <f>J33*J24*Assumptions!$B$390</f>
        <v>1440796.8789569056</v>
      </c>
      <c r="K39" s="62">
        <f>K33*K24*Assumptions!$B$390</f>
        <v>1364357.6702923544</v>
      </c>
      <c r="L39" s="62">
        <f>L33*L24*Assumptions!$B$390</f>
        <v>1297478.9468514158</v>
      </c>
      <c r="M39" s="62">
        <f>M33*M24*Assumptions!$B$390</f>
        <v>1228128.9841950717</v>
      </c>
      <c r="N39" s="62">
        <f>N33*N24*Assumptions!$B$390</f>
        <v>1167296.1087619979</v>
      </c>
      <c r="O39" s="62">
        <f>O33*O24*Assumptions!$B$390</f>
        <v>1109149.4824892911</v>
      </c>
      <c r="P39" s="62">
        <f>P33*P24*Assumptions!$B$390</f>
        <v>1049227.3307011356</v>
      </c>
      <c r="Q39" s="62">
        <f>Q33*Q24*Assumptions!$B$390</f>
        <v>996471.30615737347</v>
      </c>
      <c r="R39" s="62">
        <f>R33*R24*Assumptions!$B$390</f>
        <v>946113.56688702351</v>
      </c>
      <c r="S39" s="62">
        <f>S33*S24*Assumptions!$B$390</f>
        <v>898067.02058021445</v>
      </c>
    </row>
    <row r="40" spans="1:19" x14ac:dyDescent="0.2">
      <c r="A40" s="20" t="s">
        <v>946</v>
      </c>
      <c r="B40" s="20"/>
      <c r="C40" s="20"/>
      <c r="D40" s="125">
        <f ca="1">(D38+D39)/1000000</f>
        <v>5.198221604651712</v>
      </c>
      <c r="E40" s="125">
        <f t="shared" ref="E40:S40" ca="1" si="14">(E38+E39)/1000000</f>
        <v>5.037423044997559</v>
      </c>
      <c r="F40" s="125">
        <f t="shared" ca="1" si="14"/>
        <v>4.5029661644163665</v>
      </c>
      <c r="G40" s="125">
        <f t="shared" ca="1" si="14"/>
        <v>4.154602288685675</v>
      </c>
      <c r="H40" s="125">
        <f t="shared" ca="1" si="14"/>
        <v>3.8793552140240171</v>
      </c>
      <c r="I40" s="125">
        <f t="shared" ca="1" si="14"/>
        <v>3.6544807867514519</v>
      </c>
      <c r="J40" s="125">
        <f t="shared" ca="1" si="14"/>
        <v>3.454131623235515</v>
      </c>
      <c r="K40" s="125">
        <f t="shared" ca="1" si="14"/>
        <v>3.282397308178584</v>
      </c>
      <c r="L40" s="125">
        <f t="shared" ca="1" si="14"/>
        <v>3.1457876852643536</v>
      </c>
      <c r="M40" s="125">
        <f t="shared" ca="1" si="14"/>
        <v>3.0218055195828417</v>
      </c>
      <c r="N40" s="125">
        <f t="shared" ca="1" si="14"/>
        <v>2.9023562161631502</v>
      </c>
      <c r="O40" s="125">
        <f t="shared" ca="1" si="14"/>
        <v>2.7800298588035148</v>
      </c>
      <c r="P40" s="125">
        <f t="shared" ca="1" si="14"/>
        <v>2.6495278037176337</v>
      </c>
      <c r="Q40" s="125">
        <f t="shared" ca="1" si="14"/>
        <v>2.5281298905548759</v>
      </c>
      <c r="R40" s="125">
        <f t="shared" ca="1" si="14"/>
        <v>2.4163772221028785</v>
      </c>
      <c r="S40" s="125">
        <f t="shared" ca="1" si="14"/>
        <v>2.3051422238057993</v>
      </c>
    </row>
    <row r="41" spans="1:19" x14ac:dyDescent="0.2">
      <c r="A41" s="22" t="s">
        <v>947</v>
      </c>
      <c r="B41" s="8"/>
      <c r="C41" s="8"/>
      <c r="D41" s="56">
        <f ca="1">IFERROR(D29/D35,0)</f>
        <v>0.41346737011523371</v>
      </c>
      <c r="E41" s="56">
        <f t="shared" ref="E41:S41" ca="1" si="15">IFERROR(E29/E35,0)</f>
        <v>0.27357403309487754</v>
      </c>
      <c r="F41" s="56">
        <f t="shared" ca="1" si="15"/>
        <v>0.18737924768484443</v>
      </c>
      <c r="G41" s="56">
        <f t="shared" ca="1" si="15"/>
        <v>0.13293891648845449</v>
      </c>
      <c r="H41" s="56">
        <f t="shared" ca="1" si="15"/>
        <v>9.8092603321034907E-2</v>
      </c>
      <c r="I41" s="56">
        <f t="shared" ca="1" si="15"/>
        <v>7.6607217327690172E-2</v>
      </c>
      <c r="J41" s="56">
        <f t="shared" ca="1" si="15"/>
        <v>6.8941266579559152E-2</v>
      </c>
      <c r="K41" s="56">
        <f t="shared" ca="1" si="15"/>
        <v>6.3145989917204687E-2</v>
      </c>
      <c r="L41" s="56">
        <f t="shared" ca="1" si="15"/>
        <v>5.830469062445217E-2</v>
      </c>
      <c r="M41" s="56">
        <f t="shared" ca="1" si="15"/>
        <v>5.5849581997426401E-2</v>
      </c>
      <c r="N41" s="56">
        <f t="shared" ca="1" si="15"/>
        <v>5.3029567774023775E-2</v>
      </c>
      <c r="O41" s="56">
        <f t="shared" ca="1" si="15"/>
        <v>5.0434008700945526E-2</v>
      </c>
      <c r="P41" s="56">
        <f t="shared" ca="1" si="15"/>
        <v>4.8697193925314561E-2</v>
      </c>
      <c r="Q41" s="56">
        <f t="shared" ca="1" si="15"/>
        <v>4.6975117978321254E-2</v>
      </c>
      <c r="R41" s="56">
        <f t="shared" ca="1" si="15"/>
        <v>4.4943488945022161E-2</v>
      </c>
      <c r="S41" s="56">
        <f t="shared" ca="1" si="15"/>
        <v>4.3067025218407204E-2</v>
      </c>
    </row>
    <row r="42" spans="1:19" x14ac:dyDescent="0.2">
      <c r="A42" s="22" t="s">
        <v>948</v>
      </c>
      <c r="B42" s="8"/>
      <c r="C42" s="8"/>
      <c r="D42" s="67">
        <f ca="1">IFERROR(D30/D40,0)</f>
        <v>0</v>
      </c>
      <c r="E42" s="67">
        <f t="shared" ref="E42:S42" ca="1" si="16">IFERROR(E30/E40,0)</f>
        <v>0</v>
      </c>
      <c r="F42" s="67">
        <f t="shared" ca="1" si="16"/>
        <v>0</v>
      </c>
      <c r="G42" s="67">
        <f t="shared" ca="1" si="16"/>
        <v>900.73764516255653</v>
      </c>
      <c r="H42" s="67">
        <f t="shared" ca="1" si="16"/>
        <v>3123.0098380130248</v>
      </c>
      <c r="I42" s="67">
        <f t="shared" ca="1" si="16"/>
        <v>8662.8679006172533</v>
      </c>
      <c r="J42" s="67">
        <f t="shared" ca="1" si="16"/>
        <v>17972.366691374038</v>
      </c>
      <c r="K42" s="67">
        <f t="shared" ca="1" si="16"/>
        <v>19596</v>
      </c>
      <c r="L42" s="67">
        <f t="shared" ca="1" si="16"/>
        <v>11605</v>
      </c>
      <c r="M42" s="67">
        <f t="shared" ca="1" si="16"/>
        <v>16598</v>
      </c>
      <c r="N42" s="67">
        <f t="shared" ca="1" si="16"/>
        <v>24986</v>
      </c>
      <c r="O42" s="67">
        <f t="shared" ca="1" si="16"/>
        <v>38328</v>
      </c>
      <c r="P42" s="67">
        <f t="shared" ca="1" si="16"/>
        <v>45852</v>
      </c>
      <c r="Q42" s="67">
        <f t="shared" ca="1" si="16"/>
        <v>44659</v>
      </c>
      <c r="R42" s="67">
        <f t="shared" ca="1" si="16"/>
        <v>59857.999999999993</v>
      </c>
      <c r="S42" s="67">
        <f t="shared" ca="1" si="16"/>
        <v>83121.999999999985</v>
      </c>
    </row>
    <row r="43" spans="1:19" x14ac:dyDescent="0.2">
      <c r="A43" s="22" t="s">
        <v>949</v>
      </c>
      <c r="B43" s="8"/>
      <c r="C43" s="8"/>
      <c r="D43" s="67">
        <f ca="1">IFERROR(D31/D26,0)</f>
        <v>13157</v>
      </c>
      <c r="E43" s="67">
        <f t="shared" ref="E43:S43" ca="1" si="17">IFERROR(E31/E26,0)</f>
        <v>15897.000000000002</v>
      </c>
      <c r="F43" s="67">
        <f t="shared" ca="1" si="17"/>
        <v>19227</v>
      </c>
      <c r="G43" s="67">
        <f t="shared" ca="1" si="17"/>
        <v>23271</v>
      </c>
      <c r="H43" s="67">
        <f t="shared" ca="1" si="17"/>
        <v>27284</v>
      </c>
      <c r="I43" s="67">
        <f t="shared" ca="1" si="17"/>
        <v>29975</v>
      </c>
      <c r="J43" s="67">
        <f t="shared" ca="1" si="17"/>
        <v>28624.999999999996</v>
      </c>
      <c r="K43" s="67">
        <f t="shared" ca="1" si="17"/>
        <v>19596</v>
      </c>
      <c r="L43" s="67">
        <f t="shared" ca="1" si="17"/>
        <v>12505</v>
      </c>
      <c r="M43" s="67">
        <f t="shared" ca="1" si="17"/>
        <v>19721</v>
      </c>
      <c r="N43" s="67">
        <f t="shared" ca="1" si="17"/>
        <v>33648</v>
      </c>
      <c r="O43" s="67">
        <f t="shared" ca="1" si="17"/>
        <v>56300</v>
      </c>
      <c r="P43" s="67">
        <f t="shared" ca="1" si="17"/>
        <v>65448</v>
      </c>
      <c r="Q43" s="67">
        <f t="shared" ca="1" si="17"/>
        <v>56264</v>
      </c>
      <c r="R43" s="67">
        <f t="shared" ca="1" si="17"/>
        <v>76456</v>
      </c>
      <c r="S43" s="67">
        <f t="shared" ca="1" si="17"/>
        <v>108108</v>
      </c>
    </row>
    <row r="44" spans="1:19" x14ac:dyDescent="0.2">
      <c r="A44" s="22" t="s">
        <v>950</v>
      </c>
      <c r="B44" s="8"/>
      <c r="C44" s="8"/>
      <c r="D44" s="67">
        <f>0</f>
        <v>0</v>
      </c>
      <c r="E44" s="67">
        <f>0</f>
        <v>0</v>
      </c>
      <c r="F44" s="67">
        <f>0</f>
        <v>0</v>
      </c>
      <c r="G44" s="67">
        <f>0</f>
        <v>0</v>
      </c>
      <c r="H44" s="67">
        <f>0</f>
        <v>0</v>
      </c>
      <c r="I44" s="67">
        <f ca="1">D45</f>
        <v>0</v>
      </c>
      <c r="J44" s="67">
        <f t="shared" ref="J44:S44" ca="1" si="18">E45</f>
        <v>0</v>
      </c>
      <c r="K44" s="67">
        <f t="shared" ca="1" si="18"/>
        <v>0</v>
      </c>
      <c r="L44" s="67">
        <f t="shared" ca="1" si="18"/>
        <v>900</v>
      </c>
      <c r="M44" s="67">
        <f t="shared" ca="1" si="18"/>
        <v>3123</v>
      </c>
      <c r="N44" s="67">
        <f t="shared" ca="1" si="18"/>
        <v>8662</v>
      </c>
      <c r="O44" s="67">
        <f t="shared" ca="1" si="18"/>
        <v>17972</v>
      </c>
      <c r="P44" s="67">
        <f t="shared" ca="1" si="18"/>
        <v>19596</v>
      </c>
      <c r="Q44" s="67">
        <f t="shared" ca="1" si="18"/>
        <v>11605</v>
      </c>
      <c r="R44" s="67">
        <f t="shared" ca="1" si="18"/>
        <v>16598</v>
      </c>
      <c r="S44" s="67">
        <f t="shared" ca="1" si="18"/>
        <v>24986</v>
      </c>
    </row>
    <row r="45" spans="1:19" x14ac:dyDescent="0.2">
      <c r="A45" s="22" t="s">
        <v>951</v>
      </c>
      <c r="B45" s="8"/>
      <c r="C45" s="8"/>
      <c r="D45" s="66">
        <f ca="1">ROUNDDOWN(MIN(D32,D42,IFERROR(INDEX('Cash Allocation Engine'!$D:$AC,MATCH("Launch capacity allotment: AI-Compute (kg)",'Cash Allocation Engine'!$A$1:$A$96,0),MATCH(D$4,'Cash Allocation Engine'!$D$4:$AC$4,0))/D26,0)),0)</f>
        <v>0</v>
      </c>
      <c r="E45" s="66">
        <f ca="1">ROUNDDOWN(MIN(E32,E42,IFERROR(INDEX('Cash Allocation Engine'!$D:$AC,MATCH("Launch capacity allotment: AI-Compute (kg)",'Cash Allocation Engine'!$A$1:$A$96,0),MATCH(E$4,'Cash Allocation Engine'!$D$4:$AC$4,0))/E26,0)),0)</f>
        <v>0</v>
      </c>
      <c r="F45" s="66">
        <f ca="1">ROUNDDOWN(MIN(F32,F42,IFERROR(INDEX('Cash Allocation Engine'!$D:$AC,MATCH("Launch capacity allotment: AI-Compute (kg)",'Cash Allocation Engine'!$A$1:$A$96,0),MATCH(F$4,'Cash Allocation Engine'!$D$4:$AC$4,0))/F26,0)),0)</f>
        <v>0</v>
      </c>
      <c r="G45" s="66">
        <f ca="1">ROUNDDOWN(MIN(G32,G42,IFERROR(INDEX('Cash Allocation Engine'!$D:$AC,MATCH("Launch capacity allotment: AI-Compute (kg)",'Cash Allocation Engine'!$A$1:$A$96,0),MATCH(G$4,'Cash Allocation Engine'!$D$4:$AC$4,0))/G26,0)),0)</f>
        <v>900</v>
      </c>
      <c r="H45" s="66">
        <f ca="1">ROUNDDOWN(MIN(H32,H42,IFERROR(INDEX('Cash Allocation Engine'!$D:$AC,MATCH("Launch capacity allotment: AI-Compute (kg)",'Cash Allocation Engine'!$A$1:$A$96,0),MATCH(H$4,'Cash Allocation Engine'!$D$4:$AC$4,0))/H26,0)),0)</f>
        <v>3123</v>
      </c>
      <c r="I45" s="66">
        <f ca="1">ROUNDDOWN(MIN(I32,I42,IFERROR(INDEX('Cash Allocation Engine'!$D:$AC,MATCH("Launch capacity allotment: AI-Compute (kg)",'Cash Allocation Engine'!$A$1:$A$96,0),MATCH(I$4,'Cash Allocation Engine'!$D$4:$AC$4,0))/I26,0)),0)</f>
        <v>8662</v>
      </c>
      <c r="J45" s="66">
        <f ca="1">ROUNDDOWN(MIN(J32,J42,IFERROR(INDEX('Cash Allocation Engine'!$D:$AC,MATCH("Launch capacity allotment: AI-Compute (kg)",'Cash Allocation Engine'!$A$1:$A$96,0),MATCH(J$4,'Cash Allocation Engine'!$D$4:$AC$4,0))/J26,0)),0)</f>
        <v>17972</v>
      </c>
      <c r="K45" s="66">
        <f ca="1">ROUNDDOWN(MIN(K32,K42,IFERROR(INDEX('Cash Allocation Engine'!$D:$AC,MATCH("Launch capacity allotment: AI-Compute (kg)",'Cash Allocation Engine'!$A$1:$A$96,0),MATCH(K$4,'Cash Allocation Engine'!$D$4:$AC$4,0))/K26,0)),0)</f>
        <v>19596</v>
      </c>
      <c r="L45" s="66">
        <f ca="1">ROUNDDOWN(MIN(L32,L42,IFERROR(INDEX('Cash Allocation Engine'!$D:$AC,MATCH("Launch capacity allotment: AI-Compute (kg)",'Cash Allocation Engine'!$A$1:$A$96,0),MATCH(L$4,'Cash Allocation Engine'!$D$4:$AC$4,0))/L26,0)),0)</f>
        <v>11605</v>
      </c>
      <c r="M45" s="66">
        <f ca="1">ROUNDDOWN(MIN(M32,M42,IFERROR(INDEX('Cash Allocation Engine'!$D:$AC,MATCH("Launch capacity allotment: AI-Compute (kg)",'Cash Allocation Engine'!$A$1:$A$96,0),MATCH(M$4,'Cash Allocation Engine'!$D$4:$AC$4,0))/M26,0)),0)</f>
        <v>16598</v>
      </c>
      <c r="N45" s="66">
        <f ca="1">ROUNDDOWN(MIN(N32,N42,IFERROR(INDEX('Cash Allocation Engine'!$D:$AC,MATCH("Launch capacity allotment: AI-Compute (kg)",'Cash Allocation Engine'!$A$1:$A$96,0),MATCH(N$4,'Cash Allocation Engine'!$D$4:$AC$4,0))/N26,0)),0)</f>
        <v>24986</v>
      </c>
      <c r="O45" s="66">
        <f ca="1">ROUNDDOWN(MIN(O32,O42,IFERROR(INDEX('Cash Allocation Engine'!$D:$AC,MATCH("Launch capacity allotment: AI-Compute (kg)",'Cash Allocation Engine'!$A$1:$A$96,0),MATCH(O$4,'Cash Allocation Engine'!$D$4:$AC$4,0))/O26,0)),0)</f>
        <v>38328</v>
      </c>
      <c r="P45" s="66">
        <f ca="1">ROUNDDOWN(MIN(P32,P42,IFERROR(INDEX('Cash Allocation Engine'!$D:$AC,MATCH("Launch capacity allotment: AI-Compute (kg)",'Cash Allocation Engine'!$A$1:$A$96,0),MATCH(P$4,'Cash Allocation Engine'!$D$4:$AC$4,0))/P26,0)),0)</f>
        <v>45852</v>
      </c>
      <c r="Q45" s="66">
        <f ca="1">ROUNDDOWN(MIN(Q32,Q42,IFERROR(INDEX('Cash Allocation Engine'!$D:$AC,MATCH("Launch capacity allotment: AI-Compute (kg)",'Cash Allocation Engine'!$A$1:$A$96,0),MATCH(Q$4,'Cash Allocation Engine'!$D$4:$AC$4,0))/Q26,0)),0)</f>
        <v>44659</v>
      </c>
      <c r="R45" s="66">
        <f ca="1">ROUNDDOWN(MIN(R32,R42,IFERROR(INDEX('Cash Allocation Engine'!$D:$AC,MATCH("Launch capacity allotment: AI-Compute (kg)",'Cash Allocation Engine'!$A$1:$A$96,0),MATCH(R$4,'Cash Allocation Engine'!$D$4:$AC$4,0))/R26,0)),0)</f>
        <v>59858</v>
      </c>
      <c r="S45" s="66">
        <f ca="1">ROUNDDOWN(MIN(S32,S42,IFERROR(INDEX('Cash Allocation Engine'!$D:$AC,MATCH("Launch capacity allotment: AI-Compute (kg)",'Cash Allocation Engine'!$A$1:$A$96,0),MATCH(S$4,'Cash Allocation Engine'!$D$4:$AC$4,0))/S26,0)),0)</f>
        <v>78819</v>
      </c>
    </row>
    <row r="46" spans="1:19" x14ac:dyDescent="0.2">
      <c r="A46" s="22" t="s">
        <v>952</v>
      </c>
      <c r="B46" s="8"/>
      <c r="C46" s="8"/>
      <c r="D46" s="67">
        <f ca="1">MAX(0,C46+D45-D44)</f>
        <v>0</v>
      </c>
      <c r="E46" s="67">
        <f t="shared" ref="E46:S46" ca="1" si="19">MAX(0,D46+E45-E44)</f>
        <v>0</v>
      </c>
      <c r="F46" s="67">
        <f t="shared" ca="1" si="19"/>
        <v>0</v>
      </c>
      <c r="G46" s="67">
        <f t="shared" ca="1" si="19"/>
        <v>900</v>
      </c>
      <c r="H46" s="67">
        <f t="shared" ca="1" si="19"/>
        <v>4023</v>
      </c>
      <c r="I46" s="67">
        <f t="shared" ca="1" si="19"/>
        <v>12685</v>
      </c>
      <c r="J46" s="67">
        <f t="shared" ca="1" si="19"/>
        <v>30657</v>
      </c>
      <c r="K46" s="67">
        <f t="shared" ca="1" si="19"/>
        <v>50253</v>
      </c>
      <c r="L46" s="67">
        <f ca="1">MAX(0,K46+L45-L44)</f>
        <v>60958</v>
      </c>
      <c r="M46" s="67">
        <f t="shared" ca="1" si="19"/>
        <v>74433</v>
      </c>
      <c r="N46" s="67">
        <f t="shared" ca="1" si="19"/>
        <v>90757</v>
      </c>
      <c r="O46" s="67">
        <f t="shared" ca="1" si="19"/>
        <v>111113</v>
      </c>
      <c r="P46" s="67">
        <f t="shared" ca="1" si="19"/>
        <v>137369</v>
      </c>
      <c r="Q46" s="67">
        <f t="shared" ca="1" si="19"/>
        <v>170423</v>
      </c>
      <c r="R46" s="67">
        <f t="shared" ca="1" si="19"/>
        <v>213683</v>
      </c>
      <c r="S46" s="67">
        <f t="shared" ca="1" si="19"/>
        <v>267516</v>
      </c>
    </row>
    <row r="47" spans="1:19" x14ac:dyDescent="0.2">
      <c r="A47" s="22" t="s">
        <v>953</v>
      </c>
      <c r="B47" s="8"/>
      <c r="C47" s="8"/>
      <c r="D47" s="67">
        <f ca="1">D45*D33</f>
        <v>0</v>
      </c>
      <c r="E47" s="67">
        <f t="shared" ref="E47:S47" ca="1" si="20">E45*E33</f>
        <v>0</v>
      </c>
      <c r="F47" s="67">
        <f t="shared" ca="1" si="20"/>
        <v>0</v>
      </c>
      <c r="G47" s="67">
        <f t="shared" ca="1" si="20"/>
        <v>188100</v>
      </c>
      <c r="H47" s="67">
        <f t="shared" ca="1" si="20"/>
        <v>662076</v>
      </c>
      <c r="I47" s="67">
        <f t="shared" ca="1" si="20"/>
        <v>1870992</v>
      </c>
      <c r="J47" s="67">
        <f t="shared" ca="1" si="20"/>
        <v>3935868</v>
      </c>
      <c r="K47" s="67">
        <f t="shared" ca="1" si="20"/>
        <v>4350312</v>
      </c>
      <c r="L47" s="67">
        <f t="shared" ca="1" si="20"/>
        <v>2622730</v>
      </c>
      <c r="M47" s="67">
        <f t="shared" ca="1" si="20"/>
        <v>3800942</v>
      </c>
      <c r="N47" s="67">
        <f t="shared" ca="1" si="20"/>
        <v>5821738</v>
      </c>
      <c r="O47" s="67">
        <f t="shared" ca="1" si="20"/>
        <v>9083736</v>
      </c>
      <c r="P47" s="67">
        <f t="shared" ca="1" si="20"/>
        <v>11004480</v>
      </c>
      <c r="Q47" s="67">
        <f t="shared" ca="1" si="20"/>
        <v>10896796</v>
      </c>
      <c r="R47" s="67">
        <f t="shared" ca="1" si="20"/>
        <v>14844784</v>
      </c>
      <c r="S47" s="67">
        <f t="shared" ca="1" si="20"/>
        <v>19862388</v>
      </c>
    </row>
    <row r="48" spans="1:19" x14ac:dyDescent="0.2">
      <c r="A48" s="22" t="s">
        <v>954</v>
      </c>
      <c r="B48" s="8"/>
      <c r="C48" s="8"/>
      <c r="D48" s="66">
        <f>D33*(D21/Assumptions!$B$95)*D23*Assumptions!$B$339*Assumptions!$B$334</f>
        <v>420480</v>
      </c>
      <c r="E48" s="66">
        <f>E33*(E21/Assumptions!$B$95)*E23*Assumptions!$B$339*Assumptions!$B$334</f>
        <v>574572.93767999997</v>
      </c>
      <c r="F48" s="66">
        <f>F33*(F21/Assumptions!$B$95)*F23*Assumptions!$B$339*Assumptions!$B$334</f>
        <v>758483.18165088014</v>
      </c>
      <c r="G48" s="66">
        <f>G33*(G21/Assumptions!$B$95)*G23*Assumptions!$B$339*Assumptions!$B$334</f>
        <v>976943.66855794622</v>
      </c>
      <c r="H48" s="66">
        <f>H33*(H21/Assumptions!$B$95)*H23*Assumptions!$B$339*Assumptions!$B$334</f>
        <v>1235365.8151966282</v>
      </c>
      <c r="I48" s="66">
        <f>I33*(I21/Assumptions!$B$95)*I23*Assumptions!$B$339*Assumptions!$B$334</f>
        <v>1547093.2651032831</v>
      </c>
      <c r="J48" s="66">
        <f>J33*(J21/Assumptions!$B$95)*J23*Assumptions!$B$339*Assumptions!$B$334</f>
        <v>1723870.1580477925</v>
      </c>
      <c r="K48" s="66">
        <f>K33*(K21/Assumptions!$B$95)*K23*Assumptions!$B$339*Assumptions!$B$334</f>
        <v>1920485.8147040377</v>
      </c>
      <c r="L48" s="66">
        <f>L33*(L21/Assumptions!$B$95)*L23*Assumptions!$B$339*Assumptions!$B$334</f>
        <v>2148642.9898256795</v>
      </c>
      <c r="M48" s="66">
        <f>M33*(M21/Assumptions!$B$95)*M23*Assumptions!$B$339*Assumptions!$B$334</f>
        <v>2392704.1145682232</v>
      </c>
      <c r="N48" s="66">
        <f>N33*(N21/Assumptions!$B$95)*N23*Assumptions!$B$339*Assumptions!$B$334</f>
        <v>2675513.3821185208</v>
      </c>
      <c r="O48" s="66">
        <f>O33*(O21/Assumptions!$B$95)*O23*Assumptions!$B$339*Assumptions!$B$334</f>
        <v>2990867.9916168936</v>
      </c>
      <c r="P48" s="66">
        <f>P33*(P21/Assumptions!$B$95)*P23*Assumptions!$B$339*Assumptions!$B$334</f>
        <v>3328571.0610500923</v>
      </c>
      <c r="Q48" s="66">
        <f>Q33*(Q21/Assumptions!$B$95)*Q23*Assumptions!$B$339*Assumptions!$B$334</f>
        <v>3719067.9226956191</v>
      </c>
      <c r="R48" s="66">
        <f>R33*(R21/Assumptions!$B$95)*R23*Assumptions!$B$339*Assumptions!$B$334</f>
        <v>4154259.8379776073</v>
      </c>
      <c r="S48" s="66">
        <f>S33*(S21/Assumptions!$B$95)*S23*Assumptions!$B$339*Assumptions!$B$334</f>
        <v>4639169.1677750889</v>
      </c>
    </row>
    <row r="49" spans="1:19" x14ac:dyDescent="0.2">
      <c r="A49" s="22" t="s">
        <v>955</v>
      </c>
      <c r="B49" s="8"/>
      <c r="C49" s="8"/>
      <c r="D49" s="60">
        <f ca="1">D48*D208/1000000*(Assumptions!$B$97/Assumptions!$B$98)</f>
        <v>1.0511999999999999</v>
      </c>
      <c r="E49" s="60">
        <f ca="1">E48*E208/1000000*(Assumptions!$B$97/Assumptions!$B$98)</f>
        <v>1.3646107269899996</v>
      </c>
      <c r="F49" s="60">
        <f ca="1">F48*F208/1000000*(Assumptions!$B$97/Assumptions!$B$98)</f>
        <v>1.711327678599798</v>
      </c>
      <c r="G49" s="60">
        <f ca="1">G48*G208/1000000*(Assumptions!$B$97/Assumptions!$B$98)</f>
        <v>2.094017694574672</v>
      </c>
      <c r="H49" s="60">
        <f ca="1">H48*H208/1000000*(Assumptions!$B$97/Assumptions!$B$98)</f>
        <v>2.5155329437849963</v>
      </c>
      <c r="I49" s="60">
        <f ca="1">I48*I208/1000000*(Assumptions!$B$97/Assumptions!$B$98)</f>
        <v>2.9927781926788857</v>
      </c>
      <c r="J49" s="60">
        <f ca="1">J48*J208/1000000*(Assumptions!$B$97/Assumptions!$B$98)</f>
        <v>3.1567473041960614</v>
      </c>
      <c r="K49" s="60">
        <f ca="1">K48*K208/1000000*(Assumptions!$B$97/Assumptions!$B$98)</f>
        <v>2.8093879286152004</v>
      </c>
      <c r="L49" s="60">
        <f ca="1">L48*L208/1000000*(Assumptions!$B$97/Assumptions!$B$98)</f>
        <v>3.0740826625502971</v>
      </c>
      <c r="M49" s="60">
        <f ca="1">M48*M208/1000000*(Assumptions!$B$97/Assumptions!$B$98)</f>
        <v>3.3158726038674509</v>
      </c>
      <c r="N49" s="60">
        <f ca="1">N48*N208/1000000*(Assumptions!$B$97/Assumptions!$B$98)</f>
        <v>3.5240036946395388</v>
      </c>
      <c r="O49" s="60">
        <f ca="1">O48*O208/1000000*(Assumptions!$B$97/Assumptions!$B$98)</f>
        <v>3.732952302062261</v>
      </c>
      <c r="P49" s="60">
        <f ca="1">P48*P208/1000000*(Assumptions!$B$97/Assumptions!$B$98)</f>
        <v>3.913608812149139</v>
      </c>
      <c r="Q49" s="60">
        <f ca="1">Q48*Q208/1000000*(Assumptions!$B$97/Assumptions!$B$98)</f>
        <v>4.157110687814547</v>
      </c>
      <c r="R49" s="60">
        <f ca="1">R48*R208/1000000*(Assumptions!$B$97/Assumptions!$B$98)</f>
        <v>4.4130715963507505</v>
      </c>
      <c r="S49" s="60">
        <f ca="1">S48*S208/1000000*(Assumptions!$B$97/Assumptions!$B$98)</f>
        <v>4.7099299999254391</v>
      </c>
    </row>
    <row r="50" spans="1:19" x14ac:dyDescent="0.2">
      <c r="A50" s="22" t="s">
        <v>956</v>
      </c>
      <c r="B50" s="8"/>
      <c r="C50" s="8"/>
      <c r="D50" s="66">
        <f ca="1">C50*(1-Assumptions!$B$352)*(C46/MAX(C46,1))+D45*D49</f>
        <v>0</v>
      </c>
      <c r="E50" s="66">
        <f ca="1">D50*(1-Assumptions!$B$352)*(D46/MAX(D46,1))+E45*E49</f>
        <v>0</v>
      </c>
      <c r="F50" s="66">
        <f ca="1">E50*(1-Assumptions!$B$352)*(E46/MAX(E46,1))+F45*F49</f>
        <v>0</v>
      </c>
      <c r="G50" s="66">
        <f ca="1">F50*(1-Assumptions!$B$352)*(F46/MAX(F46,1))+G45*G49</f>
        <v>1884.6159251172048</v>
      </c>
      <c r="H50" s="66">
        <f ca="1">G50*(1-Assumptions!$B$352)*(G46/MAX(G46,1))+H45*H49</f>
        <v>9571.0098752972008</v>
      </c>
      <c r="I50" s="66">
        <f ca="1">H50*(1-Assumptions!$B$352)*(H46/MAX(H46,1))+I45*I49</f>
        <v>34633.063691504962</v>
      </c>
      <c r="J50" s="66">
        <f ca="1">I50*(1-Assumptions!$B$352)*(I46/MAX(I46,1))+J45*J49</f>
        <v>88249.150510281135</v>
      </c>
      <c r="K50" s="66">
        <f ca="1">J50*(1-Assumptions!$B$352)*(J46/MAX(J46,1))+K45*K49</f>
        <v>135359.4928134993</v>
      </c>
      <c r="L50" s="66">
        <f ca="1">K50*(1-Assumptions!$B$352)*(K46/MAX(K46,1))+L45*L49</f>
        <v>158851.86775918055</v>
      </c>
      <c r="M50" s="66">
        <f ca="1">L50*(1-Assumptions!$B$352)*(L46/MAX(L46,1))+M45*M49</f>
        <v>199592.05313984625</v>
      </c>
      <c r="N50" s="66">
        <f ca="1">M50*(1-Assumptions!$B$352)*(M46/MAX(M46,1))+N45*N49</f>
        <v>269679.5246715236</v>
      </c>
      <c r="O50" s="66">
        <f ca="1">N50*(1-Assumptions!$B$352)*(N46/MAX(N46,1))+O45*O49</f>
        <v>388484.96328452881</v>
      </c>
      <c r="P50" s="66">
        <f ca="1">O50*(1-Assumptions!$B$352)*(O46/MAX(O46,1))+P45*P49</f>
        <v>532968.10784358357</v>
      </c>
      <c r="Q50" s="66">
        <f ca="1">P50*(1-Assumptions!$B$352)*(P46/MAX(P46,1))+Q45*Q49</f>
        <v>670653.38434477092</v>
      </c>
      <c r="R50" s="66">
        <f ca="1">Q50*(1-Assumptions!$B$352)*(Q46/MAX(Q46,1))+R45*R49</f>
        <v>874452.21936810471</v>
      </c>
      <c r="S50" s="66">
        <f ca="1">R50*(1-Assumptions!$B$352)*(R46/MAX(R46,1))+S45*S49</f>
        <v>1166983.4922890984</v>
      </c>
    </row>
    <row r="51" spans="1:19" x14ac:dyDescent="0.2">
      <c r="A51" s="22" t="s">
        <v>957</v>
      </c>
      <c r="B51" s="8"/>
      <c r="C51" s="8"/>
      <c r="D51" s="97">
        <f ca="1">D145</f>
        <v>0</v>
      </c>
      <c r="E51" s="97">
        <f t="shared" ref="E51:S51" ca="1" si="21">E145</f>
        <v>8.1651306246961181E-2</v>
      </c>
      <c r="F51" s="97">
        <f t="shared" ca="1" si="21"/>
        <v>4.502715153349951E-2</v>
      </c>
      <c r="G51" s="97">
        <f t="shared" ca="1" si="21"/>
        <v>5.396310427284956E-2</v>
      </c>
      <c r="H51" s="97">
        <f t="shared" ca="1" si="21"/>
        <v>4.6472536205250305E-2</v>
      </c>
      <c r="I51" s="97">
        <f t="shared" ca="1" si="21"/>
        <v>2.8658575023372716E-2</v>
      </c>
      <c r="J51" s="97">
        <f t="shared" ca="1" si="21"/>
        <v>1.9963827297880658E-2</v>
      </c>
      <c r="K51" s="97">
        <f t="shared" ca="1" si="21"/>
        <v>1.8515722919174679E-2</v>
      </c>
      <c r="L51" s="97">
        <f t="shared" ca="1" si="21"/>
        <v>2.4442872170382979E-2</v>
      </c>
      <c r="M51" s="97">
        <f t="shared" ca="1" si="21"/>
        <v>3.2213105749729708E-2</v>
      </c>
      <c r="N51" s="97">
        <f t="shared" ca="1" si="21"/>
        <v>4.1657608430483072E-2</v>
      </c>
      <c r="O51" s="97">
        <f t="shared" ca="1" si="21"/>
        <v>5.4174666594110681E-2</v>
      </c>
      <c r="P51" s="97">
        <f t="shared" ca="1" si="21"/>
        <v>7.0327853088011941E-2</v>
      </c>
      <c r="Q51" s="97">
        <f t="shared" ca="1" si="21"/>
        <v>9.3163881767232407E-2</v>
      </c>
      <c r="R51" s="97">
        <f t="shared" ca="1" si="21"/>
        <v>0.12349699319383167</v>
      </c>
      <c r="S51" s="97">
        <f t="shared" ca="1" si="21"/>
        <v>0.16468816657552643</v>
      </c>
    </row>
    <row r="52" spans="1:19" x14ac:dyDescent="0.2">
      <c r="A52" s="22" t="s">
        <v>958</v>
      </c>
      <c r="B52" s="8"/>
      <c r="C52" s="8"/>
      <c r="D52" s="67">
        <f ca="1">IFERROR(D45/D35,0)*D29</f>
        <v>0</v>
      </c>
      <c r="E52" s="67">
        <f t="shared" ref="E52:S52" ca="1" si="22">IFERROR(E45/E35,0)*E29</f>
        <v>0</v>
      </c>
      <c r="F52" s="67">
        <f t="shared" ca="1" si="22"/>
        <v>0</v>
      </c>
      <c r="G52" s="67">
        <f ca="1">IFERROR(G45/G35,0)*G29</f>
        <v>119.64502483960905</v>
      </c>
      <c r="H52" s="67">
        <f t="shared" ca="1" si="22"/>
        <v>306.343200171592</v>
      </c>
      <c r="I52" s="67">
        <f t="shared" ca="1" si="22"/>
        <v>663.57171649245231</v>
      </c>
      <c r="J52" s="67">
        <f t="shared" ca="1" si="22"/>
        <v>1239.0124429678369</v>
      </c>
      <c r="K52" s="67">
        <f t="shared" ca="1" si="22"/>
        <v>1237.4088184175432</v>
      </c>
      <c r="L52" s="67">
        <f t="shared" ca="1" si="22"/>
        <v>676.62593469676744</v>
      </c>
      <c r="M52" s="67">
        <f t="shared" ca="1" si="22"/>
        <v>926.99136199328336</v>
      </c>
      <c r="N52" s="67">
        <f t="shared" ca="1" si="22"/>
        <v>1324.9967804017581</v>
      </c>
      <c r="O52" s="67">
        <f t="shared" ca="1" si="22"/>
        <v>1933.0346854898401</v>
      </c>
      <c r="P52" s="67">
        <f t="shared" ca="1" si="22"/>
        <v>2232.8637358635237</v>
      </c>
      <c r="Q52" s="67">
        <f t="shared" ca="1" si="22"/>
        <v>2097.8617937938488</v>
      </c>
      <c r="R52" s="67">
        <f t="shared" ca="1" si="22"/>
        <v>2690.2273612711365</v>
      </c>
      <c r="S52" s="67">
        <f t="shared" ca="1" si="22"/>
        <v>3394.499860689637</v>
      </c>
    </row>
    <row r="53" spans="1:19" x14ac:dyDescent="0.2">
      <c r="A53" s="22" t="s">
        <v>959</v>
      </c>
      <c r="B53" s="8"/>
      <c r="C53" s="8"/>
      <c r="D53" s="74">
        <f ca="1">D46*Assumptions!$B$336/1000000*D23*Assumptions!$B$334</f>
        <v>0</v>
      </c>
      <c r="E53" s="74">
        <f ca="1">E46*Assumptions!$B$336/1000000*E23*Assumptions!$B$334</f>
        <v>0</v>
      </c>
      <c r="F53" s="74">
        <f ca="1">F46*Assumptions!$B$336/1000000*F23*Assumptions!$B$334</f>
        <v>0</v>
      </c>
      <c r="G53" s="74">
        <f ca="1">G46*Assumptions!$B$336/1000000*G23*Assumptions!$B$334</f>
        <v>739.51920000000007</v>
      </c>
      <c r="H53" s="74">
        <f ca="1">H46*Assumptions!$B$336/1000000*H23*Assumptions!$B$334</f>
        <v>3749.6934720000008</v>
      </c>
      <c r="I53" s="74">
        <f ca="1">I46*Assumptions!$B$336/1000000*I23*Assumptions!$B$334</f>
        <v>13223.3514</v>
      </c>
      <c r="J53" s="74">
        <f ca="1">J46*Assumptions!$B$336/1000000*J23*Assumptions!$B$334</f>
        <v>31958.083079999997</v>
      </c>
      <c r="K53" s="74">
        <f ca="1">K46*Assumptions!$B$336/1000000*K23*Assumptions!$B$334</f>
        <v>52385.73732</v>
      </c>
      <c r="L53" s="74">
        <f ca="1">L46*Assumptions!$B$336/1000000*L23*Assumptions!$B$334</f>
        <v>63545.057520000002</v>
      </c>
      <c r="M53" s="74">
        <f ca="1">M46*Assumptions!$B$336/1000000*M23*Assumptions!$B$334</f>
        <v>77591.936519999988</v>
      </c>
      <c r="N53" s="74">
        <f ca="1">N46*Assumptions!$B$336/1000000*N23*Assumptions!$B$334</f>
        <v>94608.727080000011</v>
      </c>
      <c r="O53" s="74">
        <f ca="1">O46*Assumptions!$B$336/1000000*O23*Assumptions!$B$334</f>
        <v>115828.63572000001</v>
      </c>
      <c r="P53" s="74">
        <f ca="1">P46*Assumptions!$B$336/1000000*P23*Assumptions!$B$334</f>
        <v>143198.94036000001</v>
      </c>
      <c r="Q53" s="74">
        <f ca="1">Q46*Assumptions!$B$336/1000000*Q23*Assumptions!$B$334</f>
        <v>177655.75211999999</v>
      </c>
      <c r="R53" s="74">
        <f ca="1">R46*Assumptions!$B$336/1000000*R23*Assumptions!$B$334</f>
        <v>222751.70652000001</v>
      </c>
      <c r="S53" s="74">
        <f ca="1">S46*Assumptions!$B$336/1000000*S23*Assumptions!$B$334</f>
        <v>278869.37904000003</v>
      </c>
    </row>
    <row r="54" spans="1:19" x14ac:dyDescent="0.2">
      <c r="A54" s="22" t="s">
        <v>960</v>
      </c>
      <c r="B54" s="8"/>
      <c r="C54" s="8"/>
      <c r="D54" s="66">
        <f ca="1">D53*Assumptions!$B$356</f>
        <v>0</v>
      </c>
      <c r="E54" s="66">
        <f ca="1">E53*Assumptions!$B$356</f>
        <v>0</v>
      </c>
      <c r="F54" s="66">
        <f ca="1">F53*Assumptions!$B$356</f>
        <v>0</v>
      </c>
      <c r="G54" s="66">
        <f ca="1">G53*Assumptions!$B$356</f>
        <v>36.975960000000008</v>
      </c>
      <c r="H54" s="66">
        <f ca="1">H53*Assumptions!$B$356</f>
        <v>187.48467360000006</v>
      </c>
      <c r="I54" s="66">
        <f ca="1">I53*Assumptions!$B$356</f>
        <v>661.16757000000007</v>
      </c>
      <c r="J54" s="66">
        <f ca="1">J53*Assumptions!$B$356</f>
        <v>1597.9041539999998</v>
      </c>
      <c r="K54" s="66">
        <f ca="1">K53*Assumptions!$B$356</f>
        <v>2619.2868660000004</v>
      </c>
      <c r="L54" s="66">
        <f ca="1">L53*Assumptions!$B$356</f>
        <v>3177.2528760000005</v>
      </c>
      <c r="M54" s="66">
        <f ca="1">M53*Assumptions!$B$356</f>
        <v>3879.5968259999995</v>
      </c>
      <c r="N54" s="66">
        <f ca="1">N53*Assumptions!$B$356</f>
        <v>4730.4363540000004</v>
      </c>
      <c r="O54" s="66">
        <f ca="1">O53*Assumptions!$B$356</f>
        <v>5791.431786000001</v>
      </c>
      <c r="P54" s="66">
        <f ca="1">P53*Assumptions!$B$356</f>
        <v>7159.9470180000008</v>
      </c>
      <c r="Q54" s="66">
        <f ca="1">Q53*Assumptions!$B$356</f>
        <v>8882.7876059999999</v>
      </c>
      <c r="R54" s="66">
        <f ca="1">R53*Assumptions!$B$356</f>
        <v>11137.585326</v>
      </c>
      <c r="S54" s="66">
        <f ca="1">S53*Assumptions!$B$356</f>
        <v>13943.468952000003</v>
      </c>
    </row>
    <row r="55" spans="1:19" x14ac:dyDescent="0.2">
      <c r="A55" s="22" t="s">
        <v>961</v>
      </c>
      <c r="B55" s="8"/>
      <c r="C55" s="8"/>
      <c r="D55" s="66">
        <f ca="1">(D54*Assumptions!$B$357*Assumptions!$B$358+D54*(1-Assumptions!$B$357)*Assumptions!$B$359)/1000000</f>
        <v>0</v>
      </c>
      <c r="E55" s="66">
        <f ca="1">(E54*Assumptions!$B$357*Assumptions!$B$358+E54*(1-Assumptions!$B$357)*Assumptions!$B$359)/1000000</f>
        <v>0</v>
      </c>
      <c r="F55" s="66">
        <f ca="1">(F54*Assumptions!$B$357*Assumptions!$B$358+F54*(1-Assumptions!$B$357)*Assumptions!$B$359)/1000000</f>
        <v>0</v>
      </c>
      <c r="G55" s="66">
        <f ca="1">(G54*Assumptions!$B$357*Assumptions!$B$358+G54*(1-Assumptions!$B$357)*Assumptions!$B$359)/1000000</f>
        <v>1.8487980000000004</v>
      </c>
      <c r="H55" s="66">
        <f ca="1">(H54*Assumptions!$B$357*Assumptions!$B$358+H54*(1-Assumptions!$B$357)*Assumptions!$B$359)/1000000</f>
        <v>9.3742336800000032</v>
      </c>
      <c r="I55" s="66">
        <f ca="1">(I54*Assumptions!$B$357*Assumptions!$B$358+I54*(1-Assumptions!$B$357)*Assumptions!$B$359)/1000000</f>
        <v>33.058378500000003</v>
      </c>
      <c r="J55" s="66">
        <f ca="1">(J54*Assumptions!$B$357*Assumptions!$B$358+J54*(1-Assumptions!$B$357)*Assumptions!$B$359)/1000000</f>
        <v>79.895207699999986</v>
      </c>
      <c r="K55" s="66">
        <f ca="1">(K54*Assumptions!$B$357*Assumptions!$B$358+K54*(1-Assumptions!$B$357)*Assumptions!$B$359)/1000000</f>
        <v>130.96434330000002</v>
      </c>
      <c r="L55" s="66">
        <f ca="1">(L54*Assumptions!$B$357*Assumptions!$B$358+L54*(1-Assumptions!$B$357)*Assumptions!$B$359)/1000000</f>
        <v>158.8626438</v>
      </c>
      <c r="M55" s="66">
        <f ca="1">(M54*Assumptions!$B$357*Assumptions!$B$358+M54*(1-Assumptions!$B$357)*Assumptions!$B$359)/1000000</f>
        <v>193.97984129999998</v>
      </c>
      <c r="N55" s="66">
        <f ca="1">(N54*Assumptions!$B$357*Assumptions!$B$358+N54*(1-Assumptions!$B$357)*Assumptions!$B$359)/1000000</f>
        <v>236.52181770000001</v>
      </c>
      <c r="O55" s="66">
        <f ca="1">(O54*Assumptions!$B$357*Assumptions!$B$358+O54*(1-Assumptions!$B$357)*Assumptions!$B$359)/1000000</f>
        <v>289.57158930000008</v>
      </c>
      <c r="P55" s="66">
        <f ca="1">(P54*Assumptions!$B$357*Assumptions!$B$358+P54*(1-Assumptions!$B$357)*Assumptions!$B$359)/1000000</f>
        <v>357.99735090000001</v>
      </c>
      <c r="Q55" s="66">
        <f ca="1">(Q54*Assumptions!$B$357*Assumptions!$B$358+Q54*(1-Assumptions!$B$357)*Assumptions!$B$359)/1000000</f>
        <v>444.13938030000003</v>
      </c>
      <c r="R55" s="66">
        <f ca="1">(R54*Assumptions!$B$357*Assumptions!$B$358+R54*(1-Assumptions!$B$357)*Assumptions!$B$359)/1000000</f>
        <v>556.87926630000004</v>
      </c>
      <c r="S55" s="66">
        <f ca="1">(S54*Assumptions!$B$357*Assumptions!$B$358+S54*(1-Assumptions!$B$357)*Assumptions!$B$359)/1000000</f>
        <v>697.17344760000015</v>
      </c>
    </row>
    <row r="56" spans="1:19" x14ac:dyDescent="0.2">
      <c r="A56" s="22" t="s">
        <v>962</v>
      </c>
      <c r="B56" s="8"/>
      <c r="C56" s="8"/>
      <c r="D56" s="66">
        <f ca="1">D50*Assumptions!$B$360</f>
        <v>0</v>
      </c>
      <c r="E56" s="66">
        <f ca="1">E50*Assumptions!$B$360</f>
        <v>0</v>
      </c>
      <c r="F56" s="66">
        <f ca="1">F50*Assumptions!$B$360</f>
        <v>0</v>
      </c>
      <c r="G56" s="66">
        <f ca="1">G50*Assumptions!$B$360</f>
        <v>37.692318502344101</v>
      </c>
      <c r="H56" s="66">
        <f ca="1">H50*Assumptions!$B$360</f>
        <v>191.42019750594403</v>
      </c>
      <c r="I56" s="66">
        <f ca="1">I50*Assumptions!$B$360</f>
        <v>692.66127383009928</v>
      </c>
      <c r="J56" s="66">
        <f ca="1">J50*Assumptions!$B$360</f>
        <v>1764.9830102056228</v>
      </c>
      <c r="K56" s="66">
        <f ca="1">K50*Assumptions!$B$360</f>
        <v>2707.1898562699857</v>
      </c>
      <c r="L56" s="66">
        <f ca="1">L50*Assumptions!$B$360</f>
        <v>3177.037355183611</v>
      </c>
      <c r="M56" s="66">
        <f ca="1">M50*Assumptions!$B$360</f>
        <v>3991.8410627969251</v>
      </c>
      <c r="N56" s="66">
        <f ca="1">N50*Assumptions!$B$360</f>
        <v>5393.5904934304717</v>
      </c>
      <c r="O56" s="66">
        <f ca="1">O50*Assumptions!$B$360</f>
        <v>7769.6992656905768</v>
      </c>
      <c r="P56" s="66">
        <f ca="1">P50*Assumptions!$B$360</f>
        <v>10659.362156871672</v>
      </c>
      <c r="Q56" s="66">
        <f ca="1">Q50*Assumptions!$B$360</f>
        <v>13413.067686895418</v>
      </c>
      <c r="R56" s="66">
        <f ca="1">R50*Assumptions!$B$360</f>
        <v>17489.044387362093</v>
      </c>
      <c r="S56" s="66">
        <f ca="1">S50*Assumptions!$B$360</f>
        <v>23339.669845781969</v>
      </c>
    </row>
    <row r="57" spans="1:19" x14ac:dyDescent="0.2">
      <c r="A57" s="22" t="s">
        <v>963</v>
      </c>
      <c r="B57" s="8"/>
      <c r="C57" s="8"/>
      <c r="D57" s="92">
        <f>MAX(Assumptions!$B$373,Assumptions!$B$372*(1+Assumptions!$B$374)^D$5)*(1+IF(OR(D21&gt;C21,E21&gt;D21),Assumptions!$B$354,0))</f>
        <v>0.42</v>
      </c>
      <c r="E57" s="92">
        <f>MAX(Assumptions!$B$373,Assumptions!$B$372*(1+Assumptions!$B$374)^E$5)*(1+IF(OR(E21&gt;D21,F21&gt;E21),Assumptions!$B$354,0))</f>
        <v>0.35699999999999998</v>
      </c>
      <c r="F57" s="92">
        <f>MAX(Assumptions!$B$373,Assumptions!$B$372*(1+Assumptions!$B$374)^F$5)*(1+IF(OR(F21&gt;E21,G21&gt;F21),Assumptions!$B$354,0))</f>
        <v>0.30344999999999994</v>
      </c>
      <c r="G57" s="92">
        <f>MAX(Assumptions!$B$373,Assumptions!$B$372*(1+Assumptions!$B$374)^G$5)*(1+IF(OR(G21&gt;F21,H21&gt;G21),Assumptions!$B$354,0))</f>
        <v>0.25793249999999995</v>
      </c>
      <c r="H57" s="92">
        <f>MAX(Assumptions!$B$373,Assumptions!$B$372*(1+Assumptions!$B$374)^H$5)*(1+IF(OR(H21&gt;G21,I21&gt;H21),Assumptions!$B$354,0))</f>
        <v>0.21924262499999994</v>
      </c>
      <c r="I57" s="92">
        <f>MAX(Assumptions!$B$373,Assumptions!$B$372*(1+Assumptions!$B$374)^I$5)*(1+IF(OR(I21&gt;H21,J21&gt;I21),Assumptions!$B$354,0))</f>
        <v>0.18635623124999992</v>
      </c>
      <c r="J57" s="92">
        <f>MAX(Assumptions!$B$373,Assumptions!$B$372*(1+Assumptions!$B$374)^J$5)*(1+IF(OR(J21&gt;I21,K21&gt;J21),Assumptions!$B$354,0))</f>
        <v>0.15840279656249995</v>
      </c>
      <c r="K57" s="92">
        <f>MAX(Assumptions!$B$373,Assumptions!$B$372*(1+Assumptions!$B$374)^K$5)*(1+IF(OR(K21&gt;J21,L21&gt;K21),Assumptions!$B$354,0))</f>
        <v>0.13464237707812493</v>
      </c>
      <c r="L57" s="92">
        <f>MAX(Assumptions!$B$373,Assumptions!$B$372*(1+Assumptions!$B$374)^L$5)*(1+IF(OR(L21&gt;K21,M21&gt;L21),Assumptions!$B$354,0))</f>
        <v>0.1144460205164062</v>
      </c>
      <c r="M57" s="92">
        <f>MAX(Assumptions!$B$373,Assumptions!$B$372*(1+Assumptions!$B$374)^M$5)*(1+IF(OR(M21&gt;L21,N21&gt;M21),Assumptions!$B$354,0))</f>
        <v>0.11199999999999999</v>
      </c>
      <c r="N57" s="92">
        <f>MAX(Assumptions!$B$373,Assumptions!$B$372*(1+Assumptions!$B$374)^N$5)*(1+IF(OR(N21&gt;M21,O21&gt;N21),Assumptions!$B$354,0))</f>
        <v>0.11199999999999999</v>
      </c>
      <c r="O57" s="92">
        <f>MAX(Assumptions!$B$373,Assumptions!$B$372*(1+Assumptions!$B$374)^O$5)*(1+IF(OR(O21&gt;N21,P21&gt;O21),Assumptions!$B$354,0))</f>
        <v>0.11199999999999999</v>
      </c>
      <c r="P57" s="92">
        <f>MAX(Assumptions!$B$373,Assumptions!$B$372*(1+Assumptions!$B$374)^P$5)*(1+IF(OR(P21&gt;O21,Q21&gt;P21),Assumptions!$B$354,0))</f>
        <v>0.11199999999999999</v>
      </c>
      <c r="Q57" s="92">
        <f>MAX(Assumptions!$B$373,Assumptions!$B$372*(1+Assumptions!$B$374)^Q$5)*(1+IF(OR(Q21&gt;P21,R21&gt;Q21),Assumptions!$B$354,0))</f>
        <v>0.11199999999999999</v>
      </c>
      <c r="R57" s="92">
        <f>MAX(Assumptions!$B$373,Assumptions!$B$372*(1+Assumptions!$B$374)^R$5)*(1+IF(OR(R21&gt;Q21,S21&gt;R21),Assumptions!$B$354,0))</f>
        <v>0.11199999999999999</v>
      </c>
      <c r="S57" s="92">
        <f>MAX(Assumptions!$B$373,Assumptions!$B$372*(1+Assumptions!$B$374)^S$5)*(1+IF(S21&gt;R21,Assumptions!$B$354,0))</f>
        <v>0.11199999999999999</v>
      </c>
    </row>
    <row r="58" spans="1:19" x14ac:dyDescent="0.2">
      <c r="A58" s="22" t="s">
        <v>964</v>
      </c>
      <c r="B58" s="8"/>
      <c r="C58" s="8"/>
      <c r="D58" s="67">
        <f ca="1">D45*D39/1000000</f>
        <v>0</v>
      </c>
      <c r="E58" s="67">
        <f t="shared" ref="E58:S58" ca="1" si="23">E45*E39/1000000</f>
        <v>0</v>
      </c>
      <c r="F58" s="67">
        <f t="shared" ca="1" si="23"/>
        <v>0</v>
      </c>
      <c r="G58" s="67">
        <f t="shared" ca="1" si="23"/>
        <v>1518.0902302267564</v>
      </c>
      <c r="H58" s="67">
        <f t="shared" ca="1" si="23"/>
        <v>4991.5250284637841</v>
      </c>
      <c r="I58" s="67">
        <f t="shared" ca="1" si="23"/>
        <v>13176.921437154126</v>
      </c>
      <c r="J58" s="67">
        <f t="shared" ca="1" si="23"/>
        <v>25894.001508613506</v>
      </c>
      <c r="K58" s="67">
        <f t="shared" ca="1" si="23"/>
        <v>26735.952907048977</v>
      </c>
      <c r="L58" s="67">
        <f t="shared" ca="1" si="23"/>
        <v>15057.24317821068</v>
      </c>
      <c r="M58" s="67">
        <f t="shared" ca="1" si="23"/>
        <v>20384.484879669799</v>
      </c>
      <c r="N58" s="67">
        <f t="shared" ca="1" si="23"/>
        <v>29166.06057352728</v>
      </c>
      <c r="O58" s="67">
        <f t="shared" ca="1" si="23"/>
        <v>42511.481364849547</v>
      </c>
      <c r="P58" s="67">
        <f t="shared" ca="1" si="23"/>
        <v>48109.171567308469</v>
      </c>
      <c r="Q58" s="67">
        <f t="shared" ca="1" si="23"/>
        <v>44501.412061682146</v>
      </c>
      <c r="R58" s="67">
        <f t="shared" ca="1" si="23"/>
        <v>56632.465886723447</v>
      </c>
      <c r="S58" s="67">
        <f t="shared" ca="1" si="23"/>
        <v>70784.744495111925</v>
      </c>
    </row>
    <row r="59" spans="1:19" x14ac:dyDescent="0.2">
      <c r="A59" s="22" t="s">
        <v>965</v>
      </c>
      <c r="B59" s="8"/>
      <c r="C59" s="8"/>
      <c r="D59" s="67">
        <f ca="1">D32*D26</f>
        <v>29529658.519656353</v>
      </c>
      <c r="E59" s="67">
        <f t="shared" ref="E59:S59" ca="1" si="24">E32*E26</f>
        <v>34238621.88016355</v>
      </c>
      <c r="F59" s="67">
        <f t="shared" ca="1" si="24"/>
        <v>39852469.651219949</v>
      </c>
      <c r="G59" s="67">
        <f t="shared" ca="1" si="24"/>
        <v>46524700.852636851</v>
      </c>
      <c r="H59" s="67">
        <f t="shared" ca="1" si="24"/>
        <v>52708765.684171535</v>
      </c>
      <c r="I59" s="67">
        <f t="shared" ca="1" si="24"/>
        <v>56035609.797379062</v>
      </c>
      <c r="J59" s="67">
        <f t="shared" ca="1" si="24"/>
        <v>51841608.420705393</v>
      </c>
      <c r="K59" s="67">
        <f t="shared" ca="1" si="24"/>
        <v>34413132.281835474</v>
      </c>
      <c r="L59" s="67">
        <f t="shared" ca="1" si="24"/>
        <v>19775941.981744822</v>
      </c>
      <c r="M59" s="67">
        <f t="shared" ca="1" si="24"/>
        <v>27461483.779545944</v>
      </c>
      <c r="N59" s="67">
        <f t="shared" ca="1" si="24"/>
        <v>40153395.130894676</v>
      </c>
      <c r="O59" s="67">
        <f t="shared" ca="1" si="24"/>
        <v>59845097.018292136</v>
      </c>
      <c r="P59" s="67">
        <f t="shared" ca="1" si="24"/>
        <v>69573236.701858833</v>
      </c>
      <c r="Q59" s="67">
        <f t="shared" ca="1" si="24"/>
        <v>65858110.445280403</v>
      </c>
      <c r="R59" s="67">
        <f t="shared" ca="1" si="24"/>
        <v>85792229.887695849</v>
      </c>
      <c r="S59" s="67">
        <f t="shared" ca="1" si="24"/>
        <v>115782749.06411515</v>
      </c>
    </row>
    <row r="60" spans="1:19" x14ac:dyDescent="0.2">
      <c r="A60" s="22" t="s">
        <v>966</v>
      </c>
      <c r="B60" s="8"/>
      <c r="C60" s="8"/>
      <c r="D60" s="67">
        <f ca="1">D50*(1-D51)</f>
        <v>0</v>
      </c>
      <c r="E60" s="67">
        <f t="shared" ref="E60:S60" ca="1" si="25">E50*(1-E51)</f>
        <v>0</v>
      </c>
      <c r="F60" s="67">
        <f t="shared" ca="1" si="25"/>
        <v>0</v>
      </c>
      <c r="G60" s="67">
        <f t="shared" ca="1" si="25"/>
        <v>1782.9161994358324</v>
      </c>
      <c r="H60" s="67">
        <f t="shared" ca="1" si="25"/>
        <v>9126.2207723466436</v>
      </c>
      <c r="I60" s="67">
        <f t="shared" ca="1" si="25"/>
        <v>33640.529437412719</v>
      </c>
      <c r="J60" s="67">
        <f t="shared" ca="1" si="25"/>
        <v>86487.359710309203</v>
      </c>
      <c r="K60" s="67">
        <f t="shared" ca="1" si="25"/>
        <v>132853.21395008452</v>
      </c>
      <c r="L60" s="67">
        <f t="shared" ca="1" si="25"/>
        <v>154969.07186151631</v>
      </c>
      <c r="M60" s="67">
        <f t="shared" ca="1" si="25"/>
        <v>193162.57322524671</v>
      </c>
      <c r="N60" s="67">
        <f t="shared" ca="1" si="25"/>
        <v>258445.32063103848</v>
      </c>
      <c r="O60" s="67">
        <f t="shared" ca="1" si="25"/>
        <v>367438.91992176417</v>
      </c>
      <c r="P60" s="67">
        <f t="shared" ca="1" si="25"/>
        <v>495485.60505456431</v>
      </c>
      <c r="Q60" s="67">
        <f t="shared" ca="1" si="25"/>
        <v>608172.71173888037</v>
      </c>
      <c r="R60" s="67">
        <f t="shared" ca="1" si="25"/>
        <v>766459.99958447088</v>
      </c>
      <c r="S60" s="67">
        <f t="shared" ca="1" si="25"/>
        <v>974795.12052010186</v>
      </c>
    </row>
    <row r="61" spans="1:19" x14ac:dyDescent="0.2">
      <c r="A61" s="22" t="s">
        <v>967</v>
      </c>
      <c r="B61" s="8"/>
      <c r="C61" s="8"/>
      <c r="D61" s="67">
        <f ca="1">SUM(D62:D64)</f>
        <v>0</v>
      </c>
      <c r="E61" s="67">
        <f t="shared" ref="E61:S61" ca="1" si="26">SUM(E62:E64)</f>
        <v>0</v>
      </c>
      <c r="F61" s="67">
        <f t="shared" ca="1" si="26"/>
        <v>0</v>
      </c>
      <c r="G61" s="67">
        <f t="shared" ca="1" si="26"/>
        <v>159.18614134195315</v>
      </c>
      <c r="H61" s="67">
        <f t="shared" ca="1" si="26"/>
        <v>507.13763135753601</v>
      </c>
      <c r="I61" s="67">
        <f t="shared" ca="1" si="26"/>
        <v>1389.2913688225517</v>
      </c>
      <c r="J61" s="67">
        <f t="shared" ca="1" si="26"/>
        <v>3083.8906608734596</v>
      </c>
      <c r="K61" s="67">
        <f t="shared" ca="1" si="26"/>
        <v>4075.5630179875288</v>
      </c>
      <c r="L61" s="67">
        <f t="shared" ca="1" si="26"/>
        <v>4012.5259336803783</v>
      </c>
      <c r="M61" s="67">
        <f t="shared" ca="1" si="26"/>
        <v>5112.8122660902081</v>
      </c>
      <c r="N61" s="67">
        <f t="shared" ca="1" si="26"/>
        <v>6955.1090915322293</v>
      </c>
      <c r="O61" s="67">
        <f t="shared" ca="1" si="26"/>
        <v>9992.3055404804163</v>
      </c>
      <c r="P61" s="67">
        <f t="shared" ca="1" si="26"/>
        <v>13250.223243635195</v>
      </c>
      <c r="Q61" s="67">
        <f t="shared" ca="1" si="26"/>
        <v>15955.068860989268</v>
      </c>
      <c r="R61" s="67">
        <f t="shared" ca="1" si="26"/>
        <v>20736.151014933232</v>
      </c>
      <c r="S61" s="67">
        <f t="shared" ca="1" si="26"/>
        <v>27431.343154071605</v>
      </c>
    </row>
    <row r="62" spans="1:19" x14ac:dyDescent="0.2">
      <c r="A62" s="22" t="s">
        <v>968</v>
      </c>
      <c r="B62" s="8"/>
      <c r="C62" s="8"/>
      <c r="D62" s="67">
        <f ca="1">D52</f>
        <v>0</v>
      </c>
      <c r="E62" s="67">
        <f t="shared" ref="E62:S62" ca="1" si="27">E52</f>
        <v>0</v>
      </c>
      <c r="F62" s="67">
        <f t="shared" ca="1" si="27"/>
        <v>0</v>
      </c>
      <c r="G62" s="67">
        <f t="shared" ca="1" si="27"/>
        <v>119.64502483960905</v>
      </c>
      <c r="H62" s="67">
        <f t="shared" ca="1" si="27"/>
        <v>306.343200171592</v>
      </c>
      <c r="I62" s="67">
        <f t="shared" ca="1" si="27"/>
        <v>663.57171649245231</v>
      </c>
      <c r="J62" s="67">
        <f t="shared" ca="1" si="27"/>
        <v>1239.0124429678369</v>
      </c>
      <c r="K62" s="67">
        <f t="shared" ca="1" si="27"/>
        <v>1237.4088184175432</v>
      </c>
      <c r="L62" s="67">
        <f t="shared" ca="1" si="27"/>
        <v>676.62593469676744</v>
      </c>
      <c r="M62" s="67">
        <f t="shared" ca="1" si="27"/>
        <v>926.99136199328336</v>
      </c>
      <c r="N62" s="67">
        <f t="shared" ca="1" si="27"/>
        <v>1324.9967804017581</v>
      </c>
      <c r="O62" s="67">
        <f t="shared" ca="1" si="27"/>
        <v>1933.0346854898401</v>
      </c>
      <c r="P62" s="67">
        <f t="shared" ca="1" si="27"/>
        <v>2232.8637358635237</v>
      </c>
      <c r="Q62" s="67">
        <f t="shared" ca="1" si="27"/>
        <v>2097.8617937938488</v>
      </c>
      <c r="R62" s="67">
        <f t="shared" ca="1" si="27"/>
        <v>2690.2273612711365</v>
      </c>
      <c r="S62" s="67">
        <f t="shared" ca="1" si="27"/>
        <v>3394.499860689637</v>
      </c>
    </row>
    <row r="63" spans="1:19" x14ac:dyDescent="0.2">
      <c r="A63" s="22" t="s">
        <v>969</v>
      </c>
      <c r="B63" s="8"/>
      <c r="C63" s="8"/>
      <c r="D63" s="67">
        <f ca="1">D55</f>
        <v>0</v>
      </c>
      <c r="E63" s="67">
        <f t="shared" ref="E63:S63" ca="1" si="28">E55</f>
        <v>0</v>
      </c>
      <c r="F63" s="67">
        <f t="shared" ca="1" si="28"/>
        <v>0</v>
      </c>
      <c r="G63" s="67">
        <f t="shared" ca="1" si="28"/>
        <v>1.8487980000000004</v>
      </c>
      <c r="H63" s="67">
        <f t="shared" ca="1" si="28"/>
        <v>9.3742336800000032</v>
      </c>
      <c r="I63" s="67">
        <f t="shared" ca="1" si="28"/>
        <v>33.058378500000003</v>
      </c>
      <c r="J63" s="67">
        <f t="shared" ca="1" si="28"/>
        <v>79.895207699999986</v>
      </c>
      <c r="K63" s="67">
        <f t="shared" ca="1" si="28"/>
        <v>130.96434330000002</v>
      </c>
      <c r="L63" s="67">
        <f t="shared" ca="1" si="28"/>
        <v>158.8626438</v>
      </c>
      <c r="M63" s="67">
        <f t="shared" ca="1" si="28"/>
        <v>193.97984129999998</v>
      </c>
      <c r="N63" s="67">
        <f t="shared" ca="1" si="28"/>
        <v>236.52181770000001</v>
      </c>
      <c r="O63" s="67">
        <f t="shared" ca="1" si="28"/>
        <v>289.57158930000008</v>
      </c>
      <c r="P63" s="67">
        <f t="shared" ca="1" si="28"/>
        <v>357.99735090000001</v>
      </c>
      <c r="Q63" s="67">
        <f t="shared" ca="1" si="28"/>
        <v>444.13938030000003</v>
      </c>
      <c r="R63" s="67">
        <f t="shared" ca="1" si="28"/>
        <v>556.87926630000004</v>
      </c>
      <c r="S63" s="67">
        <f t="shared" ca="1" si="28"/>
        <v>697.17344760000015</v>
      </c>
    </row>
    <row r="64" spans="1:19" x14ac:dyDescent="0.2">
      <c r="A64" s="22" t="s">
        <v>970</v>
      </c>
      <c r="B64" s="8"/>
      <c r="C64" s="8"/>
      <c r="D64" s="67">
        <f ca="1">D56</f>
        <v>0</v>
      </c>
      <c r="E64" s="67">
        <f t="shared" ref="E64:S64" ca="1" si="29">E56</f>
        <v>0</v>
      </c>
      <c r="F64" s="67">
        <f t="shared" ca="1" si="29"/>
        <v>0</v>
      </c>
      <c r="G64" s="67">
        <f t="shared" ca="1" si="29"/>
        <v>37.692318502344101</v>
      </c>
      <c r="H64" s="67">
        <f t="shared" ca="1" si="29"/>
        <v>191.42019750594403</v>
      </c>
      <c r="I64" s="67">
        <f t="shared" ca="1" si="29"/>
        <v>692.66127383009928</v>
      </c>
      <c r="J64" s="67">
        <f t="shared" ca="1" si="29"/>
        <v>1764.9830102056228</v>
      </c>
      <c r="K64" s="67">
        <f t="shared" ca="1" si="29"/>
        <v>2707.1898562699857</v>
      </c>
      <c r="L64" s="67">
        <f t="shared" ca="1" si="29"/>
        <v>3177.037355183611</v>
      </c>
      <c r="M64" s="67">
        <f t="shared" ca="1" si="29"/>
        <v>3991.8410627969251</v>
      </c>
      <c r="N64" s="67">
        <f t="shared" ca="1" si="29"/>
        <v>5393.5904934304717</v>
      </c>
      <c r="O64" s="67">
        <f t="shared" ca="1" si="29"/>
        <v>7769.6992656905768</v>
      </c>
      <c r="P64" s="67">
        <f t="shared" ca="1" si="29"/>
        <v>10659.362156871672</v>
      </c>
      <c r="Q64" s="67">
        <f t="shared" ca="1" si="29"/>
        <v>13413.067686895418</v>
      </c>
      <c r="R64" s="67">
        <f t="shared" ca="1" si="29"/>
        <v>17489.044387362093</v>
      </c>
      <c r="S64" s="67">
        <f t="shared" ca="1" si="29"/>
        <v>23339.669845781969</v>
      </c>
    </row>
    <row r="65" spans="1:78" x14ac:dyDescent="0.2">
      <c r="A65" s="22" t="s">
        <v>971</v>
      </c>
      <c r="B65" s="8"/>
      <c r="C65" s="8"/>
      <c r="D65" s="66">
        <f ca="1">D50*(Assumptions!$B$361+Assumptions!$B$362)</f>
        <v>0</v>
      </c>
      <c r="E65" s="66">
        <f ca="1">E50*(Assumptions!$B$361+Assumptions!$B$362)</f>
        <v>0</v>
      </c>
      <c r="F65" s="66">
        <f ca="1">F50*(Assumptions!$B$361+Assumptions!$B$362)</f>
        <v>0</v>
      </c>
      <c r="G65" s="66">
        <f ca="1">G50*(Assumptions!$B$361+Assumptions!$B$362)</f>
        <v>75.384637004688202</v>
      </c>
      <c r="H65" s="66">
        <f ca="1">H50*(Assumptions!$B$361+Assumptions!$B$362)</f>
        <v>382.84039501188806</v>
      </c>
      <c r="I65" s="66">
        <f ca="1">I50*(Assumptions!$B$361+Assumptions!$B$362)</f>
        <v>1385.3225476601986</v>
      </c>
      <c r="J65" s="66">
        <f ca="1">J50*(Assumptions!$B$361+Assumptions!$B$362)</f>
        <v>3529.9660204112456</v>
      </c>
      <c r="K65" s="66">
        <f ca="1">K50*(Assumptions!$B$361+Assumptions!$B$362)</f>
        <v>5414.3797125399715</v>
      </c>
      <c r="L65" s="66">
        <f ca="1">L50*(Assumptions!$B$361+Assumptions!$B$362)</f>
        <v>6354.074710367222</v>
      </c>
      <c r="M65" s="66">
        <f ca="1">M50*(Assumptions!$B$361+Assumptions!$B$362)</f>
        <v>7983.6821255938503</v>
      </c>
      <c r="N65" s="66">
        <f ca="1">N50*(Assumptions!$B$361+Assumptions!$B$362)</f>
        <v>10787.180986860943</v>
      </c>
      <c r="O65" s="66">
        <f ca="1">O50*(Assumptions!$B$361+Assumptions!$B$362)</f>
        <v>15539.398531381154</v>
      </c>
      <c r="P65" s="66">
        <f ca="1">P50*(Assumptions!$B$361+Assumptions!$B$362)</f>
        <v>21318.724313743343</v>
      </c>
      <c r="Q65" s="66">
        <f ca="1">Q50*(Assumptions!$B$361+Assumptions!$B$362)</f>
        <v>26826.135373790836</v>
      </c>
      <c r="R65" s="66">
        <f ca="1">R50*(Assumptions!$B$361+Assumptions!$B$362)</f>
        <v>34978.088774724187</v>
      </c>
      <c r="S65" s="66">
        <f ca="1">S50*(Assumptions!$B$361+Assumptions!$B$362)</f>
        <v>46679.339691563939</v>
      </c>
    </row>
    <row r="66" spans="1:78" x14ac:dyDescent="0.2">
      <c r="A66" s="22" t="s">
        <v>972</v>
      </c>
      <c r="B66" s="8"/>
      <c r="C66" s="8"/>
      <c r="D66" s="66">
        <f ca="1">D46*(D38+D39)/1000000/Assumptions!$B$21</f>
        <v>0</v>
      </c>
      <c r="E66" s="66">
        <f ca="1">E46*(E38+E39)/1000000/Assumptions!$B$21</f>
        <v>0</v>
      </c>
      <c r="F66" s="66">
        <f ca="1">F46*(F38+F39)/1000000/Assumptions!$B$21</f>
        <v>0</v>
      </c>
      <c r="G66" s="66">
        <f ca="1">G46*(G38+G39)/1000000/Assumptions!$B$21</f>
        <v>747.82841196342156</v>
      </c>
      <c r="H66" s="66">
        <f ca="1">H46*(H38+H39)/1000000/Assumptions!$B$21</f>
        <v>3121.3292052037241</v>
      </c>
      <c r="I66" s="66">
        <f ca="1">I46*(I38+I39)/1000000/Assumptions!$B$21</f>
        <v>9271.4177559884338</v>
      </c>
      <c r="J66" s="66">
        <f ca="1">J46*(J38+J39)/1000000/Assumptions!$B$21</f>
        <v>21178.662634706234</v>
      </c>
      <c r="K66" s="66">
        <f ca="1">K46*(K38+K39)/1000000/Assumptions!$B$21</f>
        <v>32990.062385579673</v>
      </c>
      <c r="L66" s="66">
        <f ca="1">L46*(L38+L39)/1000000/Assumptions!$B$21</f>
        <v>38352.185143668896</v>
      </c>
      <c r="M66" s="66">
        <f ca="1">M46*(M38+M39)/1000000/Assumptions!$B$21</f>
        <v>44984.410047821926</v>
      </c>
      <c r="N66" s="66">
        <f ca="1">N46*(N38+N39)/1000000/Assumptions!$B$21</f>
        <v>52681.828622063797</v>
      </c>
      <c r="O66" s="66">
        <f ca="1">O46*(O38+O39)/1000000/Assumptions!$B$21</f>
        <v>61779.491540246978</v>
      </c>
      <c r="P66" s="66">
        <f ca="1">P46*(P38+P39)/1000000/Assumptions!$B$21</f>
        <v>72792.59697377753</v>
      </c>
      <c r="Q66" s="66">
        <f ca="1">Q46*(Q38+Q39)/1000000/Assumptions!$B$21</f>
        <v>86170.296067606731</v>
      </c>
      <c r="R66" s="66">
        <f ca="1">R46*(R38+R39)/1000000/Assumptions!$B$21</f>
        <v>103267.74679012189</v>
      </c>
      <c r="S66" s="66">
        <f ca="1">S46*(S38+S39)/1000000/Assumptions!$B$21</f>
        <v>123332.48542872645</v>
      </c>
    </row>
    <row r="67" spans="1:78" x14ac:dyDescent="0.2">
      <c r="A67" s="22" t="s">
        <v>973</v>
      </c>
      <c r="B67" s="8"/>
      <c r="C67" s="8"/>
      <c r="D67" s="67">
        <f ca="1">D61+D65</f>
        <v>0</v>
      </c>
      <c r="E67" s="67">
        <f t="shared" ref="E67:S67" ca="1" si="30">E61+E65</f>
        <v>0</v>
      </c>
      <c r="F67" s="67">
        <f t="shared" ca="1" si="30"/>
        <v>0</v>
      </c>
      <c r="G67" s="67">
        <f t="shared" ca="1" si="30"/>
        <v>234.57077834664136</v>
      </c>
      <c r="H67" s="67">
        <f t="shared" ca="1" si="30"/>
        <v>889.97802636942401</v>
      </c>
      <c r="I67" s="67">
        <f t="shared" ca="1" si="30"/>
        <v>2774.61391648275</v>
      </c>
      <c r="J67" s="67">
        <f t="shared" ca="1" si="30"/>
        <v>6613.8566812847057</v>
      </c>
      <c r="K67" s="67">
        <f t="shared" ca="1" si="30"/>
        <v>9489.9427305275003</v>
      </c>
      <c r="L67" s="67">
        <f t="shared" ca="1" si="30"/>
        <v>10366.600644047601</v>
      </c>
      <c r="M67" s="67">
        <f t="shared" ca="1" si="30"/>
        <v>13096.494391684058</v>
      </c>
      <c r="N67" s="67">
        <f t="shared" ca="1" si="30"/>
        <v>17742.290078393173</v>
      </c>
      <c r="O67" s="67">
        <f t="shared" ca="1" si="30"/>
        <v>25531.704071861568</v>
      </c>
      <c r="P67" s="67">
        <f t="shared" ca="1" si="30"/>
        <v>34568.947557378538</v>
      </c>
      <c r="Q67" s="67">
        <f t="shared" ca="1" si="30"/>
        <v>42781.204234780103</v>
      </c>
      <c r="R67" s="67">
        <f t="shared" ca="1" si="30"/>
        <v>55714.239789657418</v>
      </c>
      <c r="S67" s="67">
        <f t="shared" ca="1" si="30"/>
        <v>74110.682845635543</v>
      </c>
    </row>
    <row r="68" spans="1:78" x14ac:dyDescent="0.2">
      <c r="A68" s="22" t="s">
        <v>974</v>
      </c>
      <c r="B68" s="8"/>
      <c r="C68" s="8"/>
      <c r="D68" s="67">
        <f ca="1">D66+D67</f>
        <v>0</v>
      </c>
      <c r="E68" s="67">
        <f t="shared" ref="E68:S68" ca="1" si="31">E66+E67</f>
        <v>0</v>
      </c>
      <c r="F68" s="67">
        <f t="shared" ca="1" si="31"/>
        <v>0</v>
      </c>
      <c r="G68" s="67">
        <f t="shared" ca="1" si="31"/>
        <v>982.39919031006298</v>
      </c>
      <c r="H68" s="67">
        <f t="shared" ca="1" si="31"/>
        <v>4011.3072315731479</v>
      </c>
      <c r="I68" s="67">
        <f t="shared" ca="1" si="31"/>
        <v>12046.031672471185</v>
      </c>
      <c r="J68" s="67">
        <f t="shared" ca="1" si="31"/>
        <v>27792.51931599094</v>
      </c>
      <c r="K68" s="67">
        <f t="shared" ca="1" si="31"/>
        <v>42480.005116107175</v>
      </c>
      <c r="L68" s="67">
        <f t="shared" ca="1" si="31"/>
        <v>48718.785787716493</v>
      </c>
      <c r="M68" s="67">
        <f t="shared" ca="1" si="31"/>
        <v>58080.904439505983</v>
      </c>
      <c r="N68" s="67">
        <f t="shared" ca="1" si="31"/>
        <v>70424.118700456966</v>
      </c>
      <c r="O68" s="67">
        <f t="shared" ca="1" si="31"/>
        <v>87311.195612108539</v>
      </c>
      <c r="P68" s="67">
        <f t="shared" ca="1" si="31"/>
        <v>107361.54453115608</v>
      </c>
      <c r="Q68" s="67">
        <f t="shared" ca="1" si="31"/>
        <v>128951.50030238683</v>
      </c>
      <c r="R68" s="67">
        <f t="shared" ca="1" si="31"/>
        <v>158981.9865797793</v>
      </c>
      <c r="S68" s="67">
        <f t="shared" ca="1" si="31"/>
        <v>197443.16827436199</v>
      </c>
    </row>
    <row r="69" spans="1:78" x14ac:dyDescent="0.2">
      <c r="A69" s="22" t="s">
        <v>975</v>
      </c>
      <c r="B69" s="8"/>
      <c r="C69" s="8"/>
      <c r="D69" s="67">
        <f ca="1">D68*D51</f>
        <v>0</v>
      </c>
      <c r="E69" s="67">
        <f t="shared" ref="E69:S69" ca="1" si="32">E68*E51</f>
        <v>0</v>
      </c>
      <c r="F69" s="67">
        <f t="shared" ca="1" si="32"/>
        <v>0</v>
      </c>
      <c r="G69" s="67">
        <f t="shared" ca="1" si="32"/>
        <v>53.013309944264911</v>
      </c>
      <c r="H69" s="67">
        <f t="shared" ca="1" si="32"/>
        <v>186.41562054966548</v>
      </c>
      <c r="I69" s="67">
        <f t="shared" ca="1" si="32"/>
        <v>345.22210241943935</v>
      </c>
      <c r="J69" s="67">
        <f t="shared" ca="1" si="32"/>
        <v>554.84505579745542</v>
      </c>
      <c r="K69" s="67">
        <f t="shared" ca="1" si="32"/>
        <v>786.54800433496325</v>
      </c>
      <c r="L69" s="67">
        <f t="shared" ca="1" si="32"/>
        <v>1190.8270533054254</v>
      </c>
      <c r="M69" s="67">
        <f t="shared" ca="1" si="32"/>
        <v>1870.966316749752</v>
      </c>
      <c r="N69" s="67">
        <f t="shared" ca="1" si="32"/>
        <v>2933.7003608854966</v>
      </c>
      <c r="O69" s="67">
        <f t="shared" ca="1" si="32"/>
        <v>4730.0549122191596</v>
      </c>
      <c r="P69" s="67">
        <f t="shared" ca="1" si="32"/>
        <v>7550.5069310891968</v>
      </c>
      <c r="Q69" s="67">
        <f t="shared" ca="1" si="32"/>
        <v>12013.6223278788</v>
      </c>
      <c r="R69" s="67">
        <f t="shared" ca="1" si="32"/>
        <v>19633.797314584845</v>
      </c>
      <c r="S69" s="67">
        <f t="shared" ca="1" si="32"/>
        <v>32516.553385967822</v>
      </c>
    </row>
    <row r="70" spans="1:78" x14ac:dyDescent="0.2">
      <c r="A70" s="20" t="s">
        <v>976</v>
      </c>
      <c r="B70" s="20"/>
      <c r="C70" s="20"/>
      <c r="D70" s="85">
        <f ca="1">D60+D69</f>
        <v>0</v>
      </c>
      <c r="E70" s="85">
        <f t="shared" ref="E70:S70" ca="1" si="33">E60+E69</f>
        <v>0</v>
      </c>
      <c r="F70" s="85">
        <f t="shared" ca="1" si="33"/>
        <v>0</v>
      </c>
      <c r="G70" s="85">
        <f t="shared" ca="1" si="33"/>
        <v>1835.9295093800972</v>
      </c>
      <c r="H70" s="85">
        <f t="shared" ca="1" si="33"/>
        <v>9312.6363928963092</v>
      </c>
      <c r="I70" s="85">
        <f t="shared" ca="1" si="33"/>
        <v>33985.751539832156</v>
      </c>
      <c r="J70" s="85">
        <f t="shared" ca="1" si="33"/>
        <v>87042.204766106661</v>
      </c>
      <c r="K70" s="85">
        <f t="shared" ca="1" si="33"/>
        <v>133639.76195441949</v>
      </c>
      <c r="L70" s="85">
        <f t="shared" ca="1" si="33"/>
        <v>156159.89891482174</v>
      </c>
      <c r="M70" s="85">
        <f t="shared" ca="1" si="33"/>
        <v>195033.53954199646</v>
      </c>
      <c r="N70" s="85">
        <f t="shared" ca="1" si="33"/>
        <v>261379.02099192399</v>
      </c>
      <c r="O70" s="85">
        <f t="shared" ca="1" si="33"/>
        <v>372168.97483398335</v>
      </c>
      <c r="P70" s="85">
        <f t="shared" ca="1" si="33"/>
        <v>503036.11198565352</v>
      </c>
      <c r="Q70" s="85">
        <f t="shared" ca="1" si="33"/>
        <v>620186.33406675921</v>
      </c>
      <c r="R70" s="85">
        <f t="shared" ca="1" si="33"/>
        <v>786093.79689905571</v>
      </c>
      <c r="S70" s="85">
        <f t="shared" ca="1" si="33"/>
        <v>1007311.6739060697</v>
      </c>
    </row>
    <row r="71" spans="1:78" x14ac:dyDescent="0.2">
      <c r="A71" s="20" t="s">
        <v>536</v>
      </c>
      <c r="B71" s="20"/>
      <c r="C71" s="20"/>
      <c r="D71" s="85">
        <f ca="1">D70-D61</f>
        <v>0</v>
      </c>
      <c r="E71" s="85">
        <f t="shared" ref="E71:S71" ca="1" si="34">E70-E61</f>
        <v>0</v>
      </c>
      <c r="F71" s="85">
        <f t="shared" ca="1" si="34"/>
        <v>0</v>
      </c>
      <c r="G71" s="85">
        <f t="shared" ca="1" si="34"/>
        <v>1676.7433680381441</v>
      </c>
      <c r="H71" s="85">
        <f t="shared" ca="1" si="34"/>
        <v>8805.4987615387727</v>
      </c>
      <c r="I71" s="85">
        <f t="shared" ca="1" si="34"/>
        <v>32596.460171009603</v>
      </c>
      <c r="J71" s="85">
        <f t="shared" ca="1" si="34"/>
        <v>83958.314105233207</v>
      </c>
      <c r="K71" s="85">
        <f t="shared" ca="1" si="34"/>
        <v>129564.19893643196</v>
      </c>
      <c r="L71" s="85">
        <f t="shared" ca="1" si="34"/>
        <v>152147.37298114135</v>
      </c>
      <c r="M71" s="85">
        <f t="shared" ca="1" si="34"/>
        <v>189920.72727590625</v>
      </c>
      <c r="N71" s="85">
        <f t="shared" ca="1" si="34"/>
        <v>254423.91190039174</v>
      </c>
      <c r="O71" s="85">
        <f t="shared" ca="1" si="34"/>
        <v>362176.66929350293</v>
      </c>
      <c r="P71" s="85">
        <f t="shared" ca="1" si="34"/>
        <v>489785.88874201832</v>
      </c>
      <c r="Q71" s="85">
        <f t="shared" ca="1" si="34"/>
        <v>604231.26520576992</v>
      </c>
      <c r="R71" s="85">
        <f t="shared" ca="1" si="34"/>
        <v>765357.64588412247</v>
      </c>
      <c r="S71" s="85">
        <f t="shared" ca="1" si="34"/>
        <v>979880.33075199812</v>
      </c>
    </row>
    <row r="72" spans="1:78" x14ac:dyDescent="0.2">
      <c r="A72" s="22" t="s">
        <v>544</v>
      </c>
      <c r="B72" s="8"/>
      <c r="C72" s="8"/>
      <c r="D72" s="66">
        <f ca="1">(D60+D69)*D57+IF(D$4&lt;2028,Assumptions!$B$375,0)</f>
        <v>2000</v>
      </c>
      <c r="E72" s="66">
        <f ca="1">(E60+E69)*E57+IF(E$4&lt;2028,Assumptions!$B$375,0)</f>
        <v>2000</v>
      </c>
      <c r="F72" s="66">
        <f ca="1">(F60+F69)*F57+IF(F$4&lt;2028,Assumptions!$B$375,0)</f>
        <v>2000</v>
      </c>
      <c r="G72" s="66">
        <f ca="1">(G60+G69)*G57+IF(G$4&lt;2028,Assumptions!$B$375,0)</f>
        <v>473.54588817818183</v>
      </c>
      <c r="H72" s="66">
        <f ca="1">(H60+H69)*H57+IF(H$4&lt;2028,Assumptions!$B$375,0)</f>
        <v>2041.7268484491176</v>
      </c>
      <c r="I72" s="66">
        <f ca="1">(I60+I69)*I57+IF(I$4&lt;2028,Assumptions!$B$375,0)</f>
        <v>6333.4565731620023</v>
      </c>
      <c r="J72" s="66">
        <f ca="1">(J60+J69)*J57+IF(J$4&lt;2028,Assumptions!$B$375,0)</f>
        <v>13787.728653917056</v>
      </c>
      <c r="K72" s="66">
        <f ca="1">(K60+K69)*K57+IF(K$4&lt;2028,Assumptions!$B$375,0)</f>
        <v>17993.575221697803</v>
      </c>
      <c r="L72" s="66">
        <f ca="1">(L60+L69)*L57+IF(L$4&lt;2028,Assumptions!$B$375,0)</f>
        <v>17871.878995045608</v>
      </c>
      <c r="M72" s="66">
        <f ca="1">(M60+M69)*M57+IF(M$4&lt;2028,Assumptions!$B$375,0)</f>
        <v>21843.7564287036</v>
      </c>
      <c r="N72" s="66">
        <f ca="1">(N60+N69)*N57+IF(N$4&lt;2028,Assumptions!$B$375,0)</f>
        <v>29274.450351095482</v>
      </c>
      <c r="O72" s="66">
        <f ca="1">(O60+O69)*O57+IF(O$4&lt;2028,Assumptions!$B$375,0)</f>
        <v>41682.925181406128</v>
      </c>
      <c r="P72" s="66">
        <f ca="1">(P60+P69)*P57+IF(P$4&lt;2028,Assumptions!$B$375,0)</f>
        <v>56340.044542393189</v>
      </c>
      <c r="Q72" s="66">
        <f ca="1">(Q60+Q69)*Q57+IF(Q$4&lt;2028,Assumptions!$B$375,0)</f>
        <v>69460.86941547702</v>
      </c>
      <c r="R72" s="66">
        <f ca="1">(R60+R69)*R57+IF(R$4&lt;2028,Assumptions!$B$375,0)</f>
        <v>88042.505252694231</v>
      </c>
      <c r="S72" s="66">
        <f ca="1">(S60+S69)*S57+IF(S$4&lt;2028,Assumptions!$B$375,0)</f>
        <v>112818.90747747979</v>
      </c>
    </row>
    <row r="73" spans="1:78" x14ac:dyDescent="0.2">
      <c r="A73" s="20" t="s">
        <v>977</v>
      </c>
      <c r="B73" s="20"/>
      <c r="C73" s="20"/>
      <c r="D73" s="85">
        <f ca="1">D71-D65-D72-D66</f>
        <v>-2000</v>
      </c>
      <c r="E73" s="85">
        <f t="shared" ref="E73:S73" ca="1" si="35">E71-E65-E72-E66</f>
        <v>-2000</v>
      </c>
      <c r="F73" s="85">
        <f t="shared" ca="1" si="35"/>
        <v>-2000</v>
      </c>
      <c r="G73" s="85">
        <f t="shared" ca="1" si="35"/>
        <v>379.98443089185253</v>
      </c>
      <c r="H73" s="85">
        <f t="shared" ca="1" si="35"/>
        <v>3259.6023128740426</v>
      </c>
      <c r="I73" s="85">
        <f t="shared" ca="1" si="35"/>
        <v>15606.263294198969</v>
      </c>
      <c r="J73" s="85">
        <f t="shared" ca="1" si="35"/>
        <v>45461.956796198669</v>
      </c>
      <c r="K73" s="85">
        <f t="shared" ca="1" si="35"/>
        <v>73166.181616614514</v>
      </c>
      <c r="L73" s="85">
        <f t="shared" ca="1" si="35"/>
        <v>89569.234132059617</v>
      </c>
      <c r="M73" s="85">
        <f t="shared" ca="1" si="35"/>
        <v>115108.87867378685</v>
      </c>
      <c r="N73" s="85">
        <f t="shared" ca="1" si="35"/>
        <v>161680.45194037154</v>
      </c>
      <c r="O73" s="85">
        <f t="shared" ca="1" si="35"/>
        <v>243174.85404046864</v>
      </c>
      <c r="P73" s="85">
        <f t="shared" ca="1" si="35"/>
        <v>339334.52291210426</v>
      </c>
      <c r="Q73" s="85">
        <f t="shared" ca="1" si="35"/>
        <v>421773.9643488953</v>
      </c>
      <c r="R73" s="85">
        <f t="shared" ca="1" si="35"/>
        <v>539069.30506658216</v>
      </c>
      <c r="S73" s="85">
        <f t="shared" ca="1" si="35"/>
        <v>697049.59815422795</v>
      </c>
    </row>
    <row r="74" spans="1:78" x14ac:dyDescent="0.2">
      <c r="A74" s="22" t="s">
        <v>978</v>
      </c>
      <c r="B74" s="8"/>
      <c r="C74" s="8"/>
      <c r="D74" s="67">
        <f ca="1">D45*(D38+D39)/1000000</f>
        <v>0</v>
      </c>
      <c r="E74" s="67">
        <f t="shared" ref="E74:S74" ca="1" si="36">E45*(E38+E39)/1000000</f>
        <v>0</v>
      </c>
      <c r="F74" s="67">
        <f t="shared" ca="1" si="36"/>
        <v>0</v>
      </c>
      <c r="G74" s="67">
        <f t="shared" ca="1" si="36"/>
        <v>3739.1420598171076</v>
      </c>
      <c r="H74" s="67">
        <f t="shared" ca="1" si="36"/>
        <v>12115.226333397006</v>
      </c>
      <c r="I74" s="67">
        <f t="shared" ca="1" si="36"/>
        <v>31655.112574841074</v>
      </c>
      <c r="J74" s="67">
        <f t="shared" ca="1" si="36"/>
        <v>62077.653532788674</v>
      </c>
      <c r="K74" s="67">
        <f t="shared" ca="1" si="36"/>
        <v>64321.857651067534</v>
      </c>
      <c r="L74" s="67">
        <f t="shared" ca="1" si="36"/>
        <v>36506.866087492817</v>
      </c>
      <c r="M74" s="67">
        <f t="shared" ca="1" si="36"/>
        <v>50155.928014036006</v>
      </c>
      <c r="N74" s="67">
        <f t="shared" ca="1" si="36"/>
        <v>72518.27241705246</v>
      </c>
      <c r="O74" s="67">
        <f t="shared" ca="1" si="36"/>
        <v>106552.98442822111</v>
      </c>
      <c r="P74" s="67">
        <f t="shared" ca="1" si="36"/>
        <v>121486.14885606094</v>
      </c>
      <c r="Q74" s="67">
        <f t="shared" ca="1" si="36"/>
        <v>112903.7527822902</v>
      </c>
      <c r="R74" s="67">
        <f t="shared" ca="1" si="36"/>
        <v>144639.50776063409</v>
      </c>
      <c r="S74" s="67">
        <f t="shared" ca="1" si="36"/>
        <v>181689.0049381493</v>
      </c>
    </row>
    <row r="75" spans="1:78" x14ac:dyDescent="0.2">
      <c r="A75" s="22" t="s">
        <v>979</v>
      </c>
      <c r="B75" s="8"/>
      <c r="C75" s="8"/>
      <c r="D75" s="67">
        <f ca="1">D58</f>
        <v>0</v>
      </c>
      <c r="E75" s="67">
        <f t="shared" ref="E75:S75" ca="1" si="37">E58</f>
        <v>0</v>
      </c>
      <c r="F75" s="67">
        <f t="shared" ca="1" si="37"/>
        <v>0</v>
      </c>
      <c r="G75" s="67">
        <f t="shared" ca="1" si="37"/>
        <v>1518.0902302267564</v>
      </c>
      <c r="H75" s="67">
        <f t="shared" ca="1" si="37"/>
        <v>4991.5250284637841</v>
      </c>
      <c r="I75" s="67">
        <f t="shared" ca="1" si="37"/>
        <v>13176.921437154126</v>
      </c>
      <c r="J75" s="67">
        <f t="shared" ca="1" si="37"/>
        <v>25894.001508613506</v>
      </c>
      <c r="K75" s="67">
        <f t="shared" ca="1" si="37"/>
        <v>26735.952907048977</v>
      </c>
      <c r="L75" s="67">
        <f t="shared" ca="1" si="37"/>
        <v>15057.24317821068</v>
      </c>
      <c r="M75" s="67">
        <f t="shared" ca="1" si="37"/>
        <v>20384.484879669799</v>
      </c>
      <c r="N75" s="67">
        <f t="shared" ca="1" si="37"/>
        <v>29166.06057352728</v>
      </c>
      <c r="O75" s="67">
        <f t="shared" ca="1" si="37"/>
        <v>42511.481364849547</v>
      </c>
      <c r="P75" s="67">
        <f t="shared" ca="1" si="37"/>
        <v>48109.171567308469</v>
      </c>
      <c r="Q75" s="67">
        <f t="shared" ca="1" si="37"/>
        <v>44501.412061682146</v>
      </c>
      <c r="R75" s="67">
        <f t="shared" ca="1" si="37"/>
        <v>56632.465886723447</v>
      </c>
      <c r="S75" s="67">
        <f t="shared" ca="1" si="37"/>
        <v>70784.744495111925</v>
      </c>
    </row>
    <row r="76" spans="1:78" x14ac:dyDescent="0.2">
      <c r="A76" s="22" t="s">
        <v>980</v>
      </c>
      <c r="B76" s="8"/>
      <c r="C76" s="8"/>
      <c r="D76" s="67">
        <f ca="1">D73+D66-D74</f>
        <v>-2000</v>
      </c>
      <c r="E76" s="67">
        <f t="shared" ref="E76:S76" ca="1" si="38">E73+E66-E74</f>
        <v>-2000</v>
      </c>
      <c r="F76" s="67">
        <f t="shared" ca="1" si="38"/>
        <v>-2000</v>
      </c>
      <c r="G76" s="67">
        <f t="shared" ca="1" si="38"/>
        <v>-2611.3292169618335</v>
      </c>
      <c r="H76" s="67">
        <f t="shared" ca="1" si="38"/>
        <v>-5734.2948153192392</v>
      </c>
      <c r="I76" s="67">
        <f t="shared" ca="1" si="38"/>
        <v>-6777.4315246536717</v>
      </c>
      <c r="J76" s="67">
        <f t="shared" ca="1" si="38"/>
        <v>4562.9658981162283</v>
      </c>
      <c r="K76" s="67">
        <f t="shared" ca="1" si="38"/>
        <v>41834.386351126654</v>
      </c>
      <c r="L76" s="67">
        <f t="shared" ca="1" si="38"/>
        <v>91414.553188235703</v>
      </c>
      <c r="M76" s="67">
        <f t="shared" ca="1" si="38"/>
        <v>109937.36070757278</v>
      </c>
      <c r="N76" s="67">
        <f t="shared" ca="1" si="38"/>
        <v>141844.00814538286</v>
      </c>
      <c r="O76" s="67">
        <f t="shared" ca="1" si="38"/>
        <v>198401.3611524945</v>
      </c>
      <c r="P76" s="67">
        <f t="shared" ca="1" si="38"/>
        <v>290640.97102982085</v>
      </c>
      <c r="Q76" s="67">
        <f t="shared" ca="1" si="38"/>
        <v>395040.5076342118</v>
      </c>
      <c r="R76" s="67">
        <f t="shared" ca="1" si="38"/>
        <v>497697.54409606999</v>
      </c>
      <c r="S76" s="67">
        <f t="shared" ca="1" si="38"/>
        <v>638693.07864480512</v>
      </c>
    </row>
    <row r="77" spans="1:78" x14ac:dyDescent="0.2">
      <c r="A77" s="22" t="s">
        <v>981</v>
      </c>
      <c r="B77" s="8"/>
      <c r="C77" s="8"/>
      <c r="D77" s="56">
        <f ca="1">D49-IFERROR(D67/D46,0)-IFERROR(D72/D46,0)</f>
        <v>1.0511999999999999</v>
      </c>
      <c r="E77" s="56">
        <f t="shared" ref="E77:S77" ca="1" si="39">E49-IFERROR(E67/E46,0)-IFERROR(E72/E46,0)</f>
        <v>1.3646107269899996</v>
      </c>
      <c r="F77" s="56">
        <f t="shared" ca="1" si="39"/>
        <v>1.711327678599798</v>
      </c>
      <c r="G77" s="56">
        <f t="shared" ca="1" si="39"/>
        <v>1.3072213984359795</v>
      </c>
      <c r="H77" s="56">
        <f t="shared" ca="1" si="39"/>
        <v>1.7867969570043496</v>
      </c>
      <c r="I77" s="56">
        <f t="shared" ca="1" si="39"/>
        <v>2.2747592340943563</v>
      </c>
      <c r="J77" s="56">
        <f t="shared" ca="1" si="39"/>
        <v>2.4912684466691748</v>
      </c>
      <c r="K77" s="56">
        <f t="shared" ca="1" si="39"/>
        <v>2.262484898901048</v>
      </c>
      <c r="L77" s="56">
        <f t="shared" ca="1" si="39"/>
        <v>2.6108378113561437</v>
      </c>
      <c r="M77" s="56">
        <f t="shared" ca="1" si="39"/>
        <v>2.846453786670943</v>
      </c>
      <c r="N77" s="56">
        <f t="shared" ca="1" si="39"/>
        <v>3.0059528508535096</v>
      </c>
      <c r="O77" s="56">
        <f t="shared" ca="1" si="39"/>
        <v>3.128030922446305</v>
      </c>
      <c r="P77" s="56">
        <f t="shared" ca="1" si="39"/>
        <v>3.2518220036277716</v>
      </c>
      <c r="Q77" s="56">
        <f t="shared" ca="1" si="39"/>
        <v>3.4985019692128492</v>
      </c>
      <c r="R77" s="56">
        <f t="shared" ca="1" si="39"/>
        <v>3.7403145448195021</v>
      </c>
      <c r="S77" s="56">
        <f t="shared" ca="1" si="39"/>
        <v>4.0111695881253402</v>
      </c>
    </row>
    <row r="78" spans="1:78" x14ac:dyDescent="0.2">
      <c r="A78" s="22" t="s">
        <v>982</v>
      </c>
      <c r="B78" s="8"/>
      <c r="C78" s="8"/>
      <c r="D78" s="56">
        <f ca="1">D40+D41</f>
        <v>5.6116889747669454</v>
      </c>
      <c r="E78" s="56">
        <f t="shared" ref="E78:S78" ca="1" si="40">E40+E41</f>
        <v>5.3109970780924369</v>
      </c>
      <c r="F78" s="56">
        <f t="shared" ca="1" si="40"/>
        <v>4.6903454121012107</v>
      </c>
      <c r="G78" s="56">
        <f t="shared" ca="1" si="40"/>
        <v>4.2875412051741293</v>
      </c>
      <c r="H78" s="56">
        <f t="shared" ca="1" si="40"/>
        <v>3.9774478173450518</v>
      </c>
      <c r="I78" s="56">
        <f t="shared" ca="1" si="40"/>
        <v>3.7310880040791421</v>
      </c>
      <c r="J78" s="56">
        <f t="shared" ca="1" si="40"/>
        <v>3.523072889815074</v>
      </c>
      <c r="K78" s="56">
        <f t="shared" ca="1" si="40"/>
        <v>3.3455432980957887</v>
      </c>
      <c r="L78" s="56">
        <f t="shared" ca="1" si="40"/>
        <v>3.2040923758888056</v>
      </c>
      <c r="M78" s="56">
        <f t="shared" ca="1" si="40"/>
        <v>3.0776551015802682</v>
      </c>
      <c r="N78" s="56">
        <f t="shared" ca="1" si="40"/>
        <v>2.955385783937174</v>
      </c>
      <c r="O78" s="56">
        <f t="shared" ca="1" si="40"/>
        <v>2.8304638675044602</v>
      </c>
      <c r="P78" s="56">
        <f t="shared" ca="1" si="40"/>
        <v>2.6982249976429484</v>
      </c>
      <c r="Q78" s="56">
        <f t="shared" ca="1" si="40"/>
        <v>2.575105008533197</v>
      </c>
      <c r="R78" s="56">
        <f t="shared" ca="1" si="40"/>
        <v>2.4613207110479007</v>
      </c>
      <c r="S78" s="56">
        <f t="shared" ca="1" si="40"/>
        <v>2.3482092490242064</v>
      </c>
    </row>
    <row r="79" spans="1:78" x14ac:dyDescent="0.2">
      <c r="A79" s="22" t="s">
        <v>1522</v>
      </c>
      <c r="B79" s="8"/>
      <c r="C79" s="8"/>
      <c r="D79" s="93">
        <f>Assumptions!$B$21</f>
        <v>5</v>
      </c>
      <c r="E79" s="93">
        <f>Assumptions!$B$21</f>
        <v>5</v>
      </c>
      <c r="F79" s="93">
        <f>Assumptions!$B$21</f>
        <v>5</v>
      </c>
      <c r="G79" s="93">
        <f>Assumptions!$B$21</f>
        <v>5</v>
      </c>
      <c r="H79" s="93">
        <f>Assumptions!$B$21</f>
        <v>5</v>
      </c>
      <c r="I79" s="93">
        <f>Assumptions!$B$21</f>
        <v>5</v>
      </c>
      <c r="J79" s="93">
        <f>Assumptions!$B$21</f>
        <v>5</v>
      </c>
      <c r="K79" s="93">
        <f>Assumptions!$B$21</f>
        <v>5</v>
      </c>
      <c r="L79" s="93">
        <f>Assumptions!$B$21</f>
        <v>5</v>
      </c>
      <c r="M79" s="93">
        <f>Assumptions!$B$21</f>
        <v>5</v>
      </c>
      <c r="N79" s="93">
        <f>Assumptions!$B$21</f>
        <v>5</v>
      </c>
      <c r="O79" s="93">
        <f>Assumptions!$B$21</f>
        <v>5</v>
      </c>
      <c r="P79" s="93">
        <f>Assumptions!$B$21</f>
        <v>5</v>
      </c>
      <c r="Q79" s="93">
        <f>Assumptions!$B$21</f>
        <v>5</v>
      </c>
      <c r="R79" s="93">
        <f>Assumptions!$B$21</f>
        <v>5</v>
      </c>
      <c r="S79" s="93">
        <f>Assumptions!$B$21</f>
        <v>5</v>
      </c>
    </row>
    <row r="80" spans="1:78" s="6" customFormat="1" x14ac:dyDescent="0.2">
      <c r="A80" s="204" t="s">
        <v>983</v>
      </c>
      <c r="B80" s="205"/>
      <c r="C80" s="205"/>
      <c r="D80" s="121">
        <f ca="1">IF(D77&lt;=0,0,IFERROR(MIN(3,IFERROR(RATE(D79,D77,-D78,0,0,0.1),IFERROR(RATE(D79,D77,-D78,0,0,0.5),RATE(D79,D77,-D78,0,0,1.5)))),IF(D77*D79&gt;D78,3,0)))</f>
        <v>-2.1437508775871059E-2</v>
      </c>
      <c r="E80" s="121">
        <f t="shared" ref="E80:S80" ca="1" si="41">IF(E77&lt;=0,0,IFERROR(MIN(3,IFERROR(RATE(E79,E77,-E78,0,0,0.1),IFERROR(RATE(E79,E77,-E78,0,0,0.5),RATE(E79,E77,-E78,0,0,1.5)))),IF(E77*E79&gt;E78,3,0)))</f>
        <v>8.9772312234035215E-2</v>
      </c>
      <c r="F80" s="121">
        <f t="shared" ca="1" si="41"/>
        <v>0.24081057363528899</v>
      </c>
      <c r="G80" s="121">
        <f t="shared" ca="1" si="41"/>
        <v>0.15926844432428156</v>
      </c>
      <c r="H80" s="121">
        <f t="shared" ca="1" si="41"/>
        <v>0.34848208846657236</v>
      </c>
      <c r="I80" s="121">
        <f t="shared" ca="1" si="41"/>
        <v>0.53907861166678661</v>
      </c>
      <c r="J80" s="121">
        <f t="shared" ca="1" si="41"/>
        <v>0.64916225554592344</v>
      </c>
      <c r="K80" s="121">
        <f t="shared" ca="1" si="41"/>
        <v>0.61464696744989211</v>
      </c>
      <c r="L80" s="121">
        <f t="shared" ca="1" si="41"/>
        <v>0.76762492230136636</v>
      </c>
      <c r="M80" s="121">
        <f t="shared" ca="1" si="41"/>
        <v>0.88613168984269919</v>
      </c>
      <c r="N80" s="121">
        <f t="shared" ca="1" si="41"/>
        <v>0.98402505852972522</v>
      </c>
      <c r="O80" s="121">
        <f t="shared" ca="1" si="41"/>
        <v>1.0765049335667871</v>
      </c>
      <c r="P80" s="121">
        <f t="shared" ca="1" si="41"/>
        <v>1.1807345583086839</v>
      </c>
      <c r="Q80" s="121">
        <f t="shared" ca="1" si="41"/>
        <v>1.3391879305020344</v>
      </c>
      <c r="R80" s="121">
        <f t="shared" ca="1" si="41"/>
        <v>1.5042063811019026</v>
      </c>
      <c r="S80" s="121">
        <f t="shared" ca="1" si="41"/>
        <v>1.6961934577644573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1:19" x14ac:dyDescent="0.2">
      <c r="A81" s="22" t="s">
        <v>984</v>
      </c>
      <c r="B81" s="8"/>
      <c r="C81" s="8"/>
      <c r="D81" s="56">
        <f ca="1">IFERROR(D45/D35,0)</f>
        <v>0</v>
      </c>
      <c r="E81" s="56">
        <f t="shared" ref="E81:S81" ca="1" si="42">IFERROR(E45/E35,0)</f>
        <v>0</v>
      </c>
      <c r="F81" s="56">
        <f t="shared" ca="1" si="42"/>
        <v>0</v>
      </c>
      <c r="G81" s="56">
        <f t="shared" ca="1" si="42"/>
        <v>12</v>
      </c>
      <c r="H81" s="56">
        <f t="shared" ca="1" si="42"/>
        <v>34.700000000000003</v>
      </c>
      <c r="I81" s="56">
        <f t="shared" ca="1" si="42"/>
        <v>81.716981132075475</v>
      </c>
      <c r="J81" s="56">
        <f t="shared" ca="1" si="42"/>
        <v>163.38181818181818</v>
      </c>
      <c r="K81" s="56">
        <f t="shared" ca="1" si="42"/>
        <v>173.41592920353983</v>
      </c>
      <c r="L81" s="56">
        <f t="shared" ca="1" si="42"/>
        <v>99.188034188034194</v>
      </c>
      <c r="M81" s="56">
        <f t="shared" ca="1" si="42"/>
        <v>138.31666666666666</v>
      </c>
      <c r="N81" s="56">
        <f t="shared" ca="1" si="42"/>
        <v>201.5</v>
      </c>
      <c r="O81" s="56">
        <f t="shared" ca="1" si="42"/>
        <v>299.4375</v>
      </c>
      <c r="P81" s="56">
        <f t="shared" ca="1" si="42"/>
        <v>350.01526717557255</v>
      </c>
      <c r="Q81" s="56">
        <f t="shared" ca="1" si="42"/>
        <v>330.80740740740742</v>
      </c>
      <c r="R81" s="56">
        <f t="shared" ca="1" si="42"/>
        <v>430.63309352517985</v>
      </c>
      <c r="S81" s="56">
        <f t="shared" ca="1" si="42"/>
        <v>551.18181818181813</v>
      </c>
    </row>
    <row r="82" spans="1:19" x14ac:dyDescent="0.2">
      <c r="A82" s="22" t="s">
        <v>554</v>
      </c>
      <c r="B82" s="8"/>
      <c r="C82" s="8"/>
      <c r="D82" s="67">
        <f>0</f>
        <v>0</v>
      </c>
      <c r="E82" s="67">
        <f>0</f>
        <v>0</v>
      </c>
      <c r="F82" s="67">
        <f>0</f>
        <v>0</v>
      </c>
      <c r="G82" s="67">
        <f>0</f>
        <v>0</v>
      </c>
      <c r="H82" s="67">
        <f>0</f>
        <v>0</v>
      </c>
      <c r="I82" s="67">
        <f>0</f>
        <v>0</v>
      </c>
      <c r="J82" s="67">
        <f>0</f>
        <v>0</v>
      </c>
      <c r="K82" s="67">
        <f>0</f>
        <v>0</v>
      </c>
      <c r="L82" s="67">
        <f>0</f>
        <v>0</v>
      </c>
      <c r="M82" s="67">
        <f>0</f>
        <v>0</v>
      </c>
      <c r="N82" s="67">
        <f>0</f>
        <v>0</v>
      </c>
      <c r="O82" s="67">
        <f>0</f>
        <v>0</v>
      </c>
      <c r="P82" s="67">
        <f>0</f>
        <v>0</v>
      </c>
      <c r="Q82" s="67">
        <f>0</f>
        <v>0</v>
      </c>
      <c r="R82" s="67">
        <f>0</f>
        <v>0</v>
      </c>
      <c r="S82" s="67">
        <f>0</f>
        <v>0</v>
      </c>
    </row>
    <row r="83" spans="1:19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18" t="s">
        <v>1378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</row>
    <row r="85" spans="1:19" x14ac:dyDescent="0.2">
      <c r="A85" s="22" t="s">
        <v>985</v>
      </c>
      <c r="B85" s="8"/>
      <c r="C85" s="8"/>
      <c r="D85" s="67">
        <f t="shared" ref="D85:S85" ca="1" si="43">MIN(MAX(0,D196), IFERROR(D186/D111,0))</f>
        <v>0</v>
      </c>
      <c r="E85" s="67">
        <f t="shared" ca="1" si="43"/>
        <v>362.52886938757638</v>
      </c>
      <c r="F85" s="67">
        <f t="shared" ca="1" si="43"/>
        <v>470.33907744462061</v>
      </c>
      <c r="G85" s="67">
        <f t="shared" ca="1" si="43"/>
        <v>25.174757828860006</v>
      </c>
      <c r="H85" s="67">
        <f t="shared" ca="1" si="43"/>
        <v>40.755848029605843</v>
      </c>
      <c r="I85" s="67">
        <f t="shared" ca="1" si="43"/>
        <v>140.50521900014544</v>
      </c>
      <c r="J85" s="67">
        <f t="shared" ca="1" si="43"/>
        <v>271.2181733549462</v>
      </c>
      <c r="K85" s="67">
        <f t="shared" ca="1" si="43"/>
        <v>550.73895859671984</v>
      </c>
      <c r="L85" s="67">
        <f t="shared" ca="1" si="43"/>
        <v>0</v>
      </c>
      <c r="M85" s="67">
        <f t="shared" ca="1" si="43"/>
        <v>18.202747399429793</v>
      </c>
      <c r="N85" s="67">
        <f t="shared" ca="1" si="43"/>
        <v>314.39106405177751</v>
      </c>
      <c r="O85" s="67">
        <f t="shared" ca="1" si="43"/>
        <v>467.72031101759035</v>
      </c>
      <c r="P85" s="67">
        <f t="shared" ca="1" si="43"/>
        <v>817.20559681447048</v>
      </c>
      <c r="Q85" s="67">
        <f t="shared" ca="1" si="43"/>
        <v>753.95037347115056</v>
      </c>
      <c r="R85" s="67">
        <f t="shared" ca="1" si="43"/>
        <v>970.50327058604955</v>
      </c>
      <c r="S85" s="67">
        <f t="shared" ca="1" si="43"/>
        <v>1473.762754264483</v>
      </c>
    </row>
    <row r="86" spans="1:19" x14ac:dyDescent="0.2">
      <c r="A86" s="22" t="s">
        <v>986</v>
      </c>
      <c r="B86" s="8"/>
      <c r="C86" s="8"/>
      <c r="D86" s="67">
        <f ca="1">IFERROR(D85*1000000/D20,0)</f>
        <v>0</v>
      </c>
      <c r="E86" s="67">
        <f t="shared" ref="E86:S86" ca="1" si="44">IFERROR(E85*1000000/E20,0)</f>
        <v>526441.04204676638</v>
      </c>
      <c r="F86" s="67">
        <f t="shared" ca="1" si="44"/>
        <v>693561.07113171718</v>
      </c>
      <c r="G86" s="67">
        <f t="shared" ca="1" si="44"/>
        <v>37696.88366746754</v>
      </c>
      <c r="H86" s="67">
        <f t="shared" ca="1" si="44"/>
        <v>61972.152970045237</v>
      </c>
      <c r="I86" s="67">
        <f t="shared" ca="1" si="44"/>
        <v>216952.97429011052</v>
      </c>
      <c r="J86" s="67">
        <f t="shared" ca="1" si="44"/>
        <v>425263.82497527899</v>
      </c>
      <c r="K86" s="67">
        <f t="shared" ca="1" si="44"/>
        <v>876903.80711675005</v>
      </c>
      <c r="L86" s="67">
        <f t="shared" ca="1" si="44"/>
        <v>0</v>
      </c>
      <c r="M86" s="67">
        <f t="shared" ca="1" si="44"/>
        <v>29886.571941532256</v>
      </c>
      <c r="N86" s="67">
        <f t="shared" ca="1" si="44"/>
        <v>524174.46025923413</v>
      </c>
      <c r="O86" s="67">
        <f t="shared" ca="1" si="44"/>
        <v>791878.21431468229</v>
      </c>
      <c r="P86" s="67">
        <f t="shared" ca="1" si="44"/>
        <v>1404979.5397072874</v>
      </c>
      <c r="Q86" s="67">
        <f t="shared" ca="1" si="44"/>
        <v>1316278.932467195</v>
      </c>
      <c r="R86" s="67">
        <f t="shared" ca="1" si="44"/>
        <v>1720555.4559267764</v>
      </c>
      <c r="S86" s="67">
        <f t="shared" ca="1" si="44"/>
        <v>2653174.1090203016</v>
      </c>
    </row>
    <row r="87" spans="1:19" x14ac:dyDescent="0.2">
      <c r="A87" s="22" t="s">
        <v>987</v>
      </c>
      <c r="B87" s="8"/>
      <c r="C87" s="8"/>
      <c r="D87" s="97">
        <f ca="1">D145</f>
        <v>0</v>
      </c>
      <c r="E87" s="97">
        <f t="shared" ref="E87:S87" ca="1" si="45">E145</f>
        <v>8.1651306246961181E-2</v>
      </c>
      <c r="F87" s="97">
        <f t="shared" ca="1" si="45"/>
        <v>4.502715153349951E-2</v>
      </c>
      <c r="G87" s="97">
        <f t="shared" ca="1" si="45"/>
        <v>5.396310427284956E-2</v>
      </c>
      <c r="H87" s="97">
        <f t="shared" ca="1" si="45"/>
        <v>4.6472536205250305E-2</v>
      </c>
      <c r="I87" s="97">
        <f t="shared" ca="1" si="45"/>
        <v>2.8658575023372716E-2</v>
      </c>
      <c r="J87" s="97">
        <f t="shared" ca="1" si="45"/>
        <v>1.9963827297880658E-2</v>
      </c>
      <c r="K87" s="97">
        <f t="shared" ca="1" si="45"/>
        <v>1.8515722919174679E-2</v>
      </c>
      <c r="L87" s="97">
        <f t="shared" ca="1" si="45"/>
        <v>2.4442872170382979E-2</v>
      </c>
      <c r="M87" s="97">
        <f t="shared" ca="1" si="45"/>
        <v>3.2213105749729708E-2</v>
      </c>
      <c r="N87" s="97">
        <f t="shared" ca="1" si="45"/>
        <v>4.1657608430483072E-2</v>
      </c>
      <c r="O87" s="97">
        <f t="shared" ca="1" si="45"/>
        <v>5.4174666594110681E-2</v>
      </c>
      <c r="P87" s="97">
        <f t="shared" ca="1" si="45"/>
        <v>7.0327853088011941E-2</v>
      </c>
      <c r="Q87" s="97">
        <f t="shared" ca="1" si="45"/>
        <v>9.3163881767232407E-2</v>
      </c>
      <c r="R87" s="97">
        <f t="shared" ca="1" si="45"/>
        <v>0.12349699319383167</v>
      </c>
      <c r="S87" s="97">
        <f t="shared" ca="1" si="45"/>
        <v>0.16468816657552643</v>
      </c>
    </row>
    <row r="88" spans="1:19" x14ac:dyDescent="0.2">
      <c r="A88" s="22" t="s">
        <v>936</v>
      </c>
      <c r="B88" s="8"/>
      <c r="C88" s="8"/>
      <c r="D88" s="117">
        <f>Assumptions!D$394</f>
        <v>0.06</v>
      </c>
      <c r="E88" s="117">
        <f>Assumptions!E$394</f>
        <v>6.3E-2</v>
      </c>
      <c r="F88" s="117">
        <f>Assumptions!F$394</f>
        <v>6.615E-2</v>
      </c>
      <c r="G88" s="117">
        <f>Assumptions!G$394</f>
        <v>6.9458000000000006E-2</v>
      </c>
      <c r="H88" s="117">
        <f>Assumptions!H$394</f>
        <v>7.2929999999999995E-2</v>
      </c>
      <c r="I88" s="117">
        <f>Assumptions!I$394</f>
        <v>7.6577000000000006E-2</v>
      </c>
      <c r="J88" s="117">
        <f>Assumptions!J$394</f>
        <v>8.0406000000000005E-2</v>
      </c>
      <c r="K88" s="117">
        <f>Assumptions!K$394</f>
        <v>8.4426000000000001E-2</v>
      </c>
      <c r="L88" s="117">
        <f>Assumptions!L$394</f>
        <v>8.8647000000000004E-2</v>
      </c>
      <c r="M88" s="117">
        <f>Assumptions!M$394</f>
        <v>9.3079999999999996E-2</v>
      </c>
      <c r="N88" s="117">
        <f>Assumptions!N$394</f>
        <v>9.7734000000000001E-2</v>
      </c>
      <c r="O88" s="117">
        <f>Assumptions!O$394</f>
        <v>0.10262</v>
      </c>
      <c r="P88" s="117">
        <f>Assumptions!P$394</f>
        <v>0.107751</v>
      </c>
      <c r="Q88" s="117">
        <f>Assumptions!Q$394</f>
        <v>0.113139</v>
      </c>
      <c r="R88" s="117">
        <f>Assumptions!R$394</f>
        <v>0.118796</v>
      </c>
      <c r="S88" s="117">
        <f>Assumptions!S$394</f>
        <v>0.124736</v>
      </c>
    </row>
    <row r="89" spans="1:19" x14ac:dyDescent="0.2">
      <c r="A89" s="22" t="s">
        <v>1088</v>
      </c>
      <c r="B89" s="8"/>
      <c r="C89" s="8"/>
      <c r="D89" s="67">
        <f t="shared" ref="D89:S89" ca="1" si="46">MAX(0, C89 + D85 - D193)</f>
        <v>0</v>
      </c>
      <c r="E89" s="67">
        <f t="shared" ca="1" si="46"/>
        <v>362.52886938757638</v>
      </c>
      <c r="F89" s="67">
        <f t="shared" ca="1" si="46"/>
        <v>832.86794683219705</v>
      </c>
      <c r="G89" s="67">
        <f t="shared" ca="1" si="46"/>
        <v>858.04270466105709</v>
      </c>
      <c r="H89" s="67">
        <f t="shared" ca="1" si="46"/>
        <v>898.79855269066297</v>
      </c>
      <c r="I89" s="67">
        <f t="shared" ca="1" si="46"/>
        <v>1039.3037716908084</v>
      </c>
      <c r="J89" s="67">
        <f t="shared" ca="1" si="46"/>
        <v>1310.5219450457546</v>
      </c>
      <c r="K89" s="67">
        <f t="shared" ca="1" si="46"/>
        <v>1861.2609036424744</v>
      </c>
      <c r="L89" s="67">
        <f t="shared" ca="1" si="46"/>
        <v>1861.2609036424744</v>
      </c>
      <c r="M89" s="67">
        <f t="shared" ca="1" si="46"/>
        <v>1879.4636510419043</v>
      </c>
      <c r="N89" s="67">
        <f t="shared" ca="1" si="46"/>
        <v>2193.854715093682</v>
      </c>
      <c r="O89" s="67">
        <f t="shared" ca="1" si="46"/>
        <v>2661.5750261112726</v>
      </c>
      <c r="P89" s="67">
        <f t="shared" ca="1" si="46"/>
        <v>3478.780622925743</v>
      </c>
      <c r="Q89" s="67">
        <f t="shared" ca="1" si="46"/>
        <v>4232.7309963968937</v>
      </c>
      <c r="R89" s="67">
        <f t="shared" ca="1" si="46"/>
        <v>5203.2342669829432</v>
      </c>
      <c r="S89" s="67">
        <f t="shared" ca="1" si="46"/>
        <v>6676.9970212474263</v>
      </c>
    </row>
    <row r="90" spans="1:19" x14ac:dyDescent="0.2">
      <c r="A90" s="22" t="s">
        <v>1089</v>
      </c>
      <c r="B90" s="8"/>
      <c r="C90" s="8"/>
      <c r="D90" s="67">
        <f t="shared" ref="D90:S90" ca="1" si="47">MAX(0, C90 + D86 - D194)</f>
        <v>0</v>
      </c>
      <c r="E90" s="67">
        <f t="shared" ca="1" si="47"/>
        <v>526441.04204676638</v>
      </c>
      <c r="F90" s="67">
        <f t="shared" ca="1" si="47"/>
        <v>1220002.1131784837</v>
      </c>
      <c r="G90" s="67">
        <f t="shared" ca="1" si="47"/>
        <v>1257698.9968459513</v>
      </c>
      <c r="H90" s="67">
        <f t="shared" ca="1" si="47"/>
        <v>1319671.1498159966</v>
      </c>
      <c r="I90" s="67">
        <f t="shared" ca="1" si="47"/>
        <v>1536624.1241061073</v>
      </c>
      <c r="J90" s="67">
        <f t="shared" ca="1" si="47"/>
        <v>1961887.9490813862</v>
      </c>
      <c r="K90" s="67">
        <f t="shared" ca="1" si="47"/>
        <v>2838791.7561981361</v>
      </c>
      <c r="L90" s="67">
        <f t="shared" ca="1" si="47"/>
        <v>2838791.7561981361</v>
      </c>
      <c r="M90" s="67">
        <f t="shared" ca="1" si="47"/>
        <v>2868678.3281396683</v>
      </c>
      <c r="N90" s="67">
        <f t="shared" ca="1" si="47"/>
        <v>3392852.7883989024</v>
      </c>
      <c r="O90" s="67">
        <f t="shared" ca="1" si="47"/>
        <v>4184731.0027135848</v>
      </c>
      <c r="P90" s="67">
        <f t="shared" ca="1" si="47"/>
        <v>5589710.5424208725</v>
      </c>
      <c r="Q90" s="67">
        <f t="shared" ca="1" si="47"/>
        <v>6905989.4748880677</v>
      </c>
      <c r="R90" s="67">
        <f t="shared" ca="1" si="47"/>
        <v>8626544.9308148436</v>
      </c>
      <c r="S90" s="67">
        <f t="shared" ca="1" si="47"/>
        <v>11279719.039835146</v>
      </c>
    </row>
    <row r="91" spans="1:19" x14ac:dyDescent="0.2">
      <c r="A91" s="22" t="s">
        <v>988</v>
      </c>
      <c r="B91" s="8"/>
      <c r="C91" s="8"/>
      <c r="D91" s="66">
        <f ca="1">C91*(1-Assumptions!$B$352)+D86*(D21/Assumptions!$B$95)*Assumptions!$B$339</f>
        <v>0</v>
      </c>
      <c r="E91" s="66">
        <f ca="1">D91*(1-Assumptions!$B$352)+E86*(E21/Assumptions!$B$95)*Assumptions!$B$339</f>
        <v>347135.22312563768</v>
      </c>
      <c r="F91" s="66">
        <f ca="1">E91*(1-Assumptions!$B$352)+F86*(F21/Assumptions!$B$95)*Assumptions!$B$339</f>
        <v>818503.30620870576</v>
      </c>
      <c r="G91" s="66">
        <f ca="1">F91*(1-Assumptions!$B$352)+G86*(G21/Assumptions!$B$95)*Assumptions!$B$339</f>
        <v>774860.71075134573</v>
      </c>
      <c r="H91" s="66">
        <f ca="1">G91*(1-Assumptions!$B$352)+H86*(H21/Assumptions!$B$95)*Assumptions!$B$339</f>
        <v>759365.61022347212</v>
      </c>
      <c r="I91" s="66">
        <f ca="1">H91*(1-Assumptions!$B$352)+I86*(I21/Assumptions!$B$95)*Assumptions!$B$339</f>
        <v>899714.47454085457</v>
      </c>
      <c r="J91" s="66">
        <f ca="1">I91*(1-Assumptions!$B$352)+J86*(J21/Assumptions!$B$95)*Assumptions!$B$339</f>
        <v>1268308.6430116673</v>
      </c>
      <c r="K91" s="66">
        <f ca="1">J91*(1-Assumptions!$B$352)+K86*(K21/Assumptions!$B$95)*Assumptions!$B$339</f>
        <v>2172956.4470406184</v>
      </c>
      <c r="L91" s="66">
        <f ca="1">K91*(1-Assumptions!$B$352)+L86*(L21/Assumptions!$B$95)*Assumptions!$B$339</f>
        <v>1977390.3668069628</v>
      </c>
      <c r="M91" s="66">
        <f ca="1">L91*(1-Assumptions!$B$352)+M86*(M21/Assumptions!$B$95)*Assumptions!$B$339</f>
        <v>1841363.124690209</v>
      </c>
      <c r="N91" s="66">
        <f ca="1">M91*(1-Assumptions!$B$352)+N86*(N21/Assumptions!$B$95)*Assumptions!$B$339</f>
        <v>2483998.9843261214</v>
      </c>
      <c r="O91" s="66">
        <f ca="1">N91*(1-Assumptions!$B$352)+O86*(O21/Assumptions!$B$95)*Assumptions!$B$339</f>
        <v>3602537.1775423591</v>
      </c>
      <c r="P91" s="66">
        <f ca="1">O91*(1-Assumptions!$B$352)+P86*(P21/Assumptions!$B$95)*Assumptions!$B$339</f>
        <v>5895247.5890827719</v>
      </c>
      <c r="Q91" s="66">
        <f ca="1">P91*(1-Assumptions!$B$352)+Q86*(Q21/Assumptions!$B$95)*Assumptions!$B$339</f>
        <v>8059119.4322210643</v>
      </c>
      <c r="R91" s="66">
        <f ca="1">Q91*(1-Assumptions!$B$352)+R86*(R21/Assumptions!$B$95)*Assumptions!$B$339</f>
        <v>11204481.811288696</v>
      </c>
      <c r="S91" s="66">
        <f ca="1">R91*(1-Assumptions!$B$352)+S86*(S21/Assumptions!$B$95)*Assumptions!$B$339</f>
        <v>16755754.42392499</v>
      </c>
    </row>
    <row r="92" spans="1:19" x14ac:dyDescent="0.2">
      <c r="A92" s="22" t="s">
        <v>989</v>
      </c>
      <c r="B92" s="8"/>
      <c r="C92" s="8"/>
      <c r="D92" s="66">
        <f ca="1">D91*D23*Assumptions!$B$334</f>
        <v>0</v>
      </c>
      <c r="E92" s="66">
        <f ca="1">E91*E23*Assumptions!$B$334</f>
        <v>1490043231.7444873</v>
      </c>
      <c r="F92" s="66">
        <f ca="1">F91*F23*Assumptions!$B$334</f>
        <v>4158651598.1851931</v>
      </c>
      <c r="G92" s="66">
        <f ca="1">G91*G23*Assumptions!$B$334</f>
        <v>4547812483.5417986</v>
      </c>
      <c r="H92" s="66">
        <f ca="1">H91*H23*Assumptions!$B$334</f>
        <v>5055552486.6237879</v>
      </c>
      <c r="I92" s="66">
        <f ca="1">I91*I23*Assumptions!$B$334</f>
        <v>6699273977.4312029</v>
      </c>
      <c r="J92" s="66">
        <f ca="1">J91*J23*Assumptions!$B$334</f>
        <v>9443826155.8648739</v>
      </c>
      <c r="K92" s="66">
        <f ca="1">K91*K23*Assumptions!$B$334</f>
        <v>16179833704.664444</v>
      </c>
      <c r="L92" s="66">
        <f ca="1">L91*L23*Assumptions!$B$334</f>
        <v>14723648671.244644</v>
      </c>
      <c r="M92" s="66">
        <f ca="1">M91*M23*Assumptions!$B$334</f>
        <v>13710789826.443296</v>
      </c>
      <c r="N92" s="66">
        <f ca="1">N91*N23*Assumptions!$B$334</f>
        <v>18495856437.292301</v>
      </c>
      <c r="O92" s="66">
        <f ca="1">O91*O23*Assumptions!$B$334</f>
        <v>26824491823.980404</v>
      </c>
      <c r="P92" s="66">
        <f ca="1">P91*P23*Assumptions!$B$334</f>
        <v>43896013548.310318</v>
      </c>
      <c r="Q92" s="66">
        <f ca="1">Q91*Q23*Assumptions!$B$334</f>
        <v>60008203292.318039</v>
      </c>
      <c r="R92" s="66">
        <f ca="1">R91*R23*Assumptions!$B$334</f>
        <v>83428571566.855637</v>
      </c>
      <c r="S92" s="66">
        <f ca="1">S91*S23*Assumptions!$B$334</f>
        <v>124763347440.54547</v>
      </c>
    </row>
    <row r="93" spans="1:19" x14ac:dyDescent="0.2">
      <c r="A93" s="22" t="s">
        <v>990</v>
      </c>
      <c r="B93" s="8"/>
      <c r="C93" s="8"/>
      <c r="D93" s="67">
        <f t="shared" ref="D93:S93" ca="1" si="48">D92*D208/1000000</f>
        <v>0</v>
      </c>
      <c r="E93" s="67">
        <f t="shared" ca="1" si="48"/>
        <v>2831.0821403145255</v>
      </c>
      <c r="F93" s="67">
        <f t="shared" ca="1" si="48"/>
        <v>7506.3661347242733</v>
      </c>
      <c r="G93" s="67">
        <f t="shared" ca="1" si="48"/>
        <v>7798.3614561532986</v>
      </c>
      <c r="H93" s="67">
        <f t="shared" ca="1" si="48"/>
        <v>8235.558195116233</v>
      </c>
      <c r="I93" s="67">
        <f t="shared" ca="1" si="48"/>
        <v>10367.540997652141</v>
      </c>
      <c r="J93" s="67">
        <f t="shared" ca="1" si="48"/>
        <v>13834.811221551965</v>
      </c>
      <c r="K93" s="67">
        <f t="shared" ca="1" si="48"/>
        <v>18934.971203165362</v>
      </c>
      <c r="L93" s="67">
        <f t="shared" ca="1" si="48"/>
        <v>16852.204232747663</v>
      </c>
      <c r="M93" s="67">
        <f t="shared" ca="1" si="48"/>
        <v>15200.619946638739</v>
      </c>
      <c r="N93" s="67">
        <f t="shared" ca="1" si="48"/>
        <v>19489.184201031436</v>
      </c>
      <c r="O93" s="67">
        <f t="shared" ca="1" si="48"/>
        <v>26784.077073717777</v>
      </c>
      <c r="P93" s="67">
        <f t="shared" ca="1" si="48"/>
        <v>41289.026982452619</v>
      </c>
      <c r="Q93" s="67">
        <f t="shared" ca="1" si="48"/>
        <v>53660.916863756931</v>
      </c>
      <c r="R93" s="67">
        <f t="shared" ca="1" si="48"/>
        <v>70900.959278472757</v>
      </c>
      <c r="S93" s="67">
        <f t="shared" ca="1" si="48"/>
        <v>101333.08129104803</v>
      </c>
    </row>
    <row r="94" spans="1:19" x14ac:dyDescent="0.2">
      <c r="A94" s="22" t="s">
        <v>963</v>
      </c>
      <c r="B94" s="8"/>
      <c r="C94" s="8"/>
      <c r="D94" s="92">
        <f>MAX(Assumptions!$B$373,Assumptions!$B$372*(1+Assumptions!$B$374)^D$5)*(1+IF(OR(D21&gt;C21,E21&gt;D21),Assumptions!$B$354,0))</f>
        <v>0.42</v>
      </c>
      <c r="E94" s="92">
        <f>MAX(Assumptions!$B$373,Assumptions!$B$372*(1+Assumptions!$B$374)^E$5)*(1+IF(OR(E21&gt;D21,F21&gt;E21),Assumptions!$B$354,0))</f>
        <v>0.35699999999999998</v>
      </c>
      <c r="F94" s="92">
        <f>MAX(Assumptions!$B$373,Assumptions!$B$372*(1+Assumptions!$B$374)^F$5)*(1+IF(OR(F21&gt;E21,G21&gt;F21),Assumptions!$B$354,0))</f>
        <v>0.30344999999999994</v>
      </c>
      <c r="G94" s="92">
        <f>MAX(Assumptions!$B$373,Assumptions!$B$372*(1+Assumptions!$B$374)^G$5)*(1+IF(OR(G21&gt;F21,H21&gt;G21),Assumptions!$B$354,0))</f>
        <v>0.25793249999999995</v>
      </c>
      <c r="H94" s="92">
        <f>MAX(Assumptions!$B$373,Assumptions!$B$372*(1+Assumptions!$B$374)^H$5)*(1+IF(OR(H21&gt;G21,I21&gt;H21),Assumptions!$B$354,0))</f>
        <v>0.21924262499999994</v>
      </c>
      <c r="I94" s="92">
        <f>MAX(Assumptions!$B$373,Assumptions!$B$372*(1+Assumptions!$B$374)^I$5)*(1+IF(OR(I21&gt;H21,J21&gt;I21),Assumptions!$B$354,0))</f>
        <v>0.18635623124999992</v>
      </c>
      <c r="J94" s="92">
        <f>MAX(Assumptions!$B$373,Assumptions!$B$372*(1+Assumptions!$B$374)^J$5)*(1+IF(OR(J21&gt;I21,K21&gt;J21),Assumptions!$B$354,0))</f>
        <v>0.15840279656249995</v>
      </c>
      <c r="K94" s="92">
        <f>MAX(Assumptions!$B$373,Assumptions!$B$372*(1+Assumptions!$B$374)^K$5)*(1+IF(OR(K21&gt;J21,L21&gt;K21),Assumptions!$B$354,0))</f>
        <v>0.13464237707812493</v>
      </c>
      <c r="L94" s="92">
        <f>MAX(Assumptions!$B$373,Assumptions!$B$372*(1+Assumptions!$B$374)^L$5)*(1+IF(OR(L21&gt;K21,M21&gt;L21),Assumptions!$B$354,0))</f>
        <v>0.1144460205164062</v>
      </c>
      <c r="M94" s="92">
        <f>MAX(Assumptions!$B$373,Assumptions!$B$372*(1+Assumptions!$B$374)^M$5)*(1+IF(OR(M21&gt;L21,N21&gt;M21),Assumptions!$B$354,0))</f>
        <v>0.11199999999999999</v>
      </c>
      <c r="N94" s="92">
        <f>MAX(Assumptions!$B$373,Assumptions!$B$372*(1+Assumptions!$B$374)^N$5)*(1+IF(OR(N21&gt;M21,O21&gt;N21),Assumptions!$B$354,0))</f>
        <v>0.11199999999999999</v>
      </c>
      <c r="O94" s="92">
        <f>MAX(Assumptions!$B$373,Assumptions!$B$372*(1+Assumptions!$B$374)^O$5)*(1+IF(OR(O21&gt;N21,P21&gt;O21),Assumptions!$B$354,0))</f>
        <v>0.11199999999999999</v>
      </c>
      <c r="P94" s="92">
        <f>MAX(Assumptions!$B$373,Assumptions!$B$372*(1+Assumptions!$B$374)^P$5)*(1+IF(OR(P21&gt;O21,Q21&gt;P21),Assumptions!$B$354,0))</f>
        <v>0.11199999999999999</v>
      </c>
      <c r="Q94" s="92">
        <f>MAX(Assumptions!$B$373,Assumptions!$B$372*(1+Assumptions!$B$374)^Q$5)*(1+IF(OR(Q21&gt;P21,R21&gt;Q21),Assumptions!$B$354,0))</f>
        <v>0.11199999999999999</v>
      </c>
      <c r="R94" s="92">
        <f>MAX(Assumptions!$B$373,Assumptions!$B$372*(1+Assumptions!$B$374)^R$5)*(1+IF(OR(R21&gt;Q21,S21&gt;R21),Assumptions!$B$354,0))</f>
        <v>0.11199999999999999</v>
      </c>
      <c r="S94" s="92">
        <f>MAX(Assumptions!$B$373,Assumptions!$B$372*(1+Assumptions!$B$374)^S$5)*(1+IF(S21&gt;R21,Assumptions!$B$354,0))</f>
        <v>0.11199999999999999</v>
      </c>
    </row>
    <row r="95" spans="1:19" x14ac:dyDescent="0.2">
      <c r="A95" s="22" t="s">
        <v>964</v>
      </c>
      <c r="B95" s="8"/>
      <c r="C95" s="8"/>
      <c r="D95" s="66">
        <f ca="1">D86*D24*Assumptions!$B$390/1000000</f>
        <v>0</v>
      </c>
      <c r="E95" s="66">
        <f ca="1">E86*E24*Assumptions!$B$390/1000000</f>
        <v>4868.8376529126399</v>
      </c>
      <c r="F95" s="66">
        <f ca="1">F86*F24*Assumptions!$B$390/1000000</f>
        <v>5992.0700291247467</v>
      </c>
      <c r="G95" s="66">
        <f ca="1">G86*G24*Assumptions!$B$390/1000000</f>
        <v>304.23854761072334</v>
      </c>
      <c r="H95" s="66">
        <f ca="1">H86*H24*Assumptions!$B$390/1000000</f>
        <v>467.22061004743728</v>
      </c>
      <c r="I95" s="66">
        <f ca="1">I86*I24*Assumptions!$B$390/1000000</f>
        <v>1527.9446933913698</v>
      </c>
      <c r="J95" s="66">
        <f ca="1">J86*J24*Assumptions!$B$390/1000000</f>
        <v>2797.8027020897612</v>
      </c>
      <c r="K95" s="66">
        <f ca="1">K86*K24*Assumptions!$B$390/1000000</f>
        <v>5389.2361952626361</v>
      </c>
      <c r="L95" s="66">
        <f ca="1">L86*L24*Assumptions!$B$390/1000000</f>
        <v>0</v>
      </c>
      <c r="M95" s="66">
        <f ca="1">M86*M24*Assumptions!$B$390/1000000</f>
        <v>160.28194427784689</v>
      </c>
      <c r="N95" s="66">
        <f ca="1">N86*N24*Assumptions!$B$390/1000000</f>
        <v>2626.0378016009636</v>
      </c>
      <c r="O95" s="66">
        <f ca="1">O86*O24*Assumptions!$B$390/1000000</f>
        <v>3705.9549012728853</v>
      </c>
      <c r="P95" s="66">
        <f ca="1">P86*P24*Assumptions!$B$390/1000000</f>
        <v>6142.2622172366137</v>
      </c>
      <c r="Q95" s="66">
        <f ca="1">Q86*Q24*Assumptions!$B$390/1000000</f>
        <v>5375.5499471435205</v>
      </c>
      <c r="R95" s="66">
        <f ca="1">R86*R24*Assumptions!$B$390/1000000</f>
        <v>6563.8744332008528</v>
      </c>
      <c r="S95" s="66">
        <f ca="1">S86*S24*Assumptions!$B$390/1000000</f>
        <v>9455.2705046366173</v>
      </c>
    </row>
    <row r="96" spans="1:19" x14ac:dyDescent="0.2">
      <c r="A96" s="22" t="s">
        <v>966</v>
      </c>
      <c r="B96" s="8"/>
      <c r="C96" s="8"/>
      <c r="D96" s="67">
        <f ca="1">D93*(1-D87)</f>
        <v>0</v>
      </c>
      <c r="E96" s="67">
        <f t="shared" ref="E96:S96" ca="1" si="49">E93*(1-E87)</f>
        <v>2599.9205854654019</v>
      </c>
      <c r="F96" s="67">
        <f t="shared" ca="1" si="49"/>
        <v>7168.375849310115</v>
      </c>
      <c r="G96" s="67">
        <f t="shared" ca="1" si="49"/>
        <v>7377.5376637375275</v>
      </c>
      <c r="H96" s="67">
        <f t="shared" ca="1" si="49"/>
        <v>7852.830918723248</v>
      </c>
      <c r="I96" s="67">
        <f t="shared" ca="1" si="49"/>
        <v>10070.422046163034</v>
      </c>
      <c r="J96" s="67">
        <f t="shared" ca="1" si="49"/>
        <v>13558.615439626119</v>
      </c>
      <c r="K96" s="67">
        <f t="shared" ca="1" si="49"/>
        <v>18584.376522884999</v>
      </c>
      <c r="L96" s="67">
        <f t="shared" ca="1" si="49"/>
        <v>16440.287958897425</v>
      </c>
      <c r="M96" s="67">
        <f t="shared" ca="1" si="49"/>
        <v>14710.960768836214</v>
      </c>
      <c r="N96" s="67">
        <f t="shared" ca="1" si="49"/>
        <v>18677.311396955312</v>
      </c>
      <c r="O96" s="67">
        <f t="shared" ca="1" si="49"/>
        <v>25333.058628218154</v>
      </c>
      <c r="P96" s="67">
        <f t="shared" ca="1" si="49"/>
        <v>38385.258358683728</v>
      </c>
      <c r="Q96" s="67">
        <f t="shared" ca="1" si="49"/>
        <v>48661.657549540592</v>
      </c>
      <c r="R96" s="67">
        <f t="shared" ca="1" si="49"/>
        <v>62144.903993023072</v>
      </c>
      <c r="S96" s="67">
        <f t="shared" ca="1" si="49"/>
        <v>84644.721919776552</v>
      </c>
    </row>
    <row r="97" spans="1:19" x14ac:dyDescent="0.2">
      <c r="A97" s="22" t="s">
        <v>967</v>
      </c>
      <c r="B97" s="8"/>
      <c r="C97" s="8"/>
      <c r="D97" s="66">
        <f ca="1">D89*Assumptions!$B$97*1000*D23*Assumptions!$B$334*D88/1000000</f>
        <v>0</v>
      </c>
      <c r="E97" s="66">
        <f ca="1">E89*Assumptions!$B$97*1000*E23*Assumptions!$B$334*E88/1000000</f>
        <v>137.2496886522043</v>
      </c>
      <c r="F97" s="66">
        <f ca="1">F89*Assumptions!$B$97*1000*F23*Assumptions!$B$334*F88/1000000</f>
        <v>391.89176034558415</v>
      </c>
      <c r="G97" s="66">
        <f ca="1">G89*Assumptions!$B$97*1000*G23*Assumptions!$B$334*G88/1000000</f>
        <v>489.70904054029546</v>
      </c>
      <c r="H97" s="66">
        <f ca="1">H89*Assumptions!$B$97*1000*H23*Assumptions!$B$334*H88/1000000</f>
        <v>610.96215873505059</v>
      </c>
      <c r="I97" s="66">
        <f ca="1">I89*Assumptions!$B$97*1000*I23*Assumptions!$B$334*I88/1000000</f>
        <v>829.64427228174156</v>
      </c>
      <c r="J97" s="66">
        <f ca="1">J89*Assumptions!$B$97*1000*J23*Assumptions!$B$334*J88/1000000</f>
        <v>1098.4589275301551</v>
      </c>
      <c r="K97" s="66">
        <f ca="1">K89*Assumptions!$B$97*1000*K23*Assumptions!$B$334*K88/1000000</f>
        <v>1638.0778427680054</v>
      </c>
      <c r="L97" s="66">
        <f ca="1">L89*Assumptions!$B$97*1000*L23*Assumptions!$B$334*L88/1000000</f>
        <v>1719.9759141479567</v>
      </c>
      <c r="M97" s="66">
        <f ca="1">M89*Assumptions!$B$97*1000*M23*Assumptions!$B$334*M88/1000000</f>
        <v>1823.649504675388</v>
      </c>
      <c r="N97" s="66">
        <f ca="1">N89*Assumptions!$B$97*1000*N23*Assumptions!$B$334*N88/1000000</f>
        <v>2235.1393523397346</v>
      </c>
      <c r="O97" s="66">
        <f ca="1">O89*Assumptions!$B$97*1000*O23*Assumptions!$B$334*O88/1000000</f>
        <v>2847.225015699184</v>
      </c>
      <c r="P97" s="66">
        <f ca="1">P89*Assumptions!$B$97*1000*P23*Assumptions!$B$334*P88/1000000</f>
        <v>3907.5038923870475</v>
      </c>
      <c r="Q97" s="66">
        <f ca="1">Q89*Assumptions!$B$97*1000*Q23*Assumptions!$B$334*Q88/1000000</f>
        <v>4992.1091445277334</v>
      </c>
      <c r="R97" s="66">
        <f ca="1">R89*Assumptions!$B$97*1000*R23*Assumptions!$B$334*R88/1000000</f>
        <v>6443.5657583959837</v>
      </c>
      <c r="S97" s="66">
        <f ca="1">S89*Assumptions!$B$97*1000*S23*Assumptions!$B$334*S88/1000000</f>
        <v>8682.0855949709076</v>
      </c>
    </row>
    <row r="98" spans="1:19" x14ac:dyDescent="0.2">
      <c r="A98" s="22" t="s">
        <v>971</v>
      </c>
      <c r="B98" s="8"/>
      <c r="C98" s="8"/>
      <c r="D98" s="66">
        <f ca="1">D93*(Assumptions!$B$361+Assumptions!$B$362)</f>
        <v>0</v>
      </c>
      <c r="E98" s="66">
        <f ca="1">E93*(Assumptions!$B$361+Assumptions!$B$362)</f>
        <v>113.24328561258102</v>
      </c>
      <c r="F98" s="66">
        <f ca="1">F93*(Assumptions!$B$361+Assumptions!$B$362)</f>
        <v>300.25464538897091</v>
      </c>
      <c r="G98" s="66">
        <f ca="1">G93*(Assumptions!$B$361+Assumptions!$B$362)</f>
        <v>311.93445824613195</v>
      </c>
      <c r="H98" s="66">
        <f ca="1">H93*(Assumptions!$B$361+Assumptions!$B$362)</f>
        <v>329.42232780464934</v>
      </c>
      <c r="I98" s="66">
        <f ca="1">I93*(Assumptions!$B$361+Assumptions!$B$362)</f>
        <v>414.70163990608563</v>
      </c>
      <c r="J98" s="66">
        <f ca="1">J93*(Assumptions!$B$361+Assumptions!$B$362)</f>
        <v>553.3924488620786</v>
      </c>
      <c r="K98" s="66">
        <f ca="1">K93*(Assumptions!$B$361+Assumptions!$B$362)</f>
        <v>757.39884812661444</v>
      </c>
      <c r="L98" s="66">
        <f ca="1">L93*(Assumptions!$B$361+Assumptions!$B$362)</f>
        <v>674.08816930990656</v>
      </c>
      <c r="M98" s="66">
        <f ca="1">M93*(Assumptions!$B$361+Assumptions!$B$362)</f>
        <v>608.02479786554954</v>
      </c>
      <c r="N98" s="66">
        <f ca="1">N93*(Assumptions!$B$361+Assumptions!$B$362)</f>
        <v>779.5673680412574</v>
      </c>
      <c r="O98" s="66">
        <f ca="1">O93*(Assumptions!$B$361+Assumptions!$B$362)</f>
        <v>1071.3630829487111</v>
      </c>
      <c r="P98" s="66">
        <f ca="1">P93*(Assumptions!$B$361+Assumptions!$B$362)</f>
        <v>1651.5610792981047</v>
      </c>
      <c r="Q98" s="66">
        <f ca="1">Q93*(Assumptions!$B$361+Assumptions!$B$362)</f>
        <v>2146.4366745502771</v>
      </c>
      <c r="R98" s="66">
        <f ca="1">R93*(Assumptions!$B$361+Assumptions!$B$362)</f>
        <v>2836.0383711389104</v>
      </c>
      <c r="S98" s="66">
        <f ca="1">S93*(Assumptions!$B$361+Assumptions!$B$362)</f>
        <v>4053.3232516419212</v>
      </c>
    </row>
    <row r="99" spans="1:19" x14ac:dyDescent="0.2">
      <c r="A99" s="22" t="s">
        <v>972</v>
      </c>
      <c r="B99" s="8"/>
      <c r="C99" s="8"/>
      <c r="D99" s="66">
        <f ca="1">(D89*Assumptions!$B$364*(1+Assumptions!$B$413)^D$5+D90*D24*Assumptions!$B$390)/1000000/Assumptions!$B$22</f>
        <v>0</v>
      </c>
      <c r="E99" s="66">
        <f ca="1">(E89*Assumptions!$B$364*(1+Assumptions!$B$413)^E$5+E90*E24*Assumptions!$B$390)/1000000/Assumptions!$B$22</f>
        <v>830.67947852589919</v>
      </c>
      <c r="F99" s="66">
        <f ca="1">(F89*Assumptions!$B$364*(1+Assumptions!$B$413)^F$5+F90*F24*Assumptions!$B$390)/1000000/Assumptions!$B$22</f>
        <v>1920.0161003448402</v>
      </c>
      <c r="G99" s="66">
        <f ca="1">(G89*Assumptions!$B$364*(1+Assumptions!$B$413)^G$5+G90*G24*Assumptions!$B$390)/1000000/Assumptions!$B$22</f>
        <v>1989.7664036344445</v>
      </c>
      <c r="H99" s="66">
        <f ca="1">(H89*Assumptions!$B$364*(1+Assumptions!$B$413)^H$5+H90*H24*Assumptions!$B$390)/1000000/Assumptions!$B$22</f>
        <v>2103.3685430873993</v>
      </c>
      <c r="I99" s="66">
        <f ca="1">(I89*Assumptions!$B$364*(1+Assumptions!$B$413)^I$5+I90*I24*Assumptions!$B$390)/1000000/Assumptions!$B$22</f>
        <v>2464.9409081861236</v>
      </c>
      <c r="J99" s="66">
        <f ca="1">(J89*Assumptions!$B$364*(1+Assumptions!$B$413)^J$5+J90*J24*Assumptions!$B$390)/1000000/Assumptions!$B$22</f>
        <v>3162.2579479759002</v>
      </c>
      <c r="K99" s="66">
        <f ca="1">(K89*Assumptions!$B$364*(1+Assumptions!$B$413)^K$5+K90*K24*Assumptions!$B$390)/1000000/Assumptions!$B$22</f>
        <v>4585.8322539482206</v>
      </c>
      <c r="L99" s="66">
        <f ca="1">(L89*Assumptions!$B$364*(1+Assumptions!$B$413)^L$5+L90*L24*Assumptions!$B$390)/1000000/Assumptions!$B$22</f>
        <v>4670.1103889266587</v>
      </c>
      <c r="M99" s="66">
        <f ca="1">(M89*Assumptions!$B$364*(1+Assumptions!$B$413)^M$5+M90*M24*Assumptions!$B$390)/1000000/Assumptions!$B$22</f>
        <v>4814.3723295484615</v>
      </c>
      <c r="N99" s="66">
        <f ca="1">(N89*Assumptions!$B$364*(1+Assumptions!$B$413)^N$5+N90*N24*Assumptions!$B$390)/1000000/Assumptions!$B$22</f>
        <v>5763.5256364820825</v>
      </c>
      <c r="O99" s="66">
        <f ca="1">(O89*Assumptions!$B$364*(1+Assumptions!$B$413)^O$5+O90*O24*Assumptions!$B$390)/1000000/Assumptions!$B$22</f>
        <v>7187.1622423806848</v>
      </c>
      <c r="P99" s="66">
        <f ca="1">(P89*Assumptions!$B$364*(1+Assumptions!$B$413)^P$5+P90*P24*Assumptions!$B$390)/1000000/Assumptions!$B$22</f>
        <v>9677.8365771292429</v>
      </c>
      <c r="Q99" s="66">
        <f ca="1">(Q89*Assumptions!$B$364*(1+Assumptions!$B$413)^Q$5+Q90*Q24*Assumptions!$B$390)/1000000/Assumptions!$B$22</f>
        <v>12133.585581733749</v>
      </c>
      <c r="R99" s="66">
        <f ca="1">(R89*Assumptions!$B$364*(1+Assumptions!$B$413)^R$5+R90*R24*Assumptions!$B$390)/1000000/Assumptions!$B$22</f>
        <v>15390.712606070598</v>
      </c>
      <c r="S99" s="66">
        <f ca="1">(S89*Assumptions!$B$364*(1+Assumptions!$B$413)^S$5+S90*S24*Assumptions!$B$390)/1000000/Assumptions!$B$22</f>
        <v>20410.345041458611</v>
      </c>
    </row>
    <row r="100" spans="1:19" x14ac:dyDescent="0.2">
      <c r="A100" s="22" t="s">
        <v>973</v>
      </c>
      <c r="B100" s="8"/>
      <c r="C100" s="8"/>
      <c r="D100" s="67">
        <f ca="1">D97+D98</f>
        <v>0</v>
      </c>
      <c r="E100" s="67">
        <f t="shared" ref="E100:S100" ca="1" si="50">E97+E98</f>
        <v>250.49297426478532</v>
      </c>
      <c r="F100" s="67">
        <f t="shared" ca="1" si="50"/>
        <v>692.14640573455506</v>
      </c>
      <c r="G100" s="67">
        <f t="shared" ca="1" si="50"/>
        <v>801.64349878642747</v>
      </c>
      <c r="H100" s="67">
        <f t="shared" ca="1" si="50"/>
        <v>940.38448653969999</v>
      </c>
      <c r="I100" s="67">
        <f t="shared" ca="1" si="50"/>
        <v>1244.3459121878273</v>
      </c>
      <c r="J100" s="67">
        <f t="shared" ca="1" si="50"/>
        <v>1651.8513763922338</v>
      </c>
      <c r="K100" s="67">
        <f t="shared" ca="1" si="50"/>
        <v>2395.4766908946199</v>
      </c>
      <c r="L100" s="67">
        <f t="shared" ca="1" si="50"/>
        <v>2394.0640834578635</v>
      </c>
      <c r="M100" s="67">
        <f t="shared" ca="1" si="50"/>
        <v>2431.6743025409378</v>
      </c>
      <c r="N100" s="67">
        <f t="shared" ca="1" si="50"/>
        <v>3014.706720380992</v>
      </c>
      <c r="O100" s="67">
        <f t="shared" ca="1" si="50"/>
        <v>3918.5880986478951</v>
      </c>
      <c r="P100" s="67">
        <f t="shared" ca="1" si="50"/>
        <v>5559.0649716851522</v>
      </c>
      <c r="Q100" s="67">
        <f t="shared" ca="1" si="50"/>
        <v>7138.54581907801</v>
      </c>
      <c r="R100" s="67">
        <f t="shared" ca="1" si="50"/>
        <v>9279.604129534895</v>
      </c>
      <c r="S100" s="67">
        <f t="shared" ca="1" si="50"/>
        <v>12735.408846612829</v>
      </c>
    </row>
    <row r="101" spans="1:19" x14ac:dyDescent="0.2">
      <c r="A101" s="22" t="s">
        <v>974</v>
      </c>
      <c r="B101" s="8"/>
      <c r="C101" s="8"/>
      <c r="D101" s="67">
        <f ca="1">D99+D100</f>
        <v>0</v>
      </c>
      <c r="E101" s="67">
        <f t="shared" ref="E101:S101" ca="1" si="51">E99+E100</f>
        <v>1081.1724527906845</v>
      </c>
      <c r="F101" s="67">
        <f t="shared" ca="1" si="51"/>
        <v>2612.1625060793954</v>
      </c>
      <c r="G101" s="67">
        <f t="shared" ca="1" si="51"/>
        <v>2791.4099024208717</v>
      </c>
      <c r="H101" s="67">
        <f t="shared" ca="1" si="51"/>
        <v>3043.7530296270993</v>
      </c>
      <c r="I101" s="67">
        <f t="shared" ca="1" si="51"/>
        <v>3709.2868203739508</v>
      </c>
      <c r="J101" s="67">
        <f t="shared" ca="1" si="51"/>
        <v>4814.1093243681335</v>
      </c>
      <c r="K101" s="67">
        <f t="shared" ca="1" si="51"/>
        <v>6981.30894484284</v>
      </c>
      <c r="L101" s="67">
        <f t="shared" ca="1" si="51"/>
        <v>7064.1744723845222</v>
      </c>
      <c r="M101" s="67">
        <f t="shared" ca="1" si="51"/>
        <v>7246.0466320893993</v>
      </c>
      <c r="N101" s="67">
        <f t="shared" ca="1" si="51"/>
        <v>8778.2323568630745</v>
      </c>
      <c r="O101" s="67">
        <f t="shared" ca="1" si="51"/>
        <v>11105.750341028579</v>
      </c>
      <c r="P101" s="67">
        <f t="shared" ca="1" si="51"/>
        <v>15236.901548814396</v>
      </c>
      <c r="Q101" s="67">
        <f t="shared" ca="1" si="51"/>
        <v>19272.131400811759</v>
      </c>
      <c r="R101" s="67">
        <f t="shared" ca="1" si="51"/>
        <v>24670.316735605491</v>
      </c>
      <c r="S101" s="67">
        <f t="shared" ca="1" si="51"/>
        <v>33145.753888071442</v>
      </c>
    </row>
    <row r="102" spans="1:19" x14ac:dyDescent="0.2">
      <c r="A102" s="22" t="s">
        <v>975</v>
      </c>
      <c r="B102" s="8"/>
      <c r="C102" s="8"/>
      <c r="D102" s="67">
        <f ca="1">D101*D87</f>
        <v>0</v>
      </c>
      <c r="E102" s="67">
        <f t="shared" ref="E102:S102" ca="1" si="52">E101*E87</f>
        <v>88.279143048590356</v>
      </c>
      <c r="F102" s="67">
        <f t="shared" ca="1" si="52"/>
        <v>117.61823699136276</v>
      </c>
      <c r="G102" s="67">
        <f t="shared" ca="1" si="52"/>
        <v>150.63314363260233</v>
      </c>
      <c r="H102" s="67">
        <f t="shared" ca="1" si="52"/>
        <v>141.45092286918569</v>
      </c>
      <c r="I102" s="67">
        <f t="shared" ca="1" si="52"/>
        <v>106.3028746248945</v>
      </c>
      <c r="J102" s="67">
        <f t="shared" ca="1" si="52"/>
        <v>96.108047144802356</v>
      </c>
      <c r="K102" s="67">
        <f t="shared" ca="1" si="52"/>
        <v>129.26398203586578</v>
      </c>
      <c r="L102" s="67">
        <f t="shared" ca="1" si="52"/>
        <v>172.66871361777751</v>
      </c>
      <c r="M102" s="67">
        <f t="shared" ca="1" si="52"/>
        <v>233.41766642696862</v>
      </c>
      <c r="N102" s="67">
        <f t="shared" ca="1" si="52"/>
        <v>365.68016623399848</v>
      </c>
      <c r="O102" s="67">
        <f t="shared" ca="1" si="52"/>
        <v>601.65032200265421</v>
      </c>
      <c r="P102" s="67">
        <f t="shared" ca="1" si="52"/>
        <v>1071.5785736415205</v>
      </c>
      <c r="Q102" s="67">
        <f t="shared" ca="1" si="52"/>
        <v>1795.4665712277938</v>
      </c>
      <c r="R102" s="67">
        <f t="shared" ca="1" si="52"/>
        <v>3046.7099379867427</v>
      </c>
      <c r="S102" s="67">
        <f t="shared" ca="1" si="52"/>
        <v>5458.7134375901123</v>
      </c>
    </row>
    <row r="103" spans="1:19" x14ac:dyDescent="0.2">
      <c r="A103" s="20" t="s">
        <v>976</v>
      </c>
      <c r="B103" s="20"/>
      <c r="C103" s="20"/>
      <c r="D103" s="85">
        <f ca="1">D96+D102</f>
        <v>0</v>
      </c>
      <c r="E103" s="85">
        <f t="shared" ref="E103:S103" ca="1" si="53">E96+E102</f>
        <v>2688.1997285139923</v>
      </c>
      <c r="F103" s="85">
        <f t="shared" ca="1" si="53"/>
        <v>7285.9940863014781</v>
      </c>
      <c r="G103" s="85">
        <f t="shared" ca="1" si="53"/>
        <v>7528.1708073701302</v>
      </c>
      <c r="H103" s="85">
        <f t="shared" ca="1" si="53"/>
        <v>7994.2818415924339</v>
      </c>
      <c r="I103" s="85">
        <f t="shared" ca="1" si="53"/>
        <v>10176.724920787929</v>
      </c>
      <c r="J103" s="85">
        <f t="shared" ca="1" si="53"/>
        <v>13654.723486770921</v>
      </c>
      <c r="K103" s="85">
        <f t="shared" ca="1" si="53"/>
        <v>18713.640504920866</v>
      </c>
      <c r="L103" s="85">
        <f t="shared" ca="1" si="53"/>
        <v>16612.956672515204</v>
      </c>
      <c r="M103" s="85">
        <f t="shared" ca="1" si="53"/>
        <v>14944.378435263183</v>
      </c>
      <c r="N103" s="85">
        <f t="shared" ca="1" si="53"/>
        <v>19042.991563189309</v>
      </c>
      <c r="O103" s="85">
        <f t="shared" ca="1" si="53"/>
        <v>25934.708950220807</v>
      </c>
      <c r="P103" s="85">
        <f t="shared" ca="1" si="53"/>
        <v>39456.836932325248</v>
      </c>
      <c r="Q103" s="85">
        <f t="shared" ca="1" si="53"/>
        <v>50457.124120768385</v>
      </c>
      <c r="R103" s="85">
        <f t="shared" ca="1" si="53"/>
        <v>65191.613931009815</v>
      </c>
      <c r="S103" s="85">
        <f t="shared" ca="1" si="53"/>
        <v>90103.435357366659</v>
      </c>
    </row>
    <row r="104" spans="1:19" x14ac:dyDescent="0.2">
      <c r="A104" s="20" t="s">
        <v>536</v>
      </c>
      <c r="B104" s="20"/>
      <c r="C104" s="20"/>
      <c r="D104" s="85">
        <f ca="1">D103-D97</f>
        <v>0</v>
      </c>
      <c r="E104" s="85">
        <f t="shared" ref="E104:S104" ca="1" si="54">E103-E97</f>
        <v>2550.9500398617879</v>
      </c>
      <c r="F104" s="85">
        <f t="shared" ca="1" si="54"/>
        <v>6894.1023259558942</v>
      </c>
      <c r="G104" s="85">
        <f t="shared" ca="1" si="54"/>
        <v>7038.4617668298351</v>
      </c>
      <c r="H104" s="85">
        <f t="shared" ca="1" si="54"/>
        <v>7383.3196828573837</v>
      </c>
      <c r="I104" s="85">
        <f t="shared" ca="1" si="54"/>
        <v>9347.0806485061876</v>
      </c>
      <c r="J104" s="85">
        <f t="shared" ca="1" si="54"/>
        <v>12556.264559240766</v>
      </c>
      <c r="K104" s="85">
        <f t="shared" ca="1" si="54"/>
        <v>17075.562662152861</v>
      </c>
      <c r="L104" s="85">
        <f t="shared" ca="1" si="54"/>
        <v>14892.980758367246</v>
      </c>
      <c r="M104" s="85">
        <f t="shared" ca="1" si="54"/>
        <v>13120.728930587795</v>
      </c>
      <c r="N104" s="85">
        <f t="shared" ca="1" si="54"/>
        <v>16807.852210849574</v>
      </c>
      <c r="O104" s="85">
        <f t="shared" ca="1" si="54"/>
        <v>23087.483934521624</v>
      </c>
      <c r="P104" s="85">
        <f t="shared" ca="1" si="54"/>
        <v>35549.333039938203</v>
      </c>
      <c r="Q104" s="85">
        <f t="shared" ca="1" si="54"/>
        <v>45465.014976240651</v>
      </c>
      <c r="R104" s="85">
        <f t="shared" ca="1" si="54"/>
        <v>58748.048172613831</v>
      </c>
      <c r="S104" s="85">
        <f t="shared" ca="1" si="54"/>
        <v>81421.349762395752</v>
      </c>
    </row>
    <row r="105" spans="1:19" x14ac:dyDescent="0.2">
      <c r="A105" s="22" t="s">
        <v>544</v>
      </c>
      <c r="B105" s="8"/>
      <c r="C105" s="8"/>
      <c r="D105" s="67">
        <f ca="1">(D96+D102)*D94</f>
        <v>0</v>
      </c>
      <c r="E105" s="67">
        <f t="shared" ref="E105:S105" ca="1" si="55">(E96+E102)*E94</f>
        <v>959.68730307949522</v>
      </c>
      <c r="F105" s="67">
        <f t="shared" ca="1" si="55"/>
        <v>2210.9349054881832</v>
      </c>
      <c r="G105" s="67">
        <f t="shared" ca="1" si="55"/>
        <v>1941.7599167719957</v>
      </c>
      <c r="H105" s="67">
        <f t="shared" ca="1" si="55"/>
        <v>1752.687335940559</v>
      </c>
      <c r="I105" s="67">
        <f t="shared" ca="1" si="55"/>
        <v>1896.4961027059924</v>
      </c>
      <c r="J105" s="67">
        <f t="shared" ca="1" si="55"/>
        <v>2162.9463865921643</v>
      </c>
      <c r="K105" s="67">
        <f t="shared" ca="1" si="55"/>
        <v>2519.6490413680276</v>
      </c>
      <c r="L105" s="67">
        <f t="shared" ca="1" si="55"/>
        <v>1901.2867801808422</v>
      </c>
      <c r="M105" s="67">
        <f t="shared" ca="1" si="55"/>
        <v>1673.7703847494763</v>
      </c>
      <c r="N105" s="67">
        <f t="shared" ca="1" si="55"/>
        <v>2132.8150550772025</v>
      </c>
      <c r="O105" s="67">
        <f t="shared" ca="1" si="55"/>
        <v>2904.68740242473</v>
      </c>
      <c r="P105" s="67">
        <f t="shared" ca="1" si="55"/>
        <v>4419.1657364204275</v>
      </c>
      <c r="Q105" s="67">
        <f t="shared" ca="1" si="55"/>
        <v>5651.1979015260586</v>
      </c>
      <c r="R105" s="67">
        <f t="shared" ca="1" si="55"/>
        <v>7301.4607602730985</v>
      </c>
      <c r="S105" s="67">
        <f t="shared" ca="1" si="55"/>
        <v>10091.584760025065</v>
      </c>
    </row>
    <row r="106" spans="1:19" x14ac:dyDescent="0.2">
      <c r="A106" s="20" t="s">
        <v>977</v>
      </c>
      <c r="B106" s="20"/>
      <c r="C106" s="20"/>
      <c r="D106" s="85">
        <f ca="1">D104-D98-D105-D99</f>
        <v>0</v>
      </c>
      <c r="E106" s="85">
        <f t="shared" ref="E106:S106" ca="1" si="56">E104-E98-E105-E99</f>
        <v>647.33997264381242</v>
      </c>
      <c r="F106" s="85">
        <f t="shared" ca="1" si="56"/>
        <v>2462.8966747339</v>
      </c>
      <c r="G106" s="85">
        <f t="shared" ca="1" si="56"/>
        <v>2795.0009881772635</v>
      </c>
      <c r="H106" s="85">
        <f t="shared" ca="1" si="56"/>
        <v>3197.8414760247761</v>
      </c>
      <c r="I106" s="85">
        <f t="shared" ca="1" si="56"/>
        <v>4570.941997707987</v>
      </c>
      <c r="J106" s="85">
        <f t="shared" ca="1" si="56"/>
        <v>6677.6677758106234</v>
      </c>
      <c r="K106" s="85">
        <f t="shared" ca="1" si="56"/>
        <v>9212.6825187099967</v>
      </c>
      <c r="L106" s="85">
        <f t="shared" ca="1" si="56"/>
        <v>7647.4954199498379</v>
      </c>
      <c r="M106" s="85">
        <f t="shared" ca="1" si="56"/>
        <v>6024.5614184243077</v>
      </c>
      <c r="N106" s="85">
        <f t="shared" ca="1" si="56"/>
        <v>8131.9441512490312</v>
      </c>
      <c r="O106" s="85">
        <f t="shared" ca="1" si="56"/>
        <v>11924.271206767498</v>
      </c>
      <c r="P106" s="85">
        <f t="shared" ca="1" si="56"/>
        <v>19800.769647090427</v>
      </c>
      <c r="Q106" s="85">
        <f t="shared" ca="1" si="56"/>
        <v>25533.794818430564</v>
      </c>
      <c r="R106" s="85">
        <f t="shared" ca="1" si="56"/>
        <v>33219.836435131227</v>
      </c>
      <c r="S106" s="85">
        <f t="shared" ca="1" si="56"/>
        <v>46866.096709270147</v>
      </c>
    </row>
    <row r="107" spans="1:19" x14ac:dyDescent="0.2">
      <c r="A107" s="22" t="s">
        <v>991</v>
      </c>
      <c r="B107" s="8"/>
      <c r="C107" s="8"/>
      <c r="D107" s="66">
        <f ca="1">(D85*Assumptions!$B$364*(1+Assumptions!$B$413)^D$5+D86*D24*Assumptions!$B$390)/1000000</f>
        <v>0</v>
      </c>
      <c r="E107" s="66">
        <f ca="1">(E85*Assumptions!$B$364*(1+Assumptions!$B$413)^E$5+E86*E24*Assumptions!$B$390)/1000000</f>
        <v>12460.192177888488</v>
      </c>
      <c r="F107" s="66">
        <f ca="1">(F85*Assumptions!$B$364*(1+Assumptions!$B$413)^F$5+F86*F24*Assumptions!$B$390)/1000000</f>
        <v>16303.868624054547</v>
      </c>
      <c r="G107" s="66">
        <f ca="1">(G85*Assumptions!$B$364*(1+Assumptions!$B$413)^G$5+G86*G24*Assumptions!$B$390)/1000000</f>
        <v>882.11545804558682</v>
      </c>
      <c r="H107" s="66">
        <f ca="1">(H85*Assumptions!$B$364*(1+Assumptions!$B$413)^H$5+H86*H24*Assumptions!$B$390)/1000000</f>
        <v>1446.7256084901032</v>
      </c>
      <c r="I107" s="66">
        <f ca="1">(I85*Assumptions!$B$364*(1+Assumptions!$B$413)^I$5+I86*I24*Assumptions!$B$390)/1000000</f>
        <v>5063.4855496678392</v>
      </c>
      <c r="J107" s="66">
        <f ca="1">(J85*Assumptions!$B$364*(1+Assumptions!$B$413)^J$5+J86*J24*Assumptions!$B$390)/1000000</f>
        <v>9943.2409843824498</v>
      </c>
      <c r="K107" s="66">
        <f ca="1">(K85*Assumptions!$B$364*(1+Assumptions!$B$413)^K$5+K86*K24*Assumptions!$B$390)/1000000</f>
        <v>20580.802953273542</v>
      </c>
      <c r="L107" s="66">
        <f ca="1">(L85*Assumptions!$B$364*(1+Assumptions!$B$413)^L$5+L86*L24*Assumptions!$B$390)/1000000</f>
        <v>0</v>
      </c>
      <c r="M107" s="66">
        <f ca="1">(M85*Assumptions!$B$364*(1+Assumptions!$B$413)^M$5+M86*M24*Assumptions!$B$390)/1000000</f>
        <v>710.69290430023602</v>
      </c>
      <c r="N107" s="66">
        <f ca="1">(N85*Assumptions!$B$364*(1+Assumptions!$B$413)^N$5+N86*N24*Assumptions!$B$390)/1000000</f>
        <v>12579.335780128813</v>
      </c>
      <c r="O107" s="66">
        <f ca="1">(O85*Assumptions!$B$364*(1+Assumptions!$B$413)^O$5+O86*O24*Assumptions!$B$390)/1000000</f>
        <v>19209.453842308154</v>
      </c>
      <c r="P107" s="66">
        <f ca="1">(P85*Assumptions!$B$364*(1+Assumptions!$B$413)^P$5+P86*P24*Assumptions!$B$390)/1000000</f>
        <v>34503.260145438529</v>
      </c>
      <c r="Q107" s="66">
        <f ca="1">(Q85*Assumptions!$B$364*(1+Assumptions!$B$413)^Q$5+Q86*Q24*Assumptions!$B$390)/1000000</f>
        <v>32771.074355335033</v>
      </c>
      <c r="R107" s="66">
        <f ca="1">(R85*Assumptions!$B$364*(1+Assumptions!$B$413)^R$5+R86*R24*Assumptions!$B$390)/1000000</f>
        <v>43485.476942892754</v>
      </c>
      <c r="S107" s="66">
        <f ca="1">(S85*Assumptions!$B$364*(1+Assumptions!$B$413)^S$5+S86*S24*Assumptions!$B$390)/1000000</f>
        <v>68157.932737445779</v>
      </c>
    </row>
    <row r="108" spans="1:19" x14ac:dyDescent="0.2">
      <c r="A108" s="22" t="s">
        <v>979</v>
      </c>
      <c r="B108" s="8"/>
      <c r="C108" s="8"/>
      <c r="D108" s="67">
        <f ca="1">D95</f>
        <v>0</v>
      </c>
      <c r="E108" s="67">
        <f t="shared" ref="E108:S108" ca="1" si="57">E95</f>
        <v>4868.8376529126399</v>
      </c>
      <c r="F108" s="67">
        <f t="shared" ca="1" si="57"/>
        <v>5992.0700291247467</v>
      </c>
      <c r="G108" s="67">
        <f t="shared" ca="1" si="57"/>
        <v>304.23854761072334</v>
      </c>
      <c r="H108" s="67">
        <f t="shared" ca="1" si="57"/>
        <v>467.22061004743728</v>
      </c>
      <c r="I108" s="67">
        <f t="shared" ca="1" si="57"/>
        <v>1527.9446933913698</v>
      </c>
      <c r="J108" s="67">
        <f t="shared" ca="1" si="57"/>
        <v>2797.8027020897612</v>
      </c>
      <c r="K108" s="67">
        <f t="shared" ca="1" si="57"/>
        <v>5389.2361952626361</v>
      </c>
      <c r="L108" s="67">
        <f t="shared" ca="1" si="57"/>
        <v>0</v>
      </c>
      <c r="M108" s="67">
        <f t="shared" ca="1" si="57"/>
        <v>160.28194427784689</v>
      </c>
      <c r="N108" s="67">
        <f t="shared" ca="1" si="57"/>
        <v>2626.0378016009636</v>
      </c>
      <c r="O108" s="67">
        <f t="shared" ca="1" si="57"/>
        <v>3705.9549012728853</v>
      </c>
      <c r="P108" s="67">
        <f t="shared" ca="1" si="57"/>
        <v>6142.2622172366137</v>
      </c>
      <c r="Q108" s="67">
        <f t="shared" ca="1" si="57"/>
        <v>5375.5499471435205</v>
      </c>
      <c r="R108" s="67">
        <f t="shared" ca="1" si="57"/>
        <v>6563.8744332008528</v>
      </c>
      <c r="S108" s="67">
        <f t="shared" ca="1" si="57"/>
        <v>9455.2705046366173</v>
      </c>
    </row>
    <row r="109" spans="1:19" x14ac:dyDescent="0.2">
      <c r="A109" s="22" t="s">
        <v>980</v>
      </c>
      <c r="B109" s="8"/>
      <c r="C109" s="8"/>
      <c r="D109" s="67">
        <f ca="1">D106+D99-D107</f>
        <v>0</v>
      </c>
      <c r="E109" s="67">
        <f t="shared" ref="E109:S109" ca="1" si="58">E106+E99-E107</f>
        <v>-10982.172726718776</v>
      </c>
      <c r="F109" s="67">
        <f t="shared" ca="1" si="58"/>
        <v>-11920.955848975806</v>
      </c>
      <c r="G109" s="67">
        <f t="shared" ca="1" si="58"/>
        <v>3902.6519337661211</v>
      </c>
      <c r="H109" s="67">
        <f t="shared" ca="1" si="58"/>
        <v>3854.4844106220721</v>
      </c>
      <c r="I109" s="67">
        <f t="shared" ca="1" si="58"/>
        <v>1972.3973562262709</v>
      </c>
      <c r="J109" s="67">
        <f t="shared" ca="1" si="58"/>
        <v>-103.31526059592579</v>
      </c>
      <c r="K109" s="67">
        <f t="shared" ca="1" si="58"/>
        <v>-6782.2881806153237</v>
      </c>
      <c r="L109" s="67">
        <f t="shared" ca="1" si="58"/>
        <v>12317.605808876497</v>
      </c>
      <c r="M109" s="67">
        <f t="shared" ca="1" si="58"/>
        <v>10128.240843672533</v>
      </c>
      <c r="N109" s="67">
        <f t="shared" ca="1" si="58"/>
        <v>1316.1340076023007</v>
      </c>
      <c r="O109" s="67">
        <f t="shared" ca="1" si="58"/>
        <v>-98.020393159971718</v>
      </c>
      <c r="P109" s="67">
        <f t="shared" ca="1" si="58"/>
        <v>-5024.6539212188582</v>
      </c>
      <c r="Q109" s="67">
        <f t="shared" ca="1" si="58"/>
        <v>4896.3060448292817</v>
      </c>
      <c r="R109" s="67">
        <f t="shared" ca="1" si="58"/>
        <v>5125.0720983090723</v>
      </c>
      <c r="S109" s="67">
        <f t="shared" ca="1" si="58"/>
        <v>-881.49098671702086</v>
      </c>
    </row>
    <row r="110" spans="1:19" x14ac:dyDescent="0.2">
      <c r="A110" s="22" t="s">
        <v>992</v>
      </c>
      <c r="B110" s="8"/>
      <c r="C110" s="8"/>
      <c r="D110" s="56">
        <f ca="1">IFERROR(D93/D89,0)-IFERROR(D100/D89,0)-IFERROR(D105/D89,0)</f>
        <v>0</v>
      </c>
      <c r="E110" s="56">
        <f t="shared" ref="E110:S110" ca="1" si="59">IFERROR(E93/E89,0)-IFERROR(E100/E89,0)-IFERROR(E105/E89,0)</f>
        <v>4.4710973382849497</v>
      </c>
      <c r="F110" s="56">
        <f t="shared" ca="1" si="59"/>
        <v>5.5270284335110649</v>
      </c>
      <c r="G110" s="56">
        <f t="shared" ca="1" si="59"/>
        <v>5.8912662658109518</v>
      </c>
      <c r="H110" s="56">
        <f t="shared" ca="1" si="59"/>
        <v>6.1665501752799514</v>
      </c>
      <c r="I110" s="56">
        <f t="shared" ca="1" si="59"/>
        <v>6.9534039802448184</v>
      </c>
      <c r="J110" s="56">
        <f t="shared" ca="1" si="59"/>
        <v>7.6458189017336409</v>
      </c>
      <c r="K110" s="56">
        <f t="shared" ca="1" si="59"/>
        <v>7.5324450448972389</v>
      </c>
      <c r="L110" s="56">
        <f t="shared" ca="1" si="59"/>
        <v>6.7464229998788898</v>
      </c>
      <c r="M110" s="56">
        <f t="shared" ca="1" si="59"/>
        <v>5.9033731528660187</v>
      </c>
      <c r="N110" s="56">
        <f t="shared" ca="1" si="59"/>
        <v>6.5371978950578882</v>
      </c>
      <c r="O110" s="56">
        <f t="shared" ca="1" si="59"/>
        <v>7.4996201034427097</v>
      </c>
      <c r="P110" s="56">
        <f t="shared" ca="1" si="59"/>
        <v>9.0005089909963516</v>
      </c>
      <c r="Q110" s="56">
        <f t="shared" ca="1" si="59"/>
        <v>9.6559817238431602</v>
      </c>
      <c r="R110" s="56">
        <f t="shared" ca="1" si="59"/>
        <v>10.439640347033954</v>
      </c>
      <c r="S110" s="56">
        <f t="shared" ca="1" si="59"/>
        <v>11.757693980480957</v>
      </c>
    </row>
    <row r="111" spans="1:19" x14ac:dyDescent="0.2">
      <c r="A111" s="22" t="s">
        <v>993</v>
      </c>
      <c r="B111" s="8"/>
      <c r="C111" s="8"/>
      <c r="D111" s="60">
        <f ca="1">Assumptions!$B$364*(1+Assumptions!$B$413)^D$5/1000000+IFERROR(D95/D85,0)</f>
        <v>20</v>
      </c>
      <c r="E111" s="60">
        <f ca="1">Assumptions!$B$364*(1+Assumptions!$B$413)^E$5/1000000+IFERROR(D95/D85,0)</f>
        <v>20.94</v>
      </c>
      <c r="F111" s="60">
        <f ca="1">Assumptions!$B$364*(1+Assumptions!$B$413)^F$5/1000000+IFERROR(E95/E85,0)</f>
        <v>35.3543867064</v>
      </c>
      <c r="G111" s="60">
        <f ca="1">Assumptions!$B$364*(1+Assumptions!$B$413)^G$5/1000000+IFERROR(F95/F85,0)</f>
        <v>35.694510541691031</v>
      </c>
      <c r="H111" s="60">
        <f ca="1">Assumptions!$B$364*(1+Assumptions!$B$413)^H$5/1000000+IFERROR(G95/G85,0)</f>
        <v>36.118546959512116</v>
      </c>
      <c r="I111" s="60">
        <f ca="1">Assumptions!$B$364*(1+Assumptions!$B$413)^I$5/1000000+IFERROR(H95/H85,0)</f>
        <v>36.626948415661403</v>
      </c>
      <c r="J111" s="60">
        <f ca="1">Assumptions!$B$364*(1+Assumptions!$B$413)^J$5/1000000+IFERROR(I95/I85,0)</f>
        <v>37.220368091148408</v>
      </c>
      <c r="K111" s="60">
        <f ca="1">Assumptions!$B$364*(1+Assumptions!$B$413)^K$5/1000000+IFERROR(J95/J85,0)</f>
        <v>37.899660102045843</v>
      </c>
      <c r="L111" s="60">
        <f ca="1">Assumptions!$B$364*(1+Assumptions!$B$413)^L$5/1000000+IFERROR(K95/K85,0)</f>
        <v>38.665880193329912</v>
      </c>
      <c r="M111" s="60">
        <f ca="1">Assumptions!$B$364*(1+Assumptions!$B$413)^M$5/1000000+IFERROR(L95/L85,0)</f>
        <v>30.23779586369643</v>
      </c>
      <c r="N111" s="60">
        <f ca="1">Assumptions!$B$364*(1+Assumptions!$B$413)^N$5/1000000+IFERROR(M95/M85,0)</f>
        <v>40.46434328063912</v>
      </c>
      <c r="O111" s="60">
        <f ca="1">Assumptions!$B$364*(1+Assumptions!$B$413)^O$5/1000000+IFERROR(N95/N85,0)</f>
        <v>41.49971890731242</v>
      </c>
      <c r="P111" s="60">
        <f ca="1">Assumptions!$B$364*(1+Assumptions!$B$413)^P$5/1000000+IFERROR(O95/O85,0)</f>
        <v>42.628292641725722</v>
      </c>
      <c r="Q111" s="60">
        <f ca="1">Assumptions!$B$364*(1+Assumptions!$B$413)^Q$5/1000000+IFERROR(P95/P85,0)</f>
        <v>43.852155672643896</v>
      </c>
      <c r="R111" s="60">
        <f ca="1">Assumptions!$B$364*(1+Assumptions!$B$413)^R$5/1000000+IFERROR(Q95/Q85,0)</f>
        <v>45.173615135589898</v>
      </c>
      <c r="S111" s="60">
        <f ca="1">Assumptions!$B$364*(1+Assumptions!$B$413)^S$5/1000000+IFERROR(R95/R85,0)</f>
        <v>46.595198214572925</v>
      </c>
    </row>
    <row r="112" spans="1:19" ht="17" customHeight="1" x14ac:dyDescent="0.2">
      <c r="A112" s="22" t="s">
        <v>1523</v>
      </c>
      <c r="B112" s="8"/>
      <c r="C112" s="8"/>
      <c r="D112" s="93">
        <f>Assumptions!$B$22</f>
        <v>15</v>
      </c>
      <c r="E112" s="93">
        <f>Assumptions!$B$22</f>
        <v>15</v>
      </c>
      <c r="F112" s="93">
        <f>Assumptions!$B$22</f>
        <v>15</v>
      </c>
      <c r="G112" s="93">
        <f>Assumptions!$B$22</f>
        <v>15</v>
      </c>
      <c r="H112" s="93">
        <f>Assumptions!$B$22</f>
        <v>15</v>
      </c>
      <c r="I112" s="93">
        <f>Assumptions!$B$22</f>
        <v>15</v>
      </c>
      <c r="J112" s="93">
        <f>Assumptions!$B$22</f>
        <v>15</v>
      </c>
      <c r="K112" s="93">
        <f>Assumptions!$B$22</f>
        <v>15</v>
      </c>
      <c r="L112" s="93">
        <f>Assumptions!$B$22</f>
        <v>15</v>
      </c>
      <c r="M112" s="93">
        <f>Assumptions!$B$22</f>
        <v>15</v>
      </c>
      <c r="N112" s="93">
        <f>Assumptions!$B$22</f>
        <v>15</v>
      </c>
      <c r="O112" s="93">
        <f>Assumptions!$B$22</f>
        <v>15</v>
      </c>
      <c r="P112" s="93">
        <f>Assumptions!$B$22</f>
        <v>15</v>
      </c>
      <c r="Q112" s="93">
        <f>Assumptions!$B$22</f>
        <v>15</v>
      </c>
      <c r="R112" s="93">
        <f>Assumptions!$B$22</f>
        <v>15</v>
      </c>
      <c r="S112" s="93">
        <f>Assumptions!$B$22</f>
        <v>15</v>
      </c>
    </row>
    <row r="113" spans="1:78" s="2" customFormat="1" x14ac:dyDescent="0.2">
      <c r="A113" s="23" t="s">
        <v>983</v>
      </c>
      <c r="B113" s="9"/>
      <c r="C113" s="9"/>
      <c r="D113" s="99">
        <f ca="1">IF(D110&lt;=0,0,IFERROR(MIN(3,IFERROR(RATE(D112,D110,-D111,0,0,0.1),IFERROR(RATE(D112,D110,-D111,0,0,0.5),RATE(D112,D110,-D111,0,0,1.5)))),IF(D110*D112&gt;D111,3,0)))</f>
        <v>0</v>
      </c>
      <c r="E113" s="99">
        <f t="shared" ref="E113:S113" ca="1" si="60">IF(E110&lt;=0,0,IFERROR(MIN(3,IFERROR(RATE(E112,E110,-E111,0,0,0.1),IFERROR(RATE(E112,E110,-E111,0,0,0.5),RATE(E112,E110,-E111,0,0,1.5)))),IF(E110*E112&gt;E111,3,0)))</f>
        <v>0.19958957878080141</v>
      </c>
      <c r="F113" s="99">
        <f t="shared" ca="1" si="60"/>
        <v>0.13198586069922522</v>
      </c>
      <c r="G113" s="99">
        <f t="shared" ca="1" si="60"/>
        <v>0.1427430738569892</v>
      </c>
      <c r="H113" s="99">
        <f t="shared" ca="1" si="60"/>
        <v>0.149654066859393</v>
      </c>
      <c r="I113" s="99">
        <f t="shared" ca="1" si="60"/>
        <v>0.17236815596725694</v>
      </c>
      <c r="J113" s="99">
        <f t="shared" ca="1" si="60"/>
        <v>0.19037560927519234</v>
      </c>
      <c r="K113" s="99">
        <f t="shared" ca="1" si="60"/>
        <v>0.18270988102670296</v>
      </c>
      <c r="L113" s="99">
        <f t="shared" ca="1" si="60"/>
        <v>0.15417070553027515</v>
      </c>
      <c r="M113" s="99">
        <f t="shared" ca="1" si="60"/>
        <v>0.17864269738469332</v>
      </c>
      <c r="N113" s="99">
        <f t="shared" ca="1" si="60"/>
        <v>0.13845668275169579</v>
      </c>
      <c r="O113" s="99">
        <f t="shared" ca="1" si="60"/>
        <v>0.16161333927846275</v>
      </c>
      <c r="P113" s="99">
        <f t="shared" ca="1" si="60"/>
        <v>0.19689154882292553</v>
      </c>
      <c r="Q113" s="99">
        <f t="shared" ca="1" si="60"/>
        <v>0.20711495941103711</v>
      </c>
      <c r="R113" s="99">
        <f t="shared" ca="1" si="60"/>
        <v>0.21929219355480228</v>
      </c>
      <c r="S113" s="99">
        <f t="shared" ca="1" si="60"/>
        <v>0.24263589566985391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 spans="1:78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78" x14ac:dyDescent="0.2">
      <c r="A115" s="18" t="s">
        <v>1379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</row>
    <row r="116" spans="1:78" x14ac:dyDescent="0.2">
      <c r="A116" s="22" t="s">
        <v>1053</v>
      </c>
      <c r="B116" s="8"/>
      <c r="C116" s="8"/>
      <c r="D116" s="60">
        <f>D253</f>
        <v>1.085</v>
      </c>
      <c r="E116" s="60">
        <f t="shared" ref="E116:S116" si="61">E253</f>
        <v>1.6049399999999998</v>
      </c>
      <c r="F116" s="60">
        <f t="shared" si="61"/>
        <v>2.3759804299999998</v>
      </c>
      <c r="G116" s="60">
        <f t="shared" si="61"/>
        <v>3.5206584177299991</v>
      </c>
      <c r="H116" s="60">
        <f t="shared" si="61"/>
        <v>5.2221437339748498</v>
      </c>
      <c r="I116" s="60">
        <f t="shared" si="61"/>
        <v>7.7547891517511447</v>
      </c>
      <c r="J116" s="60">
        <f t="shared" si="61"/>
        <v>11.530433779515802</v>
      </c>
      <c r="K116" s="60">
        <f t="shared" si="61"/>
        <v>17.168816601895131</v>
      </c>
      <c r="L116" s="60">
        <f t="shared" si="61"/>
        <v>25.605041917533921</v>
      </c>
      <c r="M116" s="60">
        <f t="shared" si="61"/>
        <v>38.25423299911089</v>
      </c>
      <c r="N116" s="60">
        <f t="shared" si="61"/>
        <v>57.264860142432752</v>
      </c>
      <c r="O116" s="60">
        <f t="shared" si="61"/>
        <v>85.91022935150923</v>
      </c>
      <c r="P116" s="60">
        <f t="shared" si="61"/>
        <v>129.19631817258929</v>
      </c>
      <c r="Q116" s="60">
        <f t="shared" si="61"/>
        <v>194.81015244817041</v>
      </c>
      <c r="R116" s="60">
        <f t="shared" si="61"/>
        <v>294.60706185233033</v>
      </c>
      <c r="S116" s="60">
        <f t="shared" si="61"/>
        <v>446.95526694588699</v>
      </c>
    </row>
    <row r="117" spans="1:78" x14ac:dyDescent="0.2">
      <c r="A117" s="170" t="s">
        <v>2119</v>
      </c>
      <c r="B117" s="8"/>
      <c r="C117" s="8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</row>
    <row r="118" spans="1:78" x14ac:dyDescent="0.2">
      <c r="A118" s="170" t="s">
        <v>2120</v>
      </c>
      <c r="B118" s="8"/>
      <c r="C118" s="8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</row>
    <row r="119" spans="1:78" x14ac:dyDescent="0.2">
      <c r="A119" s="22" t="s">
        <v>1054</v>
      </c>
      <c r="B119" s="8"/>
      <c r="C119" s="8"/>
      <c r="D119" s="67">
        <f>D254</f>
        <v>483.065</v>
      </c>
      <c r="E119" s="67">
        <f t="shared" ref="E119:S119" si="62">E254</f>
        <v>724.62809221999998</v>
      </c>
      <c r="F119" s="67">
        <f t="shared" si="62"/>
        <v>1089.7173544822087</v>
      </c>
      <c r="G119" s="67">
        <f t="shared" si="62"/>
        <v>1643.3443176218582</v>
      </c>
      <c r="H119" s="67">
        <f t="shared" si="62"/>
        <v>2485.9660497527584</v>
      </c>
      <c r="I119" s="67">
        <f t="shared" si="62"/>
        <v>3773.6146812320112</v>
      </c>
      <c r="J119" s="67">
        <f t="shared" si="62"/>
        <v>5749.9705587368935</v>
      </c>
      <c r="K119" s="67">
        <f t="shared" si="62"/>
        <v>8797.782406614966</v>
      </c>
      <c r="L119" s="67">
        <f t="shared" si="62"/>
        <v>13521.817340419753</v>
      </c>
      <c r="M119" s="67">
        <f t="shared" si="62"/>
        <v>20883.500557444684</v>
      </c>
      <c r="N119" s="67">
        <f t="shared" si="62"/>
        <v>32420.783611139574</v>
      </c>
      <c r="O119" s="67">
        <f t="shared" si="62"/>
        <v>50609.324848202654</v>
      </c>
      <c r="P119" s="67">
        <f t="shared" si="62"/>
        <v>79459.224904290459</v>
      </c>
      <c r="Q119" s="67">
        <f t="shared" si="62"/>
        <v>125506.42630330606</v>
      </c>
      <c r="R119" s="67">
        <f t="shared" si="62"/>
        <v>199468.60834757259</v>
      </c>
      <c r="S119" s="67">
        <f t="shared" si="62"/>
        <v>319025.16958873224</v>
      </c>
    </row>
    <row r="120" spans="1:78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78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78" x14ac:dyDescent="0.2">
      <c r="A122" s="22" t="s">
        <v>994</v>
      </c>
      <c r="B122" s="8"/>
      <c r="C122" s="8"/>
      <c r="D122" s="56">
        <f t="shared" ref="D122:S122" si="63">D116</f>
        <v>1.085</v>
      </c>
      <c r="E122" s="56">
        <f t="shared" si="63"/>
        <v>1.6049399999999998</v>
      </c>
      <c r="F122" s="56">
        <f t="shared" si="63"/>
        <v>2.3759804299999998</v>
      </c>
      <c r="G122" s="56">
        <f t="shared" si="63"/>
        <v>3.5206584177299991</v>
      </c>
      <c r="H122" s="56">
        <f t="shared" si="63"/>
        <v>5.2221437339748498</v>
      </c>
      <c r="I122" s="56">
        <f t="shared" si="63"/>
        <v>7.7547891517511447</v>
      </c>
      <c r="J122" s="56">
        <f t="shared" si="63"/>
        <v>11.530433779515802</v>
      </c>
      <c r="K122" s="56">
        <f t="shared" si="63"/>
        <v>17.168816601895131</v>
      </c>
      <c r="L122" s="56">
        <f t="shared" si="63"/>
        <v>25.605041917533921</v>
      </c>
      <c r="M122" s="56">
        <f t="shared" si="63"/>
        <v>38.25423299911089</v>
      </c>
      <c r="N122" s="56">
        <f t="shared" si="63"/>
        <v>57.264860142432752</v>
      </c>
      <c r="O122" s="56">
        <f t="shared" si="63"/>
        <v>85.91022935150923</v>
      </c>
      <c r="P122" s="56">
        <f t="shared" si="63"/>
        <v>129.19631817258929</v>
      </c>
      <c r="Q122" s="56">
        <f t="shared" si="63"/>
        <v>194.81015244817041</v>
      </c>
      <c r="R122" s="56">
        <f t="shared" si="63"/>
        <v>294.60706185233033</v>
      </c>
      <c r="S122" s="56">
        <f t="shared" si="63"/>
        <v>446.95526694588699</v>
      </c>
    </row>
    <row r="123" spans="1:78" x14ac:dyDescent="0.2">
      <c r="A123" s="22" t="s">
        <v>995</v>
      </c>
      <c r="B123" s="8"/>
      <c r="C123" s="8"/>
      <c r="D123" s="56">
        <f>MAX(0,D122-C122)</f>
        <v>1.085</v>
      </c>
      <c r="E123" s="56">
        <f t="shared" ref="E123:S123" si="64">MAX(0,E122-D122)</f>
        <v>0.51993999999999985</v>
      </c>
      <c r="F123" s="56">
        <f t="shared" si="64"/>
        <v>0.77104043</v>
      </c>
      <c r="G123" s="56">
        <f t="shared" si="64"/>
        <v>1.1446779877299993</v>
      </c>
      <c r="H123" s="56">
        <f t="shared" si="64"/>
        <v>1.7014853162448507</v>
      </c>
      <c r="I123" s="56">
        <f t="shared" si="64"/>
        <v>2.5326454177762949</v>
      </c>
      <c r="J123" s="56">
        <f t="shared" si="64"/>
        <v>3.7756446277646569</v>
      </c>
      <c r="K123" s="56">
        <f t="shared" si="64"/>
        <v>5.6383828223793291</v>
      </c>
      <c r="L123" s="56">
        <f t="shared" si="64"/>
        <v>8.4362253156387901</v>
      </c>
      <c r="M123" s="56">
        <f t="shared" si="64"/>
        <v>12.649191081576969</v>
      </c>
      <c r="N123" s="56">
        <f t="shared" si="64"/>
        <v>19.010627143321862</v>
      </c>
      <c r="O123" s="56">
        <f t="shared" si="64"/>
        <v>28.645369209076478</v>
      </c>
      <c r="P123" s="56">
        <f t="shared" si="64"/>
        <v>43.286088821080057</v>
      </c>
      <c r="Q123" s="56">
        <f t="shared" si="64"/>
        <v>65.613834275581127</v>
      </c>
      <c r="R123" s="56">
        <f t="shared" si="64"/>
        <v>99.796909404159919</v>
      </c>
      <c r="S123" s="56">
        <f t="shared" si="64"/>
        <v>152.34820509355666</v>
      </c>
    </row>
    <row r="124" spans="1:78" x14ac:dyDescent="0.2">
      <c r="A124" s="22" t="s">
        <v>963</v>
      </c>
      <c r="B124" s="8"/>
      <c r="C124" s="8"/>
      <c r="D124" s="92">
        <f>MAX(Assumptions!$B$377,Assumptions!$B$376*(1+Assumptions!$B$378)^D$5)</f>
        <v>0.15</v>
      </c>
      <c r="E124" s="92">
        <f>MAX(Assumptions!$B$377,Assumptions!$B$376*(1+Assumptions!$B$378)^E$5)</f>
        <v>0.13500000000000001</v>
      </c>
      <c r="F124" s="92">
        <f>MAX(Assumptions!$B$377,Assumptions!$B$376*(1+Assumptions!$B$378)^F$5)</f>
        <v>0.1215</v>
      </c>
      <c r="G124" s="92">
        <f>MAX(Assumptions!$B$377,Assumptions!$B$376*(1+Assumptions!$B$378)^G$5)</f>
        <v>0.10935000000000002</v>
      </c>
      <c r="H124" s="92">
        <f>MAX(Assumptions!$B$377,Assumptions!$B$376*(1+Assumptions!$B$378)^H$5)</f>
        <v>9.8415000000000016E-2</v>
      </c>
      <c r="I124" s="92">
        <f>MAX(Assumptions!$B$377,Assumptions!$B$376*(1+Assumptions!$B$378)^I$5)</f>
        <v>8.8573500000000027E-2</v>
      </c>
      <c r="J124" s="92">
        <f>MAX(Assumptions!$B$377,Assumptions!$B$376*(1+Assumptions!$B$378)^J$5)</f>
        <v>7.9716150000000027E-2</v>
      </c>
      <c r="K124" s="92">
        <f>MAX(Assumptions!$B$377,Assumptions!$B$376*(1+Assumptions!$B$378)^K$5)</f>
        <v>7.1744535000000012E-2</v>
      </c>
      <c r="L124" s="92">
        <f>MAX(Assumptions!$B$377,Assumptions!$B$376*(1+Assumptions!$B$378)^L$5)</f>
        <v>6.4570081500000015E-2</v>
      </c>
      <c r="M124" s="92">
        <f>MAX(Assumptions!$B$377,Assumptions!$B$376*(1+Assumptions!$B$378)^M$5)</f>
        <v>5.8113073350000016E-2</v>
      </c>
      <c r="N124" s="92">
        <f>MAX(Assumptions!$B$377,Assumptions!$B$376*(1+Assumptions!$B$378)^N$5)</f>
        <v>5.2301766015000022E-2</v>
      </c>
      <c r="O124" s="92">
        <f>MAX(Assumptions!$B$377,Assumptions!$B$376*(1+Assumptions!$B$378)^O$5)</f>
        <v>0.05</v>
      </c>
      <c r="P124" s="92">
        <f>MAX(Assumptions!$B$377,Assumptions!$B$376*(1+Assumptions!$B$378)^P$5)</f>
        <v>0.05</v>
      </c>
      <c r="Q124" s="92">
        <f>MAX(Assumptions!$B$377,Assumptions!$B$376*(1+Assumptions!$B$378)^Q$5)</f>
        <v>0.05</v>
      </c>
      <c r="R124" s="92">
        <f>MAX(Assumptions!$B$377,Assumptions!$B$376*(1+Assumptions!$B$378)^R$5)</f>
        <v>0.05</v>
      </c>
      <c r="S124" s="92">
        <f>MAX(Assumptions!$B$377,Assumptions!$B$376*(1+Assumptions!$B$378)^S$5)</f>
        <v>0.05</v>
      </c>
    </row>
    <row r="125" spans="1:78" x14ac:dyDescent="0.2">
      <c r="A125" s="22" t="s">
        <v>996</v>
      </c>
      <c r="B125" s="8"/>
      <c r="C125" s="8"/>
      <c r="D125" s="66">
        <f>D123*Assumptions!$B$366</f>
        <v>32.549999999999997</v>
      </c>
      <c r="E125" s="66">
        <f>E123*Assumptions!$B$366</f>
        <v>15.598199999999995</v>
      </c>
      <c r="F125" s="66">
        <f>F123*Assumptions!$B$366</f>
        <v>23.131212900000001</v>
      </c>
      <c r="G125" s="66">
        <f>G123*Assumptions!$B$366</f>
        <v>34.34033963189998</v>
      </c>
      <c r="H125" s="66">
        <f>H123*Assumptions!$B$366</f>
        <v>51.044559487345524</v>
      </c>
      <c r="I125" s="66">
        <f>I123*Assumptions!$B$366</f>
        <v>75.97936253328885</v>
      </c>
      <c r="J125" s="66">
        <f>J123*Assumptions!$B$366</f>
        <v>113.26933883293971</v>
      </c>
      <c r="K125" s="66">
        <f>K123*Assumptions!$B$366</f>
        <v>169.15148467137988</v>
      </c>
      <c r="L125" s="66">
        <f>L123*Assumptions!$B$366</f>
        <v>253.0867594691637</v>
      </c>
      <c r="M125" s="66">
        <f>M123*Assumptions!$B$366</f>
        <v>379.4757324473091</v>
      </c>
      <c r="N125" s="66">
        <f>N123*Assumptions!$B$366</f>
        <v>570.31881429965586</v>
      </c>
      <c r="O125" s="66">
        <f>O123*Assumptions!$B$366</f>
        <v>859.36107627229433</v>
      </c>
      <c r="P125" s="66">
        <f>P123*Assumptions!$B$366</f>
        <v>1298.5826646324017</v>
      </c>
      <c r="Q125" s="66">
        <f>Q123*Assumptions!$B$366</f>
        <v>1968.4150282674339</v>
      </c>
      <c r="R125" s="66">
        <f>R123*Assumptions!$B$366</f>
        <v>2993.9072821247973</v>
      </c>
      <c r="S125" s="66">
        <f>S123*Assumptions!$B$366</f>
        <v>4570.4461528066995</v>
      </c>
    </row>
    <row r="126" spans="1:78" x14ac:dyDescent="0.2">
      <c r="A126" s="22" t="s">
        <v>966</v>
      </c>
      <c r="B126" s="8"/>
      <c r="C126" s="8"/>
      <c r="D126" s="67">
        <f>D119</f>
        <v>483.065</v>
      </c>
      <c r="E126" s="67">
        <f t="shared" ref="E126:S126" si="65">E119</f>
        <v>724.62809221999998</v>
      </c>
      <c r="F126" s="67">
        <f t="shared" si="65"/>
        <v>1089.7173544822087</v>
      </c>
      <c r="G126" s="67">
        <f t="shared" si="65"/>
        <v>1643.3443176218582</v>
      </c>
      <c r="H126" s="67">
        <f t="shared" si="65"/>
        <v>2485.9660497527584</v>
      </c>
      <c r="I126" s="67">
        <f t="shared" si="65"/>
        <v>3773.6146812320112</v>
      </c>
      <c r="J126" s="67">
        <f t="shared" si="65"/>
        <v>5749.9705587368935</v>
      </c>
      <c r="K126" s="67">
        <f t="shared" si="65"/>
        <v>8797.782406614966</v>
      </c>
      <c r="L126" s="67">
        <f t="shared" si="65"/>
        <v>13521.817340419753</v>
      </c>
      <c r="M126" s="67">
        <f t="shared" si="65"/>
        <v>20883.500557444684</v>
      </c>
      <c r="N126" s="67">
        <f t="shared" si="65"/>
        <v>32420.783611139574</v>
      </c>
      <c r="O126" s="67">
        <f t="shared" si="65"/>
        <v>50609.324848202654</v>
      </c>
      <c r="P126" s="67">
        <f t="shared" si="65"/>
        <v>79459.224904290459</v>
      </c>
      <c r="Q126" s="67">
        <f t="shared" si="65"/>
        <v>125506.42630330606</v>
      </c>
      <c r="R126" s="67">
        <f t="shared" si="65"/>
        <v>199468.60834757259</v>
      </c>
      <c r="S126" s="67">
        <f t="shared" si="65"/>
        <v>319025.16958873224</v>
      </c>
    </row>
    <row r="127" spans="1:78" x14ac:dyDescent="0.2">
      <c r="A127" s="22" t="s">
        <v>975</v>
      </c>
      <c r="B127" s="8"/>
      <c r="C127" s="8"/>
      <c r="D127" s="67">
        <f>0</f>
        <v>0</v>
      </c>
      <c r="E127" s="67">
        <f>0</f>
        <v>0</v>
      </c>
      <c r="F127" s="67">
        <f>0</f>
        <v>0</v>
      </c>
      <c r="G127" s="67">
        <f>0</f>
        <v>0</v>
      </c>
      <c r="H127" s="67">
        <f>0</f>
        <v>0</v>
      </c>
      <c r="I127" s="67">
        <f>0</f>
        <v>0</v>
      </c>
      <c r="J127" s="67">
        <f>0</f>
        <v>0</v>
      </c>
      <c r="K127" s="67">
        <f>0</f>
        <v>0</v>
      </c>
      <c r="L127" s="67">
        <f>0</f>
        <v>0</v>
      </c>
      <c r="M127" s="67">
        <f>0</f>
        <v>0</v>
      </c>
      <c r="N127" s="67">
        <f>0</f>
        <v>0</v>
      </c>
      <c r="O127" s="67">
        <f>0</f>
        <v>0</v>
      </c>
      <c r="P127" s="67">
        <f>0</f>
        <v>0</v>
      </c>
      <c r="Q127" s="67">
        <f>0</f>
        <v>0</v>
      </c>
      <c r="R127" s="67">
        <f>0</f>
        <v>0</v>
      </c>
      <c r="S127" s="67">
        <f>0</f>
        <v>0</v>
      </c>
    </row>
    <row r="128" spans="1:78" x14ac:dyDescent="0.2">
      <c r="A128" s="20" t="s">
        <v>976</v>
      </c>
      <c r="B128" s="20"/>
      <c r="C128" s="20"/>
      <c r="D128" s="85">
        <f>D126</f>
        <v>483.065</v>
      </c>
      <c r="E128" s="85">
        <f t="shared" ref="E128:S128" si="66">E126</f>
        <v>724.62809221999998</v>
      </c>
      <c r="F128" s="85">
        <f t="shared" si="66"/>
        <v>1089.7173544822087</v>
      </c>
      <c r="G128" s="85">
        <f t="shared" si="66"/>
        <v>1643.3443176218582</v>
      </c>
      <c r="H128" s="85">
        <f t="shared" si="66"/>
        <v>2485.9660497527584</v>
      </c>
      <c r="I128" s="85">
        <f t="shared" si="66"/>
        <v>3773.6146812320112</v>
      </c>
      <c r="J128" s="85">
        <f t="shared" si="66"/>
        <v>5749.9705587368935</v>
      </c>
      <c r="K128" s="85">
        <f t="shared" si="66"/>
        <v>8797.782406614966</v>
      </c>
      <c r="L128" s="85">
        <f t="shared" si="66"/>
        <v>13521.817340419753</v>
      </c>
      <c r="M128" s="85">
        <f t="shared" si="66"/>
        <v>20883.500557444684</v>
      </c>
      <c r="N128" s="85">
        <f t="shared" si="66"/>
        <v>32420.783611139574</v>
      </c>
      <c r="O128" s="85">
        <f t="shared" si="66"/>
        <v>50609.324848202654</v>
      </c>
      <c r="P128" s="85">
        <f t="shared" si="66"/>
        <v>79459.224904290459</v>
      </c>
      <c r="Q128" s="85">
        <f t="shared" si="66"/>
        <v>125506.42630330606</v>
      </c>
      <c r="R128" s="85">
        <f t="shared" si="66"/>
        <v>199468.60834757259</v>
      </c>
      <c r="S128" s="85">
        <f t="shared" si="66"/>
        <v>319025.16958873224</v>
      </c>
    </row>
    <row r="129" spans="1:19" x14ac:dyDescent="0.2">
      <c r="A129" s="22" t="s">
        <v>967</v>
      </c>
      <c r="B129" s="8"/>
      <c r="C129" s="8"/>
      <c r="D129" s="67">
        <f t="shared" ref="D129:S129" ca="1" si="67">D69+D102</f>
        <v>0</v>
      </c>
      <c r="E129" s="67">
        <f t="shared" ca="1" si="67"/>
        <v>88.279143048590356</v>
      </c>
      <c r="F129" s="67">
        <f t="shared" ca="1" si="67"/>
        <v>117.61823699136276</v>
      </c>
      <c r="G129" s="67">
        <f t="shared" ca="1" si="67"/>
        <v>203.64645357686723</v>
      </c>
      <c r="H129" s="67">
        <f t="shared" ca="1" si="67"/>
        <v>327.86654341885117</v>
      </c>
      <c r="I129" s="67">
        <f t="shared" ca="1" si="67"/>
        <v>451.52497704433387</v>
      </c>
      <c r="J129" s="67">
        <f t="shared" ca="1" si="67"/>
        <v>650.95310294225783</v>
      </c>
      <c r="K129" s="67">
        <f t="shared" ca="1" si="67"/>
        <v>915.811986370829</v>
      </c>
      <c r="L129" s="67">
        <f t="shared" ca="1" si="67"/>
        <v>1363.4957669232028</v>
      </c>
      <c r="M129" s="67">
        <f t="shared" ca="1" si="67"/>
        <v>2104.3839831767204</v>
      </c>
      <c r="N129" s="67">
        <f t="shared" ca="1" si="67"/>
        <v>3299.3805271194951</v>
      </c>
      <c r="O129" s="67">
        <f t="shared" ca="1" si="67"/>
        <v>5331.705234221814</v>
      </c>
      <c r="P129" s="67">
        <f t="shared" ca="1" si="67"/>
        <v>8622.0855047307177</v>
      </c>
      <c r="Q129" s="67">
        <f t="shared" ca="1" si="67"/>
        <v>13809.088899106595</v>
      </c>
      <c r="R129" s="67">
        <f t="shared" ca="1" si="67"/>
        <v>22680.507252571588</v>
      </c>
      <c r="S129" s="67">
        <f t="shared" ca="1" si="67"/>
        <v>37975.266823557933</v>
      </c>
    </row>
    <row r="130" spans="1:19" x14ac:dyDescent="0.2">
      <c r="A130" s="20" t="s">
        <v>536</v>
      </c>
      <c r="B130" s="20"/>
      <c r="C130" s="20"/>
      <c r="D130" s="85">
        <f ca="1">D128-D129</f>
        <v>483.065</v>
      </c>
      <c r="E130" s="85">
        <f t="shared" ref="E130:S130" ca="1" si="68">E128-E129</f>
        <v>636.34894917140969</v>
      </c>
      <c r="F130" s="85">
        <f t="shared" ca="1" si="68"/>
        <v>972.09911749084597</v>
      </c>
      <c r="G130" s="85">
        <f t="shared" ca="1" si="68"/>
        <v>1439.6978640449909</v>
      </c>
      <c r="H130" s="85">
        <f t="shared" ca="1" si="68"/>
        <v>2158.0995063339074</v>
      </c>
      <c r="I130" s="85">
        <f t="shared" ca="1" si="68"/>
        <v>3322.0897041876774</v>
      </c>
      <c r="J130" s="85">
        <f t="shared" ca="1" si="68"/>
        <v>5099.0174557946357</v>
      </c>
      <c r="K130" s="85">
        <f t="shared" ca="1" si="68"/>
        <v>7881.9704202441371</v>
      </c>
      <c r="L130" s="85">
        <f t="shared" ca="1" si="68"/>
        <v>12158.321573496551</v>
      </c>
      <c r="M130" s="85">
        <f t="shared" ca="1" si="68"/>
        <v>18779.116574267962</v>
      </c>
      <c r="N130" s="85">
        <f t="shared" ca="1" si="68"/>
        <v>29121.403084020079</v>
      </c>
      <c r="O130" s="85">
        <f t="shared" ca="1" si="68"/>
        <v>45277.619613980838</v>
      </c>
      <c r="P130" s="85">
        <f t="shared" ca="1" si="68"/>
        <v>70837.139399559746</v>
      </c>
      <c r="Q130" s="85">
        <f t="shared" ca="1" si="68"/>
        <v>111697.33740419947</v>
      </c>
      <c r="R130" s="85">
        <f t="shared" ca="1" si="68"/>
        <v>176788.10109500101</v>
      </c>
      <c r="S130" s="85">
        <f t="shared" ca="1" si="68"/>
        <v>281049.90276517428</v>
      </c>
    </row>
    <row r="131" spans="1:19" x14ac:dyDescent="0.2">
      <c r="A131" s="22" t="s">
        <v>971</v>
      </c>
      <c r="B131" s="8"/>
      <c r="C131" s="8"/>
      <c r="D131" s="66">
        <f>D126*(Assumptions!$B$367+Assumptions!$B$368)+D125</f>
        <v>51.872599999999998</v>
      </c>
      <c r="E131" s="66">
        <f>E126*(Assumptions!$B$367+Assumptions!$B$368)+E125</f>
        <v>44.583323688799993</v>
      </c>
      <c r="F131" s="66">
        <f>F126*(Assumptions!$B$367+Assumptions!$B$368)+F125</f>
        <v>66.719907079288362</v>
      </c>
      <c r="G131" s="66">
        <f>G126*(Assumptions!$B$367+Assumptions!$B$368)+G125</f>
        <v>100.07411233677431</v>
      </c>
      <c r="H131" s="66">
        <f>H126*(Assumptions!$B$367+Assumptions!$B$368)+H125</f>
        <v>150.48320147745585</v>
      </c>
      <c r="I131" s="66">
        <f>I126*(Assumptions!$B$367+Assumptions!$B$368)+I125</f>
        <v>226.92394978256931</v>
      </c>
      <c r="J131" s="66">
        <f>J126*(Assumptions!$B$367+Assumptions!$B$368)+J125</f>
        <v>343.26816118241544</v>
      </c>
      <c r="K131" s="66">
        <f>K126*(Assumptions!$B$367+Assumptions!$B$368)+K125</f>
        <v>521.06278093597848</v>
      </c>
      <c r="L131" s="66">
        <f>L126*(Assumptions!$B$367+Assumptions!$B$368)+L125</f>
        <v>793.95945308595378</v>
      </c>
      <c r="M131" s="66">
        <f>M126*(Assumptions!$B$367+Assumptions!$B$368)+M125</f>
        <v>1214.8157547450965</v>
      </c>
      <c r="N131" s="66">
        <f>N126*(Assumptions!$B$367+Assumptions!$B$368)+N125</f>
        <v>1867.150158745239</v>
      </c>
      <c r="O131" s="66">
        <f>O126*(Assumptions!$B$367+Assumptions!$B$368)+O125</f>
        <v>2883.7340702004003</v>
      </c>
      <c r="P131" s="66">
        <f>P126*(Assumptions!$B$367+Assumptions!$B$368)+P125</f>
        <v>4476.9516608040203</v>
      </c>
      <c r="Q131" s="66">
        <f>Q126*(Assumptions!$B$367+Assumptions!$B$368)+Q125</f>
        <v>6988.6720803996759</v>
      </c>
      <c r="R131" s="66">
        <f>R126*(Assumptions!$B$367+Assumptions!$B$368)+R125</f>
        <v>10972.651616027702</v>
      </c>
      <c r="S131" s="66">
        <f>S126*(Assumptions!$B$367+Assumptions!$B$368)+S125</f>
        <v>17331.452936355989</v>
      </c>
    </row>
    <row r="132" spans="1:19" x14ac:dyDescent="0.2">
      <c r="A132" s="22" t="s">
        <v>544</v>
      </c>
      <c r="B132" s="8"/>
      <c r="C132" s="8"/>
      <c r="D132" s="67">
        <f>D126*D124</f>
        <v>72.45975</v>
      </c>
      <c r="E132" s="67">
        <f t="shared" ref="E132:S132" si="69">E126*E124</f>
        <v>97.824792449699999</v>
      </c>
      <c r="F132" s="67">
        <f t="shared" si="69"/>
        <v>132.40065856958836</v>
      </c>
      <c r="G132" s="67">
        <f t="shared" si="69"/>
        <v>179.69970113195021</v>
      </c>
      <c r="H132" s="67">
        <f t="shared" si="69"/>
        <v>244.65634878641777</v>
      </c>
      <c r="I132" s="67">
        <f t="shared" si="69"/>
        <v>334.24225996810367</v>
      </c>
      <c r="J132" s="67">
        <f t="shared" si="69"/>
        <v>458.36551555585419</v>
      </c>
      <c r="K132" s="67">
        <f t="shared" si="69"/>
        <v>631.19280779377175</v>
      </c>
      <c r="L132" s="67">
        <f t="shared" si="69"/>
        <v>873.10484769901689</v>
      </c>
      <c r="M132" s="67">
        <f t="shared" si="69"/>
        <v>1213.604399699549</v>
      </c>
      <c r="N132" s="67">
        <f t="shared" si="69"/>
        <v>1695.6642384527695</v>
      </c>
      <c r="O132" s="67">
        <f t="shared" si="69"/>
        <v>2530.466242410133</v>
      </c>
      <c r="P132" s="67">
        <f t="shared" si="69"/>
        <v>3972.9612452145229</v>
      </c>
      <c r="Q132" s="67">
        <f t="shared" si="69"/>
        <v>6275.3213151653035</v>
      </c>
      <c r="R132" s="67">
        <f t="shared" si="69"/>
        <v>9973.4304173786295</v>
      </c>
      <c r="S132" s="67">
        <f t="shared" si="69"/>
        <v>15951.258479436612</v>
      </c>
    </row>
    <row r="133" spans="1:19" x14ac:dyDescent="0.2">
      <c r="A133" s="22" t="s">
        <v>972</v>
      </c>
      <c r="B133" s="8"/>
      <c r="C133" s="8"/>
      <c r="D133" s="67">
        <f>0</f>
        <v>0</v>
      </c>
      <c r="E133" s="67">
        <f>0</f>
        <v>0</v>
      </c>
      <c r="F133" s="67">
        <f>0</f>
        <v>0</v>
      </c>
      <c r="G133" s="67">
        <f>0</f>
        <v>0</v>
      </c>
      <c r="H133" s="67">
        <f>0</f>
        <v>0</v>
      </c>
      <c r="I133" s="67">
        <f>0</f>
        <v>0</v>
      </c>
      <c r="J133" s="67">
        <f>0</f>
        <v>0</v>
      </c>
      <c r="K133" s="67">
        <f>0</f>
        <v>0</v>
      </c>
      <c r="L133" s="67">
        <f>0</f>
        <v>0</v>
      </c>
      <c r="M133" s="67">
        <f>0</f>
        <v>0</v>
      </c>
      <c r="N133" s="67">
        <f>0</f>
        <v>0</v>
      </c>
      <c r="O133" s="67">
        <f>0</f>
        <v>0</v>
      </c>
      <c r="P133" s="67">
        <f>0</f>
        <v>0</v>
      </c>
      <c r="Q133" s="67">
        <f>0</f>
        <v>0</v>
      </c>
      <c r="R133" s="67">
        <f>0</f>
        <v>0</v>
      </c>
      <c r="S133" s="67">
        <f>0</f>
        <v>0</v>
      </c>
    </row>
    <row r="134" spans="1:19" x14ac:dyDescent="0.2">
      <c r="A134" s="20" t="s">
        <v>977</v>
      </c>
      <c r="B134" s="20"/>
      <c r="C134" s="20"/>
      <c r="D134" s="85">
        <f ca="1">D130-D131-D132-D133</f>
        <v>358.73265000000004</v>
      </c>
      <c r="E134" s="85">
        <f t="shared" ref="E134:S134" ca="1" si="70">E130-E131-E132-E133</f>
        <v>493.94083303290972</v>
      </c>
      <c r="F134" s="85">
        <f t="shared" ca="1" si="70"/>
        <v>772.97855184196919</v>
      </c>
      <c r="G134" s="85">
        <f t="shared" ca="1" si="70"/>
        <v>1159.9240505762664</v>
      </c>
      <c r="H134" s="85">
        <f t="shared" ca="1" si="70"/>
        <v>1762.9599560700337</v>
      </c>
      <c r="I134" s="85">
        <f t="shared" ca="1" si="70"/>
        <v>2760.9234944370046</v>
      </c>
      <c r="J134" s="85">
        <f t="shared" ca="1" si="70"/>
        <v>4297.3837790563657</v>
      </c>
      <c r="K134" s="85">
        <f t="shared" ca="1" si="70"/>
        <v>6729.7148315143868</v>
      </c>
      <c r="L134" s="85">
        <f t="shared" ca="1" si="70"/>
        <v>10491.25727271158</v>
      </c>
      <c r="M134" s="85">
        <f t="shared" ca="1" si="70"/>
        <v>16350.696419823316</v>
      </c>
      <c r="N134" s="85">
        <f t="shared" ca="1" si="70"/>
        <v>25558.58868682207</v>
      </c>
      <c r="O134" s="85">
        <f t="shared" ca="1" si="70"/>
        <v>39863.419301370304</v>
      </c>
      <c r="P134" s="85">
        <f t="shared" ca="1" si="70"/>
        <v>62387.226493541209</v>
      </c>
      <c r="Q134" s="85">
        <f t="shared" ca="1" si="70"/>
        <v>98433.344008634493</v>
      </c>
      <c r="R134" s="85">
        <f t="shared" ca="1" si="70"/>
        <v>155842.01906159468</v>
      </c>
      <c r="S134" s="85">
        <f t="shared" ca="1" si="70"/>
        <v>247767.19134938164</v>
      </c>
    </row>
    <row r="135" spans="1:19" x14ac:dyDescent="0.2">
      <c r="A135" s="22" t="s">
        <v>997</v>
      </c>
      <c r="B135" s="8"/>
      <c r="C135" s="8"/>
      <c r="D135" s="67">
        <f>0</f>
        <v>0</v>
      </c>
      <c r="E135" s="67">
        <f>0</f>
        <v>0</v>
      </c>
      <c r="F135" s="67">
        <f>0</f>
        <v>0</v>
      </c>
      <c r="G135" s="67">
        <f>0</f>
        <v>0</v>
      </c>
      <c r="H135" s="67">
        <f>0</f>
        <v>0</v>
      </c>
      <c r="I135" s="67">
        <f>0</f>
        <v>0</v>
      </c>
      <c r="J135" s="67">
        <f>0</f>
        <v>0</v>
      </c>
      <c r="K135" s="67">
        <f>0</f>
        <v>0</v>
      </c>
      <c r="L135" s="67">
        <f>0</f>
        <v>0</v>
      </c>
      <c r="M135" s="67">
        <f>0</f>
        <v>0</v>
      </c>
      <c r="N135" s="67">
        <f>0</f>
        <v>0</v>
      </c>
      <c r="O135" s="67">
        <f>0</f>
        <v>0</v>
      </c>
      <c r="P135" s="67">
        <f>0</f>
        <v>0</v>
      </c>
      <c r="Q135" s="67">
        <f>0</f>
        <v>0</v>
      </c>
      <c r="R135" s="67">
        <f>0</f>
        <v>0</v>
      </c>
      <c r="S135" s="67">
        <f>0</f>
        <v>0</v>
      </c>
    </row>
    <row r="136" spans="1:19" x14ac:dyDescent="0.2">
      <c r="A136" s="22" t="s">
        <v>980</v>
      </c>
      <c r="B136" s="8"/>
      <c r="C136" s="8"/>
      <c r="D136" s="67">
        <f ca="1">D134+D133-D135</f>
        <v>358.73265000000004</v>
      </c>
      <c r="E136" s="67">
        <f t="shared" ref="E136:S136" ca="1" si="71">E134+E133-E135</f>
        <v>493.94083303290972</v>
      </c>
      <c r="F136" s="67">
        <f t="shared" ca="1" si="71"/>
        <v>772.97855184196919</v>
      </c>
      <c r="G136" s="67">
        <f t="shared" ca="1" si="71"/>
        <v>1159.9240505762664</v>
      </c>
      <c r="H136" s="67">
        <f t="shared" ca="1" si="71"/>
        <v>1762.9599560700337</v>
      </c>
      <c r="I136" s="67">
        <f t="shared" ca="1" si="71"/>
        <v>2760.9234944370046</v>
      </c>
      <c r="J136" s="67">
        <f t="shared" ca="1" si="71"/>
        <v>4297.3837790563657</v>
      </c>
      <c r="K136" s="67">
        <f t="shared" ca="1" si="71"/>
        <v>6729.7148315143868</v>
      </c>
      <c r="L136" s="67">
        <f t="shared" ca="1" si="71"/>
        <v>10491.25727271158</v>
      </c>
      <c r="M136" s="67">
        <f t="shared" ca="1" si="71"/>
        <v>16350.696419823316</v>
      </c>
      <c r="N136" s="67">
        <f t="shared" ca="1" si="71"/>
        <v>25558.58868682207</v>
      </c>
      <c r="O136" s="67">
        <f t="shared" ca="1" si="71"/>
        <v>39863.419301370304</v>
      </c>
      <c r="P136" s="67">
        <f t="shared" ca="1" si="71"/>
        <v>62387.226493541209</v>
      </c>
      <c r="Q136" s="67">
        <f t="shared" ca="1" si="71"/>
        <v>98433.344008634493</v>
      </c>
      <c r="R136" s="67">
        <f t="shared" ca="1" si="71"/>
        <v>155842.01906159468</v>
      </c>
      <c r="S136" s="67">
        <f t="shared" ca="1" si="71"/>
        <v>247767.19134938164</v>
      </c>
    </row>
    <row r="137" spans="1:19" x14ac:dyDescent="0.2">
      <c r="A137" s="22" t="s">
        <v>1055</v>
      </c>
      <c r="B137" s="8"/>
      <c r="C137" s="8"/>
      <c r="D137" s="56">
        <f>D255</f>
        <v>288.80500000000001</v>
      </c>
      <c r="E137" s="56">
        <f t="shared" ref="E137:S137" si="72">E255</f>
        <v>401.82565509999995</v>
      </c>
      <c r="F137" s="56">
        <f t="shared" si="72"/>
        <v>567.38280379214314</v>
      </c>
      <c r="G137" s="56">
        <f t="shared" si="72"/>
        <v>814.11236366524804</v>
      </c>
      <c r="H137" s="56">
        <f t="shared" si="72"/>
        <v>1188.2163079350319</v>
      </c>
      <c r="I137" s="56">
        <f t="shared" si="72"/>
        <v>1765.1379268998085</v>
      </c>
      <c r="J137" s="56">
        <f t="shared" si="72"/>
        <v>2669.4563606117135</v>
      </c>
      <c r="K137" s="56">
        <f t="shared" si="72"/>
        <v>4109.0625096451959</v>
      </c>
      <c r="L137" s="56">
        <f t="shared" si="72"/>
        <v>6434.33739562952</v>
      </c>
      <c r="M137" s="56">
        <f t="shared" si="72"/>
        <v>10241.429414584843</v>
      </c>
      <c r="N137" s="56">
        <f t="shared" si="72"/>
        <v>16553.882814146884</v>
      </c>
      <c r="O137" s="56">
        <f t="shared" si="72"/>
        <v>27144.469058599589</v>
      </c>
      <c r="P137" s="56">
        <f t="shared" si="72"/>
        <v>45109.633575266686</v>
      </c>
      <c r="Q137" s="56">
        <f t="shared" si="72"/>
        <v>75902.118121571577</v>
      </c>
      <c r="R137" s="56">
        <f t="shared" si="72"/>
        <v>129199.8262867654</v>
      </c>
      <c r="S137" s="56">
        <f t="shared" si="72"/>
        <v>222310.03179203806</v>
      </c>
    </row>
    <row r="138" spans="1:19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x14ac:dyDescent="0.2">
      <c r="A141" s="20" t="s">
        <v>998</v>
      </c>
      <c r="B141" s="20"/>
      <c r="C141" s="20"/>
      <c r="D141" s="125">
        <f>SUM(D137:D140)</f>
        <v>288.80500000000001</v>
      </c>
      <c r="E141" s="125">
        <f t="shared" ref="E141:S141" si="73">SUM(E137:E140)</f>
        <v>401.82565509999995</v>
      </c>
      <c r="F141" s="125">
        <f t="shared" si="73"/>
        <v>567.38280379214314</v>
      </c>
      <c r="G141" s="125">
        <f t="shared" si="73"/>
        <v>814.11236366524804</v>
      </c>
      <c r="H141" s="125">
        <f t="shared" si="73"/>
        <v>1188.2163079350319</v>
      </c>
      <c r="I141" s="125">
        <f t="shared" si="73"/>
        <v>1765.1379268998085</v>
      </c>
      <c r="J141" s="125">
        <f t="shared" si="73"/>
        <v>2669.4563606117135</v>
      </c>
      <c r="K141" s="125">
        <f t="shared" si="73"/>
        <v>4109.0625096451959</v>
      </c>
      <c r="L141" s="125">
        <f t="shared" si="73"/>
        <v>6434.33739562952</v>
      </c>
      <c r="M141" s="125">
        <f t="shared" si="73"/>
        <v>10241.429414584843</v>
      </c>
      <c r="N141" s="125">
        <f t="shared" si="73"/>
        <v>16553.882814146884</v>
      </c>
      <c r="O141" s="125">
        <f t="shared" si="73"/>
        <v>27144.469058599589</v>
      </c>
      <c r="P141" s="125">
        <f t="shared" si="73"/>
        <v>45109.633575266686</v>
      </c>
      <c r="Q141" s="125">
        <f t="shared" si="73"/>
        <v>75902.118121571577</v>
      </c>
      <c r="R141" s="125">
        <f t="shared" si="73"/>
        <v>129199.8262867654</v>
      </c>
      <c r="S141" s="125">
        <f t="shared" si="73"/>
        <v>222310.03179203806</v>
      </c>
    </row>
    <row r="142" spans="1:19" x14ac:dyDescent="0.2">
      <c r="A142" s="22" t="s">
        <v>999</v>
      </c>
      <c r="B142" s="8"/>
      <c r="C142" s="8"/>
      <c r="D142" s="66">
        <f>D141*Assumptions!$B$369*MIN(8,(1+Assumptions!$B$370)^D$5)</f>
        <v>80223675.290000007</v>
      </c>
      <c r="E142" s="66">
        <f>E141*Assumptions!$B$369*MIN(8,(1+Assumptions!$B$370)^E$5)</f>
        <v>121663976.23638089</v>
      </c>
      <c r="F142" s="66">
        <f>F141*Assumptions!$B$369*MIN(8,(1+Assumptions!$B$370)^F$5)</f>
        <v>187252235.68651462</v>
      </c>
      <c r="G142" s="66">
        <f>G141*Assumptions!$B$369*MIN(8,(1+Assumptions!$B$370)^G$5)</f>
        <v>292861101.01231635</v>
      </c>
      <c r="H142" s="66">
        <f>H141*Assumptions!$B$369*MIN(8,(1+Assumptions!$B$370)^H$5)</f>
        <v>465907119.66517216</v>
      </c>
      <c r="I142" s="66">
        <f>I141*Assumptions!$B$369*MIN(8,(1+Assumptions!$B$370)^I$5)</f>
        <v>754412686.31593597</v>
      </c>
      <c r="J142" s="66">
        <f>J141*Assumptions!$B$369*MIN(8,(1+Assumptions!$B$370)^J$5)</f>
        <v>1243596983.2843237</v>
      </c>
      <c r="K142" s="66">
        <f>K141*Assumptions!$B$369*MIN(8,(1+Assumptions!$B$370)^K$5)</f>
        <v>2086536951.8706229</v>
      </c>
      <c r="L142" s="66">
        <f>L141*Assumptions!$B$369*MIN(8,(1+Assumptions!$B$370)^L$5)</f>
        <v>3561341826.4493909</v>
      </c>
      <c r="M142" s="66">
        <f>M141*Assumptions!$B$369*MIN(8,(1+Assumptions!$B$370)^M$5)</f>
        <v>6178697086.6813869</v>
      </c>
      <c r="N142" s="66">
        <f>N141*Assumptions!$B$369*MIN(8,(1+Assumptions!$B$370)^N$5)</f>
        <v>10885858944.14299</v>
      </c>
      <c r="O142" s="66">
        <f>O141*Assumptions!$B$369*MIN(8,(1+Assumptions!$B$370)^O$5)</f>
        <v>19456766875.62495</v>
      </c>
      <c r="P142" s="66">
        <f>P141*Assumptions!$B$369*MIN(8,(1+Assumptions!$B$370)^P$5)</f>
        <v>35243994216.362785</v>
      </c>
      <c r="Q142" s="66">
        <f>Q141*Assumptions!$B$369*MIN(8,(1+Assumptions!$B$370)^Q$5)</f>
        <v>64639236102.615303</v>
      </c>
      <c r="R142" s="66">
        <f>R141*Assumptions!$B$369*MIN(8,(1+Assumptions!$B$370)^R$5)</f>
        <v>119930804671.43188</v>
      </c>
      <c r="S142" s="66">
        <f>S141*Assumptions!$B$369*MIN(8,(1+Assumptions!$B$370)^S$5)</f>
        <v>224933622006.49649</v>
      </c>
    </row>
    <row r="143" spans="1:19" x14ac:dyDescent="0.2">
      <c r="A143" s="20" t="s">
        <v>1000</v>
      </c>
      <c r="B143" s="20"/>
      <c r="C143" s="20"/>
      <c r="D143" s="85">
        <f t="shared" ref="D143:S143" ca="1" si="74">D92+D48*D46</f>
        <v>0</v>
      </c>
      <c r="E143" s="85">
        <f t="shared" ca="1" si="74"/>
        <v>1490043231.7444873</v>
      </c>
      <c r="F143" s="85">
        <f t="shared" ca="1" si="74"/>
        <v>4158651598.1851931</v>
      </c>
      <c r="G143" s="85">
        <f t="shared" ca="1" si="74"/>
        <v>5427061785.2439499</v>
      </c>
      <c r="H143" s="85">
        <f t="shared" ca="1" si="74"/>
        <v>10025429161.159824</v>
      </c>
      <c r="I143" s="85">
        <f t="shared" ca="1" si="74"/>
        <v>26324152045.26635</v>
      </c>
      <c r="J143" s="85">
        <f t="shared" ca="1" si="74"/>
        <v>62292513591.136047</v>
      </c>
      <c r="K143" s="85">
        <f t="shared" ca="1" si="74"/>
        <v>112690007350.98645</v>
      </c>
      <c r="L143" s="85">
        <f t="shared" ca="1" si="74"/>
        <v>145700628045.03839</v>
      </c>
      <c r="M143" s="85">
        <f t="shared" ca="1" si="74"/>
        <v>191806935186.09985</v>
      </c>
      <c r="N143" s="85">
        <f t="shared" ca="1" si="74"/>
        <v>261317424458.2229</v>
      </c>
      <c r="O143" s="85">
        <f t="shared" ca="1" si="74"/>
        <v>359148806976.5083</v>
      </c>
      <c r="P143" s="85">
        <f t="shared" ca="1" si="74"/>
        <v>501138491633.70044</v>
      </c>
      <c r="Q143" s="85">
        <f t="shared" ca="1" si="74"/>
        <v>693822915881.87354</v>
      </c>
      <c r="R143" s="85">
        <f t="shared" ca="1" si="74"/>
        <v>971123276525.42468</v>
      </c>
      <c r="S143" s="85">
        <f t="shared" ca="1" si="74"/>
        <v>1365815326527.0662</v>
      </c>
    </row>
    <row r="144" spans="1:19" x14ac:dyDescent="0.2">
      <c r="A144" s="22" t="s">
        <v>1001</v>
      </c>
      <c r="B144" s="8"/>
      <c r="C144" s="8"/>
      <c r="D144" s="67">
        <f ca="1">MIN(D142,D143)</f>
        <v>0</v>
      </c>
      <c r="E144" s="67">
        <f t="shared" ref="E144:S144" ca="1" si="75">MIN(E142,E143)</f>
        <v>121663976.23638089</v>
      </c>
      <c r="F144" s="67">
        <f t="shared" ca="1" si="75"/>
        <v>187252235.68651462</v>
      </c>
      <c r="G144" s="67">
        <f t="shared" ca="1" si="75"/>
        <v>292861101.01231635</v>
      </c>
      <c r="H144" s="67">
        <f t="shared" ca="1" si="75"/>
        <v>465907119.66517216</v>
      </c>
      <c r="I144" s="67">
        <f t="shared" ca="1" si="75"/>
        <v>754412686.31593597</v>
      </c>
      <c r="J144" s="67">
        <f t="shared" ca="1" si="75"/>
        <v>1243596983.2843237</v>
      </c>
      <c r="K144" s="67">
        <f t="shared" ca="1" si="75"/>
        <v>2086536951.8706229</v>
      </c>
      <c r="L144" s="67">
        <f t="shared" ca="1" si="75"/>
        <v>3561341826.4493909</v>
      </c>
      <c r="M144" s="67">
        <f t="shared" ca="1" si="75"/>
        <v>6178697086.6813869</v>
      </c>
      <c r="N144" s="67">
        <f t="shared" ca="1" si="75"/>
        <v>10885858944.14299</v>
      </c>
      <c r="O144" s="67">
        <f t="shared" ca="1" si="75"/>
        <v>19456766875.62495</v>
      </c>
      <c r="P144" s="67">
        <f t="shared" ca="1" si="75"/>
        <v>35243994216.362785</v>
      </c>
      <c r="Q144" s="67">
        <f t="shared" ca="1" si="75"/>
        <v>64639236102.615303</v>
      </c>
      <c r="R144" s="67">
        <f t="shared" ca="1" si="75"/>
        <v>119930804671.43188</v>
      </c>
      <c r="S144" s="67">
        <f t="shared" ca="1" si="75"/>
        <v>224933622006.49649</v>
      </c>
    </row>
    <row r="145" spans="1:29" x14ac:dyDescent="0.2">
      <c r="A145" s="22" t="s">
        <v>1002</v>
      </c>
      <c r="B145" s="8"/>
      <c r="C145" s="8"/>
      <c r="D145" s="97">
        <f ca="1">IFERROR(D144/D143,0)</f>
        <v>0</v>
      </c>
      <c r="E145" s="97">
        <f t="shared" ref="E145:S145" ca="1" si="76">IFERROR(E144/E143,0)</f>
        <v>8.1651306246961181E-2</v>
      </c>
      <c r="F145" s="97">
        <f t="shared" ca="1" si="76"/>
        <v>4.502715153349951E-2</v>
      </c>
      <c r="G145" s="97">
        <f t="shared" ca="1" si="76"/>
        <v>5.396310427284956E-2</v>
      </c>
      <c r="H145" s="97">
        <f t="shared" ca="1" si="76"/>
        <v>4.6472536205250305E-2</v>
      </c>
      <c r="I145" s="97">
        <f t="shared" ca="1" si="76"/>
        <v>2.8658575023372716E-2</v>
      </c>
      <c r="J145" s="97">
        <f t="shared" ca="1" si="76"/>
        <v>1.9963827297880658E-2</v>
      </c>
      <c r="K145" s="97">
        <f t="shared" ca="1" si="76"/>
        <v>1.8515722919174679E-2</v>
      </c>
      <c r="L145" s="97">
        <f t="shared" ca="1" si="76"/>
        <v>2.4442872170382979E-2</v>
      </c>
      <c r="M145" s="97">
        <f t="shared" ca="1" si="76"/>
        <v>3.2213105749729708E-2</v>
      </c>
      <c r="N145" s="97">
        <f t="shared" ca="1" si="76"/>
        <v>4.1657608430483072E-2</v>
      </c>
      <c r="O145" s="97">
        <f t="shared" ca="1" si="76"/>
        <v>5.4174666594110681E-2</v>
      </c>
      <c r="P145" s="97">
        <f t="shared" ca="1" si="76"/>
        <v>7.0327853088011941E-2</v>
      </c>
      <c r="Q145" s="97">
        <f t="shared" ca="1" si="76"/>
        <v>9.3163881767232407E-2</v>
      </c>
      <c r="R145" s="97">
        <f t="shared" ca="1" si="76"/>
        <v>0.12349699319383167</v>
      </c>
      <c r="S145" s="97">
        <f t="shared" ca="1" si="76"/>
        <v>0.16468816657552643</v>
      </c>
    </row>
    <row r="146" spans="1:29" x14ac:dyDescent="0.2">
      <c r="A146" s="22" t="s">
        <v>1056</v>
      </c>
      <c r="B146" s="8"/>
      <c r="C146" s="8"/>
      <c r="D146" s="175" t="str">
        <f ca="1">IF(D142&gt;D143,"SUPPLY SHORTFALL (DCs undersized)","DEMAND-CONSTRAINED (OK)")</f>
        <v>SUPPLY SHORTFALL (DCs undersized)</v>
      </c>
      <c r="E146" s="175" t="str">
        <f t="shared" ref="E146:S146" ca="1" si="77">IF(E142&gt;E143,"SUPPLY SHORTFALL (DCs undersized)","DEMAND-CONSTRAINED (OK)")</f>
        <v>DEMAND-CONSTRAINED (OK)</v>
      </c>
      <c r="F146" s="175" t="str">
        <f t="shared" ca="1" si="77"/>
        <v>DEMAND-CONSTRAINED (OK)</v>
      </c>
      <c r="G146" s="175" t="str">
        <f t="shared" ca="1" si="77"/>
        <v>DEMAND-CONSTRAINED (OK)</v>
      </c>
      <c r="H146" s="175" t="str">
        <f t="shared" ca="1" si="77"/>
        <v>DEMAND-CONSTRAINED (OK)</v>
      </c>
      <c r="I146" s="175" t="str">
        <f t="shared" ca="1" si="77"/>
        <v>DEMAND-CONSTRAINED (OK)</v>
      </c>
      <c r="J146" s="175" t="str">
        <f t="shared" ca="1" si="77"/>
        <v>DEMAND-CONSTRAINED (OK)</v>
      </c>
      <c r="K146" s="175" t="str">
        <f t="shared" ca="1" si="77"/>
        <v>DEMAND-CONSTRAINED (OK)</v>
      </c>
      <c r="L146" s="175" t="str">
        <f t="shared" ca="1" si="77"/>
        <v>DEMAND-CONSTRAINED (OK)</v>
      </c>
      <c r="M146" s="175" t="str">
        <f t="shared" ca="1" si="77"/>
        <v>DEMAND-CONSTRAINED (OK)</v>
      </c>
      <c r="N146" s="175" t="str">
        <f t="shared" ca="1" si="77"/>
        <v>DEMAND-CONSTRAINED (OK)</v>
      </c>
      <c r="O146" s="175" t="str">
        <f t="shared" ca="1" si="77"/>
        <v>DEMAND-CONSTRAINED (OK)</v>
      </c>
      <c r="P146" s="175" t="str">
        <f t="shared" ca="1" si="77"/>
        <v>DEMAND-CONSTRAINED (OK)</v>
      </c>
      <c r="Q146" s="175" t="str">
        <f t="shared" ca="1" si="77"/>
        <v>DEMAND-CONSTRAINED (OK)</v>
      </c>
      <c r="R146" s="175" t="str">
        <f t="shared" ca="1" si="77"/>
        <v>DEMAND-CONSTRAINED (OK)</v>
      </c>
      <c r="S146" s="175" t="str">
        <f t="shared" ca="1" si="77"/>
        <v>DEMAND-CONSTRAINED (OK)</v>
      </c>
    </row>
    <row r="147" spans="1:29" x14ac:dyDescent="0.2">
      <c r="A147" s="22" t="s">
        <v>1003</v>
      </c>
      <c r="B147" s="8"/>
      <c r="C147" s="8"/>
      <c r="D147" s="62">
        <f ca="1">IFERROR((D126-D126*(Assumptions!$B$367+Assumptions!$B$368)-D132-D129)/D122,0)</f>
        <v>360.62917050691243</v>
      </c>
      <c r="E147" s="62">
        <f ca="1">IFERROR((E126-E126*(Assumptions!$B$367+Assumptions!$B$368)-E132-E129)/E122,0)</f>
        <v>317.48167098639811</v>
      </c>
      <c r="F147" s="62">
        <f ca="1">IFERROR((F126-F126*(Assumptions!$B$367+Assumptions!$B$368)-F132-F129)/F122,0)</f>
        <v>335.0657920789227</v>
      </c>
      <c r="G147" s="62">
        <f ca="1">IFERROR((G126-G126*(Assumptions!$B$367+Assumptions!$B$368)-G132-G129)/G122,0)</f>
        <v>339.21620575113542</v>
      </c>
      <c r="H147" s="62">
        <f ca="1">IFERROR((H126-H126*(Assumptions!$B$367+Assumptions!$B$368)-H132-H129)/H122,0)</f>
        <v>347.36778763012802</v>
      </c>
      <c r="I147" s="62">
        <f ca="1">IFERROR((I126-I126*(Assumptions!$B$367+Assumptions!$B$368)-I132-I129)/I122,0)</f>
        <v>365.82591756600874</v>
      </c>
      <c r="J147" s="62">
        <f ca="1">IFERROR((J126-J126*(Assumptions!$B$367+Assumptions!$B$368)-J132-J129)/J122,0)</f>
        <v>382.52273958027297</v>
      </c>
      <c r="K147" s="62">
        <f ca="1">IFERROR((K126-K126*(Assumptions!$B$367+Assumptions!$B$368)-K132-K129)/K122,0)</f>
        <v>401.82538355172682</v>
      </c>
      <c r="L147" s="62">
        <f ca="1">IFERROR((L126-L126*(Assumptions!$B$367+Assumptions!$B$368)-L132-L129)/L122,0)</f>
        <v>419.61829497428749</v>
      </c>
      <c r="M147" s="62">
        <f ca="1">IFERROR((M126-M126*(Assumptions!$B$367+Assumptions!$B$368)-M132-M129)/M122,0)</f>
        <v>437.34172248753413</v>
      </c>
      <c r="N147" s="62">
        <f ca="1">IFERROR((N126-N126*(Assumptions!$B$367+Assumptions!$B$368)-N132-N129)/N122,0)</f>
        <v>456.28169589748882</v>
      </c>
      <c r="O147" s="62">
        <f ca="1">IFERROR((O126-O126*(Assumptions!$B$367+Assumptions!$B$368)-O132-O129)/O122,0)</f>
        <v>474.01550065734057</v>
      </c>
      <c r="P147" s="62">
        <f ca="1">IFERROR((P126-P126*(Assumptions!$B$367+Assumptions!$B$368)-P132-P129)/P122,0)</f>
        <v>492.93826680956755</v>
      </c>
      <c r="Q147" s="62">
        <f ca="1">IFERROR((Q126-Q126*(Assumptions!$B$367+Assumptions!$B$368)-Q132-Q129)/Q122,0)</f>
        <v>515.38258029757446</v>
      </c>
      <c r="R147" s="62">
        <f ca="1">IFERROR((R126-R126*(Assumptions!$B$367+Assumptions!$B$368)-R132-R129)/R122,0)</f>
        <v>539.14500672538134</v>
      </c>
      <c r="S147" s="62">
        <f ca="1">IFERROR((S126-S126*(Assumptions!$B$367+Assumptions!$B$368)-S132-S129)/S122,0)</f>
        <v>564.57022920089901</v>
      </c>
    </row>
    <row r="148" spans="1:29" x14ac:dyDescent="0.2">
      <c r="A148" s="22" t="s">
        <v>1004</v>
      </c>
      <c r="B148" s="8"/>
      <c r="C148" s="8"/>
      <c r="D148" s="62">
        <f>Assumptions!$B$405+Assumptions!$B$366</f>
        <v>265</v>
      </c>
      <c r="E148" s="62">
        <f>Assumptions!$B$405+Assumptions!$B$366</f>
        <v>265</v>
      </c>
      <c r="F148" s="62">
        <f>Assumptions!$B$405+Assumptions!$B$366</f>
        <v>265</v>
      </c>
      <c r="G148" s="62">
        <f>Assumptions!$B$405+Assumptions!$B$366</f>
        <v>265</v>
      </c>
      <c r="H148" s="62">
        <f>Assumptions!$B$405+Assumptions!$B$366</f>
        <v>265</v>
      </c>
      <c r="I148" s="62">
        <f>Assumptions!$B$405+Assumptions!$B$366</f>
        <v>265</v>
      </c>
      <c r="J148" s="62">
        <f>Assumptions!$B$405+Assumptions!$B$366</f>
        <v>265</v>
      </c>
      <c r="K148" s="62">
        <f>Assumptions!$B$405+Assumptions!$B$366</f>
        <v>265</v>
      </c>
      <c r="L148" s="62">
        <f>Assumptions!$B$405+Assumptions!$B$366</f>
        <v>265</v>
      </c>
      <c r="M148" s="62">
        <f>Assumptions!$B$405+Assumptions!$B$366</f>
        <v>265</v>
      </c>
      <c r="N148" s="62">
        <f>Assumptions!$B$405+Assumptions!$B$366</f>
        <v>265</v>
      </c>
      <c r="O148" s="62">
        <f>Assumptions!$B$405+Assumptions!$B$366</f>
        <v>265</v>
      </c>
      <c r="P148" s="62">
        <f>Assumptions!$B$405+Assumptions!$B$366</f>
        <v>265</v>
      </c>
      <c r="Q148" s="62">
        <f>Assumptions!$B$405+Assumptions!$B$366</f>
        <v>265</v>
      </c>
      <c r="R148" s="62">
        <f>Assumptions!$B$405+Assumptions!$B$366</f>
        <v>265</v>
      </c>
      <c r="S148" s="62">
        <f>Assumptions!$B$405+Assumptions!$B$366</f>
        <v>265</v>
      </c>
    </row>
    <row r="149" spans="1:29" x14ac:dyDescent="0.2">
      <c r="A149" s="22" t="s">
        <v>1524</v>
      </c>
      <c r="B149" s="8"/>
      <c r="C149" s="8"/>
      <c r="D149" s="93">
        <f>Assumptions!$B$23</f>
        <v>3</v>
      </c>
      <c r="E149" s="93">
        <f>Assumptions!$B$23</f>
        <v>3</v>
      </c>
      <c r="F149" s="93">
        <f>Assumptions!$B$23</f>
        <v>3</v>
      </c>
      <c r="G149" s="93">
        <f>Assumptions!$B$23</f>
        <v>3</v>
      </c>
      <c r="H149" s="93">
        <f>Assumptions!$B$23</f>
        <v>3</v>
      </c>
      <c r="I149" s="93">
        <f>Assumptions!$B$23</f>
        <v>3</v>
      </c>
      <c r="J149" s="93">
        <f>Assumptions!$B$23</f>
        <v>3</v>
      </c>
      <c r="K149" s="93">
        <f>Assumptions!$B$23</f>
        <v>3</v>
      </c>
      <c r="L149" s="93">
        <f>Assumptions!$B$23</f>
        <v>3</v>
      </c>
      <c r="M149" s="93">
        <f>Assumptions!$B$23</f>
        <v>3</v>
      </c>
      <c r="N149" s="93">
        <f>Assumptions!$B$23</f>
        <v>3</v>
      </c>
      <c r="O149" s="93">
        <f>Assumptions!$B$23</f>
        <v>3</v>
      </c>
      <c r="P149" s="93">
        <f>Assumptions!$B$23</f>
        <v>3</v>
      </c>
      <c r="Q149" s="93">
        <f>Assumptions!$B$23</f>
        <v>3</v>
      </c>
      <c r="R149" s="93">
        <f>Assumptions!$B$23</f>
        <v>3</v>
      </c>
      <c r="S149" s="93">
        <f>Assumptions!$B$23</f>
        <v>3</v>
      </c>
    </row>
    <row r="150" spans="1:29" s="2" customFormat="1" x14ac:dyDescent="0.2">
      <c r="A150" s="186" t="s">
        <v>1380</v>
      </c>
      <c r="B150" s="9"/>
      <c r="C150" s="9"/>
      <c r="D150" s="99">
        <f ca="1">IF(D147&lt;=0,0,IFERROR(MIN(3,IFERROR(RATE(D149,D147,-D148,0,0,0.1),IFERROR(RATE(D149,D147,-D148,0,0,0.5),RATE(D149,D147,-D148,0,0,1.5)))),IF(D147*D149&gt;D148,3,0)))</f>
        <v>1.2397436261516745</v>
      </c>
      <c r="E150" s="99">
        <f t="shared" ref="E150:S150" ca="1" si="78">IF(E147&lt;=0,0,IFERROR(MIN(3,IFERROR(RATE(E149,E147,-E148,0,0,0.1),IFERROR(RATE(E149,E147,-E148,0,0,0.5),RATE(E149,E147,-E148,0,0,1.5)))),IF(E147*E149&gt;E148,3,0)))</f>
        <v>1.0612446524617021</v>
      </c>
      <c r="F150" s="99">
        <f t="shared" ca="1" si="78"/>
        <v>1.1343574873773963</v>
      </c>
      <c r="G150" s="99">
        <f t="shared" ca="1" si="78"/>
        <v>1.1515371774130299</v>
      </c>
      <c r="H150" s="99">
        <f t="shared" ca="1" si="78"/>
        <v>1.1851982723930514</v>
      </c>
      <c r="I150" s="99">
        <f t="shared" ca="1" si="78"/>
        <v>1.2610492602924814</v>
      </c>
      <c r="J150" s="99">
        <f t="shared" ca="1" si="78"/>
        <v>1.3292576625914767</v>
      </c>
      <c r="K150" s="99">
        <f t="shared" ca="1" si="78"/>
        <v>1.4076809725274746</v>
      </c>
      <c r="L150" s="99">
        <f t="shared" ca="1" si="78"/>
        <v>1.4796018249129324</v>
      </c>
      <c r="M150" s="99">
        <f t="shared" ca="1" si="78"/>
        <v>1.5509241433759759</v>
      </c>
      <c r="N150" s="99">
        <f t="shared" ca="1" si="78"/>
        <v>1.6268241595894493</v>
      </c>
      <c r="O150" s="99">
        <f t="shared" ca="1" si="78"/>
        <v>1.6976196684946494</v>
      </c>
      <c r="P150" s="99">
        <f t="shared" ca="1" si="78"/>
        <v>1.7728985667502752</v>
      </c>
      <c r="Q150" s="99">
        <f t="shared" ca="1" si="78"/>
        <v>1.8618671847118835</v>
      </c>
      <c r="R150" s="99">
        <f t="shared" ca="1" si="78"/>
        <v>1.9557196603862566</v>
      </c>
      <c r="S150" s="99">
        <f t="shared" ca="1" si="78"/>
        <v>2.0557914648326241</v>
      </c>
      <c r="T150"/>
      <c r="U150"/>
      <c r="V150"/>
      <c r="W150"/>
      <c r="X150"/>
      <c r="Y150"/>
      <c r="Z150"/>
      <c r="AA150"/>
      <c r="AB150"/>
      <c r="AC150"/>
    </row>
    <row r="151" spans="1:29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29" x14ac:dyDescent="0.2">
      <c r="A152" s="18" t="s">
        <v>1005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</row>
    <row r="153" spans="1:29" x14ac:dyDescent="0.2">
      <c r="A153" s="23" t="s">
        <v>1006</v>
      </c>
      <c r="B153" s="9"/>
      <c r="C153" s="9"/>
      <c r="D153" s="75">
        <f t="shared" ref="D153:S153" ca="1" si="79">D60+D96+D126</f>
        <v>483.065</v>
      </c>
      <c r="E153" s="75">
        <f t="shared" ca="1" si="79"/>
        <v>3324.5486776854018</v>
      </c>
      <c r="F153" s="75">
        <f t="shared" ca="1" si="79"/>
        <v>8258.093203792323</v>
      </c>
      <c r="G153" s="75">
        <f t="shared" ca="1" si="79"/>
        <v>10803.798180795218</v>
      </c>
      <c r="H153" s="75">
        <f t="shared" ca="1" si="79"/>
        <v>19465.017740822652</v>
      </c>
      <c r="I153" s="75">
        <f t="shared" ca="1" si="79"/>
        <v>47484.566164807766</v>
      </c>
      <c r="J153" s="75">
        <f t="shared" ca="1" si="79"/>
        <v>105795.94570867221</v>
      </c>
      <c r="K153" s="75">
        <f t="shared" ca="1" si="79"/>
        <v>160235.37287958449</v>
      </c>
      <c r="L153" s="75">
        <f t="shared" ca="1" si="79"/>
        <v>184931.17716083347</v>
      </c>
      <c r="M153" s="75">
        <f t="shared" ca="1" si="79"/>
        <v>228757.03455152758</v>
      </c>
      <c r="N153" s="75">
        <f t="shared" ca="1" si="79"/>
        <v>309543.41563913337</v>
      </c>
      <c r="O153" s="75">
        <f t="shared" ca="1" si="79"/>
        <v>443381.30339818494</v>
      </c>
      <c r="P153" s="75">
        <f t="shared" ca="1" si="79"/>
        <v>613330.08831753838</v>
      </c>
      <c r="Q153" s="75">
        <f t="shared" ca="1" si="79"/>
        <v>782340.79559172702</v>
      </c>
      <c r="R153" s="75">
        <f t="shared" ca="1" si="79"/>
        <v>1028073.5119250666</v>
      </c>
      <c r="S153" s="75">
        <f t="shared" ca="1" si="79"/>
        <v>1378465.0120286108</v>
      </c>
    </row>
    <row r="154" spans="1:29" x14ac:dyDescent="0.2">
      <c r="A154" s="22" t="s">
        <v>1007</v>
      </c>
      <c r="B154" s="8"/>
      <c r="C154" s="8"/>
      <c r="D154" s="67">
        <f t="shared" ref="D154:S154" ca="1" si="80">D61+D97</f>
        <v>0</v>
      </c>
      <c r="E154" s="67">
        <f t="shared" ca="1" si="80"/>
        <v>137.2496886522043</v>
      </c>
      <c r="F154" s="67">
        <f t="shared" ca="1" si="80"/>
        <v>391.89176034558415</v>
      </c>
      <c r="G154" s="67">
        <f t="shared" ca="1" si="80"/>
        <v>648.89518188224861</v>
      </c>
      <c r="H154" s="67">
        <f t="shared" ca="1" si="80"/>
        <v>1118.0997900925865</v>
      </c>
      <c r="I154" s="67">
        <f t="shared" ca="1" si="80"/>
        <v>2218.9356411042932</v>
      </c>
      <c r="J154" s="67">
        <f t="shared" ca="1" si="80"/>
        <v>4182.3495884036147</v>
      </c>
      <c r="K154" s="67">
        <f t="shared" ca="1" si="80"/>
        <v>5713.640860755534</v>
      </c>
      <c r="L154" s="67">
        <f t="shared" ca="1" si="80"/>
        <v>5732.5018478283346</v>
      </c>
      <c r="M154" s="67">
        <f t="shared" ca="1" si="80"/>
        <v>6936.4617707655962</v>
      </c>
      <c r="N154" s="67">
        <f t="shared" ca="1" si="80"/>
        <v>9190.2484438719639</v>
      </c>
      <c r="O154" s="67">
        <f t="shared" ca="1" si="80"/>
        <v>12839.530556179601</v>
      </c>
      <c r="P154" s="67">
        <f t="shared" ca="1" si="80"/>
        <v>17157.727136022244</v>
      </c>
      <c r="Q154" s="67">
        <f t="shared" ca="1" si="80"/>
        <v>20947.178005517002</v>
      </c>
      <c r="R154" s="67">
        <f t="shared" ca="1" si="80"/>
        <v>27179.716773329215</v>
      </c>
      <c r="S154" s="67">
        <f t="shared" ca="1" si="80"/>
        <v>36113.428749042512</v>
      </c>
    </row>
    <row r="155" spans="1:29" x14ac:dyDescent="0.2">
      <c r="A155" s="20" t="s">
        <v>1008</v>
      </c>
      <c r="B155" s="20"/>
      <c r="C155" s="20"/>
      <c r="D155" s="85">
        <f ca="1">D153-D154</f>
        <v>483.065</v>
      </c>
      <c r="E155" s="85">
        <f t="shared" ref="E155:S155" ca="1" si="81">E153-E154</f>
        <v>3187.2989890331974</v>
      </c>
      <c r="F155" s="85">
        <f t="shared" ca="1" si="81"/>
        <v>7866.2014434467392</v>
      </c>
      <c r="G155" s="85">
        <f t="shared" ca="1" si="81"/>
        <v>10154.90299891297</v>
      </c>
      <c r="H155" s="85">
        <f t="shared" ca="1" si="81"/>
        <v>18346.917950730065</v>
      </c>
      <c r="I155" s="85">
        <f t="shared" ca="1" si="81"/>
        <v>45265.630523703476</v>
      </c>
      <c r="J155" s="85">
        <f t="shared" ca="1" si="81"/>
        <v>101613.5961202686</v>
      </c>
      <c r="K155" s="85">
        <f t="shared" ca="1" si="81"/>
        <v>154521.73201882897</v>
      </c>
      <c r="L155" s="85">
        <f t="shared" ca="1" si="81"/>
        <v>179198.67531300514</v>
      </c>
      <c r="M155" s="85">
        <f t="shared" ca="1" si="81"/>
        <v>221820.57278076198</v>
      </c>
      <c r="N155" s="85">
        <f t="shared" ca="1" si="81"/>
        <v>300353.1671952614</v>
      </c>
      <c r="O155" s="85">
        <f t="shared" ca="1" si="81"/>
        <v>430541.77284200536</v>
      </c>
      <c r="P155" s="85">
        <f t="shared" ca="1" si="81"/>
        <v>596172.36118151608</v>
      </c>
      <c r="Q155" s="85">
        <f t="shared" ca="1" si="81"/>
        <v>761393.61758621002</v>
      </c>
      <c r="R155" s="85">
        <f t="shared" ca="1" si="81"/>
        <v>1000893.7951517374</v>
      </c>
      <c r="S155" s="85">
        <f t="shared" ca="1" si="81"/>
        <v>1342351.5832795682</v>
      </c>
    </row>
    <row r="156" spans="1:29" x14ac:dyDescent="0.2">
      <c r="A156" s="22" t="s">
        <v>1009</v>
      </c>
      <c r="B156" s="8"/>
      <c r="C156" s="8"/>
      <c r="D156" s="97">
        <f ca="1">IFERROR(D155/D153,0)</f>
        <v>1</v>
      </c>
      <c r="E156" s="97">
        <f t="shared" ref="E156:S156" ca="1" si="82">IFERROR(E155/E153,0)</f>
        <v>0.95871629446323536</v>
      </c>
      <c r="F156" s="97">
        <f t="shared" ca="1" si="82"/>
        <v>0.95254452200108164</v>
      </c>
      <c r="G156" s="97">
        <f t="shared" ca="1" si="82"/>
        <v>0.93993823551464328</v>
      </c>
      <c r="H156" s="97">
        <f t="shared" ca="1" si="82"/>
        <v>0.94255850135971508</v>
      </c>
      <c r="I156" s="97">
        <f t="shared" ca="1" si="82"/>
        <v>0.95327038192993307</v>
      </c>
      <c r="J156" s="97">
        <f t="shared" ca="1" si="82"/>
        <v>0.96046777066561273</v>
      </c>
      <c r="K156" s="97">
        <f t="shared" ca="1" si="82"/>
        <v>0.96434220011427019</v>
      </c>
      <c r="L156" s="97">
        <f t="shared" ca="1" si="82"/>
        <v>0.9690019717830336</v>
      </c>
      <c r="M156" s="97">
        <f t="shared" ca="1" si="82"/>
        <v>0.96967760233312883</v>
      </c>
      <c r="N156" s="97">
        <f t="shared" ca="1" si="82"/>
        <v>0.97031030873360269</v>
      </c>
      <c r="O156" s="97">
        <f t="shared" ca="1" si="82"/>
        <v>0.97104178625085402</v>
      </c>
      <c r="P156" s="97">
        <f t="shared" ca="1" si="82"/>
        <v>0.97202529687873518</v>
      </c>
      <c r="Q156" s="97">
        <f t="shared" ca="1" si="82"/>
        <v>0.97322499590517519</v>
      </c>
      <c r="R156" s="97">
        <f t="shared" ca="1" si="82"/>
        <v>0.97356247733449019</v>
      </c>
      <c r="S156" s="97">
        <f t="shared" ca="1" si="82"/>
        <v>0.97380170810726896</v>
      </c>
    </row>
    <row r="157" spans="1:29" x14ac:dyDescent="0.2">
      <c r="A157" s="22" t="s">
        <v>1010</v>
      </c>
      <c r="B157" s="8"/>
      <c r="C157" s="8"/>
      <c r="D157" s="67">
        <f t="shared" ref="D157:S157" ca="1" si="83">D65+D98+D131</f>
        <v>51.872599999999998</v>
      </c>
      <c r="E157" s="67">
        <f t="shared" ca="1" si="83"/>
        <v>157.82660930138101</v>
      </c>
      <c r="F157" s="67">
        <f t="shared" ca="1" si="83"/>
        <v>366.97455246825928</v>
      </c>
      <c r="G157" s="67">
        <f t="shared" ca="1" si="83"/>
        <v>487.39320758759447</v>
      </c>
      <c r="H157" s="67">
        <f t="shared" ca="1" si="83"/>
        <v>862.74592429399331</v>
      </c>
      <c r="I157" s="67">
        <f t="shared" ca="1" si="83"/>
        <v>2026.9481373488534</v>
      </c>
      <c r="J157" s="67">
        <f t="shared" ca="1" si="83"/>
        <v>4426.6266304557394</v>
      </c>
      <c r="K157" s="67">
        <f t="shared" ca="1" si="83"/>
        <v>6692.8413416025642</v>
      </c>
      <c r="L157" s="67">
        <f t="shared" ca="1" si="83"/>
        <v>7822.1223327630823</v>
      </c>
      <c r="M157" s="67">
        <f t="shared" ca="1" si="83"/>
        <v>9806.5226782044956</v>
      </c>
      <c r="N157" s="67">
        <f t="shared" ca="1" si="83"/>
        <v>13433.898513647438</v>
      </c>
      <c r="O157" s="67">
        <f t="shared" ca="1" si="83"/>
        <v>19494.495684530266</v>
      </c>
      <c r="P157" s="67">
        <f t="shared" ca="1" si="83"/>
        <v>27447.237053845471</v>
      </c>
      <c r="Q157" s="67">
        <f t="shared" ca="1" si="83"/>
        <v>35961.244128740786</v>
      </c>
      <c r="R157" s="67">
        <f t="shared" ca="1" si="83"/>
        <v>48786.778761890797</v>
      </c>
      <c r="S157" s="67">
        <f t="shared" ca="1" si="83"/>
        <v>68064.115879561854</v>
      </c>
    </row>
    <row r="158" spans="1:29" x14ac:dyDescent="0.2">
      <c r="A158" s="22" t="s">
        <v>1011</v>
      </c>
      <c r="B158" s="8"/>
      <c r="C158" s="8"/>
      <c r="D158" s="67">
        <f t="shared" ref="D158:S158" ca="1" si="84">D72+D105+D132+D179</f>
        <v>2072.45975</v>
      </c>
      <c r="E158" s="67">
        <f t="shared" ca="1" si="84"/>
        <v>3495.7074842913325</v>
      </c>
      <c r="F158" s="67">
        <f t="shared" ca="1" si="84"/>
        <v>4828.693236416877</v>
      </c>
      <c r="G158" s="67">
        <f t="shared" ca="1" si="84"/>
        <v>2727.85327398648</v>
      </c>
      <c r="H158" s="67">
        <f t="shared" ca="1" si="84"/>
        <v>4397.218834518816</v>
      </c>
      <c r="I158" s="67">
        <f t="shared" ca="1" si="84"/>
        <v>9432.5025759786786</v>
      </c>
      <c r="J158" s="67">
        <f t="shared" ca="1" si="84"/>
        <v>17933.840668219113</v>
      </c>
      <c r="K158" s="67">
        <f t="shared" ca="1" si="84"/>
        <v>22750.676525975181</v>
      </c>
      <c r="L158" s="67">
        <f t="shared" ca="1" si="84"/>
        <v>21399.132781836004</v>
      </c>
      <c r="M158" s="67">
        <f t="shared" ca="1" si="84"/>
        <v>25758.369554350011</v>
      </c>
      <c r="N158" s="67">
        <f t="shared" ca="1" si="84"/>
        <v>34692.534563381872</v>
      </c>
      <c r="O158" s="67">
        <f t="shared" ca="1" si="84"/>
        <v>49428.950639547111</v>
      </c>
      <c r="P158" s="67">
        <f t="shared" ca="1" si="84"/>
        <v>67444.743213255395</v>
      </c>
      <c r="Q158" s="67">
        <f t="shared" ca="1" si="84"/>
        <v>83881.236732609672</v>
      </c>
      <c r="R158" s="67">
        <f t="shared" ca="1" si="84"/>
        <v>108477.21344634217</v>
      </c>
      <c r="S158" s="67">
        <f t="shared" ca="1" si="84"/>
        <v>142873.75146692892</v>
      </c>
    </row>
    <row r="159" spans="1:29" x14ac:dyDescent="0.2">
      <c r="A159" s="22" t="s">
        <v>1012</v>
      </c>
      <c r="B159" s="8"/>
      <c r="C159" s="8"/>
      <c r="D159" s="66">
        <f ca="1">D66+D99+D133+'Facilities Build'!D64+D213</f>
        <v>0</v>
      </c>
      <c r="E159" s="66">
        <f ca="1">E66+E99+E133+'Facilities Build'!E64+E213</f>
        <v>3745.3155785258996</v>
      </c>
      <c r="F159" s="66">
        <f ca="1">F66+F99+F133+'Facilities Build'!F64+F213</f>
        <v>7815.5895861575</v>
      </c>
      <c r="G159" s="66">
        <f ca="1">G66+G99+G133+'Facilities Build'!G64+G213</f>
        <v>11729.221726165679</v>
      </c>
      <c r="H159" s="66">
        <f ca="1">H66+H99+H133+'Facilities Build'!H64+H213</f>
        <v>14468.413283077492</v>
      </c>
      <c r="I159" s="66">
        <f ca="1">I66+I99+I133+'Facilities Build'!I64+I213</f>
        <v>21434.257946246787</v>
      </c>
      <c r="J159" s="66">
        <f ca="1">J66+J99+J133+'Facilities Build'!J64+J213</f>
        <v>35146.793075266549</v>
      </c>
      <c r="K159" s="66">
        <f ca="1">K66+K99+K133+'Facilities Build'!K64+K213</f>
        <v>50850.339198647984</v>
      </c>
      <c r="L159" s="66">
        <f ca="1">L66+L99+L133+'Facilities Build'!L64+L213</f>
        <v>60035.565458905956</v>
      </c>
      <c r="M159" s="66">
        <f ca="1">M66+M99+M133+'Facilities Build'!M64+M213</f>
        <v>68223.748520766894</v>
      </c>
      <c r="N159" s="66">
        <f ca="1">N66+N99+N133+'Facilities Build'!N64+N213</f>
        <v>79304.6199581447</v>
      </c>
      <c r="O159" s="66">
        <f ca="1">O66+O99+O133+'Facilities Build'!O64+O213</f>
        <v>94145.234597139599</v>
      </c>
      <c r="P159" s="66">
        <f ca="1">P66+P99+P133+'Facilities Build'!P64+P213</f>
        <v>117994.57811137635</v>
      </c>
      <c r="Q159" s="66">
        <f ca="1">Q66+Q99+Q133+'Facilities Build'!Q64+Q213</f>
        <v>148139.06160388596</v>
      </c>
      <c r="R159" s="66">
        <f ca="1">R66+R99+R133+'Facilities Build'!R64+R213</f>
        <v>186748.25791454493</v>
      </c>
      <c r="S159" s="66">
        <f ca="1">S66+S99+S133+'Facilities Build'!S64+S213</f>
        <v>235821.01093345572</v>
      </c>
    </row>
    <row r="160" spans="1:29" x14ac:dyDescent="0.2">
      <c r="A160" s="20" t="s">
        <v>1013</v>
      </c>
      <c r="B160" s="20"/>
      <c r="C160" s="20"/>
      <c r="D160" s="85">
        <f ca="1">D155-D157-D158-D159</f>
        <v>-1641.2673500000001</v>
      </c>
      <c r="E160" s="85">
        <f t="shared" ref="E160:S160" ca="1" si="85">E155-E157-E158-E159</f>
        <v>-4211.5506830854156</v>
      </c>
      <c r="F160" s="85">
        <f t="shared" ca="1" si="85"/>
        <v>-5145.0559315958972</v>
      </c>
      <c r="G160" s="85">
        <f t="shared" ca="1" si="85"/>
        <v>-4789.5652088267834</v>
      </c>
      <c r="H160" s="85">
        <f t="shared" ca="1" si="85"/>
        <v>-1381.4600911602374</v>
      </c>
      <c r="I160" s="85">
        <f t="shared" ca="1" si="85"/>
        <v>12371.921864129155</v>
      </c>
      <c r="J160" s="85">
        <f t="shared" ca="1" si="85"/>
        <v>44106.335746327204</v>
      </c>
      <c r="K160" s="85">
        <f t="shared" ca="1" si="85"/>
        <v>74227.874952603248</v>
      </c>
      <c r="L160" s="85">
        <f t="shared" ca="1" si="85"/>
        <v>89941.854739500108</v>
      </c>
      <c r="M160" s="85">
        <f t="shared" ca="1" si="85"/>
        <v>118031.93202744059</v>
      </c>
      <c r="N160" s="85">
        <f t="shared" ca="1" si="85"/>
        <v>172922.1141600874</v>
      </c>
      <c r="O160" s="85">
        <f t="shared" ca="1" si="85"/>
        <v>267473.09192078846</v>
      </c>
      <c r="P160" s="85">
        <f t="shared" ca="1" si="85"/>
        <v>383285.80280303885</v>
      </c>
      <c r="Q160" s="85">
        <f t="shared" ca="1" si="85"/>
        <v>493412.07512097363</v>
      </c>
      <c r="R160" s="85">
        <f t="shared" ca="1" si="85"/>
        <v>656881.54502895952</v>
      </c>
      <c r="S160" s="85">
        <f t="shared" ca="1" si="85"/>
        <v>895592.70499962172</v>
      </c>
    </row>
    <row r="161" spans="1:19" x14ac:dyDescent="0.2">
      <c r="A161" s="22" t="s">
        <v>1014</v>
      </c>
      <c r="B161" s="8"/>
      <c r="C161" s="8"/>
      <c r="D161" s="66">
        <f ca="1">D74+D107+D135+'Facilities Build'!D63+D212</f>
        <v>0</v>
      </c>
      <c r="E161" s="66">
        <f ca="1">E74+E107+E135+'Facilities Build'!E63+E212</f>
        <v>35856.181594555157</v>
      </c>
      <c r="F161" s="66">
        <f ca="1">F74+F107+F135+'Facilities Build'!F63+F212</f>
        <v>40694.377327911105</v>
      </c>
      <c r="G161" s="66">
        <f ca="1">G74+G107+G135+'Facilities Build'!G63+G212</f>
        <v>30738.506805856676</v>
      </c>
      <c r="H161" s="66">
        <f ca="1">H74+H107+H135+'Facilities Build'!H63+H212</f>
        <v>17343.281305165438</v>
      </c>
      <c r="I161" s="66">
        <f ca="1">I74+I107+I135+'Facilities Build'!I63+I212</f>
        <v>43531.354333796844</v>
      </c>
      <c r="J161" s="66">
        <f ca="1">J74+J107+J135+'Facilities Build'!J63+J212</f>
        <v>88640.492674853842</v>
      </c>
      <c r="K161" s="66">
        <f ca="1">K74+K107+K135+'Facilities Build'!K63+K212</f>
        <v>121931.24160237634</v>
      </c>
      <c r="L161" s="66">
        <f ca="1">L74+L107+L135+'Facilities Build'!L63+L212</f>
        <v>92589.246595347387</v>
      </c>
      <c r="M161" s="66">
        <f ca="1">M74+M107+M135+'Facilities Build'!M63+M212</f>
        <v>115592.53292462794</v>
      </c>
      <c r="N161" s="66">
        <f ca="1">N74+N107+N135+'Facilities Build'!N63+N212</f>
        <v>165162.5702902159</v>
      </c>
      <c r="O161" s="66">
        <f ca="1">O74+O107+O135+'Facilities Build'!O63+O212</f>
        <v>234102.63374422595</v>
      </c>
      <c r="P161" s="66">
        <f ca="1">P74+P107+P135+'Facilities Build'!P63+P212</f>
        <v>311172.86519086419</v>
      </c>
      <c r="Q161" s="66">
        <f ca="1">Q74+Q107+Q135+'Facilities Build'!Q63+Q212</f>
        <v>360340.35804876371</v>
      </c>
      <c r="R161" s="66">
        <f ca="1">R74+R107+R135+'Facilities Build'!R63+R212</f>
        <v>461944.26316063129</v>
      </c>
      <c r="S161" s="66">
        <f ca="1">S74+S107+S135+'Facilities Build'!S63+S212</f>
        <v>609672.66684936837</v>
      </c>
    </row>
    <row r="162" spans="1:19" x14ac:dyDescent="0.2">
      <c r="A162" s="23" t="s">
        <v>1015</v>
      </c>
      <c r="B162" s="9"/>
      <c r="C162" s="9"/>
      <c r="D162" s="75">
        <f ca="1">D160+D159-D161</f>
        <v>-1641.2673500000001</v>
      </c>
      <c r="E162" s="75">
        <f t="shared" ref="E162:S162" ca="1" si="86">E160+E159-E161</f>
        <v>-36322.41669911467</v>
      </c>
      <c r="F162" s="75">
        <f t="shared" ca="1" si="86"/>
        <v>-38023.843673349504</v>
      </c>
      <c r="G162" s="75">
        <f t="shared" ca="1" si="86"/>
        <v>-23798.85028851778</v>
      </c>
      <c r="H162" s="75">
        <f t="shared" ca="1" si="86"/>
        <v>-4256.3281132481825</v>
      </c>
      <c r="I162" s="75">
        <f t="shared" ca="1" si="86"/>
        <v>-9725.1745234209011</v>
      </c>
      <c r="J162" s="75">
        <f t="shared" ca="1" si="86"/>
        <v>-9387.3638532600889</v>
      </c>
      <c r="K162" s="75">
        <f t="shared" ca="1" si="86"/>
        <v>3146.9725488748954</v>
      </c>
      <c r="L162" s="75">
        <f t="shared" ca="1" si="86"/>
        <v>57388.173603058676</v>
      </c>
      <c r="M162" s="75">
        <f t="shared" ca="1" si="86"/>
        <v>70663.147623579542</v>
      </c>
      <c r="N162" s="75">
        <f t="shared" ca="1" si="86"/>
        <v>87064.163828016201</v>
      </c>
      <c r="O162" s="75">
        <f t="shared" ca="1" si="86"/>
        <v>127515.69277370209</v>
      </c>
      <c r="P162" s="75">
        <f t="shared" ca="1" si="86"/>
        <v>190107.51572355104</v>
      </c>
      <c r="Q162" s="75">
        <f t="shared" ca="1" si="86"/>
        <v>281210.77867609588</v>
      </c>
      <c r="R162" s="75">
        <f t="shared" ca="1" si="86"/>
        <v>381685.53978287312</v>
      </c>
      <c r="S162" s="75">
        <f t="shared" ca="1" si="86"/>
        <v>521741.04908370913</v>
      </c>
    </row>
    <row r="163" spans="1:19" x14ac:dyDescent="0.2">
      <c r="A163" s="22" t="s">
        <v>1016</v>
      </c>
      <c r="B163" s="8"/>
      <c r="C163" s="8"/>
      <c r="D163" s="67">
        <f t="shared" ref="D163:R163" ca="1" si="87">E59</f>
        <v>34238621.88016355</v>
      </c>
      <c r="E163" s="67">
        <f t="shared" ca="1" si="87"/>
        <v>39852469.651219949</v>
      </c>
      <c r="F163" s="67">
        <f t="shared" ca="1" si="87"/>
        <v>46524700.852636851</v>
      </c>
      <c r="G163" s="67">
        <f t="shared" ca="1" si="87"/>
        <v>52708765.684171535</v>
      </c>
      <c r="H163" s="67">
        <f t="shared" ca="1" si="87"/>
        <v>56035609.797379062</v>
      </c>
      <c r="I163" s="67">
        <f t="shared" ca="1" si="87"/>
        <v>51841608.420705393</v>
      </c>
      <c r="J163" s="67">
        <f t="shared" ca="1" si="87"/>
        <v>34413132.281835474</v>
      </c>
      <c r="K163" s="67">
        <f t="shared" ca="1" si="87"/>
        <v>19775941.981744822</v>
      </c>
      <c r="L163" s="67">
        <f t="shared" ca="1" si="87"/>
        <v>27461483.779545944</v>
      </c>
      <c r="M163" s="67">
        <f t="shared" ca="1" si="87"/>
        <v>40153395.130894676</v>
      </c>
      <c r="N163" s="67">
        <f t="shared" ca="1" si="87"/>
        <v>59845097.018292136</v>
      </c>
      <c r="O163" s="67">
        <f t="shared" ca="1" si="87"/>
        <v>69573236.701858833</v>
      </c>
      <c r="P163" s="67">
        <f t="shared" ca="1" si="87"/>
        <v>65858110.445280403</v>
      </c>
      <c r="Q163" s="67">
        <f t="shared" ca="1" si="87"/>
        <v>85792229.887695849</v>
      </c>
      <c r="R163" s="67">
        <f t="shared" ca="1" si="87"/>
        <v>115782749.06411515</v>
      </c>
      <c r="S163" s="70">
        <v>0</v>
      </c>
    </row>
    <row r="164" spans="1:19" x14ac:dyDescent="0.2">
      <c r="A164" s="23" t="s">
        <v>1061</v>
      </c>
      <c r="B164" s="9"/>
      <c r="C164" s="9"/>
      <c r="D164" s="99">
        <f ca="1">IF(D182&lt;=0,0,IFERROR(MIN(3,IFERROR(RATE(D185,D182,-D184,0,0,0.1),IFERROR(RATE(D185,D182,-D184,0,0,0.5),RATE(D185,D182,-D184,0,0,1.5)))),IF(D182*D185&gt;D184,3,0)))</f>
        <v>0</v>
      </c>
      <c r="E164" s="99">
        <f t="shared" ref="E164:S164" ca="1" si="88">IF(E182&lt;=0,0,IFERROR(MIN(3,IFERROR(RATE(E185,E182,-E184,0,0,0.1),IFERROR(RATE(E185,E182,-E184,0,0,0.5),RATE(E185,E182,-E184,0,0,1.5)))),IF(E182*E185&gt;E184,3,0)))</f>
        <v>0</v>
      </c>
      <c r="F164" s="99">
        <f t="shared" ca="1" si="88"/>
        <v>8.452802954997304E-3</v>
      </c>
      <c r="G164" s="99">
        <f t="shared" ca="1" si="88"/>
        <v>9.7025855542499442E-2</v>
      </c>
      <c r="H164" s="99">
        <f t="shared" ca="1" si="88"/>
        <v>0.1234439273640872</v>
      </c>
      <c r="I164" s="99">
        <f t="shared" ca="1" si="88"/>
        <v>0.22268286499335674</v>
      </c>
      <c r="J164" s="99">
        <f t="shared" ca="1" si="88"/>
        <v>0.33817895807749676</v>
      </c>
      <c r="K164" s="99">
        <f t="shared" ca="1" si="88"/>
        <v>0.37107396542289356</v>
      </c>
      <c r="L164" s="99">
        <f t="shared" ca="1" si="88"/>
        <v>0.37947063955806687</v>
      </c>
      <c r="M164" s="99">
        <f t="shared" ca="1" si="88"/>
        <v>0.40397574614878917</v>
      </c>
      <c r="N164" s="99">
        <f t="shared" ca="1" si="88"/>
        <v>0.46291720657652602</v>
      </c>
      <c r="O164" s="99">
        <f t="shared" ca="1" si="88"/>
        <v>0.54560493215878891</v>
      </c>
      <c r="P164" s="99">
        <f t="shared" ca="1" si="88"/>
        <v>0.61672941994825792</v>
      </c>
      <c r="Q164" s="99">
        <f t="shared" ca="1" si="88"/>
        <v>0.67005163377429233</v>
      </c>
      <c r="R164" s="99">
        <f t="shared" ca="1" si="88"/>
        <v>0.73800107788706348</v>
      </c>
      <c r="S164" s="99">
        <f t="shared" ca="1" si="88"/>
        <v>0.8144799040236671</v>
      </c>
    </row>
    <row r="165" spans="1:19" x14ac:dyDescent="0.2">
      <c r="A165" s="22" t="s">
        <v>1017</v>
      </c>
      <c r="B165" s="8"/>
      <c r="C165" s="8"/>
      <c r="D165" s="56">
        <f t="shared" ref="D165:S165" ca="1" si="89">D81</f>
        <v>0</v>
      </c>
      <c r="E165" s="56">
        <f t="shared" ca="1" si="89"/>
        <v>0</v>
      </c>
      <c r="F165" s="56">
        <f t="shared" ca="1" si="89"/>
        <v>0</v>
      </c>
      <c r="G165" s="56">
        <f t="shared" ca="1" si="89"/>
        <v>12</v>
      </c>
      <c r="H165" s="56">
        <f t="shared" ca="1" si="89"/>
        <v>34.700000000000003</v>
      </c>
      <c r="I165" s="56">
        <f t="shared" ca="1" si="89"/>
        <v>81.716981132075475</v>
      </c>
      <c r="J165" s="56">
        <f t="shared" ca="1" si="89"/>
        <v>163.38181818181818</v>
      </c>
      <c r="K165" s="56">
        <f t="shared" ca="1" si="89"/>
        <v>173.41592920353983</v>
      </c>
      <c r="L165" s="56">
        <f t="shared" ca="1" si="89"/>
        <v>99.188034188034194</v>
      </c>
      <c r="M165" s="56">
        <f t="shared" ca="1" si="89"/>
        <v>138.31666666666666</v>
      </c>
      <c r="N165" s="56">
        <f t="shared" ca="1" si="89"/>
        <v>201.5</v>
      </c>
      <c r="O165" s="56">
        <f t="shared" ca="1" si="89"/>
        <v>299.4375</v>
      </c>
      <c r="P165" s="56">
        <f t="shared" ca="1" si="89"/>
        <v>350.01526717557255</v>
      </c>
      <c r="Q165" s="56">
        <f t="shared" ca="1" si="89"/>
        <v>330.80740740740742</v>
      </c>
      <c r="R165" s="56">
        <f t="shared" ca="1" si="89"/>
        <v>430.63309352517985</v>
      </c>
      <c r="S165" s="56">
        <f t="shared" ca="1" si="89"/>
        <v>551.18181818181813</v>
      </c>
    </row>
    <row r="166" spans="1:19" x14ac:dyDescent="0.2">
      <c r="A166" s="22" t="s">
        <v>1018</v>
      </c>
      <c r="B166" s="8"/>
      <c r="C166" s="8"/>
      <c r="D166" s="67">
        <f t="shared" ref="D166:S166" si="90">D82</f>
        <v>0</v>
      </c>
      <c r="E166" s="67">
        <f t="shared" si="90"/>
        <v>0</v>
      </c>
      <c r="F166" s="67">
        <f t="shared" si="90"/>
        <v>0</v>
      </c>
      <c r="G166" s="67">
        <f t="shared" si="90"/>
        <v>0</v>
      </c>
      <c r="H166" s="67">
        <f t="shared" si="90"/>
        <v>0</v>
      </c>
      <c r="I166" s="67">
        <f t="shared" si="90"/>
        <v>0</v>
      </c>
      <c r="J166" s="67">
        <f t="shared" si="90"/>
        <v>0</v>
      </c>
      <c r="K166" s="67">
        <f t="shared" si="90"/>
        <v>0</v>
      </c>
      <c r="L166" s="67">
        <f t="shared" si="90"/>
        <v>0</v>
      </c>
      <c r="M166" s="67">
        <f t="shared" si="90"/>
        <v>0</v>
      </c>
      <c r="N166" s="67">
        <f t="shared" si="90"/>
        <v>0</v>
      </c>
      <c r="O166" s="67">
        <f t="shared" si="90"/>
        <v>0</v>
      </c>
      <c r="P166" s="67">
        <f t="shared" si="90"/>
        <v>0</v>
      </c>
      <c r="Q166" s="67">
        <f t="shared" si="90"/>
        <v>0</v>
      </c>
      <c r="R166" s="67">
        <f t="shared" si="90"/>
        <v>0</v>
      </c>
      <c r="S166" s="67">
        <f t="shared" si="90"/>
        <v>0</v>
      </c>
    </row>
    <row r="167" spans="1:19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x14ac:dyDescent="0.2">
      <c r="A168" s="18" t="s">
        <v>1381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 spans="1:19" x14ac:dyDescent="0.2">
      <c r="A169" s="206" t="s">
        <v>1019</v>
      </c>
      <c r="B169" s="207"/>
      <c r="C169" s="207"/>
      <c r="D169" s="122">
        <f t="shared" ref="D169:S169" ca="1" si="91">(D69+D102)-D129</f>
        <v>0</v>
      </c>
      <c r="E169" s="122">
        <f t="shared" ca="1" si="91"/>
        <v>0</v>
      </c>
      <c r="F169" s="122">
        <f t="shared" ca="1" si="91"/>
        <v>0</v>
      </c>
      <c r="G169" s="122">
        <f t="shared" ca="1" si="91"/>
        <v>0</v>
      </c>
      <c r="H169" s="122">
        <f t="shared" ca="1" si="91"/>
        <v>0</v>
      </c>
      <c r="I169" s="122">
        <f t="shared" ca="1" si="91"/>
        <v>0</v>
      </c>
      <c r="J169" s="122">
        <f t="shared" ca="1" si="91"/>
        <v>0</v>
      </c>
      <c r="K169" s="122">
        <f t="shared" ca="1" si="91"/>
        <v>0</v>
      </c>
      <c r="L169" s="122">
        <f t="shared" ca="1" si="91"/>
        <v>0</v>
      </c>
      <c r="M169" s="122">
        <f t="shared" ca="1" si="91"/>
        <v>0</v>
      </c>
      <c r="N169" s="122">
        <f t="shared" ca="1" si="91"/>
        <v>0</v>
      </c>
      <c r="O169" s="122">
        <f t="shared" ca="1" si="91"/>
        <v>0</v>
      </c>
      <c r="P169" s="122">
        <f t="shared" ca="1" si="91"/>
        <v>0</v>
      </c>
      <c r="Q169" s="122">
        <f t="shared" ca="1" si="91"/>
        <v>0</v>
      </c>
      <c r="R169" s="122">
        <f t="shared" ca="1" si="91"/>
        <v>0</v>
      </c>
      <c r="S169" s="122">
        <f t="shared" ca="1" si="91"/>
        <v>0</v>
      </c>
    </row>
    <row r="170" spans="1:19" x14ac:dyDescent="0.2">
      <c r="A170" s="208" t="s">
        <v>1020</v>
      </c>
      <c r="B170" s="208"/>
      <c r="C170" s="208"/>
      <c r="D170" s="126">
        <f ca="1">(D160+D159-D161)-D162</f>
        <v>0</v>
      </c>
      <c r="E170" s="126">
        <f t="shared" ref="E170:S170" ca="1" si="92">(E160+E159-E161)-E162</f>
        <v>0</v>
      </c>
      <c r="F170" s="126">
        <f t="shared" ca="1" si="92"/>
        <v>0</v>
      </c>
      <c r="G170" s="126">
        <f t="shared" ca="1" si="92"/>
        <v>0</v>
      </c>
      <c r="H170" s="126">
        <f t="shared" ca="1" si="92"/>
        <v>0</v>
      </c>
      <c r="I170" s="126">
        <f t="shared" ca="1" si="92"/>
        <v>0</v>
      </c>
      <c r="J170" s="126">
        <f t="shared" ca="1" si="92"/>
        <v>0</v>
      </c>
      <c r="K170" s="126">
        <f t="shared" ca="1" si="92"/>
        <v>0</v>
      </c>
      <c r="L170" s="126">
        <f t="shared" ca="1" si="92"/>
        <v>0</v>
      </c>
      <c r="M170" s="126">
        <f t="shared" ca="1" si="92"/>
        <v>0</v>
      </c>
      <c r="N170" s="126">
        <f t="shared" ca="1" si="92"/>
        <v>0</v>
      </c>
      <c r="O170" s="126">
        <f t="shared" ca="1" si="92"/>
        <v>0</v>
      </c>
      <c r="P170" s="126">
        <f t="shared" ca="1" si="92"/>
        <v>0</v>
      </c>
      <c r="Q170" s="126">
        <f t="shared" ca="1" si="92"/>
        <v>0</v>
      </c>
      <c r="R170" s="126">
        <f t="shared" ca="1" si="92"/>
        <v>0</v>
      </c>
      <c r="S170" s="126">
        <f t="shared" ca="1" si="92"/>
        <v>0</v>
      </c>
    </row>
    <row r="171" spans="1:19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x14ac:dyDescent="0.2">
      <c r="A172" s="202" t="s">
        <v>1881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 spans="1:19" x14ac:dyDescent="0.2">
      <c r="A173" s="22" t="s">
        <v>1022</v>
      </c>
      <c r="B173" s="8"/>
      <c r="C173" s="8"/>
      <c r="D173" s="67">
        <f ca="1">D154</f>
        <v>0</v>
      </c>
      <c r="E173" s="67">
        <f t="shared" ref="E173:S173" ca="1" si="93">E154</f>
        <v>137.2496886522043</v>
      </c>
      <c r="F173" s="67">
        <f t="shared" ca="1" si="93"/>
        <v>391.89176034558415</v>
      </c>
      <c r="G173" s="67">
        <f t="shared" ca="1" si="93"/>
        <v>648.89518188224861</v>
      </c>
      <c r="H173" s="67">
        <f t="shared" ca="1" si="93"/>
        <v>1118.0997900925865</v>
      </c>
      <c r="I173" s="67">
        <f t="shared" ca="1" si="93"/>
        <v>2218.9356411042932</v>
      </c>
      <c r="J173" s="67">
        <f t="shared" ca="1" si="93"/>
        <v>4182.3495884036147</v>
      </c>
      <c r="K173" s="67">
        <f t="shared" ca="1" si="93"/>
        <v>5713.640860755534</v>
      </c>
      <c r="L173" s="67">
        <f t="shared" ca="1" si="93"/>
        <v>5732.5018478283346</v>
      </c>
      <c r="M173" s="67">
        <f t="shared" ca="1" si="93"/>
        <v>6936.4617707655962</v>
      </c>
      <c r="N173" s="67">
        <f t="shared" ca="1" si="93"/>
        <v>9190.2484438719639</v>
      </c>
      <c r="O173" s="67">
        <f t="shared" ca="1" si="93"/>
        <v>12839.530556179601</v>
      </c>
      <c r="P173" s="67">
        <f t="shared" ca="1" si="93"/>
        <v>17157.727136022244</v>
      </c>
      <c r="Q173" s="67">
        <f t="shared" ca="1" si="93"/>
        <v>20947.178005517002</v>
      </c>
      <c r="R173" s="67">
        <f t="shared" ca="1" si="93"/>
        <v>27179.716773329215</v>
      </c>
      <c r="S173" s="67">
        <f t="shared" ca="1" si="93"/>
        <v>36113.428749042512</v>
      </c>
    </row>
    <row r="174" spans="1:19" x14ac:dyDescent="0.2">
      <c r="A174" s="22" t="s">
        <v>984</v>
      </c>
      <c r="B174" s="8"/>
      <c r="C174" s="8"/>
      <c r="D174" s="56">
        <f ca="1">D165</f>
        <v>0</v>
      </c>
      <c r="E174" s="56">
        <f t="shared" ref="E174:S174" ca="1" si="94">E165</f>
        <v>0</v>
      </c>
      <c r="F174" s="56">
        <f t="shared" ca="1" si="94"/>
        <v>0</v>
      </c>
      <c r="G174" s="56">
        <f t="shared" ca="1" si="94"/>
        <v>12</v>
      </c>
      <c r="H174" s="56">
        <f t="shared" ca="1" si="94"/>
        <v>34.700000000000003</v>
      </c>
      <c r="I174" s="56">
        <f t="shared" ca="1" si="94"/>
        <v>81.716981132075475</v>
      </c>
      <c r="J174" s="56">
        <f t="shared" ca="1" si="94"/>
        <v>163.38181818181818</v>
      </c>
      <c r="K174" s="56">
        <f t="shared" ca="1" si="94"/>
        <v>173.41592920353983</v>
      </c>
      <c r="L174" s="56">
        <f t="shared" ca="1" si="94"/>
        <v>99.188034188034194</v>
      </c>
      <c r="M174" s="56">
        <f t="shared" ca="1" si="94"/>
        <v>138.31666666666666</v>
      </c>
      <c r="N174" s="56">
        <f t="shared" ca="1" si="94"/>
        <v>201.5</v>
      </c>
      <c r="O174" s="56">
        <f t="shared" ca="1" si="94"/>
        <v>299.4375</v>
      </c>
      <c r="P174" s="56">
        <f t="shared" ca="1" si="94"/>
        <v>350.01526717557255</v>
      </c>
      <c r="Q174" s="56">
        <f t="shared" ca="1" si="94"/>
        <v>330.80740740740742</v>
      </c>
      <c r="R174" s="56">
        <f t="shared" ca="1" si="94"/>
        <v>430.63309352517985</v>
      </c>
      <c r="S174" s="56">
        <f t="shared" ca="1" si="94"/>
        <v>551.18181818181813</v>
      </c>
    </row>
    <row r="175" spans="1:19" x14ac:dyDescent="0.2">
      <c r="A175" s="22" t="s">
        <v>554</v>
      </c>
      <c r="B175" s="8"/>
      <c r="C175" s="8"/>
      <c r="D175" s="67">
        <f>D166</f>
        <v>0</v>
      </c>
      <c r="E175" s="67">
        <f t="shared" ref="E175:S175" si="95">E166</f>
        <v>0</v>
      </c>
      <c r="F175" s="67">
        <f t="shared" si="95"/>
        <v>0</v>
      </c>
      <c r="G175" s="67">
        <f t="shared" si="95"/>
        <v>0</v>
      </c>
      <c r="H175" s="67">
        <f t="shared" si="95"/>
        <v>0</v>
      </c>
      <c r="I175" s="67">
        <f t="shared" si="95"/>
        <v>0</v>
      </c>
      <c r="J175" s="67">
        <f t="shared" si="95"/>
        <v>0</v>
      </c>
      <c r="K175" s="67">
        <f t="shared" si="95"/>
        <v>0</v>
      </c>
      <c r="L175" s="67">
        <f t="shared" si="95"/>
        <v>0</v>
      </c>
      <c r="M175" s="67">
        <f t="shared" si="95"/>
        <v>0</v>
      </c>
      <c r="N175" s="67">
        <f t="shared" si="95"/>
        <v>0</v>
      </c>
      <c r="O175" s="67">
        <f t="shared" si="95"/>
        <v>0</v>
      </c>
      <c r="P175" s="67">
        <f t="shared" si="95"/>
        <v>0</v>
      </c>
      <c r="Q175" s="67">
        <f t="shared" si="95"/>
        <v>0</v>
      </c>
      <c r="R175" s="67">
        <f t="shared" si="95"/>
        <v>0</v>
      </c>
      <c r="S175" s="67">
        <f t="shared" si="95"/>
        <v>0</v>
      </c>
    </row>
    <row r="176" spans="1:19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x14ac:dyDescent="0.2">
      <c r="A177" s="18" t="s">
        <v>1382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 spans="1:19" x14ac:dyDescent="0.2">
      <c r="A178" s="22" t="s">
        <v>1047</v>
      </c>
      <c r="B178" s="8"/>
      <c r="C178" s="8"/>
      <c r="D178" s="92">
        <f>MAX(Assumptions!$B$380, Assumptions!$B$379*(1+Assumptions!$B$381)^D$5)</f>
        <v>0.1</v>
      </c>
      <c r="E178" s="92">
        <f>MAX(Assumptions!$B$380, Assumptions!$B$379*(1+Assumptions!$B$381)^E$5)</f>
        <v>9.0000000000000011E-2</v>
      </c>
      <c r="F178" s="92">
        <f>MAX(Assumptions!$B$380, Assumptions!$B$379*(1+Assumptions!$B$381)^F$5)</f>
        <v>8.1000000000000016E-2</v>
      </c>
      <c r="G178" s="92">
        <f>MAX(Assumptions!$B$380, Assumptions!$B$379*(1+Assumptions!$B$381)^G$5)</f>
        <v>7.2900000000000006E-2</v>
      </c>
      <c r="H178" s="92">
        <f>MAX(Assumptions!$B$380, Assumptions!$B$379*(1+Assumptions!$B$381)^H$5)</f>
        <v>6.5610000000000016E-2</v>
      </c>
      <c r="I178" s="92">
        <f>MAX(Assumptions!$B$380, Assumptions!$B$379*(1+Assumptions!$B$381)^I$5)</f>
        <v>5.9049000000000018E-2</v>
      </c>
      <c r="J178" s="92">
        <f>MAX(Assumptions!$B$380, Assumptions!$B$379*(1+Assumptions!$B$381)^J$5)</f>
        <v>5.314410000000002E-2</v>
      </c>
      <c r="K178" s="92">
        <f>MAX(Assumptions!$B$380, Assumptions!$B$379*(1+Assumptions!$B$381)^K$5)</f>
        <v>0.05</v>
      </c>
      <c r="L178" s="92">
        <f>MAX(Assumptions!$B$380, Assumptions!$B$379*(1+Assumptions!$B$381)^L$5)</f>
        <v>0.05</v>
      </c>
      <c r="M178" s="92">
        <f>MAX(Assumptions!$B$380, Assumptions!$B$379*(1+Assumptions!$B$381)^M$5)</f>
        <v>0.05</v>
      </c>
      <c r="N178" s="92">
        <f>MAX(Assumptions!$B$380, Assumptions!$B$379*(1+Assumptions!$B$381)^N$5)</f>
        <v>0.05</v>
      </c>
      <c r="O178" s="92">
        <f>MAX(Assumptions!$B$380, Assumptions!$B$379*(1+Assumptions!$B$381)^O$5)</f>
        <v>0.05</v>
      </c>
      <c r="P178" s="92">
        <f>MAX(Assumptions!$B$380, Assumptions!$B$379*(1+Assumptions!$B$381)^P$5)</f>
        <v>0.05</v>
      </c>
      <c r="Q178" s="92">
        <f>MAX(Assumptions!$B$380, Assumptions!$B$379*(1+Assumptions!$B$381)^Q$5)</f>
        <v>0.05</v>
      </c>
      <c r="R178" s="92">
        <f>MAX(Assumptions!$B$380, Assumptions!$B$379*(1+Assumptions!$B$381)^R$5)</f>
        <v>0.05</v>
      </c>
      <c r="S178" s="92">
        <f>MAX(Assumptions!$B$380, Assumptions!$B$379*(1+Assumptions!$B$381)^S$5)</f>
        <v>0.05</v>
      </c>
    </row>
    <row r="179" spans="1:19" x14ac:dyDescent="0.2">
      <c r="A179" s="22" t="s">
        <v>1048</v>
      </c>
      <c r="B179" s="8"/>
      <c r="C179" s="8"/>
      <c r="D179" s="67">
        <f t="shared" ref="D179:S179" ca="1" si="96">(D58+D95)*D178</f>
        <v>0</v>
      </c>
      <c r="E179" s="67">
        <f t="shared" ca="1" si="96"/>
        <v>438.19538876213767</v>
      </c>
      <c r="F179" s="67">
        <f t="shared" ca="1" si="96"/>
        <v>485.35767235910458</v>
      </c>
      <c r="G179" s="67">
        <f t="shared" ca="1" si="96"/>
        <v>132.84776790435228</v>
      </c>
      <c r="H179" s="67">
        <f t="shared" ca="1" si="96"/>
        <v>358.14830134272137</v>
      </c>
      <c r="I179" s="67">
        <f t="shared" ca="1" si="96"/>
        <v>868.30764014258125</v>
      </c>
      <c r="J179" s="67">
        <f t="shared" ca="1" si="96"/>
        <v>1524.800112154036</v>
      </c>
      <c r="K179" s="67">
        <f t="shared" ca="1" si="96"/>
        <v>1606.2594551155807</v>
      </c>
      <c r="L179" s="67">
        <f t="shared" ca="1" si="96"/>
        <v>752.86215891053405</v>
      </c>
      <c r="M179" s="67">
        <f t="shared" ca="1" si="96"/>
        <v>1027.2383411973822</v>
      </c>
      <c r="N179" s="67">
        <f t="shared" ca="1" si="96"/>
        <v>1589.6049187564122</v>
      </c>
      <c r="O179" s="67">
        <f t="shared" ca="1" si="96"/>
        <v>2310.8718133061216</v>
      </c>
      <c r="P179" s="67">
        <f t="shared" ca="1" si="96"/>
        <v>2712.571689227254</v>
      </c>
      <c r="Q179" s="67">
        <f t="shared" ca="1" si="96"/>
        <v>2493.8481004412833</v>
      </c>
      <c r="R179" s="67">
        <f t="shared" ca="1" si="96"/>
        <v>3159.8170159962151</v>
      </c>
      <c r="S179" s="67">
        <f t="shared" ca="1" si="96"/>
        <v>4012.0007499874273</v>
      </c>
    </row>
    <row r="180" spans="1:19" x14ac:dyDescent="0.2">
      <c r="A180" s="22" t="s">
        <v>1049</v>
      </c>
      <c r="B180" s="8"/>
      <c r="C180" s="8"/>
      <c r="D180" s="118">
        <f ca="1">'Facilities Build'!D57 - (D47+D86)*Assumptions!$B$383</f>
        <v>0</v>
      </c>
      <c r="E180" s="118">
        <f ca="1">'Facilities Build'!E57 - (E47+E86)*Assumptions!$B$383</f>
        <v>0</v>
      </c>
      <c r="F180" s="118">
        <f ca="1">'Facilities Build'!F57 - (F47+F86)*Assumptions!$B$383</f>
        <v>0</v>
      </c>
      <c r="G180" s="118">
        <f ca="1">'Facilities Build'!G57 - (G47+G86)*Assumptions!$B$383</f>
        <v>0</v>
      </c>
      <c r="H180" s="118">
        <f ca="1">'Facilities Build'!H57 - (H47+H86)*Assumptions!$B$383</f>
        <v>0</v>
      </c>
      <c r="I180" s="118">
        <f ca="1">'Facilities Build'!I57 - (I47+I86)*Assumptions!$B$383</f>
        <v>0</v>
      </c>
      <c r="J180" s="118">
        <f ca="1">'Facilities Build'!J57 - (J47+J86)*Assumptions!$B$383</f>
        <v>0</v>
      </c>
      <c r="K180" s="118">
        <f ca="1">'Facilities Build'!K57 - (K47+K86)*Assumptions!$B$383</f>
        <v>0</v>
      </c>
      <c r="L180" s="118">
        <f ca="1">'Facilities Build'!L57 - (L47+L86)*Assumptions!$B$383</f>
        <v>0</v>
      </c>
      <c r="M180" s="118">
        <f ca="1">'Facilities Build'!M57 - (M47+M86)*Assumptions!$B$383</f>
        <v>0</v>
      </c>
      <c r="N180" s="118">
        <f ca="1">'Facilities Build'!N57 - (N47+N86)*Assumptions!$B$383</f>
        <v>0</v>
      </c>
      <c r="O180" s="118">
        <f ca="1">'Facilities Build'!O57 - (O47+O86)*Assumptions!$B$383</f>
        <v>0</v>
      </c>
      <c r="P180" s="118">
        <f ca="1">'Facilities Build'!P57 - (P47+P86)*Assumptions!$B$383</f>
        <v>0</v>
      </c>
      <c r="Q180" s="118">
        <f ca="1">'Facilities Build'!Q57 - (Q47+Q86)*Assumptions!$B$383</f>
        <v>0</v>
      </c>
      <c r="R180" s="118">
        <f ca="1">'Facilities Build'!R57 - (R47+R86)*Assumptions!$B$383</f>
        <v>0</v>
      </c>
      <c r="S180" s="118">
        <f ca="1">'Facilities Build'!S57 - (S47+S86)*Assumptions!$B$383</f>
        <v>0</v>
      </c>
    </row>
    <row r="181" spans="1:19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x14ac:dyDescent="0.2">
      <c r="A182" s="24" t="s">
        <v>1057</v>
      </c>
      <c r="B182" s="8"/>
      <c r="C182" s="8"/>
      <c r="D182" s="123">
        <f ca="1">IFERROR((D153-D154-D157-D158)/D143,0)</f>
        <v>0</v>
      </c>
      <c r="E182" s="123">
        <f t="shared" ref="E182:S182" ca="1" si="97">IFERROR((E153-E154-E157-E158)/E143,0)</f>
        <v>-3.1290038746974158E-7</v>
      </c>
      <c r="F182" s="123">
        <f t="shared" ca="1" si="97"/>
        <v>6.4216335307507011E-7</v>
      </c>
      <c r="G182" s="123">
        <f t="shared" ca="1" si="97"/>
        <v>1.2787133797163788E-6</v>
      </c>
      <c r="H182" s="123">
        <f t="shared" ca="1" si="97"/>
        <v>1.3053758578852945E-6</v>
      </c>
      <c r="I182" s="123">
        <f t="shared" ca="1" si="97"/>
        <v>1.2842267341505886E-6</v>
      </c>
      <c r="J182" s="123">
        <f t="shared" ca="1" si="97"/>
        <v>1.2722737332736422E-6</v>
      </c>
      <c r="K182" s="123">
        <f t="shared" ca="1" si="97"/>
        <v>1.1099317241295427E-6</v>
      </c>
      <c r="L182" s="123">
        <f t="shared" ca="1" si="97"/>
        <v>1.0293532856429805E-6</v>
      </c>
      <c r="M182" s="123">
        <f t="shared" ca="1" si="97"/>
        <v>9.7105811303169883E-7</v>
      </c>
      <c r="N182" s="123">
        <f t="shared" ca="1" si="97"/>
        <v>9.6521207738504971E-7</v>
      </c>
      <c r="O182" s="123">
        <f t="shared" ca="1" si="97"/>
        <v>1.0068760343719624E-6</v>
      </c>
      <c r="P182" s="123">
        <f t="shared" ca="1" si="97"/>
        <v>1.0002831338703444E-6</v>
      </c>
      <c r="Q182" s="123">
        <f t="shared" ca="1" si="97"/>
        <v>9.2466120971145115E-7</v>
      </c>
      <c r="R182" s="123">
        <f t="shared" ca="1" si="97"/>
        <v>8.68715459032062E-7</v>
      </c>
      <c r="S182" s="123">
        <f t="shared" ca="1" si="97"/>
        <v>8.2837971866224804E-7</v>
      </c>
    </row>
    <row r="183" spans="1:19" x14ac:dyDescent="0.2">
      <c r="A183" s="24" t="s">
        <v>1058</v>
      </c>
      <c r="B183" s="8"/>
      <c r="C183" s="8"/>
      <c r="D183" s="67">
        <f ca="1">SUM($D$205:D205)</f>
        <v>0</v>
      </c>
      <c r="E183" s="67">
        <f ca="1">SUM($D$205:E205)</f>
        <v>15363.556761221822</v>
      </c>
      <c r="F183" s="67">
        <f ca="1">SUM($D$205:F205)</f>
        <v>37474.154551943036</v>
      </c>
      <c r="G183" s="67">
        <f ca="1">SUM($D$205:G205)</f>
        <v>50805.50581980573</v>
      </c>
      <c r="H183" s="67">
        <f ca="1">SUM($D$205:H205)</f>
        <v>73077.551511692844</v>
      </c>
      <c r="I183" s="67">
        <f ca="1">SUM($D$205:I205)</f>
        <v>118506.24338620176</v>
      </c>
      <c r="J183" s="67">
        <f ca="1">SUM($D$205:J205)</f>
        <v>199237.23165337287</v>
      </c>
      <c r="K183" s="67">
        <f ca="1">SUM($D$205:K205)</f>
        <v>292849.98600771395</v>
      </c>
      <c r="L183" s="67">
        <f ca="1">SUM($D$205:L205)</f>
        <v>338066.94584520673</v>
      </c>
      <c r="M183" s="67">
        <f ca="1">SUM($D$205:M205)</f>
        <v>394740.29593020963</v>
      </c>
      <c r="N183" s="67">
        <f ca="1">SUM($D$205:N205)</f>
        <v>482741.26871072419</v>
      </c>
      <c r="O183" s="67">
        <f ca="1">SUM($D$205:O205)</f>
        <v>608503.70698125346</v>
      </c>
      <c r="P183" s="67">
        <f ca="1">SUM($D$205:P205)</f>
        <v>764493.11598275299</v>
      </c>
      <c r="Q183" s="67">
        <f ca="1">SUM($D$205:Q205)</f>
        <v>910167.9431203783</v>
      </c>
      <c r="R183" s="67">
        <f ca="1">SUM($D$205:R205)</f>
        <v>1098292.9278239051</v>
      </c>
      <c r="S183" s="67">
        <f ca="1">SUM($D$205:S205)</f>
        <v>1348139.8654995002</v>
      </c>
    </row>
    <row r="184" spans="1:19" x14ac:dyDescent="0.2">
      <c r="A184" s="24" t="s">
        <v>1059</v>
      </c>
      <c r="B184" s="8"/>
      <c r="C184" s="8"/>
      <c r="D184" s="123">
        <f ca="1">IFERROR(D183/D143,0)</f>
        <v>0</v>
      </c>
      <c r="E184" s="123">
        <f t="shared" ref="E184:S184" ca="1" si="98">IFERROR(E183/E143,0)</f>
        <v>1.0310812756241133E-5</v>
      </c>
      <c r="F184" s="123">
        <f t="shared" ca="1" si="98"/>
        <v>9.0111310522613863E-6</v>
      </c>
      <c r="G184" s="123">
        <f t="shared" ca="1" si="98"/>
        <v>9.3615123302897858E-6</v>
      </c>
      <c r="H184" s="123">
        <f t="shared" ca="1" si="98"/>
        <v>7.289219277994343E-6</v>
      </c>
      <c r="I184" s="123">
        <f t="shared" ca="1" si="98"/>
        <v>4.5018066748141182E-6</v>
      </c>
      <c r="J184" s="123">
        <f t="shared" ca="1" si="98"/>
        <v>3.1984137445646995E-6</v>
      </c>
      <c r="K184" s="123">
        <f t="shared" ca="1" si="98"/>
        <v>2.5987218644471092E-6</v>
      </c>
      <c r="L184" s="123">
        <f t="shared" ca="1" si="98"/>
        <v>2.3202847536161946E-6</v>
      </c>
      <c r="M184" s="123">
        <f t="shared" ca="1" si="98"/>
        <v>2.0580084632873914E-6</v>
      </c>
      <c r="N184" s="123">
        <f t="shared" ca="1" si="98"/>
        <v>1.8473367006106422E-6</v>
      </c>
      <c r="O184" s="123">
        <f t="shared" ca="1" si="98"/>
        <v>1.6942941064010142E-6</v>
      </c>
      <c r="P184" s="123">
        <f t="shared" ca="1" si="98"/>
        <v>1.525512665152745E-6</v>
      </c>
      <c r="Q184" s="123">
        <f t="shared" ca="1" si="98"/>
        <v>1.3118159148195942E-6</v>
      </c>
      <c r="R184" s="123">
        <f t="shared" ca="1" si="98"/>
        <v>1.1309510897045736E-6</v>
      </c>
      <c r="S184" s="123">
        <f t="shared" ca="1" si="98"/>
        <v>9.8705867427003459E-7</v>
      </c>
    </row>
    <row r="185" spans="1:19" x14ac:dyDescent="0.2">
      <c r="A185" s="24" t="s">
        <v>1060</v>
      </c>
      <c r="B185" s="8"/>
      <c r="C185" s="8"/>
      <c r="D185" s="118">
        <f ca="1">IFERROR((D46*D48*Assumptions!$B$21+D92*Assumptions!$B$22)/(D46*D48+D92),Assumptions!$B$22)</f>
        <v>15</v>
      </c>
      <c r="E185" s="118">
        <f ca="1">IFERROR((E46*E48*Assumptions!$B$21+E92*Assumptions!$B$22)/(E46*E48+E92),Assumptions!$B$22)</f>
        <v>15</v>
      </c>
      <c r="F185" s="118">
        <f ca="1">IFERROR((F46*F48*Assumptions!$B$21+F92*Assumptions!$B$22)/(F46*F48+F92),Assumptions!$B$22)</f>
        <v>15</v>
      </c>
      <c r="G185" s="118">
        <f ca="1">IFERROR((G46*G48*Assumptions!$B$21+G92*Assumptions!$B$22)/(G46*G48+G92),Assumptions!$B$22)</f>
        <v>13.379879690898658</v>
      </c>
      <c r="H185" s="118">
        <f ca="1">IFERROR((H46*H48*Assumptions!$B$21+H92*Assumptions!$B$22)/(H46*H48+H92),Assumptions!$B$22)</f>
        <v>10.042729249147593</v>
      </c>
      <c r="I185" s="118">
        <f ca="1">IFERROR((I46*I48*Assumptions!$B$21+I92*Assumptions!$B$22)/(I46*I48+I92),Assumptions!$B$22)</f>
        <v>7.5449153940120475</v>
      </c>
      <c r="J185" s="118">
        <f ca="1">IFERROR((J46*J48*Assumptions!$B$21+J92*Assumptions!$B$22)/(J46*J48+J92),Assumptions!$B$22)</f>
        <v>6.5160451250772278</v>
      </c>
      <c r="K185" s="118">
        <f ca="1">IFERROR((K46*K48*Assumptions!$B$21+K92*Assumptions!$B$22)/(K46*K48+K92),Assumptions!$B$22)</f>
        <v>6.4357824695379087</v>
      </c>
      <c r="L185" s="118">
        <f ca="1">IFERROR((L46*L48*Assumptions!$B$21+L92*Assumptions!$B$22)/(L46*L48+L92),Assumptions!$B$22)</f>
        <v>6.0105411945577432</v>
      </c>
      <c r="M185" s="118">
        <f ca="1">IFERROR((M46*M48*Assumptions!$B$21+M92*Assumptions!$B$22)/(M46*M48+M92),Assumptions!$B$22)</f>
        <v>5.7148224235552512</v>
      </c>
      <c r="N185" s="118">
        <f ca="1">IFERROR((N46*N48*Assumptions!$B$21+N92*Assumptions!$B$22)/(N46*N48+N92),Assumptions!$B$22)</f>
        <v>5.707792696014776</v>
      </c>
      <c r="O185" s="118">
        <f ca="1">IFERROR((O46*O48*Assumptions!$B$21+O92*Assumptions!$B$22)/(O46*O48+O92),Assumptions!$B$22)</f>
        <v>5.7468907400751847</v>
      </c>
      <c r="P185" s="118">
        <f ca="1">IFERROR((P46*P48*Assumptions!$B$21+P92*Assumptions!$B$22)/(P46*P48+P92),Assumptions!$B$22)</f>
        <v>5.8759258025702694</v>
      </c>
      <c r="Q185" s="118">
        <f ca="1">IFERROR((Q46*Q48*Assumptions!$B$21+Q92*Assumptions!$B$22)/(Q46*Q48+Q92),Assumptions!$B$22)</f>
        <v>5.8648922069119829</v>
      </c>
      <c r="R185" s="118">
        <f ca="1">IFERROR((R46*R48*Assumptions!$B$21+R92*Assumptions!$B$22)/(R46*R48+R92),Assumptions!$B$22)</f>
        <v>5.8590935217344819</v>
      </c>
      <c r="S185" s="118">
        <f ca="1">IFERROR((S46*S48*Assumptions!$B$21+S92*Assumptions!$B$22)/(S46*S48+S92),Assumptions!$B$22)</f>
        <v>5.913471572747599</v>
      </c>
    </row>
    <row r="186" spans="1:19" x14ac:dyDescent="0.2">
      <c r="A186" s="24" t="s">
        <v>1383</v>
      </c>
      <c r="B186" s="8"/>
      <c r="C186" s="8"/>
      <c r="D186" s="185">
        <f ca="1">IF(D$4&lt;Assumptions!$B$424, 'Cash Allocation Engine'!D90+'Cash Allocation Engine'!D88, 'Cash Allocation Engine'!D90)</f>
        <v>0</v>
      </c>
      <c r="E186" s="185">
        <f ca="1">IF(E$4&lt;Assumptions!$B$424, 'Cash Allocation Engine'!E90+'Cash Allocation Engine'!E88, 'Cash Allocation Engine'!E90)</f>
        <v>7591.3545249758499</v>
      </c>
      <c r="F186" s="185">
        <f ca="1">IF(F$4&lt;Assumptions!$B$424, 'Cash Allocation Engine'!F90+'Cash Allocation Engine'!F88, 'Cash Allocation Engine'!F90)</f>
        <v>16628.549627108536</v>
      </c>
      <c r="G186" s="185">
        <f ca="1">IF(G$4&lt;Assumptions!$B$424, 'Cash Allocation Engine'!G90+'Cash Allocation Engine'!G88, 'Cash Allocation Engine'!G90)</f>
        <v>898.60065870676226</v>
      </c>
      <c r="H186" s="185">
        <f ca="1">IF(H$4&lt;Assumptions!$B$424, 'Cash Allocation Engine'!H90+'Cash Allocation Engine'!H88, 'Cash Allocation Engine'!H90)</f>
        <v>1472.042010932058</v>
      </c>
      <c r="I186" s="185">
        <f ca="1">IF(I$4&lt;Assumptions!$B$424, 'Cash Allocation Engine'!I90+'Cash Allocation Engine'!I88, 'Cash Allocation Engine'!I90)</f>
        <v>5146.2774084495359</v>
      </c>
      <c r="J186" s="185">
        <f ca="1">IF(J$4&lt;Assumptions!$B$424, 'Cash Allocation Engine'!J90+'Cash Allocation Engine'!J88, 'Cash Allocation Engine'!J90)</f>
        <v>10094.840245279996</v>
      </c>
      <c r="K186" s="185">
        <f ca="1">IF(K$4&lt;Assumptions!$B$424, 'Cash Allocation Engine'!K90+'Cash Allocation Engine'!K88, 'Cash Allocation Engine'!K90)</f>
        <v>20872.819335770379</v>
      </c>
      <c r="L186" s="185">
        <f ca="1">IF(L$4&lt;Assumptions!$B$424, 'Cash Allocation Engine'!L90+'Cash Allocation Engine'!L88, 'Cash Allocation Engine'!L90)</f>
        <v>0</v>
      </c>
      <c r="M186" s="185">
        <f ca="1">IF(M$4&lt;Assumptions!$B$424, 'Cash Allocation Engine'!M90+'Cash Allocation Engine'!M88, 'Cash Allocation Engine'!M90)</f>
        <v>550.41096002238919</v>
      </c>
      <c r="N186" s="185">
        <f ca="1">IF(N$4&lt;Assumptions!$B$424, 'Cash Allocation Engine'!N90+'Cash Allocation Engine'!N88, 'Cash Allocation Engine'!N90)</f>
        <v>12721.627940156526</v>
      </c>
      <c r="O186" s="185">
        <f ca="1">IF(O$4&lt;Assumptions!$B$424, 'Cash Allocation Engine'!O90+'Cash Allocation Engine'!O88, 'Cash Allocation Engine'!O90)</f>
        <v>19410.26143447074</v>
      </c>
      <c r="P186" s="185">
        <f ca="1">IF(P$4&lt;Assumptions!$B$424, 'Cash Allocation Engine'!P90+'Cash Allocation Engine'!P88, 'Cash Allocation Engine'!P90)</f>
        <v>34836.07932946337</v>
      </c>
      <c r="Q186" s="185">
        <f ca="1">IF(Q$4&lt;Assumptions!$B$424, 'Cash Allocation Engine'!Q90+'Cash Allocation Engine'!Q88, 'Cash Allocation Engine'!Q90)</f>
        <v>33062.349146904897</v>
      </c>
      <c r="R186" s="185">
        <f ca="1">IF(R$4&lt;Assumptions!$B$424, 'Cash Allocation Engine'!R90+'Cash Allocation Engine'!R88, 'Cash Allocation Engine'!R90)</f>
        <v>43841.141233285467</v>
      </c>
      <c r="S186" s="185">
        <f ca="1">IF(S$4&lt;Assumptions!$B$424, 'Cash Allocation Engine'!S90+'Cash Allocation Engine'!S88, 'Cash Allocation Engine'!S90)</f>
        <v>68670.267656208511</v>
      </c>
    </row>
    <row r="187" spans="1:19" x14ac:dyDescent="0.2">
      <c r="A187" s="168" t="s">
        <v>1384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 spans="1:19" x14ac:dyDescent="0.2">
      <c r="A188" s="24" t="s">
        <v>1385</v>
      </c>
      <c r="B188" s="8"/>
      <c r="C188" s="8"/>
      <c r="D188" s="74">
        <f>Assumptions!$B$416</f>
        <v>3</v>
      </c>
      <c r="E188" s="74">
        <f>Assumptions!$B$439/(1+(Assumptions!$B$439/$D$188-1)*EXP(-Assumptions!$B$440*E$5))</f>
        <v>4.0489693223369985</v>
      </c>
      <c r="F188" s="74">
        <f>Assumptions!$B$439/(1+(Assumptions!$B$439/$D$188-1)*EXP(-Assumptions!$B$440*F$5))</f>
        <v>5.464431081946139</v>
      </c>
      <c r="G188" s="74">
        <f>Assumptions!$B$439/(1+(Assumptions!$B$439/$D$188-1)*EXP(-Assumptions!$B$440*G$5))</f>
        <v>7.3741964477233992</v>
      </c>
      <c r="H188" s="74">
        <f>Assumptions!$B$439/(1+(Assumptions!$B$439/$D$188-1)*EXP(-Assumptions!$B$440*H$5))</f>
        <v>9.9504566726745427</v>
      </c>
      <c r="I188" s="74">
        <f>Assumptions!$B$439/(1+(Assumptions!$B$439/$D$188-1)*EXP(-Assumptions!$B$440*I$5))</f>
        <v>13.425035012012666</v>
      </c>
      <c r="J188" s="74">
        <f>Assumptions!$B$439/(1+(Assumptions!$B$439/$D$188-1)*EXP(-Assumptions!$B$440*J$5))</f>
        <v>18.109750455181484</v>
      </c>
      <c r="K188" s="74">
        <f>Assumptions!$B$439/(1+(Assumptions!$B$439/$D$188-1)*EXP(-Assumptions!$B$440*K$5))</f>
        <v>24.423499901921485</v>
      </c>
      <c r="L188" s="74">
        <f>Assumptions!$B$439/(1+(Assumptions!$B$439/$D$188-1)*EXP(-Assumptions!$B$440*L$5))</f>
        <v>32.928081725776096</v>
      </c>
      <c r="M188" s="74">
        <f>Assumptions!$B$439/(1+(Assumptions!$B$439/$D$188-1)*EXP(-Assumptions!$B$440*M$5))</f>
        <v>44.37523104513177</v>
      </c>
      <c r="N188" s="74">
        <f>Assumptions!$B$439/(1+(Assumptions!$B$439/$D$188-1)*EXP(-Assumptions!$B$440*N$5))</f>
        <v>59.767739597745184</v>
      </c>
      <c r="O188" s="74">
        <f>Assumptions!$B$439/(1+(Assumptions!$B$439/$D$188-1)*EXP(-Assumptions!$B$440*O$5))</f>
        <v>80.437727617597972</v>
      </c>
      <c r="P188" s="74">
        <f>Assumptions!$B$439/(1+(Assumptions!$B$439/$D$188-1)*EXP(-Assumptions!$B$440*P$5))</f>
        <v>108.14480443018897</v>
      </c>
      <c r="Q188" s="74">
        <f>Assumptions!$B$439/(1+(Assumptions!$B$439/$D$188-1)*EXP(-Assumptions!$B$440*Q$5))</f>
        <v>145.19542691868168</v>
      </c>
      <c r="R188" s="74">
        <f>Assumptions!$B$439/(1+(Assumptions!$B$439/$D$188-1)*EXP(-Assumptions!$B$440*R$5))</f>
        <v>194.5812801031098</v>
      </c>
      <c r="S188" s="74">
        <f>Assumptions!$B$439/(1+(Assumptions!$B$439/$D$188-1)*EXP(-Assumptions!$B$440*S$5))</f>
        <v>260.12747878697104</v>
      </c>
    </row>
    <row r="189" spans="1:19" x14ac:dyDescent="0.2">
      <c r="A189" s="24" t="s">
        <v>1081</v>
      </c>
      <c r="B189" s="8"/>
      <c r="C189" s="8"/>
      <c r="D189" s="66">
        <f>D188*1000000*Assumptions!$B$339*Assumptions!$B$334*D23*Assumptions!$B$530</f>
        <v>4730400000</v>
      </c>
      <c r="E189" s="66">
        <f>E188*1000000*Assumptions!$B$339*Assumptions!$B$334*E23*Assumptions!$B$530</f>
        <v>7820908163.639698</v>
      </c>
      <c r="F189" s="66">
        <f>F188*1000000*Assumptions!$B$339*Assumptions!$B$334*F23*Assumptions!$B$530</f>
        <v>12493656648.518375</v>
      </c>
      <c r="G189" s="66">
        <f>G188*1000000*Assumptions!$B$339*Assumptions!$B$334*G23*Assumptions!$B$530</f>
        <v>19476285205.940178</v>
      </c>
      <c r="H189" s="66">
        <f>H188*1000000*Assumptions!$B$339*Assumptions!$B$334*H23*Assumptions!$B$530</f>
        <v>29810772154.799114</v>
      </c>
      <c r="I189" s="66">
        <f>I188*1000000*Assumptions!$B$339*Assumptions!$B$334*I23*Assumptions!$B$530</f>
        <v>44983264814.750832</v>
      </c>
      <c r="J189" s="66">
        <f>J188*1000000*Assumptions!$B$339*Assumptions!$B$334*J23*Assumptions!$B$530</f>
        <v>60680340850.176605</v>
      </c>
      <c r="K189" s="66">
        <f>K188*1000000*Assumptions!$B$339*Assumptions!$B$334*K23*Assumptions!$B$530</f>
        <v>81835821121.368317</v>
      </c>
      <c r="L189" s="66">
        <f>L188*1000000*Assumptions!$B$339*Assumptions!$B$334*L23*Assumptions!$B$530</f>
        <v>110332123438.55798</v>
      </c>
      <c r="M189" s="66">
        <f>M188*1000000*Assumptions!$B$339*Assumptions!$B$334*M23*Assumptions!$B$530</f>
        <v>148688086662.923</v>
      </c>
      <c r="N189" s="66">
        <f>N188*1000000*Assumptions!$B$339*Assumptions!$B$334*N23*Assumptions!$B$530</f>
        <v>200263765070.16476</v>
      </c>
      <c r="O189" s="66">
        <f>O188*1000000*Assumptions!$B$339*Assumptions!$B$334*O23*Assumptions!$B$530</f>
        <v>269522693928.28552</v>
      </c>
      <c r="P189" s="66">
        <f>P188*1000000*Assumptions!$B$339*Assumptions!$B$334*P23*Assumptions!$B$530</f>
        <v>362360796204.23413</v>
      </c>
      <c r="Q189" s="66">
        <f>Q188*1000000*Assumptions!$B$339*Assumptions!$B$334*Q23*Assumptions!$B$530</f>
        <v>486506316976.42676</v>
      </c>
      <c r="R189" s="66">
        <f>R188*1000000*Assumptions!$B$339*Assumptions!$B$334*R23*Assumptions!$B$530</f>
        <v>651983495241.48999</v>
      </c>
      <c r="S189" s="66">
        <f>S188*1000000*Assumptions!$B$339*Assumptions!$B$334*S23*Assumptions!$B$530</f>
        <v>871609143171.50366</v>
      </c>
    </row>
    <row r="190" spans="1:19" x14ac:dyDescent="0.2">
      <c r="A190" s="21" t="s">
        <v>1082</v>
      </c>
      <c r="B190" s="20"/>
      <c r="C190" s="20"/>
      <c r="D190" s="85">
        <f>D142+D189</f>
        <v>4810623675.29</v>
      </c>
      <c r="E190" s="85">
        <f t="shared" ref="E190:S190" si="99">E142+E189</f>
        <v>7942572139.8760786</v>
      </c>
      <c r="F190" s="85">
        <f t="shared" si="99"/>
        <v>12680908884.204889</v>
      </c>
      <c r="G190" s="85">
        <f t="shared" si="99"/>
        <v>19769146306.952496</v>
      </c>
      <c r="H190" s="85">
        <f t="shared" si="99"/>
        <v>30276679274.464287</v>
      </c>
      <c r="I190" s="85">
        <f t="shared" si="99"/>
        <v>45737677501.066765</v>
      </c>
      <c r="J190" s="85">
        <f t="shared" si="99"/>
        <v>61923937833.46093</v>
      </c>
      <c r="K190" s="85">
        <f t="shared" si="99"/>
        <v>83922358073.238937</v>
      </c>
      <c r="L190" s="85">
        <f t="shared" si="99"/>
        <v>113893465265.00737</v>
      </c>
      <c r="M190" s="85">
        <f t="shared" si="99"/>
        <v>154866783749.6044</v>
      </c>
      <c r="N190" s="85">
        <f t="shared" si="99"/>
        <v>211149624014.30774</v>
      </c>
      <c r="O190" s="85">
        <f t="shared" si="99"/>
        <v>288979460803.91046</v>
      </c>
      <c r="P190" s="85">
        <f t="shared" si="99"/>
        <v>397604790420.59692</v>
      </c>
      <c r="Q190" s="85">
        <f t="shared" si="99"/>
        <v>551145553079.04211</v>
      </c>
      <c r="R190" s="85">
        <f t="shared" si="99"/>
        <v>771914299912.92188</v>
      </c>
      <c r="S190" s="85">
        <f t="shared" si="99"/>
        <v>1096542765178.0001</v>
      </c>
    </row>
    <row r="191" spans="1:19" x14ac:dyDescent="0.2">
      <c r="A191" s="24" t="s">
        <v>1083</v>
      </c>
      <c r="B191" s="8"/>
      <c r="C191" s="8"/>
      <c r="D191" s="66">
        <f>D190*(1+Assumptions!$B$417)</f>
        <v>5532217226.5834999</v>
      </c>
      <c r="E191" s="66">
        <f>E190*(1+Assumptions!$B$417)</f>
        <v>9133957960.8574905</v>
      </c>
      <c r="F191" s="66">
        <f>F190*(1+Assumptions!$B$417)</f>
        <v>14583045216.835621</v>
      </c>
      <c r="G191" s="66">
        <f>G190*(1+Assumptions!$B$417)</f>
        <v>22734518252.995369</v>
      </c>
      <c r="H191" s="66">
        <f>H190*(1+Assumptions!$B$417)</f>
        <v>34818181165.633926</v>
      </c>
      <c r="I191" s="66">
        <f>I190*(1+Assumptions!$B$417)</f>
        <v>52598329126.226776</v>
      </c>
      <c r="J191" s="66">
        <f>J190*(1+Assumptions!$B$417)</f>
        <v>71212528508.480057</v>
      </c>
      <c r="K191" s="66">
        <f>K190*(1+Assumptions!$B$417)</f>
        <v>96510711784.224777</v>
      </c>
      <c r="L191" s="66">
        <f>L190*(1+Assumptions!$B$417)</f>
        <v>130977485054.75847</v>
      </c>
      <c r="M191" s="66">
        <f>M190*(1+Assumptions!$B$417)</f>
        <v>178096801312.04504</v>
      </c>
      <c r="N191" s="66">
        <f>N190*(1+Assumptions!$B$417)</f>
        <v>242822067616.45389</v>
      </c>
      <c r="O191" s="66">
        <f>O190*(1+Assumptions!$B$417)</f>
        <v>332326379924.49701</v>
      </c>
      <c r="P191" s="66">
        <f>P190*(1+Assumptions!$B$417)</f>
        <v>457245508983.6864</v>
      </c>
      <c r="Q191" s="66">
        <f>Q190*(1+Assumptions!$B$417)</f>
        <v>633817386040.89844</v>
      </c>
      <c r="R191" s="66">
        <f>R190*(1+Assumptions!$B$417)</f>
        <v>887701444899.86011</v>
      </c>
      <c r="S191" s="66">
        <f>S190*(1+Assumptions!$B$417)</f>
        <v>1261024179954.7</v>
      </c>
    </row>
    <row r="192" spans="1:19" x14ac:dyDescent="0.2">
      <c r="A192" s="21" t="s">
        <v>1084</v>
      </c>
      <c r="B192" s="20"/>
      <c r="C192" s="20"/>
      <c r="D192" s="209" t="str">
        <f ca="1">IF(D191&gt;D143,"SHORT","OK")</f>
        <v>SHORT</v>
      </c>
      <c r="E192" s="209" t="str">
        <f ca="1">IF(E191&gt;E143,"SHORT","OK")</f>
        <v>SHORT</v>
      </c>
      <c r="F192" s="209" t="str">
        <f t="shared" ref="F192:S192" ca="1" si="100">IF(F191&gt;F143,"SHORT","OK")</f>
        <v>SHORT</v>
      </c>
      <c r="G192" s="209" t="str">
        <f t="shared" ca="1" si="100"/>
        <v>SHORT</v>
      </c>
      <c r="H192" s="209" t="str">
        <f t="shared" ca="1" si="100"/>
        <v>SHORT</v>
      </c>
      <c r="I192" s="209" t="str">
        <f t="shared" ca="1" si="100"/>
        <v>SHORT</v>
      </c>
      <c r="J192" s="209" t="str">
        <f t="shared" ca="1" si="100"/>
        <v>SHORT</v>
      </c>
      <c r="K192" s="209" t="str">
        <f t="shared" ca="1" si="100"/>
        <v>OK</v>
      </c>
      <c r="L192" s="209" t="str">
        <f t="shared" ca="1" si="100"/>
        <v>OK</v>
      </c>
      <c r="M192" s="209" t="str">
        <f t="shared" ca="1" si="100"/>
        <v>OK</v>
      </c>
      <c r="N192" s="209" t="str">
        <f t="shared" ca="1" si="100"/>
        <v>OK</v>
      </c>
      <c r="O192" s="209" t="str">
        <f t="shared" ca="1" si="100"/>
        <v>OK</v>
      </c>
      <c r="P192" s="209" t="str">
        <f t="shared" ca="1" si="100"/>
        <v>OK</v>
      </c>
      <c r="Q192" s="209" t="str">
        <f t="shared" ca="1" si="100"/>
        <v>OK</v>
      </c>
      <c r="R192" s="209" t="str">
        <f t="shared" ca="1" si="100"/>
        <v>OK</v>
      </c>
      <c r="S192" s="209" t="str">
        <f t="shared" ca="1" si="100"/>
        <v>OK</v>
      </c>
    </row>
    <row r="193" spans="1:19" x14ac:dyDescent="0.2">
      <c r="A193" s="24" t="s">
        <v>1085</v>
      </c>
      <c r="B193" s="8"/>
      <c r="C193" s="8"/>
      <c r="D193" s="70">
        <v>0</v>
      </c>
      <c r="E193" s="70">
        <v>0</v>
      </c>
      <c r="F193" s="70">
        <v>0</v>
      </c>
      <c r="G193" s="70">
        <v>0</v>
      </c>
      <c r="H193" s="70">
        <v>0</v>
      </c>
      <c r="I193" s="70">
        <v>0</v>
      </c>
      <c r="J193" s="70">
        <v>0</v>
      </c>
      <c r="K193" s="70">
        <v>0</v>
      </c>
      <c r="L193" s="70">
        <v>0</v>
      </c>
      <c r="M193" s="70">
        <v>0</v>
      </c>
      <c r="N193" s="70">
        <v>0</v>
      </c>
      <c r="O193" s="70">
        <v>0</v>
      </c>
      <c r="P193" s="70">
        <v>0</v>
      </c>
      <c r="Q193" s="70">
        <v>0</v>
      </c>
      <c r="R193" s="70">
        <v>0</v>
      </c>
      <c r="S193" s="67">
        <f ca="1">D85</f>
        <v>0</v>
      </c>
    </row>
    <row r="194" spans="1:19" x14ac:dyDescent="0.2">
      <c r="A194" s="24" t="s">
        <v>1086</v>
      </c>
      <c r="B194" s="8"/>
      <c r="C194" s="8"/>
      <c r="D194" s="70">
        <v>0</v>
      </c>
      <c r="E194" s="70">
        <v>0</v>
      </c>
      <c r="F194" s="70">
        <v>0</v>
      </c>
      <c r="G194" s="70">
        <v>0</v>
      </c>
      <c r="H194" s="70">
        <v>0</v>
      </c>
      <c r="I194" s="70">
        <v>0</v>
      </c>
      <c r="J194" s="70">
        <v>0</v>
      </c>
      <c r="K194" s="70">
        <v>0</v>
      </c>
      <c r="L194" s="70">
        <v>0</v>
      </c>
      <c r="M194" s="70">
        <v>0</v>
      </c>
      <c r="N194" s="70">
        <v>0</v>
      </c>
      <c r="O194" s="70">
        <v>0</v>
      </c>
      <c r="P194" s="70">
        <v>0</v>
      </c>
      <c r="Q194" s="70">
        <v>0</v>
      </c>
      <c r="R194" s="70">
        <v>0</v>
      </c>
      <c r="S194" s="67">
        <f ca="1">D86</f>
        <v>0</v>
      </c>
    </row>
    <row r="195" spans="1:19" x14ac:dyDescent="0.2">
      <c r="A195" s="24" t="s">
        <v>1386</v>
      </c>
      <c r="B195" s="8"/>
      <c r="C195" s="8"/>
      <c r="D195" s="116">
        <v>0</v>
      </c>
      <c r="E195" s="116">
        <v>0</v>
      </c>
      <c r="F195" s="116">
        <v>0</v>
      </c>
      <c r="G195" s="116">
        <v>0</v>
      </c>
      <c r="H195" s="116">
        <v>0</v>
      </c>
      <c r="I195" s="116">
        <v>0</v>
      </c>
      <c r="J195" s="116">
        <v>0</v>
      </c>
      <c r="K195" s="116">
        <v>0</v>
      </c>
      <c r="L195" s="116">
        <v>0</v>
      </c>
      <c r="M195" s="116">
        <v>0</v>
      </c>
      <c r="N195" s="116">
        <v>0</v>
      </c>
      <c r="O195" s="116">
        <v>0</v>
      </c>
      <c r="P195" s="116">
        <v>0</v>
      </c>
      <c r="Q195" s="116">
        <v>0</v>
      </c>
      <c r="R195" s="116">
        <v>0</v>
      </c>
      <c r="S195" s="116">
        <v>0</v>
      </c>
    </row>
    <row r="196" spans="1:19" x14ac:dyDescent="0.2">
      <c r="A196" s="24" t="s">
        <v>1087</v>
      </c>
      <c r="B196" s="8"/>
      <c r="C196" s="8"/>
      <c r="D196" s="12">
        <f t="shared" ref="D196:S196" ca="1" si="101">MAX(0, D201 - MAX(0, C89 - D193))</f>
        <v>1840.1076695468923</v>
      </c>
      <c r="E196" s="12">
        <f t="shared" ca="1" si="101"/>
        <v>2222.3002541386295</v>
      </c>
      <c r="F196" s="12">
        <f t="shared" ca="1" si="101"/>
        <v>2323.408253662024</v>
      </c>
      <c r="G196" s="12">
        <f t="shared" ca="1" si="101"/>
        <v>2415.179550942109</v>
      </c>
      <c r="H196" s="12">
        <f t="shared" ca="1" si="101"/>
        <v>2945.9999885941756</v>
      </c>
      <c r="I196" s="12">
        <f t="shared" ca="1" si="101"/>
        <v>3294.3683916045175</v>
      </c>
      <c r="J196" s="12">
        <f t="shared" ca="1" si="101"/>
        <v>2958.7178202362834</v>
      </c>
      <c r="K196" s="12">
        <f t="shared" ca="1" si="101"/>
        <v>1421.7282065949591</v>
      </c>
      <c r="L196" s="12">
        <f t="shared" ca="1" si="101"/>
        <v>0</v>
      </c>
      <c r="M196" s="12">
        <f t="shared" ca="1" si="101"/>
        <v>18.202747399429882</v>
      </c>
      <c r="N196" s="12">
        <f t="shared" ca="1" si="101"/>
        <v>401.83325699731472</v>
      </c>
      <c r="O196" s="12">
        <f t="shared" ca="1" si="101"/>
        <v>655.74167180809809</v>
      </c>
      <c r="P196" s="12">
        <f t="shared" ca="1" si="101"/>
        <v>1003.7812869342583</v>
      </c>
      <c r="Q196" s="12">
        <f t="shared" ca="1" si="101"/>
        <v>1140.9656555659731</v>
      </c>
      <c r="R196" s="12">
        <f t="shared" ca="1" si="101"/>
        <v>1819.0445413517718</v>
      </c>
      <c r="S196" s="12">
        <f t="shared" ca="1" si="101"/>
        <v>2934.8725222569619</v>
      </c>
    </row>
    <row r="197" spans="1:19" x14ac:dyDescent="0.2">
      <c r="A197" s="24" t="s">
        <v>1090</v>
      </c>
      <c r="B197" s="8"/>
      <c r="C197" s="8"/>
      <c r="D197" s="12">
        <f ca="1">D202+D203</f>
        <v>105195.1550433404</v>
      </c>
      <c r="E197" s="12">
        <f t="shared" ref="E197:S197" ca="1" si="102">E202+E203</f>
        <v>126614.88146798909</v>
      </c>
      <c r="F197" s="12">
        <f t="shared" ca="1" si="102"/>
        <v>137517.35121000535</v>
      </c>
      <c r="G197" s="12">
        <f t="shared" ca="1" si="102"/>
        <v>152121.27013391547</v>
      </c>
      <c r="H197" s="12">
        <f t="shared" ca="1" si="102"/>
        <v>176646.96958075408</v>
      </c>
      <c r="I197" s="12">
        <f t="shared" ca="1" si="102"/>
        <v>192439.4417104451</v>
      </c>
      <c r="J197" s="12">
        <f t="shared" ca="1" si="102"/>
        <v>176824.07145519735</v>
      </c>
      <c r="K197" s="12">
        <f t="shared" ca="1" si="102"/>
        <v>103538.76545302647</v>
      </c>
      <c r="L197" s="12">
        <f t="shared" ca="1" si="102"/>
        <v>36506.866087492817</v>
      </c>
      <c r="M197" s="12">
        <f t="shared" ca="1" si="102"/>
        <v>50706.338974058395</v>
      </c>
      <c r="N197" s="12">
        <f t="shared" ca="1" si="102"/>
        <v>85239.900357208986</v>
      </c>
      <c r="O197" s="12">
        <f t="shared" ca="1" si="102"/>
        <v>128288.81687978041</v>
      </c>
      <c r="P197" s="12">
        <f t="shared" ca="1" si="102"/>
        <v>156322.22818552432</v>
      </c>
      <c r="Q197" s="12">
        <f t="shared" ca="1" si="102"/>
        <v>154361.85608166058</v>
      </c>
      <c r="R197" s="12">
        <f t="shared" ca="1" si="102"/>
        <v>213842.81859817344</v>
      </c>
      <c r="S197" s="12">
        <f t="shared" ca="1" si="102"/>
        <v>308509.36483974528</v>
      </c>
    </row>
    <row r="198" spans="1:19" x14ac:dyDescent="0.2">
      <c r="A198" s="24" t="s">
        <v>1387</v>
      </c>
      <c r="B198" s="8"/>
      <c r="C198" s="8"/>
      <c r="D198" s="72">
        <v>1</v>
      </c>
      <c r="E198" s="72">
        <v>1</v>
      </c>
      <c r="F198" s="72">
        <v>1</v>
      </c>
      <c r="G198" s="72">
        <v>1</v>
      </c>
      <c r="H198" s="72">
        <v>1</v>
      </c>
      <c r="I198" s="72">
        <v>1</v>
      </c>
      <c r="J198" s="72">
        <v>1</v>
      </c>
      <c r="K198" s="72">
        <v>1</v>
      </c>
      <c r="L198" s="72">
        <v>1</v>
      </c>
      <c r="M198" s="72">
        <v>1</v>
      </c>
      <c r="N198" s="72">
        <v>1</v>
      </c>
      <c r="O198" s="72">
        <v>1</v>
      </c>
      <c r="P198" s="72">
        <v>1</v>
      </c>
      <c r="Q198" s="72">
        <v>1</v>
      </c>
      <c r="R198" s="72">
        <v>1</v>
      </c>
      <c r="S198" s="72">
        <v>1</v>
      </c>
    </row>
    <row r="199" spans="1:19" x14ac:dyDescent="0.2">
      <c r="A199" s="24" t="s">
        <v>1388</v>
      </c>
      <c r="B199" s="8"/>
      <c r="C199" s="8"/>
      <c r="D199" s="72">
        <v>0</v>
      </c>
      <c r="E199" s="72">
        <v>0</v>
      </c>
      <c r="F199" s="72">
        <v>0</v>
      </c>
      <c r="G199" s="72">
        <v>0</v>
      </c>
      <c r="H199" s="72">
        <v>0</v>
      </c>
      <c r="I199" s="72">
        <v>0</v>
      </c>
      <c r="J199" s="72">
        <v>0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</row>
    <row r="200" spans="1:19" x14ac:dyDescent="0.2">
      <c r="A200" s="24" t="s">
        <v>1091</v>
      </c>
      <c r="B200" s="8"/>
      <c r="C200" s="8"/>
      <c r="D200" s="67">
        <f ca="1">IFERROR(D46 + D210/IFERROR(D48,1), 0)</f>
        <v>13156.909309797136</v>
      </c>
      <c r="E200" s="67">
        <f ca="1">IFERROR(D46 + E210/IFERROR(E48,1), 0)</f>
        <v>15896.951216913239</v>
      </c>
      <c r="F200" s="67">
        <f t="shared" ref="F200:S200" ca="1" si="103">IFERROR(E46 + F210/IFERROR(F48,1), 0)</f>
        <v>19226.132410572973</v>
      </c>
      <c r="G200" s="67">
        <f t="shared" ca="1" si="103"/>
        <v>23270.225788193169</v>
      </c>
      <c r="H200" s="67">
        <f t="shared" ca="1" si="103"/>
        <v>28183.883572479644</v>
      </c>
      <c r="I200" s="67">
        <f t="shared" ca="1" si="103"/>
        <v>33997.672245768044</v>
      </c>
      <c r="J200" s="67">
        <f t="shared" ca="1" si="103"/>
        <v>41309.160357326196</v>
      </c>
      <c r="K200" s="67">
        <f t="shared" ca="1" si="103"/>
        <v>50252.619798941159</v>
      </c>
      <c r="L200" s="67">
        <f t="shared" ca="1" si="103"/>
        <v>60957.224033266466</v>
      </c>
      <c r="M200" s="67">
        <f t="shared" ca="1" si="103"/>
        <v>74432.447721943434</v>
      </c>
      <c r="N200" s="67">
        <f t="shared" ca="1" si="103"/>
        <v>90756.498500881979</v>
      </c>
      <c r="O200" s="67">
        <f t="shared" ca="1" si="103"/>
        <v>111112.85983098674</v>
      </c>
      <c r="P200" s="67">
        <f ca="1">IFERROR(O46 + P210/IFERROR(P48,1), 0)</f>
        <v>137368.82826297806</v>
      </c>
      <c r="Q200" s="67">
        <f t="shared" ca="1" si="103"/>
        <v>170422.13370868372</v>
      </c>
      <c r="R200" s="67">
        <f t="shared" ca="1" si="103"/>
        <v>213682.68245170196</v>
      </c>
      <c r="S200" s="67">
        <f t="shared" ca="1" si="103"/>
        <v>271818.70931377594</v>
      </c>
    </row>
    <row r="201" spans="1:19" x14ac:dyDescent="0.2">
      <c r="A201" s="24" t="s">
        <v>1092</v>
      </c>
      <c r="B201" s="8"/>
      <c r="C201" s="8"/>
      <c r="D201" s="66">
        <f ca="1">IFERROR( MAX(0, D191 - (D46*D48)) / IFERROR(MAX(C92/C89,(1000000/D20)*(D21/Assumptions!$B$95)*Assumptions!$B$339*D23*Assumptions!$B$334),(1000000/D20)*(D21/Assumptions!$B$95)*Assumptions!$B$339*D23*Assumptions!$B$334), 0)</f>
        <v>1840.1076695468923</v>
      </c>
      <c r="E201" s="66">
        <f ca="1">IFERROR( MAX(0, E191 - (D46*E48)) / IFERROR(MAX(D92/D89,(1000000/E20)*(E21/Assumptions!$B$95)*Assumptions!$B$339*E23*Assumptions!$B$334),(1000000/E20)*(E21/Assumptions!$B$95)*Assumptions!$B$339*E23*Assumptions!$B$334), 0)</f>
        <v>2222.3002541386295</v>
      </c>
      <c r="F201" s="66">
        <f ca="1">IFERROR( MAX(0, F191 - (E46*F48)) / IFERROR(MAX(E92/E89,(1000000/F20)*(F21/Assumptions!$B$95)*Assumptions!$B$339*F23*Assumptions!$B$334),(1000000/F20)*(F21/Assumptions!$B$95)*Assumptions!$B$339*F23*Assumptions!$B$334), 0)</f>
        <v>2685.9371230496004</v>
      </c>
      <c r="G201" s="66">
        <f ca="1">IFERROR( MAX(0, G191 - (F46*G48)) / IFERROR(MAX(F92/F89,(1000000/G20)*(G21/Assumptions!$B$95)*Assumptions!$B$339*G23*Assumptions!$B$334),(1000000/G20)*(G21/Assumptions!$B$95)*Assumptions!$B$339*G23*Assumptions!$B$334), 0)</f>
        <v>3248.0474977743061</v>
      </c>
      <c r="H201" s="66">
        <f ca="1">IFERROR( MAX(0, H191 - (G46*H48)) / IFERROR(MAX(G92/G89,(1000000/H20)*(H21/Assumptions!$B$95)*Assumptions!$B$339*H23*Assumptions!$B$334),(1000000/H20)*(H21/Assumptions!$B$95)*Assumptions!$B$339*H23*Assumptions!$B$334), 0)</f>
        <v>3804.0426932552327</v>
      </c>
      <c r="I201" s="66">
        <f ca="1">IFERROR( MAX(0, I191 - (H46*I48)) / IFERROR(MAX(H92/H89,(1000000/I20)*(I21/Assumptions!$B$95)*Assumptions!$B$339*I23*Assumptions!$B$334),(1000000/I20)*(I21/Assumptions!$B$95)*Assumptions!$B$339*I23*Assumptions!$B$334), 0)</f>
        <v>4193.1669442951807</v>
      </c>
      <c r="J201" s="66">
        <f ca="1">IFERROR( MAX(0, J191 - (I46*J48)) / IFERROR(MAX(I92/I89,(1000000/J20)*(J21/Assumptions!$B$95)*Assumptions!$B$339*J23*Assumptions!$B$334),(1000000/J20)*(J21/Assumptions!$B$95)*Assumptions!$B$339*J23*Assumptions!$B$334), 0)</f>
        <v>3998.0215919270918</v>
      </c>
      <c r="K201" s="66">
        <f ca="1">IFERROR( MAX(0, K191 - (J46*K48)) / IFERROR(MAX(J92/J89,(1000000/K20)*(K21/Assumptions!$B$95)*Assumptions!$B$339*K23*Assumptions!$B$334),(1000000/K20)*(K21/Assumptions!$B$95)*Assumptions!$B$339*K23*Assumptions!$B$334), 0)</f>
        <v>2732.2501516407137</v>
      </c>
      <c r="L201" s="66">
        <f ca="1">IFERROR( MAX(0, L191 - (K46*L48)) / IFERROR(MAX(K92/K89,(1000000/L20)*(L21/Assumptions!$B$95)*Assumptions!$B$339*L23*Assumptions!$B$334),(1000000/L20)*(L21/Assumptions!$B$95)*Assumptions!$B$339*L23*Assumptions!$B$334), 0)</f>
        <v>1496.3459064501717</v>
      </c>
      <c r="M201" s="66">
        <f ca="1">IFERROR( MAX(0, M191 - (L46*M48)) / IFERROR(MAX(L92/L89,(1000000/M20)*(M21/Assumptions!$B$95)*Assumptions!$B$339*M23*Assumptions!$B$334),(1000000/M20)*(M21/Assumptions!$B$95)*Assumptions!$B$339*M23*Assumptions!$B$334), 0)</f>
        <v>1879.4636510419043</v>
      </c>
      <c r="N201" s="66">
        <f ca="1">IFERROR( MAX(0, N191 - (M46*N48)) / IFERROR(MAX(M92/M89,(1000000/N20)*(N21/Assumptions!$B$95)*Assumptions!$B$339*N23*Assumptions!$B$334),(1000000/N20)*(N21/Assumptions!$B$95)*Assumptions!$B$339*N23*Assumptions!$B$334), 0)</f>
        <v>2281.296908039219</v>
      </c>
      <c r="O201" s="66">
        <f ca="1">IFERROR( MAX(0, O191 - (N46*O48)) / IFERROR(MAX(N92/N89,(1000000/O20)*(O21/Assumptions!$B$95)*Assumptions!$B$339*O23*Assumptions!$B$334),(1000000/O20)*(O21/Assumptions!$B$95)*Assumptions!$B$339*O23*Assumptions!$B$334), 0)</f>
        <v>2849.5963869017801</v>
      </c>
      <c r="P201" s="66">
        <f ca="1">IFERROR( MAX(0, P191 - (O46*P48)) / IFERROR(MAX(O92/O89,(1000000/P20)*(P21/Assumptions!$B$95)*Assumptions!$B$339*P23*Assumptions!$B$334),(1000000/P20)*(P21/Assumptions!$B$95)*Assumptions!$B$339*P23*Assumptions!$B$334), 0)</f>
        <v>3665.3563130455309</v>
      </c>
      <c r="Q201" s="66">
        <f ca="1">IFERROR( MAX(0, Q191 - (P46*Q48)) / IFERROR(MAX(P92/P89,(1000000/Q20)*(Q21/Assumptions!$B$95)*Assumptions!$B$339*Q23*Assumptions!$B$334),(1000000/Q20)*(Q21/Assumptions!$B$95)*Assumptions!$B$339*Q23*Assumptions!$B$334), 0)</f>
        <v>4619.7462784917161</v>
      </c>
      <c r="R201" s="66">
        <f ca="1">IFERROR( MAX(0, R191 - (Q46*R48)) / IFERROR(MAX(Q92/Q89,(1000000/R20)*(R21/Assumptions!$B$95)*Assumptions!$B$339*R23*Assumptions!$B$334),(1000000/R20)*(R21/Assumptions!$B$95)*Assumptions!$B$339*R23*Assumptions!$B$334), 0)</f>
        <v>6051.7755377486656</v>
      </c>
      <c r="S201" s="66">
        <f ca="1">IFERROR( MAX(0, S191 - (R46*S48)) / IFERROR(MAX(R92/R89,(1000000/S20)*(S21/Assumptions!$B$95)*Assumptions!$B$339*S23*Assumptions!$B$334),(1000000/S20)*(S21/Assumptions!$B$95)*Assumptions!$B$339*S23*Assumptions!$B$334), 0)</f>
        <v>8138.1067892399051</v>
      </c>
    </row>
    <row r="202" spans="1:19" x14ac:dyDescent="0.2">
      <c r="A202" s="24" t="s">
        <v>1093</v>
      </c>
      <c r="B202" s="8"/>
      <c r="C202" s="8"/>
      <c r="D202" s="67">
        <f t="shared" ref="D202:S202" ca="1" si="104">IFERROR(D32*(D38+D39)/1000000, 0)</f>
        <v>68393.00165240257</v>
      </c>
      <c r="E202" s="67">
        <f t="shared" ca="1" si="104"/>
        <v>80079.914146326191</v>
      </c>
      <c r="F202" s="67">
        <f t="shared" ca="1" si="104"/>
        <v>86578.530443233481</v>
      </c>
      <c r="G202" s="67">
        <f t="shared" ca="1" si="104"/>
        <v>96681.749860004347</v>
      </c>
      <c r="H202" s="67">
        <f t="shared" ca="1" si="104"/>
        <v>105844.32765943129</v>
      </c>
      <c r="I202" s="67">
        <f t="shared" ca="1" si="104"/>
        <v>109543.06158287477</v>
      </c>
      <c r="J202" s="67">
        <f t="shared" ca="1" si="104"/>
        <v>98874.517715116614</v>
      </c>
      <c r="K202" s="67">
        <f t="shared" ca="1" si="104"/>
        <v>64321.857651067534</v>
      </c>
      <c r="L202" s="67">
        <f t="shared" ca="1" si="104"/>
        <v>36506.866087492817</v>
      </c>
      <c r="M202" s="67">
        <f t="shared" ca="1" si="104"/>
        <v>50155.928014036006</v>
      </c>
      <c r="N202" s="67">
        <f t="shared" ca="1" si="104"/>
        <v>72518.27241705246</v>
      </c>
      <c r="O202" s="67">
        <f t="shared" ca="1" si="104"/>
        <v>106552.98442822111</v>
      </c>
      <c r="P202" s="67">
        <f t="shared" ca="1" si="104"/>
        <v>121486.14885606094</v>
      </c>
      <c r="Q202" s="67">
        <f t="shared" ca="1" si="104"/>
        <v>112903.7527822902</v>
      </c>
      <c r="R202" s="67">
        <f t="shared" ca="1" si="104"/>
        <v>144639.50776063409</v>
      </c>
      <c r="S202" s="67">
        <f t="shared" ca="1" si="104"/>
        <v>191608.03192718563</v>
      </c>
    </row>
    <row r="203" spans="1:19" x14ac:dyDescent="0.2">
      <c r="A203" s="24" t="s">
        <v>1094</v>
      </c>
      <c r="B203" s="8"/>
      <c r="C203" s="8"/>
      <c r="D203" s="66">
        <f ca="1">IFERROR(D196*(Assumptions!$B$364*(1+Assumptions!$B$413)^D$5)/1000000, 0)</f>
        <v>36802.153390937841</v>
      </c>
      <c r="E203" s="66">
        <f ca="1">IFERROR(E196*(Assumptions!$B$364*(1+Assumptions!$B$413)^E$5)/1000000, 0)</f>
        <v>46534.967321662902</v>
      </c>
      <c r="F203" s="66">
        <f ca="1">IFERROR(F196*(Assumptions!$B$364*(1+Assumptions!$B$413)^F$5)/1000000, 0)</f>
        <v>50938.820766771867</v>
      </c>
      <c r="G203" s="66">
        <f ca="1">IFERROR(G196*(Assumptions!$B$364*(1+Assumptions!$B$413)^G$5)/1000000, 0)</f>
        <v>55439.520273911126</v>
      </c>
      <c r="H203" s="66">
        <f ca="1">IFERROR(H196*(Assumptions!$B$364*(1+Assumptions!$B$413)^H$5)/1000000, 0)</f>
        <v>70802.641921322793</v>
      </c>
      <c r="I203" s="66">
        <f ca="1">IFERROR(I196*(Assumptions!$B$364*(1+Assumptions!$B$413)^I$5)/1000000, 0)</f>
        <v>82896.38012757033</v>
      </c>
      <c r="J203" s="66">
        <f ca="1">IFERROR(J196*(Assumptions!$B$364*(1+Assumptions!$B$413)^J$5)/1000000, 0)</f>
        <v>77949.553740080752</v>
      </c>
      <c r="K203" s="66">
        <f ca="1">IFERROR(K196*(Assumptions!$B$364*(1+Assumptions!$B$413)^K$5)/1000000, 0)</f>
        <v>39216.907801958936</v>
      </c>
      <c r="L203" s="66">
        <f ca="1">IFERROR(L196*(Assumptions!$B$364*(1+Assumptions!$B$413)^L$5)/1000000, 0)</f>
        <v>0</v>
      </c>
      <c r="M203" s="66">
        <f ca="1">IFERROR(M196*(Assumptions!$B$364*(1+Assumptions!$B$413)^M$5)/1000000, 0)</f>
        <v>550.41096002239181</v>
      </c>
      <c r="N203" s="66">
        <f ca="1">IFERROR(N196*(Assumptions!$B$364*(1+Assumptions!$B$413)^N$5)/1000000, 0)</f>
        <v>12721.62794015653</v>
      </c>
      <c r="O203" s="66">
        <f ca="1">IFERROR(O196*(Assumptions!$B$364*(1+Assumptions!$B$413)^O$5)/1000000, 0)</f>
        <v>21735.832451559294</v>
      </c>
      <c r="P203" s="66">
        <f ca="1">IFERROR(P196*(Assumptions!$B$364*(1+Assumptions!$B$413)^P$5)/1000000, 0)</f>
        <v>34836.07932946337</v>
      </c>
      <c r="Q203" s="66">
        <f ca="1">IFERROR(Q196*(Assumptions!$B$364*(1+Assumptions!$B$413)^Q$5)/1000000, 0)</f>
        <v>41458.103299370377</v>
      </c>
      <c r="R203" s="66">
        <f ca="1">IFERROR(R196*(Assumptions!$B$364*(1+Assumptions!$B$413)^R$5)/1000000, 0)</f>
        <v>69203.310837539335</v>
      </c>
      <c r="S203" s="66">
        <f ca="1">IFERROR(S196*(Assumptions!$B$364*(1+Assumptions!$B$413)^S$5)/1000000, 0)</f>
        <v>116901.33291255964</v>
      </c>
    </row>
    <row r="204" spans="1:19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x14ac:dyDescent="0.2">
      <c r="A205" s="29" t="s">
        <v>1389</v>
      </c>
      <c r="B205" s="8"/>
      <c r="C205" s="8"/>
      <c r="D205" s="66">
        <f ca="1">D74+D107+D135+'Facilities Build'!D64</f>
        <v>0</v>
      </c>
      <c r="E205" s="66">
        <f ca="1">E74+E107+E135+'Facilities Build'!E64</f>
        <v>15363.556761221822</v>
      </c>
      <c r="F205" s="66">
        <f ca="1">F74+F107+F135+'Facilities Build'!F64</f>
        <v>22110.597790721215</v>
      </c>
      <c r="G205" s="66">
        <f ca="1">G74+G107+G135+'Facilities Build'!G64</f>
        <v>13331.351267862694</v>
      </c>
      <c r="H205" s="66">
        <f ca="1">H74+H107+H135+'Facilities Build'!H64</f>
        <v>22272.04569188711</v>
      </c>
      <c r="I205" s="66">
        <f ca="1">I74+I107+I135+'Facilities Build'!I64</f>
        <v>45428.691874508913</v>
      </c>
      <c r="J205" s="66">
        <f ca="1">J74+J107+J135+'Facilities Build'!J64</f>
        <v>80730.988267171124</v>
      </c>
      <c r="K205" s="66">
        <f ca="1">K74+K107+K135+'Facilities Build'!K64</f>
        <v>93612.754354341072</v>
      </c>
      <c r="L205" s="66">
        <f ca="1">L74+L107+L135+'Facilities Build'!L64</f>
        <v>45216.959837492817</v>
      </c>
      <c r="M205" s="66">
        <f ca="1">M74+M107+M135+'Facilities Build'!M64</f>
        <v>56673.350085002909</v>
      </c>
      <c r="N205" s="66">
        <f ca="1">N74+N107+N135+'Facilities Build'!N64</f>
        <v>88000.972780514596</v>
      </c>
      <c r="O205" s="66">
        <f ca="1">O74+O107+O135+'Facilities Build'!O64</f>
        <v>125762.43827052927</v>
      </c>
      <c r="P205" s="66">
        <f ca="1">P74+P107+P135+'Facilities Build'!P64</f>
        <v>155989.40900149947</v>
      </c>
      <c r="Q205" s="66">
        <f ca="1">Q74+Q107+Q135+'Facilities Build'!Q64</f>
        <v>145674.82713762525</v>
      </c>
      <c r="R205" s="66">
        <f ca="1">R74+R107+R135+'Facilities Build'!R64</f>
        <v>188124.98470352683</v>
      </c>
      <c r="S205" s="66">
        <f ca="1">S74+S107+S135+'Facilities Build'!S64</f>
        <v>249846.93767559508</v>
      </c>
    </row>
    <row r="206" spans="1:19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x14ac:dyDescent="0.2">
      <c r="A207" s="22" t="s">
        <v>1099</v>
      </c>
      <c r="B207" s="8"/>
      <c r="C207" s="8"/>
      <c r="D207" s="119">
        <f ca="1">IFERROR(MIN(1,(D190/MAX(D143,1))^Assumptions!$B$426),1)</f>
        <v>1</v>
      </c>
      <c r="E207" s="119">
        <f ca="1">IFERROR(MIN(1,(E190/MAX(E143,1))^Assumptions!$B$426),1)</f>
        <v>1</v>
      </c>
      <c r="F207" s="119">
        <f ca="1">IFERROR(MIN(1,(F190/MAX(F143,1))^Assumptions!$B$426),1)</f>
        <v>1</v>
      </c>
      <c r="G207" s="119">
        <f ca="1">IFERROR(MIN(1,(G190/MAX(G143,1))^Assumptions!$B$426),1)</f>
        <v>1</v>
      </c>
      <c r="H207" s="119">
        <f ca="1">IFERROR(MIN(1,(H190/MAX(H143,1))^Assumptions!$B$426),1)</f>
        <v>1</v>
      </c>
      <c r="I207" s="119">
        <f ca="1">IFERROR(MIN(1,(I190/MAX(I143,1))^Assumptions!$B$426),1)</f>
        <v>1</v>
      </c>
      <c r="J207" s="119">
        <f ca="1">IFERROR(MIN(1,(J190/MAX(J143,1))^Assumptions!$B$426),1)</f>
        <v>0.99644567438166975</v>
      </c>
      <c r="K207" s="119">
        <f ca="1">IFERROR(MIN(1,(K190/MAX(K143,1))^Assumptions!$B$426),1)</f>
        <v>0.83790612029367184</v>
      </c>
      <c r="L207" s="119">
        <f ca="1">IFERROR(MIN(1,(L190/MAX(L143,1))^Assumptions!$B$426),1)</f>
        <v>0.86262577338773239</v>
      </c>
      <c r="M207" s="119">
        <f ca="1">IFERROR(MIN(1,(M190/MAX(M143,1))^Assumptions!$B$426),1)</f>
        <v>0.87954159718840164</v>
      </c>
      <c r="N207" s="119">
        <f ca="1">IFERROR(MIN(1,(N190/MAX(N143,1))^Assumptions!$B$426),1)</f>
        <v>0.87994021441189296</v>
      </c>
      <c r="O207" s="119">
        <f ca="1">IFERROR(MIN(1,(O190/MAX(O143,1))^Assumptions!$B$426),1)</f>
        <v>0.87771905926562299</v>
      </c>
      <c r="P207" s="119">
        <f ca="1">IFERROR(MIN(1,(P190/MAX(P143,1))^Assumptions!$B$426),1)</f>
        <v>0.8703547584247171</v>
      </c>
      <c r="Q207" s="119">
        <f ca="1">IFERROR(MIN(1,(Q190/MAX(Q143,1))^Assumptions!$B$426),1)</f>
        <v>0.87098484959589784</v>
      </c>
      <c r="R207" s="119">
        <f ca="1">IFERROR(MIN(1,(R190/MAX(R143,1))^Assumptions!$B$426),1)</f>
        <v>0.87131829631371094</v>
      </c>
      <c r="S207" s="119">
        <f ca="1">IFERROR(MIN(1,(S190/MAX(S143,1))^Assumptions!$B$426),1)</f>
        <v>0.87655698568567531</v>
      </c>
    </row>
    <row r="208" spans="1:19" x14ac:dyDescent="0.2">
      <c r="A208" s="22" t="s">
        <v>1100</v>
      </c>
      <c r="B208" s="8"/>
      <c r="C208" s="8"/>
      <c r="D208" s="115">
        <f t="shared" ref="D208:S208" ca="1" si="105">D22*D207</f>
        <v>2</v>
      </c>
      <c r="E208" s="115">
        <f t="shared" ca="1" si="105"/>
        <v>1.9</v>
      </c>
      <c r="F208" s="115">
        <f t="shared" ca="1" si="105"/>
        <v>1.8049999999999999</v>
      </c>
      <c r="G208" s="115">
        <f t="shared" ca="1" si="105"/>
        <v>1.7147499999999998</v>
      </c>
      <c r="H208" s="115">
        <f t="shared" ca="1" si="105"/>
        <v>1.6290125</v>
      </c>
      <c r="I208" s="115">
        <f t="shared" ca="1" si="105"/>
        <v>1.547561875</v>
      </c>
      <c r="J208" s="115">
        <f t="shared" ca="1" si="105"/>
        <v>1.4649582693726493</v>
      </c>
      <c r="K208" s="115">
        <f t="shared" ca="1" si="105"/>
        <v>1.1702821888525743</v>
      </c>
      <c r="L208" s="115">
        <f t="shared" ca="1" si="105"/>
        <v>1.1445671252439009</v>
      </c>
      <c r="M208" s="115">
        <f t="shared" ca="1" si="105"/>
        <v>1.1086611449124604</v>
      </c>
      <c r="N208" s="115">
        <f t="shared" ca="1" si="105"/>
        <v>1.0537054213794792</v>
      </c>
      <c r="O208" s="115">
        <f t="shared" ca="1" si="105"/>
        <v>0.99849336380618781</v>
      </c>
      <c r="P208" s="115">
        <f t="shared" ca="1" si="105"/>
        <v>0.9406099471199465</v>
      </c>
      <c r="Q208" s="115">
        <f t="shared" ca="1" si="105"/>
        <v>0.89422635439288911</v>
      </c>
      <c r="R208" s="115">
        <f t="shared" ca="1" si="105"/>
        <v>0.84984026391553591</v>
      </c>
      <c r="S208" s="115">
        <f t="shared" ca="1" si="105"/>
        <v>0.81220232840688356</v>
      </c>
    </row>
    <row r="209" spans="1:19" x14ac:dyDescent="0.2">
      <c r="A209" s="20" t="s">
        <v>1525</v>
      </c>
      <c r="B209" s="20"/>
      <c r="C209" s="20"/>
      <c r="D209" s="210">
        <f ca="1">D46*D48 + D91</f>
        <v>0</v>
      </c>
      <c r="E209" s="210">
        <f ca="1">D46*E48 + D91</f>
        <v>0</v>
      </c>
      <c r="F209" s="210">
        <f t="shared" ref="F209:S209" ca="1" si="106">E46*F48 + E91</f>
        <v>347135.22312563768</v>
      </c>
      <c r="G209" s="210">
        <f t="shared" ca="1" si="106"/>
        <v>818503.30620870576</v>
      </c>
      <c r="H209" s="210">
        <f t="shared" ca="1" si="106"/>
        <v>1112604094.3877168</v>
      </c>
      <c r="I209" s="210">
        <f t="shared" ca="1" si="106"/>
        <v>6224715571.1207314</v>
      </c>
      <c r="J209" s="210">
        <f t="shared" ca="1" si="106"/>
        <v>21868192669.310787</v>
      </c>
      <c r="K209" s="210">
        <f t="shared" ca="1" si="106"/>
        <v>58877601930.024696</v>
      </c>
      <c r="L209" s="210">
        <f t="shared" ca="1" si="106"/>
        <v>107977929124.15691</v>
      </c>
      <c r="M209" s="210">
        <f t="shared" ca="1" si="106"/>
        <v>145856434806.21658</v>
      </c>
      <c r="N209" s="210">
        <f t="shared" ca="1" si="106"/>
        <v>199148328934.35254</v>
      </c>
      <c r="O209" s="210">
        <f t="shared" ca="1" si="106"/>
        <v>271444690314.15872</v>
      </c>
      <c r="P209" s="210">
        <f t="shared" ca="1" si="106"/>
        <v>369851118843.63647</v>
      </c>
      <c r="Q209" s="210">
        <f t="shared" ca="1" si="106"/>
        <v>510890536720.36359</v>
      </c>
      <c r="R209" s="210">
        <f t="shared" ca="1" si="106"/>
        <v>707989483487.08997</v>
      </c>
      <c r="S209" s="210">
        <f t="shared" ca="1" si="106"/>
        <v>991322789759.49561</v>
      </c>
    </row>
    <row r="210" spans="1:19" x14ac:dyDescent="0.2">
      <c r="A210" s="20" t="s">
        <v>1526</v>
      </c>
      <c r="B210" s="20"/>
      <c r="C210" s="20"/>
      <c r="D210" s="210">
        <f ca="1">MAX(0, D191 - D209)</f>
        <v>5532217226.5834999</v>
      </c>
      <c r="E210" s="210">
        <f t="shared" ref="E210:S210" ca="1" si="107">MAX(0, E191 - E209)</f>
        <v>9133957960.8574905</v>
      </c>
      <c r="F210" s="210">
        <f t="shared" ca="1" si="107"/>
        <v>14582698081.612495</v>
      </c>
      <c r="G210" s="210">
        <f t="shared" ca="1" si="107"/>
        <v>22733699749.689159</v>
      </c>
      <c r="H210" s="210">
        <f t="shared" ca="1" si="107"/>
        <v>33705577071.246208</v>
      </c>
      <c r="I210" s="210">
        <f t="shared" ca="1" si="107"/>
        <v>46373613555.106049</v>
      </c>
      <c r="J210" s="210">
        <f t="shared" ca="1" si="107"/>
        <v>49344335839.169266</v>
      </c>
      <c r="K210" s="210">
        <f t="shared" ca="1" si="107"/>
        <v>37633109854.200081</v>
      </c>
      <c r="L210" s="210">
        <f t="shared" ca="1" si="107"/>
        <v>22999555930.601562</v>
      </c>
      <c r="M210" s="210">
        <f t="shared" ca="1" si="107"/>
        <v>32240366505.828461</v>
      </c>
      <c r="N210" s="210">
        <f t="shared" ca="1" si="107"/>
        <v>43673738682.101349</v>
      </c>
      <c r="O210" s="210">
        <f t="shared" ca="1" si="107"/>
        <v>60881689610.338287</v>
      </c>
      <c r="P210" s="210">
        <f t="shared" ca="1" si="107"/>
        <v>87394390140.049927</v>
      </c>
      <c r="Q210" s="210">
        <f t="shared" ca="1" si="107"/>
        <v>122926849320.53485</v>
      </c>
      <c r="R210" s="210">
        <f t="shared" ca="1" si="107"/>
        <v>179711961412.77014</v>
      </c>
      <c r="S210" s="210">
        <f t="shared" ca="1" si="107"/>
        <v>269701390195.20435</v>
      </c>
    </row>
    <row r="211" spans="1:19" x14ac:dyDescent="0.2">
      <c r="A211" s="24" t="s">
        <v>1527</v>
      </c>
      <c r="B211" s="8"/>
      <c r="C211" s="8"/>
      <c r="D211" s="120">
        <f>Assumptions!$B$441</f>
        <v>0.35</v>
      </c>
      <c r="E211" s="120">
        <f>Assumptions!$B$441</f>
        <v>0.35</v>
      </c>
      <c r="F211" s="120">
        <f>Assumptions!$B$441</f>
        <v>0.35</v>
      </c>
      <c r="G211" s="120">
        <f>Assumptions!$B$441</f>
        <v>0.35</v>
      </c>
      <c r="H211" s="120">
        <f>Assumptions!$B$441</f>
        <v>0.35</v>
      </c>
      <c r="I211" s="120">
        <f>Assumptions!$B$441</f>
        <v>0.35</v>
      </c>
      <c r="J211" s="120">
        <f>Assumptions!$B$441</f>
        <v>0.35</v>
      </c>
      <c r="K211" s="120">
        <f>Assumptions!$B$441</f>
        <v>0.35</v>
      </c>
      <c r="L211" s="120">
        <f>Assumptions!$B$441</f>
        <v>0.35</v>
      </c>
      <c r="M211" s="120">
        <f>Assumptions!$B$441</f>
        <v>0.35</v>
      </c>
      <c r="N211" s="120">
        <f>Assumptions!$B$441</f>
        <v>0.35</v>
      </c>
      <c r="O211" s="120">
        <f>Assumptions!$B$441</f>
        <v>0.35</v>
      </c>
      <c r="P211" s="120">
        <f>Assumptions!$B$441</f>
        <v>0.35</v>
      </c>
      <c r="Q211" s="120">
        <f>Assumptions!$B$441</f>
        <v>0.35</v>
      </c>
      <c r="R211" s="120">
        <f>Assumptions!$B$441</f>
        <v>0.35</v>
      </c>
      <c r="S211" s="120">
        <f>Assumptions!$B$441</f>
        <v>0.35</v>
      </c>
    </row>
    <row r="212" spans="1:19" x14ac:dyDescent="0.2">
      <c r="A212" s="24" t="s">
        <v>1390</v>
      </c>
      <c r="B212" s="8"/>
      <c r="C212" s="8"/>
      <c r="D212" s="70">
        <v>0</v>
      </c>
      <c r="E212" s="66">
        <f ca="1">Assumptions!$B$441*D153</f>
        <v>169.07274999999998</v>
      </c>
      <c r="F212" s="66">
        <f ca="1">Assumptions!$B$441*E153</f>
        <v>1163.5920371898906</v>
      </c>
      <c r="G212" s="66">
        <f ca="1">Assumptions!$B$441*F153</f>
        <v>2890.3326213273131</v>
      </c>
      <c r="H212" s="66">
        <f ca="1">Assumptions!$B$441*G153</f>
        <v>3781.3293632783261</v>
      </c>
      <c r="I212" s="66">
        <f ca="1">Assumptions!$B$441*H153</f>
        <v>6812.756209287928</v>
      </c>
      <c r="J212" s="66">
        <f ca="1">Assumptions!$B$441*I153</f>
        <v>16619.598157682718</v>
      </c>
      <c r="K212" s="66">
        <f ca="1">Assumptions!$B$441*J153</f>
        <v>37028.580998035271</v>
      </c>
      <c r="L212" s="66">
        <f ca="1">Assumptions!$B$441*K153</f>
        <v>56082.38050785457</v>
      </c>
      <c r="M212" s="66">
        <f ca="1">Assumptions!$B$441*L153</f>
        <v>64725.912006291706</v>
      </c>
      <c r="N212" s="66">
        <f ca="1">Assumptions!$B$441*M153</f>
        <v>80064.962093034643</v>
      </c>
      <c r="O212" s="66">
        <f ca="1">Assumptions!$B$441*N153</f>
        <v>108340.19547369667</v>
      </c>
      <c r="P212" s="66">
        <f ca="1">Assumptions!$B$441*O153</f>
        <v>155183.45618936472</v>
      </c>
      <c r="Q212" s="66">
        <f ca="1">Assumptions!$B$441*P153</f>
        <v>214665.53091113843</v>
      </c>
      <c r="R212" s="66">
        <f ca="1">Assumptions!$B$441*Q153</f>
        <v>273819.27845710446</v>
      </c>
      <c r="S212" s="66">
        <f ca="1">Assumptions!$B$441*R153</f>
        <v>359825.72917377326</v>
      </c>
    </row>
    <row r="213" spans="1:19" x14ac:dyDescent="0.2">
      <c r="A213" s="24" t="s">
        <v>1391</v>
      </c>
      <c r="B213" s="8"/>
      <c r="C213" s="8"/>
      <c r="D213" s="66">
        <f>MIN(SUM($D$212:D212),SUM($D$212:D212)/Assumptions!$B$22)</f>
        <v>0</v>
      </c>
      <c r="E213" s="66">
        <f ca="1">MIN(SUM($D$212:E212),SUM($D$212:E212)/Assumptions!$B$22)</f>
        <v>11.271516666666665</v>
      </c>
      <c r="F213" s="66">
        <f ca="1">MIN(SUM($D$212:F212),SUM($D$212:F212)/Assumptions!$B$22)</f>
        <v>88.844319145992714</v>
      </c>
      <c r="G213" s="66">
        <f ca="1">MIN(SUM($D$212:G212),SUM($D$212:G212)/Assumptions!$B$22)</f>
        <v>281.53316056781358</v>
      </c>
      <c r="H213" s="66">
        <f ca="1">MIN(SUM($D$212:H212),SUM($D$212:H212)/Assumptions!$B$22)</f>
        <v>533.62178478636861</v>
      </c>
      <c r="I213" s="66">
        <f ca="1">MIN(SUM($D$212:I212),SUM($D$212:I212)/Assumptions!$B$22)</f>
        <v>987.80553207223056</v>
      </c>
      <c r="J213" s="66">
        <f ca="1">MIN(SUM($D$212:J212),SUM($D$212:J212)/Assumptions!$B$22)</f>
        <v>2095.7787425844117</v>
      </c>
      <c r="K213" s="66">
        <f ca="1">MIN(SUM($D$212:K212),SUM($D$212:K212)/Assumptions!$B$22)</f>
        <v>4564.3508091200965</v>
      </c>
      <c r="L213" s="66">
        <f ca="1">MIN(SUM($D$212:L212),SUM($D$212:L212)/Assumptions!$B$22)</f>
        <v>8303.1761763104023</v>
      </c>
      <c r="M213" s="66">
        <f ca="1">MIN(SUM($D$212:M212),SUM($D$212:M212)/Assumptions!$B$22)</f>
        <v>12618.23697672985</v>
      </c>
      <c r="N213" s="66">
        <f ca="1">MIN(SUM($D$212:N212),SUM($D$212:N212)/Assumptions!$B$22)</f>
        <v>17955.901116265493</v>
      </c>
      <c r="O213" s="66">
        <f ca="1">MIN(SUM($D$212:O212),SUM($D$212:O212)/Assumptions!$B$22)</f>
        <v>25178.580814511937</v>
      </c>
      <c r="P213" s="66">
        <f ca="1">MIN(SUM($D$212:P212),SUM($D$212:P212)/Assumptions!$B$22)</f>
        <v>35524.144560469584</v>
      </c>
      <c r="Q213" s="66">
        <f ca="1">MIN(SUM($D$212:Q212),SUM($D$212:Q212)/Assumptions!$B$22)</f>
        <v>49835.179954545478</v>
      </c>
      <c r="R213" s="66">
        <f ca="1">MIN(SUM($D$212:R212),SUM($D$212:R212)/Assumptions!$B$22)</f>
        <v>68089.798518352443</v>
      </c>
      <c r="S213" s="66">
        <f ca="1">MIN(SUM($D$212:S212),SUM($D$212:S212)/Assumptions!$B$22)</f>
        <v>92078.180463270663</v>
      </c>
    </row>
    <row r="214" spans="1:19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x14ac:dyDescent="0.2">
      <c r="A215" s="24" t="s">
        <v>1937</v>
      </c>
      <c r="B215" s="8"/>
      <c r="C215" s="8"/>
      <c r="D215" s="66">
        <f>Assumptions!$B$336/D26*1000</f>
        <v>62.377287525146635</v>
      </c>
      <c r="E215" s="66">
        <f>Assumptions!$B$336/E26*1000</f>
        <v>65.002032143396804</v>
      </c>
      <c r="F215" s="66">
        <f>Assumptions!$B$336/F26*1000</f>
        <v>67.543618339286539</v>
      </c>
      <c r="G215" s="66">
        <f>Assumptions!$B$336/G26*1000</f>
        <v>70.026027901162792</v>
      </c>
      <c r="H215" s="66">
        <f>Assumptions!$B$336/H26*1000</f>
        <v>72.469160497664149</v>
      </c>
      <c r="I215" s="66">
        <f>Assumptions!$B$336/I26*1000</f>
        <v>74.889878332265098</v>
      </c>
      <c r="J215" s="66">
        <f>Assumptions!$B$336/J26*1000</f>
        <v>77.30277130829559</v>
      </c>
      <c r="K215" s="66">
        <f>Assumptions!$B$336/K26*1000</f>
        <v>79.720729212670051</v>
      </c>
      <c r="L215" s="66">
        <f>Assumptions!$B$336/L26*1000</f>
        <v>82.155378565519712</v>
      </c>
      <c r="M215" s="66">
        <f>Assumptions!$B$336/M26*1000</f>
        <v>84.617423393952564</v>
      </c>
      <c r="N215" s="66">
        <f>Assumptions!$B$336/N26*1000</f>
        <v>87.116917226970713</v>
      </c>
      <c r="O215" s="66">
        <f>Assumptions!$B$336/O26*1000</f>
        <v>89.663485688056667</v>
      </c>
      <c r="P215" s="66">
        <f>Assumptions!$B$336/P26*1000</f>
        <v>92.26651373873041</v>
      </c>
      <c r="Q215" s="66">
        <f>Assumptions!$B$336/Q26*1000</f>
        <v>94.935308008796</v>
      </c>
      <c r="R215" s="66">
        <f>Assumptions!$B$336/R26*1000</f>
        <v>97.679242175774945</v>
      </c>
      <c r="S215" s="66">
        <f>Assumptions!$B$336/S26*1000</f>
        <v>100.50789166835139</v>
      </c>
    </row>
    <row r="216" spans="1:19" x14ac:dyDescent="0.2">
      <c r="A216" s="24" t="s">
        <v>1930</v>
      </c>
      <c r="D216">
        <f>Assumptions!$B$478*Assumptions!$B$476*0.00000005670374*(Assumptions!$B$474-Assumptions!$B$475)^4-Assumptions!$B$477</f>
        <v>1421.0545214353076</v>
      </c>
      <c r="E216">
        <f>Assumptions!$B$478*Assumptions!$B$476*0.00000005670374*(Assumptions!$B$474-Assumptions!$B$475)^4-Assumptions!$B$477</f>
        <v>1421.0545214353076</v>
      </c>
      <c r="F216">
        <f>Assumptions!$B$478*Assumptions!$B$476*0.00000005670374*(Assumptions!$B$474-Assumptions!$B$475)^4-Assumptions!$B$477</f>
        <v>1421.0545214353076</v>
      </c>
      <c r="G216">
        <f>Assumptions!$B$478*Assumptions!$B$476*0.00000005670374*(Assumptions!$B$474-Assumptions!$B$475)^4-Assumptions!$B$477</f>
        <v>1421.0545214353076</v>
      </c>
      <c r="H216">
        <f>Assumptions!$B$478*Assumptions!$B$476*0.00000005670374*(Assumptions!$B$474-Assumptions!$B$475)^4-Assumptions!$B$477</f>
        <v>1421.0545214353076</v>
      </c>
      <c r="I216">
        <f>Assumptions!$B$478*Assumptions!$B$476*0.00000005670374*(Assumptions!$B$474-Assumptions!$B$475)^4-Assumptions!$B$477</f>
        <v>1421.0545214353076</v>
      </c>
      <c r="J216">
        <f>Assumptions!$B$478*Assumptions!$B$476*0.00000005670374*(Assumptions!$B$474-Assumptions!$B$475)^4-Assumptions!$B$477</f>
        <v>1421.0545214353076</v>
      </c>
      <c r="K216">
        <f>Assumptions!$B$478*Assumptions!$B$476*0.00000005670374*(Assumptions!$B$474-Assumptions!$B$475)^4-Assumptions!$B$477</f>
        <v>1421.0545214353076</v>
      </c>
      <c r="L216">
        <f>Assumptions!$B$478*Assumptions!$B$476*0.00000005670374*(Assumptions!$B$474-Assumptions!$B$475)^4-Assumptions!$B$477</f>
        <v>1421.0545214353076</v>
      </c>
      <c r="M216">
        <f>Assumptions!$B$478*Assumptions!$B$476*0.00000005670374*(Assumptions!$B$474-Assumptions!$B$475)^4-Assumptions!$B$477</f>
        <v>1421.0545214353076</v>
      </c>
      <c r="N216">
        <f>Assumptions!$B$478*Assumptions!$B$476*0.00000005670374*(Assumptions!$B$474-Assumptions!$B$475)^4-Assumptions!$B$477</f>
        <v>1421.0545214353076</v>
      </c>
      <c r="O216">
        <f>Assumptions!$B$478*Assumptions!$B$476*0.00000005670374*(Assumptions!$B$474-Assumptions!$B$475)^4-Assumptions!$B$477</f>
        <v>1421.0545214353076</v>
      </c>
      <c r="P216">
        <f>Assumptions!$B$478*Assumptions!$B$476*0.00000005670374*(Assumptions!$B$474-Assumptions!$B$475)^4-Assumptions!$B$477</f>
        <v>1421.0545214353076</v>
      </c>
      <c r="Q216">
        <f>Assumptions!$B$478*Assumptions!$B$476*0.00000005670374*(Assumptions!$B$474-Assumptions!$B$475)^4-Assumptions!$B$477</f>
        <v>1421.0545214353076</v>
      </c>
      <c r="R216">
        <f>Assumptions!$B$478*Assumptions!$B$476*0.00000005670374*(Assumptions!$B$474-Assumptions!$B$475)^4-Assumptions!$B$477</f>
        <v>1421.0545214353076</v>
      </c>
      <c r="S216">
        <f>Assumptions!$B$478*Assumptions!$B$476*0.00000005670374*(Assumptions!$B$474-Assumptions!$B$475)^4-Assumptions!$B$477</f>
        <v>1421.0545214353076</v>
      </c>
    </row>
    <row r="217" spans="1:19" x14ac:dyDescent="0.2">
      <c r="A217" s="24" t="s">
        <v>1931</v>
      </c>
      <c r="D217">
        <f>Assumptions!$B$336*1000/D216</f>
        <v>98.518387499021372</v>
      </c>
      <c r="E217">
        <f>Assumptions!$B$336*1000/E216</f>
        <v>98.518387499021372</v>
      </c>
      <c r="F217">
        <f>Assumptions!$B$336*1000/F216</f>
        <v>98.518387499021372</v>
      </c>
      <c r="G217">
        <f>Assumptions!$B$336*1000/G216</f>
        <v>98.518387499021372</v>
      </c>
      <c r="H217">
        <f>Assumptions!$B$336*1000/H216</f>
        <v>98.518387499021372</v>
      </c>
      <c r="I217">
        <f>Assumptions!$B$336*1000/I216</f>
        <v>98.518387499021372</v>
      </c>
      <c r="J217">
        <f>Assumptions!$B$336*1000/J216</f>
        <v>98.518387499021372</v>
      </c>
      <c r="K217">
        <f>Assumptions!$B$336*1000/K216</f>
        <v>98.518387499021372</v>
      </c>
      <c r="L217">
        <f>Assumptions!$B$336*1000/L216</f>
        <v>98.518387499021372</v>
      </c>
      <c r="M217">
        <f>Assumptions!$B$336*1000/M216</f>
        <v>98.518387499021372</v>
      </c>
      <c r="N217">
        <f>Assumptions!$B$336*1000/N216</f>
        <v>98.518387499021372</v>
      </c>
      <c r="O217">
        <f>Assumptions!$B$336*1000/O216</f>
        <v>98.518387499021372</v>
      </c>
      <c r="P217">
        <f>Assumptions!$B$336*1000/P216</f>
        <v>98.518387499021372</v>
      </c>
      <c r="Q217">
        <f>Assumptions!$B$336*1000/Q216</f>
        <v>98.518387499021372</v>
      </c>
      <c r="R217">
        <f>Assumptions!$B$336*1000/R216</f>
        <v>98.518387499021372</v>
      </c>
      <c r="S217">
        <f>Assumptions!$B$336*1000/S216</f>
        <v>98.518387499021372</v>
      </c>
    </row>
    <row r="218" spans="1:19" x14ac:dyDescent="0.2">
      <c r="A218" s="24" t="s">
        <v>1932</v>
      </c>
      <c r="D218">
        <f>Assumptions!$B$479+(Assumptions!$B$480-Assumptions!$B$479)*MIN(1,D$5/(Assumptions!$B$453-2025))</f>
        <v>5.5</v>
      </c>
      <c r="E218">
        <f>Assumptions!$B$479+(Assumptions!$B$480-Assumptions!$B$479)*MIN(1,E$5/(Assumptions!$B$453-2025))</f>
        <v>5.3666666666666663</v>
      </c>
      <c r="F218">
        <f>Assumptions!$B$479+(Assumptions!$B$480-Assumptions!$B$479)*MIN(1,F$5/(Assumptions!$B$453-2025))</f>
        <v>5.2333333333333334</v>
      </c>
      <c r="G218">
        <f>Assumptions!$B$479+(Assumptions!$B$480-Assumptions!$B$479)*MIN(1,G$5/(Assumptions!$B$453-2025))</f>
        <v>5.0999999999999996</v>
      </c>
      <c r="H218">
        <f>Assumptions!$B$479+(Assumptions!$B$480-Assumptions!$B$479)*MIN(1,H$5/(Assumptions!$B$453-2025))</f>
        <v>4.9666666666666668</v>
      </c>
      <c r="I218">
        <f>Assumptions!$B$479+(Assumptions!$B$480-Assumptions!$B$479)*MIN(1,I$5/(Assumptions!$B$453-2025))</f>
        <v>4.833333333333333</v>
      </c>
      <c r="J218">
        <f>Assumptions!$B$479+(Assumptions!$B$480-Assumptions!$B$479)*MIN(1,J$5/(Assumptions!$B$453-2025))</f>
        <v>4.7</v>
      </c>
      <c r="K218">
        <f>Assumptions!$B$479+(Assumptions!$B$480-Assumptions!$B$479)*MIN(1,K$5/(Assumptions!$B$453-2025))</f>
        <v>4.5666666666666664</v>
      </c>
      <c r="L218">
        <f>Assumptions!$B$479+(Assumptions!$B$480-Assumptions!$B$479)*MIN(1,L$5/(Assumptions!$B$453-2025))</f>
        <v>4.4333333333333336</v>
      </c>
      <c r="M218">
        <f>Assumptions!$B$479+(Assumptions!$B$480-Assumptions!$B$479)*MIN(1,M$5/(Assumptions!$B$453-2025))</f>
        <v>4.3</v>
      </c>
      <c r="N218">
        <f>Assumptions!$B$479+(Assumptions!$B$480-Assumptions!$B$479)*MIN(1,N$5/(Assumptions!$B$453-2025))</f>
        <v>4.166666666666667</v>
      </c>
      <c r="O218">
        <f>Assumptions!$B$479+(Assumptions!$B$480-Assumptions!$B$479)*MIN(1,O$5/(Assumptions!$B$453-2025))</f>
        <v>4.0333333333333332</v>
      </c>
      <c r="P218">
        <f>Assumptions!$B$479+(Assumptions!$B$480-Assumptions!$B$479)*MIN(1,P$5/(Assumptions!$B$453-2025))</f>
        <v>3.9</v>
      </c>
      <c r="Q218">
        <f>Assumptions!$B$479+(Assumptions!$B$480-Assumptions!$B$479)*MIN(1,Q$5/(Assumptions!$B$453-2025))</f>
        <v>3.7666666666666666</v>
      </c>
      <c r="R218">
        <f>Assumptions!$B$479+(Assumptions!$B$480-Assumptions!$B$479)*MIN(1,R$5/(Assumptions!$B$453-2025))</f>
        <v>3.6333333333333333</v>
      </c>
      <c r="S218">
        <f>Assumptions!$B$479+(Assumptions!$B$480-Assumptions!$B$479)*MIN(1,S$5/(Assumptions!$B$453-2025))</f>
        <v>3.5</v>
      </c>
    </row>
    <row r="219" spans="1:19" x14ac:dyDescent="0.2">
      <c r="A219" s="24" t="s">
        <v>1933</v>
      </c>
      <c r="D219">
        <f>Assumptions!$B$481+(Assumptions!$B$482-Assumptions!$B$481)*MIN(1,D$5/(Assumptions!$B$453-2025))</f>
        <v>2.5</v>
      </c>
      <c r="E219">
        <f>Assumptions!$B$481+(Assumptions!$B$482-Assumptions!$B$481)*MIN(1,E$5/(Assumptions!$B$453-2025))</f>
        <v>2.4</v>
      </c>
      <c r="F219">
        <f>Assumptions!$B$481+(Assumptions!$B$482-Assumptions!$B$481)*MIN(1,F$5/(Assumptions!$B$453-2025))</f>
        <v>2.2999999999999998</v>
      </c>
      <c r="G219">
        <f>Assumptions!$B$481+(Assumptions!$B$482-Assumptions!$B$481)*MIN(1,G$5/(Assumptions!$B$453-2025))</f>
        <v>2.2000000000000002</v>
      </c>
      <c r="H219">
        <f>Assumptions!$B$481+(Assumptions!$B$482-Assumptions!$B$481)*MIN(1,H$5/(Assumptions!$B$453-2025))</f>
        <v>2.1</v>
      </c>
      <c r="I219">
        <f>Assumptions!$B$481+(Assumptions!$B$482-Assumptions!$B$481)*MIN(1,I$5/(Assumptions!$B$453-2025))</f>
        <v>2</v>
      </c>
      <c r="J219">
        <f>Assumptions!$B$481+(Assumptions!$B$482-Assumptions!$B$481)*MIN(1,J$5/(Assumptions!$B$453-2025))</f>
        <v>1.9</v>
      </c>
      <c r="K219">
        <f>Assumptions!$B$481+(Assumptions!$B$482-Assumptions!$B$481)*MIN(1,K$5/(Assumptions!$B$453-2025))</f>
        <v>1.8</v>
      </c>
      <c r="L219">
        <f>Assumptions!$B$481+(Assumptions!$B$482-Assumptions!$B$481)*MIN(1,L$5/(Assumptions!$B$453-2025))</f>
        <v>1.7</v>
      </c>
      <c r="M219">
        <f>Assumptions!$B$481+(Assumptions!$B$482-Assumptions!$B$481)*MIN(1,M$5/(Assumptions!$B$453-2025))</f>
        <v>1.6</v>
      </c>
      <c r="N219">
        <f>Assumptions!$B$481+(Assumptions!$B$482-Assumptions!$B$481)*MIN(1,N$5/(Assumptions!$B$453-2025))</f>
        <v>1.5</v>
      </c>
      <c r="O219">
        <f>Assumptions!$B$481+(Assumptions!$B$482-Assumptions!$B$481)*MIN(1,O$5/(Assumptions!$B$453-2025))</f>
        <v>1.4000000000000001</v>
      </c>
      <c r="P219">
        <f>Assumptions!$B$481+(Assumptions!$B$482-Assumptions!$B$481)*MIN(1,P$5/(Assumptions!$B$453-2025))</f>
        <v>1.2999999999999998</v>
      </c>
      <c r="Q219">
        <f>Assumptions!$B$481+(Assumptions!$B$482-Assumptions!$B$481)*MIN(1,Q$5/(Assumptions!$B$453-2025))</f>
        <v>1.2</v>
      </c>
      <c r="R219">
        <f>Assumptions!$B$481+(Assumptions!$B$482-Assumptions!$B$481)*MIN(1,R$5/(Assumptions!$B$453-2025))</f>
        <v>1.1000000000000001</v>
      </c>
      <c r="S219">
        <f>Assumptions!$B$481+(Assumptions!$B$482-Assumptions!$B$481)*MIN(1,S$5/(Assumptions!$B$453-2025))</f>
        <v>1</v>
      </c>
    </row>
    <row r="220" spans="1:19" x14ac:dyDescent="0.2">
      <c r="A220" s="24" t="s">
        <v>1934</v>
      </c>
      <c r="D220">
        <f>Assumptions!$B$484+(Assumptions!$B$485-Assumptions!$B$484)*MIN(1,D$5/(Assumptions!$B$453-2025))</f>
        <v>180</v>
      </c>
      <c r="E220">
        <f>Assumptions!$B$484+(Assumptions!$B$485-Assumptions!$B$484)*MIN(1,E$5/(Assumptions!$B$453-2025))</f>
        <v>196</v>
      </c>
      <c r="F220">
        <f>Assumptions!$B$484+(Assumptions!$B$485-Assumptions!$B$484)*MIN(1,F$5/(Assumptions!$B$453-2025))</f>
        <v>212</v>
      </c>
      <c r="G220">
        <f>Assumptions!$B$484+(Assumptions!$B$485-Assumptions!$B$484)*MIN(1,G$5/(Assumptions!$B$453-2025))</f>
        <v>228</v>
      </c>
      <c r="H220">
        <f>Assumptions!$B$484+(Assumptions!$B$485-Assumptions!$B$484)*MIN(1,H$5/(Assumptions!$B$453-2025))</f>
        <v>244</v>
      </c>
      <c r="I220">
        <f>Assumptions!$B$484+(Assumptions!$B$485-Assumptions!$B$484)*MIN(1,I$5/(Assumptions!$B$453-2025))</f>
        <v>260</v>
      </c>
      <c r="J220">
        <f>Assumptions!$B$484+(Assumptions!$B$485-Assumptions!$B$484)*MIN(1,J$5/(Assumptions!$B$453-2025))</f>
        <v>276</v>
      </c>
      <c r="K220">
        <f>Assumptions!$B$484+(Assumptions!$B$485-Assumptions!$B$484)*MIN(1,K$5/(Assumptions!$B$453-2025))</f>
        <v>292</v>
      </c>
      <c r="L220">
        <f>Assumptions!$B$484+(Assumptions!$B$485-Assumptions!$B$484)*MIN(1,L$5/(Assumptions!$B$453-2025))</f>
        <v>308</v>
      </c>
      <c r="M220">
        <f>Assumptions!$B$484+(Assumptions!$B$485-Assumptions!$B$484)*MIN(1,M$5/(Assumptions!$B$453-2025))</f>
        <v>324</v>
      </c>
      <c r="N220">
        <f>Assumptions!$B$484+(Assumptions!$B$485-Assumptions!$B$484)*MIN(1,N$5/(Assumptions!$B$453-2025))</f>
        <v>340</v>
      </c>
      <c r="O220">
        <f>Assumptions!$B$484+(Assumptions!$B$485-Assumptions!$B$484)*MIN(1,O$5/(Assumptions!$B$453-2025))</f>
        <v>356</v>
      </c>
      <c r="P220">
        <f>Assumptions!$B$484+(Assumptions!$B$485-Assumptions!$B$484)*MIN(1,P$5/(Assumptions!$B$453-2025))</f>
        <v>372</v>
      </c>
      <c r="Q220">
        <f>Assumptions!$B$484+(Assumptions!$B$485-Assumptions!$B$484)*MIN(1,Q$5/(Assumptions!$B$453-2025))</f>
        <v>388</v>
      </c>
      <c r="R220">
        <f>Assumptions!$B$484+(Assumptions!$B$485-Assumptions!$B$484)*MIN(1,R$5/(Assumptions!$B$453-2025))</f>
        <v>404</v>
      </c>
      <c r="S220">
        <f>Assumptions!$B$484+(Assumptions!$B$485-Assumptions!$B$484)*MIN(1,S$5/(Assumptions!$B$453-2025))</f>
        <v>420</v>
      </c>
    </row>
    <row r="221" spans="1:19" x14ac:dyDescent="0.2">
      <c r="A221" s="24" t="s">
        <v>1935</v>
      </c>
      <c r="D221">
        <f>Assumptions!$B$336*1000/D220</f>
        <v>777.77777777777783</v>
      </c>
      <c r="E221">
        <f>Assumptions!$B$336*1000/E220</f>
        <v>714.28571428571433</v>
      </c>
      <c r="F221">
        <f>Assumptions!$B$336*1000/F220</f>
        <v>660.37735849056605</v>
      </c>
      <c r="G221">
        <f>Assumptions!$B$336*1000/G220</f>
        <v>614.03508771929819</v>
      </c>
      <c r="H221">
        <f>Assumptions!$B$336*1000/H220</f>
        <v>573.77049180327867</v>
      </c>
      <c r="I221">
        <f>Assumptions!$B$336*1000/I220</f>
        <v>538.46153846153845</v>
      </c>
      <c r="J221">
        <f>Assumptions!$B$336*1000/J220</f>
        <v>507.24637681159419</v>
      </c>
      <c r="K221">
        <f>Assumptions!$B$336*1000/K220</f>
        <v>479.45205479452056</v>
      </c>
      <c r="L221">
        <f>Assumptions!$B$336*1000/L220</f>
        <v>454.54545454545456</v>
      </c>
      <c r="M221">
        <f>Assumptions!$B$336*1000/M220</f>
        <v>432.09876543209879</v>
      </c>
      <c r="N221">
        <f>Assumptions!$B$336*1000/N220</f>
        <v>411.76470588235293</v>
      </c>
      <c r="O221">
        <f>Assumptions!$B$336*1000/O220</f>
        <v>393.25842696629212</v>
      </c>
      <c r="P221">
        <f>Assumptions!$B$336*1000/P220</f>
        <v>376.3440860215054</v>
      </c>
      <c r="Q221">
        <f>Assumptions!$B$336*1000/Q220</f>
        <v>360.82474226804123</v>
      </c>
      <c r="R221">
        <f>Assumptions!$B$336*1000/R220</f>
        <v>346.53465346534654</v>
      </c>
      <c r="S221">
        <f>Assumptions!$B$336*1000/S220</f>
        <v>333.33333333333331</v>
      </c>
    </row>
    <row r="222" spans="1:19" x14ac:dyDescent="0.2">
      <c r="A222" s="24" t="s">
        <v>1936</v>
      </c>
      <c r="D222">
        <f>D221+Assumptions!$B$486</f>
        <v>1337.7777777777778</v>
      </c>
      <c r="E222">
        <f>E221+Assumptions!$B$486</f>
        <v>1274.2857142857142</v>
      </c>
      <c r="F222">
        <f>F221+Assumptions!$B$486</f>
        <v>1220.3773584905662</v>
      </c>
      <c r="G222">
        <f>G221+Assumptions!$B$486</f>
        <v>1174.0350877192982</v>
      </c>
      <c r="H222">
        <f>H221+Assumptions!$B$486</f>
        <v>1133.7704918032787</v>
      </c>
      <c r="I222">
        <f>I221+Assumptions!$B$486</f>
        <v>1098.4615384615386</v>
      </c>
      <c r="J222">
        <f>J221+Assumptions!$B$486</f>
        <v>1067.2463768115942</v>
      </c>
      <c r="K222">
        <f>K221+Assumptions!$B$486</f>
        <v>1039.4520547945206</v>
      </c>
      <c r="L222">
        <f>L221+Assumptions!$B$486</f>
        <v>1014.5454545454545</v>
      </c>
      <c r="M222">
        <f>M221+Assumptions!$B$486</f>
        <v>992.09876543209884</v>
      </c>
      <c r="N222">
        <f>N221+Assumptions!$B$486</f>
        <v>971.76470588235293</v>
      </c>
      <c r="O222">
        <f>O221+Assumptions!$B$486</f>
        <v>953.25842696629206</v>
      </c>
      <c r="P222">
        <f>P221+Assumptions!$B$486</f>
        <v>936.3440860215054</v>
      </c>
      <c r="Q222">
        <f>Q221+Assumptions!$B$486</f>
        <v>920.82474226804129</v>
      </c>
      <c r="R222">
        <f>R221+Assumptions!$B$486</f>
        <v>906.53465346534654</v>
      </c>
      <c r="S222">
        <f>S221+Assumptions!$B$486</f>
        <v>893.33333333333326</v>
      </c>
    </row>
    <row r="224" spans="1:19" x14ac:dyDescent="0.2">
      <c r="A224" s="241" t="s">
        <v>2082</v>
      </c>
    </row>
    <row r="225" spans="1:19" x14ac:dyDescent="0.2">
      <c r="A225" s="24" t="s">
        <v>2083</v>
      </c>
      <c r="D225" s="56">
        <f>Assumptions!$B$497</f>
        <v>100</v>
      </c>
      <c r="E225" s="56">
        <f>Assumptions!$B$497*(1+Assumptions!$B$498)^E$5</f>
        <v>122.10000000000001</v>
      </c>
      <c r="F225" s="56">
        <f>Assumptions!$B$497*(1+Assumptions!$B$498)^F$5</f>
        <v>149.08410000000003</v>
      </c>
      <c r="G225" s="56">
        <f>Assumptions!$B$497*(1+Assumptions!$B$498)^G$5</f>
        <v>182.03168610000006</v>
      </c>
      <c r="H225" s="56">
        <f>Assumptions!$B$497*(1+Assumptions!$B$498)^H$5</f>
        <v>222.26068872810009</v>
      </c>
      <c r="I225" s="56">
        <f>Assumptions!$B$497*(1+Assumptions!$B$498)^I$5</f>
        <v>271.38030093701025</v>
      </c>
      <c r="J225" s="56">
        <f>Assumptions!$B$497*(1+Assumptions!$B$498)^J$5</f>
        <v>331.35534744408955</v>
      </c>
      <c r="K225" s="56">
        <f>Assumptions!$B$497*(1+Assumptions!$B$498)^K$5</f>
        <v>404.58487922923337</v>
      </c>
      <c r="L225" s="56">
        <f>Assumptions!$B$497*(1+Assumptions!$B$498)^L$5</f>
        <v>493.99813753889401</v>
      </c>
      <c r="M225" s="56">
        <f>Assumptions!$B$497*(1+Assumptions!$B$498)^M$5</f>
        <v>603.17172593498958</v>
      </c>
      <c r="N225" s="56">
        <f>Assumptions!$B$497*(1+Assumptions!$B$498)^N$5</f>
        <v>736.47267736662241</v>
      </c>
      <c r="O225" s="56">
        <f>Assumptions!$B$497*(1+Assumptions!$B$498)^O$5</f>
        <v>899.23313906464591</v>
      </c>
      <c r="P225" s="56">
        <f>Assumptions!$B$497*(1+Assumptions!$B$498)^P$5</f>
        <v>1097.963662797933</v>
      </c>
      <c r="Q225" s="56">
        <f>Assumptions!$B$497*(1+Assumptions!$B$498)^Q$5</f>
        <v>1340.6136322762763</v>
      </c>
      <c r="R225" s="56">
        <f>Assumptions!$B$497*(1+Assumptions!$B$498)^R$5</f>
        <v>1636.8892450093338</v>
      </c>
      <c r="S225" s="56">
        <f>Assumptions!$B$497*(1+Assumptions!$B$498)^S$5</f>
        <v>1998.6417681563964</v>
      </c>
    </row>
    <row r="226" spans="1:19" x14ac:dyDescent="0.2">
      <c r="A226" s="24" t="s">
        <v>2084</v>
      </c>
      <c r="D226" s="62">
        <f>Assumptions!$B$499</f>
        <v>0</v>
      </c>
      <c r="E226" s="62">
        <f>Assumptions!$B$499*(1+Assumptions!$B$500)^E$5</f>
        <v>0</v>
      </c>
      <c r="F226" s="62">
        <f>Assumptions!$B$499*(1+Assumptions!$B$500)^F$5</f>
        <v>0</v>
      </c>
      <c r="G226" s="62">
        <f>Assumptions!$B$499*(1+Assumptions!$B$500)^G$5</f>
        <v>0</v>
      </c>
      <c r="H226" s="62">
        <f>Assumptions!$B$499*(1+Assumptions!$B$500)^H$5</f>
        <v>0</v>
      </c>
      <c r="I226" s="62">
        <f>Assumptions!$B$499*(1+Assumptions!$B$500)^I$5</f>
        <v>0</v>
      </c>
      <c r="J226" s="62">
        <f>Assumptions!$B$499*(1+Assumptions!$B$500)^J$5</f>
        <v>0</v>
      </c>
      <c r="K226" s="62">
        <f>Assumptions!$B$499*(1+Assumptions!$B$500)^K$5</f>
        <v>0</v>
      </c>
      <c r="L226" s="62">
        <f>Assumptions!$B$499*(1+Assumptions!$B$500)^L$5</f>
        <v>0</v>
      </c>
      <c r="M226" s="62">
        <f>Assumptions!$B$499*(1+Assumptions!$B$500)^M$5</f>
        <v>0</v>
      </c>
      <c r="N226" s="62">
        <f>Assumptions!$B$499*(1+Assumptions!$B$500)^N$5</f>
        <v>0</v>
      </c>
      <c r="O226" s="62">
        <f>Assumptions!$B$499*(1+Assumptions!$B$500)^O$5</f>
        <v>0</v>
      </c>
      <c r="P226" s="62">
        <f>Assumptions!$B$499*(1+Assumptions!$B$500)^P$5</f>
        <v>0</v>
      </c>
      <c r="Q226" s="62">
        <f>Assumptions!$B$499*(1+Assumptions!$B$500)^Q$5</f>
        <v>0</v>
      </c>
      <c r="R226" s="62">
        <f>Assumptions!$B$499*(1+Assumptions!$B$500)^R$5</f>
        <v>0</v>
      </c>
      <c r="S226" s="62">
        <f>Assumptions!$B$499*(1+Assumptions!$B$500)^S$5</f>
        <v>0</v>
      </c>
    </row>
    <row r="227" spans="1:19" x14ac:dyDescent="0.2">
      <c r="A227" s="24" t="s">
        <v>2085</v>
      </c>
      <c r="D227" s="56">
        <f>Assumptions!$B$501</f>
        <v>2</v>
      </c>
      <c r="E227" s="56">
        <f>Assumptions!$B$501*(1+Assumptions!$B$502)^E$5</f>
        <v>2.1</v>
      </c>
      <c r="F227" s="56">
        <f>Assumptions!$B$501*(1+Assumptions!$B$502)^F$5</f>
        <v>2.2050000000000001</v>
      </c>
      <c r="G227" s="56">
        <f>Assumptions!$B$501*(1+Assumptions!$B$502)^G$5</f>
        <v>2.3152500000000003</v>
      </c>
      <c r="H227" s="56">
        <f>Assumptions!$B$501*(1+Assumptions!$B$502)^H$5</f>
        <v>2.4310125</v>
      </c>
      <c r="I227" s="56">
        <f>Assumptions!$B$501*(1+Assumptions!$B$502)^I$5</f>
        <v>2.5525631250000003</v>
      </c>
      <c r="J227" s="56">
        <f>Assumptions!$B$501*(1+Assumptions!$B$502)^J$5</f>
        <v>2.6801912812499999</v>
      </c>
      <c r="K227" s="56">
        <f>Assumptions!$B$501*(1+Assumptions!$B$502)^K$5</f>
        <v>2.8142008453125005</v>
      </c>
      <c r="L227" s="56">
        <f>Assumptions!$B$501*(1+Assumptions!$B$502)^L$5</f>
        <v>2.9549108875781251</v>
      </c>
      <c r="M227" s="56">
        <f>Assumptions!$B$501*(1+Assumptions!$B$502)^M$5</f>
        <v>3.1026564319570316</v>
      </c>
      <c r="N227" s="56">
        <f>Assumptions!$B$501*(1+Assumptions!$B$502)^N$5</f>
        <v>3.2577892535548831</v>
      </c>
      <c r="O227" s="56">
        <f>Assumptions!$B$501*(1+Assumptions!$B$502)^O$5</f>
        <v>3.4206787162326275</v>
      </c>
      <c r="P227" s="56">
        <f>Assumptions!$B$501*(1+Assumptions!$B$502)^P$5</f>
        <v>3.5917126520442584</v>
      </c>
      <c r="Q227" s="56">
        <f>Assumptions!$B$501*(1+Assumptions!$B$502)^Q$5</f>
        <v>3.771298284646472</v>
      </c>
      <c r="R227" s="56">
        <f>Assumptions!$B$501*(1+Assumptions!$B$502)^R$5</f>
        <v>3.9598631988787947</v>
      </c>
      <c r="S227" s="56">
        <f>Assumptions!$B$501*(1+Assumptions!$B$502)^S$5</f>
        <v>4.1578563588227357</v>
      </c>
    </row>
    <row r="228" spans="1:19" x14ac:dyDescent="0.2">
      <c r="A228" s="24" t="s">
        <v>2086</v>
      </c>
      <c r="D228" s="67">
        <f>D225*D226</f>
        <v>0</v>
      </c>
      <c r="E228" s="67">
        <f t="shared" ref="E228:S228" si="108">E225*E226</f>
        <v>0</v>
      </c>
      <c r="F228" s="67">
        <f t="shared" si="108"/>
        <v>0</v>
      </c>
      <c r="G228" s="67">
        <f t="shared" si="108"/>
        <v>0</v>
      </c>
      <c r="H228" s="67">
        <f t="shared" si="108"/>
        <v>0</v>
      </c>
      <c r="I228" s="67">
        <f t="shared" si="108"/>
        <v>0</v>
      </c>
      <c r="J228" s="67">
        <f t="shared" si="108"/>
        <v>0</v>
      </c>
      <c r="K228" s="67">
        <f t="shared" si="108"/>
        <v>0</v>
      </c>
      <c r="L228" s="67">
        <f t="shared" si="108"/>
        <v>0</v>
      </c>
      <c r="M228" s="67">
        <f t="shared" si="108"/>
        <v>0</v>
      </c>
      <c r="N228" s="67">
        <f t="shared" si="108"/>
        <v>0</v>
      </c>
      <c r="O228" s="67">
        <f t="shared" si="108"/>
        <v>0</v>
      </c>
      <c r="P228" s="67">
        <f t="shared" si="108"/>
        <v>0</v>
      </c>
      <c r="Q228" s="67">
        <f t="shared" si="108"/>
        <v>0</v>
      </c>
      <c r="R228" s="67">
        <f t="shared" si="108"/>
        <v>0</v>
      </c>
      <c r="S228" s="67">
        <f t="shared" si="108"/>
        <v>0</v>
      </c>
    </row>
    <row r="229" spans="1:19" x14ac:dyDescent="0.2">
      <c r="A229" s="24" t="s">
        <v>2087</v>
      </c>
      <c r="D229" s="67">
        <f>D225*D227</f>
        <v>200</v>
      </c>
      <c r="E229" s="67">
        <f t="shared" ref="E229:S229" si="109">E225*E227</f>
        <v>256.41000000000003</v>
      </c>
      <c r="F229" s="67">
        <f t="shared" si="109"/>
        <v>328.7304405000001</v>
      </c>
      <c r="G229" s="67">
        <f t="shared" si="109"/>
        <v>421.44886124302519</v>
      </c>
      <c r="H229" s="67">
        <f t="shared" si="109"/>
        <v>540.31851255662048</v>
      </c>
      <c r="I229" s="67">
        <f t="shared" si="109"/>
        <v>692.71534902321537</v>
      </c>
      <c r="J229" s="67">
        <f t="shared" si="109"/>
        <v>888.09571321521321</v>
      </c>
      <c r="K229" s="67">
        <f t="shared" si="109"/>
        <v>1138.5831091275645</v>
      </c>
      <c r="L229" s="67">
        <f t="shared" si="109"/>
        <v>1459.720475056994</v>
      </c>
      <c r="M229" s="67">
        <f t="shared" si="109"/>
        <v>1871.4346350468193</v>
      </c>
      <c r="N229" s="67">
        <f t="shared" si="109"/>
        <v>2399.272773861775</v>
      </c>
      <c r="O229" s="67">
        <f t="shared" si="109"/>
        <v>3075.9876597294888</v>
      </c>
      <c r="P229" s="67">
        <f t="shared" si="109"/>
        <v>3943.5699791561919</v>
      </c>
      <c r="Q229" s="67">
        <f t="shared" si="109"/>
        <v>5055.8538917771975</v>
      </c>
      <c r="R229" s="67">
        <f t="shared" si="109"/>
        <v>6481.8574819529558</v>
      </c>
      <c r="S229" s="67">
        <f t="shared" si="109"/>
        <v>8310.0653847377889</v>
      </c>
    </row>
    <row r="230" spans="1:19" x14ac:dyDescent="0.2">
      <c r="A230" s="24" t="s">
        <v>2088</v>
      </c>
      <c r="D230" s="56">
        <f>Assumptions!$B$503</f>
        <v>0.85</v>
      </c>
      <c r="E230" s="56">
        <f>Assumptions!$B$503*(1+Assumptions!$B$504)^E$5</f>
        <v>1.2486499999999998</v>
      </c>
      <c r="F230" s="56">
        <f>Assumptions!$B$503*(1+Assumptions!$B$504)^F$5</f>
        <v>1.8342668499999997</v>
      </c>
      <c r="G230" s="56">
        <f>Assumptions!$B$503*(1+Assumptions!$B$504)^G$5</f>
        <v>2.6945380026499994</v>
      </c>
      <c r="H230" s="56">
        <f>Assumptions!$B$503*(1+Assumptions!$B$504)^H$5</f>
        <v>3.9582763258928493</v>
      </c>
      <c r="I230" s="56">
        <f>Assumptions!$B$503*(1+Assumptions!$B$504)^I$5</f>
        <v>5.814707922736595</v>
      </c>
      <c r="J230" s="56">
        <f>Assumptions!$B$503*(1+Assumptions!$B$504)^J$5</f>
        <v>8.5418059385000582</v>
      </c>
      <c r="K230" s="56">
        <f>Assumptions!$B$503*(1+Assumptions!$B$504)^K$5</f>
        <v>12.547912923656584</v>
      </c>
      <c r="L230" s="56">
        <f>Assumptions!$B$503*(1+Assumptions!$B$504)^L$5</f>
        <v>18.432884084851523</v>
      </c>
      <c r="M230" s="56">
        <f>Assumptions!$B$503*(1+Assumptions!$B$504)^M$5</f>
        <v>27.07790672064688</v>
      </c>
      <c r="N230" s="56">
        <f>Assumptions!$B$503*(1+Assumptions!$B$504)^N$5</f>
        <v>39.777444972630271</v>
      </c>
      <c r="O230" s="56">
        <f>Assumptions!$B$503*(1+Assumptions!$B$504)^O$5</f>
        <v>58.433066664793863</v>
      </c>
      <c r="P230" s="56">
        <f>Assumptions!$B$503*(1+Assumptions!$B$504)^P$5</f>
        <v>85.838174930582184</v>
      </c>
      <c r="Q230" s="56">
        <f>Assumptions!$B$503*(1+Assumptions!$B$504)^Q$5</f>
        <v>126.09627897302522</v>
      </c>
      <c r="R230" s="56">
        <f>Assumptions!$B$503*(1+Assumptions!$B$504)^R$5</f>
        <v>185.23543381137404</v>
      </c>
      <c r="S230" s="56">
        <f>Assumptions!$B$503*(1+Assumptions!$B$504)^S$5</f>
        <v>272.11085226890845</v>
      </c>
    </row>
    <row r="231" spans="1:19" x14ac:dyDescent="0.2">
      <c r="A231" s="24" t="s">
        <v>2089</v>
      </c>
      <c r="D231" s="62">
        <f>Assumptions!$B$505</f>
        <v>300</v>
      </c>
      <c r="E231" s="62">
        <f>Assumptions!$B$505*(1+Assumptions!$B$506)^E$5</f>
        <v>300</v>
      </c>
      <c r="F231" s="62">
        <f>Assumptions!$B$505*(1+Assumptions!$B$506)^F$5</f>
        <v>300</v>
      </c>
      <c r="G231" s="62">
        <f>Assumptions!$B$505*(1+Assumptions!$B$506)^G$5</f>
        <v>300</v>
      </c>
      <c r="H231" s="62">
        <f>Assumptions!$B$505*(1+Assumptions!$B$506)^H$5</f>
        <v>300</v>
      </c>
      <c r="I231" s="62">
        <f>Assumptions!$B$505*(1+Assumptions!$B$506)^I$5</f>
        <v>300</v>
      </c>
      <c r="J231" s="62">
        <f>Assumptions!$B$505*(1+Assumptions!$B$506)^J$5</f>
        <v>300</v>
      </c>
      <c r="K231" s="62">
        <f>Assumptions!$B$505*(1+Assumptions!$B$506)^K$5</f>
        <v>300</v>
      </c>
      <c r="L231" s="62">
        <f>Assumptions!$B$505*(1+Assumptions!$B$506)^L$5</f>
        <v>300</v>
      </c>
      <c r="M231" s="62">
        <f>Assumptions!$B$505*(1+Assumptions!$B$506)^M$5</f>
        <v>300</v>
      </c>
      <c r="N231" s="62">
        <f>Assumptions!$B$505*(1+Assumptions!$B$506)^N$5</f>
        <v>300</v>
      </c>
      <c r="O231" s="62">
        <f>Assumptions!$B$505*(1+Assumptions!$B$506)^O$5</f>
        <v>300</v>
      </c>
      <c r="P231" s="62">
        <f>Assumptions!$B$505*(1+Assumptions!$B$506)^P$5</f>
        <v>300</v>
      </c>
      <c r="Q231" s="62">
        <f>Assumptions!$B$505*(1+Assumptions!$B$506)^Q$5</f>
        <v>300</v>
      </c>
      <c r="R231" s="62">
        <f>Assumptions!$B$505*(1+Assumptions!$B$506)^R$5</f>
        <v>300</v>
      </c>
      <c r="S231" s="62">
        <f>Assumptions!$B$505*(1+Assumptions!$B$506)^S$5</f>
        <v>300</v>
      </c>
    </row>
    <row r="232" spans="1:19" x14ac:dyDescent="0.2">
      <c r="A232" s="24" t="s">
        <v>2090</v>
      </c>
      <c r="D232" s="56">
        <f>Assumptions!$B$507</f>
        <v>35</v>
      </c>
      <c r="E232" s="56">
        <f>Assumptions!$B$507*(1+Assumptions!$B$508)^E$5</f>
        <v>38.150000000000006</v>
      </c>
      <c r="F232" s="56">
        <f>Assumptions!$B$507*(1+Assumptions!$B$508)^F$5</f>
        <v>41.583500000000008</v>
      </c>
      <c r="G232" s="56">
        <f>Assumptions!$B$507*(1+Assumptions!$B$508)^G$5</f>
        <v>45.326015000000005</v>
      </c>
      <c r="H232" s="56">
        <f>Assumptions!$B$507*(1+Assumptions!$B$508)^H$5</f>
        <v>49.405356350000012</v>
      </c>
      <c r="I232" s="56">
        <f>Assumptions!$B$507*(1+Assumptions!$B$508)^I$5</f>
        <v>53.85183842150002</v>
      </c>
      <c r="J232" s="56">
        <f>Assumptions!$B$507*(1+Assumptions!$B$508)^J$5</f>
        <v>58.698503879435023</v>
      </c>
      <c r="K232" s="56">
        <f>Assumptions!$B$507*(1+Assumptions!$B$508)^K$5</f>
        <v>63.981369228584171</v>
      </c>
      <c r="L232" s="56">
        <f>Assumptions!$B$507*(1+Assumptions!$B$508)^L$5</f>
        <v>69.739692459156757</v>
      </c>
      <c r="M232" s="56">
        <f>Assumptions!$B$507*(1+Assumptions!$B$508)^M$5</f>
        <v>76.016264780480867</v>
      </c>
      <c r="N232" s="56">
        <f>Assumptions!$B$507*(1+Assumptions!$B$508)^N$5</f>
        <v>82.857728610724152</v>
      </c>
      <c r="O232" s="56">
        <f>Assumptions!$B$507*(1+Assumptions!$B$508)^O$5</f>
        <v>90.314924185689321</v>
      </c>
      <c r="P232" s="56">
        <f>Assumptions!$B$507*(1+Assumptions!$B$508)^P$5</f>
        <v>98.443267362401357</v>
      </c>
      <c r="Q232" s="56">
        <f>Assumptions!$B$507*(1+Assumptions!$B$508)^Q$5</f>
        <v>107.30316142501751</v>
      </c>
      <c r="R232" s="56">
        <f>Assumptions!$B$507*(1+Assumptions!$B$508)^R$5</f>
        <v>116.96044595326909</v>
      </c>
      <c r="S232" s="56">
        <f>Assumptions!$B$507*(1+Assumptions!$B$508)^S$5</f>
        <v>127.4868860890633</v>
      </c>
    </row>
    <row r="233" spans="1:19" x14ac:dyDescent="0.2">
      <c r="A233" s="24" t="s">
        <v>2091</v>
      </c>
      <c r="D233" s="67">
        <f>D230*D231</f>
        <v>255</v>
      </c>
      <c r="E233" s="67">
        <f t="shared" ref="E233:S233" si="110">E230*E231</f>
        <v>374.59499999999997</v>
      </c>
      <c r="F233" s="67">
        <f t="shared" si="110"/>
        <v>550.28005499999995</v>
      </c>
      <c r="G233" s="67">
        <f t="shared" si="110"/>
        <v>808.36140079499978</v>
      </c>
      <c r="H233" s="67">
        <f t="shared" si="110"/>
        <v>1187.4828977678549</v>
      </c>
      <c r="I233" s="67">
        <f t="shared" si="110"/>
        <v>1744.4123768209786</v>
      </c>
      <c r="J233" s="67">
        <f t="shared" si="110"/>
        <v>2562.5417815500173</v>
      </c>
      <c r="K233" s="67">
        <f t="shared" si="110"/>
        <v>3764.3738770969753</v>
      </c>
      <c r="L233" s="67">
        <f t="shared" si="110"/>
        <v>5529.8652254554572</v>
      </c>
      <c r="M233" s="67">
        <f t="shared" si="110"/>
        <v>8123.3720161940637</v>
      </c>
      <c r="N233" s="67">
        <f t="shared" si="110"/>
        <v>11933.23349178908</v>
      </c>
      <c r="O233" s="67">
        <f t="shared" si="110"/>
        <v>17529.91999943816</v>
      </c>
      <c r="P233" s="67">
        <f t="shared" si="110"/>
        <v>25751.452479174655</v>
      </c>
      <c r="Q233" s="67">
        <f t="shared" si="110"/>
        <v>37828.883691907569</v>
      </c>
      <c r="R233" s="67">
        <f t="shared" si="110"/>
        <v>55570.630143412214</v>
      </c>
      <c r="S233" s="67">
        <f t="shared" si="110"/>
        <v>81633.255680672533</v>
      </c>
    </row>
    <row r="234" spans="1:19" x14ac:dyDescent="0.2">
      <c r="A234" s="24" t="s">
        <v>2092</v>
      </c>
      <c r="D234" s="67">
        <f>D230*D232</f>
        <v>29.75</v>
      </c>
      <c r="E234" s="67">
        <f t="shared" ref="E234:S234" si="111">E230*E232</f>
        <v>47.635997500000002</v>
      </c>
      <c r="F234" s="67">
        <f t="shared" si="111"/>
        <v>76.275235556975005</v>
      </c>
      <c r="G234" s="67">
        <f t="shared" si="111"/>
        <v>122.13266992618392</v>
      </c>
      <c r="H234" s="67">
        <f t="shared" si="111"/>
        <v>195.560052412505</v>
      </c>
      <c r="I234" s="67">
        <f t="shared" si="111"/>
        <v>313.13271152342713</v>
      </c>
      <c r="J234" s="67">
        <f t="shared" si="111"/>
        <v>501.39122901842677</v>
      </c>
      <c r="K234" s="67">
        <f t="shared" si="111"/>
        <v>802.83264981659499</v>
      </c>
      <c r="L234" s="67">
        <f t="shared" si="111"/>
        <v>1285.5036672128304</v>
      </c>
      <c r="M234" s="67">
        <f t="shared" si="111"/>
        <v>2058.3613269778557</v>
      </c>
      <c r="N234" s="67">
        <f t="shared" si="111"/>
        <v>3295.8687403702129</v>
      </c>
      <c r="O234" s="67">
        <f t="shared" si="111"/>
        <v>5277.3779857681875</v>
      </c>
      <c r="P234" s="67">
        <f t="shared" si="111"/>
        <v>8450.19040459188</v>
      </c>
      <c r="Q234" s="67">
        <f t="shared" si="111"/>
        <v>13530.529377736566</v>
      </c>
      <c r="R234" s="67">
        <f t="shared" si="111"/>
        <v>21665.218944925567</v>
      </c>
      <c r="S234" s="67">
        <f t="shared" si="111"/>
        <v>34690.565226804261</v>
      </c>
    </row>
    <row r="235" spans="1:19" x14ac:dyDescent="0.2">
      <c r="A235" s="24" t="s">
        <v>2093</v>
      </c>
      <c r="D235" s="56">
        <f>Assumptions!$B$509</f>
        <v>0.16</v>
      </c>
      <c r="E235" s="56">
        <f>Assumptions!$B$509*(1+Assumptions!$B$510)^E$5</f>
        <v>0.23440000000000003</v>
      </c>
      <c r="F235" s="56">
        <f>Assumptions!$B$509*(1+Assumptions!$B$510)^F$5</f>
        <v>0.34339600000000003</v>
      </c>
      <c r="G235" s="56">
        <f>Assumptions!$B$509*(1+Assumptions!$B$510)^G$5</f>
        <v>0.50307514000000009</v>
      </c>
      <c r="H235" s="56">
        <f>Assumptions!$B$509*(1+Assumptions!$B$510)^H$5</f>
        <v>0.73700508010000021</v>
      </c>
      <c r="I235" s="56">
        <f>Assumptions!$B$509*(1+Assumptions!$B$510)^I$5</f>
        <v>1.0797124423465005</v>
      </c>
      <c r="J235" s="56">
        <f>Assumptions!$B$509*(1+Assumptions!$B$510)^J$5</f>
        <v>1.5817787280376232</v>
      </c>
      <c r="K235" s="56">
        <f>Assumptions!$B$509*(1+Assumptions!$B$510)^K$5</f>
        <v>2.3173058365751182</v>
      </c>
      <c r="L235" s="56">
        <f>Assumptions!$B$509*(1+Assumptions!$B$510)^L$5</f>
        <v>3.3948530505825483</v>
      </c>
      <c r="M235" s="56">
        <f>Assumptions!$B$509*(1+Assumptions!$B$510)^M$5</f>
        <v>4.9734597191034338</v>
      </c>
      <c r="N235" s="56">
        <f>Assumptions!$B$509*(1+Assumptions!$B$510)^N$5</f>
        <v>7.2861184884865304</v>
      </c>
      <c r="O235" s="56">
        <f>Assumptions!$B$509*(1+Assumptions!$B$510)^O$5</f>
        <v>10.674163585632769</v>
      </c>
      <c r="P235" s="56">
        <f>Assumptions!$B$509*(1+Assumptions!$B$510)^P$5</f>
        <v>15.637649652952007</v>
      </c>
      <c r="Q235" s="56">
        <f>Assumptions!$B$509*(1+Assumptions!$B$510)^Q$5</f>
        <v>22.909156741574694</v>
      </c>
      <c r="R235" s="56">
        <f>Assumptions!$B$509*(1+Assumptions!$B$510)^R$5</f>
        <v>33.561914626406924</v>
      </c>
      <c r="S235" s="56">
        <f>Assumptions!$B$509*(1+Assumptions!$B$510)^S$5</f>
        <v>49.168204927686155</v>
      </c>
    </row>
    <row r="236" spans="1:19" x14ac:dyDescent="0.2">
      <c r="A236" s="24" t="s">
        <v>2094</v>
      </c>
      <c r="D236" s="62">
        <f>Assumptions!$B$511</f>
        <v>368</v>
      </c>
      <c r="E236" s="62">
        <f>Assumptions!$B$511*(1+Assumptions!$B$512)^E$5</f>
        <v>368</v>
      </c>
      <c r="F236" s="62">
        <f>Assumptions!$B$511*(1+Assumptions!$B$512)^F$5</f>
        <v>368</v>
      </c>
      <c r="G236" s="62">
        <f>Assumptions!$B$511*(1+Assumptions!$B$512)^G$5</f>
        <v>368</v>
      </c>
      <c r="H236" s="62">
        <f>Assumptions!$B$511*(1+Assumptions!$B$512)^H$5</f>
        <v>368</v>
      </c>
      <c r="I236" s="62">
        <f>Assumptions!$B$511*(1+Assumptions!$B$512)^I$5</f>
        <v>368</v>
      </c>
      <c r="J236" s="62">
        <f>Assumptions!$B$511*(1+Assumptions!$B$512)^J$5</f>
        <v>368</v>
      </c>
      <c r="K236" s="62">
        <f>Assumptions!$B$511*(1+Assumptions!$B$512)^K$5</f>
        <v>368</v>
      </c>
      <c r="L236" s="62">
        <f>Assumptions!$B$511*(1+Assumptions!$B$512)^L$5</f>
        <v>368</v>
      </c>
      <c r="M236" s="62">
        <f>Assumptions!$B$511*(1+Assumptions!$B$512)^M$5</f>
        <v>368</v>
      </c>
      <c r="N236" s="62">
        <f>Assumptions!$B$511*(1+Assumptions!$B$512)^N$5</f>
        <v>368</v>
      </c>
      <c r="O236" s="62">
        <f>Assumptions!$B$511*(1+Assumptions!$B$512)^O$5</f>
        <v>368</v>
      </c>
      <c r="P236" s="62">
        <f>Assumptions!$B$511*(1+Assumptions!$B$512)^P$5</f>
        <v>368</v>
      </c>
      <c r="Q236" s="62">
        <f>Assumptions!$B$511*(1+Assumptions!$B$512)^Q$5</f>
        <v>368</v>
      </c>
      <c r="R236" s="62">
        <f>Assumptions!$B$511*(1+Assumptions!$B$512)^R$5</f>
        <v>368</v>
      </c>
      <c r="S236" s="62">
        <f>Assumptions!$B$511*(1+Assumptions!$B$512)^S$5</f>
        <v>368</v>
      </c>
    </row>
    <row r="237" spans="1:19" x14ac:dyDescent="0.2">
      <c r="A237" s="24" t="s">
        <v>2095</v>
      </c>
      <c r="D237" s="56">
        <f>Assumptions!$B$513</f>
        <v>285</v>
      </c>
      <c r="E237" s="56">
        <f>Assumptions!$B$513*(1+Assumptions!$B$514)^E$5</f>
        <v>313.5</v>
      </c>
      <c r="F237" s="56">
        <f>Assumptions!$B$513*(1+Assumptions!$B$514)^F$5</f>
        <v>344.85000000000008</v>
      </c>
      <c r="G237" s="56">
        <f>Assumptions!$B$513*(1+Assumptions!$B$514)^G$5</f>
        <v>379.33500000000009</v>
      </c>
      <c r="H237" s="56">
        <f>Assumptions!$B$513*(1+Assumptions!$B$514)^H$5</f>
        <v>417.26850000000013</v>
      </c>
      <c r="I237" s="56">
        <f>Assumptions!$B$513*(1+Assumptions!$B$514)^I$5</f>
        <v>458.99535000000014</v>
      </c>
      <c r="J237" s="56">
        <f>Assumptions!$B$513*(1+Assumptions!$B$514)^J$5</f>
        <v>504.89488500000022</v>
      </c>
      <c r="K237" s="56">
        <f>Assumptions!$B$513*(1+Assumptions!$B$514)^K$5</f>
        <v>555.38437350000038</v>
      </c>
      <c r="L237" s="56">
        <f>Assumptions!$B$513*(1+Assumptions!$B$514)^L$5</f>
        <v>610.92281085000036</v>
      </c>
      <c r="M237" s="56">
        <f>Assumptions!$B$513*(1+Assumptions!$B$514)^M$5</f>
        <v>672.01509193500044</v>
      </c>
      <c r="N237" s="56">
        <f>Assumptions!$B$513*(1+Assumptions!$B$514)^N$5</f>
        <v>739.21660112850054</v>
      </c>
      <c r="O237" s="56">
        <f>Assumptions!$B$513*(1+Assumptions!$B$514)^O$5</f>
        <v>813.13826124135073</v>
      </c>
      <c r="P237" s="56">
        <f>Assumptions!$B$513*(1+Assumptions!$B$514)^P$5</f>
        <v>894.4520873654858</v>
      </c>
      <c r="Q237" s="56">
        <f>Assumptions!$B$513*(1+Assumptions!$B$514)^Q$5</f>
        <v>983.89729610203437</v>
      </c>
      <c r="R237" s="56">
        <f>Assumptions!$B$513*(1+Assumptions!$B$514)^R$5</f>
        <v>1082.2870257122379</v>
      </c>
      <c r="S237" s="56">
        <f>Assumptions!$B$513*(1+Assumptions!$B$514)^S$5</f>
        <v>1190.5157282834618</v>
      </c>
    </row>
    <row r="238" spans="1:19" x14ac:dyDescent="0.2">
      <c r="A238" s="24" t="s">
        <v>2096</v>
      </c>
      <c r="D238" s="67">
        <f>D235*D236</f>
        <v>58.88</v>
      </c>
      <c r="E238" s="67">
        <f t="shared" ref="E238:S238" si="112">E235*E236</f>
        <v>86.259200000000007</v>
      </c>
      <c r="F238" s="67">
        <f t="shared" si="112"/>
        <v>126.36972800000001</v>
      </c>
      <c r="G238" s="67">
        <f t="shared" si="112"/>
        <v>185.13165152000002</v>
      </c>
      <c r="H238" s="67">
        <f t="shared" si="112"/>
        <v>271.2178694768001</v>
      </c>
      <c r="I238" s="67">
        <f t="shared" si="112"/>
        <v>397.33417878351219</v>
      </c>
      <c r="J238" s="67">
        <f t="shared" si="112"/>
        <v>582.09457191784531</v>
      </c>
      <c r="K238" s="67">
        <f t="shared" si="112"/>
        <v>852.76854785964349</v>
      </c>
      <c r="L238" s="67">
        <f t="shared" si="112"/>
        <v>1249.3059226143778</v>
      </c>
      <c r="M238" s="67">
        <f t="shared" si="112"/>
        <v>1830.2331766300636</v>
      </c>
      <c r="N238" s="67">
        <f t="shared" si="112"/>
        <v>2681.291603763043</v>
      </c>
      <c r="O238" s="67">
        <f t="shared" si="112"/>
        <v>3928.0921995128592</v>
      </c>
      <c r="P238" s="67">
        <f t="shared" si="112"/>
        <v>5754.6550722863385</v>
      </c>
      <c r="Q238" s="67">
        <f t="shared" si="112"/>
        <v>8430.5696808994871</v>
      </c>
      <c r="R238" s="67">
        <f t="shared" si="112"/>
        <v>12350.784582517748</v>
      </c>
      <c r="S238" s="67">
        <f t="shared" si="112"/>
        <v>18093.899413388506</v>
      </c>
    </row>
    <row r="239" spans="1:19" x14ac:dyDescent="0.2">
      <c r="A239" s="24" t="s">
        <v>2097</v>
      </c>
      <c r="D239" s="67">
        <f>D235*D237</f>
        <v>45.6</v>
      </c>
      <c r="E239" s="67">
        <f t="shared" ref="E239:S239" si="113">E235*E237</f>
        <v>73.484400000000008</v>
      </c>
      <c r="F239" s="67">
        <f t="shared" si="113"/>
        <v>118.42011060000004</v>
      </c>
      <c r="G239" s="67">
        <f t="shared" si="113"/>
        <v>190.83400823190007</v>
      </c>
      <c r="H239" s="67">
        <f t="shared" si="113"/>
        <v>307.52900426570704</v>
      </c>
      <c r="I239" s="67">
        <f t="shared" si="113"/>
        <v>495.58299037418698</v>
      </c>
      <c r="J239" s="67">
        <f t="shared" si="113"/>
        <v>798.63198898800238</v>
      </c>
      <c r="K239" s="67">
        <f t="shared" si="113"/>
        <v>1286.9954502541664</v>
      </c>
      <c r="L239" s="67">
        <f t="shared" si="113"/>
        <v>2073.9931680845889</v>
      </c>
      <c r="M239" s="67">
        <f t="shared" si="113"/>
        <v>3342.2399903683154</v>
      </c>
      <c r="N239" s="67">
        <f t="shared" si="113"/>
        <v>5386.0197444785408</v>
      </c>
      <c r="O239" s="67">
        <f t="shared" si="113"/>
        <v>8679.5708182271719</v>
      </c>
      <c r="P239" s="67">
        <f t="shared" si="113"/>
        <v>13987.128373573087</v>
      </c>
      <c r="Q239" s="67">
        <f t="shared" si="113"/>
        <v>22540.257374013036</v>
      </c>
      <c r="R239" s="67">
        <f t="shared" si="113"/>
        <v>36323.624758222002</v>
      </c>
      <c r="S239" s="67">
        <f t="shared" si="113"/>
        <v>58535.52129787478</v>
      </c>
    </row>
    <row r="240" spans="1:19" x14ac:dyDescent="0.2">
      <c r="A240" s="24" t="s">
        <v>2098</v>
      </c>
      <c r="D240" s="56">
        <f>Assumptions!$B$515</f>
        <v>0.06</v>
      </c>
      <c r="E240" s="56">
        <f>Assumptions!$B$515*(1+Assumptions!$B$516)^E$5</f>
        <v>9.5879999999999993E-2</v>
      </c>
      <c r="F240" s="56">
        <f>Assumptions!$B$515*(1+Assumptions!$B$516)^F$5</f>
        <v>0.15321623999999998</v>
      </c>
      <c r="G240" s="56">
        <f>Assumptions!$B$515*(1+Assumptions!$B$516)^G$5</f>
        <v>0.24483955151999992</v>
      </c>
      <c r="H240" s="56">
        <f>Assumptions!$B$515*(1+Assumptions!$B$516)^H$5</f>
        <v>0.39125360332895981</v>
      </c>
      <c r="I240" s="56">
        <f>Assumptions!$B$515*(1+Assumptions!$B$516)^I$5</f>
        <v>0.62522325811967772</v>
      </c>
      <c r="J240" s="56">
        <f>Assumptions!$B$515*(1+Assumptions!$B$516)^J$5</f>
        <v>0.99910676647524488</v>
      </c>
      <c r="K240" s="56">
        <f>Assumptions!$B$515*(1+Assumptions!$B$516)^K$5</f>
        <v>1.5965726128274413</v>
      </c>
      <c r="L240" s="56">
        <f>Assumptions!$B$515*(1+Assumptions!$B$516)^L$5</f>
        <v>2.551323035298251</v>
      </c>
      <c r="M240" s="56">
        <f>Assumptions!$B$515*(1+Assumptions!$B$516)^M$5</f>
        <v>4.0770142104066043</v>
      </c>
      <c r="N240" s="56">
        <f>Assumptions!$B$515*(1+Assumptions!$B$516)^N$5</f>
        <v>6.5150687082297534</v>
      </c>
      <c r="O240" s="56">
        <f>Assumptions!$B$515*(1+Assumptions!$B$516)^O$5</f>
        <v>10.411079795751146</v>
      </c>
      <c r="P240" s="56">
        <f>Assumptions!$B$515*(1+Assumptions!$B$516)^P$5</f>
        <v>16.636905513610326</v>
      </c>
      <c r="Q240" s="56">
        <f>Assumptions!$B$515*(1+Assumptions!$B$516)^Q$5</f>
        <v>26.585775010749298</v>
      </c>
      <c r="R240" s="56">
        <f>Assumptions!$B$515*(1+Assumptions!$B$516)^R$5</f>
        <v>42.484068467177373</v>
      </c>
      <c r="S240" s="56">
        <f>Assumptions!$B$515*(1+Assumptions!$B$516)^S$5</f>
        <v>67.889541410549441</v>
      </c>
    </row>
    <row r="241" spans="1:19" x14ac:dyDescent="0.2">
      <c r="A241" s="24" t="s">
        <v>2099</v>
      </c>
      <c r="D241" s="62">
        <f>Assumptions!$B$517</f>
        <v>535</v>
      </c>
      <c r="E241" s="62">
        <f>Assumptions!$B$517*(1+Assumptions!$B$518)^E$5</f>
        <v>535</v>
      </c>
      <c r="F241" s="62">
        <f>Assumptions!$B$517*(1+Assumptions!$B$518)^F$5</f>
        <v>535</v>
      </c>
      <c r="G241" s="62">
        <f>Assumptions!$B$517*(1+Assumptions!$B$518)^G$5</f>
        <v>535</v>
      </c>
      <c r="H241" s="62">
        <f>Assumptions!$B$517*(1+Assumptions!$B$518)^H$5</f>
        <v>535</v>
      </c>
      <c r="I241" s="62">
        <f>Assumptions!$B$517*(1+Assumptions!$B$518)^I$5</f>
        <v>535</v>
      </c>
      <c r="J241" s="62">
        <f>Assumptions!$B$517*(1+Assumptions!$B$518)^J$5</f>
        <v>535</v>
      </c>
      <c r="K241" s="62">
        <f>Assumptions!$B$517*(1+Assumptions!$B$518)^K$5</f>
        <v>535</v>
      </c>
      <c r="L241" s="62">
        <f>Assumptions!$B$517*(1+Assumptions!$B$518)^L$5</f>
        <v>535</v>
      </c>
      <c r="M241" s="62">
        <f>Assumptions!$B$517*(1+Assumptions!$B$518)^M$5</f>
        <v>535</v>
      </c>
      <c r="N241" s="62">
        <f>Assumptions!$B$517*(1+Assumptions!$B$518)^N$5</f>
        <v>535</v>
      </c>
      <c r="O241" s="62">
        <f>Assumptions!$B$517*(1+Assumptions!$B$518)^O$5</f>
        <v>535</v>
      </c>
      <c r="P241" s="62">
        <f>Assumptions!$B$517*(1+Assumptions!$B$518)^P$5</f>
        <v>535</v>
      </c>
      <c r="Q241" s="62">
        <f>Assumptions!$B$517*(1+Assumptions!$B$518)^Q$5</f>
        <v>535</v>
      </c>
      <c r="R241" s="62">
        <f>Assumptions!$B$517*(1+Assumptions!$B$518)^R$5</f>
        <v>535</v>
      </c>
      <c r="S241" s="62">
        <f>Assumptions!$B$517*(1+Assumptions!$B$518)^S$5</f>
        <v>535</v>
      </c>
    </row>
    <row r="242" spans="1:19" x14ac:dyDescent="0.2">
      <c r="A242" s="24" t="s">
        <v>2100</v>
      </c>
      <c r="D242" s="56">
        <f>Assumptions!$B$519</f>
        <v>166</v>
      </c>
      <c r="E242" s="56">
        <f>Assumptions!$B$519*(1+Assumptions!$B$520)^E$5</f>
        <v>182.60000000000002</v>
      </c>
      <c r="F242" s="56">
        <f>Assumptions!$B$519*(1+Assumptions!$B$520)^F$5</f>
        <v>200.86000000000004</v>
      </c>
      <c r="G242" s="56">
        <f>Assumptions!$B$519*(1+Assumptions!$B$520)^G$5</f>
        <v>220.94600000000005</v>
      </c>
      <c r="H242" s="56">
        <f>Assumptions!$B$519*(1+Assumptions!$B$520)^H$5</f>
        <v>243.04060000000007</v>
      </c>
      <c r="I242" s="56">
        <f>Assumptions!$B$519*(1+Assumptions!$B$520)^I$5</f>
        <v>267.34466000000009</v>
      </c>
      <c r="J242" s="56">
        <f>Assumptions!$B$519*(1+Assumptions!$B$520)^J$5</f>
        <v>294.07912600000014</v>
      </c>
      <c r="K242" s="56">
        <f>Assumptions!$B$519*(1+Assumptions!$B$520)^K$5</f>
        <v>323.48703860000018</v>
      </c>
      <c r="L242" s="56">
        <f>Assumptions!$B$519*(1+Assumptions!$B$520)^L$5</f>
        <v>355.83574246000018</v>
      </c>
      <c r="M242" s="56">
        <f>Assumptions!$B$519*(1+Assumptions!$B$520)^M$5</f>
        <v>391.41931670600025</v>
      </c>
      <c r="N242" s="56">
        <f>Assumptions!$B$519*(1+Assumptions!$B$520)^N$5</f>
        <v>430.5612483766003</v>
      </c>
      <c r="O242" s="56">
        <f>Assumptions!$B$519*(1+Assumptions!$B$520)^O$5</f>
        <v>473.6173732142604</v>
      </c>
      <c r="P242" s="56">
        <f>Assumptions!$B$519*(1+Assumptions!$B$520)^P$5</f>
        <v>520.97911053568646</v>
      </c>
      <c r="Q242" s="56">
        <f>Assumptions!$B$519*(1+Assumptions!$B$520)^Q$5</f>
        <v>573.07702158925508</v>
      </c>
      <c r="R242" s="56">
        <f>Assumptions!$B$519*(1+Assumptions!$B$520)^R$5</f>
        <v>630.3847237481807</v>
      </c>
      <c r="S242" s="56">
        <f>Assumptions!$B$519*(1+Assumptions!$B$520)^S$5</f>
        <v>693.42319612299877</v>
      </c>
    </row>
    <row r="243" spans="1:19" x14ac:dyDescent="0.2">
      <c r="A243" s="24" t="s">
        <v>2101</v>
      </c>
      <c r="D243" s="67">
        <f>D240*D241</f>
        <v>32.1</v>
      </c>
      <c r="E243" s="67">
        <f t="shared" ref="E243:S243" si="114">E240*E241</f>
        <v>51.295799999999993</v>
      </c>
      <c r="F243" s="67">
        <f t="shared" si="114"/>
        <v>81.970688399999986</v>
      </c>
      <c r="G243" s="67">
        <f t="shared" si="114"/>
        <v>130.98916006319996</v>
      </c>
      <c r="H243" s="67">
        <f t="shared" si="114"/>
        <v>209.32067778099349</v>
      </c>
      <c r="I243" s="67">
        <f t="shared" si="114"/>
        <v>334.49444309402759</v>
      </c>
      <c r="J243" s="67">
        <f t="shared" si="114"/>
        <v>534.522120064256</v>
      </c>
      <c r="K243" s="67">
        <f t="shared" si="114"/>
        <v>854.16634786268116</v>
      </c>
      <c r="L243" s="67">
        <f t="shared" si="114"/>
        <v>1364.9578238845643</v>
      </c>
      <c r="M243" s="67">
        <f t="shared" si="114"/>
        <v>2181.2026025675332</v>
      </c>
      <c r="N243" s="67">
        <f t="shared" si="114"/>
        <v>3485.561758902918</v>
      </c>
      <c r="O243" s="67">
        <f t="shared" si="114"/>
        <v>5569.9276907268631</v>
      </c>
      <c r="P243" s="67">
        <f t="shared" si="114"/>
        <v>8900.744449781525</v>
      </c>
      <c r="Q243" s="67">
        <f t="shared" si="114"/>
        <v>14223.389630750875</v>
      </c>
      <c r="R243" s="67">
        <f t="shared" si="114"/>
        <v>22728.976629939894</v>
      </c>
      <c r="S243" s="67">
        <f t="shared" si="114"/>
        <v>36320.904654643949</v>
      </c>
    </row>
    <row r="244" spans="1:19" x14ac:dyDescent="0.2">
      <c r="A244" s="24" t="s">
        <v>2102</v>
      </c>
      <c r="D244" s="67">
        <f>D240*D242</f>
        <v>9.9599999999999991</v>
      </c>
      <c r="E244" s="67">
        <f t="shared" ref="E244:S244" si="115">E240*E242</f>
        <v>17.507688000000002</v>
      </c>
      <c r="F244" s="67">
        <f t="shared" si="115"/>
        <v>30.775013966400003</v>
      </c>
      <c r="G244" s="67">
        <f t="shared" si="115"/>
        <v>54.096319550137913</v>
      </c>
      <c r="H244" s="67">
        <f t="shared" si="115"/>
        <v>95.090510505232416</v>
      </c>
      <c r="I244" s="67">
        <f t="shared" si="115"/>
        <v>167.15009936609752</v>
      </c>
      <c r="J244" s="67">
        <f t="shared" si="115"/>
        <v>293.81644466572624</v>
      </c>
      <c r="K244" s="67">
        <f t="shared" si="115"/>
        <v>516.47054643341369</v>
      </c>
      <c r="L244" s="67">
        <f t="shared" si="115"/>
        <v>907.85192652065439</v>
      </c>
      <c r="M244" s="67">
        <f t="shared" si="115"/>
        <v>1595.8221164380061</v>
      </c>
      <c r="N244" s="67">
        <f t="shared" si="115"/>
        <v>2805.1361162747276</v>
      </c>
      <c r="O244" s="67">
        <f t="shared" si="115"/>
        <v>4930.8682651877161</v>
      </c>
      <c r="P244" s="67">
        <f t="shared" si="115"/>
        <v>8667.4802365469659</v>
      </c>
      <c r="Q244" s="67">
        <f t="shared" si="115"/>
        <v>15235.696759802255</v>
      </c>
      <c r="R244" s="67">
        <f t="shared" si="115"/>
        <v>26781.307764380403</v>
      </c>
      <c r="S244" s="67">
        <f t="shared" si="115"/>
        <v>47076.182788227874</v>
      </c>
    </row>
    <row r="245" spans="1:19" x14ac:dyDescent="0.2">
      <c r="A245" s="24" t="s">
        <v>2103</v>
      </c>
      <c r="D245" s="56">
        <f>Assumptions!$B$521</f>
        <v>1.4999999999999999E-2</v>
      </c>
      <c r="E245" s="56">
        <f>Assumptions!$B$521*(1+Assumptions!$B$522)^E$5</f>
        <v>2.6009999999999998E-2</v>
      </c>
      <c r="F245" s="56">
        <f>Assumptions!$B$521*(1+Assumptions!$B$522)^F$5</f>
        <v>4.5101339999999997E-2</v>
      </c>
      <c r="G245" s="56">
        <f>Assumptions!$B$521*(1+Assumptions!$B$522)^G$5</f>
        <v>7.8205723559999996E-2</v>
      </c>
      <c r="H245" s="56">
        <f>Assumptions!$B$521*(1+Assumptions!$B$522)^H$5</f>
        <v>0.13560872465303997</v>
      </c>
      <c r="I245" s="56">
        <f>Assumptions!$B$521*(1+Assumptions!$B$522)^I$5</f>
        <v>0.23514552854837134</v>
      </c>
      <c r="J245" s="56">
        <f>Assumptions!$B$521*(1+Assumptions!$B$522)^J$5</f>
        <v>0.40774234650287589</v>
      </c>
      <c r="K245" s="56">
        <f>Assumptions!$B$521*(1+Assumptions!$B$522)^K$5</f>
        <v>0.70702522883598673</v>
      </c>
      <c r="L245" s="56">
        <f>Assumptions!$B$521*(1+Assumptions!$B$522)^L$5</f>
        <v>1.225981746801601</v>
      </c>
      <c r="M245" s="56">
        <f>Assumptions!$B$521*(1+Assumptions!$B$522)^M$5</f>
        <v>2.1258523489539765</v>
      </c>
      <c r="N245" s="56">
        <f>Assumptions!$B$521*(1+Assumptions!$B$522)^N$5</f>
        <v>3.6862279730861944</v>
      </c>
      <c r="O245" s="56">
        <f>Assumptions!$B$521*(1+Assumptions!$B$522)^O$5</f>
        <v>6.3919193053314611</v>
      </c>
      <c r="P245" s="56">
        <f>Assumptions!$B$521*(1+Assumptions!$B$522)^P$5</f>
        <v>11.083588075444753</v>
      </c>
      <c r="Q245" s="56">
        <f>Assumptions!$B$521*(1+Assumptions!$B$522)^Q$5</f>
        <v>19.218941722821203</v>
      </c>
      <c r="R245" s="56">
        <f>Assumptions!$B$521*(1+Assumptions!$B$522)^R$5</f>
        <v>33.32564494737197</v>
      </c>
      <c r="S245" s="56">
        <f>Assumptions!$B$521*(1+Assumptions!$B$522)^S$5</f>
        <v>57.786668338742977</v>
      </c>
    </row>
    <row r="246" spans="1:19" x14ac:dyDescent="0.2">
      <c r="A246" s="24" t="s">
        <v>2104</v>
      </c>
      <c r="D246" s="62">
        <f>Assumptions!$B$523</f>
        <v>2400</v>
      </c>
      <c r="E246" s="62">
        <f>Assumptions!$B$523*(1+Assumptions!$B$524)^E$5</f>
        <v>2400</v>
      </c>
      <c r="F246" s="62">
        <f>Assumptions!$B$523*(1+Assumptions!$B$524)^F$5</f>
        <v>2400</v>
      </c>
      <c r="G246" s="62">
        <f>Assumptions!$B$523*(1+Assumptions!$B$524)^G$5</f>
        <v>2400</v>
      </c>
      <c r="H246" s="62">
        <f>Assumptions!$B$523*(1+Assumptions!$B$524)^H$5</f>
        <v>2400</v>
      </c>
      <c r="I246" s="62">
        <f>Assumptions!$B$523*(1+Assumptions!$B$524)^I$5</f>
        <v>2400</v>
      </c>
      <c r="J246" s="62">
        <f>Assumptions!$B$523*(1+Assumptions!$B$524)^J$5</f>
        <v>2400</v>
      </c>
      <c r="K246" s="62">
        <f>Assumptions!$B$523*(1+Assumptions!$B$524)^K$5</f>
        <v>2400</v>
      </c>
      <c r="L246" s="62">
        <f>Assumptions!$B$523*(1+Assumptions!$B$524)^L$5</f>
        <v>2400</v>
      </c>
      <c r="M246" s="62">
        <f>Assumptions!$B$523*(1+Assumptions!$B$524)^M$5</f>
        <v>2400</v>
      </c>
      <c r="N246" s="62">
        <f>Assumptions!$B$523*(1+Assumptions!$B$524)^N$5</f>
        <v>2400</v>
      </c>
      <c r="O246" s="62">
        <f>Assumptions!$B$523*(1+Assumptions!$B$524)^O$5</f>
        <v>2400</v>
      </c>
      <c r="P246" s="62">
        <f>Assumptions!$B$523*(1+Assumptions!$B$524)^P$5</f>
        <v>2400</v>
      </c>
      <c r="Q246" s="62">
        <f>Assumptions!$B$523*(1+Assumptions!$B$524)^Q$5</f>
        <v>2400</v>
      </c>
      <c r="R246" s="62">
        <f>Assumptions!$B$523*(1+Assumptions!$B$524)^R$5</f>
        <v>2400</v>
      </c>
      <c r="S246" s="62">
        <f>Assumptions!$B$523*(1+Assumptions!$B$524)^S$5</f>
        <v>2400</v>
      </c>
    </row>
    <row r="247" spans="1:19" x14ac:dyDescent="0.2">
      <c r="A247" s="24" t="s">
        <v>2105</v>
      </c>
      <c r="D247" s="56">
        <f>Assumptions!$B$525</f>
        <v>233</v>
      </c>
      <c r="E247" s="56">
        <f>Assumptions!$B$525*(1+Assumptions!$B$526)^E$5</f>
        <v>260.96000000000004</v>
      </c>
      <c r="F247" s="56">
        <f>Assumptions!$B$525*(1+Assumptions!$B$526)^F$5</f>
        <v>292.27520000000004</v>
      </c>
      <c r="G247" s="56">
        <f>Assumptions!$B$525*(1+Assumptions!$B$526)^G$5</f>
        <v>327.34822400000007</v>
      </c>
      <c r="H247" s="56">
        <f>Assumptions!$B$525*(1+Assumptions!$B$526)^H$5</f>
        <v>366.6300108800001</v>
      </c>
      <c r="I247" s="56">
        <f>Assumptions!$B$525*(1+Assumptions!$B$526)^I$5</f>
        <v>410.62561218560012</v>
      </c>
      <c r="J247" s="56">
        <f>Assumptions!$B$525*(1+Assumptions!$B$526)^J$5</f>
        <v>459.90068564787219</v>
      </c>
      <c r="K247" s="56">
        <f>Assumptions!$B$525*(1+Assumptions!$B$526)^K$5</f>
        <v>515.08876792561682</v>
      </c>
      <c r="L247" s="56">
        <f>Assumptions!$B$525*(1+Assumptions!$B$526)^L$5</f>
        <v>576.89942007669094</v>
      </c>
      <c r="M247" s="56">
        <f>Assumptions!$B$525*(1+Assumptions!$B$526)^M$5</f>
        <v>646.12735048589388</v>
      </c>
      <c r="N247" s="56">
        <f>Assumptions!$B$525*(1+Assumptions!$B$526)^N$5</f>
        <v>723.66263254420119</v>
      </c>
      <c r="O247" s="56">
        <f>Assumptions!$B$525*(1+Assumptions!$B$526)^O$5</f>
        <v>810.50214844950551</v>
      </c>
      <c r="P247" s="56">
        <f>Assumptions!$B$525*(1+Assumptions!$B$526)^P$5</f>
        <v>907.76240626344611</v>
      </c>
      <c r="Q247" s="56">
        <f>Assumptions!$B$525*(1+Assumptions!$B$526)^Q$5</f>
        <v>1016.6938950150598</v>
      </c>
      <c r="R247" s="56">
        <f>Assumptions!$B$525*(1+Assumptions!$B$526)^R$5</f>
        <v>1138.6971624168671</v>
      </c>
      <c r="S247" s="56">
        <f>Assumptions!$B$525*(1+Assumptions!$B$526)^S$5</f>
        <v>1275.3408219068911</v>
      </c>
    </row>
    <row r="248" spans="1:19" x14ac:dyDescent="0.2">
      <c r="A248" s="24" t="s">
        <v>2106</v>
      </c>
      <c r="D248" s="67">
        <f>D245*D246</f>
        <v>36</v>
      </c>
      <c r="E248" s="67">
        <f t="shared" ref="E248:S248" si="116">E245*E246</f>
        <v>62.423999999999999</v>
      </c>
      <c r="F248" s="67">
        <f t="shared" si="116"/>
        <v>108.24321599999999</v>
      </c>
      <c r="G248" s="67">
        <f t="shared" si="116"/>
        <v>187.69373654399999</v>
      </c>
      <c r="H248" s="67">
        <f t="shared" si="116"/>
        <v>325.46093916729592</v>
      </c>
      <c r="I248" s="67">
        <f t="shared" si="116"/>
        <v>564.34926851609123</v>
      </c>
      <c r="J248" s="67">
        <f t="shared" si="116"/>
        <v>978.58163160690208</v>
      </c>
      <c r="K248" s="67">
        <f t="shared" si="116"/>
        <v>1696.8605492063682</v>
      </c>
      <c r="L248" s="67">
        <f t="shared" si="116"/>
        <v>2942.3561923238422</v>
      </c>
      <c r="M248" s="67">
        <f t="shared" si="116"/>
        <v>5102.0456374895439</v>
      </c>
      <c r="N248" s="67">
        <f t="shared" si="116"/>
        <v>8846.9471354068664</v>
      </c>
      <c r="O248" s="67">
        <f t="shared" si="116"/>
        <v>15340.606332795507</v>
      </c>
      <c r="P248" s="67">
        <f t="shared" si="116"/>
        <v>26600.611381067407</v>
      </c>
      <c r="Q248" s="67">
        <f t="shared" si="116"/>
        <v>46125.460134770889</v>
      </c>
      <c r="R248" s="67">
        <f t="shared" si="116"/>
        <v>79981.547873692733</v>
      </c>
      <c r="S248" s="67">
        <f t="shared" si="116"/>
        <v>138688.00401298315</v>
      </c>
    </row>
    <row r="249" spans="1:19" x14ac:dyDescent="0.2">
      <c r="A249" s="24" t="s">
        <v>2107</v>
      </c>
      <c r="D249" s="67">
        <f>D245*D247</f>
        <v>3.4949999999999997</v>
      </c>
      <c r="E249" s="67">
        <f t="shared" ref="E249:S249" si="117">E245*E247</f>
        <v>6.7875696000000003</v>
      </c>
      <c r="F249" s="67">
        <f t="shared" si="117"/>
        <v>13.182003168768</v>
      </c>
      <c r="G249" s="67">
        <f t="shared" si="117"/>
        <v>25.600504714000962</v>
      </c>
      <c r="H249" s="67">
        <f t="shared" si="117"/>
        <v>49.718228194966983</v>
      </c>
      <c r="I249" s="67">
        <f t="shared" si="117"/>
        <v>96.556776612881492</v>
      </c>
      <c r="J249" s="67">
        <f t="shared" si="117"/>
        <v>187.52098472434491</v>
      </c>
      <c r="K249" s="67">
        <f t="shared" si="117"/>
        <v>364.18075401345567</v>
      </c>
      <c r="L249" s="67">
        <f t="shared" si="117"/>
        <v>707.2681587544522</v>
      </c>
      <c r="M249" s="67">
        <f t="shared" si="117"/>
        <v>1373.5713457538468</v>
      </c>
      <c r="N249" s="67">
        <f t="shared" si="117"/>
        <v>2667.5854391616303</v>
      </c>
      <c r="O249" s="67">
        <f t="shared" si="117"/>
        <v>5180.6643296870197</v>
      </c>
      <c r="P249" s="67">
        <f t="shared" si="117"/>
        <v>10061.264581398567</v>
      </c>
      <c r="Q249" s="67">
        <f t="shared" si="117"/>
        <v>19539.780718242531</v>
      </c>
      <c r="R249" s="67">
        <f t="shared" si="117"/>
        <v>37947.817337284469</v>
      </c>
      <c r="S249" s="67">
        <f t="shared" si="117"/>
        <v>73697.697094393385</v>
      </c>
    </row>
    <row r="250" spans="1:19" x14ac:dyDescent="0.2">
      <c r="A250" s="24" t="s">
        <v>2108</v>
      </c>
      <c r="D250" s="56">
        <f>D225+D230+D235+D240+D245</f>
        <v>101.08499999999999</v>
      </c>
      <c r="E250" s="56">
        <f t="shared" ref="E250:S250" si="118">E225+E230+E235+E240+E245</f>
        <v>123.70493999999999</v>
      </c>
      <c r="F250" s="56">
        <f t="shared" si="118"/>
        <v>151.46008043000006</v>
      </c>
      <c r="G250" s="56">
        <f t="shared" si="118"/>
        <v>185.55234451773003</v>
      </c>
      <c r="H250" s="56">
        <f t="shared" si="118"/>
        <v>227.48283246207495</v>
      </c>
      <c r="I250" s="56">
        <f t="shared" si="118"/>
        <v>279.13509008876133</v>
      </c>
      <c r="J250" s="56">
        <f t="shared" si="118"/>
        <v>342.88578122360531</v>
      </c>
      <c r="K250" s="56">
        <f t="shared" si="118"/>
        <v>421.75369583112854</v>
      </c>
      <c r="L250" s="56">
        <f t="shared" si="118"/>
        <v>519.60317945642794</v>
      </c>
      <c r="M250" s="56">
        <f t="shared" si="118"/>
        <v>641.42595893410044</v>
      </c>
      <c r="N250" s="56">
        <f t="shared" si="118"/>
        <v>793.73753750905507</v>
      </c>
      <c r="O250" s="56">
        <f t="shared" si="118"/>
        <v>985.14336841615511</v>
      </c>
      <c r="P250" s="56">
        <f t="shared" si="118"/>
        <v>1227.1599809705224</v>
      </c>
      <c r="Q250" s="56">
        <f t="shared" si="118"/>
        <v>1535.4237847244467</v>
      </c>
      <c r="R250" s="56">
        <f t="shared" si="118"/>
        <v>1931.4963068616639</v>
      </c>
      <c r="S250" s="56">
        <f t="shared" si="118"/>
        <v>2445.5970351022834</v>
      </c>
    </row>
    <row r="251" spans="1:19" x14ac:dyDescent="0.2">
      <c r="A251" s="24" t="s">
        <v>2109</v>
      </c>
      <c r="D251" s="62">
        <f>Assumptions!$B$527</f>
        <v>1</v>
      </c>
      <c r="E251" s="62">
        <f>Assumptions!$B$527*(1+Assumptions!$B$528)^E$5</f>
        <v>1.2130000000000001</v>
      </c>
      <c r="F251" s="62">
        <f>Assumptions!$B$527*(1+Assumptions!$B$528)^F$5</f>
        <v>1.4713690000000001</v>
      </c>
      <c r="G251" s="62">
        <f>Assumptions!$B$527*(1+Assumptions!$B$528)^G$5</f>
        <v>1.7847705970000003</v>
      </c>
      <c r="H251" s="62">
        <f>Assumptions!$B$527*(1+Assumptions!$B$528)^H$5</f>
        <v>2.1649267341610003</v>
      </c>
      <c r="I251" s="62">
        <f>Assumptions!$B$527*(1+Assumptions!$B$528)^I$5</f>
        <v>2.6260561285372934</v>
      </c>
      <c r="J251" s="62">
        <f>Assumptions!$B$527*(1+Assumptions!$B$528)^J$5</f>
        <v>3.1854060839157374</v>
      </c>
      <c r="K251" s="62">
        <f>Assumptions!$B$527*(1+Assumptions!$B$528)^K$5</f>
        <v>3.8638975797897896</v>
      </c>
      <c r="L251" s="62">
        <f>Assumptions!$B$527*(1+Assumptions!$B$528)^L$5</f>
        <v>4.6869077642850145</v>
      </c>
      <c r="M251" s="62">
        <f>Assumptions!$B$527*(1+Assumptions!$B$528)^M$5</f>
        <v>5.6852191180777227</v>
      </c>
      <c r="N251" s="62">
        <f>Assumptions!$B$527*(1+Assumptions!$B$528)^N$5</f>
        <v>6.8961707902282781</v>
      </c>
      <c r="O251" s="62">
        <f>Assumptions!$B$527*(1+Assumptions!$B$528)^O$5</f>
        <v>8.3650551685469026</v>
      </c>
      <c r="P251" s="62">
        <f>Assumptions!$B$527*(1+Assumptions!$B$528)^P$5</f>
        <v>10.146811919447392</v>
      </c>
      <c r="Q251" s="62">
        <f>Assumptions!$B$527*(1+Assumptions!$B$528)^Q$5</f>
        <v>12.308082858289687</v>
      </c>
      <c r="R251" s="62">
        <f>Assumptions!$B$527*(1+Assumptions!$B$528)^R$5</f>
        <v>14.929704507105392</v>
      </c>
      <c r="S251" s="62">
        <f>Assumptions!$B$527*(1+Assumptions!$B$528)^S$5</f>
        <v>18.109731567118843</v>
      </c>
    </row>
    <row r="252" spans="1:19" x14ac:dyDescent="0.2">
      <c r="A252" s="24" t="s">
        <v>2110</v>
      </c>
      <c r="D252" s="67">
        <f>D250*D251</f>
        <v>101.08499999999999</v>
      </c>
      <c r="E252" s="67">
        <f t="shared" ref="E252:S252" si="119">E250*E251</f>
        <v>150.05409222</v>
      </c>
      <c r="F252" s="67">
        <f t="shared" si="119"/>
        <v>222.85366708220877</v>
      </c>
      <c r="G252" s="67">
        <f t="shared" si="119"/>
        <v>331.16836869965874</v>
      </c>
      <c r="H252" s="67">
        <f t="shared" si="119"/>
        <v>492.48366555981391</v>
      </c>
      <c r="I252" s="67">
        <f t="shared" si="119"/>
        <v>733.02441401740123</v>
      </c>
      <c r="J252" s="67">
        <f t="shared" si="119"/>
        <v>1092.2304535978728</v>
      </c>
      <c r="K252" s="67">
        <f t="shared" si="119"/>
        <v>1629.6130845892967</v>
      </c>
      <c r="L252" s="67">
        <f t="shared" si="119"/>
        <v>2435.3321761415118</v>
      </c>
      <c r="M252" s="67">
        <f t="shared" si="119"/>
        <v>3646.6471245634839</v>
      </c>
      <c r="N252" s="67">
        <f t="shared" si="119"/>
        <v>5473.7496212776678</v>
      </c>
      <c r="O252" s="67">
        <f t="shared" si="119"/>
        <v>8240.7786257292646</v>
      </c>
      <c r="P252" s="67">
        <f t="shared" si="119"/>
        <v>12451.761521980532</v>
      </c>
      <c r="Q252" s="67">
        <f t="shared" si="119"/>
        <v>18898.123164977238</v>
      </c>
      <c r="R252" s="67">
        <f t="shared" si="119"/>
        <v>28836.669118010002</v>
      </c>
      <c r="S252" s="67">
        <f t="shared" si="119"/>
        <v>44289.10582704407</v>
      </c>
    </row>
    <row r="253" spans="1:19" x14ac:dyDescent="0.2">
      <c r="A253" s="186" t="s">
        <v>2111</v>
      </c>
      <c r="D253" s="242">
        <f>D230+D235+D240+D245</f>
        <v>1.085</v>
      </c>
      <c r="E253" s="242">
        <f t="shared" ref="E253:S253" si="120">E230+E235+E240+E245</f>
        <v>1.6049399999999998</v>
      </c>
      <c r="F253" s="242">
        <f t="shared" si="120"/>
        <v>2.3759804299999998</v>
      </c>
      <c r="G253" s="242">
        <f t="shared" si="120"/>
        <v>3.5206584177299991</v>
      </c>
      <c r="H253" s="242">
        <f t="shared" si="120"/>
        <v>5.2221437339748498</v>
      </c>
      <c r="I253" s="242">
        <f t="shared" si="120"/>
        <v>7.7547891517511447</v>
      </c>
      <c r="J253" s="242">
        <f t="shared" si="120"/>
        <v>11.530433779515802</v>
      </c>
      <c r="K253" s="242">
        <f t="shared" si="120"/>
        <v>17.168816601895131</v>
      </c>
      <c r="L253" s="242">
        <f t="shared" si="120"/>
        <v>25.605041917533921</v>
      </c>
      <c r="M253" s="242">
        <f t="shared" si="120"/>
        <v>38.25423299911089</v>
      </c>
      <c r="N253" s="242">
        <f t="shared" si="120"/>
        <v>57.264860142432752</v>
      </c>
      <c r="O253" s="242">
        <f t="shared" si="120"/>
        <v>85.91022935150923</v>
      </c>
      <c r="P253" s="242">
        <f t="shared" si="120"/>
        <v>129.19631817258929</v>
      </c>
      <c r="Q253" s="242">
        <f t="shared" si="120"/>
        <v>194.81015244817041</v>
      </c>
      <c r="R253" s="242">
        <f t="shared" si="120"/>
        <v>294.60706185233033</v>
      </c>
      <c r="S253" s="242">
        <f t="shared" si="120"/>
        <v>446.95526694588699</v>
      </c>
    </row>
    <row r="254" spans="1:19" x14ac:dyDescent="0.2">
      <c r="A254" s="186" t="s">
        <v>2112</v>
      </c>
      <c r="D254" s="75">
        <f>D228+D233+D238+D243+D248+D252</f>
        <v>483.065</v>
      </c>
      <c r="E254" s="75">
        <f t="shared" ref="E254:S254" si="121">E228+E233+E238+E243+E248+E252</f>
        <v>724.62809221999998</v>
      </c>
      <c r="F254" s="75">
        <f t="shared" si="121"/>
        <v>1089.7173544822087</v>
      </c>
      <c r="G254" s="75">
        <f t="shared" si="121"/>
        <v>1643.3443176218582</v>
      </c>
      <c r="H254" s="75">
        <f t="shared" si="121"/>
        <v>2485.9660497527584</v>
      </c>
      <c r="I254" s="75">
        <f t="shared" si="121"/>
        <v>3773.6146812320112</v>
      </c>
      <c r="J254" s="75">
        <f t="shared" si="121"/>
        <v>5749.9705587368935</v>
      </c>
      <c r="K254" s="75">
        <f t="shared" si="121"/>
        <v>8797.782406614966</v>
      </c>
      <c r="L254" s="75">
        <f t="shared" si="121"/>
        <v>13521.817340419753</v>
      </c>
      <c r="M254" s="75">
        <f t="shared" si="121"/>
        <v>20883.500557444684</v>
      </c>
      <c r="N254" s="75">
        <f t="shared" si="121"/>
        <v>32420.783611139574</v>
      </c>
      <c r="O254" s="75">
        <f t="shared" si="121"/>
        <v>50609.324848202654</v>
      </c>
      <c r="P254" s="75">
        <f t="shared" si="121"/>
        <v>79459.224904290459</v>
      </c>
      <c r="Q254" s="75">
        <f t="shared" si="121"/>
        <v>125506.42630330606</v>
      </c>
      <c r="R254" s="75">
        <f t="shared" si="121"/>
        <v>199468.60834757259</v>
      </c>
      <c r="S254" s="75">
        <f t="shared" si="121"/>
        <v>319025.16958873224</v>
      </c>
    </row>
    <row r="255" spans="1:19" x14ac:dyDescent="0.2">
      <c r="A255" s="186" t="s">
        <v>2113</v>
      </c>
      <c r="D255" s="75">
        <f>D229+D234+D239+D244+D249</f>
        <v>288.80500000000001</v>
      </c>
      <c r="E255" s="75">
        <f t="shared" ref="E255:S255" si="122">E229+E234+E239+E244+E249</f>
        <v>401.82565509999995</v>
      </c>
      <c r="F255" s="75">
        <f t="shared" si="122"/>
        <v>567.38280379214314</v>
      </c>
      <c r="G255" s="75">
        <f t="shared" si="122"/>
        <v>814.11236366524804</v>
      </c>
      <c r="H255" s="75">
        <f t="shared" si="122"/>
        <v>1188.2163079350319</v>
      </c>
      <c r="I255" s="75">
        <f t="shared" si="122"/>
        <v>1765.1379268998085</v>
      </c>
      <c r="J255" s="75">
        <f t="shared" si="122"/>
        <v>2669.4563606117135</v>
      </c>
      <c r="K255" s="75">
        <f t="shared" si="122"/>
        <v>4109.0625096451959</v>
      </c>
      <c r="L255" s="75">
        <f t="shared" si="122"/>
        <v>6434.33739562952</v>
      </c>
      <c r="M255" s="75">
        <f t="shared" si="122"/>
        <v>10241.429414584843</v>
      </c>
      <c r="N255" s="75">
        <f t="shared" si="122"/>
        <v>16553.882814146884</v>
      </c>
      <c r="O255" s="75">
        <f t="shared" si="122"/>
        <v>27144.469058599589</v>
      </c>
      <c r="P255" s="75">
        <f t="shared" si="122"/>
        <v>45109.633575266686</v>
      </c>
      <c r="Q255" s="75">
        <f t="shared" si="122"/>
        <v>75902.118121571577</v>
      </c>
      <c r="R255" s="75">
        <f t="shared" si="122"/>
        <v>129199.8262867654</v>
      </c>
      <c r="S255" s="75">
        <f t="shared" si="122"/>
        <v>222310.03179203806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AC120"/>
  <sheetViews>
    <sheetView showGridLines="0" topLeftCell="A54" zoomScale="101" workbookViewId="0">
      <selection activeCell="L120" sqref="L120"/>
    </sheetView>
  </sheetViews>
  <sheetFormatPr baseColWidth="10" defaultColWidth="10.6640625" defaultRowHeight="16" x14ac:dyDescent="0.2"/>
  <cols>
    <col min="1" max="1" width="56.6640625" customWidth="1"/>
  </cols>
  <sheetData>
    <row r="4" spans="1:29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  <c r="T4" s="151"/>
      <c r="U4" s="151"/>
      <c r="V4" s="151"/>
      <c r="W4" s="151"/>
      <c r="X4" s="151"/>
      <c r="Y4" s="151"/>
      <c r="Z4" s="151"/>
      <c r="AA4" s="151"/>
      <c r="AB4" s="151"/>
      <c r="AC4" s="151"/>
    </row>
    <row r="5" spans="1:29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  <c r="T5" s="152"/>
      <c r="U5" s="152"/>
      <c r="V5" s="152"/>
      <c r="W5" s="152"/>
      <c r="X5" s="152"/>
      <c r="Y5" s="152"/>
      <c r="Z5" s="152"/>
      <c r="AA5" s="152"/>
      <c r="AB5" s="152"/>
      <c r="AC5" s="152"/>
    </row>
    <row r="6" spans="1:2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">
      <c r="A7" s="18" t="s">
        <v>689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 x14ac:dyDescent="0.2">
      <c r="A8" s="20" t="s">
        <v>690</v>
      </c>
      <c r="B8" s="20"/>
      <c r="C8" s="20"/>
      <c r="D8" s="100">
        <f>INDEX(Assumptions!$B:$B, MATCH("Lunar/Mars carve-out % of prior-year Group FCF", Assumptions!$A$1:$A$327, 0))</f>
        <v>0.15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x14ac:dyDescent="0.2">
      <c r="A9" s="22" t="s">
        <v>691</v>
      </c>
      <c r="B9" s="8"/>
      <c r="C9" s="8"/>
      <c r="D9" s="66">
        <f>INDEX(Assumptions!$B:$B, MATCH("Lunar/Mars carve-out floor ($mm/yr)", Assumptions!$A$1:$A$327, 0))</f>
        <v>1000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A10" s="22" t="s">
        <v>692</v>
      </c>
      <c r="B10" s="8"/>
      <c r="C10" s="8"/>
      <c r="D10" s="66">
        <f>Assumptions!$B$15</f>
        <v>700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">
      <c r="A11" s="22" t="s">
        <v>148</v>
      </c>
      <c r="B11" s="8"/>
      <c r="C11" s="8"/>
      <c r="D11" s="93">
        <f>INDEX(Assumptions!$B:$B, MATCH("First mission year (Lunar Mars)", Assumptions!$A$1:$A$327, 0))</f>
        <v>2030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">
      <c r="A12" s="22" t="s">
        <v>1392</v>
      </c>
      <c r="B12" s="8"/>
      <c r="C12" s="8"/>
      <c r="D12" s="118">
        <f>INDEX(Assumptions!$B:$B, MATCH("Capital lifetime: BV straight-line depreciation (years)", Assumptions!$A$1:$A$327, 0))</f>
        <v>10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">
      <c r="A13" s="22" t="s">
        <v>1393</v>
      </c>
      <c r="B13" s="8"/>
      <c r="C13" s="8"/>
      <c r="D13" s="92">
        <f>INDEX(Assumptions!$B:$B, MATCH("Module operating cost: Lunar (% of Lunar CapEx)", Assumptions!$A$1:$A$327, 0))</f>
        <v>0.05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">
      <c r="A14" s="22" t="s">
        <v>1394</v>
      </c>
      <c r="B14" s="8"/>
      <c r="C14" s="8"/>
      <c r="D14" s="92">
        <f>INDEX(Assumptions!$B:$B, MATCH("Module operating cost: Mars (% of Mars CapEx)", Assumptions!$A$1:$A$327, 0))</f>
        <v>0.05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">
      <c r="A15" s="22" t="s">
        <v>150</v>
      </c>
      <c r="B15" s="8"/>
      <c r="C15" s="8"/>
      <c r="D15" s="66">
        <f>INDEX(Assumptions!$B:$B, MATCH("Labour unit mass (kg)", Assumptions!$A$1:$A$327, 0))</f>
        <v>60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">
      <c r="A16" s="22" t="s">
        <v>693</v>
      </c>
      <c r="B16" s="8"/>
      <c r="C16" s="8"/>
      <c r="D16" s="190">
        <f>INDEX(Assumptions!$B:$B, MATCH("Labour unit base hourly output ($/hr; burdened $22/0.7)", Assumptions!$A$1:$A$327, 0))</f>
        <v>31.43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">
      <c r="A17" s="22" t="s">
        <v>153</v>
      </c>
      <c r="B17" s="8"/>
      <c r="C17" s="8"/>
      <c r="D17" s="93">
        <f>INDEX(Assumptions!$B:$B, MATCH("Labour unit daily working hours", Assumptions!$A$1:$A$327, 0))</f>
        <v>22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">
      <c r="A18" s="22" t="s">
        <v>694</v>
      </c>
      <c r="B18" s="8"/>
      <c r="C18" s="8"/>
      <c r="D18" s="60">
        <f>INDEX(Assumptions!$B:$B, MATCH("Labour unit productivity factor vs human baseline", Assumptions!$A$1:$A$327, 0))</f>
        <v>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">
      <c r="A19" s="22" t="s">
        <v>158</v>
      </c>
      <c r="B19" s="8"/>
      <c r="C19" s="8"/>
      <c r="D19" s="92">
        <f>INDEX(Assumptions!$B:$B, MATCH("Labour unit productivity learning rate (%/yr)", Assumptions!$A$1:$A$327, 0))</f>
        <v>0.05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">
      <c r="A20" s="22" t="s">
        <v>695</v>
      </c>
      <c r="B20" s="8"/>
      <c r="C20" s="8"/>
      <c r="D20" s="118">
        <f>INDEX(Assumptions!$B:$B, MATCH("Labour unit operational lifespan on surface (years)", Assumptions!$A$1:$A$327, 0))</f>
        <v>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">
      <c r="A21" s="22" t="s">
        <v>165</v>
      </c>
      <c r="B21" s="8"/>
      <c r="C21" s="8"/>
      <c r="D21" s="66">
        <f>INDEX(Assumptions!$B:$B, MATCH("Lunar payload per surface-landed Starship (kg)", Assumptions!$A$1:$A$327, 0))</f>
        <v>50000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">
      <c r="A22" s="22" t="s">
        <v>167</v>
      </c>
      <c r="B22" s="8"/>
      <c r="C22" s="8"/>
      <c r="D22" s="92">
        <f>INDEX(Assumptions!$B:$B, MATCH("Lunar % payload as labour units", Assumptions!$A$1:$A$327, 0))</f>
        <v>0.3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">
      <c r="A23" s="22" t="s">
        <v>172</v>
      </c>
      <c r="B23" s="8"/>
      <c r="C23" s="8"/>
      <c r="D23" s="66">
        <f>INDEX(Assumptions!$B:$B, MATCH("Mars payload per surface-landed Starship (kg)", Assumptions!$A$1:$A$327, 0))</f>
        <v>100000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">
      <c r="A24" s="22" t="s">
        <v>174</v>
      </c>
      <c r="B24" s="8"/>
      <c r="C24" s="8"/>
      <c r="D24" s="92">
        <f>INDEX(Assumptions!$B:$B, MATCH("Mars % payload as labour units", Assumptions!$A$1:$A$327, 0))</f>
        <v>0.3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">
      <c r="A25" s="22" t="s">
        <v>696</v>
      </c>
      <c r="B25" s="8"/>
      <c r="C25" s="8"/>
      <c r="D25" s="66">
        <f>INDEX(Assumptions!$B:$B, MATCH("Labour unit cost ($/unit): declining curve", Assumptions!$A$1:$A$327, 0))</f>
        <v>40000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">
      <c r="A26" s="22" t="s">
        <v>697</v>
      </c>
      <c r="B26" s="8"/>
      <c r="C26" s="8"/>
      <c r="D26" s="66">
        <f>INDEX(Assumptions!$B:$B, MATCH("Hardware replacement cost factor ($/kg landed): declining", Assumptions!$A$1:$A$327, 0))</f>
        <v>15000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">
      <c r="A28" s="18" t="s">
        <v>1793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x14ac:dyDescent="0.2">
      <c r="A29" s="24" t="s">
        <v>1395</v>
      </c>
      <c r="B29" s="8"/>
      <c r="C29" s="8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spans="1:29" x14ac:dyDescent="0.2">
      <c r="A30" s="22" t="s">
        <v>698</v>
      </c>
      <c r="B30" s="8"/>
      <c r="C30" s="8"/>
      <c r="D30" s="66">
        <f>INDEX('Cash Allocation Engine'!D:D,MATCH("Lunar/Mars carve-out cash ($mm)",'Cash Allocation Engine'!$A$1:$A$91,0))</f>
        <v>700</v>
      </c>
      <c r="E30" s="66">
        <f>INDEX('Cash Allocation Engine'!E:E,MATCH("Lunar/Mars carve-out cash ($mm)",'Cash Allocation Engine'!$A$1:$A$91,0))</f>
        <v>700</v>
      </c>
      <c r="F30" s="66">
        <f>INDEX('Cash Allocation Engine'!F:F,MATCH("Lunar/Mars carve-out cash ($mm)",'Cash Allocation Engine'!$A$1:$A$91,0))</f>
        <v>700</v>
      </c>
      <c r="G30" s="66">
        <f>INDEX('Cash Allocation Engine'!G:G,MATCH("Lunar/Mars carve-out cash ($mm)",'Cash Allocation Engine'!$A$1:$A$91,0))</f>
        <v>700</v>
      </c>
      <c r="H30" s="66">
        <f>INDEX('Cash Allocation Engine'!H:H,MATCH("Lunar/Mars carve-out cash ($mm)",'Cash Allocation Engine'!$A$1:$A$91,0))</f>
        <v>700</v>
      </c>
      <c r="I30" s="66">
        <f ca="1">INDEX('Cash Allocation Engine'!I:I,MATCH("Lunar/Mars carve-out cash ($mm)",'Cash Allocation Engine'!$A$1:$A$91,0))</f>
        <v>14863.061562173079</v>
      </c>
      <c r="J30" s="66">
        <f ca="1">INDEX('Cash Allocation Engine'!J:J,MATCH("Lunar/Mars carve-out cash ($mm)",'Cash Allocation Engine'!$A$1:$A$91,0))</f>
        <v>15637.176088763632</v>
      </c>
      <c r="K30" s="66">
        <f ca="1">INDEX('Cash Allocation Engine'!K:K,MATCH("Lunar/Mars carve-out cash ($mm)",'Cash Allocation Engine'!$A$1:$A$91,0))</f>
        <v>18483.910353186762</v>
      </c>
      <c r="L30" s="66">
        <f ca="1">INDEX('Cash Allocation Engine'!L:L,MATCH("Lunar/Mars carve-out cash ($mm)",'Cash Allocation Engine'!$A$1:$A$91,0))</f>
        <v>13878.807468103392</v>
      </c>
      <c r="M30" s="66">
        <f ca="1">INDEX('Cash Allocation Engine'!M:M,MATCH("Lunar/Mars carve-out cash ($mm)",'Cash Allocation Engine'!$A$1:$A$91,0))</f>
        <v>21935.389692153189</v>
      </c>
      <c r="N30" s="66">
        <f ca="1">INDEX('Cash Allocation Engine'!N:N,MATCH("Lunar/Mars carve-out cash ($mm)",'Cash Allocation Engine'!$A$1:$A$91,0))</f>
        <v>20009.772993663591</v>
      </c>
      <c r="O30" s="66">
        <f ca="1">INDEX('Cash Allocation Engine'!O:O,MATCH("Lunar/Mars carve-out cash ($mm)",'Cash Allocation Engine'!$A$1:$A$91,0))</f>
        <v>23904.501943829422</v>
      </c>
      <c r="P30" s="66">
        <f ca="1">INDEX('Cash Allocation Engine'!P:P,MATCH("Lunar/Mars carve-out cash ($mm)",'Cash Allocation Engine'!$A$1:$A$91,0))</f>
        <v>26587.675008960563</v>
      </c>
      <c r="Q30" s="66">
        <f ca="1">INDEX('Cash Allocation Engine'!Q:Q,MATCH("Lunar/Mars carve-out cash ($mm)",'Cash Allocation Engine'!$A$1:$A$91,0))</f>
        <v>43671.563021575952</v>
      </c>
      <c r="R30" s="66">
        <f ca="1">INDEX('Cash Allocation Engine'!R:R,MATCH("Lunar/Mars carve-out cash ($mm)",'Cash Allocation Engine'!$A$1:$A$91,0))</f>
        <v>68284.055539735331</v>
      </c>
      <c r="S30" s="66">
        <f ca="1">INDEX('Cash Allocation Engine'!S:S,MATCH("Lunar/Mars carve-out cash ($mm)",'Cash Allocation Engine'!$A$1:$A$91,0))</f>
        <v>90725.662340825889</v>
      </c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 spans="1:29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">
      <c r="A32" s="18" t="s">
        <v>699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spans="1:29" x14ac:dyDescent="0.2">
      <c r="A33" s="22" t="s">
        <v>700</v>
      </c>
      <c r="B33" s="8"/>
      <c r="C33" s="8"/>
      <c r="D33" s="67">
        <f>$D$21*$D$22</f>
        <v>15000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">
      <c r="A34" s="22" t="s">
        <v>701</v>
      </c>
      <c r="B34" s="8"/>
      <c r="C34" s="8"/>
      <c r="D34" s="67">
        <f>$D$21*(1-$D$22)</f>
        <v>35000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">
      <c r="A35" s="22" t="s">
        <v>702</v>
      </c>
      <c r="B35" s="8"/>
      <c r="C35" s="8"/>
      <c r="D35" s="67">
        <f>$D33/$D$15</f>
        <v>250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">
      <c r="A36" s="22" t="s">
        <v>1528</v>
      </c>
      <c r="B36" s="8"/>
      <c r="C36" s="8"/>
      <c r="D36" s="82">
        <f>($D34*$D$26 + $D35*$D$25)/1000000</f>
        <v>535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">
      <c r="A38" s="22" t="s">
        <v>703</v>
      </c>
      <c r="B38" s="8"/>
      <c r="C38" s="8"/>
      <c r="D38" s="67">
        <f>$D$23*$D$24</f>
        <v>30000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">
      <c r="A39" s="22" t="s">
        <v>704</v>
      </c>
      <c r="B39" s="8"/>
      <c r="C39" s="8"/>
      <c r="D39" s="67">
        <f>$D$23*(1-$D$24)</f>
        <v>70000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">
      <c r="A40" s="22" t="s">
        <v>705</v>
      </c>
      <c r="B40" s="8"/>
      <c r="C40" s="8"/>
      <c r="D40" s="67">
        <f>$D38/$D$15</f>
        <v>500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">
      <c r="A41" s="22" t="s">
        <v>1529</v>
      </c>
      <c r="B41" s="8"/>
      <c r="C41" s="8"/>
      <c r="D41" s="82">
        <f>($D39*$D$26 + $D40*$D$25)/1000000</f>
        <v>1070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">
      <c r="A43" s="18" t="s">
        <v>706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spans="1:29" x14ac:dyDescent="0.2">
      <c r="A44" s="22" t="s">
        <v>707</v>
      </c>
      <c r="B44" s="8"/>
      <c r="C44" s="8"/>
      <c r="D44" s="92" cm="1">
        <f t="array" ref="D44">IFERROR(INDEX(Assumptions!$D:$AC, MATCH("Lunar share of Mars/Moon carve-out cash: year-row", Assumptions!$A:$A, 0), D$5+1), 1)</f>
        <v>1</v>
      </c>
      <c r="E44" s="92" cm="1">
        <f t="array" ref="E44">IFERROR(INDEX(Assumptions!$D:$AC, MATCH("Lunar share of Mars/Moon carve-out cash: year-row", Assumptions!$A:$A, 0), E$5+1), 1)</f>
        <v>0.85</v>
      </c>
      <c r="F44" s="92" cm="1">
        <f t="array" ref="F44">IFERROR(INDEX(Assumptions!$D:$AC, MATCH("Lunar share of Mars/Moon carve-out cash: year-row", Assumptions!$A:$A, 0), F$5+1), 1)</f>
        <v>0.7</v>
      </c>
      <c r="G44" s="92" cm="1">
        <f t="array" ref="G44">IFERROR(INDEX(Assumptions!$D:$AC, MATCH("Lunar share of Mars/Moon carve-out cash: year-row", Assumptions!$A:$A, 0), G$5+1), 1)</f>
        <v>0.6</v>
      </c>
      <c r="H44" s="92" cm="1">
        <f t="array" ref="H44">IFERROR(INDEX(Assumptions!$D:$AC, MATCH("Lunar share of Mars/Moon carve-out cash: year-row", Assumptions!$A:$A, 0), H$5+1), 1)</f>
        <v>0.5</v>
      </c>
      <c r="I44" s="92" cm="1">
        <f t="array" ref="I44">IFERROR(INDEX(Assumptions!$D:$AC, MATCH("Lunar share of Mars/Moon carve-out cash: year-row", Assumptions!$A:$A, 0), I$5+1), 1)</f>
        <v>0.4</v>
      </c>
      <c r="J44" s="92" cm="1">
        <f t="array" ref="J44">IFERROR(INDEX(Assumptions!$D:$AC, MATCH("Lunar share of Mars/Moon carve-out cash: year-row", Assumptions!$A:$A, 0), J$5+1), 1)</f>
        <v>0.36</v>
      </c>
      <c r="K44" s="92" cm="1">
        <f t="array" ref="K44">IFERROR(INDEX(Assumptions!$D:$AC, MATCH("Lunar share of Mars/Moon carve-out cash: year-row", Assumptions!$A:$A, 0), K$5+1), 1)</f>
        <v>0.32</v>
      </c>
      <c r="L44" s="92" cm="1">
        <f t="array" ref="L44">IFERROR(INDEX(Assumptions!$D:$AC, MATCH("Lunar share of Mars/Moon carve-out cash: year-row", Assumptions!$A:$A, 0), L$5+1), 1)</f>
        <v>0.28000000000000003</v>
      </c>
      <c r="M44" s="92" cm="1">
        <f t="array" ref="M44">IFERROR(INDEX(Assumptions!$D:$AC, MATCH("Lunar share of Mars/Moon carve-out cash: year-row", Assumptions!$A:$A, 0), M$5+1), 1)</f>
        <v>0.24</v>
      </c>
      <c r="N44" s="92" cm="1">
        <f t="array" ref="N44">IFERROR(INDEX(Assumptions!$D:$AC, MATCH("Lunar share of Mars/Moon carve-out cash: year-row", Assumptions!$A:$A, 0), N$5+1), 1)</f>
        <v>0.2</v>
      </c>
      <c r="O44" s="92" cm="1">
        <f t="array" ref="O44">IFERROR(INDEX(Assumptions!$D:$AC, MATCH("Lunar share of Mars/Moon carve-out cash: year-row", Assumptions!$A:$A, 0), O$5+1), 1)</f>
        <v>0.19670000000000001</v>
      </c>
      <c r="P44" s="92" cm="1">
        <f t="array" ref="P44">IFERROR(INDEX(Assumptions!$D:$AC, MATCH("Lunar share of Mars/Moon carve-out cash: year-row", Assumptions!$A:$A, 0), P$5+1), 1)</f>
        <v>0.1933</v>
      </c>
      <c r="Q44" s="92" cm="1">
        <f t="array" ref="Q44">IFERROR(INDEX(Assumptions!$D:$AC, MATCH("Lunar share of Mars/Moon carve-out cash: year-row", Assumptions!$A:$A, 0), Q$5+1), 1)</f>
        <v>0.19</v>
      </c>
      <c r="R44" s="92" cm="1">
        <f t="array" ref="R44">IFERROR(INDEX(Assumptions!$D:$AC, MATCH("Lunar share of Mars/Moon carve-out cash: year-row", Assumptions!$A:$A, 0), R$5+1), 1)</f>
        <v>0.1867</v>
      </c>
      <c r="S44" s="92" cm="1">
        <f t="array" ref="S44">IFERROR(INDEX(Assumptions!$D:$AC, MATCH("Lunar share of Mars/Moon carve-out cash: year-row", Assumptions!$A:$A, 0), S$5+1), 1)</f>
        <v>0.18329999999999999</v>
      </c>
      <c r="T44" s="52"/>
      <c r="U44" s="52"/>
      <c r="V44" s="52"/>
      <c r="W44" s="52"/>
      <c r="X44" s="52"/>
      <c r="Y44" s="52"/>
      <c r="Z44" s="52"/>
      <c r="AA44" s="52"/>
      <c r="AB44" s="52"/>
      <c r="AC44" s="52"/>
    </row>
    <row r="45" spans="1:29" x14ac:dyDescent="0.2">
      <c r="A45" s="22" t="s">
        <v>708</v>
      </c>
      <c r="B45" s="8"/>
      <c r="C45" s="8"/>
      <c r="D45" s="67">
        <f t="shared" ref="D45:H45" si="0">D30*D44</f>
        <v>700</v>
      </c>
      <c r="E45" s="67">
        <f t="shared" si="0"/>
        <v>595</v>
      </c>
      <c r="F45" s="67">
        <f t="shared" si="0"/>
        <v>489.99999999999994</v>
      </c>
      <c r="G45" s="67">
        <f t="shared" si="0"/>
        <v>420</v>
      </c>
      <c r="H45" s="67">
        <f t="shared" si="0"/>
        <v>350</v>
      </c>
      <c r="I45" s="67">
        <f t="shared" ref="I45:S45" ca="1" si="1">I30*I44</f>
        <v>5945.2246248692318</v>
      </c>
      <c r="J45" s="67">
        <f t="shared" ca="1" si="1"/>
        <v>5629.383391954907</v>
      </c>
      <c r="K45" s="67">
        <f t="shared" ca="1" si="1"/>
        <v>5914.8513130197643</v>
      </c>
      <c r="L45" s="67">
        <f t="shared" ca="1" si="1"/>
        <v>3886.0660910689503</v>
      </c>
      <c r="M45" s="67">
        <f t="shared" ca="1" si="1"/>
        <v>5264.4935261167648</v>
      </c>
      <c r="N45" s="67">
        <f t="shared" ca="1" si="1"/>
        <v>4001.9545987327183</v>
      </c>
      <c r="O45" s="67">
        <f t="shared" ca="1" si="1"/>
        <v>4702.0155323512472</v>
      </c>
      <c r="P45" s="67">
        <f t="shared" ca="1" si="1"/>
        <v>5139.3975792320771</v>
      </c>
      <c r="Q45" s="67">
        <f t="shared" ca="1" si="1"/>
        <v>8297.5969740994315</v>
      </c>
      <c r="R45" s="67">
        <f t="shared" ca="1" si="1"/>
        <v>12748.633169268587</v>
      </c>
      <c r="S45" s="67">
        <f t="shared" ca="1" si="1"/>
        <v>16630.013907073386</v>
      </c>
      <c r="T45" s="40"/>
      <c r="U45" s="40"/>
      <c r="V45" s="40"/>
      <c r="W45" s="40"/>
      <c r="X45" s="40"/>
      <c r="Y45" s="40"/>
      <c r="Z45" s="40"/>
      <c r="AA45" s="40"/>
      <c r="AB45" s="40"/>
      <c r="AC45" s="40"/>
    </row>
    <row r="46" spans="1:29" x14ac:dyDescent="0.2">
      <c r="A46" s="22" t="s">
        <v>709</v>
      </c>
      <c r="B46" s="8"/>
      <c r="C46" s="8"/>
      <c r="D46" s="56">
        <f t="shared" ref="D46:S46" si="2">IF(D$4 &lt; $D$11, 0, IFERROR(D45/$D36, 0))</f>
        <v>0</v>
      </c>
      <c r="E46" s="56">
        <f t="shared" si="2"/>
        <v>0</v>
      </c>
      <c r="F46" s="56">
        <f t="shared" si="2"/>
        <v>0</v>
      </c>
      <c r="G46" s="56">
        <f t="shared" si="2"/>
        <v>0</v>
      </c>
      <c r="H46" s="56">
        <f t="shared" si="2"/>
        <v>0</v>
      </c>
      <c r="I46" s="56">
        <f t="shared" ca="1" si="2"/>
        <v>11.112569392278937</v>
      </c>
      <c r="J46" s="56">
        <f t="shared" ca="1" si="2"/>
        <v>10.522211947579265</v>
      </c>
      <c r="K46" s="56">
        <f t="shared" ca="1" si="2"/>
        <v>11.055796846765915</v>
      </c>
      <c r="L46" s="56">
        <f t="shared" ca="1" si="2"/>
        <v>7.2636749365774769</v>
      </c>
      <c r="M46" s="56">
        <f t="shared" ca="1" si="2"/>
        <v>9.8401748151715225</v>
      </c>
      <c r="N46" s="56">
        <f t="shared" ca="1" si="2"/>
        <v>7.4802889695938664</v>
      </c>
      <c r="O46" s="56">
        <f t="shared" ca="1" si="2"/>
        <v>8.7888140791612095</v>
      </c>
      <c r="P46" s="56">
        <f t="shared" ca="1" si="2"/>
        <v>9.6063506153870595</v>
      </c>
      <c r="Q46" s="56">
        <f t="shared" ca="1" si="2"/>
        <v>15.509527054391461</v>
      </c>
      <c r="R46" s="56">
        <f t="shared" ca="1" si="2"/>
        <v>23.829220877137548</v>
      </c>
      <c r="S46" s="56">
        <f t="shared" ca="1" si="2"/>
        <v>31.084138144062404</v>
      </c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 spans="1:29" x14ac:dyDescent="0.2">
      <c r="A47" s="22" t="s">
        <v>710</v>
      </c>
      <c r="B47" s="8"/>
      <c r="C47" s="8"/>
      <c r="D47" s="67">
        <f t="shared" ref="D47:S47" si="3">D46*$D33</f>
        <v>0</v>
      </c>
      <c r="E47" s="67">
        <f t="shared" si="3"/>
        <v>0</v>
      </c>
      <c r="F47" s="67">
        <f t="shared" si="3"/>
        <v>0</v>
      </c>
      <c r="G47" s="67">
        <f t="shared" si="3"/>
        <v>0</v>
      </c>
      <c r="H47" s="67">
        <f t="shared" si="3"/>
        <v>0</v>
      </c>
      <c r="I47" s="67">
        <f t="shared" ca="1" si="3"/>
        <v>166688.54088418407</v>
      </c>
      <c r="J47" s="67">
        <f t="shared" ca="1" si="3"/>
        <v>157833.17921368897</v>
      </c>
      <c r="K47" s="67">
        <f t="shared" ca="1" si="3"/>
        <v>165836.95270148871</v>
      </c>
      <c r="L47" s="67">
        <f t="shared" ca="1" si="3"/>
        <v>108955.12404866215</v>
      </c>
      <c r="M47" s="67">
        <f t="shared" ca="1" si="3"/>
        <v>147602.62222757284</v>
      </c>
      <c r="N47" s="67">
        <f t="shared" ca="1" si="3"/>
        <v>112204.334543908</v>
      </c>
      <c r="O47" s="67">
        <f t="shared" ca="1" si="3"/>
        <v>131832.21118741814</v>
      </c>
      <c r="P47" s="67">
        <f t="shared" ca="1" si="3"/>
        <v>144095.25923080588</v>
      </c>
      <c r="Q47" s="67">
        <f t="shared" ca="1" si="3"/>
        <v>232642.9058158719</v>
      </c>
      <c r="R47" s="67">
        <f t="shared" ca="1" si="3"/>
        <v>357438.31315706321</v>
      </c>
      <c r="S47" s="67">
        <f t="shared" ca="1" si="3"/>
        <v>466262.07216093608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</row>
    <row r="48" spans="1:29" x14ac:dyDescent="0.2">
      <c r="A48" s="22" t="s">
        <v>711</v>
      </c>
      <c r="B48" s="8"/>
      <c r="C48" s="8"/>
      <c r="D48" s="67">
        <f t="shared" ref="D48:S48" si="4">D46*$D34</f>
        <v>0</v>
      </c>
      <c r="E48" s="67">
        <f t="shared" si="4"/>
        <v>0</v>
      </c>
      <c r="F48" s="67">
        <f t="shared" si="4"/>
        <v>0</v>
      </c>
      <c r="G48" s="67">
        <f t="shared" si="4"/>
        <v>0</v>
      </c>
      <c r="H48" s="67">
        <f t="shared" si="4"/>
        <v>0</v>
      </c>
      <c r="I48" s="67">
        <f t="shared" ca="1" si="4"/>
        <v>388939.92872976279</v>
      </c>
      <c r="J48" s="67">
        <f t="shared" ca="1" si="4"/>
        <v>368277.41816527426</v>
      </c>
      <c r="K48" s="67">
        <f t="shared" ca="1" si="4"/>
        <v>386952.88963680703</v>
      </c>
      <c r="L48" s="67">
        <f t="shared" ca="1" si="4"/>
        <v>254228.62278021168</v>
      </c>
      <c r="M48" s="67">
        <f t="shared" ca="1" si="4"/>
        <v>344406.1185310033</v>
      </c>
      <c r="N48" s="67">
        <f t="shared" ca="1" si="4"/>
        <v>261810.11393578531</v>
      </c>
      <c r="O48" s="67">
        <f t="shared" ca="1" si="4"/>
        <v>307608.49277064233</v>
      </c>
      <c r="P48" s="67">
        <f t="shared" ca="1" si="4"/>
        <v>336222.27153854707</v>
      </c>
      <c r="Q48" s="67">
        <f t="shared" ca="1" si="4"/>
        <v>542833.44690370117</v>
      </c>
      <c r="R48" s="67">
        <f t="shared" ca="1" si="4"/>
        <v>834022.73069981416</v>
      </c>
      <c r="S48" s="67">
        <f t="shared" ca="1" si="4"/>
        <v>1087944.8350421842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</row>
    <row r="49" spans="1:29" x14ac:dyDescent="0.2">
      <c r="A49" s="22" t="s">
        <v>712</v>
      </c>
      <c r="B49" s="8"/>
      <c r="C49" s="8"/>
      <c r="D49" s="67">
        <f t="shared" ref="D49:S49" si="5">D46*$D35</f>
        <v>0</v>
      </c>
      <c r="E49" s="67">
        <f t="shared" si="5"/>
        <v>0</v>
      </c>
      <c r="F49" s="67">
        <f t="shared" si="5"/>
        <v>0</v>
      </c>
      <c r="G49" s="67">
        <f t="shared" si="5"/>
        <v>0</v>
      </c>
      <c r="H49" s="67">
        <f t="shared" si="5"/>
        <v>0</v>
      </c>
      <c r="I49" s="67">
        <f t="shared" ca="1" si="5"/>
        <v>2778.1423480697345</v>
      </c>
      <c r="J49" s="67">
        <f t="shared" ca="1" si="5"/>
        <v>2630.5529868948165</v>
      </c>
      <c r="K49" s="67">
        <f t="shared" ca="1" si="5"/>
        <v>2763.9492116914789</v>
      </c>
      <c r="L49" s="67">
        <f t="shared" ca="1" si="5"/>
        <v>1815.9187341443692</v>
      </c>
      <c r="M49" s="67">
        <f t="shared" ca="1" si="5"/>
        <v>2460.0437037928805</v>
      </c>
      <c r="N49" s="67">
        <f t="shared" ca="1" si="5"/>
        <v>1870.0722423984666</v>
      </c>
      <c r="O49" s="67">
        <f t="shared" ca="1" si="5"/>
        <v>2197.2035197903024</v>
      </c>
      <c r="P49" s="67">
        <f t="shared" ca="1" si="5"/>
        <v>2401.5876538467651</v>
      </c>
      <c r="Q49" s="67">
        <f t="shared" ca="1" si="5"/>
        <v>3877.3817635978653</v>
      </c>
      <c r="R49" s="67">
        <f t="shared" ca="1" si="5"/>
        <v>5957.305219284387</v>
      </c>
      <c r="S49" s="67">
        <f t="shared" ca="1" si="5"/>
        <v>7771.0345360156007</v>
      </c>
      <c r="T49" s="40"/>
      <c r="U49" s="40"/>
      <c r="V49" s="40"/>
      <c r="W49" s="40"/>
      <c r="X49" s="40"/>
      <c r="Y49" s="40"/>
      <c r="Z49" s="40"/>
      <c r="AA49" s="40"/>
      <c r="AB49" s="40"/>
      <c r="AC49" s="40"/>
    </row>
    <row r="50" spans="1:29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">
      <c r="A51" s="18" t="s">
        <v>713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spans="1:29" x14ac:dyDescent="0.2">
      <c r="A52" s="22" t="s">
        <v>714</v>
      </c>
      <c r="B52" s="8"/>
      <c r="C52" s="8"/>
      <c r="D52" s="97">
        <f t="shared" ref="D52:H52" si="6">1-D44</f>
        <v>0</v>
      </c>
      <c r="E52" s="97">
        <f t="shared" si="6"/>
        <v>0.15000000000000002</v>
      </c>
      <c r="F52" s="97">
        <f t="shared" si="6"/>
        <v>0.30000000000000004</v>
      </c>
      <c r="G52" s="97">
        <f t="shared" si="6"/>
        <v>0.4</v>
      </c>
      <c r="H52" s="97">
        <f t="shared" si="6"/>
        <v>0.5</v>
      </c>
      <c r="I52" s="97">
        <f t="shared" ref="I52:S52" si="7">1-I44</f>
        <v>0.6</v>
      </c>
      <c r="J52" s="97">
        <f t="shared" si="7"/>
        <v>0.64</v>
      </c>
      <c r="K52" s="97">
        <f t="shared" si="7"/>
        <v>0.67999999999999994</v>
      </c>
      <c r="L52" s="97">
        <f t="shared" si="7"/>
        <v>0.72</v>
      </c>
      <c r="M52" s="97">
        <f t="shared" si="7"/>
        <v>0.76</v>
      </c>
      <c r="N52" s="97">
        <f t="shared" si="7"/>
        <v>0.8</v>
      </c>
      <c r="O52" s="97">
        <f t="shared" si="7"/>
        <v>0.80330000000000001</v>
      </c>
      <c r="P52" s="97">
        <f t="shared" si="7"/>
        <v>0.80669999999999997</v>
      </c>
      <c r="Q52" s="97">
        <f t="shared" si="7"/>
        <v>0.81</v>
      </c>
      <c r="R52" s="97">
        <f t="shared" si="7"/>
        <v>0.81330000000000002</v>
      </c>
      <c r="S52" s="97">
        <f t="shared" si="7"/>
        <v>0.81669999999999998</v>
      </c>
      <c r="T52" s="52"/>
      <c r="U52" s="52"/>
      <c r="V52" s="52"/>
      <c r="W52" s="52"/>
      <c r="X52" s="52"/>
      <c r="Y52" s="52"/>
      <c r="Z52" s="52"/>
      <c r="AA52" s="52"/>
      <c r="AB52" s="52"/>
      <c r="AC52" s="52"/>
    </row>
    <row r="53" spans="1:29" x14ac:dyDescent="0.2">
      <c r="A53" s="22" t="s">
        <v>715</v>
      </c>
      <c r="B53" s="8"/>
      <c r="C53" s="8"/>
      <c r="D53" s="67">
        <f t="shared" ref="D53:H53" si="8">D30*D52</f>
        <v>0</v>
      </c>
      <c r="E53" s="67">
        <f t="shared" si="8"/>
        <v>105.00000000000001</v>
      </c>
      <c r="F53" s="67">
        <f t="shared" si="8"/>
        <v>210.00000000000003</v>
      </c>
      <c r="G53" s="67">
        <f t="shared" si="8"/>
        <v>280</v>
      </c>
      <c r="H53" s="67">
        <f t="shared" si="8"/>
        <v>350</v>
      </c>
      <c r="I53" s="67">
        <f t="shared" ref="I53:S53" ca="1" si="9">I30*I52</f>
        <v>8917.8369373038477</v>
      </c>
      <c r="J53" s="67">
        <f t="shared" ca="1" si="9"/>
        <v>10007.792696808725</v>
      </c>
      <c r="K53" s="67">
        <f t="shared" ca="1" si="9"/>
        <v>12569.059040166998</v>
      </c>
      <c r="L53" s="67">
        <f t="shared" ca="1" si="9"/>
        <v>9992.7413770344428</v>
      </c>
      <c r="M53" s="67">
        <f t="shared" ca="1" si="9"/>
        <v>16670.896166036422</v>
      </c>
      <c r="N53" s="67">
        <f t="shared" ca="1" si="9"/>
        <v>16007.818394930873</v>
      </c>
      <c r="O53" s="67">
        <f t="shared" ca="1" si="9"/>
        <v>19202.486411478174</v>
      </c>
      <c r="P53" s="67">
        <f t="shared" ca="1" si="9"/>
        <v>21448.277429728485</v>
      </c>
      <c r="Q53" s="67">
        <f t="shared" ca="1" si="9"/>
        <v>35373.966047476526</v>
      </c>
      <c r="R53" s="67">
        <f t="shared" ca="1" si="9"/>
        <v>55535.422370466746</v>
      </c>
      <c r="S53" s="67">
        <f t="shared" ca="1" si="9"/>
        <v>74095.648433752503</v>
      </c>
      <c r="T53" s="40"/>
      <c r="U53" s="40"/>
      <c r="V53" s="40"/>
      <c r="W53" s="40"/>
      <c r="X53" s="40"/>
      <c r="Y53" s="40"/>
      <c r="Z53" s="40"/>
      <c r="AA53" s="40"/>
      <c r="AB53" s="40"/>
      <c r="AC53" s="40"/>
    </row>
    <row r="54" spans="1:29" x14ac:dyDescent="0.2">
      <c r="A54" s="22" t="s">
        <v>716</v>
      </c>
      <c r="B54" s="8"/>
      <c r="C54" s="8"/>
      <c r="D54" s="56">
        <f t="shared" ref="D54:S54" si="10">IF(D$4 &lt; $D$11, 0, IFERROR(D53/$D41, 0))</f>
        <v>0</v>
      </c>
      <c r="E54" s="56">
        <f t="shared" si="10"/>
        <v>0</v>
      </c>
      <c r="F54" s="56">
        <f t="shared" si="10"/>
        <v>0</v>
      </c>
      <c r="G54" s="56">
        <f t="shared" si="10"/>
        <v>0</v>
      </c>
      <c r="H54" s="56">
        <f t="shared" si="10"/>
        <v>0</v>
      </c>
      <c r="I54" s="56">
        <f t="shared" ca="1" si="10"/>
        <v>8.3344270442092032</v>
      </c>
      <c r="J54" s="56">
        <f t="shared" ca="1" si="10"/>
        <v>9.3530772867371255</v>
      </c>
      <c r="K54" s="56">
        <f t="shared" ca="1" si="10"/>
        <v>11.746784149688784</v>
      </c>
      <c r="L54" s="56">
        <f t="shared" ca="1" si="10"/>
        <v>9.33901063274247</v>
      </c>
      <c r="M54" s="56">
        <f t="shared" ca="1" si="10"/>
        <v>15.580276790688245</v>
      </c>
      <c r="N54" s="56">
        <f t="shared" ca="1" si="10"/>
        <v>14.960577939187733</v>
      </c>
      <c r="O54" s="56">
        <f t="shared" ca="1" si="10"/>
        <v>17.946248982689884</v>
      </c>
      <c r="P54" s="56">
        <f t="shared" ca="1" si="10"/>
        <v>20.045119093204192</v>
      </c>
      <c r="Q54" s="56">
        <f t="shared" ca="1" si="10"/>
        <v>33.059781352781798</v>
      </c>
      <c r="R54" s="56">
        <f t="shared" ca="1" si="10"/>
        <v>51.902263897632473</v>
      </c>
      <c r="S54" s="56">
        <f t="shared" ca="1" si="10"/>
        <v>69.24826956425467</v>
      </c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 spans="1:29" x14ac:dyDescent="0.2">
      <c r="A55" s="22" t="s">
        <v>717</v>
      </c>
      <c r="B55" s="8"/>
      <c r="C55" s="8"/>
      <c r="D55" s="67">
        <f t="shared" ref="D55:S55" si="11">D54*$D38</f>
        <v>0</v>
      </c>
      <c r="E55" s="67">
        <f t="shared" si="11"/>
        <v>0</v>
      </c>
      <c r="F55" s="67">
        <f t="shared" si="11"/>
        <v>0</v>
      </c>
      <c r="G55" s="67">
        <f t="shared" si="11"/>
        <v>0</v>
      </c>
      <c r="H55" s="67">
        <f t="shared" si="11"/>
        <v>0</v>
      </c>
      <c r="I55" s="67">
        <f t="shared" ca="1" si="11"/>
        <v>250032.8113262761</v>
      </c>
      <c r="J55" s="67">
        <f t="shared" ca="1" si="11"/>
        <v>280592.31860211375</v>
      </c>
      <c r="K55" s="67">
        <f t="shared" ca="1" si="11"/>
        <v>352403.52449066349</v>
      </c>
      <c r="L55" s="67">
        <f t="shared" ca="1" si="11"/>
        <v>280170.3189822741</v>
      </c>
      <c r="M55" s="67">
        <f t="shared" ca="1" si="11"/>
        <v>467408.30372064735</v>
      </c>
      <c r="N55" s="67">
        <f t="shared" ca="1" si="11"/>
        <v>448817.338175632</v>
      </c>
      <c r="O55" s="67">
        <f t="shared" ca="1" si="11"/>
        <v>538387.46948069648</v>
      </c>
      <c r="P55" s="67">
        <f t="shared" ca="1" si="11"/>
        <v>601353.57279612578</v>
      </c>
      <c r="Q55" s="67">
        <f t="shared" ca="1" si="11"/>
        <v>991793.44058345398</v>
      </c>
      <c r="R55" s="67">
        <f t="shared" ca="1" si="11"/>
        <v>1557067.9169289742</v>
      </c>
      <c r="S55" s="67">
        <f t="shared" ca="1" si="11"/>
        <v>2077448.08692764</v>
      </c>
      <c r="T55" s="40"/>
      <c r="U55" s="40"/>
      <c r="V55" s="40"/>
      <c r="W55" s="40"/>
      <c r="X55" s="40"/>
      <c r="Y55" s="40"/>
      <c r="Z55" s="40"/>
      <c r="AA55" s="40"/>
      <c r="AB55" s="40"/>
      <c r="AC55" s="40"/>
    </row>
    <row r="56" spans="1:29" x14ac:dyDescent="0.2">
      <c r="A56" s="22" t="s">
        <v>718</v>
      </c>
      <c r="B56" s="8"/>
      <c r="C56" s="8"/>
      <c r="D56" s="67">
        <f t="shared" ref="D56:S56" si="12">D54*$D39</f>
        <v>0</v>
      </c>
      <c r="E56" s="67">
        <f t="shared" si="12"/>
        <v>0</v>
      </c>
      <c r="F56" s="67">
        <f t="shared" si="12"/>
        <v>0</v>
      </c>
      <c r="G56" s="67">
        <f t="shared" si="12"/>
        <v>0</v>
      </c>
      <c r="H56" s="67">
        <f t="shared" si="12"/>
        <v>0</v>
      </c>
      <c r="I56" s="67">
        <f t="shared" ca="1" si="12"/>
        <v>583409.89309464418</v>
      </c>
      <c r="J56" s="67">
        <f t="shared" ca="1" si="12"/>
        <v>654715.41007159883</v>
      </c>
      <c r="K56" s="67">
        <f t="shared" ca="1" si="12"/>
        <v>822274.89047821483</v>
      </c>
      <c r="L56" s="67">
        <f t="shared" ca="1" si="12"/>
        <v>653730.74429197295</v>
      </c>
      <c r="M56" s="67">
        <f t="shared" ca="1" si="12"/>
        <v>1090619.3753481773</v>
      </c>
      <c r="N56" s="67">
        <f t="shared" ca="1" si="12"/>
        <v>1047240.4557431412</v>
      </c>
      <c r="O56" s="67">
        <f t="shared" ca="1" si="12"/>
        <v>1256237.4287882918</v>
      </c>
      <c r="P56" s="67">
        <f t="shared" ca="1" si="12"/>
        <v>1403158.3365242935</v>
      </c>
      <c r="Q56" s="67">
        <f t="shared" ca="1" si="12"/>
        <v>2314184.6946947258</v>
      </c>
      <c r="R56" s="67">
        <f t="shared" ca="1" si="12"/>
        <v>3633158.4728342732</v>
      </c>
      <c r="S56" s="67">
        <f t="shared" ca="1" si="12"/>
        <v>4847378.8694978273</v>
      </c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spans="1:29" x14ac:dyDescent="0.2">
      <c r="A57" s="22" t="s">
        <v>719</v>
      </c>
      <c r="B57" s="8"/>
      <c r="C57" s="8"/>
      <c r="D57" s="67">
        <f t="shared" ref="D57:S57" si="13">D54*$D40</f>
        <v>0</v>
      </c>
      <c r="E57" s="67">
        <f t="shared" si="13"/>
        <v>0</v>
      </c>
      <c r="F57" s="67">
        <f t="shared" si="13"/>
        <v>0</v>
      </c>
      <c r="G57" s="67">
        <f t="shared" si="13"/>
        <v>0</v>
      </c>
      <c r="H57" s="67">
        <f t="shared" si="13"/>
        <v>0</v>
      </c>
      <c r="I57" s="67">
        <f t="shared" ca="1" si="13"/>
        <v>4167.2135221046019</v>
      </c>
      <c r="J57" s="67">
        <f t="shared" ca="1" si="13"/>
        <v>4676.5386433685626</v>
      </c>
      <c r="K57" s="67">
        <f t="shared" ca="1" si="13"/>
        <v>5873.3920748443916</v>
      </c>
      <c r="L57" s="67">
        <f t="shared" ca="1" si="13"/>
        <v>4669.5053163712346</v>
      </c>
      <c r="M57" s="67">
        <f t="shared" ca="1" si="13"/>
        <v>7790.1383953441227</v>
      </c>
      <c r="N57" s="67">
        <f t="shared" ca="1" si="13"/>
        <v>7480.2889695938666</v>
      </c>
      <c r="O57" s="67">
        <f t="shared" ca="1" si="13"/>
        <v>8973.1244913449427</v>
      </c>
      <c r="P57" s="67">
        <f t="shared" ca="1" si="13"/>
        <v>10022.559546602097</v>
      </c>
      <c r="Q57" s="67">
        <f t="shared" ca="1" si="13"/>
        <v>16529.8906763909</v>
      </c>
      <c r="R57" s="67">
        <f t="shared" ca="1" si="13"/>
        <v>25951.131948816237</v>
      </c>
      <c r="S57" s="67">
        <f t="shared" ca="1" si="13"/>
        <v>34624.134782127338</v>
      </c>
      <c r="T57" s="40"/>
      <c r="U57" s="40"/>
      <c r="V57" s="40"/>
      <c r="W57" s="40"/>
      <c r="X57" s="40"/>
      <c r="Y57" s="40"/>
      <c r="Z57" s="40"/>
      <c r="AA57" s="40"/>
      <c r="AB57" s="40"/>
      <c r="AC57" s="40"/>
    </row>
    <row r="58" spans="1:29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">
      <c r="A59" s="18" t="s">
        <v>1396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spans="1:29" x14ac:dyDescent="0.2">
      <c r="A60" s="22" t="s">
        <v>720</v>
      </c>
      <c r="B60" s="8"/>
      <c r="C60" s="8"/>
      <c r="D60" s="83">
        <f>$D$16*$D$17*365/1000000</f>
        <v>0.25238290000000002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">
      <c r="A61" s="22" t="s">
        <v>721</v>
      </c>
      <c r="B61" s="8"/>
      <c r="C61" s="8"/>
      <c r="D61" s="56">
        <f>POWER(1+$D$19, $D$5)</f>
        <v>1</v>
      </c>
      <c r="E61" s="56">
        <f t="shared" ref="E61:S61" si="14">POWER(1+$D$19, E$5)</f>
        <v>1.05</v>
      </c>
      <c r="F61" s="56">
        <f t="shared" si="14"/>
        <v>1.1025</v>
      </c>
      <c r="G61" s="56">
        <f t="shared" si="14"/>
        <v>1.1576250000000001</v>
      </c>
      <c r="H61" s="56">
        <f t="shared" si="14"/>
        <v>1.21550625</v>
      </c>
      <c r="I61" s="56">
        <f t="shared" si="14"/>
        <v>1.2762815625000001</v>
      </c>
      <c r="J61" s="56">
        <f t="shared" si="14"/>
        <v>1.340095640625</v>
      </c>
      <c r="K61" s="56">
        <f t="shared" si="14"/>
        <v>1.4071004226562502</v>
      </c>
      <c r="L61" s="56">
        <f t="shared" si="14"/>
        <v>1.4774554437890626</v>
      </c>
      <c r="M61" s="56">
        <f t="shared" si="14"/>
        <v>1.5513282159785158</v>
      </c>
      <c r="N61" s="56">
        <f t="shared" si="14"/>
        <v>1.6288946267774416</v>
      </c>
      <c r="O61" s="56">
        <f t="shared" si="14"/>
        <v>1.7103393581163138</v>
      </c>
      <c r="P61" s="56">
        <f t="shared" si="14"/>
        <v>1.7958563260221292</v>
      </c>
      <c r="Q61" s="56">
        <f t="shared" si="14"/>
        <v>1.885649142323236</v>
      </c>
      <c r="R61" s="56">
        <f t="shared" si="14"/>
        <v>1.9799315994393973</v>
      </c>
      <c r="S61" s="56">
        <f t="shared" si="14"/>
        <v>2.0789281794113679</v>
      </c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 spans="1:29" x14ac:dyDescent="0.2">
      <c r="A62" s="22" t="s">
        <v>722</v>
      </c>
      <c r="B62" s="8"/>
      <c r="C62" s="8"/>
      <c r="D62" s="83">
        <f t="shared" ref="D62:S62" si="15">$D$60*D61*$D$18</f>
        <v>0.25238290000000002</v>
      </c>
      <c r="E62" s="83">
        <f t="shared" si="15"/>
        <v>0.26500204500000002</v>
      </c>
      <c r="F62" s="83">
        <f t="shared" si="15"/>
        <v>0.27825214725000003</v>
      </c>
      <c r="G62" s="83">
        <f t="shared" si="15"/>
        <v>0.29216475461250008</v>
      </c>
      <c r="H62" s="83">
        <f t="shared" si="15"/>
        <v>0.30677299234312505</v>
      </c>
      <c r="I62" s="83">
        <f t="shared" si="15"/>
        <v>0.3221116419602813</v>
      </c>
      <c r="J62" s="83">
        <f t="shared" si="15"/>
        <v>0.33821722405829535</v>
      </c>
      <c r="K62" s="83">
        <f t="shared" si="15"/>
        <v>0.35512808526121015</v>
      </c>
      <c r="L62" s="83">
        <f t="shared" si="15"/>
        <v>0.37288448952427061</v>
      </c>
      <c r="M62" s="83">
        <f t="shared" si="15"/>
        <v>0.39152871400048417</v>
      </c>
      <c r="N62" s="83">
        <f t="shared" si="15"/>
        <v>0.41110514970050838</v>
      </c>
      <c r="O62" s="83">
        <f t="shared" si="15"/>
        <v>0.43166040718553383</v>
      </c>
      <c r="P62" s="83">
        <f t="shared" si="15"/>
        <v>0.45324342754481045</v>
      </c>
      <c r="Q62" s="83">
        <f t="shared" si="15"/>
        <v>0.47590559892205109</v>
      </c>
      <c r="R62" s="83">
        <f t="shared" si="15"/>
        <v>0.49970087886815351</v>
      </c>
      <c r="S62" s="83">
        <f t="shared" si="15"/>
        <v>0.52468592281156134</v>
      </c>
      <c r="T62" s="69"/>
      <c r="U62" s="69"/>
      <c r="V62" s="69"/>
      <c r="W62" s="69"/>
      <c r="X62" s="69"/>
      <c r="Y62" s="69"/>
      <c r="Z62" s="69"/>
      <c r="AA62" s="69"/>
      <c r="AB62" s="69"/>
      <c r="AC62" s="69"/>
    </row>
    <row r="63" spans="1:29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">
      <c r="A64" s="22" t="s">
        <v>723</v>
      </c>
      <c r="B64" s="8"/>
      <c r="C64" s="8"/>
      <c r="D64" s="70">
        <f t="array" ref="D64">IF($D$5-$D$20+1&lt;1, 0, INDEX($D49:$AC49, 1, $D$5-$D$20+1))</f>
        <v>0</v>
      </c>
      <c r="E64" s="70">
        <f t="array" ref="E64">IF(E$5-$D$20+1&lt;1, 0, INDEX($D49:$AC49, 1, E$5-$D$20+1))</f>
        <v>0</v>
      </c>
      <c r="F64" s="70">
        <f t="array" ref="F64">IF(F$5-$D$20+1&lt;1, 0, INDEX($D49:$AC49, 1, F$5-$D$20+1))</f>
        <v>0</v>
      </c>
      <c r="G64" s="70">
        <f t="array" ref="G64">IF(G$5-$D$20+1&lt;1, 0, INDEX($D49:$AC49, 1, G$5-$D$20+1))</f>
        <v>0</v>
      </c>
      <c r="H64" s="70">
        <f t="array" ref="H64">IF(H$5-$D$20+1&lt;1, 0, INDEX($D49:$AC49, 1, H$5-$D$20+1))</f>
        <v>0</v>
      </c>
      <c r="I64" s="70">
        <f t="array" ref="I64">IF(I$5-$D$20+1&lt;1, 0, INDEX($D49:$AC49, 1, I$5-$D$20+1))</f>
        <v>0</v>
      </c>
      <c r="J64" s="70">
        <f t="array" ref="J64">IF(J$5-$D$20+1&lt;1, 0, INDEX($D49:$AC49, 1, J$5-$D$20+1))</f>
        <v>0</v>
      </c>
      <c r="K64" s="70">
        <f t="array" ref="K64">IF(K$5-$D$20+1&lt;1, 0, INDEX($D49:$AC49, 1, K$5-$D$20+1))</f>
        <v>0</v>
      </c>
      <c r="L64" s="70">
        <f t="array" ref="L64">IF(L$5-$D$20+1&lt;1, 0, INDEX($D49:$AC49, 1, L$5-$D$20+1))</f>
        <v>0</v>
      </c>
      <c r="M64" s="70">
        <f t="array" ref="M64">IF(M$5-$D$20+1&lt;1, 0, INDEX($D49:$AC49, 1, M$5-$D$20+1))</f>
        <v>0</v>
      </c>
      <c r="N64" s="70">
        <f t="array" aca="1" ref="N64" ca="1">IF(N$5-$D$20+1&lt;1, 0, INDEX($D49:$AC49, 1, N$5-$D$20+1))</f>
        <v>2778.1423480697345</v>
      </c>
      <c r="O64" s="70">
        <f t="array" aca="1" ref="O64" ca="1">IF(O$5-$D$20+1&lt;1, 0, INDEX($D49:$AC49, 1, O$5-$D$20+1))</f>
        <v>2630.5529868948165</v>
      </c>
      <c r="P64" s="70">
        <f t="array" aca="1" ref="P64" ca="1">IF(P$5-$D$20+1&lt;1, 0, INDEX($D49:$AC49, 1, P$5-$D$20+1))</f>
        <v>2763.9492116914789</v>
      </c>
      <c r="Q64" s="70">
        <f t="array" aca="1" ref="Q64" ca="1">IF(Q$5-$D$20+1&lt;1, 0, INDEX($D49:$AC49, 1, Q$5-$D$20+1))</f>
        <v>1815.9187341443692</v>
      </c>
      <c r="R64" s="70">
        <f t="array" aca="1" ref="R64" ca="1">IF(R$5-$D$20+1&lt;1, 0, INDEX($D49:$AC49, 1, R$5-$D$20+1))</f>
        <v>2460.0437037928805</v>
      </c>
      <c r="S64" s="70">
        <f t="array" aca="1" ref="S64" ca="1">IF(S$5-$D$20+1&lt;1, 0, INDEX($D49:$AC49, 1, S$5-$D$20+1))</f>
        <v>1870.0722423984666</v>
      </c>
      <c r="T64" s="40"/>
      <c r="U64" s="40"/>
      <c r="V64" s="40"/>
      <c r="W64" s="40"/>
      <c r="X64" s="40"/>
      <c r="Y64" s="40"/>
      <c r="Z64" s="40"/>
      <c r="AA64" s="40"/>
      <c r="AB64" s="40"/>
      <c r="AC64" s="40"/>
    </row>
    <row r="65" spans="1:29" x14ac:dyDescent="0.2">
      <c r="A65" s="22" t="s">
        <v>724</v>
      </c>
      <c r="B65" s="8"/>
      <c r="C65" s="8"/>
      <c r="D65" s="70">
        <f t="array" ref="D65">IF($D$5-$D$20+1&lt;1, 0, INDEX($D57:$AC57, 1, $D$5-$D$20+1))</f>
        <v>0</v>
      </c>
      <c r="E65" s="70">
        <f t="array" ref="E65">IF(E$5-$D$20+1&lt;1, 0, INDEX($D57:$AC57, 1, E$5-$D$20+1))</f>
        <v>0</v>
      </c>
      <c r="F65" s="70">
        <f t="array" ref="F65">IF(F$5-$D$20+1&lt;1, 0, INDEX($D57:$AC57, 1, F$5-$D$20+1))</f>
        <v>0</v>
      </c>
      <c r="G65" s="70">
        <f t="array" ref="G65">IF(G$5-$D$20+1&lt;1, 0, INDEX($D57:$AC57, 1, G$5-$D$20+1))</f>
        <v>0</v>
      </c>
      <c r="H65" s="70">
        <f t="array" ref="H65">IF(H$5-$D$20+1&lt;1, 0, INDEX($D57:$AC57, 1, H$5-$D$20+1))</f>
        <v>0</v>
      </c>
      <c r="I65" s="70">
        <f t="array" ref="I65">IF(I$5-$D$20+1&lt;1, 0, INDEX($D57:$AC57, 1, I$5-$D$20+1))</f>
        <v>0</v>
      </c>
      <c r="J65" s="70">
        <f t="array" ref="J65">IF(J$5-$D$20+1&lt;1, 0, INDEX($D57:$AC57, 1, J$5-$D$20+1))</f>
        <v>0</v>
      </c>
      <c r="K65" s="70">
        <f t="array" ref="K65">IF(K$5-$D$20+1&lt;1, 0, INDEX($D57:$AC57, 1, K$5-$D$20+1))</f>
        <v>0</v>
      </c>
      <c r="L65" s="70">
        <f t="array" ref="L65">IF(L$5-$D$20+1&lt;1, 0, INDEX($D57:$AC57, 1, L$5-$D$20+1))</f>
        <v>0</v>
      </c>
      <c r="M65" s="70">
        <f t="array" ref="M65">IF(M$5-$D$20+1&lt;1, 0, INDEX($D57:$AC57, 1, M$5-$D$20+1))</f>
        <v>0</v>
      </c>
      <c r="N65" s="70">
        <f t="array" aca="1" ref="N65" ca="1">IF(N$5-$D$20+1&lt;1, 0, INDEX($D57:$AC57, 1, N$5-$D$20+1))</f>
        <v>4167.2135221046019</v>
      </c>
      <c r="O65" s="70">
        <f t="array" aca="1" ref="O65" ca="1">IF(O$5-$D$20+1&lt;1, 0, INDEX($D57:$AC57, 1, O$5-$D$20+1))</f>
        <v>4676.5386433685626</v>
      </c>
      <c r="P65" s="70">
        <f t="array" aca="1" ref="P65" ca="1">IF(P$5-$D$20+1&lt;1, 0, INDEX($D57:$AC57, 1, P$5-$D$20+1))</f>
        <v>5873.3920748443916</v>
      </c>
      <c r="Q65" s="70">
        <f t="array" aca="1" ref="Q65" ca="1">IF(Q$5-$D$20+1&lt;1, 0, INDEX($D57:$AC57, 1, Q$5-$D$20+1))</f>
        <v>4669.5053163712346</v>
      </c>
      <c r="R65" s="70">
        <f t="array" aca="1" ref="R65" ca="1">IF(R$5-$D$20+1&lt;1, 0, INDEX($D57:$AC57, 1, R$5-$D$20+1))</f>
        <v>7790.1383953441227</v>
      </c>
      <c r="S65" s="70">
        <f t="array" aca="1" ref="S65" ca="1">IF(S$5-$D$20+1&lt;1, 0, INDEX($D57:$AC57, 1, S$5-$D$20+1))</f>
        <v>7480.2889695938666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</row>
    <row r="66" spans="1:29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">
      <c r="A67" s="22" t="s">
        <v>725</v>
      </c>
      <c r="B67" s="8"/>
      <c r="C67" s="8"/>
      <c r="D67" s="67">
        <f>$D49-$D64</f>
        <v>0</v>
      </c>
      <c r="E67" s="70">
        <f t="array" ref="E67">INDEX($D67:$AC67, 1, E$5)+E49-E64</f>
        <v>0</v>
      </c>
      <c r="F67" s="70">
        <f t="array" ref="F67">INDEX($D67:$AC67, 1, F$5)+F49-F64</f>
        <v>0</v>
      </c>
      <c r="G67" s="70">
        <f t="array" ref="G67">INDEX($D67:$AC67, 1, G$5)+G49-G64</f>
        <v>0</v>
      </c>
      <c r="H67" s="70">
        <f t="array" ref="H67">INDEX($D67:$AC67, 1, H$5)+H49-H64</f>
        <v>0</v>
      </c>
      <c r="I67" s="70">
        <f t="array" aca="1" ref="I67" ca="1">INDEX($D67:$AC67, 1, I$5)+I49-I64</f>
        <v>2778.1423480697345</v>
      </c>
      <c r="J67" s="70">
        <f t="array" aca="1" ref="J67" ca="1">INDEX($D67:$AC67, 1, J$5)+J49-J64</f>
        <v>5408.695334964551</v>
      </c>
      <c r="K67" s="70">
        <f t="array" aca="1" ref="K67" ca="1">INDEX($D67:$AC67, 1, K$5)+K49-K64</f>
        <v>8172.6445466560299</v>
      </c>
      <c r="L67" s="70">
        <f t="array" aca="1" ref="L67" ca="1">INDEX($D67:$AC67, 1, L$5)+L49-L64</f>
        <v>9988.5632808003993</v>
      </c>
      <c r="M67" s="70">
        <f t="array" aca="1" ref="M67" ca="1">INDEX($D67:$AC67, 1, M$5)+M49-M64</f>
        <v>12448.60698459328</v>
      </c>
      <c r="N67" s="70">
        <f t="array" aca="1" ref="N67" ca="1">INDEX($D67:$AC67, 1, N$5)+N49-N64</f>
        <v>11540.536878922012</v>
      </c>
      <c r="O67" s="70">
        <f t="array" aca="1" ref="O67" ca="1">INDEX($D67:$AC67, 1, O$5)+O49-O64</f>
        <v>11107.187411817498</v>
      </c>
      <c r="P67" s="70">
        <f t="array" aca="1" ref="P67" ca="1">INDEX($D67:$AC67, 1, P$5)+P49-P64</f>
        <v>10744.825853972785</v>
      </c>
      <c r="Q67" s="70">
        <f t="array" aca="1" ref="Q67" ca="1">INDEX($D67:$AC67, 1, Q$5)+Q49-Q64</f>
        <v>12806.288883426281</v>
      </c>
      <c r="R67" s="70">
        <f t="array" aca="1" ref="R67" ca="1">INDEX($D67:$AC67, 1, R$5)+R49-R64</f>
        <v>16303.550398917787</v>
      </c>
      <c r="S67" s="70">
        <f t="array" aca="1" ref="S67" ca="1">INDEX($D67:$AC67, 1, S$5)+S49-S64</f>
        <v>22204.512692534921</v>
      </c>
      <c r="T67" s="40"/>
      <c r="U67" s="40"/>
      <c r="V67" s="40"/>
      <c r="W67" s="40"/>
      <c r="X67" s="40"/>
      <c r="Y67" s="40"/>
      <c r="Z67" s="40"/>
      <c r="AA67" s="40"/>
      <c r="AB67" s="40"/>
      <c r="AC67" s="40"/>
    </row>
    <row r="68" spans="1:29" x14ac:dyDescent="0.2">
      <c r="A68" s="22" t="s">
        <v>726</v>
      </c>
      <c r="B68" s="8"/>
      <c r="C68" s="8"/>
      <c r="D68" s="67">
        <f>$D57-$D65</f>
        <v>0</v>
      </c>
      <c r="E68" s="70">
        <f t="array" ref="E68">INDEX($D68:$AC68, 1, E$5)+E57-E65</f>
        <v>0</v>
      </c>
      <c r="F68" s="70">
        <f t="array" ref="F68">INDEX($D68:$AC68, 1, F$5)+F57-F65</f>
        <v>0</v>
      </c>
      <c r="G68" s="70">
        <f t="array" ref="G68">INDEX($D68:$AC68, 1, G$5)+G57-G65</f>
        <v>0</v>
      </c>
      <c r="H68" s="70">
        <f t="array" ref="H68">INDEX($D68:$AC68, 1, H$5)+H57-H65</f>
        <v>0</v>
      </c>
      <c r="I68" s="70">
        <f t="array" aca="1" ref="I68" ca="1">INDEX($D68:$AC68, 1, I$5)+I57-I65</f>
        <v>4167.2135221046019</v>
      </c>
      <c r="J68" s="70">
        <f t="array" aca="1" ref="J68" ca="1">INDEX($D68:$AC68, 1, J$5)+J57-J65</f>
        <v>8843.7521654731645</v>
      </c>
      <c r="K68" s="70">
        <f t="array" aca="1" ref="K68" ca="1">INDEX($D68:$AC68, 1, K$5)+K57-K65</f>
        <v>14717.144240317557</v>
      </c>
      <c r="L68" s="70">
        <f t="array" aca="1" ref="L68" ca="1">INDEX($D68:$AC68, 1, L$5)+L57-L65</f>
        <v>19386.64955668879</v>
      </c>
      <c r="M68" s="70">
        <f t="array" aca="1" ref="M68" ca="1">INDEX($D68:$AC68, 1, M$5)+M57-M65</f>
        <v>27176.787952032912</v>
      </c>
      <c r="N68" s="70">
        <f t="array" aca="1" ref="N68" ca="1">INDEX($D68:$AC68, 1, N$5)+N57-N65</f>
        <v>30489.863399522179</v>
      </c>
      <c r="O68" s="70">
        <f t="array" aca="1" ref="O68" ca="1">INDEX($D68:$AC68, 1, O$5)+O57-O65</f>
        <v>34786.44924749856</v>
      </c>
      <c r="P68" s="70">
        <f t="array" aca="1" ref="P68" ca="1">INDEX($D68:$AC68, 1, P$5)+P57-P65</f>
        <v>38935.616719256264</v>
      </c>
      <c r="Q68" s="70">
        <f t="array" aca="1" ref="Q68" ca="1">INDEX($D68:$AC68, 1, Q$5)+Q57-Q65</f>
        <v>50796.002079275924</v>
      </c>
      <c r="R68" s="70">
        <f t="array" aca="1" ref="R68" ca="1">INDEX($D68:$AC68, 1, R$5)+R57-R65</f>
        <v>68956.995632748032</v>
      </c>
      <c r="S68" s="70">
        <f t="array" aca="1" ref="S68" ca="1">INDEX($D68:$AC68, 1, S$5)+S57-S65</f>
        <v>96100.841445281505</v>
      </c>
      <c r="T68" s="40"/>
      <c r="U68" s="40"/>
      <c r="V68" s="40"/>
      <c r="W68" s="40"/>
      <c r="X68" s="40"/>
      <c r="Y68" s="40"/>
      <c r="Z68" s="40"/>
      <c r="AA68" s="40"/>
      <c r="AB68" s="40"/>
      <c r="AC68" s="40"/>
    </row>
    <row r="69" spans="1:29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">
      <c r="A70" s="22" t="s">
        <v>727</v>
      </c>
      <c r="B70" s="8"/>
      <c r="C70" s="8"/>
      <c r="D70" s="67">
        <f t="shared" ref="D70:S70" si="16">D67*D62</f>
        <v>0</v>
      </c>
      <c r="E70" s="67">
        <f t="shared" si="16"/>
        <v>0</v>
      </c>
      <c r="F70" s="67">
        <f t="shared" si="16"/>
        <v>0</v>
      </c>
      <c r="G70" s="67">
        <f t="shared" si="16"/>
        <v>0</v>
      </c>
      <c r="H70" s="67">
        <f t="shared" si="16"/>
        <v>0</v>
      </c>
      <c r="I70" s="67">
        <f t="shared" ca="1" si="16"/>
        <v>894.87199333613353</v>
      </c>
      <c r="J70" s="67">
        <f t="shared" ca="1" si="16"/>
        <v>1829.3139219687623</v>
      </c>
      <c r="K70" s="67">
        <f t="shared" ca="1" si="16"/>
        <v>2902.3356093744269</v>
      </c>
      <c r="L70" s="67">
        <f t="shared" ca="1" si="16"/>
        <v>3724.5803200421306</v>
      </c>
      <c r="M70" s="67">
        <f t="shared" ca="1" si="16"/>
        <v>4873.9870837752514</v>
      </c>
      <c r="N70" s="67">
        <f t="shared" ca="1" si="16"/>
        <v>4744.3741412334712</v>
      </c>
      <c r="O70" s="67">
        <f t="shared" ca="1" si="16"/>
        <v>4794.533040871177</v>
      </c>
      <c r="P70" s="67">
        <f t="shared" ca="1" si="16"/>
        <v>4870.0216984267199</v>
      </c>
      <c r="Q70" s="67">
        <f t="shared" ca="1" si="16"/>
        <v>6094.5845810357896</v>
      </c>
      <c r="R70" s="67">
        <f t="shared" ca="1" si="16"/>
        <v>8146.8984630104533</v>
      </c>
      <c r="S70" s="67">
        <f t="shared" ca="1" si="16"/>
        <v>11650.395232663712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</row>
    <row r="71" spans="1:29" x14ac:dyDescent="0.2">
      <c r="A71" s="22" t="s">
        <v>728</v>
      </c>
      <c r="B71" s="8"/>
      <c r="C71" s="8"/>
      <c r="D71" s="67">
        <f t="shared" ref="D71:S71" si="17">D68*D62</f>
        <v>0</v>
      </c>
      <c r="E71" s="67">
        <f t="shared" si="17"/>
        <v>0</v>
      </c>
      <c r="F71" s="67">
        <f t="shared" si="17"/>
        <v>0</v>
      </c>
      <c r="G71" s="67">
        <f t="shared" si="17"/>
        <v>0</v>
      </c>
      <c r="H71" s="67">
        <f t="shared" si="17"/>
        <v>0</v>
      </c>
      <c r="I71" s="67">
        <f t="shared" ca="1" si="17"/>
        <v>1342.3079900042003</v>
      </c>
      <c r="J71" s="67">
        <f t="shared" ca="1" si="17"/>
        <v>2991.1093076658722</v>
      </c>
      <c r="K71" s="67">
        <f t="shared" ca="1" si="17"/>
        <v>5226.4712545770208</v>
      </c>
      <c r="L71" s="67">
        <f t="shared" ca="1" si="17"/>
        <v>7228.9809235318262</v>
      </c>
      <c r="M71" s="67">
        <f t="shared" ca="1" si="17"/>
        <v>10640.492837523298</v>
      </c>
      <c r="N71" s="67">
        <f t="shared" ca="1" si="17"/>
        <v>12534.539857208616</v>
      </c>
      <c r="O71" s="67">
        <f t="shared" ca="1" si="17"/>
        <v>15015.932846714135</v>
      </c>
      <c r="P71" s="67">
        <f t="shared" ca="1" si="17"/>
        <v>17647.312375406738</v>
      </c>
      <c r="Q71" s="67">
        <f t="shared" ca="1" si="17"/>
        <v>24174.101792383561</v>
      </c>
      <c r="R71" s="67">
        <f t="shared" ca="1" si="17"/>
        <v>34457.871321791616</v>
      </c>
      <c r="S71" s="67">
        <f t="shared" ca="1" si="17"/>
        <v>50422.758676685065</v>
      </c>
      <c r="T71" s="40"/>
      <c r="U71" s="40"/>
      <c r="V71" s="40"/>
      <c r="W71" s="40"/>
      <c r="X71" s="40"/>
      <c r="Y71" s="40"/>
      <c r="Z71" s="40"/>
      <c r="AA71" s="40"/>
      <c r="AB71" s="40"/>
      <c r="AC71" s="40"/>
    </row>
    <row r="72" spans="1:29" x14ac:dyDescent="0.2">
      <c r="A72" s="22" t="s">
        <v>729</v>
      </c>
      <c r="B72" s="8"/>
      <c r="C72" s="8"/>
      <c r="D72" s="67">
        <f t="shared" ref="D72:S72" si="18">D48*$D$26/1000000</f>
        <v>0</v>
      </c>
      <c r="E72" s="67">
        <f t="shared" si="18"/>
        <v>0</v>
      </c>
      <c r="F72" s="67">
        <f t="shared" si="18"/>
        <v>0</v>
      </c>
      <c r="G72" s="67">
        <f t="shared" si="18"/>
        <v>0</v>
      </c>
      <c r="H72" s="67">
        <f t="shared" si="18"/>
        <v>0</v>
      </c>
      <c r="I72" s="67">
        <f t="shared" ca="1" si="18"/>
        <v>5834.0989309464412</v>
      </c>
      <c r="J72" s="67">
        <f t="shared" ca="1" si="18"/>
        <v>5524.1612724791139</v>
      </c>
      <c r="K72" s="67">
        <f t="shared" ca="1" si="18"/>
        <v>5804.2933445521048</v>
      </c>
      <c r="L72" s="67">
        <f t="shared" ca="1" si="18"/>
        <v>3813.4293417031749</v>
      </c>
      <c r="M72" s="67">
        <f t="shared" ca="1" si="18"/>
        <v>5166.0917779650499</v>
      </c>
      <c r="N72" s="67">
        <f t="shared" ca="1" si="18"/>
        <v>3927.1517090367797</v>
      </c>
      <c r="O72" s="67">
        <f t="shared" ca="1" si="18"/>
        <v>4614.1273915596348</v>
      </c>
      <c r="P72" s="67">
        <f t="shared" ca="1" si="18"/>
        <v>5043.3340730782056</v>
      </c>
      <c r="Q72" s="67">
        <f t="shared" ca="1" si="18"/>
        <v>8142.5017035555175</v>
      </c>
      <c r="R72" s="67">
        <f t="shared" ca="1" si="18"/>
        <v>12510.340960497211</v>
      </c>
      <c r="S72" s="67">
        <f t="shared" ca="1" si="18"/>
        <v>16319.172525632763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spans="1:29" x14ac:dyDescent="0.2">
      <c r="A73" s="22" t="s">
        <v>730</v>
      </c>
      <c r="B73" s="8"/>
      <c r="C73" s="8"/>
      <c r="D73" s="67">
        <f t="shared" ref="D73:S73" si="19">D56*$D$26/1000000</f>
        <v>0</v>
      </c>
      <c r="E73" s="67">
        <f t="shared" si="19"/>
        <v>0</v>
      </c>
      <c r="F73" s="67">
        <f t="shared" si="19"/>
        <v>0</v>
      </c>
      <c r="G73" s="67">
        <f t="shared" si="19"/>
        <v>0</v>
      </c>
      <c r="H73" s="67">
        <f t="shared" si="19"/>
        <v>0</v>
      </c>
      <c r="I73" s="67">
        <f t="shared" ca="1" si="19"/>
        <v>8751.1483964196632</v>
      </c>
      <c r="J73" s="67">
        <f t="shared" ca="1" si="19"/>
        <v>9820.7311510739819</v>
      </c>
      <c r="K73" s="67">
        <f t="shared" ca="1" si="19"/>
        <v>12334.123357173221</v>
      </c>
      <c r="L73" s="67">
        <f t="shared" ca="1" si="19"/>
        <v>9805.9611643795943</v>
      </c>
      <c r="M73" s="67">
        <f t="shared" ca="1" si="19"/>
        <v>16359.290630222658</v>
      </c>
      <c r="N73" s="67">
        <f t="shared" ca="1" si="19"/>
        <v>15708.606836147119</v>
      </c>
      <c r="O73" s="67">
        <f t="shared" ca="1" si="19"/>
        <v>18843.561431824375</v>
      </c>
      <c r="P73" s="67">
        <f t="shared" ca="1" si="19"/>
        <v>21047.375047864403</v>
      </c>
      <c r="Q73" s="67">
        <f t="shared" ca="1" si="19"/>
        <v>34712.770420420886</v>
      </c>
      <c r="R73" s="67">
        <f t="shared" ca="1" si="19"/>
        <v>54497.3770925141</v>
      </c>
      <c r="S73" s="67">
        <f t="shared" ca="1" si="19"/>
        <v>72710.683042467412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</row>
    <row r="74" spans="1:29" x14ac:dyDescent="0.2">
      <c r="A74" s="22" t="s">
        <v>731</v>
      </c>
      <c r="B74" s="8"/>
      <c r="C74" s="8"/>
      <c r="D74" s="67">
        <f t="shared" ref="D74:S74" si="20">D70+D72</f>
        <v>0</v>
      </c>
      <c r="E74" s="67">
        <f t="shared" si="20"/>
        <v>0</v>
      </c>
      <c r="F74" s="67">
        <f t="shared" si="20"/>
        <v>0</v>
      </c>
      <c r="G74" s="67">
        <f t="shared" si="20"/>
        <v>0</v>
      </c>
      <c r="H74" s="67">
        <f t="shared" si="20"/>
        <v>0</v>
      </c>
      <c r="I74" s="67">
        <f t="shared" ca="1" si="20"/>
        <v>6728.9709242825747</v>
      </c>
      <c r="J74" s="67">
        <f t="shared" ca="1" si="20"/>
        <v>7353.4751944478758</v>
      </c>
      <c r="K74" s="67">
        <f t="shared" ca="1" si="20"/>
        <v>8706.6289539265308</v>
      </c>
      <c r="L74" s="67">
        <f t="shared" ca="1" si="20"/>
        <v>7538.0096617453055</v>
      </c>
      <c r="M74" s="67">
        <f t="shared" ca="1" si="20"/>
        <v>10040.078861740301</v>
      </c>
      <c r="N74" s="67">
        <f t="shared" ca="1" si="20"/>
        <v>8671.5258502702509</v>
      </c>
      <c r="O74" s="67">
        <f t="shared" ca="1" si="20"/>
        <v>9408.6604324308119</v>
      </c>
      <c r="P74" s="67">
        <f t="shared" ca="1" si="20"/>
        <v>9913.3557715049246</v>
      </c>
      <c r="Q74" s="67">
        <f t="shared" ca="1" si="20"/>
        <v>14237.086284591307</v>
      </c>
      <c r="R74" s="67">
        <f t="shared" ca="1" si="20"/>
        <v>20657.239423507664</v>
      </c>
      <c r="S74" s="67">
        <f t="shared" ca="1" si="20"/>
        <v>27969.567758296474</v>
      </c>
      <c r="T74" s="40"/>
      <c r="U74" s="40"/>
      <c r="V74" s="40"/>
      <c r="W74" s="40"/>
      <c r="X74" s="40"/>
      <c r="Y74" s="40"/>
      <c r="Z74" s="40"/>
      <c r="AA74" s="40"/>
      <c r="AB74" s="40"/>
      <c r="AC74" s="40"/>
    </row>
    <row r="75" spans="1:29" x14ac:dyDescent="0.2">
      <c r="A75" s="22" t="s">
        <v>732</v>
      </c>
      <c r="B75" s="8"/>
      <c r="C75" s="8"/>
      <c r="D75" s="67">
        <f t="shared" ref="D75:S75" si="21">D71+D73</f>
        <v>0</v>
      </c>
      <c r="E75" s="67">
        <f t="shared" si="21"/>
        <v>0</v>
      </c>
      <c r="F75" s="67">
        <f t="shared" si="21"/>
        <v>0</v>
      </c>
      <c r="G75" s="67">
        <f t="shared" si="21"/>
        <v>0</v>
      </c>
      <c r="H75" s="67">
        <f t="shared" si="21"/>
        <v>0</v>
      </c>
      <c r="I75" s="67">
        <f t="shared" ca="1" si="21"/>
        <v>10093.456386423863</v>
      </c>
      <c r="J75" s="67">
        <f t="shared" ca="1" si="21"/>
        <v>12811.840458739855</v>
      </c>
      <c r="K75" s="67">
        <f t="shared" ca="1" si="21"/>
        <v>17560.594611750243</v>
      </c>
      <c r="L75" s="67">
        <f t="shared" ca="1" si="21"/>
        <v>17034.942087911419</v>
      </c>
      <c r="M75" s="67">
        <f t="shared" ca="1" si="21"/>
        <v>26999.783467745954</v>
      </c>
      <c r="N75" s="67">
        <f t="shared" ca="1" si="21"/>
        <v>28243.146693355735</v>
      </c>
      <c r="O75" s="67">
        <f t="shared" ca="1" si="21"/>
        <v>33859.494278538506</v>
      </c>
      <c r="P75" s="67">
        <f t="shared" ca="1" si="21"/>
        <v>38694.687423271142</v>
      </c>
      <c r="Q75" s="67">
        <f t="shared" ca="1" si="21"/>
        <v>58886.872212804446</v>
      </c>
      <c r="R75" s="67">
        <f t="shared" ca="1" si="21"/>
        <v>88955.248414305708</v>
      </c>
      <c r="S75" s="67">
        <f t="shared" ca="1" si="21"/>
        <v>123133.44171915247</v>
      </c>
      <c r="T75" s="40"/>
      <c r="U75" s="40"/>
      <c r="V75" s="40"/>
      <c r="W75" s="40"/>
      <c r="X75" s="40"/>
      <c r="Y75" s="40"/>
      <c r="Z75" s="40"/>
      <c r="AA75" s="40"/>
      <c r="AB75" s="40"/>
      <c r="AC75" s="40"/>
    </row>
    <row r="76" spans="1:29" x14ac:dyDescent="0.2">
      <c r="A76" s="24" t="s">
        <v>1397</v>
      </c>
      <c r="B76" s="8"/>
      <c r="C76" s="8"/>
      <c r="D76" s="12">
        <f>$D74</f>
        <v>0</v>
      </c>
      <c r="E76" s="109">
        <f t="array" ref="E76">INDEX($D76:$AC76, 1, E$5)*(1-1/$D$12)+E74</f>
        <v>0</v>
      </c>
      <c r="F76" s="109">
        <f t="array" ref="F76">INDEX($D76:$AC76, 1, F$5)*(1-1/$D$12)+F74</f>
        <v>0</v>
      </c>
      <c r="G76" s="109">
        <f t="array" ref="G76">INDEX($D76:$AC76, 1, G$5)*(1-1/$D$12)+G74</f>
        <v>0</v>
      </c>
      <c r="H76" s="109">
        <f t="array" ref="H76">INDEX($D76:$AC76, 1, H$5)*(1-1/$D$12)+H74</f>
        <v>0</v>
      </c>
      <c r="I76" s="109">
        <f t="array" aca="1" ref="I76" ca="1">INDEX($D76:$AC76, 1, I$5)*(1-1/$D$12)+I74</f>
        <v>6728.9709242825747</v>
      </c>
      <c r="J76" s="109">
        <f t="array" aca="1" ref="J76" ca="1">INDEX($D76:$AC76, 1, J$5)*(1-1/$D$12)+J74</f>
        <v>13409.549026302193</v>
      </c>
      <c r="K76" s="109">
        <f t="array" aca="1" ref="K76" ca="1">INDEX($D76:$AC76, 1, K$5)*(1-1/$D$12)+K74</f>
        <v>20775.223077598504</v>
      </c>
      <c r="L76" s="109">
        <f t="array" aca="1" ref="L76" ca="1">INDEX($D76:$AC76, 1, L$5)*(1-1/$D$12)+L74</f>
        <v>26235.710431583961</v>
      </c>
      <c r="M76" s="109">
        <f t="array" aca="1" ref="M76" ca="1">INDEX($D76:$AC76, 1, M$5)*(1-1/$D$12)+M74</f>
        <v>33652.218250165868</v>
      </c>
      <c r="N76" s="109">
        <f t="array" aca="1" ref="N76" ca="1">INDEX($D76:$AC76, 1, N$5)*(1-1/$D$12)+N74</f>
        <v>38958.522275419535</v>
      </c>
      <c r="O76" s="109">
        <f t="array" aca="1" ref="O76" ca="1">INDEX($D76:$AC76, 1, O$5)*(1-1/$D$12)+O74</f>
        <v>44471.330480308396</v>
      </c>
      <c r="P76" s="109">
        <f t="array" aca="1" ref="P76" ca="1">INDEX($D76:$AC76, 1, P$5)*(1-1/$D$12)+P74</f>
        <v>49937.553203782481</v>
      </c>
      <c r="Q76" s="109">
        <f t="array" aca="1" ref="Q76" ca="1">INDEX($D76:$AC76, 1, Q$5)*(1-1/$D$12)+Q74</f>
        <v>59180.884167995544</v>
      </c>
      <c r="R76" s="109">
        <f t="array" aca="1" ref="R76" ca="1">INDEX($D76:$AC76, 1, R$5)*(1-1/$D$12)+R74</f>
        <v>73920.035174703662</v>
      </c>
      <c r="S76" s="109">
        <f t="array" aca="1" ref="S76" ca="1">INDEX($D76:$AC76, 1, S$5)*(1-1/$D$12)+S74</f>
        <v>94497.599415529767</v>
      </c>
      <c r="T76" s="127"/>
      <c r="U76" s="127"/>
      <c r="V76" s="127"/>
      <c r="W76" s="127"/>
      <c r="X76" s="127"/>
      <c r="Y76" s="127"/>
      <c r="Z76" s="127"/>
      <c r="AA76" s="127"/>
      <c r="AB76" s="127"/>
      <c r="AC76" s="127"/>
    </row>
    <row r="77" spans="1:29" x14ac:dyDescent="0.2">
      <c r="A77" s="24" t="s">
        <v>1398</v>
      </c>
      <c r="B77" s="8"/>
      <c r="C77" s="8"/>
      <c r="D77" s="12">
        <f>$D75</f>
        <v>0</v>
      </c>
      <c r="E77" s="109">
        <f t="array" ref="E77">INDEX($D77:$AC77, 1, E$5)*(1-1/$D$12)+E75</f>
        <v>0</v>
      </c>
      <c r="F77" s="109">
        <f t="array" ref="F77">INDEX($D77:$AC77, 1, F$5)*(1-1/$D$12)+F75</f>
        <v>0</v>
      </c>
      <c r="G77" s="109">
        <f t="array" ref="G77">INDEX($D77:$AC77, 1, G$5)*(1-1/$D$12)+G75</f>
        <v>0</v>
      </c>
      <c r="H77" s="109">
        <f t="array" ref="H77">INDEX($D77:$AC77, 1, H$5)*(1-1/$D$12)+H75</f>
        <v>0</v>
      </c>
      <c r="I77" s="109">
        <f t="array" aca="1" ref="I77" ca="1">INDEX($D77:$AC77, 1, I$5)*(1-1/$D$12)+I75</f>
        <v>10093.456386423863</v>
      </c>
      <c r="J77" s="109">
        <f t="array" aca="1" ref="J77" ca="1">INDEX($D77:$AC77, 1, J$5)*(1-1/$D$12)+J75</f>
        <v>21895.951206521331</v>
      </c>
      <c r="K77" s="109">
        <f t="array" aca="1" ref="K77" ca="1">INDEX($D77:$AC77, 1, K$5)*(1-1/$D$12)+K75</f>
        <v>37266.950697619439</v>
      </c>
      <c r="L77" s="109">
        <f t="array" aca="1" ref="L77" ca="1">INDEX($D77:$AC77, 1, L$5)*(1-1/$D$12)+L75</f>
        <v>50575.197715768918</v>
      </c>
      <c r="M77" s="109">
        <f t="array" aca="1" ref="M77" ca="1">INDEX($D77:$AC77, 1, M$5)*(1-1/$D$12)+M75</f>
        <v>72517.461411937984</v>
      </c>
      <c r="N77" s="109">
        <f t="array" aca="1" ref="N77" ca="1">INDEX($D77:$AC77, 1, N$5)*(1-1/$D$12)+N75</f>
        <v>93508.861964099924</v>
      </c>
      <c r="O77" s="109">
        <f t="array" aca="1" ref="O77" ca="1">INDEX($D77:$AC77, 1, O$5)*(1-1/$D$12)+O75</f>
        <v>118017.47004622844</v>
      </c>
      <c r="P77" s="109">
        <f t="array" aca="1" ref="P77" ca="1">INDEX($D77:$AC77, 1, P$5)*(1-1/$D$12)+P75</f>
        <v>144910.41046487674</v>
      </c>
      <c r="Q77" s="109">
        <f t="array" aca="1" ref="Q77" ca="1">INDEX($D77:$AC77, 1, Q$5)*(1-1/$D$12)+Q75</f>
        <v>189306.24163119349</v>
      </c>
      <c r="R77" s="109">
        <f t="array" aca="1" ref="R77" ca="1">INDEX($D77:$AC77, 1, R$5)*(1-1/$D$12)+R75</f>
        <v>259330.86588237985</v>
      </c>
      <c r="S77" s="109">
        <f t="array" aca="1" ref="S77" ca="1">INDEX($D77:$AC77, 1, S$5)*(1-1/$D$12)+S75</f>
        <v>356531.2210132943</v>
      </c>
      <c r="T77" s="127"/>
      <c r="U77" s="127"/>
      <c r="V77" s="127"/>
      <c r="W77" s="127"/>
      <c r="X77" s="127"/>
      <c r="Y77" s="127"/>
      <c r="Z77" s="127"/>
      <c r="AA77" s="127"/>
      <c r="AB77" s="127"/>
      <c r="AC77" s="127"/>
    </row>
    <row r="78" spans="1:29" x14ac:dyDescent="0.2">
      <c r="A78" s="21" t="s">
        <v>1399</v>
      </c>
      <c r="B78" s="20"/>
      <c r="C78" s="20"/>
      <c r="D78" s="211">
        <f t="shared" ref="D78:S78" si="22">D76+D77</f>
        <v>0</v>
      </c>
      <c r="E78" s="211">
        <f t="shared" si="22"/>
        <v>0</v>
      </c>
      <c r="F78" s="211">
        <f t="shared" si="22"/>
        <v>0</v>
      </c>
      <c r="G78" s="211">
        <f t="shared" si="22"/>
        <v>0</v>
      </c>
      <c r="H78" s="211">
        <f t="shared" si="22"/>
        <v>0</v>
      </c>
      <c r="I78" s="211">
        <f t="shared" ca="1" si="22"/>
        <v>16822.427310706436</v>
      </c>
      <c r="J78" s="211">
        <f t="shared" ca="1" si="22"/>
        <v>35305.500232823528</v>
      </c>
      <c r="K78" s="211">
        <f t="shared" ca="1" si="22"/>
        <v>58042.173775217947</v>
      </c>
      <c r="L78" s="211">
        <f t="shared" ca="1" si="22"/>
        <v>76810.908147352879</v>
      </c>
      <c r="M78" s="211">
        <f t="shared" ca="1" si="22"/>
        <v>106169.67966210385</v>
      </c>
      <c r="N78" s="211">
        <f t="shared" ca="1" si="22"/>
        <v>132467.38423951945</v>
      </c>
      <c r="O78" s="211">
        <f t="shared" ca="1" si="22"/>
        <v>162488.80052653683</v>
      </c>
      <c r="P78" s="211">
        <f t="shared" ca="1" si="22"/>
        <v>194847.96366865921</v>
      </c>
      <c r="Q78" s="211">
        <f t="shared" ca="1" si="22"/>
        <v>248487.12579918903</v>
      </c>
      <c r="R78" s="211">
        <f t="shared" ca="1" si="22"/>
        <v>333250.90105708351</v>
      </c>
      <c r="S78" s="211">
        <f t="shared" ca="1" si="22"/>
        <v>451028.82042882405</v>
      </c>
      <c r="T78" s="129"/>
      <c r="U78" s="129"/>
      <c r="V78" s="129"/>
      <c r="W78" s="129"/>
      <c r="X78" s="129"/>
      <c r="Y78" s="129"/>
      <c r="Z78" s="129"/>
      <c r="AA78" s="129"/>
      <c r="AB78" s="129"/>
      <c r="AC78" s="129"/>
    </row>
    <row r="79" spans="1:29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">
      <c r="A80" s="168" t="s">
        <v>1637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x14ac:dyDescent="0.2">
      <c r="A81" s="21" t="s">
        <v>733</v>
      </c>
      <c r="B81" s="20"/>
      <c r="C81" s="20"/>
      <c r="D81" s="85">
        <f>0</f>
        <v>0</v>
      </c>
      <c r="E81" s="85">
        <f>0</f>
        <v>0</v>
      </c>
      <c r="F81" s="85">
        <f>0</f>
        <v>0</v>
      </c>
      <c r="G81" s="85">
        <f>0</f>
        <v>0</v>
      </c>
      <c r="H81" s="85">
        <f>0</f>
        <v>0</v>
      </c>
      <c r="I81" s="85">
        <f>0</f>
        <v>0</v>
      </c>
      <c r="J81" s="85">
        <f>0</f>
        <v>0</v>
      </c>
      <c r="K81" s="85">
        <f>0</f>
        <v>0</v>
      </c>
      <c r="L81" s="85">
        <f>0</f>
        <v>0</v>
      </c>
      <c r="M81" s="85">
        <f>0</f>
        <v>0</v>
      </c>
      <c r="N81" s="85">
        <f>0</f>
        <v>0</v>
      </c>
      <c r="O81" s="85">
        <f>0</f>
        <v>0</v>
      </c>
      <c r="P81" s="85">
        <f>0</f>
        <v>0</v>
      </c>
      <c r="Q81" s="85">
        <f>0</f>
        <v>0</v>
      </c>
      <c r="R81" s="85">
        <f>0</f>
        <v>0</v>
      </c>
      <c r="S81" s="85">
        <f>0</f>
        <v>0</v>
      </c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82" spans="1:29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">
      <c r="A83" s="22" t="s">
        <v>544</v>
      </c>
      <c r="B83" s="8"/>
      <c r="C83" s="8"/>
      <c r="D83" s="67">
        <f t="shared" ref="D83:S83" si="23">IF(D$4 &lt; $D$11, D30, 0)</f>
        <v>700</v>
      </c>
      <c r="E83" s="67">
        <f t="shared" si="23"/>
        <v>700</v>
      </c>
      <c r="F83" s="67">
        <f t="shared" si="23"/>
        <v>700</v>
      </c>
      <c r="G83" s="67">
        <f t="shared" si="23"/>
        <v>700</v>
      </c>
      <c r="H83" s="67">
        <f t="shared" si="23"/>
        <v>700</v>
      </c>
      <c r="I83" s="67">
        <f t="shared" si="23"/>
        <v>0</v>
      </c>
      <c r="J83" s="67">
        <f t="shared" si="23"/>
        <v>0</v>
      </c>
      <c r="K83" s="67">
        <f t="shared" si="23"/>
        <v>0</v>
      </c>
      <c r="L83" s="67">
        <f t="shared" si="23"/>
        <v>0</v>
      </c>
      <c r="M83" s="67">
        <f t="shared" si="23"/>
        <v>0</v>
      </c>
      <c r="N83" s="67">
        <f t="shared" si="23"/>
        <v>0</v>
      </c>
      <c r="O83" s="67">
        <f t="shared" si="23"/>
        <v>0</v>
      </c>
      <c r="P83" s="67">
        <f t="shared" si="23"/>
        <v>0</v>
      </c>
      <c r="Q83" s="67">
        <f t="shared" si="23"/>
        <v>0</v>
      </c>
      <c r="R83" s="67">
        <f t="shared" si="23"/>
        <v>0</v>
      </c>
      <c r="S83" s="67">
        <f t="shared" si="23"/>
        <v>0</v>
      </c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spans="1:29" x14ac:dyDescent="0.2">
      <c r="A84" s="22" t="s">
        <v>1530</v>
      </c>
      <c r="B84" s="8"/>
      <c r="C84" s="8"/>
      <c r="D84" s="82">
        <f t="shared" ref="D84:S84" si="24">D46*$D36*$D$13</f>
        <v>0</v>
      </c>
      <c r="E84" s="82">
        <f t="shared" si="24"/>
        <v>0</v>
      </c>
      <c r="F84" s="82">
        <f t="shared" si="24"/>
        <v>0</v>
      </c>
      <c r="G84" s="82">
        <f t="shared" si="24"/>
        <v>0</v>
      </c>
      <c r="H84" s="82">
        <f t="shared" si="24"/>
        <v>0</v>
      </c>
      <c r="I84" s="82">
        <f t="shared" ca="1" si="24"/>
        <v>297.26123124346157</v>
      </c>
      <c r="J84" s="82">
        <f t="shared" ca="1" si="24"/>
        <v>281.46916959774535</v>
      </c>
      <c r="K84" s="82">
        <f t="shared" ca="1" si="24"/>
        <v>295.74256565098824</v>
      </c>
      <c r="L84" s="82">
        <f t="shared" ca="1" si="24"/>
        <v>194.30330455344753</v>
      </c>
      <c r="M84" s="82">
        <f t="shared" ca="1" si="24"/>
        <v>263.22467630583827</v>
      </c>
      <c r="N84" s="82">
        <f t="shared" ca="1" si="24"/>
        <v>200.09772993663591</v>
      </c>
      <c r="O84" s="82">
        <f t="shared" ca="1" si="24"/>
        <v>235.10077661756236</v>
      </c>
      <c r="P84" s="82">
        <f t="shared" ca="1" si="24"/>
        <v>256.96987896160385</v>
      </c>
      <c r="Q84" s="82">
        <f t="shared" ca="1" si="24"/>
        <v>414.87984870497161</v>
      </c>
      <c r="R84" s="82">
        <f t="shared" ca="1" si="24"/>
        <v>637.43165846342936</v>
      </c>
      <c r="S84" s="82">
        <f t="shared" ca="1" si="24"/>
        <v>831.50069535366936</v>
      </c>
      <c r="T84" s="39"/>
      <c r="U84" s="39"/>
      <c r="V84" s="39"/>
      <c r="W84" s="39"/>
      <c r="X84" s="39"/>
      <c r="Y84" s="39"/>
      <c r="Z84" s="39"/>
      <c r="AA84" s="39"/>
      <c r="AB84" s="39"/>
      <c r="AC84" s="39"/>
    </row>
    <row r="85" spans="1:29" x14ac:dyDescent="0.2">
      <c r="A85" s="22" t="s">
        <v>1531</v>
      </c>
      <c r="B85" s="8"/>
      <c r="C85" s="8"/>
      <c r="D85" s="82">
        <f t="shared" ref="D85:S85" si="25">D54*$D41*$D$14</f>
        <v>0</v>
      </c>
      <c r="E85" s="82">
        <f t="shared" si="25"/>
        <v>0</v>
      </c>
      <c r="F85" s="82">
        <f t="shared" si="25"/>
        <v>0</v>
      </c>
      <c r="G85" s="82">
        <f t="shared" si="25"/>
        <v>0</v>
      </c>
      <c r="H85" s="82">
        <f t="shared" si="25"/>
        <v>0</v>
      </c>
      <c r="I85" s="82">
        <f t="shared" ca="1" si="25"/>
        <v>445.89184686519241</v>
      </c>
      <c r="J85" s="82">
        <f t="shared" ca="1" si="25"/>
        <v>500.38963484043626</v>
      </c>
      <c r="K85" s="82">
        <f t="shared" ca="1" si="25"/>
        <v>628.45295200835005</v>
      </c>
      <c r="L85" s="82">
        <f t="shared" ca="1" si="25"/>
        <v>499.63706885172218</v>
      </c>
      <c r="M85" s="82">
        <f t="shared" ca="1" si="25"/>
        <v>833.54480830182115</v>
      </c>
      <c r="N85" s="82">
        <f t="shared" ca="1" si="25"/>
        <v>800.39091974654366</v>
      </c>
      <c r="O85" s="82">
        <f t="shared" ca="1" si="25"/>
        <v>960.12432057390879</v>
      </c>
      <c r="P85" s="82">
        <f t="shared" ca="1" si="25"/>
        <v>1072.4138714864243</v>
      </c>
      <c r="Q85" s="82">
        <f t="shared" ca="1" si="25"/>
        <v>1768.6983023738264</v>
      </c>
      <c r="R85" s="82">
        <f t="shared" ca="1" si="25"/>
        <v>2776.7711185233375</v>
      </c>
      <c r="S85" s="82">
        <f t="shared" ca="1" si="25"/>
        <v>3704.7824216876252</v>
      </c>
      <c r="T85" s="39"/>
      <c r="U85" s="39"/>
      <c r="V85" s="39"/>
      <c r="W85" s="39"/>
      <c r="X85" s="39"/>
      <c r="Y85" s="39"/>
      <c r="Z85" s="39"/>
      <c r="AA85" s="39"/>
      <c r="AB85" s="39"/>
      <c r="AC85" s="39"/>
    </row>
    <row r="86" spans="1:29" x14ac:dyDescent="0.2">
      <c r="A86" s="22" t="s">
        <v>734</v>
      </c>
      <c r="B86" s="8"/>
      <c r="C86" s="8"/>
      <c r="D86" s="82">
        <f t="shared" ref="D86:S86" si="26">D84+D85</f>
        <v>0</v>
      </c>
      <c r="E86" s="82">
        <f t="shared" si="26"/>
        <v>0</v>
      </c>
      <c r="F86" s="82">
        <f t="shared" si="26"/>
        <v>0</v>
      </c>
      <c r="G86" s="82">
        <f t="shared" si="26"/>
        <v>0</v>
      </c>
      <c r="H86" s="82">
        <f t="shared" si="26"/>
        <v>0</v>
      </c>
      <c r="I86" s="82">
        <f t="shared" ca="1" si="26"/>
        <v>743.15307810865397</v>
      </c>
      <c r="J86" s="82">
        <f t="shared" ca="1" si="26"/>
        <v>781.85880443818155</v>
      </c>
      <c r="K86" s="82">
        <f t="shared" ca="1" si="26"/>
        <v>924.19551765933829</v>
      </c>
      <c r="L86" s="82">
        <f t="shared" ca="1" si="26"/>
        <v>693.94037340516968</v>
      </c>
      <c r="M86" s="82">
        <f t="shared" ca="1" si="26"/>
        <v>1096.7694846076595</v>
      </c>
      <c r="N86" s="82">
        <f t="shared" ca="1" si="26"/>
        <v>1000.4886496831796</v>
      </c>
      <c r="O86" s="82">
        <f t="shared" ca="1" si="26"/>
        <v>1195.2250971914711</v>
      </c>
      <c r="P86" s="82">
        <f t="shared" ca="1" si="26"/>
        <v>1329.3837504480282</v>
      </c>
      <c r="Q86" s="82">
        <f t="shared" ca="1" si="26"/>
        <v>2183.5781510787979</v>
      </c>
      <c r="R86" s="82">
        <f t="shared" ca="1" si="26"/>
        <v>3414.2027769867668</v>
      </c>
      <c r="S86" s="82">
        <f t="shared" ca="1" si="26"/>
        <v>4536.2831170412946</v>
      </c>
      <c r="T86" s="39"/>
      <c r="U86" s="39"/>
      <c r="V86" s="39"/>
      <c r="W86" s="39"/>
      <c r="X86" s="39"/>
      <c r="Y86" s="39"/>
      <c r="Z86" s="39"/>
      <c r="AA86" s="39"/>
      <c r="AB86" s="39"/>
      <c r="AC86" s="39"/>
    </row>
    <row r="87" spans="1:29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">
      <c r="A88" s="22" t="s">
        <v>735</v>
      </c>
      <c r="B88" s="8"/>
      <c r="C88" s="8"/>
      <c r="D88" s="82">
        <f t="shared" ref="D88:S88" si="27">D46*$D36+D54*$D41</f>
        <v>0</v>
      </c>
      <c r="E88" s="82">
        <f t="shared" si="27"/>
        <v>0</v>
      </c>
      <c r="F88" s="82">
        <f t="shared" si="27"/>
        <v>0</v>
      </c>
      <c r="G88" s="82">
        <f t="shared" si="27"/>
        <v>0</v>
      </c>
      <c r="H88" s="82">
        <f t="shared" si="27"/>
        <v>0</v>
      </c>
      <c r="I88" s="82">
        <f t="shared" ca="1" si="27"/>
        <v>14863.061562173079</v>
      </c>
      <c r="J88" s="82">
        <f t="shared" ca="1" si="27"/>
        <v>15637.176088763632</v>
      </c>
      <c r="K88" s="82">
        <f t="shared" ca="1" si="27"/>
        <v>18483.910353186766</v>
      </c>
      <c r="L88" s="82">
        <f t="shared" ca="1" si="27"/>
        <v>13878.807468103394</v>
      </c>
      <c r="M88" s="82">
        <f t="shared" ca="1" si="27"/>
        <v>21935.389692153185</v>
      </c>
      <c r="N88" s="82">
        <f t="shared" ca="1" si="27"/>
        <v>20009.772993663591</v>
      </c>
      <c r="O88" s="82">
        <f t="shared" ca="1" si="27"/>
        <v>23904.501943829422</v>
      </c>
      <c r="P88" s="82">
        <f t="shared" ca="1" si="27"/>
        <v>26587.675008960563</v>
      </c>
      <c r="Q88" s="82">
        <f t="shared" ca="1" si="27"/>
        <v>43671.563021575959</v>
      </c>
      <c r="R88" s="82">
        <f t="shared" ca="1" si="27"/>
        <v>68284.055539735331</v>
      </c>
      <c r="S88" s="82">
        <f t="shared" ca="1" si="27"/>
        <v>90725.662340825889</v>
      </c>
      <c r="T88" s="39"/>
      <c r="U88" s="39"/>
      <c r="V88" s="39"/>
      <c r="W88" s="39"/>
      <c r="X88" s="39"/>
      <c r="Y88" s="39"/>
      <c r="Z88" s="39"/>
      <c r="AA88" s="39"/>
      <c r="AB88" s="39"/>
      <c r="AC88" s="39"/>
    </row>
    <row r="89" spans="1:29" x14ac:dyDescent="0.2">
      <c r="A89" s="22" t="s">
        <v>736</v>
      </c>
      <c r="B89" s="8"/>
      <c r="C89" s="8"/>
      <c r="D89" s="82">
        <f>$D88</f>
        <v>0</v>
      </c>
      <c r="E89" s="71">
        <f t="array" ref="E89">INDEX($D89:$AC89,1,E$5)+E88</f>
        <v>0</v>
      </c>
      <c r="F89" s="71">
        <f t="array" ref="F89">INDEX($D89:$AC89,1,F$5)+F88</f>
        <v>0</v>
      </c>
      <c r="G89" s="71">
        <f t="array" ref="G89">INDEX($D89:$AC89,1,G$5)+G88</f>
        <v>0</v>
      </c>
      <c r="H89" s="71">
        <f t="array" ref="H89">INDEX($D89:$AC89,1,H$5)+H88</f>
        <v>0</v>
      </c>
      <c r="I89" s="71">
        <f t="array" aca="1" ref="I89" ca="1">INDEX($D89:$AC89,1,I$5)+I88</f>
        <v>14863.061562173079</v>
      </c>
      <c r="J89" s="71">
        <f t="array" aca="1" ref="J89" ca="1">INDEX($D89:$AC89,1,J$5)+J88</f>
        <v>30500.23765093671</v>
      </c>
      <c r="K89" s="71">
        <f t="array" aca="1" ref="K89" ca="1">INDEX($D89:$AC89,1,K$5)+K88</f>
        <v>48984.148004123475</v>
      </c>
      <c r="L89" s="71">
        <f t="array" aca="1" ref="L89" ca="1">INDEX($D89:$AC89,1,L$5)+L88</f>
        <v>62862.955472226866</v>
      </c>
      <c r="M89" s="71">
        <f t="array" aca="1" ref="M89" ca="1">INDEX($D89:$AC89,1,M$5)+M88</f>
        <v>84798.345164380051</v>
      </c>
      <c r="N89" s="71">
        <f t="array" aca="1" ref="N89" ca="1">INDEX($D89:$AC89,1,N$5)+N88</f>
        <v>104808.11815804364</v>
      </c>
      <c r="O89" s="71">
        <f t="array" aca="1" ref="O89" ca="1">INDEX($D89:$AC89,1,O$5)+O88</f>
        <v>128712.62010187306</v>
      </c>
      <c r="P89" s="71">
        <f t="array" aca="1" ref="P89" ca="1">INDEX($D89:$AC89,1,P$5)+P88</f>
        <v>155300.29511083363</v>
      </c>
      <c r="Q89" s="71">
        <f t="array" aca="1" ref="Q89" ca="1">INDEX($D89:$AC89,1,Q$5)+Q88</f>
        <v>198971.85813240957</v>
      </c>
      <c r="R89" s="71">
        <f t="array" aca="1" ref="R89" ca="1">INDEX($D89:$AC89,1,R$5)+R88</f>
        <v>267255.91367214487</v>
      </c>
      <c r="S89" s="71">
        <f t="array" aca="1" ref="S89" ca="1">INDEX($D89:$AC89,1,S$5)+S88</f>
        <v>357981.57601297076</v>
      </c>
      <c r="T89" s="39"/>
      <c r="U89" s="39"/>
      <c r="V89" s="39"/>
      <c r="W89" s="39"/>
      <c r="X89" s="39"/>
      <c r="Y89" s="39"/>
      <c r="Z89" s="39"/>
      <c r="AA89" s="39"/>
      <c r="AB89" s="39"/>
      <c r="AC89" s="39"/>
    </row>
    <row r="90" spans="1:29" x14ac:dyDescent="0.2">
      <c r="A90" s="22" t="s">
        <v>737</v>
      </c>
      <c r="B90" s="8"/>
      <c r="C90" s="8"/>
      <c r="D90" s="82">
        <f>MIN($D89/$D$12, $D89)</f>
        <v>0</v>
      </c>
      <c r="E90" s="71">
        <f t="array" ref="E90">MIN(E89/$D$12, E89 - INDEX($D91:$AC91,1,E$5))</f>
        <v>0</v>
      </c>
      <c r="F90" s="71">
        <f t="array" ref="F90">MIN(F89/$D$12, F89 - INDEX($D91:$AC91,1,F$5))</f>
        <v>0</v>
      </c>
      <c r="G90" s="71">
        <f t="array" ref="G90">MIN(G89/$D$12, G89 - INDEX($D91:$AC91,1,G$5))</f>
        <v>0</v>
      </c>
      <c r="H90" s="71">
        <f t="array" ref="H90">MIN(H89/$D$12, H89 - INDEX($D91:$AC91,1,H$5))</f>
        <v>0</v>
      </c>
      <c r="I90" s="71">
        <f t="array" aca="1" ref="I90" ca="1">MIN(I89/$D$12, I89 - INDEX($D91:$AC91,1,I$5))</f>
        <v>1486.3061562173079</v>
      </c>
      <c r="J90" s="71">
        <f t="array" aca="1" ref="J90" ca="1">MIN(J89/$D$12, J89 - INDEX($D91:$AC91,1,J$5))</f>
        <v>3050.023765093671</v>
      </c>
      <c r="K90" s="71">
        <f t="array" aca="1" ref="K90" ca="1">MIN(K89/$D$12, K89 - INDEX($D91:$AC91,1,K$5))</f>
        <v>4898.4148004123472</v>
      </c>
      <c r="L90" s="71">
        <f t="array" aca="1" ref="L90" ca="1">MIN(L89/$D$12, L89 - INDEX($D91:$AC91,1,L$5))</f>
        <v>6286.2955472226868</v>
      </c>
      <c r="M90" s="71">
        <f t="array" aca="1" ref="M90" ca="1">MIN(M89/$D$12, M89 - INDEX($D91:$AC91,1,M$5))</f>
        <v>8479.8345164380044</v>
      </c>
      <c r="N90" s="71">
        <f t="array" aca="1" ref="N90" ca="1">MIN(N89/$D$12, N89 - INDEX($D91:$AC91,1,N$5))</f>
        <v>10480.811815804364</v>
      </c>
      <c r="O90" s="71">
        <f t="array" aca="1" ref="O90" ca="1">MIN(O89/$D$12, O89 - INDEX($D91:$AC91,1,O$5))</f>
        <v>12871.262010187307</v>
      </c>
      <c r="P90" s="71">
        <f t="array" aca="1" ref="P90" ca="1">MIN(P89/$D$12, P89 - INDEX($D91:$AC91,1,P$5))</f>
        <v>15530.029511083363</v>
      </c>
      <c r="Q90" s="71">
        <f t="array" aca="1" ref="Q90" ca="1">MIN(Q89/$D$12, Q89 - INDEX($D91:$AC91,1,Q$5))</f>
        <v>19897.185813240958</v>
      </c>
      <c r="R90" s="71">
        <f t="array" aca="1" ref="R90" ca="1">MIN(R89/$D$12, R89 - INDEX($D91:$AC91,1,R$5))</f>
        <v>26725.591367214489</v>
      </c>
      <c r="S90" s="71">
        <f t="array" aca="1" ref="S90" ca="1">MIN(S89/$D$12, S89 - INDEX($D91:$AC91,1,S$5))</f>
        <v>35798.157601297076</v>
      </c>
      <c r="T90" s="39"/>
      <c r="U90" s="39"/>
      <c r="V90" s="39"/>
      <c r="W90" s="39"/>
      <c r="X90" s="39"/>
      <c r="Y90" s="39"/>
      <c r="Z90" s="39"/>
      <c r="AA90" s="39"/>
      <c r="AB90" s="39"/>
      <c r="AC90" s="39"/>
    </row>
    <row r="91" spans="1:29" x14ac:dyDescent="0.2">
      <c r="A91" s="22" t="s">
        <v>738</v>
      </c>
      <c r="B91" s="8"/>
      <c r="C91" s="8"/>
      <c r="D91" s="82">
        <f>$D90</f>
        <v>0</v>
      </c>
      <c r="E91" s="71">
        <f t="array" ref="E91">INDEX($D91:$AC91,1,E$5)+E90</f>
        <v>0</v>
      </c>
      <c r="F91" s="71">
        <f t="array" ref="F91">INDEX($D91:$AC91,1,F$5)+F90</f>
        <v>0</v>
      </c>
      <c r="G91" s="71">
        <f t="array" ref="G91">INDEX($D91:$AC91,1,G$5)+G90</f>
        <v>0</v>
      </c>
      <c r="H91" s="71">
        <f t="array" ref="H91">INDEX($D91:$AC91,1,H$5)+H90</f>
        <v>0</v>
      </c>
      <c r="I91" s="71">
        <f t="array" aca="1" ref="I91" ca="1">INDEX($D91:$AC91,1,I$5)+I90</f>
        <v>1486.3061562173079</v>
      </c>
      <c r="J91" s="71">
        <f t="array" aca="1" ref="J91" ca="1">INDEX($D91:$AC91,1,J$5)+J90</f>
        <v>4536.3299213109785</v>
      </c>
      <c r="K91" s="71">
        <f t="array" aca="1" ref="K91" ca="1">INDEX($D91:$AC91,1,K$5)+K90</f>
        <v>9434.7447217233257</v>
      </c>
      <c r="L91" s="71">
        <f t="array" aca="1" ref="L91" ca="1">INDEX($D91:$AC91,1,L$5)+L90</f>
        <v>15721.040268946013</v>
      </c>
      <c r="M91" s="71">
        <f t="array" aca="1" ref="M91" ca="1">INDEX($D91:$AC91,1,M$5)+M90</f>
        <v>24200.874785384018</v>
      </c>
      <c r="N91" s="71">
        <f t="array" aca="1" ref="N91" ca="1">INDEX($D91:$AC91,1,N$5)+N90</f>
        <v>34681.686601188383</v>
      </c>
      <c r="O91" s="71">
        <f t="array" aca="1" ref="O91" ca="1">INDEX($D91:$AC91,1,O$5)+O90</f>
        <v>47552.948611375687</v>
      </c>
      <c r="P91" s="71">
        <f t="array" aca="1" ref="P91" ca="1">INDEX($D91:$AC91,1,P$5)+P90</f>
        <v>63082.978122459048</v>
      </c>
      <c r="Q91" s="71">
        <f t="array" aca="1" ref="Q91" ca="1">INDEX($D91:$AC91,1,Q$5)+Q90</f>
        <v>82980.163935700009</v>
      </c>
      <c r="R91" s="71">
        <f t="array" aca="1" ref="R91" ca="1">INDEX($D91:$AC91,1,R$5)+R90</f>
        <v>109705.75530291451</v>
      </c>
      <c r="S91" s="71">
        <f t="array" aca="1" ref="S91" ca="1">INDEX($D91:$AC91,1,S$5)+S90</f>
        <v>145503.91290421158</v>
      </c>
      <c r="T91" s="39"/>
      <c r="U91" s="39"/>
      <c r="V91" s="39"/>
      <c r="W91" s="39"/>
      <c r="X91" s="39"/>
      <c r="Y91" s="39"/>
      <c r="Z91" s="39"/>
      <c r="AA91" s="39"/>
      <c r="AB91" s="39"/>
      <c r="AC91" s="39"/>
    </row>
    <row r="92" spans="1:29" x14ac:dyDescent="0.2">
      <c r="A92" s="22" t="s">
        <v>739</v>
      </c>
      <c r="B92" s="8"/>
      <c r="C92" s="8"/>
      <c r="D92" s="47">
        <f t="shared" ref="D92:S92" si="28">IF(D91 &lt;= D89 + 1, 1, 0)</f>
        <v>1</v>
      </c>
      <c r="E92" s="47">
        <f t="shared" si="28"/>
        <v>1</v>
      </c>
      <c r="F92" s="47">
        <f t="shared" si="28"/>
        <v>1</v>
      </c>
      <c r="G92" s="47">
        <f t="shared" si="28"/>
        <v>1</v>
      </c>
      <c r="H92" s="47">
        <f t="shared" si="28"/>
        <v>1</v>
      </c>
      <c r="I92" s="47">
        <f t="shared" ca="1" si="28"/>
        <v>1</v>
      </c>
      <c r="J92" s="47">
        <f t="shared" ca="1" si="28"/>
        <v>1</v>
      </c>
      <c r="K92" s="47">
        <f t="shared" ca="1" si="28"/>
        <v>1</v>
      </c>
      <c r="L92" s="47">
        <f t="shared" ca="1" si="28"/>
        <v>1</v>
      </c>
      <c r="M92" s="47">
        <f t="shared" ca="1" si="28"/>
        <v>1</v>
      </c>
      <c r="N92" s="47">
        <f t="shared" ca="1" si="28"/>
        <v>1</v>
      </c>
      <c r="O92" s="47">
        <f t="shared" ca="1" si="28"/>
        <v>1</v>
      </c>
      <c r="P92" s="47">
        <f t="shared" ca="1" si="28"/>
        <v>1</v>
      </c>
      <c r="Q92" s="47">
        <f t="shared" ca="1" si="28"/>
        <v>1</v>
      </c>
      <c r="R92" s="47">
        <f t="shared" ca="1" si="28"/>
        <v>1</v>
      </c>
      <c r="S92" s="47">
        <f t="shared" ca="1" si="28"/>
        <v>1</v>
      </c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spans="1:29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">
      <c r="A94" s="20" t="s">
        <v>550</v>
      </c>
      <c r="B94" s="20"/>
      <c r="C94" s="20"/>
      <c r="D94" s="193">
        <f t="shared" ref="D94:S94" si="29">D81-D86-D83-D90</f>
        <v>-700</v>
      </c>
      <c r="E94" s="193">
        <f t="shared" si="29"/>
        <v>-700</v>
      </c>
      <c r="F94" s="193">
        <f t="shared" si="29"/>
        <v>-700</v>
      </c>
      <c r="G94" s="193">
        <f t="shared" si="29"/>
        <v>-700</v>
      </c>
      <c r="H94" s="193">
        <f t="shared" si="29"/>
        <v>-700</v>
      </c>
      <c r="I94" s="193">
        <f t="shared" ca="1" si="29"/>
        <v>-2229.4592343259619</v>
      </c>
      <c r="J94" s="193">
        <f t="shared" ca="1" si="29"/>
        <v>-3831.8825695318528</v>
      </c>
      <c r="K94" s="193">
        <f t="shared" ca="1" si="29"/>
        <v>-5822.6103180716855</v>
      </c>
      <c r="L94" s="193">
        <f t="shared" ca="1" si="29"/>
        <v>-6980.2359206278561</v>
      </c>
      <c r="M94" s="193">
        <f t="shared" ca="1" si="29"/>
        <v>-9576.6040010456636</v>
      </c>
      <c r="N94" s="193">
        <f t="shared" ca="1" si="29"/>
        <v>-11481.300465487544</v>
      </c>
      <c r="O94" s="193">
        <f t="shared" ca="1" si="29"/>
        <v>-14066.487107378778</v>
      </c>
      <c r="P94" s="193">
        <f t="shared" ca="1" si="29"/>
        <v>-16859.41326153139</v>
      </c>
      <c r="Q94" s="193">
        <f t="shared" ca="1" si="29"/>
        <v>-22080.763964319754</v>
      </c>
      <c r="R94" s="193">
        <f t="shared" ca="1" si="29"/>
        <v>-30139.794144201256</v>
      </c>
      <c r="S94" s="193">
        <f t="shared" ca="1" si="29"/>
        <v>-40334.440718338374</v>
      </c>
      <c r="T94" s="130"/>
      <c r="U94" s="130"/>
      <c r="V94" s="130"/>
      <c r="W94" s="130"/>
      <c r="X94" s="130"/>
      <c r="Y94" s="130"/>
      <c r="Z94" s="130"/>
      <c r="AA94" s="130"/>
      <c r="AB94" s="130"/>
      <c r="AC94" s="130"/>
    </row>
    <row r="95" spans="1:29" x14ac:dyDescent="0.2">
      <c r="A95" s="22" t="s">
        <v>740</v>
      </c>
      <c r="B95" s="8"/>
      <c r="C95" s="8"/>
      <c r="D95" s="82">
        <f t="shared" ref="D95:S95" si="30">D88</f>
        <v>0</v>
      </c>
      <c r="E95" s="82">
        <f t="shared" si="30"/>
        <v>0</v>
      </c>
      <c r="F95" s="82">
        <f t="shared" si="30"/>
        <v>0</v>
      </c>
      <c r="G95" s="82">
        <f t="shared" si="30"/>
        <v>0</v>
      </c>
      <c r="H95" s="82">
        <f t="shared" si="30"/>
        <v>0</v>
      </c>
      <c r="I95" s="82">
        <f t="shared" ca="1" si="30"/>
        <v>14863.061562173079</v>
      </c>
      <c r="J95" s="82">
        <f t="shared" ca="1" si="30"/>
        <v>15637.176088763632</v>
      </c>
      <c r="K95" s="82">
        <f t="shared" ca="1" si="30"/>
        <v>18483.910353186766</v>
      </c>
      <c r="L95" s="82">
        <f t="shared" ca="1" si="30"/>
        <v>13878.807468103394</v>
      </c>
      <c r="M95" s="82">
        <f t="shared" ca="1" si="30"/>
        <v>21935.389692153185</v>
      </c>
      <c r="N95" s="82">
        <f t="shared" ca="1" si="30"/>
        <v>20009.772993663591</v>
      </c>
      <c r="O95" s="82">
        <f t="shared" ca="1" si="30"/>
        <v>23904.501943829422</v>
      </c>
      <c r="P95" s="82">
        <f t="shared" ca="1" si="30"/>
        <v>26587.675008960563</v>
      </c>
      <c r="Q95" s="82">
        <f t="shared" ca="1" si="30"/>
        <v>43671.563021575959</v>
      </c>
      <c r="R95" s="82">
        <f t="shared" ca="1" si="30"/>
        <v>68284.055539735331</v>
      </c>
      <c r="S95" s="82">
        <f t="shared" ca="1" si="30"/>
        <v>90725.662340825889</v>
      </c>
      <c r="T95" s="39"/>
      <c r="U95" s="39"/>
      <c r="V95" s="39"/>
      <c r="W95" s="39"/>
      <c r="X95" s="39"/>
      <c r="Y95" s="39"/>
      <c r="Z95" s="39"/>
      <c r="AA95" s="39"/>
      <c r="AB95" s="39"/>
      <c r="AC95" s="39"/>
    </row>
    <row r="96" spans="1:29" x14ac:dyDescent="0.2">
      <c r="A96" s="22" t="s">
        <v>557</v>
      </c>
      <c r="B96" s="8"/>
      <c r="C96" s="8"/>
      <c r="D96" s="82">
        <f t="shared" ref="D96:S96" si="31">D94+D90-D88</f>
        <v>-700</v>
      </c>
      <c r="E96" s="82">
        <f t="shared" si="31"/>
        <v>-700</v>
      </c>
      <c r="F96" s="82">
        <f t="shared" si="31"/>
        <v>-700</v>
      </c>
      <c r="G96" s="82">
        <f t="shared" si="31"/>
        <v>-700</v>
      </c>
      <c r="H96" s="82">
        <f t="shared" si="31"/>
        <v>-700</v>
      </c>
      <c r="I96" s="82">
        <f t="shared" ca="1" si="31"/>
        <v>-15606.214640281734</v>
      </c>
      <c r="J96" s="82">
        <f t="shared" ca="1" si="31"/>
        <v>-16419.034893201813</v>
      </c>
      <c r="K96" s="82">
        <f t="shared" ca="1" si="31"/>
        <v>-19408.105870846106</v>
      </c>
      <c r="L96" s="82">
        <f t="shared" ca="1" si="31"/>
        <v>-14572.747841508564</v>
      </c>
      <c r="M96" s="82">
        <f t="shared" ca="1" si="31"/>
        <v>-23032.159176760844</v>
      </c>
      <c r="N96" s="82">
        <f t="shared" ca="1" si="31"/>
        <v>-21010.26164334677</v>
      </c>
      <c r="O96" s="82">
        <f t="shared" ca="1" si="31"/>
        <v>-25099.727041020895</v>
      </c>
      <c r="P96" s="82">
        <f t="shared" ca="1" si="31"/>
        <v>-27917.058759408588</v>
      </c>
      <c r="Q96" s="82">
        <f t="shared" ca="1" si="31"/>
        <v>-45855.141172654752</v>
      </c>
      <c r="R96" s="82">
        <f t="shared" ca="1" si="31"/>
        <v>-71698.258316722102</v>
      </c>
      <c r="S96" s="82">
        <f t="shared" ca="1" si="31"/>
        <v>-95261.945457867187</v>
      </c>
      <c r="T96" s="39"/>
      <c r="U96" s="39"/>
      <c r="V96" s="39"/>
      <c r="W96" s="39"/>
      <c r="X96" s="39"/>
      <c r="Y96" s="39"/>
      <c r="Z96" s="39"/>
      <c r="AA96" s="39"/>
      <c r="AB96" s="39"/>
      <c r="AC96" s="39"/>
    </row>
    <row r="97" spans="1:29" x14ac:dyDescent="0.2">
      <c r="A97" s="20" t="s">
        <v>741</v>
      </c>
      <c r="B97" s="20"/>
      <c r="C97" s="20"/>
      <c r="D97" s="103">
        <f t="shared" ref="D97:S97" si="32">IFERROR(D94/D81, 0)</f>
        <v>0</v>
      </c>
      <c r="E97" s="103">
        <f t="shared" si="32"/>
        <v>0</v>
      </c>
      <c r="F97" s="103">
        <f t="shared" si="32"/>
        <v>0</v>
      </c>
      <c r="G97" s="103">
        <f t="shared" si="32"/>
        <v>0</v>
      </c>
      <c r="H97" s="103">
        <f t="shared" si="32"/>
        <v>0</v>
      </c>
      <c r="I97" s="103">
        <f t="shared" ca="1" si="32"/>
        <v>0</v>
      </c>
      <c r="J97" s="103">
        <f t="shared" ca="1" si="32"/>
        <v>0</v>
      </c>
      <c r="K97" s="103">
        <f t="shared" ca="1" si="32"/>
        <v>0</v>
      </c>
      <c r="L97" s="103">
        <f t="shared" ca="1" si="32"/>
        <v>0</v>
      </c>
      <c r="M97" s="103">
        <f t="shared" ca="1" si="32"/>
        <v>0</v>
      </c>
      <c r="N97" s="103">
        <f t="shared" ca="1" si="32"/>
        <v>0</v>
      </c>
      <c r="O97" s="103">
        <f t="shared" ca="1" si="32"/>
        <v>0</v>
      </c>
      <c r="P97" s="103">
        <f t="shared" ca="1" si="32"/>
        <v>0</v>
      </c>
      <c r="Q97" s="103">
        <f t="shared" ca="1" si="32"/>
        <v>0</v>
      </c>
      <c r="R97" s="103">
        <f t="shared" ca="1" si="32"/>
        <v>0</v>
      </c>
      <c r="S97" s="103">
        <f t="shared" ca="1" si="32"/>
        <v>0</v>
      </c>
      <c r="T97" s="104"/>
      <c r="U97" s="104"/>
      <c r="V97" s="104"/>
      <c r="W97" s="104"/>
      <c r="X97" s="104"/>
      <c r="Y97" s="104"/>
      <c r="Z97" s="104"/>
      <c r="AA97" s="104"/>
      <c r="AB97" s="104"/>
      <c r="AC97" s="104"/>
    </row>
    <row r="98" spans="1:29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">
      <c r="A99" s="18" t="s">
        <v>742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spans="1:29" x14ac:dyDescent="0.2">
      <c r="A100" s="24" t="s">
        <v>743</v>
      </c>
      <c r="B100" s="8"/>
      <c r="C100" s="8"/>
      <c r="D100" s="212">
        <f>$D46</f>
        <v>0</v>
      </c>
      <c r="E100" s="174">
        <f t="array" ref="E100">INDEX($D100:$AC100,1,E$5)+E46</f>
        <v>0</v>
      </c>
      <c r="F100" s="174">
        <f t="array" ref="F100">INDEX($D100:$AC100,1,F$5)+F46</f>
        <v>0</v>
      </c>
      <c r="G100" s="174">
        <f t="array" ref="G100">INDEX($D100:$AC100,1,G$5)+G46</f>
        <v>0</v>
      </c>
      <c r="H100" s="174">
        <f t="array" ref="H100">INDEX($D100:$AC100,1,H$5)+H46</f>
        <v>0</v>
      </c>
      <c r="I100" s="174">
        <f t="array" aca="1" ref="I100" ca="1">INDEX($D100:$AC100,1,I$5)+I46</f>
        <v>11.112569392278937</v>
      </c>
      <c r="J100" s="174">
        <f t="array" aca="1" ref="J100" ca="1">INDEX($D100:$AC100,1,J$5)+J46</f>
        <v>21.634781339858201</v>
      </c>
      <c r="K100" s="174">
        <f t="array" aca="1" ref="K100" ca="1">INDEX($D100:$AC100,1,K$5)+K46</f>
        <v>32.690578186624116</v>
      </c>
      <c r="L100" s="174">
        <f t="array" aca="1" ref="L100" ca="1">INDEX($D100:$AC100,1,L$5)+L46</f>
        <v>39.954253123201596</v>
      </c>
      <c r="M100" s="174">
        <f t="array" aca="1" ref="M100" ca="1">INDEX($D100:$AC100,1,M$5)+M46</f>
        <v>49.794427938373119</v>
      </c>
      <c r="N100" s="174">
        <f t="array" aca="1" ref="N100" ca="1">INDEX($D100:$AC100,1,N$5)+N46</f>
        <v>57.274716907966983</v>
      </c>
      <c r="O100" s="174">
        <f t="array" aca="1" ref="O100" ca="1">INDEX($D100:$AC100,1,O$5)+O46</f>
        <v>66.063530987128189</v>
      </c>
      <c r="P100" s="174">
        <f t="array" aca="1" ref="P100" ca="1">INDEX($D100:$AC100,1,P$5)+P46</f>
        <v>75.669881602515247</v>
      </c>
      <c r="Q100" s="174">
        <f t="array" aca="1" ref="Q100" ca="1">INDEX($D100:$AC100,1,Q$5)+Q46</f>
        <v>91.179408656906702</v>
      </c>
      <c r="R100" s="174">
        <f t="array" aca="1" ref="R100" ca="1">INDEX($D100:$AC100,1,R$5)+R46</f>
        <v>115.00862953404425</v>
      </c>
      <c r="S100" s="174">
        <f t="array" aca="1" ref="S100" ca="1">INDEX($D100:$AC100,1,S$5)+S46</f>
        <v>146.09276767810664</v>
      </c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</row>
    <row r="101" spans="1:29" x14ac:dyDescent="0.2">
      <c r="A101" s="24" t="s">
        <v>744</v>
      </c>
      <c r="B101" s="8"/>
      <c r="C101" s="8"/>
      <c r="D101" s="212">
        <f>$D54</f>
        <v>0</v>
      </c>
      <c r="E101" s="174">
        <f t="array" ref="E101">INDEX($D101:$AC101,1,E$5)+E54</f>
        <v>0</v>
      </c>
      <c r="F101" s="174">
        <f t="array" ref="F101">INDEX($D101:$AC101,1,F$5)+F54</f>
        <v>0</v>
      </c>
      <c r="G101" s="174">
        <f t="array" ref="G101">INDEX($D101:$AC101,1,G$5)+G54</f>
        <v>0</v>
      </c>
      <c r="H101" s="174">
        <f t="array" ref="H101">INDEX($D101:$AC101,1,H$5)+H54</f>
        <v>0</v>
      </c>
      <c r="I101" s="174">
        <f t="array" aca="1" ref="I101" ca="1">INDEX($D101:$AC101,1,I$5)+I54</f>
        <v>8.3344270442092032</v>
      </c>
      <c r="J101" s="174">
        <f t="array" aca="1" ref="J101" ca="1">INDEX($D101:$AC101,1,J$5)+J54</f>
        <v>17.687504330946329</v>
      </c>
      <c r="K101" s="174">
        <f t="array" aca="1" ref="K101" ca="1">INDEX($D101:$AC101,1,K$5)+K54</f>
        <v>29.434288480635111</v>
      </c>
      <c r="L101" s="174">
        <f t="array" aca="1" ref="L101" ca="1">INDEX($D101:$AC101,1,L$5)+L54</f>
        <v>38.773299113377583</v>
      </c>
      <c r="M101" s="174">
        <f t="array" aca="1" ref="M101" ca="1">INDEX($D101:$AC101,1,M$5)+M54</f>
        <v>54.353575904065828</v>
      </c>
      <c r="N101" s="174">
        <f t="array" aca="1" ref="N101" ca="1">INDEX($D101:$AC101,1,N$5)+N54</f>
        <v>69.314153843253564</v>
      </c>
      <c r="O101" s="174">
        <f t="array" aca="1" ref="O101" ca="1">INDEX($D101:$AC101,1,O$5)+O54</f>
        <v>87.260402825943444</v>
      </c>
      <c r="P101" s="174">
        <f t="array" aca="1" ref="P101" ca="1">INDEX($D101:$AC101,1,P$5)+P54</f>
        <v>107.30552191914764</v>
      </c>
      <c r="Q101" s="174">
        <f t="array" aca="1" ref="Q101" ca="1">INDEX($D101:$AC101,1,Q$5)+Q54</f>
        <v>140.36530327192943</v>
      </c>
      <c r="R101" s="174">
        <f t="array" aca="1" ref="R101" ca="1">INDEX($D101:$AC101,1,R$5)+R54</f>
        <v>192.26756716956191</v>
      </c>
      <c r="S101" s="174">
        <f t="array" aca="1" ref="S101" ca="1">INDEX($D101:$AC101,1,S$5)+S54</f>
        <v>261.51583673381657</v>
      </c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</row>
    <row r="102" spans="1:29" x14ac:dyDescent="0.2">
      <c r="A102" s="24" t="s">
        <v>745</v>
      </c>
      <c r="B102" s="8"/>
      <c r="C102" s="8"/>
      <c r="D102" s="12">
        <f t="shared" ref="D102:H102" si="33">D30-D88</f>
        <v>700</v>
      </c>
      <c r="E102" s="12">
        <f t="shared" si="33"/>
        <v>700</v>
      </c>
      <c r="F102" s="12">
        <f t="shared" si="33"/>
        <v>700</v>
      </c>
      <c r="G102" s="12">
        <f t="shared" si="33"/>
        <v>700</v>
      </c>
      <c r="H102" s="12">
        <f t="shared" si="33"/>
        <v>700</v>
      </c>
      <c r="I102" s="12">
        <f t="shared" ref="I102:S102" ca="1" si="34">I30-I88</f>
        <v>0</v>
      </c>
      <c r="J102" s="12">
        <f t="shared" ca="1" si="34"/>
        <v>0</v>
      </c>
      <c r="K102" s="12">
        <f t="shared" ca="1" si="34"/>
        <v>0</v>
      </c>
      <c r="L102" s="12">
        <f t="shared" ca="1" si="34"/>
        <v>0</v>
      </c>
      <c r="M102" s="12">
        <f t="shared" ca="1" si="34"/>
        <v>0</v>
      </c>
      <c r="N102" s="12">
        <f t="shared" ca="1" si="34"/>
        <v>0</v>
      </c>
      <c r="O102" s="12">
        <f t="shared" ca="1" si="34"/>
        <v>0</v>
      </c>
      <c r="P102" s="12">
        <f t="shared" ca="1" si="34"/>
        <v>0</v>
      </c>
      <c r="Q102" s="12">
        <f t="shared" ca="1" si="34"/>
        <v>0</v>
      </c>
      <c r="R102" s="12">
        <f t="shared" ca="1" si="34"/>
        <v>0</v>
      </c>
      <c r="S102" s="12">
        <f t="shared" ca="1" si="34"/>
        <v>0</v>
      </c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</row>
    <row r="103" spans="1:29" x14ac:dyDescent="0.2">
      <c r="A103" s="21" t="s">
        <v>746</v>
      </c>
      <c r="B103" s="20"/>
      <c r="C103" s="20"/>
      <c r="D103" s="211">
        <f t="shared" ref="D103:S103" si="35">D47+D48+D55+D56</f>
        <v>0</v>
      </c>
      <c r="E103" s="211">
        <f t="shared" si="35"/>
        <v>0</v>
      </c>
      <c r="F103" s="211">
        <f t="shared" si="35"/>
        <v>0</v>
      </c>
      <c r="G103" s="211">
        <f t="shared" si="35"/>
        <v>0</v>
      </c>
      <c r="H103" s="211">
        <f t="shared" si="35"/>
        <v>0</v>
      </c>
      <c r="I103" s="211">
        <f t="shared" ca="1" si="35"/>
        <v>1389071.1740348672</v>
      </c>
      <c r="J103" s="211">
        <f t="shared" ca="1" si="35"/>
        <v>1461418.326052676</v>
      </c>
      <c r="K103" s="211">
        <f t="shared" ca="1" si="35"/>
        <v>1727468.2573071741</v>
      </c>
      <c r="L103" s="211">
        <f t="shared" ca="1" si="35"/>
        <v>1297084.8101031207</v>
      </c>
      <c r="M103" s="211">
        <f t="shared" ca="1" si="35"/>
        <v>2050036.4198274007</v>
      </c>
      <c r="N103" s="211">
        <f t="shared" ca="1" si="35"/>
        <v>1870072.2423984664</v>
      </c>
      <c r="O103" s="211">
        <f t="shared" ca="1" si="35"/>
        <v>2234065.6022270489</v>
      </c>
      <c r="P103" s="211">
        <f t="shared" ca="1" si="35"/>
        <v>2484829.4400897725</v>
      </c>
      <c r="Q103" s="211">
        <f t="shared" ca="1" si="35"/>
        <v>4081454.4879977526</v>
      </c>
      <c r="R103" s="211">
        <f t="shared" ca="1" si="35"/>
        <v>6381687.4336201251</v>
      </c>
      <c r="S103" s="211">
        <f t="shared" ca="1" si="35"/>
        <v>8479033.8636285886</v>
      </c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</row>
    <row r="104" spans="1:29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">
      <c r="A105" s="168" t="s">
        <v>1638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spans="1:29" x14ac:dyDescent="0.2">
      <c r="A106" s="24" t="s">
        <v>747</v>
      </c>
      <c r="B106" s="8"/>
      <c r="C106" s="8"/>
      <c r="D106" s="67">
        <f t="shared" ref="D106:S106" si="36">D81</f>
        <v>0</v>
      </c>
      <c r="E106" s="67">
        <f t="shared" si="36"/>
        <v>0</v>
      </c>
      <c r="F106" s="67">
        <f t="shared" si="36"/>
        <v>0</v>
      </c>
      <c r="G106" s="67">
        <f t="shared" si="36"/>
        <v>0</v>
      </c>
      <c r="H106" s="67">
        <f t="shared" si="36"/>
        <v>0</v>
      </c>
      <c r="I106" s="67">
        <f t="shared" si="36"/>
        <v>0</v>
      </c>
      <c r="J106" s="67">
        <f t="shared" si="36"/>
        <v>0</v>
      </c>
      <c r="K106" s="67">
        <f t="shared" si="36"/>
        <v>0</v>
      </c>
      <c r="L106" s="67">
        <f t="shared" si="36"/>
        <v>0</v>
      </c>
      <c r="M106" s="67">
        <f t="shared" si="36"/>
        <v>0</v>
      </c>
      <c r="N106" s="67">
        <f t="shared" si="36"/>
        <v>0</v>
      </c>
      <c r="O106" s="67">
        <f t="shared" si="36"/>
        <v>0</v>
      </c>
      <c r="P106" s="67">
        <f t="shared" si="36"/>
        <v>0</v>
      </c>
      <c r="Q106" s="67">
        <f t="shared" si="36"/>
        <v>0</v>
      </c>
      <c r="R106" s="67">
        <f t="shared" si="36"/>
        <v>0</v>
      </c>
      <c r="S106" s="67">
        <f t="shared" si="36"/>
        <v>0</v>
      </c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spans="1:29" x14ac:dyDescent="0.2">
      <c r="A107" s="24" t="s">
        <v>734</v>
      </c>
      <c r="B107" s="8"/>
      <c r="C107" s="8"/>
      <c r="D107" s="82">
        <f t="shared" ref="D107:S107" si="37">D86</f>
        <v>0</v>
      </c>
      <c r="E107" s="82">
        <f t="shared" si="37"/>
        <v>0</v>
      </c>
      <c r="F107" s="82">
        <f t="shared" si="37"/>
        <v>0</v>
      </c>
      <c r="G107" s="82">
        <f t="shared" si="37"/>
        <v>0</v>
      </c>
      <c r="H107" s="82">
        <f t="shared" si="37"/>
        <v>0</v>
      </c>
      <c r="I107" s="82">
        <f t="shared" ca="1" si="37"/>
        <v>743.15307810865397</v>
      </c>
      <c r="J107" s="82">
        <f t="shared" ca="1" si="37"/>
        <v>781.85880443818155</v>
      </c>
      <c r="K107" s="82">
        <f t="shared" ca="1" si="37"/>
        <v>924.19551765933829</v>
      </c>
      <c r="L107" s="82">
        <f t="shared" ca="1" si="37"/>
        <v>693.94037340516968</v>
      </c>
      <c r="M107" s="82">
        <f t="shared" ca="1" si="37"/>
        <v>1096.7694846076595</v>
      </c>
      <c r="N107" s="82">
        <f t="shared" ca="1" si="37"/>
        <v>1000.4886496831796</v>
      </c>
      <c r="O107" s="82">
        <f t="shared" ca="1" si="37"/>
        <v>1195.2250971914711</v>
      </c>
      <c r="P107" s="82">
        <f t="shared" ca="1" si="37"/>
        <v>1329.3837504480282</v>
      </c>
      <c r="Q107" s="82">
        <f t="shared" ca="1" si="37"/>
        <v>2183.5781510787979</v>
      </c>
      <c r="R107" s="82">
        <f t="shared" ca="1" si="37"/>
        <v>3414.2027769867668</v>
      </c>
      <c r="S107" s="82">
        <f t="shared" ca="1" si="37"/>
        <v>4536.2831170412946</v>
      </c>
      <c r="T107" s="39"/>
      <c r="U107" s="39"/>
      <c r="V107" s="39"/>
      <c r="W107" s="39"/>
      <c r="X107" s="39"/>
      <c r="Y107" s="39"/>
      <c r="Z107" s="39"/>
      <c r="AA107" s="39"/>
      <c r="AB107" s="39"/>
      <c r="AC107" s="39"/>
    </row>
    <row r="108" spans="1:29" x14ac:dyDescent="0.2">
      <c r="A108" s="24" t="s">
        <v>544</v>
      </c>
      <c r="B108" s="8"/>
      <c r="C108" s="8"/>
      <c r="D108" s="67">
        <f t="shared" ref="D108:S108" si="38">D83</f>
        <v>700</v>
      </c>
      <c r="E108" s="67">
        <f t="shared" si="38"/>
        <v>700</v>
      </c>
      <c r="F108" s="67">
        <f t="shared" si="38"/>
        <v>700</v>
      </c>
      <c r="G108" s="67">
        <f t="shared" si="38"/>
        <v>700</v>
      </c>
      <c r="H108" s="67">
        <f t="shared" si="38"/>
        <v>700</v>
      </c>
      <c r="I108" s="67">
        <f t="shared" si="38"/>
        <v>0</v>
      </c>
      <c r="J108" s="67">
        <f t="shared" si="38"/>
        <v>0</v>
      </c>
      <c r="K108" s="67">
        <f t="shared" si="38"/>
        <v>0</v>
      </c>
      <c r="L108" s="67">
        <f t="shared" si="38"/>
        <v>0</v>
      </c>
      <c r="M108" s="67">
        <f t="shared" si="38"/>
        <v>0</v>
      </c>
      <c r="N108" s="67">
        <f t="shared" si="38"/>
        <v>0</v>
      </c>
      <c r="O108" s="67">
        <f t="shared" si="38"/>
        <v>0</v>
      </c>
      <c r="P108" s="67">
        <f t="shared" si="38"/>
        <v>0</v>
      </c>
      <c r="Q108" s="67">
        <f t="shared" si="38"/>
        <v>0</v>
      </c>
      <c r="R108" s="67">
        <f t="shared" si="38"/>
        <v>0</v>
      </c>
      <c r="S108" s="67">
        <f t="shared" si="38"/>
        <v>0</v>
      </c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  <row r="109" spans="1:29" x14ac:dyDescent="0.2">
      <c r="A109" s="24" t="s">
        <v>737</v>
      </c>
      <c r="B109" s="8"/>
      <c r="C109" s="8"/>
      <c r="D109" s="82">
        <f t="shared" ref="D109:S109" si="39">D90</f>
        <v>0</v>
      </c>
      <c r="E109" s="82">
        <f t="shared" si="39"/>
        <v>0</v>
      </c>
      <c r="F109" s="82">
        <f t="shared" si="39"/>
        <v>0</v>
      </c>
      <c r="G109" s="82">
        <f t="shared" si="39"/>
        <v>0</v>
      </c>
      <c r="H109" s="82">
        <f t="shared" si="39"/>
        <v>0</v>
      </c>
      <c r="I109" s="82">
        <f t="shared" ca="1" si="39"/>
        <v>1486.3061562173079</v>
      </c>
      <c r="J109" s="82">
        <f t="shared" ca="1" si="39"/>
        <v>3050.023765093671</v>
      </c>
      <c r="K109" s="82">
        <f t="shared" ca="1" si="39"/>
        <v>4898.4148004123472</v>
      </c>
      <c r="L109" s="82">
        <f t="shared" ca="1" si="39"/>
        <v>6286.2955472226868</v>
      </c>
      <c r="M109" s="82">
        <f t="shared" ca="1" si="39"/>
        <v>8479.8345164380044</v>
      </c>
      <c r="N109" s="82">
        <f t="shared" ca="1" si="39"/>
        <v>10480.811815804364</v>
      </c>
      <c r="O109" s="82">
        <f t="shared" ca="1" si="39"/>
        <v>12871.262010187307</v>
      </c>
      <c r="P109" s="82">
        <f t="shared" ca="1" si="39"/>
        <v>15530.029511083363</v>
      </c>
      <c r="Q109" s="82">
        <f t="shared" ca="1" si="39"/>
        <v>19897.185813240958</v>
      </c>
      <c r="R109" s="82">
        <f t="shared" ca="1" si="39"/>
        <v>26725.591367214489</v>
      </c>
      <c r="S109" s="82">
        <f t="shared" ca="1" si="39"/>
        <v>35798.157601297076</v>
      </c>
      <c r="T109" s="39"/>
      <c r="U109" s="39"/>
      <c r="V109" s="39"/>
      <c r="W109" s="39"/>
      <c r="X109" s="39"/>
      <c r="Y109" s="39"/>
      <c r="Z109" s="39"/>
      <c r="AA109" s="39"/>
      <c r="AB109" s="39"/>
      <c r="AC109" s="39"/>
    </row>
    <row r="110" spans="1:29" x14ac:dyDescent="0.2">
      <c r="A110" s="21" t="s">
        <v>550</v>
      </c>
      <c r="B110" s="20"/>
      <c r="C110" s="20"/>
      <c r="D110" s="193">
        <f t="shared" ref="D110:S110" si="40">D94</f>
        <v>-700</v>
      </c>
      <c r="E110" s="193">
        <f t="shared" si="40"/>
        <v>-700</v>
      </c>
      <c r="F110" s="193">
        <f t="shared" si="40"/>
        <v>-700</v>
      </c>
      <c r="G110" s="193">
        <f t="shared" si="40"/>
        <v>-700</v>
      </c>
      <c r="H110" s="193">
        <f t="shared" si="40"/>
        <v>-700</v>
      </c>
      <c r="I110" s="193">
        <f t="shared" ca="1" si="40"/>
        <v>-2229.4592343259619</v>
      </c>
      <c r="J110" s="193">
        <f t="shared" ca="1" si="40"/>
        <v>-3831.8825695318528</v>
      </c>
      <c r="K110" s="193">
        <f t="shared" ca="1" si="40"/>
        <v>-5822.6103180716855</v>
      </c>
      <c r="L110" s="193">
        <f t="shared" ca="1" si="40"/>
        <v>-6980.2359206278561</v>
      </c>
      <c r="M110" s="193">
        <f t="shared" ca="1" si="40"/>
        <v>-9576.6040010456636</v>
      </c>
      <c r="N110" s="193">
        <f t="shared" ca="1" si="40"/>
        <v>-11481.300465487544</v>
      </c>
      <c r="O110" s="193">
        <f t="shared" ca="1" si="40"/>
        <v>-14066.487107378778</v>
      </c>
      <c r="P110" s="193">
        <f t="shared" ca="1" si="40"/>
        <v>-16859.41326153139</v>
      </c>
      <c r="Q110" s="193">
        <f t="shared" ca="1" si="40"/>
        <v>-22080.763964319754</v>
      </c>
      <c r="R110" s="193">
        <f t="shared" ca="1" si="40"/>
        <v>-30139.794144201256</v>
      </c>
      <c r="S110" s="193">
        <f t="shared" ca="1" si="40"/>
        <v>-40334.440718338374</v>
      </c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</row>
    <row r="111" spans="1:29" x14ac:dyDescent="0.2">
      <c r="A111" s="24" t="s">
        <v>735</v>
      </c>
      <c r="B111" s="8"/>
      <c r="C111" s="8"/>
      <c r="D111" s="82">
        <f t="shared" ref="D111:S111" si="41">D88</f>
        <v>0</v>
      </c>
      <c r="E111" s="82">
        <f t="shared" si="41"/>
        <v>0</v>
      </c>
      <c r="F111" s="82">
        <f t="shared" si="41"/>
        <v>0</v>
      </c>
      <c r="G111" s="82">
        <f t="shared" si="41"/>
        <v>0</v>
      </c>
      <c r="H111" s="82">
        <f t="shared" si="41"/>
        <v>0</v>
      </c>
      <c r="I111" s="82">
        <f t="shared" ca="1" si="41"/>
        <v>14863.061562173079</v>
      </c>
      <c r="J111" s="82">
        <f t="shared" ca="1" si="41"/>
        <v>15637.176088763632</v>
      </c>
      <c r="K111" s="82">
        <f t="shared" ca="1" si="41"/>
        <v>18483.910353186766</v>
      </c>
      <c r="L111" s="82">
        <f t="shared" ca="1" si="41"/>
        <v>13878.807468103394</v>
      </c>
      <c r="M111" s="82">
        <f t="shared" ca="1" si="41"/>
        <v>21935.389692153185</v>
      </c>
      <c r="N111" s="82">
        <f t="shared" ca="1" si="41"/>
        <v>20009.772993663591</v>
      </c>
      <c r="O111" s="82">
        <f t="shared" ca="1" si="41"/>
        <v>23904.501943829422</v>
      </c>
      <c r="P111" s="82">
        <f t="shared" ca="1" si="41"/>
        <v>26587.675008960563</v>
      </c>
      <c r="Q111" s="82">
        <f t="shared" ca="1" si="41"/>
        <v>43671.563021575959</v>
      </c>
      <c r="R111" s="82">
        <f t="shared" ca="1" si="41"/>
        <v>68284.055539735331</v>
      </c>
      <c r="S111" s="82">
        <f t="shared" ca="1" si="41"/>
        <v>90725.662340825889</v>
      </c>
      <c r="T111" s="39"/>
      <c r="U111" s="39"/>
      <c r="V111" s="39"/>
      <c r="W111" s="39"/>
      <c r="X111" s="39"/>
      <c r="Y111" s="39"/>
      <c r="Z111" s="39"/>
      <c r="AA111" s="39"/>
      <c r="AB111" s="39"/>
      <c r="AC111" s="39"/>
    </row>
    <row r="112" spans="1:29" x14ac:dyDescent="0.2">
      <c r="A112" s="24" t="s">
        <v>557</v>
      </c>
      <c r="B112" s="8"/>
      <c r="C112" s="8"/>
      <c r="D112" s="82">
        <f t="shared" ref="D112:S112" si="42">D96</f>
        <v>-700</v>
      </c>
      <c r="E112" s="82">
        <f t="shared" si="42"/>
        <v>-700</v>
      </c>
      <c r="F112" s="82">
        <f t="shared" si="42"/>
        <v>-700</v>
      </c>
      <c r="G112" s="82">
        <f t="shared" si="42"/>
        <v>-700</v>
      </c>
      <c r="H112" s="82">
        <f t="shared" si="42"/>
        <v>-700</v>
      </c>
      <c r="I112" s="82">
        <f t="shared" ca="1" si="42"/>
        <v>-15606.214640281734</v>
      </c>
      <c r="J112" s="82">
        <f t="shared" ca="1" si="42"/>
        <v>-16419.034893201813</v>
      </c>
      <c r="K112" s="82">
        <f t="shared" ca="1" si="42"/>
        <v>-19408.105870846106</v>
      </c>
      <c r="L112" s="82">
        <f t="shared" ca="1" si="42"/>
        <v>-14572.747841508564</v>
      </c>
      <c r="M112" s="82">
        <f t="shared" ca="1" si="42"/>
        <v>-23032.159176760844</v>
      </c>
      <c r="N112" s="82">
        <f t="shared" ca="1" si="42"/>
        <v>-21010.26164334677</v>
      </c>
      <c r="O112" s="82">
        <f t="shared" ca="1" si="42"/>
        <v>-25099.727041020895</v>
      </c>
      <c r="P112" s="82">
        <f t="shared" ca="1" si="42"/>
        <v>-27917.058759408588</v>
      </c>
      <c r="Q112" s="82">
        <f t="shared" ca="1" si="42"/>
        <v>-45855.141172654752</v>
      </c>
      <c r="R112" s="82">
        <f t="shared" ca="1" si="42"/>
        <v>-71698.258316722102</v>
      </c>
      <c r="S112" s="82">
        <f t="shared" ca="1" si="42"/>
        <v>-95261.945457867187</v>
      </c>
      <c r="T112" s="39"/>
      <c r="U112" s="39"/>
      <c r="V112" s="39"/>
      <c r="W112" s="39"/>
      <c r="X112" s="39"/>
      <c r="Y112" s="39"/>
      <c r="Z112" s="39"/>
      <c r="AA112" s="39"/>
      <c r="AB112" s="39"/>
      <c r="AC112" s="39"/>
    </row>
    <row r="113" spans="1:29" x14ac:dyDescent="0.2">
      <c r="A113" s="24" t="s">
        <v>577</v>
      </c>
      <c r="B113" s="8"/>
      <c r="C113" s="8"/>
      <c r="D113" s="97">
        <f>0</f>
        <v>0</v>
      </c>
      <c r="E113" s="97">
        <f>0</f>
        <v>0</v>
      </c>
      <c r="F113" s="97">
        <f>0</f>
        <v>0</v>
      </c>
      <c r="G113" s="97">
        <f>0</f>
        <v>0</v>
      </c>
      <c r="H113" s="97">
        <f>0</f>
        <v>0</v>
      </c>
      <c r="I113" s="97">
        <f>0</f>
        <v>0</v>
      </c>
      <c r="J113" s="97">
        <f>0</f>
        <v>0</v>
      </c>
      <c r="K113" s="97">
        <f>0</f>
        <v>0</v>
      </c>
      <c r="L113" s="97">
        <f>0</f>
        <v>0</v>
      </c>
      <c r="M113" s="97">
        <f>0</f>
        <v>0</v>
      </c>
      <c r="N113" s="97">
        <f>0</f>
        <v>0</v>
      </c>
      <c r="O113" s="97">
        <f>0</f>
        <v>0</v>
      </c>
      <c r="P113" s="97">
        <f>0</f>
        <v>0</v>
      </c>
      <c r="Q113" s="97">
        <f>0</f>
        <v>0</v>
      </c>
      <c r="R113" s="97">
        <f>0</f>
        <v>0</v>
      </c>
      <c r="S113" s="97">
        <f>0</f>
        <v>0</v>
      </c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1:29" x14ac:dyDescent="0.2">
      <c r="A114" s="24" t="s">
        <v>748</v>
      </c>
      <c r="B114" s="8"/>
      <c r="C114" s="8"/>
      <c r="D114" s="66">
        <f>D120*'Vehicle Build'!D44</f>
        <v>0</v>
      </c>
      <c r="E114" s="66">
        <f>E120*'Vehicle Build'!E44</f>
        <v>0</v>
      </c>
      <c r="F114" s="66">
        <f>F120*'Vehicle Build'!F44</f>
        <v>0</v>
      </c>
      <c r="G114" s="66">
        <f>G120*'Vehicle Build'!G44</f>
        <v>0</v>
      </c>
      <c r="H114" s="66">
        <f>H120*'Vehicle Build'!H44</f>
        <v>0</v>
      </c>
      <c r="I114" s="66">
        <f ca="1">I120*'Vehicle Build'!I44</f>
        <v>14446340.209962619</v>
      </c>
      <c r="J114" s="66">
        <f ca="1">J120*'Vehicle Build'!J44</f>
        <v>15432577.523116257</v>
      </c>
      <c r="K114" s="66">
        <f ca="1">K120*'Vehicle Build'!K44</f>
        <v>18518459.718332905</v>
      </c>
      <c r="L114" s="66">
        <f ca="1">L120*'Vehicle Build'!L44</f>
        <v>14112282.733921956</v>
      </c>
      <c r="M114" s="66">
        <f ca="1">M120*'Vehicle Build'!M44</f>
        <v>22632402.074894503</v>
      </c>
      <c r="N114" s="66">
        <f ca="1">N120*'Vehicle Build'!N44</f>
        <v>20944809.114862826</v>
      </c>
      <c r="O114" s="66">
        <f ca="1">O120*'Vehicle Build'!O44</f>
        <v>25051024.410892349</v>
      </c>
      <c r="P114" s="66">
        <f ca="1">P120*'Vehicle Build'!P44</f>
        <v>27896683.157999855</v>
      </c>
      <c r="Q114" s="66">
        <f ca="1">Q120*'Vehicle Build'!Q44</f>
        <v>45875548.445094742</v>
      </c>
      <c r="R114" s="66">
        <f ca="1">R120*'Vehicle Build'!R44</f>
        <v>71814405.028013989</v>
      </c>
      <c r="S114" s="66">
        <f ca="1">S120*'Vehicle Build'!S44</f>
        <v>95531578.734730572</v>
      </c>
      <c r="T114" s="66">
        <f>T120*'Vehicle Build'!T44</f>
        <v>0</v>
      </c>
      <c r="U114" s="66">
        <f>U120*'Vehicle Build'!U44</f>
        <v>0</v>
      </c>
      <c r="V114" s="66">
        <f>V120*'Vehicle Build'!V44</f>
        <v>0</v>
      </c>
      <c r="W114" s="66">
        <f>W120*'Vehicle Build'!W44</f>
        <v>0</v>
      </c>
      <c r="X114" s="66">
        <f>X120*'Vehicle Build'!X44</f>
        <v>0</v>
      </c>
      <c r="Y114" s="66">
        <f>Y120*'Vehicle Build'!Y44</f>
        <v>0</v>
      </c>
      <c r="Z114" s="66">
        <f>Z120*'Vehicle Build'!Z44</f>
        <v>0</v>
      </c>
      <c r="AA114" s="66">
        <f>AA120*'Vehicle Build'!AA44</f>
        <v>0</v>
      </c>
      <c r="AB114" s="66">
        <f>AB120*'Vehicle Build'!AB44</f>
        <v>0</v>
      </c>
      <c r="AC114" s="66">
        <f>AC120*'Vehicle Build'!AC44</f>
        <v>0</v>
      </c>
    </row>
    <row r="115" spans="1:29" x14ac:dyDescent="0.2">
      <c r="A115" s="24" t="s">
        <v>1400</v>
      </c>
      <c r="B115" s="8"/>
      <c r="C115" s="8"/>
      <c r="D115" s="67">
        <f>D89-D91</f>
        <v>0</v>
      </c>
      <c r="E115" s="67">
        <f t="shared" ref="E115:AC115" si="43">E89-E91</f>
        <v>0</v>
      </c>
      <c r="F115" s="67">
        <f t="shared" si="43"/>
        <v>0</v>
      </c>
      <c r="G115" s="67">
        <f t="shared" si="43"/>
        <v>0</v>
      </c>
      <c r="H115" s="67">
        <f t="shared" si="43"/>
        <v>0</v>
      </c>
      <c r="I115" s="67">
        <f t="shared" ca="1" si="43"/>
        <v>13376.755405955771</v>
      </c>
      <c r="J115" s="67">
        <f t="shared" ca="1" si="43"/>
        <v>25963.907729625731</v>
      </c>
      <c r="K115" s="67">
        <f t="shared" ca="1" si="43"/>
        <v>39549.403282400148</v>
      </c>
      <c r="L115" s="67">
        <f t="shared" ca="1" si="43"/>
        <v>47141.915203280849</v>
      </c>
      <c r="M115" s="67">
        <f t="shared" ca="1" si="43"/>
        <v>60597.470378996033</v>
      </c>
      <c r="N115" s="67">
        <f t="shared" ca="1" si="43"/>
        <v>70126.431556855256</v>
      </c>
      <c r="O115" s="67">
        <f t="shared" ca="1" si="43"/>
        <v>81159.671490497378</v>
      </c>
      <c r="P115" s="67">
        <f t="shared" ca="1" si="43"/>
        <v>92217.316988374572</v>
      </c>
      <c r="Q115" s="67">
        <f t="shared" ca="1" si="43"/>
        <v>115991.69419670956</v>
      </c>
      <c r="R115" s="67">
        <f t="shared" ca="1" si="43"/>
        <v>157550.15836923037</v>
      </c>
      <c r="S115" s="67">
        <f t="shared" ca="1" si="43"/>
        <v>212477.66310875918</v>
      </c>
      <c r="T115" s="67">
        <f t="shared" si="43"/>
        <v>0</v>
      </c>
      <c r="U115" s="67">
        <f t="shared" si="43"/>
        <v>0</v>
      </c>
      <c r="V115" s="67">
        <f t="shared" si="43"/>
        <v>0</v>
      </c>
      <c r="W115" s="67">
        <f t="shared" si="43"/>
        <v>0</v>
      </c>
      <c r="X115" s="67">
        <f t="shared" si="43"/>
        <v>0</v>
      </c>
      <c r="Y115" s="67">
        <f t="shared" si="43"/>
        <v>0</v>
      </c>
      <c r="Z115" s="67">
        <f t="shared" si="43"/>
        <v>0</v>
      </c>
      <c r="AA115" s="67">
        <f t="shared" si="43"/>
        <v>0</v>
      </c>
      <c r="AB115" s="67">
        <f t="shared" si="43"/>
        <v>0</v>
      </c>
      <c r="AC115" s="67">
        <f t="shared" si="43"/>
        <v>0</v>
      </c>
    </row>
    <row r="116" spans="1:29" x14ac:dyDescent="0.2">
      <c r="A116" s="21" t="s">
        <v>1401</v>
      </c>
      <c r="B116" s="20"/>
      <c r="C116" s="20"/>
      <c r="D116" s="85">
        <f>0</f>
        <v>0</v>
      </c>
      <c r="E116" s="85">
        <f>0</f>
        <v>0</v>
      </c>
      <c r="F116" s="85">
        <f>0</f>
        <v>0</v>
      </c>
      <c r="G116" s="85">
        <f>0</f>
        <v>0</v>
      </c>
      <c r="H116" s="85">
        <f>0</f>
        <v>0</v>
      </c>
      <c r="I116" s="85">
        <f>0</f>
        <v>0</v>
      </c>
      <c r="J116" s="85">
        <f>0</f>
        <v>0</v>
      </c>
      <c r="K116" s="85">
        <f>0</f>
        <v>0</v>
      </c>
      <c r="L116" s="85">
        <f>0</f>
        <v>0</v>
      </c>
      <c r="M116" s="85">
        <f>0</f>
        <v>0</v>
      </c>
      <c r="N116" s="85">
        <f>0</f>
        <v>0</v>
      </c>
      <c r="O116" s="85">
        <f>0</f>
        <v>0</v>
      </c>
      <c r="P116" s="85">
        <f>0</f>
        <v>0</v>
      </c>
      <c r="Q116" s="85">
        <f>0</f>
        <v>0</v>
      </c>
      <c r="R116" s="85">
        <f>0</f>
        <v>0</v>
      </c>
      <c r="S116" s="85">
        <f>0</f>
        <v>0</v>
      </c>
      <c r="T116" s="85">
        <f>0</f>
        <v>0</v>
      </c>
      <c r="U116" s="85">
        <f>0</f>
        <v>0</v>
      </c>
      <c r="V116" s="85">
        <f>0</f>
        <v>0</v>
      </c>
      <c r="W116" s="85">
        <f>0</f>
        <v>0</v>
      </c>
      <c r="X116" s="85">
        <f>0</f>
        <v>0</v>
      </c>
      <c r="Y116" s="85">
        <f>0</f>
        <v>0</v>
      </c>
      <c r="Z116" s="85">
        <f>0</f>
        <v>0</v>
      </c>
      <c r="AA116" s="85">
        <f>0</f>
        <v>0</v>
      </c>
      <c r="AB116" s="85">
        <f>0</f>
        <v>0</v>
      </c>
      <c r="AC116" s="85">
        <f>0</f>
        <v>0</v>
      </c>
    </row>
    <row r="117" spans="1:29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">
      <c r="A118" s="168" t="s">
        <v>1402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spans="1:29" x14ac:dyDescent="0.2">
      <c r="A119" s="24" t="s">
        <v>576</v>
      </c>
      <c r="B119" s="8"/>
      <c r="C119" s="8"/>
      <c r="D119" s="67">
        <f t="shared" ref="D119:S119" si="44">D114</f>
        <v>0</v>
      </c>
      <c r="E119" s="67">
        <f t="shared" si="44"/>
        <v>0</v>
      </c>
      <c r="F119" s="67">
        <f t="shared" si="44"/>
        <v>0</v>
      </c>
      <c r="G119" s="67">
        <f t="shared" si="44"/>
        <v>0</v>
      </c>
      <c r="H119" s="67">
        <f t="shared" si="44"/>
        <v>0</v>
      </c>
      <c r="I119" s="67">
        <f t="shared" ca="1" si="44"/>
        <v>14446340.209962619</v>
      </c>
      <c r="J119" s="67">
        <f t="shared" ca="1" si="44"/>
        <v>15432577.523116257</v>
      </c>
      <c r="K119" s="67">
        <f t="shared" ca="1" si="44"/>
        <v>18518459.718332905</v>
      </c>
      <c r="L119" s="67">
        <f t="shared" ca="1" si="44"/>
        <v>14112282.733921956</v>
      </c>
      <c r="M119" s="67">
        <f t="shared" ca="1" si="44"/>
        <v>22632402.074894503</v>
      </c>
      <c r="N119" s="67">
        <f t="shared" ca="1" si="44"/>
        <v>20944809.114862826</v>
      </c>
      <c r="O119" s="67">
        <f t="shared" ca="1" si="44"/>
        <v>25051024.410892349</v>
      </c>
      <c r="P119" s="67">
        <f t="shared" ca="1" si="44"/>
        <v>27896683.157999855</v>
      </c>
      <c r="Q119" s="67">
        <f t="shared" ca="1" si="44"/>
        <v>45875548.445094742</v>
      </c>
      <c r="R119" s="67">
        <f t="shared" ca="1" si="44"/>
        <v>71814405.028013989</v>
      </c>
      <c r="S119" s="67">
        <f t="shared" ca="1" si="44"/>
        <v>95531578.734730572</v>
      </c>
      <c r="T119" s="40"/>
      <c r="U119" s="40"/>
      <c r="V119" s="40"/>
      <c r="W119" s="40"/>
      <c r="X119" s="40"/>
      <c r="Y119" s="40"/>
      <c r="Z119" s="40"/>
      <c r="AA119" s="40"/>
      <c r="AB119" s="40"/>
      <c r="AC119" s="40"/>
    </row>
    <row r="120" spans="1:29" x14ac:dyDescent="0.2">
      <c r="A120" s="24" t="s">
        <v>749</v>
      </c>
      <c r="B120" s="8"/>
      <c r="C120" s="8"/>
      <c r="D120" s="74">
        <f>D46*(1+Assumptions!$B$124)+D54*(1+Assumptions!$B$128)</f>
        <v>0</v>
      </c>
      <c r="E120" s="74">
        <f>E46*(1+Assumptions!$B$124)+E54*(1+Assumptions!$B$128)</f>
        <v>0</v>
      </c>
      <c r="F120" s="74">
        <f>F46*(1+Assumptions!$B$124)+F54*(1+Assumptions!$B$128)</f>
        <v>0</v>
      </c>
      <c r="G120" s="74">
        <f>G46*(1+Assumptions!$B$124)+G54*(1+Assumptions!$B$128)</f>
        <v>0</v>
      </c>
      <c r="H120" s="74">
        <f>H46*(1+Assumptions!$B$124)+H54*(1+Assumptions!$B$128)</f>
        <v>0</v>
      </c>
      <c r="I120" s="74">
        <f ca="1">I46*(1+Assumptions!$B$124)+I54*(1+Assumptions!$B$128)</f>
        <v>72.231701049813097</v>
      </c>
      <c r="J120" s="74">
        <f ca="1">J46*(1+Assumptions!$B$124)+J54*(1+Assumptions!$B$128)</f>
        <v>77.162887615581283</v>
      </c>
      <c r="K120" s="74">
        <f ca="1">K46*(1+Assumptions!$B$124)+K54*(1+Assumptions!$B$128)</f>
        <v>92.59229859166453</v>
      </c>
      <c r="L120" s="74">
        <f ca="1">L46*(1+Assumptions!$B$124)+L54*(1+Assumptions!$B$128)</f>
        <v>70.561413669609777</v>
      </c>
      <c r="M120" s="74">
        <f ca="1">M46*(1+Assumptions!$B$124)+M54*(1+Assumptions!$B$128)</f>
        <v>113.16201037447252</v>
      </c>
      <c r="N120" s="74">
        <f ca="1">N46*(1+Assumptions!$B$124)+N54*(1+Assumptions!$B$128)</f>
        <v>104.72404557431413</v>
      </c>
      <c r="O120" s="74">
        <f ca="1">O46*(1+Assumptions!$B$124)+O54*(1+Assumptions!$B$128)</f>
        <v>125.25512205446174</v>
      </c>
      <c r="P120" s="74">
        <f ca="1">P46*(1+Assumptions!$B$124)+P54*(1+Assumptions!$B$128)</f>
        <v>139.48341578999927</v>
      </c>
      <c r="Q120" s="74">
        <f ca="1">Q46*(1+Assumptions!$B$124)+Q54*(1+Assumptions!$B$128)</f>
        <v>229.3777422254737</v>
      </c>
      <c r="R120" s="74">
        <f ca="1">R46*(1+Assumptions!$B$124)+R54*(1+Assumptions!$B$128)</f>
        <v>359.07202514006991</v>
      </c>
      <c r="S120" s="74">
        <f ca="1">S46*(1+Assumptions!$B$124)+S54*(1+Assumptions!$B$128)</f>
        <v>477.65789367365284</v>
      </c>
      <c r="T120" s="74">
        <f>T46*(1+Assumptions!$B$124)+T54*(1+Assumptions!$B$128)</f>
        <v>0</v>
      </c>
      <c r="U120" s="74">
        <f>U46*(1+Assumptions!$B$124)+U54*(1+Assumptions!$B$128)</f>
        <v>0</v>
      </c>
      <c r="V120" s="74">
        <f>V46*(1+Assumptions!$B$124)+V54*(1+Assumptions!$B$128)</f>
        <v>0</v>
      </c>
      <c r="W120" s="74">
        <f>W46*(1+Assumptions!$B$124)+W54*(1+Assumptions!$B$128)</f>
        <v>0</v>
      </c>
      <c r="X120" s="74">
        <f>X46*(1+Assumptions!$B$124)+X54*(1+Assumptions!$B$128)</f>
        <v>0</v>
      </c>
      <c r="Y120" s="74">
        <f>Y46*(1+Assumptions!$B$124)+Y54*(1+Assumptions!$B$128)</f>
        <v>0</v>
      </c>
      <c r="Z120" s="74">
        <f>Z46*(1+Assumptions!$B$124)+Z54*(1+Assumptions!$B$128)</f>
        <v>0</v>
      </c>
      <c r="AA120" s="74">
        <f>AA46*(1+Assumptions!$B$124)+AA54*(1+Assumptions!$B$128)</f>
        <v>0</v>
      </c>
      <c r="AB120" s="74">
        <f>AB46*(1+Assumptions!$B$124)+AB54*(1+Assumptions!$B$128)</f>
        <v>0</v>
      </c>
      <c r="AC120" s="74">
        <f>AC46*(1+Assumptions!$B$124)+AC54*(1+Assumptions!$B$128)</f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7"/>
  <sheetViews>
    <sheetView showGridLines="0" topLeftCell="A23" zoomScale="87" workbookViewId="0">
      <selection activeCell="W73" sqref="W73"/>
    </sheetView>
  </sheetViews>
  <sheetFormatPr baseColWidth="10" defaultColWidth="10.6640625" defaultRowHeight="16" x14ac:dyDescent="0.2"/>
  <cols>
    <col min="1" max="1" width="57.6640625" customWidth="1"/>
    <col min="4" max="19" width="10.6640625" customWidth="1"/>
  </cols>
  <sheetData>
    <row r="1" spans="1:19" ht="19" customHeight="1" x14ac:dyDescent="0.2">
      <c r="A1" s="182" t="s">
        <v>1599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2">
      <c r="A2" s="170" t="s">
        <v>1600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</row>
    <row r="5" spans="1:19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</row>
    <row r="6" spans="1:1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213" t="s">
        <v>750</v>
      </c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</row>
    <row r="8" spans="1:19" x14ac:dyDescent="0.2">
      <c r="A8" s="22" t="s">
        <v>492</v>
      </c>
      <c r="B8" s="8"/>
      <c r="C8" s="8"/>
      <c r="D8" s="66">
        <f>INDEX(Assumptions!$B:$B, MATCH("F9 payload to LEO (kg)", Assumptions!$A$1:$A$327, 0))</f>
        <v>22800</v>
      </c>
      <c r="E8" s="66">
        <f>INDEX(Assumptions!$B:$B, MATCH("F9 payload to LEO (kg)", Assumptions!$A$1:$A$327, 0))</f>
        <v>22800</v>
      </c>
      <c r="F8" s="66">
        <f>INDEX(Assumptions!$B:$B, MATCH("F9 payload to LEO (kg)", Assumptions!$A$1:$A$327, 0))</f>
        <v>22800</v>
      </c>
      <c r="G8" s="66">
        <f>INDEX(Assumptions!$B:$B, MATCH("F9 payload to LEO (kg)", Assumptions!$A$1:$A$327, 0))</f>
        <v>22800</v>
      </c>
      <c r="H8" s="66">
        <f>INDEX(Assumptions!$B:$B, MATCH("F9 payload to LEO (kg)", Assumptions!$A$1:$A$327, 0))</f>
        <v>22800</v>
      </c>
      <c r="I8" s="66">
        <f>INDEX(Assumptions!$B:$B, MATCH("F9 payload to LEO (kg)", Assumptions!$A$1:$A$327, 0))</f>
        <v>22800</v>
      </c>
      <c r="J8" s="66">
        <f>INDEX(Assumptions!$B:$B, MATCH("F9 payload to LEO (kg)", Assumptions!$A$1:$A$327, 0))</f>
        <v>22800</v>
      </c>
      <c r="K8" s="66">
        <f>INDEX(Assumptions!$B:$B, MATCH("F9 payload to LEO (kg)", Assumptions!$A$1:$A$327, 0))</f>
        <v>22800</v>
      </c>
      <c r="L8" s="66">
        <f>INDEX(Assumptions!$B:$B, MATCH("F9 payload to LEO (kg)", Assumptions!$A$1:$A$327, 0))</f>
        <v>22800</v>
      </c>
      <c r="M8" s="66">
        <f>INDEX(Assumptions!$B:$B, MATCH("F9 payload to LEO (kg)", Assumptions!$A$1:$A$327, 0))</f>
        <v>22800</v>
      </c>
      <c r="N8" s="66">
        <f>INDEX(Assumptions!$B:$B, MATCH("F9 payload to LEO (kg)", Assumptions!$A$1:$A$327, 0))</f>
        <v>22800</v>
      </c>
      <c r="O8" s="66">
        <f>INDEX(Assumptions!$B:$B, MATCH("F9 payload to LEO (kg)", Assumptions!$A$1:$A$327, 0))</f>
        <v>22800</v>
      </c>
      <c r="P8" s="66">
        <f>INDEX(Assumptions!$B:$B, MATCH("F9 payload to LEO (kg)", Assumptions!$A$1:$A$327, 0))</f>
        <v>22800</v>
      </c>
      <c r="Q8" s="66">
        <f>INDEX(Assumptions!$B:$B, MATCH("F9 payload to LEO (kg)", Assumptions!$A$1:$A$327, 0))</f>
        <v>22800</v>
      </c>
      <c r="R8" s="66">
        <f>INDEX(Assumptions!$B:$B, MATCH("F9 payload to LEO (kg)", Assumptions!$A$1:$A$327, 0))</f>
        <v>22800</v>
      </c>
      <c r="S8" s="66">
        <f>INDEX(Assumptions!$B:$B, MATCH("F9 payload to LEO (kg)", Assumptions!$A$1:$A$327, 0))</f>
        <v>22800</v>
      </c>
    </row>
    <row r="9" spans="1:19" x14ac:dyDescent="0.2">
      <c r="A9" s="22" t="s">
        <v>751</v>
      </c>
      <c r="B9" s="8"/>
      <c r="C9" s="8"/>
      <c r="D9" s="74">
        <f>INDEX(Assumptions!$B:$B, MATCH("F9 cadence per booster (flights/year)", Assumptions!$A$1:$A$327, 0))</f>
        <v>6</v>
      </c>
      <c r="E9" s="74">
        <f>INDEX(Assumptions!$B:$B, MATCH("F9 cadence per booster (flights/year)", Assumptions!$A$1:$A$327, 0))</f>
        <v>6</v>
      </c>
      <c r="F9" s="74">
        <f>INDEX(Assumptions!$B:$B, MATCH("F9 cadence per booster (flights/year)", Assumptions!$A$1:$A$327, 0))</f>
        <v>6</v>
      </c>
      <c r="G9" s="74">
        <f>INDEX(Assumptions!$B:$B, MATCH("F9 cadence per booster (flights/year)", Assumptions!$A$1:$A$327, 0))</f>
        <v>6</v>
      </c>
      <c r="H9" s="74">
        <f>INDEX(Assumptions!$B:$B, MATCH("F9 cadence per booster (flights/year)", Assumptions!$A$1:$A$327, 0))</f>
        <v>6</v>
      </c>
      <c r="I9" s="74">
        <f>INDEX(Assumptions!$B:$B, MATCH("F9 cadence per booster (flights/year)", Assumptions!$A$1:$A$327, 0))</f>
        <v>6</v>
      </c>
      <c r="J9" s="74">
        <f>INDEX(Assumptions!$B:$B, MATCH("F9 cadence per booster (flights/year)", Assumptions!$A$1:$A$327, 0))</f>
        <v>6</v>
      </c>
      <c r="K9" s="74">
        <f>INDEX(Assumptions!$B:$B, MATCH("F9 cadence per booster (flights/year)", Assumptions!$A$1:$A$327, 0))</f>
        <v>6</v>
      </c>
      <c r="L9" s="74">
        <f>INDEX(Assumptions!$B:$B, MATCH("F9 cadence per booster (flights/year)", Assumptions!$A$1:$A$327, 0))</f>
        <v>6</v>
      </c>
      <c r="M9" s="74">
        <f>INDEX(Assumptions!$B:$B, MATCH("F9 cadence per booster (flights/year)", Assumptions!$A$1:$A$327, 0))</f>
        <v>6</v>
      </c>
      <c r="N9" s="74">
        <f>INDEX(Assumptions!$B:$B, MATCH("F9 cadence per booster (flights/year)", Assumptions!$A$1:$A$327, 0))</f>
        <v>6</v>
      </c>
      <c r="O9" s="74">
        <f>INDEX(Assumptions!$B:$B, MATCH("F9 cadence per booster (flights/year)", Assumptions!$A$1:$A$327, 0))</f>
        <v>6</v>
      </c>
      <c r="P9" s="74">
        <f>INDEX(Assumptions!$B:$B, MATCH("F9 cadence per booster (flights/year)", Assumptions!$A$1:$A$327, 0))</f>
        <v>6</v>
      </c>
      <c r="Q9" s="74">
        <f>INDEX(Assumptions!$B:$B, MATCH("F9 cadence per booster (flights/year)", Assumptions!$A$1:$A$327, 0))</f>
        <v>6</v>
      </c>
      <c r="R9" s="74">
        <f>INDEX(Assumptions!$B:$B, MATCH("F9 cadence per booster (flights/year)", Assumptions!$A$1:$A$327, 0))</f>
        <v>6</v>
      </c>
      <c r="S9" s="74">
        <f>INDEX(Assumptions!$B:$B, MATCH("F9 cadence per booster (flights/year)", Assumptions!$A$1:$A$327, 0))</f>
        <v>6</v>
      </c>
    </row>
    <row r="10" spans="1:19" x14ac:dyDescent="0.2">
      <c r="A10" s="22" t="s">
        <v>493</v>
      </c>
      <c r="B10" s="8"/>
      <c r="C10" s="8"/>
      <c r="D10" s="67">
        <f>D44</f>
        <v>100000</v>
      </c>
      <c r="E10" s="67">
        <f t="shared" ref="E10:S10" si="0">E44</f>
        <v>114869.83549970351</v>
      </c>
      <c r="F10" s="67">
        <f t="shared" si="0"/>
        <v>131950.79107728941</v>
      </c>
      <c r="G10" s="67">
        <f t="shared" si="0"/>
        <v>151571.65665103981</v>
      </c>
      <c r="H10" s="67">
        <f t="shared" si="0"/>
        <v>174110.11265922483</v>
      </c>
      <c r="I10" s="67">
        <f t="shared" si="0"/>
        <v>200000</v>
      </c>
      <c r="J10" s="67">
        <f t="shared" si="0"/>
        <v>200000</v>
      </c>
      <c r="K10" s="67">
        <f t="shared" si="0"/>
        <v>200000</v>
      </c>
      <c r="L10" s="67">
        <f t="shared" si="0"/>
        <v>200000</v>
      </c>
      <c r="M10" s="67">
        <f t="shared" si="0"/>
        <v>200000</v>
      </c>
      <c r="N10" s="67">
        <f t="shared" si="0"/>
        <v>200000</v>
      </c>
      <c r="O10" s="67">
        <f t="shared" si="0"/>
        <v>200000</v>
      </c>
      <c r="P10" s="67">
        <f t="shared" si="0"/>
        <v>200000</v>
      </c>
      <c r="Q10" s="67">
        <f t="shared" si="0"/>
        <v>200000</v>
      </c>
      <c r="R10" s="67">
        <f t="shared" si="0"/>
        <v>200000</v>
      </c>
      <c r="S10" s="67">
        <f t="shared" si="0"/>
        <v>200000</v>
      </c>
    </row>
    <row r="11" spans="1:19" x14ac:dyDescent="0.2">
      <c r="A11" s="22" t="s">
        <v>752</v>
      </c>
      <c r="B11" s="8"/>
      <c r="C11" s="8"/>
      <c r="D11" s="118">
        <f>MAX( IF(D$4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(years/flight)",Assumptions!$A$1:$A$327,0)))*(INDEX(Assumptions!$B:$B,MATCH("Starship cum-upmass Wright's anchor (kg)",Assumptions!$A$1:$A$327,0))/INDEX(Assumptions!$B:$B,MATCH("Starship cum-upmass Wright's anchor (kg)",Assumptions!$A$1:$A$327,0)))^(-LOG(1-INDEX(Assumptions!$B:$B,MATCH("WL learning rate: turnaround vs cum upmass doubling",Assumptions!$A$1:$A$327,0)),2))) )</f>
        <v>1</v>
      </c>
      <c r="E11" s="118">
        <f ca="1">MAX( IF(E$4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(years/flight)",Assumptions!$A$1:$A$327,0)))*(D53/INDEX(Assumptions!$B:$B,MATCH("Starship cum-upmass Wright's anchor (kg)",Assumptions!$A$1:$A$327,0)))^(-LOG(1-INDEX(Assumptions!$B:$B,MATCH("WL learning rate: turnaround vs cum upmass doubling",Assumptions!$A$1:$A$327,0)),2))) )</f>
        <v>2</v>
      </c>
      <c r="F11" s="118">
        <f ca="1">MAX( IF(F$4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(years/flight)",Assumptions!$A$1:$A$327,0)))*(E53/INDEX(Assumptions!$B:$B,MATCH("Starship cum-upmass Wright's anchor (kg)",Assumptions!$A$1:$A$327,0)))^(-LOG(1-INDEX(Assumptions!$B:$B,MATCH("WL learning rate: turnaround vs cum upmass doubling",Assumptions!$A$1:$A$327,0)),2))) )</f>
        <v>2</v>
      </c>
      <c r="G11" s="118">
        <f ca="1">MAX( IF(G$4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(years/flight)",Assumptions!$A$1:$A$327,0)))*(F53/INDEX(Assumptions!$B:$B,MATCH("Starship cum-upmass Wright's anchor (kg)",Assumptions!$A$1:$A$327,0)))^(-LOG(1-INDEX(Assumptions!$B:$B,MATCH("WL learning rate: turnaround vs cum upmass doubling",Assumptions!$A$1:$A$327,0)),2))) )</f>
        <v>3.5133635135342258</v>
      </c>
      <c r="H11" s="118">
        <f ca="1">MAX( IF(H$4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(years/flight)",Assumptions!$A$1:$A$327,0)))*(G53/INDEX(Assumptions!$B:$B,MATCH("Starship cum-upmass Wright's anchor (kg)",Assumptions!$A$1:$A$327,0)))^(-LOG(1-INDEX(Assumptions!$B:$B,MATCH("WL learning rate: turnaround vs cum upmass doubling",Assumptions!$A$1:$A$327,0)),2))) )</f>
        <v>5.3222907742108729</v>
      </c>
      <c r="I11" s="118">
        <f ca="1">MAX( IF(I$4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(years/flight)",Assumptions!$A$1:$A$327,0)))*(H53/INDEX(Assumptions!$B:$B,MATCH("Starship cum-upmass Wright's anchor (kg)",Assumptions!$A$1:$A$327,0)))^(-LOG(1-INDEX(Assumptions!$B:$B,MATCH("WL learning rate: turnaround vs cum upmass doubling",Assumptions!$A$1:$A$327,0)),2))) )</f>
        <v>7.4456971516859634</v>
      </c>
      <c r="J11" s="118">
        <f ca="1">MAX( IF(J$4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(years/flight)",Assumptions!$A$1:$A$327,0)))*(I53/INDEX(Assumptions!$B:$B,MATCH("Starship cum-upmass Wright's anchor (kg)",Assumptions!$A$1:$A$327,0)))^(-LOG(1-INDEX(Assumptions!$B:$B,MATCH("WL learning rate: turnaround vs cum upmass doubling",Assumptions!$A$1:$A$327,0)),2))) )</f>
        <v>9.6678002313551641</v>
      </c>
      <c r="K11" s="118">
        <f ca="1">MAX( IF(K$4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(years/flight)",Assumptions!$A$1:$A$327,0)))*(J53/INDEX(Assumptions!$B:$B,MATCH("Starship cum-upmass Wright's anchor (kg)",Assumptions!$A$1:$A$327,0)))^(-LOG(1-INDEX(Assumptions!$B:$B,MATCH("WL learning rate: turnaround vs cum upmass doubling",Assumptions!$A$1:$A$327,0)),2))) )</f>
        <v>11.819765361923267</v>
      </c>
      <c r="L11" s="118">
        <f ca="1">MAX( IF(L$4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(years/flight)",Assumptions!$A$1:$A$327,0)))*(K53/INDEX(Assumptions!$B:$B,MATCH("Starship cum-upmass Wright's anchor (kg)",Assumptions!$A$1:$A$327,0)))^(-LOG(1-INDEX(Assumptions!$B:$B,MATCH("WL learning rate: turnaround vs cum upmass doubling",Assumptions!$A$1:$A$327,0)),2))) )</f>
        <v>13.679728434871457</v>
      </c>
      <c r="M11" s="118">
        <f ca="1">MAX( IF(M$4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(years/flight)",Assumptions!$A$1:$A$327,0)))*(L53/INDEX(Assumptions!$B:$B,MATCH("Starship cum-upmass Wright's anchor (kg)",Assumptions!$A$1:$A$327,0)))^(-LOG(1-INDEX(Assumptions!$B:$B,MATCH("WL learning rate: turnaround vs cum upmass doubling",Assumptions!$A$1:$A$327,0)),2))) )</f>
        <v>15.353610906735826</v>
      </c>
      <c r="N11" s="118">
        <f ca="1">MAX( IF(N$4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(years/flight)",Assumptions!$A$1:$A$327,0)))*(M53/INDEX(Assumptions!$B:$B,MATCH("Starship cum-upmass Wright's anchor (kg)",Assumptions!$A$1:$A$327,0)))^(-LOG(1-INDEX(Assumptions!$B:$B,MATCH("WL learning rate: turnaround vs cum upmass doubling",Assumptions!$A$1:$A$327,0)),2))) )</f>
        <v>17.150033692767686</v>
      </c>
      <c r="O11" s="118">
        <f ca="1">MAX( IF(O$4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(years/flight)",Assumptions!$A$1:$A$327,0)))*(N53/INDEX(Assumptions!$B:$B,MATCH("Starship cum-upmass Wright's anchor (kg)",Assumptions!$A$1:$A$327,0)))^(-LOG(1-INDEX(Assumptions!$B:$B,MATCH("WL learning rate: turnaround vs cum upmass doubling",Assumptions!$A$1:$A$327,0)),2))) )</f>
        <v>18.817548043479221</v>
      </c>
      <c r="P11" s="118">
        <f ca="1">MAX( IF(P$4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(years/flight)",Assumptions!$A$1:$A$327,0)))*(O53/INDEX(Assumptions!$B:$B,MATCH("Starship cum-upmass Wright's anchor (kg)",Assumptions!$A$1:$A$327,0)))^(-LOG(1-INDEX(Assumptions!$B:$B,MATCH("WL learning rate: turnaround vs cum upmass doubling",Assumptions!$A$1:$A$327,0)),2))) )</f>
        <v>20.608080515899218</v>
      </c>
      <c r="Q11" s="118">
        <f ca="1">MAX( IF(Q$4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(years/flight)",Assumptions!$A$1:$A$327,0)))*(P53/INDEX(Assumptions!$B:$B,MATCH("Starship cum-upmass Wright's anchor (kg)",Assumptions!$A$1:$A$327,0)))^(-LOG(1-INDEX(Assumptions!$B:$B,MATCH("WL learning rate: turnaround vs cum upmass doubling",Assumptions!$A$1:$A$327,0)),2))) )</f>
        <v>22.06912579880052</v>
      </c>
      <c r="R11" s="118">
        <f ca="1">MAX( IF(R$4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(years/flight)",Assumptions!$A$1:$A$327,0)))*(Q53/INDEX(Assumptions!$B:$B,MATCH("Starship cum-upmass Wright's anchor (kg)",Assumptions!$A$1:$A$327,0)))^(-LOG(1-INDEX(Assumptions!$B:$B,MATCH("WL learning rate: turnaround vs cum upmass doubling",Assumptions!$A$1:$A$327,0)),2))) )</f>
        <v>23.115869064432239</v>
      </c>
      <c r="S11" s="118">
        <f ca="1">MAX( IF(S$4 &lt; INDEX(Assumptions!$B:$B,MATCH("Starship operational year",Assumptions!$A$1:$A$327,0)), 1, INDEX(Assumptions!$B:$B,MATCH("Booster cadence floor (flights/yr, operational)",Assumptions!$A$1:$A$327,0))), MIN(INDEX(Assumptions!$B:$B,MATCH("Cadence ceiling (flights/booster/year)",Assumptions!$A$1:$A$327,0)),(1/INDEX(Assumptions!$B:$B,MATCH("Base turnaround time per booster (years/flight)",Assumptions!$A$1:$A$327,0)))*(R53/INDEX(Assumptions!$B:$B,MATCH("Starship cum-upmass Wright's anchor (kg)",Assumptions!$A$1:$A$327,0)))^(-LOG(1-INDEX(Assumptions!$B:$B,MATCH("WL learning rate: turnaround vs cum upmass doubling",Assumptions!$A$1:$A$327,0)),2))) )</f>
        <v>24.06047381710097</v>
      </c>
    </row>
    <row r="12" spans="1:19" x14ac:dyDescent="0.2">
      <c r="A12" s="22" t="s">
        <v>753</v>
      </c>
      <c r="B12" s="8"/>
      <c r="C12" s="8"/>
      <c r="D12" s="63">
        <f>MAX( IF(D$4 &lt; INDEX(Assumptions!$B:$B,MATCH("Starship operational year",Assumptions!$A$1:$A$327,0)), 1, INDEX(Assumptions!$B:$B,MATCH("Ship cadence floor (flights/yr, operational)",Assumptions!$A$1:$A$327,0))), D11*INDEX(Assumptions!$B:$B,MATCH("Ship-to-booster cadence ratio",Assumptions!$A$1:$A$327,0)) )</f>
        <v>1</v>
      </c>
      <c r="E12" s="63">
        <f ca="1">MAX( IF(E$4 &lt; INDEX(Assumptions!$B:$B,MATCH("Starship operational year",Assumptions!$A$1:$A$327,0)), 1, INDEX(Assumptions!$B:$B,MATCH("Ship cadence floor (flights/yr, operational)",Assumptions!$A$1:$A$327,0))), E11*INDEX(Assumptions!$B:$B,MATCH("Ship-to-booster cadence ratio",Assumptions!$A$1:$A$327,0)) )</f>
        <v>1</v>
      </c>
      <c r="F12" s="63">
        <f ca="1">MAX( IF(F$4 &lt; INDEX(Assumptions!$B:$B,MATCH("Starship operational year",Assumptions!$A$1:$A$327,0)), 1, INDEX(Assumptions!$B:$B,MATCH("Ship cadence floor (flights/yr, operational)",Assumptions!$A$1:$A$327,0))), F11*INDEX(Assumptions!$B:$B,MATCH("Ship-to-booster cadence ratio",Assumptions!$A$1:$A$327,0)) )</f>
        <v>1</v>
      </c>
      <c r="G12" s="63">
        <f ca="1">MAX( IF(G$4 &lt; INDEX(Assumptions!$B:$B,MATCH("Starship operational year",Assumptions!$A$1:$A$327,0)), 1, INDEX(Assumptions!$B:$B,MATCH("Ship cadence floor (flights/yr, operational)",Assumptions!$A$1:$A$327,0))), G11*INDEX(Assumptions!$B:$B,MATCH("Ship-to-booster cadence ratio",Assumptions!$A$1:$A$327,0)) )</f>
        <v>1.7566817567671129</v>
      </c>
      <c r="H12" s="63">
        <f ca="1">MAX( IF(H$4 &lt; INDEX(Assumptions!$B:$B,MATCH("Starship operational year",Assumptions!$A$1:$A$327,0)), 1, INDEX(Assumptions!$B:$B,MATCH("Ship cadence floor (flights/yr, operational)",Assumptions!$A$1:$A$327,0))), H11*INDEX(Assumptions!$B:$B,MATCH("Ship-to-booster cadence ratio",Assumptions!$A$1:$A$327,0)) )</f>
        <v>2.6611453871054365</v>
      </c>
      <c r="I12" s="63">
        <f ca="1">MAX( IF(I$4 &lt; INDEX(Assumptions!$B:$B,MATCH("Starship operational year",Assumptions!$A$1:$A$327,0)), 1, INDEX(Assumptions!$B:$B,MATCH("Ship cadence floor (flights/yr, operational)",Assumptions!$A$1:$A$327,0))), I11*INDEX(Assumptions!$B:$B,MATCH("Ship-to-booster cadence ratio",Assumptions!$A$1:$A$327,0)) )</f>
        <v>3.7228485758429817</v>
      </c>
      <c r="J12" s="63">
        <f ca="1">MAX( IF(J$4 &lt; INDEX(Assumptions!$B:$B,MATCH("Starship operational year",Assumptions!$A$1:$A$327,0)), 1, INDEX(Assumptions!$B:$B,MATCH("Ship cadence floor (flights/yr, operational)",Assumptions!$A$1:$A$327,0))), J11*INDEX(Assumptions!$B:$B,MATCH("Ship-to-booster cadence ratio",Assumptions!$A$1:$A$327,0)) )</f>
        <v>4.833900115677582</v>
      </c>
      <c r="K12" s="63">
        <f ca="1">MAX( IF(K$4 &lt; INDEX(Assumptions!$B:$B,MATCH("Starship operational year",Assumptions!$A$1:$A$327,0)), 1, INDEX(Assumptions!$B:$B,MATCH("Ship cadence floor (flights/yr, operational)",Assumptions!$A$1:$A$327,0))), K11*INDEX(Assumptions!$B:$B,MATCH("Ship-to-booster cadence ratio",Assumptions!$A$1:$A$327,0)) )</f>
        <v>5.9098826809616334</v>
      </c>
      <c r="L12" s="63">
        <f ca="1">MAX( IF(L$4 &lt; INDEX(Assumptions!$B:$B,MATCH("Starship operational year",Assumptions!$A$1:$A$327,0)), 1, INDEX(Assumptions!$B:$B,MATCH("Ship cadence floor (flights/yr, operational)",Assumptions!$A$1:$A$327,0))), L11*INDEX(Assumptions!$B:$B,MATCH("Ship-to-booster cadence ratio",Assumptions!$A$1:$A$327,0)) )</f>
        <v>6.8398642174357285</v>
      </c>
      <c r="M12" s="63">
        <f ca="1">MAX( IF(M$4 &lt; INDEX(Assumptions!$B:$B,MATCH("Starship operational year",Assumptions!$A$1:$A$327,0)), 1, INDEX(Assumptions!$B:$B,MATCH("Ship cadence floor (flights/yr, operational)",Assumptions!$A$1:$A$327,0))), M11*INDEX(Assumptions!$B:$B,MATCH("Ship-to-booster cadence ratio",Assumptions!$A$1:$A$327,0)) )</f>
        <v>7.6768054533679129</v>
      </c>
      <c r="N12" s="63">
        <f ca="1">MAX( IF(N$4 &lt; INDEX(Assumptions!$B:$B,MATCH("Starship operational year",Assumptions!$A$1:$A$327,0)), 1, INDEX(Assumptions!$B:$B,MATCH("Ship cadence floor (flights/yr, operational)",Assumptions!$A$1:$A$327,0))), N11*INDEX(Assumptions!$B:$B,MATCH("Ship-to-booster cadence ratio",Assumptions!$A$1:$A$327,0)) )</f>
        <v>8.5750168463838428</v>
      </c>
      <c r="O12" s="63">
        <f ca="1">MAX( IF(O$4 &lt; INDEX(Assumptions!$B:$B,MATCH("Starship operational year",Assumptions!$A$1:$A$327,0)), 1, INDEX(Assumptions!$B:$B,MATCH("Ship cadence floor (flights/yr, operational)",Assumptions!$A$1:$A$327,0))), O11*INDEX(Assumptions!$B:$B,MATCH("Ship-to-booster cadence ratio",Assumptions!$A$1:$A$327,0)) )</f>
        <v>9.4087740217396103</v>
      </c>
      <c r="P12" s="63">
        <f ca="1">MAX( IF(P$4 &lt; INDEX(Assumptions!$B:$B,MATCH("Starship operational year",Assumptions!$A$1:$A$327,0)), 1, INDEX(Assumptions!$B:$B,MATCH("Ship cadence floor (flights/yr, operational)",Assumptions!$A$1:$A$327,0))), P11*INDEX(Assumptions!$B:$B,MATCH("Ship-to-booster cadence ratio",Assumptions!$A$1:$A$327,0)) )</f>
        <v>10.304040257949609</v>
      </c>
      <c r="Q12" s="63">
        <f ca="1">MAX( IF(Q$4 &lt; INDEX(Assumptions!$B:$B,MATCH("Starship operational year",Assumptions!$A$1:$A$327,0)), 1, INDEX(Assumptions!$B:$B,MATCH("Ship cadence floor (flights/yr, operational)",Assumptions!$A$1:$A$327,0))), Q11*INDEX(Assumptions!$B:$B,MATCH("Ship-to-booster cadence ratio",Assumptions!$A$1:$A$327,0)) )</f>
        <v>11.03456289940026</v>
      </c>
      <c r="R12" s="63">
        <f ca="1">MAX( IF(R$4 &lt; INDEX(Assumptions!$B:$B,MATCH("Starship operational year",Assumptions!$A$1:$A$327,0)), 1, INDEX(Assumptions!$B:$B,MATCH("Ship cadence floor (flights/yr, operational)",Assumptions!$A$1:$A$327,0))), R11*INDEX(Assumptions!$B:$B,MATCH("Ship-to-booster cadence ratio",Assumptions!$A$1:$A$327,0)) )</f>
        <v>11.55793453221612</v>
      </c>
      <c r="S12" s="63">
        <f ca="1">MAX( IF(S$4 &lt; INDEX(Assumptions!$B:$B,MATCH("Starship operational year",Assumptions!$A$1:$A$327,0)), 1, INDEX(Assumptions!$B:$B,MATCH("Ship cadence floor (flights/yr, operational)",Assumptions!$A$1:$A$327,0))), S11*INDEX(Assumptions!$B:$B,MATCH("Ship-to-booster cadence ratio",Assumptions!$A$1:$A$327,0)) )</f>
        <v>12.030236908550485</v>
      </c>
    </row>
    <row r="13" spans="1:19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">
      <c r="A14" s="213" t="s">
        <v>1341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</row>
    <row r="15" spans="1:19" x14ac:dyDescent="0.2">
      <c r="A15" s="22" t="s">
        <v>247</v>
      </c>
      <c r="B15" s="8"/>
      <c r="C15" s="8"/>
      <c r="D15" s="169">
        <f t="array" ref="D15">INDEX(Assumptions!$D:$AC, MATCH("F9 at-cost rate per launch ($mm)", Assumptions!$A$1:$A$327, 0), D$5+1)</f>
        <v>20</v>
      </c>
      <c r="E15" s="169">
        <f t="array" ref="E15">INDEX(Assumptions!$D:$AC, MATCH("F9 at-cost rate per launch ($mm)", Assumptions!$A$1:$A$327, 0), E$5+1)</f>
        <v>19.600000000000001</v>
      </c>
      <c r="F15" s="169">
        <f t="array" ref="F15">INDEX(Assumptions!$D:$AC, MATCH("F9 at-cost rate per launch ($mm)", Assumptions!$A$1:$A$327, 0), F$5+1)</f>
        <v>19.207999999999998</v>
      </c>
      <c r="G15" s="169">
        <f t="array" ref="G15">INDEX(Assumptions!$D:$AC, MATCH("F9 at-cost rate per launch ($mm)", Assumptions!$A$1:$A$327, 0), G$5+1)</f>
        <v>18.824000000000002</v>
      </c>
      <c r="H15" s="169">
        <f t="array" ref="H15">INDEX(Assumptions!$D:$AC, MATCH("F9 at-cost rate per launch ($mm)", Assumptions!$A$1:$A$327, 0), H$5+1)</f>
        <v>18.446999999999999</v>
      </c>
      <c r="I15" s="169">
        <f t="array" ref="I15">INDEX(Assumptions!$D:$AC, MATCH("F9 at-cost rate per launch ($mm)", Assumptions!$A$1:$A$327, 0), I$5+1)</f>
        <v>18.077999999999999</v>
      </c>
      <c r="J15" s="169">
        <f t="array" ref="J15">INDEX(Assumptions!$D:$AC, MATCH("F9 at-cost rate per launch ($mm)", Assumptions!$A$1:$A$327, 0), J$5+1)</f>
        <v>17.716999999999999</v>
      </c>
      <c r="K15" s="169">
        <f t="array" ref="K15">INDEX(Assumptions!$D:$AC, MATCH("F9 at-cost rate per launch ($mm)", Assumptions!$A$1:$A$327, 0), K$5+1)</f>
        <v>17.363</v>
      </c>
      <c r="L15" s="169">
        <f t="array" ref="L15">INDEX(Assumptions!$D:$AC, MATCH("F9 at-cost rate per launch ($mm)", Assumptions!$A$1:$A$327, 0), L$5+1)</f>
        <v>17.015000000000001</v>
      </c>
      <c r="M15" s="169">
        <f t="array" ref="M15">INDEX(Assumptions!$D:$AC, MATCH("F9 at-cost rate per launch ($mm)", Assumptions!$A$1:$A$327, 0), M$5+1)</f>
        <v>16.675000000000001</v>
      </c>
      <c r="N15" s="169">
        <f t="array" ref="N15">INDEX(Assumptions!$D:$AC, MATCH("F9 at-cost rate per launch ($mm)", Assumptions!$A$1:$A$327, 0), N$5+1)</f>
        <v>16.341999999999999</v>
      </c>
      <c r="O15" s="169">
        <f t="array" ref="O15">INDEX(Assumptions!$D:$AC, MATCH("F9 at-cost rate per launch ($mm)", Assumptions!$A$1:$A$327, 0), O$5+1)</f>
        <v>16.015000000000001</v>
      </c>
      <c r="P15" s="169">
        <f t="array" ref="P15">INDEX(Assumptions!$D:$AC, MATCH("F9 at-cost rate per launch ($mm)", Assumptions!$A$1:$A$327, 0), P$5+1)</f>
        <v>15.695</v>
      </c>
      <c r="Q15" s="169">
        <f t="array" ref="Q15">INDEX(Assumptions!$D:$AC, MATCH("F9 at-cost rate per launch ($mm)", Assumptions!$A$1:$A$327, 0), Q$5+1)</f>
        <v>15.381</v>
      </c>
      <c r="R15" s="169">
        <f t="array" ref="R15">INDEX(Assumptions!$D:$AC, MATCH("F9 at-cost rate per launch ($mm)", Assumptions!$A$1:$A$327, 0), R$5+1)</f>
        <v>15.073</v>
      </c>
      <c r="S15" s="169">
        <f t="array" ref="S15">INDEX(Assumptions!$D:$AC, MATCH("F9 at-cost rate per launch ($mm)", Assumptions!$A$1:$A$327, 0), S$5+1)</f>
        <v>14.772</v>
      </c>
    </row>
    <row r="16" spans="1:19" x14ac:dyDescent="0.2">
      <c r="A16" s="22" t="s">
        <v>248</v>
      </c>
      <c r="B16" s="8"/>
      <c r="C16" s="8"/>
      <c r="D16" s="190" cm="1">
        <f t="array" aca="1" ref="D16" ca="1">INDEX('Vehicle Build'!$D:$AC,MATCH("Starship at-cost rate, fully reusable ($mm/launch)",'Vehicle Build'!$A$1:$A$119,0),D$5+1)</f>
        <v>18.192564285070283</v>
      </c>
      <c r="E16" s="169">
        <f t="array" aca="1" ref="E16" ca="1">INDEX('Vehicle Build'!$D:$AC,MATCH("Starship at-cost rate, fully reusable ($mm/launch)",'Vehicle Build'!$A$1:$A$119,0),E$5+1)</f>
        <v>14.499423754028511</v>
      </c>
      <c r="F16" s="169">
        <f t="array" aca="1" ref="F16" ca="1">INDEX('Vehicle Build'!$D:$AC,MATCH("Starship at-cost rate, fully reusable ($mm/launch)",'Vehicle Build'!$A$1:$A$119,0),F$5+1)</f>
        <v>11.804892604145198</v>
      </c>
      <c r="G16" s="169">
        <f t="array" aca="1" ref="G16" ca="1">INDEX('Vehicle Build'!$D:$AC,MATCH("Starship at-cost rate, fully reusable ($mm/launch)",'Vehicle Build'!$A$1:$A$119,0),G$5+1)</f>
        <v>9.9704187366340875</v>
      </c>
      <c r="H16" s="169">
        <f t="array" aca="1" ref="H16" ca="1">INDEX('Vehicle Build'!$D:$AC,MATCH("Starship at-cost rate, fully reusable ($mm/launch)",'Vehicle Build'!$A$1:$A$119,0),H$5+1)</f>
        <v>8.8283342988931413</v>
      </c>
      <c r="I16" s="169">
        <f t="array" aca="1" ref="I16" ca="1">INDEX('Vehicle Build'!$D:$AC,MATCH("Starship at-cost rate, fully reusable ($mm/launch)",'Vehicle Build'!$A$1:$A$119,0),I$5+1)</f>
        <v>8.1203650367351585</v>
      </c>
      <c r="J16" s="169">
        <f t="array" aca="1" ref="J16" ca="1">INDEX('Vehicle Build'!$D:$AC,MATCH("Starship at-cost rate, fully reusable ($mm/launch)",'Vehicle Build'!$A$1:$A$119,0),J$5+1)</f>
        <v>7.5835393237515065</v>
      </c>
      <c r="K16" s="169">
        <f t="array" aca="1" ref="K16" ca="1">INDEX('Vehicle Build'!$D:$AC,MATCH("Starship at-cost rate, fully reusable ($mm/launch)",'Vehicle Build'!$A$1:$A$119,0),K$5+1)</f>
        <v>7.13549686064413</v>
      </c>
      <c r="L16" s="169">
        <f t="array" aca="1" ref="L16" ca="1">INDEX('Vehicle Build'!$D:$AC,MATCH("Starship at-cost rate, fully reusable ($mm/launch)",'Vehicle Build'!$A$1:$A$119,0),L$5+1)</f>
        <v>6.8216488030609037</v>
      </c>
      <c r="M16" s="169">
        <f t="array" aca="1" ref="M16" ca="1">INDEX('Vehicle Build'!$D:$AC,MATCH("Starship at-cost rate, fully reusable ($mm/launch)",'Vehicle Build'!$A$1:$A$119,0),M$5+1)</f>
        <v>6.7019498396911681</v>
      </c>
      <c r="N16" s="169">
        <f t="array" aca="1" ref="N16" ca="1">INDEX('Vehicle Build'!$D:$AC,MATCH("Starship at-cost rate, fully reusable ($mm/launch)",'Vehicle Build'!$A$1:$A$119,0),N$5+1)</f>
        <v>6.5756664039789481</v>
      </c>
      <c r="O16" s="169">
        <f t="array" aca="1" ref="O16" ca="1">INDEX('Vehicle Build'!$D:$AC,MATCH("Starship at-cost rate, fully reusable ($mm/launch)",'Vehicle Build'!$A$1:$A$119,0),O$5+1)</f>
        <v>6.4555531137210274</v>
      </c>
      <c r="P16" s="169">
        <f t="array" aca="1" ref="P16" ca="1">INDEX('Vehicle Build'!$D:$AC,MATCH("Starship at-cost rate, fully reusable ($mm/launch)",'Vehicle Build'!$A$1:$A$119,0),P$5+1)</f>
        <v>6.3793324042162078</v>
      </c>
      <c r="Q16" s="169">
        <f t="array" aca="1" ref="Q16" ca="1">INDEX('Vehicle Build'!$D:$AC,MATCH("Starship at-cost rate, fully reusable ($mm/launch)",'Vehicle Build'!$A$1:$A$119,0),Q$5+1)</f>
        <v>6.3416409270733691</v>
      </c>
      <c r="R16" s="169">
        <f t="array" aca="1" ref="R16" ca="1">INDEX('Vehicle Build'!$D:$AC,MATCH("Starship at-cost rate, fully reusable ($mm/launch)",'Vehicle Build'!$A$1:$A$119,0),R$5+1)</f>
        <v>6.24714496335808</v>
      </c>
      <c r="S16" s="169">
        <f t="array" aca="1" ref="S16" ca="1">INDEX('Vehicle Build'!$D:$AC,MATCH("Starship at-cost rate, fully reusable ($mm/launch)",'Vehicle Build'!$A$1:$A$119,0),S$5+1)</f>
        <v>6.15858460623223</v>
      </c>
    </row>
    <row r="17" spans="1:19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2">
      <c r="A18" s="213" t="s">
        <v>1601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</row>
    <row r="19" spans="1:19" x14ac:dyDescent="0.2">
      <c r="A19" s="22" t="s">
        <v>754</v>
      </c>
      <c r="B19" s="8"/>
      <c r="C19" s="8"/>
      <c r="D19" s="70">
        <f t="array" ref="D19">INDEX(Assumptions!$D:$AC, MATCH("F9 launches glide path (per year)", Assumptions!$A$1:$A$327, 0), D$5+1)</f>
        <v>171</v>
      </c>
      <c r="E19" s="70">
        <f t="array" ref="E19">INDEX(Assumptions!$D:$AC, MATCH("F9 launches glide path (per year)", Assumptions!$A$1:$A$327, 0), E$5+1)</f>
        <v>150</v>
      </c>
      <c r="F19" s="70">
        <f t="array" ref="F19">INDEX(Assumptions!$D:$AC, MATCH("F9 launches glide path (per year)", Assumptions!$A$1:$A$327, 0), F$5+1)</f>
        <v>100</v>
      </c>
      <c r="G19" s="70">
        <f t="array" ref="G19">INDEX(Assumptions!$D:$AC, MATCH("F9 launches glide path (per year)", Assumptions!$A$1:$A$327, 0), G$5+1)</f>
        <v>60</v>
      </c>
      <c r="H19" s="70">
        <f t="array" ref="H19">INDEX(Assumptions!$D:$AC, MATCH("F9 launches glide path (per year)", Assumptions!$A$1:$A$327, 0), H$5+1)</f>
        <v>30</v>
      </c>
      <c r="I19" s="70">
        <f t="array" ref="I19">INDEX(Assumptions!$D:$AC, MATCH("F9 launches glide path (per year)", Assumptions!$A$1:$A$327, 0), I$5+1)</f>
        <v>10</v>
      </c>
      <c r="J19" s="70">
        <f t="array" ref="J19">INDEX(Assumptions!$D:$AC, MATCH("F9 launches glide path (per year)", Assumptions!$A$1:$A$327, 0), J$5+1)</f>
        <v>0</v>
      </c>
      <c r="K19" s="70">
        <f t="array" ref="K19">INDEX(Assumptions!$D:$AC, MATCH("F9 launches glide path (per year)", Assumptions!$A$1:$A$327, 0), K$5+1)</f>
        <v>0</v>
      </c>
      <c r="L19" s="70">
        <f t="array" ref="L19">INDEX(Assumptions!$D:$AC, MATCH("F9 launches glide path (per year)", Assumptions!$A$1:$A$327, 0), L$5+1)</f>
        <v>0</v>
      </c>
      <c r="M19" s="70">
        <f t="array" ref="M19">INDEX(Assumptions!$D:$AC, MATCH("F9 launches glide path (per year)", Assumptions!$A$1:$A$327, 0), M$5+1)</f>
        <v>0</v>
      </c>
      <c r="N19" s="70">
        <f t="array" ref="N19">INDEX(Assumptions!$D:$AC, MATCH("F9 launches glide path (per year)", Assumptions!$A$1:$A$327, 0), N$5+1)</f>
        <v>0</v>
      </c>
      <c r="O19" s="70">
        <f t="array" ref="O19">INDEX(Assumptions!$D:$AC, MATCH("F9 launches glide path (per year)", Assumptions!$A$1:$A$327, 0), O$5+1)</f>
        <v>0</v>
      </c>
      <c r="P19" s="70">
        <f t="array" ref="P19">INDEX(Assumptions!$D:$AC, MATCH("F9 launches glide path (per year)", Assumptions!$A$1:$A$327, 0), P$5+1)</f>
        <v>0</v>
      </c>
      <c r="Q19" s="70">
        <f t="array" ref="Q19">INDEX(Assumptions!$D:$AC, MATCH("F9 launches glide path (per year)", Assumptions!$A$1:$A$327, 0), Q$5+1)</f>
        <v>0</v>
      </c>
      <c r="R19" s="70">
        <f t="array" ref="R19">INDEX(Assumptions!$D:$AC, MATCH("F9 launches glide path (per year)", Assumptions!$A$1:$A$327, 0), R$5+1)</f>
        <v>0</v>
      </c>
      <c r="S19" s="70">
        <f t="array" ref="S19">INDEX(Assumptions!$D:$AC, MATCH("F9 launches glide path (per year)", Assumptions!$A$1:$A$327, 0), S$5+1)</f>
        <v>0</v>
      </c>
    </row>
    <row r="20" spans="1:19" x14ac:dyDescent="0.2">
      <c r="A20" s="22" t="s">
        <v>755</v>
      </c>
      <c r="B20" s="8"/>
      <c r="C20" s="8"/>
      <c r="D20" s="70">
        <f t="array" aca="1" ref="D20" ca="1">IFERROR(INDEX(Starlink!$D:$AC,MATCH("Starship internal launches per year (Starlink-driven)",Starlink!$A$1:$A$205,0),D$5+1),0)+IFERROR(INDEX('Customer Launch'!$D:$AC,MATCH("Starship commercial launches",'Customer Launch'!$A$1:$A$153,0),D$5+1),0)+IFERROR(INDEX('AI - Compute'!$D:$AC,MATCH("Starship launches per year (ODC-driven)",'AI - Compute'!$A$1:$A$33,0),D$5+1),0)+IFERROR(INDEX('Lunar - Mars'!$D:$AC,MATCH("Starship launches per year (Lunar/Mars)",'Lunar - Mars'!$A$1:$A$133,0),D$5+1),0)</f>
        <v>0</v>
      </c>
      <c r="E20" s="70">
        <f t="array" aca="1" ref="E20" ca="1">IFERROR(INDEX(Starlink!$D:$AC,MATCH("Starship internal launches per year (Starlink-driven)",Starlink!$A$1:$A$205,0),E$5+1),0)+IFERROR(INDEX('Customer Launch'!$D:$AC,MATCH("Starship commercial launches",'Customer Launch'!$A$1:$A$153,0),E$5+1),0)+IFERROR(INDEX('AI - Compute'!$D:$AC,MATCH("Starship launches per year (ODC-driven)",'AI - Compute'!$A$1:$A$33,0),E$5+1),0)+IFERROR(INDEX('Lunar - Mars'!$D:$AC,MATCH("Starship launches per year (Lunar/Mars)",'Lunar - Mars'!$A$1:$A$133,0),E$5+1),0)</f>
        <v>0</v>
      </c>
      <c r="F20" s="70">
        <f t="array" aca="1" ref="F20" ca="1">IFERROR(INDEX(Starlink!$D:$AC,MATCH("Starship internal launches per year (Starlink-driven)",Starlink!$A$1:$A$205,0),F$5+1),0)+IFERROR(INDEX('Customer Launch'!$D:$AC,MATCH("Starship commercial launches",'Customer Launch'!$A$1:$A$153,0),F$5+1),0)+IFERROR(INDEX('AI - Compute'!$D:$AC,MATCH("Starship launches per year (ODC-driven)",'AI - Compute'!$A$1:$A$33,0),F$5+1),0)+IFERROR(INDEX('Lunar - Mars'!$D:$AC,MATCH("Starship launches per year (Lunar/Mars)",'Lunar - Mars'!$A$1:$A$133,0),F$5+1),0)</f>
        <v>61</v>
      </c>
      <c r="G20" s="70">
        <f t="array" aca="1" ref="G20" ca="1">IFERROR(INDEX(Starlink!$D:$AC,MATCH("Starship internal launches per year (Starlink-driven)",Starlink!$A$1:$A$205,0),G$5+1),0)+IFERROR(INDEX('Customer Launch'!$D:$AC,MATCH("Starship commercial launches",'Customer Launch'!$A$1:$A$153,0),G$5+1),0)+IFERROR(INDEX('AI - Compute'!$D:$AC,MATCH("Starship launches per year (ODC-driven)",'AI - Compute'!$A$1:$A$33,0),G$5+1),0)+IFERROR(INDEX('Lunar - Mars'!$D:$AC,MATCH("Starship launches per year (Lunar/Mars)",'Lunar - Mars'!$A$1:$A$133,0),G$5+1),0)</f>
        <v>127</v>
      </c>
      <c r="H20" s="70">
        <f t="array" aca="1" ref="H20" ca="1">IFERROR(INDEX(Starlink!$D:$AC,MATCH("Starship internal launches per year (Starlink-driven)",Starlink!$A$1:$A$205,0),H$5+1),0)+IFERROR(INDEX('Customer Launch'!$D:$AC,MATCH("Starship commercial launches",'Customer Launch'!$A$1:$A$153,0),H$5+1),0)+IFERROR(INDEX('AI - Compute'!$D:$AC,MATCH("Starship launches per year (ODC-driven)",'AI - Compute'!$A$1:$A$33,0),H$5+1),0)+IFERROR(INDEX('Lunar - Mars'!$D:$AC,MATCH("Starship launches per year (Lunar/Mars)",'Lunar - Mars'!$A$1:$A$133,0),H$5+1),0)</f>
        <v>264</v>
      </c>
      <c r="I20" s="70">
        <f t="array" aca="1" ref="I20" ca="1">IFERROR(INDEX(Starlink!$D:$AC,MATCH("Starship internal launches per year (Starlink-driven)",Starlink!$A$1:$A$205,0),I$5+1),0)+IFERROR(INDEX('Customer Launch'!$D:$AC,MATCH("Starship commercial launches",'Customer Launch'!$A$1:$A$153,0),I$5+1),0)+IFERROR(INDEX('AI - Compute'!$D:$AC,MATCH("Starship launches per year (ODC-driven)",'AI - Compute'!$A$1:$A$33,0),I$5+1),0)+IFERROR(INDEX('Lunar - Mars'!$D:$AC,MATCH("Starship launches per year (Lunar/Mars)",'Lunar - Mars'!$A$1:$A$133,0),I$5+1),0)</f>
        <v>423.23170104981307</v>
      </c>
      <c r="J20" s="70">
        <f t="array" aca="1" ref="J20" ca="1">IFERROR(INDEX(Starlink!$D:$AC,MATCH("Starship internal launches per year (Starlink-driven)",Starlink!$A$1:$A$205,0),J$5+1),0)+IFERROR(INDEX('Customer Launch'!$D:$AC,MATCH("Starship commercial launches",'Customer Launch'!$A$1:$A$153,0),J$5+1),0)+IFERROR(INDEX('AI - Compute'!$D:$AC,MATCH("Starship launches per year (ODC-driven)",'AI - Compute'!$A$1:$A$33,0),J$5+1),0)+IFERROR(INDEX('Lunar - Mars'!$D:$AC,MATCH("Starship launches per year (Lunar/Mars)",'Lunar - Mars'!$A$1:$A$133,0),J$5+1),0)</f>
        <v>636.16288761558133</v>
      </c>
      <c r="K20" s="70">
        <f t="array" aca="1" ref="K20" ca="1">IFERROR(INDEX(Starlink!$D:$AC,MATCH("Starship internal launches per year (Starlink-driven)",Starlink!$A$1:$A$205,0),K$5+1),0)+IFERROR(INDEX('Customer Launch'!$D:$AC,MATCH("Starship commercial launches",'Customer Launch'!$A$1:$A$153,0),K$5+1),0)+IFERROR(INDEX('AI - Compute'!$D:$AC,MATCH("Starship launches per year (ODC-driven)",'AI - Compute'!$A$1:$A$33,0),K$5+1),0)+IFERROR(INDEX('Lunar - Mars'!$D:$AC,MATCH("Starship launches per year (Lunar/Mars)",'Lunar - Mars'!$A$1:$A$133,0),K$5+1),0)</f>
        <v>765.39157202967226</v>
      </c>
      <c r="L20" s="70">
        <f t="array" aca="1" ref="L20" ca="1">IFERROR(INDEX(Starlink!$D:$AC,MATCH("Starship internal launches per year (Starlink-driven)",Starlink!$A$1:$A$205,0),L$5+1),0)+IFERROR(INDEX('Customer Launch'!$D:$AC,MATCH("Starship commercial launches",'Customer Launch'!$A$1:$A$153,0),L$5+1),0)+IFERROR(INDEX('AI - Compute'!$D:$AC,MATCH("Starship launches per year (ODC-driven)",'AI - Compute'!$A$1:$A$33,0),L$5+1),0)+IFERROR(INDEX('Lunar - Mars'!$D:$AC,MATCH("Starship launches per year (Lunar/Mars)",'Lunar - Mars'!$A$1:$A$133,0),L$5+1),0)</f>
        <v>885.56283802826749</v>
      </c>
      <c r="M20" s="70">
        <f t="array" aca="1" ref="M20" ca="1">IFERROR(INDEX(Starlink!$D:$AC,MATCH("Starship internal launches per year (Starlink-driven)",Starlink!$A$1:$A$205,0),M$5+1),0)+IFERROR(INDEX('Customer Launch'!$D:$AC,MATCH("Starship commercial launches",'Customer Launch'!$A$1:$A$153,0),M$5+1),0)+IFERROR(INDEX('AI - Compute'!$D:$AC,MATCH("Starship launches per year (ODC-driven)",'AI - Compute'!$A$1:$A$33,0),M$5+1),0)+IFERROR(INDEX('Lunar - Mars'!$D:$AC,MATCH("Starship launches per year (Lunar/Mars)",'Lunar - Mars'!$A$1:$A$133,0),M$5+1),0)</f>
        <v>1183.0991890573014</v>
      </c>
      <c r="N20" s="70">
        <f t="array" aca="1" ref="N20" ca="1">IFERROR(INDEX(Starlink!$D:$AC,MATCH("Starship internal launches per year (Starlink-driven)",Starlink!$A$1:$A$205,0),N$5+1),0)+IFERROR(INDEX('Customer Launch'!$D:$AC,MATCH("Starship commercial launches",'Customer Launch'!$A$1:$A$153,0),N$5+1),0)+IFERROR(INDEX('AI - Compute'!$D:$AC,MATCH("Starship launches per year (ODC-driven)",'AI - Compute'!$A$1:$A$33,0),N$5+1),0)+IFERROR(INDEX('Lunar - Mars'!$D:$AC,MATCH("Starship launches per year (Lunar/Mars)",'Lunar - Mars'!$A$1:$A$133,0),N$5+1),0)</f>
        <v>1336.3042350430974</v>
      </c>
      <c r="O20" s="70">
        <f t="array" aca="1" ref="O20" ca="1">IFERROR(INDEX(Starlink!$D:$AC,MATCH("Starship internal launches per year (Starlink-driven)",Starlink!$A$1:$A$205,0),O$5+1),0)+IFERROR(INDEX('Customer Launch'!$D:$AC,MATCH("Starship commercial launches",'Customer Launch'!$A$1:$A$153,0),O$5+1),0)+IFERROR(INDEX('AI - Compute'!$D:$AC,MATCH("Starship launches per year (ODC-driven)",'AI - Compute'!$A$1:$A$33,0),O$5+1),0)+IFERROR(INDEX('Lunar - Mars'!$D:$AC,MATCH("Starship launches per year (Lunar/Mars)",'Lunar - Mars'!$A$1:$A$133,0),O$5+1),0)</f>
        <v>1714.6288356528992</v>
      </c>
      <c r="P20" s="70">
        <f t="array" aca="1" ref="P20" ca="1">IFERROR(INDEX(Starlink!$D:$AC,MATCH("Starship internal launches per year (Starlink-driven)",Starlink!$A$1:$A$205,0),P$5+1),0)+IFERROR(INDEX('Customer Launch'!$D:$AC,MATCH("Starship commercial launches",'Customer Launch'!$A$1:$A$153,0),P$5+1),0)+IFERROR(INDEX('AI - Compute'!$D:$AC,MATCH("Starship launches per year (ODC-driven)",'AI - Compute'!$A$1:$A$33,0),P$5+1),0)+IFERROR(INDEX('Lunar - Mars'!$D:$AC,MATCH("Starship launches per year (Lunar/Mars)",'Lunar - Mars'!$A$1:$A$133,0),P$5+1),0)</f>
        <v>1631.2544720526812</v>
      </c>
      <c r="Q20" s="70">
        <f t="array" aca="1" ref="Q20" ca="1">IFERROR(INDEX(Starlink!$D:$AC,MATCH("Starship internal launches per year (Starlink-driven)",Starlink!$A$1:$A$205,0),Q$5+1),0)+IFERROR(INDEX('Customer Launch'!$D:$AC,MATCH("Starship commercial launches",'Customer Launch'!$A$1:$A$153,0),Q$5+1),0)+IFERROR(INDEX('AI - Compute'!$D:$AC,MATCH("Starship launches per year (ODC-driven)",'AI - Compute'!$A$1:$A$33,0),Q$5+1),0)+IFERROR(INDEX('Lunar - Mars'!$D:$AC,MATCH("Starship launches per year (Lunar/Mars)",'Lunar - Mars'!$A$1:$A$133,0),Q$5+1),0)</f>
        <v>1305.3768557810101</v>
      </c>
      <c r="R20" s="70">
        <f t="array" aca="1" ref="R20" ca="1">IFERROR(INDEX(Starlink!$D:$AC,MATCH("Starship internal launches per year (Starlink-driven)",Starlink!$A$1:$A$205,0),R$5+1),0)+IFERROR(INDEX('Customer Launch'!$D:$AC,MATCH("Starship commercial launches",'Customer Launch'!$A$1:$A$153,0),R$5+1),0)+IFERROR(INDEX('AI - Compute'!$D:$AC,MATCH("Starship launches per year (ODC-driven)",'AI - Compute'!$A$1:$A$33,0),R$5+1),0)+IFERROR(INDEX('Lunar - Mars'!$D:$AC,MATCH("Starship launches per year (Lunar/Mars)",'Lunar - Mars'!$A$1:$A$133,0),R$5+1),0)</f>
        <v>1280.7784477082416</v>
      </c>
      <c r="S20" s="70">
        <f t="array" aca="1" ref="S20" ca="1">IFERROR(INDEX(Starlink!$D:$AC,MATCH("Starship internal launches per year (Starlink-driven)",Starlink!$A$1:$A$205,0),S$5+1),0)+IFERROR(INDEX('Customer Launch'!$D:$AC,MATCH("Starship commercial launches",'Customer Launch'!$A$1:$A$153,0),S$5+1),0)+IFERROR(INDEX('AI - Compute'!$D:$AC,MATCH("Starship launches per year (ODC-driven)",'AI - Compute'!$A$1:$A$33,0),S$5+1),0)+IFERROR(INDEX('Lunar - Mars'!$D:$AC,MATCH("Starship launches per year (Lunar/Mars)",'Lunar - Mars'!$A$1:$A$133,0),S$5+1),0)</f>
        <v>872.65789367365301</v>
      </c>
    </row>
    <row r="21" spans="1:19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x14ac:dyDescent="0.2">
      <c r="A22" s="213" t="s">
        <v>1602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</row>
    <row r="23" spans="1:19" x14ac:dyDescent="0.2">
      <c r="A23" s="20" t="s">
        <v>756</v>
      </c>
      <c r="B23" s="20"/>
      <c r="C23" s="20"/>
      <c r="D23" s="124">
        <f ca="1">D58*D11*D44+D63*INDEX(Assumptions!$B:$B,MATCH("F9 cadence per booster (flights/year, flat)",Assumptions!$A$1:$A$327,0))*INDEX(Assumptions!$B:$B,MATCH("F9 payload to LEO (kg)",Assumptions!$A$1:$A$327,0))</f>
        <v>5675245.7142857146</v>
      </c>
      <c r="E23" s="124">
        <f ca="1">E58*E11*E44+E63*INDEX(Assumptions!$B:$B,MATCH("F9 cadence per booster (flights/year, flat)",Assumptions!$A$1:$A$327,0))*INDEX(Assumptions!$B:$B,MATCH("F9 payload to LEO (kg)",Assumptions!$A$1:$A$327,0))</f>
        <v>8190648.7965666857</v>
      </c>
      <c r="F23" s="124">
        <f ca="1">F58*F11*F44+F63*INDEX(Assumptions!$B:$B,MATCH("F9 cadence per booster (flights/year, flat)",Assumptions!$A$1:$A$327,0))*INDEX(Assumptions!$B:$B,MATCH("F9 payload to LEO (kg)",Assumptions!$A$1:$A$327,0))</f>
        <v>13833707.623220455</v>
      </c>
      <c r="G23" s="124">
        <f ca="1">G58*G11*G44+G63*INDEX(Assumptions!$B:$B,MATCH("F9 cadence per booster (flights/year, flat)",Assumptions!$A$1:$A$327,0))*INDEX(Assumptions!$B:$B,MATCH("F9 payload to LEO (kg)",Assumptions!$A$1:$A$327,0))</f>
        <v>37669271.172451057</v>
      </c>
      <c r="H23" s="124">
        <f ca="1">H58*H11*H44+H63*INDEX(Assumptions!$B:$B,MATCH("F9 cadence per booster (flights/year, flat)",Assumptions!$A$1:$A$327,0))*INDEX(Assumptions!$B:$B,MATCH("F9 payload to LEO (kg)",Assumptions!$A$1:$A$327,0))</f>
        <v>99581138.216702044</v>
      </c>
      <c r="I23" s="124">
        <f ca="1">I58*I11*I44+I63*INDEX(Assumptions!$B:$B,MATCH("F9 cadence per booster (flights/year, flat)",Assumptions!$A$1:$A$327,0))*INDEX(Assumptions!$B:$B,MATCH("F9 payload to LEO (kg)",Assumptions!$A$1:$A$327,0))</f>
        <v>235661992.44499975</v>
      </c>
      <c r="J23" s="124">
        <f ca="1">J58*J11*J44+J63*INDEX(Assumptions!$B:$B,MATCH("F9 cadence per booster (flights/year, flat)",Assumptions!$A$1:$A$327,0))*INDEX(Assumptions!$B:$B,MATCH("F9 payload to LEO (kg)",Assumptions!$A$1:$A$327,0))</f>
        <v>428878861.26799524</v>
      </c>
      <c r="K23" s="124">
        <f ca="1">K58*K11*K44+K63*INDEX(Assumptions!$B:$B,MATCH("F9 cadence per booster (flights/year, flat)",Assumptions!$A$1:$A$327,0))*INDEX(Assumptions!$B:$B,MATCH("F9 payload to LEO (kg)",Assumptions!$A$1:$A$327,0))</f>
        <v>470805590.11363733</v>
      </c>
      <c r="L23" s="124">
        <f ca="1">L58*L11*L44+L63*INDEX(Assumptions!$B:$B,MATCH("F9 cadence per booster (flights/year, flat)",Assumptions!$A$1:$A$327,0))*INDEX(Assumptions!$B:$B,MATCH("F9 payload to LEO (kg)",Assumptions!$A$1:$A$327,0))</f>
        <v>489599101.2977494</v>
      </c>
      <c r="M23" s="124">
        <f ca="1">M58*M11*M44+M63*INDEX(Assumptions!$B:$B,MATCH("F9 cadence per booster (flights/year, flat)",Assumptions!$A$1:$A$327,0))*INDEX(Assumptions!$B:$B,MATCH("F9 payload to LEO (kg)",Assumptions!$A$1:$A$327,0))</f>
        <v>485436485.95378977</v>
      </c>
      <c r="N23" s="124">
        <f ca="1">N58*N11*N44+N63*INDEX(Assumptions!$B:$B,MATCH("F9 cadence per booster (flights/year, flat)",Assumptions!$A$1:$A$327,0))*INDEX(Assumptions!$B:$B,MATCH("F9 payload to LEO (kg)",Assumptions!$A$1:$A$327,0))</f>
        <v>470459052.13289696</v>
      </c>
      <c r="O23" s="124">
        <f ca="1">O58*O11*O44+O63*INDEX(Assumptions!$B:$B,MATCH("F9 cadence per booster (flights/year, flat)",Assumptions!$A$1:$A$327,0))*INDEX(Assumptions!$B:$B,MATCH("F9 payload to LEO (kg)",Assumptions!$A$1:$A$327,0))</f>
        <v>423104281.14293891</v>
      </c>
      <c r="P23" s="124">
        <f ca="1">P58*P11*P44+P63*INDEX(Assumptions!$B:$B,MATCH("F9 cadence per booster (flights/year, flat)",Assumptions!$A$1:$A$327,0))*INDEX(Assumptions!$B:$B,MATCH("F9 payload to LEO (kg)",Assumptions!$A$1:$A$327,0))</f>
        <v>372800964.68959552</v>
      </c>
      <c r="Q23" s="124">
        <f ca="1">Q58*Q11*Q44+Q63*INDEX(Assumptions!$B:$B,MATCH("F9 cadence per booster (flights/year, flat)",Assumptions!$A$1:$A$327,0))*INDEX(Assumptions!$B:$B,MATCH("F9 payload to LEO (kg)",Assumptions!$A$1:$A$327,0))</f>
        <v>326487090.83181781</v>
      </c>
      <c r="R23" s="124">
        <f ca="1">R58*R11*R44+R63*INDEX(Assumptions!$B:$B,MATCH("F9 cadence per booster (flights/year, flat)",Assumptions!$A$1:$A$327,0))*INDEX(Assumptions!$B:$B,MATCH("F9 payload to LEO (kg)",Assumptions!$A$1:$A$327,0))</f>
        <v>273181564.28670275</v>
      </c>
      <c r="S23" s="124">
        <f ca="1">S58*S11*S44+S63*INDEX(Assumptions!$B:$B,MATCH("F9 cadence per booster (flights/year, flat)",Assumptions!$A$1:$A$327,0))*INDEX(Assumptions!$B:$B,MATCH("F9 payload to LEO (kg)",Assumptions!$A$1:$A$327,0))</f>
        <v>317011781.87902051</v>
      </c>
    </row>
    <row r="24" spans="1:19" x14ac:dyDescent="0.2">
      <c r="A24" s="22" t="s">
        <v>757</v>
      </c>
      <c r="B24" s="8"/>
      <c r="C24" s="8"/>
      <c r="D24" s="76">
        <f t="shared" ref="D24:S24" ca="1" si="1">D28</f>
        <v>240</v>
      </c>
      <c r="E24" s="76">
        <f t="shared" ca="1" si="1"/>
        <v>722.96808362611091</v>
      </c>
      <c r="F24" s="76">
        <f t="shared" ca="1" si="1"/>
        <v>1440.4823990592947</v>
      </c>
      <c r="G24" s="76">
        <f t="shared" ca="1" si="1"/>
        <v>1982.0723531648553</v>
      </c>
      <c r="H24" s="76">
        <f t="shared" ca="1" si="1"/>
        <v>2414.9063582777917</v>
      </c>
      <c r="I24" s="76">
        <f t="shared" ca="1" si="1"/>
        <v>2780.2172235181602</v>
      </c>
      <c r="J24" s="76">
        <f t="shared" ca="1" si="1"/>
        <v>3100.5294619616238</v>
      </c>
      <c r="K24" s="76">
        <f t="shared" ca="1" si="1"/>
        <v>1386.7730707989531</v>
      </c>
      <c r="L24" s="76">
        <f t="shared" ca="1" si="1"/>
        <v>1204.6580171209812</v>
      </c>
      <c r="M24" s="76">
        <f t="shared" ca="1" si="1"/>
        <v>383.69952337984313</v>
      </c>
      <c r="N24" s="76">
        <f t="shared" ca="1" si="1"/>
        <v>566.26774877545631</v>
      </c>
      <c r="O24" s="76">
        <f t="shared" ca="1" si="1"/>
        <v>677.6698530274798</v>
      </c>
      <c r="P24" s="76">
        <f t="shared" ca="1" si="1"/>
        <v>432.05303213911293</v>
      </c>
      <c r="Q24" s="76">
        <f t="shared" ca="1" si="1"/>
        <v>173.43700947643694</v>
      </c>
      <c r="R24" s="76">
        <f t="shared" ca="1" si="1"/>
        <v>657.96127765903111</v>
      </c>
      <c r="S24" s="76">
        <f t="shared" ca="1" si="1"/>
        <v>956.06986695201726</v>
      </c>
    </row>
    <row r="25" spans="1:19" x14ac:dyDescent="0.2">
      <c r="A25" s="22" t="s">
        <v>1603</v>
      </c>
      <c r="B25" s="8"/>
      <c r="C25" s="8"/>
      <c r="D25" s="98">
        <f t="shared" ref="D25:S25" ca="1" si="2">D24</f>
        <v>240</v>
      </c>
      <c r="E25" s="98">
        <f t="shared" ca="1" si="2"/>
        <v>722.96808362611091</v>
      </c>
      <c r="F25" s="98">
        <f t="shared" ca="1" si="2"/>
        <v>1440.4823990592947</v>
      </c>
      <c r="G25" s="98">
        <f t="shared" ca="1" si="2"/>
        <v>1982.0723531648553</v>
      </c>
      <c r="H25" s="98">
        <f t="shared" ca="1" si="2"/>
        <v>2414.9063582777917</v>
      </c>
      <c r="I25" s="98">
        <f t="shared" ca="1" si="2"/>
        <v>2780.2172235181602</v>
      </c>
      <c r="J25" s="98">
        <f t="shared" ca="1" si="2"/>
        <v>3100.5294619616238</v>
      </c>
      <c r="K25" s="98">
        <f t="shared" ca="1" si="2"/>
        <v>1386.7730707989531</v>
      </c>
      <c r="L25" s="98">
        <f t="shared" ca="1" si="2"/>
        <v>1204.6580171209812</v>
      </c>
      <c r="M25" s="98">
        <f t="shared" ca="1" si="2"/>
        <v>383.69952337984313</v>
      </c>
      <c r="N25" s="98">
        <f t="shared" ca="1" si="2"/>
        <v>566.26774877545631</v>
      </c>
      <c r="O25" s="98">
        <f t="shared" ca="1" si="2"/>
        <v>677.6698530274798</v>
      </c>
      <c r="P25" s="98">
        <f t="shared" ca="1" si="2"/>
        <v>432.05303213911293</v>
      </c>
      <c r="Q25" s="98">
        <f t="shared" ca="1" si="2"/>
        <v>173.43700947643694</v>
      </c>
      <c r="R25" s="98">
        <f t="shared" ca="1" si="2"/>
        <v>657.96127765903111</v>
      </c>
      <c r="S25" s="98">
        <f t="shared" ca="1" si="2"/>
        <v>956.06986695201726</v>
      </c>
    </row>
    <row r="26" spans="1:19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18" t="s">
        <v>1604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x14ac:dyDescent="0.2">
      <c r="A28" s="20" t="s">
        <v>1342</v>
      </c>
      <c r="B28" s="20"/>
      <c r="C28" s="20"/>
      <c r="D28" s="90">
        <f ca="1">D92+D60*INDEX(Assumptions!$B:$B,MATCH("F9 booster (1st stage) mfg cost ($mm/unit)",Assumptions!$A$1:$A$327,0))*(1-INDEX(Assumptions!$B:$B,MATCH("F9 Wright's Law mfg learning rate",Assumptions!$A$1:$A$327,0)))^D$5</f>
        <v>240</v>
      </c>
      <c r="E28" s="90">
        <f ca="1">E92+E60*INDEX(Assumptions!$B:$B,MATCH("F9 booster (1st stage) mfg cost ($mm/unit)",Assumptions!$A$1:$A$327,0))*(1-INDEX(Assumptions!$B:$B,MATCH("F9 Wright's Law mfg learning rate",Assumptions!$A$1:$A$327,0)))^E$5</f>
        <v>722.96808362611091</v>
      </c>
      <c r="F28" s="90">
        <f ca="1">F92+F60*INDEX(Assumptions!$B:$B,MATCH("F9 booster (1st stage) mfg cost ($mm/unit)",Assumptions!$A$1:$A$327,0))*(1-INDEX(Assumptions!$B:$B,MATCH("F9 Wright's Law mfg learning rate",Assumptions!$A$1:$A$327,0)))^F$5</f>
        <v>1440.4823990592947</v>
      </c>
      <c r="G28" s="90">
        <f ca="1">G92+G60*INDEX(Assumptions!$B:$B,MATCH("F9 booster (1st stage) mfg cost ($mm/unit)",Assumptions!$A$1:$A$327,0))*(1-INDEX(Assumptions!$B:$B,MATCH("F9 Wright's Law mfg learning rate",Assumptions!$A$1:$A$327,0)))^G$5</f>
        <v>1982.0723531648553</v>
      </c>
      <c r="H28" s="90">
        <f ca="1">H92+H60*INDEX(Assumptions!$B:$B,MATCH("F9 booster (1st stage) mfg cost ($mm/unit)",Assumptions!$A$1:$A$327,0))*(1-INDEX(Assumptions!$B:$B,MATCH("F9 Wright's Law mfg learning rate",Assumptions!$A$1:$A$327,0)))^H$5</f>
        <v>2414.9063582777917</v>
      </c>
      <c r="I28" s="90">
        <f ca="1">I92+I60*INDEX(Assumptions!$B:$B,MATCH("F9 booster (1st stage) mfg cost ($mm/unit)",Assumptions!$A$1:$A$327,0))*(1-INDEX(Assumptions!$B:$B,MATCH("F9 Wright's Law mfg learning rate",Assumptions!$A$1:$A$327,0)))^I$5</f>
        <v>2780.2172235181602</v>
      </c>
      <c r="J28" s="90">
        <f ca="1">J92+J60*INDEX(Assumptions!$B:$B,MATCH("F9 booster (1st stage) mfg cost ($mm/unit)",Assumptions!$A$1:$A$327,0))*(1-INDEX(Assumptions!$B:$B,MATCH("F9 Wright's Law mfg learning rate",Assumptions!$A$1:$A$327,0)))^J$5</f>
        <v>3100.5294619616238</v>
      </c>
      <c r="K28" s="90">
        <f ca="1">K92+K60*INDEX(Assumptions!$B:$B,MATCH("F9 booster (1st stage) mfg cost ($mm/unit)",Assumptions!$A$1:$A$327,0))*(1-INDEX(Assumptions!$B:$B,MATCH("F9 Wright's Law mfg learning rate",Assumptions!$A$1:$A$327,0)))^K$5</f>
        <v>1386.7730707989531</v>
      </c>
      <c r="L28" s="90">
        <f ca="1">L92+L60*INDEX(Assumptions!$B:$B,MATCH("F9 booster (1st stage) mfg cost ($mm/unit)",Assumptions!$A$1:$A$327,0))*(1-INDEX(Assumptions!$B:$B,MATCH("F9 Wright's Law mfg learning rate",Assumptions!$A$1:$A$327,0)))^L$5</f>
        <v>1204.6580171209812</v>
      </c>
      <c r="M28" s="90">
        <f ca="1">M92+M60*INDEX(Assumptions!$B:$B,MATCH("F9 booster (1st stage) mfg cost ($mm/unit)",Assumptions!$A$1:$A$327,0))*(1-INDEX(Assumptions!$B:$B,MATCH("F9 Wright's Law mfg learning rate",Assumptions!$A$1:$A$327,0)))^M$5</f>
        <v>383.69952337984313</v>
      </c>
      <c r="N28" s="90">
        <f ca="1">N92+N60*INDEX(Assumptions!$B:$B,MATCH("F9 booster (1st stage) mfg cost ($mm/unit)",Assumptions!$A$1:$A$327,0))*(1-INDEX(Assumptions!$B:$B,MATCH("F9 Wright's Law mfg learning rate",Assumptions!$A$1:$A$327,0)))^N$5</f>
        <v>566.26774877545631</v>
      </c>
      <c r="O28" s="90">
        <f ca="1">O92+O60*INDEX(Assumptions!$B:$B,MATCH("F9 booster (1st stage) mfg cost ($mm/unit)",Assumptions!$A$1:$A$327,0))*(1-INDEX(Assumptions!$B:$B,MATCH("F9 Wright's Law mfg learning rate",Assumptions!$A$1:$A$327,0)))^O$5</f>
        <v>677.6698530274798</v>
      </c>
      <c r="P28" s="90">
        <f ca="1">P92+P60*INDEX(Assumptions!$B:$B,MATCH("F9 booster (1st stage) mfg cost ($mm/unit)",Assumptions!$A$1:$A$327,0))*(1-INDEX(Assumptions!$B:$B,MATCH("F9 Wright's Law mfg learning rate",Assumptions!$A$1:$A$327,0)))^P$5</f>
        <v>432.05303213911293</v>
      </c>
      <c r="Q28" s="90">
        <f ca="1">Q92+Q60*INDEX(Assumptions!$B:$B,MATCH("F9 booster (1st stage) mfg cost ($mm/unit)",Assumptions!$A$1:$A$327,0))*(1-INDEX(Assumptions!$B:$B,MATCH("F9 Wright's Law mfg learning rate",Assumptions!$A$1:$A$327,0)))^Q$5</f>
        <v>173.43700947643694</v>
      </c>
      <c r="R28" s="90">
        <f ca="1">R92+R60*INDEX(Assumptions!$B:$B,MATCH("F9 booster (1st stage) mfg cost ($mm/unit)",Assumptions!$A$1:$A$327,0))*(1-INDEX(Assumptions!$B:$B,MATCH("F9 Wright's Law mfg learning rate",Assumptions!$A$1:$A$327,0)))^R$5</f>
        <v>657.96127765903111</v>
      </c>
      <c r="S28" s="90">
        <f ca="1">S92+S60*INDEX(Assumptions!$B:$B,MATCH("F9 booster (1st stage) mfg cost ($mm/unit)",Assumptions!$A$1:$A$327,0))*(1-INDEX(Assumptions!$B:$B,MATCH("F9 Wright's Law mfg learning rate",Assumptions!$A$1:$A$327,0)))^S$5</f>
        <v>956.06986695201726</v>
      </c>
    </row>
    <row r="29" spans="1:19" x14ac:dyDescent="0.2">
      <c r="A29" s="24" t="s">
        <v>758</v>
      </c>
      <c r="B29" s="11"/>
      <c r="C29" s="11"/>
      <c r="D29" s="131">
        <f t="array" aca="1" ref="D29" ca="1">IFERROR(INDEX(Starlink!$D:$AC,MATCH("Owned launch-vehicle CapEx ($mm)",Starlink!$A$1:$A$205,0),D$5+1),0)+IFERROR(INDEX('Customer Launch'!$D:$AC,MATCH("F9 owned-vehicle build CapEx ($mm)*",'Customer Launch'!$A$1:$A$153,0),D$5+1),0)+IFERROR(INDEX('Customer Launch'!$D:$AC,MATCH("Starship owned-vehicle build CapEx ($mm)*",'Customer Launch'!$A$1:$A$153,0),D$5+1),0)+IFERROR(INDEX('AI - Compute'!$D:$AC,MATCH("Owned launch-vehicle CapEx ($mm)",'AI - Compute'!$A$1:$A$33,0),D$5+1),0)+IFERROR(INDEX('Lunar - Mars'!$D:$AC,MATCH("Owned launch-vehicle CapEx ($mm)",'Lunar - Mars'!$A$1:$A$133,0),D$5+1),0)</f>
        <v>240</v>
      </c>
      <c r="E29" s="131">
        <f t="array" aca="1" ref="E29" ca="1">IFERROR(INDEX(Starlink!$D:$AC,MATCH("Owned launch-vehicle CapEx ($mm)",Starlink!$A$1:$A$205,0),E$5+1),0)+IFERROR(INDEX('Customer Launch'!$D:$AC,MATCH("F9 owned-vehicle build CapEx ($mm)*",'Customer Launch'!$A$1:$A$153,0),E$5+1),0)+IFERROR(INDEX('Customer Launch'!$D:$AC,MATCH("Starship owned-vehicle build CapEx ($mm)*",'Customer Launch'!$A$1:$A$153,0),E$5+1),0)+IFERROR(INDEX('AI - Compute'!$D:$AC,MATCH("Owned launch-vehicle CapEx ($mm)",'AI - Compute'!$A$1:$A$33,0),E$5+1),0)+IFERROR(INDEX('Lunar - Mars'!$D:$AC,MATCH("Owned launch-vehicle CapEx ($mm)",'Lunar - Mars'!$A$1:$A$133,0),E$5+1),0)</f>
        <v>235.2</v>
      </c>
      <c r="F29" s="131">
        <f t="array" aca="1" ref="F29" ca="1">IFERROR(INDEX(Starlink!$D:$AC,MATCH("Owned launch-vehicle CapEx ($mm)",Starlink!$A$1:$A$205,0),F$5+1),0)+IFERROR(INDEX('Customer Launch'!$D:$AC,MATCH("F9 owned-vehicle build CapEx ($mm)*",'Customer Launch'!$A$1:$A$153,0),F$5+1),0)+IFERROR(INDEX('Customer Launch'!$D:$AC,MATCH("Starship owned-vehicle build CapEx ($mm)*",'Customer Launch'!$A$1:$A$153,0),F$5+1),0)+IFERROR(INDEX('AI - Compute'!$D:$AC,MATCH("Owned launch-vehicle CapEx ($mm)",'AI - Compute'!$A$1:$A$33,0),F$5+1),0)+IFERROR(INDEX('Lunar - Mars'!$D:$AC,MATCH("Owned launch-vehicle CapEx ($mm)",'Lunar - Mars'!$A$1:$A$133,0),F$5+1),0)</f>
        <v>1440.4823990592947</v>
      </c>
      <c r="G29" s="131">
        <f t="array" aca="1" ref="G29" ca="1">IFERROR(INDEX(Starlink!$D:$AC,MATCH("Owned launch-vehicle CapEx ($mm)",Starlink!$A$1:$A$205,0),G$5+1),0)+IFERROR(INDEX('Customer Launch'!$D:$AC,MATCH("F9 owned-vehicle build CapEx ($mm)*",'Customer Launch'!$A$1:$A$153,0),G$5+1),0)+IFERROR(INDEX('Customer Launch'!$D:$AC,MATCH("Starship owned-vehicle build CapEx ($mm)*",'Customer Launch'!$A$1:$A$153,0),G$5+1),0)+IFERROR(INDEX('AI - Compute'!$D:$AC,MATCH("Owned launch-vehicle CapEx ($mm)",'AI - Compute'!$A$1:$A$33,0),G$5+1),0)+IFERROR(INDEX('Lunar - Mars'!$D:$AC,MATCH("Owned launch-vehicle CapEx ($mm)",'Lunar - Mars'!$A$1:$A$133,0),G$5+1),0)</f>
        <v>1982.0723531648553</v>
      </c>
      <c r="H29" s="131">
        <f t="array" aca="1" ref="H29" ca="1">IFERROR(INDEX(Starlink!$D:$AC,MATCH("Owned launch-vehicle CapEx ($mm)",Starlink!$A$1:$A$205,0),H$5+1),0)+IFERROR(INDEX('Customer Launch'!$D:$AC,MATCH("F9 owned-vehicle build CapEx ($mm)*",'Customer Launch'!$A$1:$A$153,0),H$5+1),0)+IFERROR(INDEX('Customer Launch'!$D:$AC,MATCH("Starship owned-vehicle build CapEx ($mm)*",'Customer Launch'!$A$1:$A$153,0),H$5+1),0)+IFERROR(INDEX('AI - Compute'!$D:$AC,MATCH("Owned launch-vehicle CapEx ($mm)",'AI - Compute'!$A$1:$A$33,0),H$5+1),0)+IFERROR(INDEX('Lunar - Mars'!$D:$AC,MATCH("Owned launch-vehicle CapEx ($mm)",'Lunar - Mars'!$A$1:$A$133,0),H$5+1),0)</f>
        <v>2414.9063582777917</v>
      </c>
      <c r="I29" s="131">
        <f t="array" aca="1" ref="I29" ca="1">IFERROR(INDEX(Starlink!$D:$AC,MATCH("Owned launch-vehicle CapEx ($mm)",Starlink!$A$1:$A$205,0),I$5+1),0)+IFERROR(INDEX('Customer Launch'!$D:$AC,MATCH("F9 owned-vehicle build CapEx ($mm)*",'Customer Launch'!$A$1:$A$153,0),I$5+1),0)+IFERROR(INDEX('Customer Launch'!$D:$AC,MATCH("Starship owned-vehicle build CapEx ($mm)*",'Customer Launch'!$A$1:$A$153,0),I$5+1),0)+IFERROR(INDEX('AI - Compute'!$D:$AC,MATCH("Owned launch-vehicle CapEx ($mm)",'AI - Compute'!$A$1:$A$33,0),I$5+1),0)+IFERROR(INDEX('Lunar - Mars'!$D:$AC,MATCH("Owned launch-vehicle CapEx ($mm)",'Lunar - Mars'!$A$1:$A$133,0),I$5+1),0)</f>
        <v>2324.2381216409799</v>
      </c>
      <c r="J29" s="131">
        <f t="array" aca="1" ref="J29" ca="1">IFERROR(INDEX(Starlink!$D:$AC,MATCH("Owned launch-vehicle CapEx ($mm)",Starlink!$A$1:$A$205,0),J$5+1),0)+IFERROR(INDEX('Customer Launch'!$D:$AC,MATCH("F9 owned-vehicle build CapEx ($mm)*",'Customer Launch'!$A$1:$A$153,0),J$5+1),0)+IFERROR(INDEX('Customer Launch'!$D:$AC,MATCH("Starship owned-vehicle build CapEx ($mm)*",'Customer Launch'!$A$1:$A$153,0),J$5+1),0)+IFERROR(INDEX('AI - Compute'!$D:$AC,MATCH("Owned launch-vehicle CapEx ($mm)",'AI - Compute'!$A$1:$A$33,0),J$5+1),0)+IFERROR(INDEX('Lunar - Mars'!$D:$AC,MATCH("Owned launch-vehicle CapEx ($mm)",'Lunar - Mars'!$A$1:$A$133,0),J$5+1),0)</f>
        <v>2734.1234094981837</v>
      </c>
      <c r="K29" s="131">
        <f t="array" aca="1" ref="K29" ca="1">IFERROR(INDEX(Starlink!$D:$AC,MATCH("Owned launch-vehicle CapEx ($mm)",Starlink!$A$1:$A$205,0),K$5+1),0)+IFERROR(INDEX('Customer Launch'!$D:$AC,MATCH("F9 owned-vehicle build CapEx ($mm)*",'Customer Launch'!$A$1:$A$153,0),K$5+1),0)+IFERROR(INDEX('Customer Launch'!$D:$AC,MATCH("Starship owned-vehicle build CapEx ($mm)*",'Customer Launch'!$A$1:$A$153,0),K$5+1),0)+IFERROR(INDEX('AI - Compute'!$D:$AC,MATCH("Owned launch-vehicle CapEx ($mm)",'AI - Compute'!$A$1:$A$33,0),K$5+1),0)+IFERROR(INDEX('Lunar - Mars'!$D:$AC,MATCH("Owned launch-vehicle CapEx ($mm)",'Lunar - Mars'!$A$1:$A$133,0),K$5+1),0)</f>
        <v>1225.3111388270402</v>
      </c>
      <c r="L29" s="131">
        <f t="array" aca="1" ref="L29" ca="1">IFERROR(INDEX(Starlink!$D:$AC,MATCH("Owned launch-vehicle CapEx ($mm)",Starlink!$A$1:$A$205,0),L$5+1),0)+IFERROR(INDEX('Customer Launch'!$D:$AC,MATCH("F9 owned-vehicle build CapEx ($mm)*",'Customer Launch'!$A$1:$A$153,0),L$5+1),0)+IFERROR(INDEX('Customer Launch'!$D:$AC,MATCH("Starship owned-vehicle build CapEx ($mm)*",'Customer Launch'!$A$1:$A$153,0),L$5+1),0)+IFERROR(INDEX('AI - Compute'!$D:$AC,MATCH("Owned launch-vehicle CapEx ($mm)",'AI - Compute'!$A$1:$A$33,0),L$5+1),0)+IFERROR(INDEX('Lunar - Mars'!$D:$AC,MATCH("Owned launch-vehicle CapEx ($mm)",'Lunar - Mars'!$A$1:$A$133,0),L$5+1),0)</f>
        <v>1110.7048408397814</v>
      </c>
      <c r="M29" s="131">
        <f t="array" aca="1" ref="M29" ca="1">IFERROR(INDEX(Starlink!$D:$AC,MATCH("Owned launch-vehicle CapEx ($mm)",Starlink!$A$1:$A$205,0),M$5+1),0)+IFERROR(INDEX('Customer Launch'!$D:$AC,MATCH("F9 owned-vehicle build CapEx ($mm)*",'Customer Launch'!$A$1:$A$153,0),M$5+1),0)+IFERROR(INDEX('Customer Launch'!$D:$AC,MATCH("Starship owned-vehicle build CapEx ($mm)*",'Customer Launch'!$A$1:$A$153,0),M$5+1),0)+IFERROR(INDEX('AI - Compute'!$D:$AC,MATCH("Owned launch-vehicle CapEx ($mm)",'AI - Compute'!$A$1:$A$33,0),M$5+1),0)+IFERROR(INDEX('Lunar - Mars'!$D:$AC,MATCH("Owned launch-vehicle CapEx ($mm)",'Lunar - Mars'!$A$1:$A$133,0),M$5+1),0)</f>
        <v>346.9991267884235</v>
      </c>
      <c r="N29" s="131">
        <f t="array" aca="1" ref="N29" ca="1">IFERROR(INDEX(Starlink!$D:$AC,MATCH("Owned launch-vehicle CapEx ($mm)",Starlink!$A$1:$A$205,0),N$5+1),0)+IFERROR(INDEX('Customer Launch'!$D:$AC,MATCH("F9 owned-vehicle build CapEx ($mm)*",'Customer Launch'!$A$1:$A$153,0),N$5+1),0)+IFERROR(INDEX('Customer Launch'!$D:$AC,MATCH("Starship owned-vehicle build CapEx ($mm)*",'Customer Launch'!$A$1:$A$153,0),N$5+1),0)+IFERROR(INDEX('AI - Compute'!$D:$AC,MATCH("Owned launch-vehicle CapEx ($mm)",'AI - Compute'!$A$1:$A$33,0),N$5+1),0)+IFERROR(INDEX('Lunar - Mars'!$D:$AC,MATCH("Owned launch-vehicle CapEx ($mm)",'Lunar - Mars'!$A$1:$A$133,0),N$5+1),0)</f>
        <v>521.89024253481148</v>
      </c>
      <c r="O29" s="131">
        <f t="array" aca="1" ref="O29" ca="1">IFERROR(INDEX(Starlink!$D:$AC,MATCH("Owned launch-vehicle CapEx ($mm)",Starlink!$A$1:$A$205,0),O$5+1),0)+IFERROR(INDEX('Customer Launch'!$D:$AC,MATCH("F9 owned-vehicle build CapEx ($mm)*",'Customer Launch'!$A$1:$A$153,0),O$5+1),0)+IFERROR(INDEX('Customer Launch'!$D:$AC,MATCH("Starship owned-vehicle build CapEx ($mm)*",'Customer Launch'!$A$1:$A$153,0),O$5+1),0)+IFERROR(INDEX('AI - Compute'!$D:$AC,MATCH("Owned launch-vehicle CapEx ($mm)",'AI - Compute'!$A$1:$A$33,0),O$5+1),0)+IFERROR(INDEX('Lunar - Mars'!$D:$AC,MATCH("Owned launch-vehicle CapEx ($mm)",'Lunar - Mars'!$A$1:$A$133,0),O$5+1),0)</f>
        <v>628.16548310868939</v>
      </c>
      <c r="P29" s="131">
        <f t="array" aca="1" ref="P29" ca="1">IFERROR(INDEX(Starlink!$D:$AC,MATCH("Owned launch-vehicle CapEx ($mm)",Starlink!$A$1:$A$205,0),P$5+1),0)+IFERROR(INDEX('Customer Launch'!$D:$AC,MATCH("F9 owned-vehicle build CapEx ($mm)*",'Customer Launch'!$A$1:$A$153,0),P$5+1),0)+IFERROR(INDEX('Customer Launch'!$D:$AC,MATCH("Starship owned-vehicle build CapEx ($mm)*",'Customer Launch'!$A$1:$A$153,0),P$5+1),0)+IFERROR(INDEX('AI - Compute'!$D:$AC,MATCH("Owned launch-vehicle CapEx ($mm)",'AI - Compute'!$A$1:$A$33,0),P$5+1),0)+IFERROR(INDEX('Lunar - Mars'!$D:$AC,MATCH("Owned launch-vehicle CapEx ($mm)",'Lunar - Mars'!$A$1:$A$133,0),P$5+1),0)</f>
        <v>395.10954247661005</v>
      </c>
      <c r="Q29" s="131">
        <f t="array" aca="1" ref="Q29" ca="1">IFERROR(INDEX(Starlink!$D:$AC,MATCH("Owned launch-vehicle CapEx ($mm)",Starlink!$A$1:$A$205,0),Q$5+1),0)+IFERROR(INDEX('Customer Launch'!$D:$AC,MATCH("F9 owned-vehicle build CapEx ($mm)*",'Customer Launch'!$A$1:$A$153,0),Q$5+1),0)+IFERROR(INDEX('Customer Launch'!$D:$AC,MATCH("Starship owned-vehicle build CapEx ($mm)*",'Customer Launch'!$A$1:$A$153,0),Q$5+1),0)+IFERROR(INDEX('AI - Compute'!$D:$AC,MATCH("Owned launch-vehicle CapEx ($mm)",'AI - Compute'!$A$1:$A$33,0),Q$5+1),0)+IFERROR(INDEX('Lunar - Mars'!$D:$AC,MATCH("Owned launch-vehicle CapEx ($mm)",'Lunar - Mars'!$A$1:$A$133,0),Q$5+1),0)</f>
        <v>142.96106724116487</v>
      </c>
      <c r="R29" s="131">
        <f t="array" aca="1" ref="R29" ca="1">IFERROR(INDEX(Starlink!$D:$AC,MATCH("Owned launch-vehicle CapEx ($mm)",Starlink!$A$1:$A$205,0),R$5+1),0)+IFERROR(INDEX('Customer Launch'!$D:$AC,MATCH("F9 owned-vehicle build CapEx ($mm)*",'Customer Launch'!$A$1:$A$153,0),R$5+1),0)+IFERROR(INDEX('Customer Launch'!$D:$AC,MATCH("Starship owned-vehicle build CapEx ($mm)*",'Customer Launch'!$A$1:$A$153,0),R$5+1),0)+IFERROR(INDEX('AI - Compute'!$D:$AC,MATCH("Owned launch-vehicle CapEx ($mm)",'AI - Compute'!$A$1:$A$33,0),R$5+1),0)+IFERROR(INDEX('Lunar - Mars'!$D:$AC,MATCH("Owned launch-vehicle CapEx ($mm)",'Lunar - Mars'!$A$1:$A$133,0),R$5+1),0)</f>
        <v>473.49886040371302</v>
      </c>
      <c r="S29" s="131">
        <f t="array" aca="1" ref="S29" ca="1">IFERROR(INDEX(Starlink!$D:$AC,MATCH("Owned launch-vehicle CapEx ($mm)",Starlink!$A$1:$A$205,0),S$5+1),0)+IFERROR(INDEX('Customer Launch'!$D:$AC,MATCH("F9 owned-vehicle build CapEx ($mm)*",'Customer Launch'!$A$1:$A$153,0),S$5+1),0)+IFERROR(INDEX('Customer Launch'!$D:$AC,MATCH("Starship owned-vehicle build CapEx ($mm)*",'Customer Launch'!$A$1:$A$153,0),S$5+1),0)+IFERROR(INDEX('AI - Compute'!$D:$AC,MATCH("Owned launch-vehicle CapEx ($mm)",'AI - Compute'!$A$1:$A$33,0),S$5+1),0)+IFERROR(INDEX('Lunar - Mars'!$D:$AC,MATCH("Owned launch-vehicle CapEx ($mm)",'Lunar - Mars'!$A$1:$A$133,0),S$5+1),0)</f>
        <v>432.75560810692156</v>
      </c>
    </row>
    <row r="30" spans="1:19" x14ac:dyDescent="0.2">
      <c r="A30" s="24" t="s">
        <v>759</v>
      </c>
      <c r="B30" s="11"/>
      <c r="C30" s="11"/>
      <c r="D30" s="78">
        <f t="shared" ref="D30:S30" ca="1" si="3">D28-D29</f>
        <v>0</v>
      </c>
      <c r="E30" s="78">
        <f t="shared" ca="1" si="3"/>
        <v>487.76808362611092</v>
      </c>
      <c r="F30" s="78">
        <f t="shared" ca="1" si="3"/>
        <v>0</v>
      </c>
      <c r="G30" s="78">
        <f t="shared" ca="1" si="3"/>
        <v>0</v>
      </c>
      <c r="H30" s="78">
        <f t="shared" ca="1" si="3"/>
        <v>0</v>
      </c>
      <c r="I30" s="78">
        <f t="shared" ca="1" si="3"/>
        <v>455.97910187718026</v>
      </c>
      <c r="J30" s="78">
        <f t="shared" ca="1" si="3"/>
        <v>366.40605246344012</v>
      </c>
      <c r="K30" s="78">
        <f t="shared" ca="1" si="3"/>
        <v>161.46193197191292</v>
      </c>
      <c r="L30" s="78">
        <f t="shared" ca="1" si="3"/>
        <v>93.953176281199831</v>
      </c>
      <c r="M30" s="78">
        <f t="shared" ca="1" si="3"/>
        <v>36.700396591419633</v>
      </c>
      <c r="N30" s="78">
        <f t="shared" ca="1" si="3"/>
        <v>44.377506240644834</v>
      </c>
      <c r="O30" s="78">
        <f t="shared" ca="1" si="3"/>
        <v>49.504369918790417</v>
      </c>
      <c r="P30" s="78">
        <f t="shared" ca="1" si="3"/>
        <v>36.943489662502884</v>
      </c>
      <c r="Q30" s="78">
        <f t="shared" ca="1" si="3"/>
        <v>30.475942235272072</v>
      </c>
      <c r="R30" s="78">
        <f t="shared" ca="1" si="3"/>
        <v>184.46241725531809</v>
      </c>
      <c r="S30" s="78">
        <f t="shared" ca="1" si="3"/>
        <v>523.31425884509576</v>
      </c>
    </row>
    <row r="31" spans="1:19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2">
      <c r="A32" s="215" t="s">
        <v>1605</v>
      </c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</row>
    <row r="33" spans="1:19" x14ac:dyDescent="0.2">
      <c r="A33" s="22" t="s">
        <v>1343</v>
      </c>
      <c r="B33" s="8"/>
      <c r="C33" s="8"/>
      <c r="D33" s="66">
        <f ca="1">INDEX(Assumptions!$B:$B,MATCH("Starship cost WL anchor cum units (= cum stacks at end-2024 baseline)",Assumptions!$A$1:$A$327,0))+INDEX(Assumptions!$B:$B,MATCH("Starship F9-inherited experience seed (F9-equiv cum stacks at 2025 entry)",Assumptions!$A$1:$A$327,0))+D84</f>
        <v>25</v>
      </c>
      <c r="E33" s="67">
        <f t="shared" ref="E33:S33" ca="1" si="4">D33+E84</f>
        <v>33</v>
      </c>
      <c r="F33" s="67">
        <f t="shared" ca="1" si="4"/>
        <v>56</v>
      </c>
      <c r="G33" s="67">
        <f t="shared" ca="1" si="4"/>
        <v>94</v>
      </c>
      <c r="H33" s="67">
        <f t="shared" ca="1" si="4"/>
        <v>147</v>
      </c>
      <c r="I33" s="67">
        <f t="shared" ca="1" si="4"/>
        <v>215</v>
      </c>
      <c r="J33" s="67">
        <f ca="1">I33+J84</f>
        <v>298</v>
      </c>
      <c r="K33" s="67">
        <f t="shared" ca="1" si="4"/>
        <v>396</v>
      </c>
      <c r="L33" s="67">
        <f ca="1">K33+L84</f>
        <v>486.87566376877419</v>
      </c>
      <c r="M33" s="67">
        <f t="shared" ca="1" si="4"/>
        <v>516.86464452399707</v>
      </c>
      <c r="N33" s="67">
        <f t="shared" ca="1" si="4"/>
        <v>562.00004693050062</v>
      </c>
      <c r="O33" s="67">
        <f t="shared" ca="1" si="4"/>
        <v>617.16688462829609</v>
      </c>
      <c r="P33" s="67">
        <f t="shared" ca="1" si="4"/>
        <v>652.83569508507583</v>
      </c>
      <c r="Q33" s="67">
        <f t="shared" ca="1" si="4"/>
        <v>667.22744931839156</v>
      </c>
      <c r="R33" s="67">
        <f t="shared" ca="1" si="4"/>
        <v>722.38649186865337</v>
      </c>
      <c r="S33" s="67">
        <f t="shared" ca="1" si="4"/>
        <v>779.79700953315341</v>
      </c>
    </row>
    <row r="34" spans="1:19" x14ac:dyDescent="0.2">
      <c r="A34" s="22" t="s">
        <v>760</v>
      </c>
      <c r="B34" s="8"/>
      <c r="C34" s="8"/>
      <c r="D34" s="133">
        <f ca="1">INDEX(Assumptions!$B:$B,MATCH("Starship manufacturing cost anchor ($mm/stack, 2024 baseline)",Assumptions!$A$1:$A$327,0))*(D33/INDEX(Assumptions!$B:$B,MATCH("Starship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65.071945281952225</v>
      </c>
      <c r="E34" s="133">
        <f ca="1">INDEX(Assumptions!$B:$B,MATCH("Starship manufacturing cost anchor ($mm/stack, 2024 baseline)",Assumptions!$A$1:$A$327,0))*(E33/INDEX(Assumptions!$B:$B,MATCH("Starship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60.971010453263865</v>
      </c>
      <c r="F34" s="133">
        <f ca="1">INDEX(Assumptions!$B:$B,MATCH("Starship manufacturing cost anchor ($mm/stack, 2024 baseline)",Assumptions!$A$1:$A$327,0))*(F33/INDEX(Assumptions!$B:$B,MATCH("Starship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53.860799959099772</v>
      </c>
      <c r="G34" s="133">
        <f ca="1">INDEX(Assumptions!$B:$B,MATCH("Starship manufacturing cost anchor ($mm/stack, 2024 baseline)",Assumptions!$A$1:$A$327,0))*(G33/INDEX(Assumptions!$B:$B,MATCH("Starship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47.701520872759353</v>
      </c>
      <c r="H34" s="133">
        <f ca="1">INDEX(Assumptions!$B:$B,MATCH("Starship manufacturing cost anchor ($mm/stack, 2024 baseline)",Assumptions!$A$1:$A$327,0))*(H33/INDEX(Assumptions!$B:$B,MATCH("Starship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42.953794986373431</v>
      </c>
      <c r="I34" s="133">
        <f ca="1">INDEX(Assumptions!$B:$B,MATCH("Starship manufacturing cost anchor ($mm/stack, 2024 baseline)",Assumptions!$A$1:$A$327,0))*(I33/INDEX(Assumptions!$B:$B,MATCH("Starship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39.290393057384712</v>
      </c>
      <c r="J34" s="133">
        <f ca="1">INDEX(Assumptions!$B:$B,MATCH("Starship manufacturing cost anchor ($mm/stack, 2024 baseline)",Assumptions!$A$1:$A$327,0))*(J33/INDEX(Assumptions!$B:$B,MATCH("Starship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36.395224670889924</v>
      </c>
      <c r="K34" s="133">
        <f ca="1">INDEX(Assumptions!$B:$B,MATCH("Starship manufacturing cost anchor ($mm/stack, 2024 baseline)",Assumptions!$A$1:$A$327,0))*(K33/INDEX(Assumptions!$B:$B,MATCH("Starship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34.048100479697702</v>
      </c>
      <c r="L34" s="133">
        <f ca="1">INDEX(Assumptions!$B:$B,MATCH("Starship manufacturing cost anchor ($mm/stack, 2024 baseline)",Assumptions!$A$1:$A$327,0))*(L33/INDEX(Assumptions!$B:$B,MATCH("Starship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32.438143435291494</v>
      </c>
      <c r="M34" s="133">
        <f ca="1">INDEX(Assumptions!$B:$B,MATCH("Starship manufacturing cost anchor ($mm/stack, 2024 baseline)",Assumptions!$A$1:$A$327,0))*(M33/INDEX(Assumptions!$B:$B,MATCH("Starship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31.986709260952335</v>
      </c>
      <c r="N34" s="133">
        <f ca="1">INDEX(Assumptions!$B:$B,MATCH("Starship manufacturing cost anchor ($mm/stack, 2024 baseline)",Assumptions!$A$1:$A$327,0))*(N33/INDEX(Assumptions!$B:$B,MATCH("Starship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31.36494406737927</v>
      </c>
      <c r="O34" s="133">
        <f ca="1">INDEX(Assumptions!$B:$B,MATCH("Starship manufacturing cost anchor ($mm/stack, 2024 baseline)",Assumptions!$A$1:$A$327,0))*(O33/INDEX(Assumptions!$B:$B,MATCH("Starship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30.683838743950687</v>
      </c>
      <c r="P34" s="133">
        <f ca="1">INDEX(Assumptions!$B:$B,MATCH("Starship manufacturing cost anchor ($mm/stack, 2024 baseline)",Assumptions!$A$1:$A$327,0))*(P33/INDEX(Assumptions!$B:$B,MATCH("Starship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30.282270883594247</v>
      </c>
      <c r="Q34" s="133">
        <f ca="1">INDEX(Assumptions!$B:$B,MATCH("Starship manufacturing cost anchor ($mm/stack, 2024 baseline)",Assumptions!$A$1:$A$327,0))*(Q33/INDEX(Assumptions!$B:$B,MATCH("Starship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30.127843809850518</v>
      </c>
      <c r="R34" s="133">
        <f ca="1">INDEX(Assumptions!$B:$B,MATCH("Starship manufacturing cost anchor ($mm/stack, 2024 baseline)",Assumptions!$A$1:$A$327,0))*(R33/INDEX(Assumptions!$B:$B,MATCH("Starship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29.571952870350593</v>
      </c>
      <c r="S34" s="133">
        <f ca="1">INDEX(Assumptions!$B:$B,MATCH("Starship manufacturing cost anchor ($mm/stack, 2024 baseline)",Assumptions!$A$1:$A$327,0))*(S33/INDEX(Assumptions!$B:$B,MATCH("Starship cost WL anchor cum units (= cum stacks at end-2024 baseline)",Assumptions!$A$1:$A$327,0)))^(LOG(1-INDEX(Assumptions!$B:$B,MATCH("Starship manufacturing WL learning rate (% reduction per doubling cum stacks)",Assumptions!$A$1:$A$327,0)),2))</f>
        <v>29.046443043083599</v>
      </c>
    </row>
    <row r="35" spans="1:19" x14ac:dyDescent="0.2">
      <c r="A35" s="22" t="s">
        <v>761</v>
      </c>
      <c r="B35" s="8"/>
      <c r="C35" s="8"/>
      <c r="D35" s="133">
        <f ca="1">D34*INDEX(Assumptions!$B:$B,MATCH("Starship booster share of manufacturing cost (% of stack mfg)",Assumptions!$A$1:$A$327,0))</f>
        <v>39.043167169171333</v>
      </c>
      <c r="E35" s="133">
        <f ca="1">E34*INDEX(Assumptions!$B:$B,MATCH("Starship booster share of manufacturing cost (% of stack mfg)",Assumptions!$A$1:$A$327,0))</f>
        <v>36.582606271958319</v>
      </c>
      <c r="F35" s="133">
        <f ca="1">F34*INDEX(Assumptions!$B:$B,MATCH("Starship booster share of manufacturing cost (% of stack mfg)",Assumptions!$A$1:$A$327,0))</f>
        <v>32.316479975459863</v>
      </c>
      <c r="G35" s="133">
        <f ca="1">G34*INDEX(Assumptions!$B:$B,MATCH("Starship booster share of manufacturing cost (% of stack mfg)",Assumptions!$A$1:$A$327,0))</f>
        <v>28.620912523655612</v>
      </c>
      <c r="H35" s="133">
        <f ca="1">H34*INDEX(Assumptions!$B:$B,MATCH("Starship booster share of manufacturing cost (% of stack mfg)",Assumptions!$A$1:$A$327,0))</f>
        <v>25.772276991824057</v>
      </c>
      <c r="I35" s="133">
        <f ca="1">I34*INDEX(Assumptions!$B:$B,MATCH("Starship booster share of manufacturing cost (% of stack mfg)",Assumptions!$A$1:$A$327,0))</f>
        <v>23.574235834430826</v>
      </c>
      <c r="J35" s="133">
        <f ca="1">J34*INDEX(Assumptions!$B:$B,MATCH("Starship booster share of manufacturing cost (% of stack mfg)",Assumptions!$A$1:$A$327,0))</f>
        <v>21.837134802533953</v>
      </c>
      <c r="K35" s="133">
        <f ca="1">K34*INDEX(Assumptions!$B:$B,MATCH("Starship booster share of manufacturing cost (% of stack mfg)",Assumptions!$A$1:$A$327,0))</f>
        <v>20.428860287818619</v>
      </c>
      <c r="L35" s="133">
        <f ca="1">L34*INDEX(Assumptions!$B:$B,MATCH("Starship booster share of manufacturing cost (% of stack mfg)",Assumptions!$A$1:$A$327,0))</f>
        <v>19.462886061174896</v>
      </c>
      <c r="M35" s="133">
        <f ca="1">M34*INDEX(Assumptions!$B:$B,MATCH("Starship booster share of manufacturing cost (% of stack mfg)",Assumptions!$A$1:$A$327,0))</f>
        <v>19.192025556571402</v>
      </c>
      <c r="N35" s="133">
        <f ca="1">N34*INDEX(Assumptions!$B:$B,MATCH("Starship booster share of manufacturing cost (% of stack mfg)",Assumptions!$A$1:$A$327,0))</f>
        <v>18.818966440427563</v>
      </c>
      <c r="O35" s="133">
        <f ca="1">O34*INDEX(Assumptions!$B:$B,MATCH("Starship booster share of manufacturing cost (% of stack mfg)",Assumptions!$A$1:$A$327,0))</f>
        <v>18.410303246370411</v>
      </c>
      <c r="P35" s="133">
        <f ca="1">P34*INDEX(Assumptions!$B:$B,MATCH("Starship booster share of manufacturing cost (% of stack mfg)",Assumptions!$A$1:$A$327,0))</f>
        <v>18.169362530156548</v>
      </c>
      <c r="Q35" s="133">
        <f ca="1">Q34*INDEX(Assumptions!$B:$B,MATCH("Starship booster share of manufacturing cost (% of stack mfg)",Assumptions!$A$1:$A$327,0))</f>
        <v>18.076706285910308</v>
      </c>
      <c r="R35" s="133">
        <f ca="1">R34*INDEX(Assumptions!$B:$B,MATCH("Starship booster share of manufacturing cost (% of stack mfg)",Assumptions!$A$1:$A$327,0))</f>
        <v>17.743171722210356</v>
      </c>
      <c r="S35" s="133">
        <f ca="1">S34*INDEX(Assumptions!$B:$B,MATCH("Starship booster share of manufacturing cost (% of stack mfg)",Assumptions!$A$1:$A$327,0))</f>
        <v>17.427865825850159</v>
      </c>
    </row>
    <row r="36" spans="1:19" x14ac:dyDescent="0.2">
      <c r="A36" s="22" t="s">
        <v>762</v>
      </c>
      <c r="B36" s="8"/>
      <c r="C36" s="8"/>
      <c r="D36" s="133">
        <f ca="1">D34*(1-INDEX(Assumptions!$B:$B,MATCH("Starship booster share of manufacturing cost (% of stack mfg)",Assumptions!$A$1:$A$327,0)))</f>
        <v>26.028778112780891</v>
      </c>
      <c r="E36" s="133">
        <f ca="1">E34*(1-INDEX(Assumptions!$B:$B,MATCH("Starship booster share of manufacturing cost (% of stack mfg)",Assumptions!$A$1:$A$327,0)))</f>
        <v>24.388404181305546</v>
      </c>
      <c r="F36" s="133">
        <f ca="1">F34*(1-INDEX(Assumptions!$B:$B,MATCH("Starship booster share of manufacturing cost (% of stack mfg)",Assumptions!$A$1:$A$327,0)))</f>
        <v>21.544319983639909</v>
      </c>
      <c r="G36" s="133">
        <f ca="1">G34*(1-INDEX(Assumptions!$B:$B,MATCH("Starship booster share of manufacturing cost (% of stack mfg)",Assumptions!$A$1:$A$327,0)))</f>
        <v>19.080608349103741</v>
      </c>
      <c r="H36" s="133">
        <f ca="1">H34*(1-INDEX(Assumptions!$B:$B,MATCH("Starship booster share of manufacturing cost (% of stack mfg)",Assumptions!$A$1:$A$327,0)))</f>
        <v>17.181517994549374</v>
      </c>
      <c r="I36" s="133">
        <f ca="1">I34*(1-INDEX(Assumptions!$B:$B,MATCH("Starship booster share of manufacturing cost (% of stack mfg)",Assumptions!$A$1:$A$327,0)))</f>
        <v>15.716157222953886</v>
      </c>
      <c r="J36" s="133">
        <f ca="1">J34*(1-INDEX(Assumptions!$B:$B,MATCH("Starship booster share of manufacturing cost (% of stack mfg)",Assumptions!$A$1:$A$327,0)))</f>
        <v>14.558089868355971</v>
      </c>
      <c r="K36" s="133">
        <f ca="1">K34*(1-INDEX(Assumptions!$B:$B,MATCH("Starship booster share of manufacturing cost (% of stack mfg)",Assumptions!$A$1:$A$327,0)))</f>
        <v>13.619240191879081</v>
      </c>
      <c r="L36" s="133">
        <f ca="1">L34*(1-INDEX(Assumptions!$B:$B,MATCH("Starship booster share of manufacturing cost (% of stack mfg)",Assumptions!$A$1:$A$327,0)))</f>
        <v>12.975257374116598</v>
      </c>
      <c r="M36" s="133">
        <f ca="1">M34*(1-INDEX(Assumptions!$B:$B,MATCH("Starship booster share of manufacturing cost (% of stack mfg)",Assumptions!$A$1:$A$327,0)))</f>
        <v>12.794683704380935</v>
      </c>
      <c r="N36" s="133">
        <f ca="1">N34*(1-INDEX(Assumptions!$B:$B,MATCH("Starship booster share of manufacturing cost (% of stack mfg)",Assumptions!$A$1:$A$327,0)))</f>
        <v>12.545977626951709</v>
      </c>
      <c r="O36" s="133">
        <f ca="1">O34*(1-INDEX(Assumptions!$B:$B,MATCH("Starship booster share of manufacturing cost (% of stack mfg)",Assumptions!$A$1:$A$327,0)))</f>
        <v>12.273535497580276</v>
      </c>
      <c r="P36" s="133">
        <f ca="1">P34*(1-INDEX(Assumptions!$B:$B,MATCH("Starship booster share of manufacturing cost (% of stack mfg)",Assumptions!$A$1:$A$327,0)))</f>
        <v>12.1129083534377</v>
      </c>
      <c r="Q36" s="133">
        <f ca="1">Q34*(1-INDEX(Assumptions!$B:$B,MATCH("Starship booster share of manufacturing cost (% of stack mfg)",Assumptions!$A$1:$A$327,0)))</f>
        <v>12.051137523940207</v>
      </c>
      <c r="R36" s="133">
        <f ca="1">R34*(1-INDEX(Assumptions!$B:$B,MATCH("Starship booster share of manufacturing cost (% of stack mfg)",Assumptions!$A$1:$A$327,0)))</f>
        <v>11.828781148140237</v>
      </c>
      <c r="S36" s="133">
        <f ca="1">S34*(1-INDEX(Assumptions!$B:$B,MATCH("Starship booster share of manufacturing cost (% of stack mfg)",Assumptions!$A$1:$A$327,0)))</f>
        <v>11.61857721723344</v>
      </c>
    </row>
    <row r="37" spans="1:19" x14ac:dyDescent="0.2">
      <c r="A37" s="22" t="s">
        <v>763</v>
      </c>
      <c r="B37" s="8"/>
      <c r="C37" s="8"/>
      <c r="D37" s="133">
        <f ca="1">INDEX(Assumptions!$B:$B,MATCH("Starship ops + fuel cost anchor ($mm/launch, 2024 baseline)",Assumptions!$A$1:$A$327,0))*(D33/INDEX(Assumptions!$B:$B,MATCH("Starship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7.568743287997477</v>
      </c>
      <c r="E37" s="133">
        <f ca="1">INDEX(Assumptions!$B:$B,MATCH("Starship ops + fuel cost anchor ($mm/launch, 2024 baseline)",Assumptions!$A$1:$A$327,0))*(E33/INDEX(Assumptions!$B:$B,MATCH("Starship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7.2559814674737027</v>
      </c>
      <c r="F37" s="133">
        <f ca="1">INDEX(Assumptions!$B:$B,MATCH("Starship ops + fuel cost anchor ($mm/launch, 2024 baseline)",Assumptions!$A$1:$A$327,0))*(F33/INDEX(Assumptions!$B:$B,MATCH("Starship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6.6955305058401793</v>
      </c>
      <c r="G37" s="133">
        <f ca="1">INDEX(Assumptions!$B:$B,MATCH("Starship ops + fuel cost anchor ($mm/launch, 2024 baseline)",Assumptions!$A$1:$A$327,0))*(G33/INDEX(Assumptions!$B:$B,MATCH("Starship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6.1886146861835467</v>
      </c>
      <c r="H37" s="133">
        <f ca="1">INDEX(Assumptions!$B:$B,MATCH("Starship ops + fuel cost anchor ($mm/launch, 2024 baseline)",Assumptions!$A$1:$A$327,0))*(H33/INDEX(Assumptions!$B:$B,MATCH("Starship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5.7819727662439258</v>
      </c>
      <c r="I37" s="133">
        <f ca="1">INDEX(Assumptions!$B:$B,MATCH("Starship ops + fuel cost anchor ($mm/launch, 2024 baseline)",Assumptions!$A$1:$A$327,0))*(I33/INDEX(Assumptions!$B:$B,MATCH("Starship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5.4572910953664744</v>
      </c>
      <c r="J37" s="133">
        <f ca="1">INDEX(Assumptions!$B:$B,MATCH("Starship ops + fuel cost anchor ($mm/launch, 2024 baseline)",Assumptions!$A$1:$A$327,0))*(J33/INDEX(Assumptions!$B:$B,MATCH("Starship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5.1930972442653767</v>
      </c>
      <c r="K37" s="133">
        <f ca="1">INDEX(Assumptions!$B:$B,MATCH("Starship ops + fuel cost anchor ($mm/launch, 2024 baseline)",Assumptions!$A$1:$A$327,0))*(K33/INDEX(Assumptions!$B:$B,MATCH("Starship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4.9734445130216018</v>
      </c>
      <c r="L37" s="133">
        <f ca="1">INDEX(Assumptions!$B:$B,MATCH("Starship ops + fuel cost anchor ($mm/launch, 2024 baseline)",Assumptions!$A$1:$A$327,0))*(L33/INDEX(Assumptions!$B:$B,MATCH("Starship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4.8196901776096466</v>
      </c>
      <c r="M37" s="133">
        <f ca="1">INDEX(Assumptions!$B:$B,MATCH("Starship ops + fuel cost anchor ($mm/launch, 2024 baseline)",Assumptions!$A$1:$A$327,0))*(M33/INDEX(Assumptions!$B:$B,MATCH("Starship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4.7760988850978681</v>
      </c>
      <c r="N37" s="133">
        <f ca="1">INDEX(Assumptions!$B:$B,MATCH("Starship ops + fuel cost anchor ($mm/launch, 2024 baseline)",Assumptions!$A$1:$A$327,0))*(N33/INDEX(Assumptions!$B:$B,MATCH("Starship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4.715704135007833</v>
      </c>
      <c r="O37" s="133">
        <f ca="1">INDEX(Assumptions!$B:$B,MATCH("Starship ops + fuel cost anchor ($mm/launch, 2024 baseline)",Assumptions!$A$1:$A$327,0))*(O33/INDEX(Assumptions!$B:$B,MATCH("Starship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4.6490600056258398</v>
      </c>
      <c r="P37" s="133">
        <f ca="1">INDEX(Assumptions!$B:$B,MATCH("Starship ops + fuel cost anchor ($mm/launch, 2024 baseline)",Assumptions!$A$1:$A$327,0))*(P33/INDEX(Assumptions!$B:$B,MATCH("Starship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4.6095240162296411</v>
      </c>
      <c r="Q37" s="133">
        <f ca="1">INDEX(Assumptions!$B:$B,MATCH("Starship ops + fuel cost anchor ($mm/launch, 2024 baseline)",Assumptions!$A$1:$A$327,0))*(Q33/INDEX(Assumptions!$B:$B,MATCH("Starship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4.5942710185853999</v>
      </c>
      <c r="R37" s="133">
        <f ca="1">INDEX(Assumptions!$B:$B,MATCH("Starship ops + fuel cost anchor ($mm/launch, 2024 baseline)",Assumptions!$A$1:$A$327,0))*(R33/INDEX(Assumptions!$B:$B,MATCH("Starship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4.5391355910159845</v>
      </c>
      <c r="S37" s="133">
        <f ca="1">INDEX(Assumptions!$B:$B,MATCH("Starship ops + fuel cost anchor ($mm/launch, 2024 baseline)",Assumptions!$A$1:$A$327,0))*(S33/INDEX(Assumptions!$B:$B,MATCH("Starship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4.4866773264583344</v>
      </c>
    </row>
    <row r="38" spans="1:19" x14ac:dyDescent="0.2">
      <c r="A38" s="22" t="s">
        <v>764</v>
      </c>
      <c r="B38" s="8"/>
      <c r="C38" s="8"/>
      <c r="D38" s="133">
        <f ca="1">INDEX(Assumptions!$B:$B,MATCH("Starship booster refurb cost anchor ($mm/flight, 2024 baseline)",Assumptions!$A$1:$A$327,0))*(D33/INDEX(Assumptions!$B:$B,MATCH("Starship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0.90824919455969721</v>
      </c>
      <c r="E38" s="133">
        <f ca="1">INDEX(Assumptions!$B:$B,MATCH("Starship booster refurb cost anchor ($mm/flight, 2024 baseline)",Assumptions!$A$1:$A$327,0))*(E33/INDEX(Assumptions!$B:$B,MATCH("Starship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0.8707177760968442</v>
      </c>
      <c r="F38" s="133">
        <f ca="1">INDEX(Assumptions!$B:$B,MATCH("Starship booster refurb cost anchor ($mm/flight, 2024 baseline)",Assumptions!$A$1:$A$327,0))*(F33/INDEX(Assumptions!$B:$B,MATCH("Starship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0.80346366070082154</v>
      </c>
      <c r="G38" s="133">
        <f ca="1">INDEX(Assumptions!$B:$B,MATCH("Starship booster refurb cost anchor ($mm/flight, 2024 baseline)",Assumptions!$A$1:$A$327,0))*(G33/INDEX(Assumptions!$B:$B,MATCH("Starship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0.74263376234202561</v>
      </c>
      <c r="H38" s="133">
        <f ca="1">INDEX(Assumptions!$B:$B,MATCH("Starship booster refurb cost anchor ($mm/flight, 2024 baseline)",Assumptions!$A$1:$A$327,0))*(H33/INDEX(Assumptions!$B:$B,MATCH("Starship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0.69383673194927109</v>
      </c>
      <c r="I38" s="133">
        <f ca="1">INDEX(Assumptions!$B:$B,MATCH("Starship booster refurb cost anchor ($mm/flight, 2024 baseline)",Assumptions!$A$1:$A$327,0))*(I33/INDEX(Assumptions!$B:$B,MATCH("Starship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0.6548749314439769</v>
      </c>
      <c r="J38" s="133">
        <f ca="1">INDEX(Assumptions!$B:$B,MATCH("Starship booster refurb cost anchor ($mm/flight, 2024 baseline)",Assumptions!$A$1:$A$327,0))*(J33/INDEX(Assumptions!$B:$B,MATCH("Starship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0.6231716693118452</v>
      </c>
      <c r="K38" s="133">
        <f ca="1">INDEX(Assumptions!$B:$B,MATCH("Starship booster refurb cost anchor ($mm/flight, 2024 baseline)",Assumptions!$A$1:$A$327,0))*(K33/INDEX(Assumptions!$B:$B,MATCH("Starship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0.59681334156259214</v>
      </c>
      <c r="L38" s="133">
        <f ca="1">INDEX(Assumptions!$B:$B,MATCH("Starship booster refurb cost anchor ($mm/flight, 2024 baseline)",Assumptions!$A$1:$A$327,0))*(L33/INDEX(Assumptions!$B:$B,MATCH("Starship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0.57836282131315753</v>
      </c>
      <c r="M38" s="133">
        <f ca="1">INDEX(Assumptions!$B:$B,MATCH("Starship booster refurb cost anchor ($mm/flight, 2024 baseline)",Assumptions!$A$1:$A$327,0))*(M33/INDEX(Assumptions!$B:$B,MATCH("Starship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0.57313186621174417</v>
      </c>
      <c r="N38" s="133">
        <f ca="1">INDEX(Assumptions!$B:$B,MATCH("Starship booster refurb cost anchor ($mm/flight, 2024 baseline)",Assumptions!$A$1:$A$327,0))*(N33/INDEX(Assumptions!$B:$B,MATCH("Starship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0.56588449620093995</v>
      </c>
      <c r="O38" s="133">
        <f ca="1">INDEX(Assumptions!$B:$B,MATCH("Starship booster refurb cost anchor ($mm/flight, 2024 baseline)",Assumptions!$A$1:$A$327,0))*(O33/INDEX(Assumptions!$B:$B,MATCH("Starship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0.55788720067510078</v>
      </c>
      <c r="P38" s="133">
        <f ca="1">INDEX(Assumptions!$B:$B,MATCH("Starship booster refurb cost anchor ($mm/flight, 2024 baseline)",Assumptions!$A$1:$A$327,0))*(P33/INDEX(Assumptions!$B:$B,MATCH("Starship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0.5531428819475569</v>
      </c>
      <c r="Q38" s="133">
        <f ca="1">INDEX(Assumptions!$B:$B,MATCH("Starship booster refurb cost anchor ($mm/flight, 2024 baseline)",Assumptions!$A$1:$A$327,0))*(Q33/INDEX(Assumptions!$B:$B,MATCH("Starship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0.55131252223024796</v>
      </c>
      <c r="R38" s="133">
        <f ca="1">INDEX(Assumptions!$B:$B,MATCH("Starship booster refurb cost anchor ($mm/flight, 2024 baseline)",Assumptions!$A$1:$A$327,0))*(R33/INDEX(Assumptions!$B:$B,MATCH("Starship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0.54469627092191819</v>
      </c>
      <c r="S38" s="133">
        <f ca="1">INDEX(Assumptions!$B:$B,MATCH("Starship booster refurb cost anchor ($mm/flight, 2024 baseline)",Assumptions!$A$1:$A$327,0))*(S33/INDEX(Assumptions!$B:$B,MATCH("Starship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0.53840127917500014</v>
      </c>
    </row>
    <row r="39" spans="1:19" x14ac:dyDescent="0.2">
      <c r="A39" s="22" t="s">
        <v>765</v>
      </c>
      <c r="B39" s="8"/>
      <c r="C39" s="8"/>
      <c r="D39" s="133">
        <f ca="1">INDEX(Assumptions!$B:$B,MATCH("Starship ship refurb cost anchor ($mm/flight, 2024 baseline)",Assumptions!$A$1:$A$327,0))*(D33/INDEX(Assumptions!$B:$B,MATCH("Starship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0.60549946303979818</v>
      </c>
      <c r="E39" s="133">
        <f ca="1">INDEX(Assumptions!$B:$B,MATCH("Starship ship refurb cost anchor ($mm/flight, 2024 baseline)",Assumptions!$A$1:$A$327,0))*(E33/INDEX(Assumptions!$B:$B,MATCH("Starship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0.58047851739789624</v>
      </c>
      <c r="F39" s="133">
        <f ca="1">INDEX(Assumptions!$B:$B,MATCH("Starship ship refurb cost anchor ($mm/flight, 2024 baseline)",Assumptions!$A$1:$A$327,0))*(F33/INDEX(Assumptions!$B:$B,MATCH("Starship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0.53564244046721432</v>
      </c>
      <c r="G39" s="133">
        <f ca="1">INDEX(Assumptions!$B:$B,MATCH("Starship ship refurb cost anchor ($mm/flight, 2024 baseline)",Assumptions!$A$1:$A$327,0))*(G33/INDEX(Assumptions!$B:$B,MATCH("Starship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0.49508917489468374</v>
      </c>
      <c r="H39" s="133">
        <f ca="1">INDEX(Assumptions!$B:$B,MATCH("Starship ship refurb cost anchor ($mm/flight, 2024 baseline)",Assumptions!$A$1:$A$327,0))*(H33/INDEX(Assumptions!$B:$B,MATCH("Starship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0.46255782129951406</v>
      </c>
      <c r="I39" s="133">
        <f ca="1">INDEX(Assumptions!$B:$B,MATCH("Starship ship refurb cost anchor ($mm/flight, 2024 baseline)",Assumptions!$A$1:$A$327,0))*(I33/INDEX(Assumptions!$B:$B,MATCH("Starship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0.43658328762931797</v>
      </c>
      <c r="J39" s="133">
        <f ca="1">INDEX(Assumptions!$B:$B,MATCH("Starship ship refurb cost anchor ($mm/flight, 2024 baseline)",Assumptions!$A$1:$A$327,0))*(J33/INDEX(Assumptions!$B:$B,MATCH("Starship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0.41544777954123013</v>
      </c>
      <c r="K39" s="133">
        <f ca="1">INDEX(Assumptions!$B:$B,MATCH("Starship ship refurb cost anchor ($mm/flight, 2024 baseline)",Assumptions!$A$1:$A$327,0))*(K33/INDEX(Assumptions!$B:$B,MATCH("Starship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0.39787556104172817</v>
      </c>
      <c r="L39" s="133">
        <f ca="1">INDEX(Assumptions!$B:$B,MATCH("Starship ship refurb cost anchor ($mm/flight, 2024 baseline)",Assumptions!$A$1:$A$327,0))*(L33/INDEX(Assumptions!$B:$B,MATCH("Starship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0.38557521420877172</v>
      </c>
      <c r="M39" s="133">
        <f ca="1">INDEX(Assumptions!$B:$B,MATCH("Starship ship refurb cost anchor ($mm/flight, 2024 baseline)",Assumptions!$A$1:$A$327,0))*(M33/INDEX(Assumptions!$B:$B,MATCH("Starship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0.38208791080782945</v>
      </c>
      <c r="N39" s="133">
        <f ca="1">INDEX(Assumptions!$B:$B,MATCH("Starship ship refurb cost anchor ($mm/flight, 2024 baseline)",Assumptions!$A$1:$A$327,0))*(N33/INDEX(Assumptions!$B:$B,MATCH("Starship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0.3772563308006267</v>
      </c>
      <c r="O39" s="133">
        <f ca="1">INDEX(Assumptions!$B:$B,MATCH("Starship ship refurb cost anchor ($mm/flight, 2024 baseline)",Assumptions!$A$1:$A$327,0))*(O33/INDEX(Assumptions!$B:$B,MATCH("Starship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0.37192480045006721</v>
      </c>
      <c r="P39" s="133">
        <f ca="1">INDEX(Assumptions!$B:$B,MATCH("Starship ship refurb cost anchor ($mm/flight, 2024 baseline)",Assumptions!$A$1:$A$327,0))*(P33/INDEX(Assumptions!$B:$B,MATCH("Starship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0.36876192129837126</v>
      </c>
      <c r="Q39" s="133">
        <f ca="1">INDEX(Assumptions!$B:$B,MATCH("Starship ship refurb cost anchor ($mm/flight, 2024 baseline)",Assumptions!$A$1:$A$327,0))*(Q33/INDEX(Assumptions!$B:$B,MATCH("Starship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0.36754168148683203</v>
      </c>
      <c r="R39" s="133">
        <f ca="1">INDEX(Assumptions!$B:$B,MATCH("Starship ship refurb cost anchor ($mm/flight, 2024 baseline)",Assumptions!$A$1:$A$327,0))*(R33/INDEX(Assumptions!$B:$B,MATCH("Starship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0.36313084728127881</v>
      </c>
      <c r="S39" s="133">
        <f ca="1">INDEX(Assumptions!$B:$B,MATCH("Starship ship refurb cost anchor ($mm/flight, 2024 baseline)",Assumptions!$A$1:$A$327,0))*(S33/INDEX(Assumptions!$B:$B,MATCH("Starship cost WL anchor cum units (= cum stacks at end-2024 baseline)",Assumptions!$A$1:$A$327,0)))^(LOG(1-INDEX(Assumptions!$B:$B,MATCH("Starship ops/refurb WL learning rate (% reduction per doubling cum stacks)",Assumptions!$A$1:$A$327,0)),2))</f>
        <v>0.35893418611666678</v>
      </c>
    </row>
    <row r="40" spans="1:19" x14ac:dyDescent="0.2">
      <c r="A40" s="22" t="s">
        <v>766</v>
      </c>
      <c r="B40" s="8"/>
      <c r="C40" s="8"/>
      <c r="D40" s="132">
        <f t="array" aca="1" ref="D40" ca="1">IFERROR(D35/INDEX(Assumptions!$D:$AC,MATCH("Lifetime reuses per booster (year cap)",Assumptions!$A$1:$A$327,0),D$5+1)+D36/INDEX(Assumptions!$B:$B,MATCH("Starship ship reuse life (flights per ship)",Assumptions!$A$1:$A$327,0)),0)</f>
        <v>9.1100723394733105</v>
      </c>
      <c r="E40" s="132">
        <f t="array" aca="1" ref="E40" ca="1">IFERROR(E35/INDEX(Assumptions!$D:$AC,MATCH("Lifetime reuses per booster (year cap)",Assumptions!$A$1:$A$327,0),E$5+1)+E36/INDEX(Assumptions!$B:$B,MATCH("Starship ship reuse life (flights per ship)",Assumptions!$A$1:$A$327,0)),0)</f>
        <v>5.7922459930600674</v>
      </c>
      <c r="F40" s="132">
        <f t="array" aca="1" ref="F40" ca="1">IFERROR(F35/INDEX(Assumptions!$D:$AC,MATCH("Lifetime reuses per booster (year cap)",Assumptions!$A$1:$A$327,0),F$5+1)+F36/INDEX(Assumptions!$B:$B,MATCH("Starship ship reuse life (flights per ship)",Assumptions!$A$1:$A$327,0)),0)</f>
        <v>3.7702559971369842</v>
      </c>
      <c r="G40" s="132">
        <f t="array" aca="1" ref="G40" ca="1">IFERROR(G35/INDEX(Assumptions!$D:$AC,MATCH("Lifetime reuses per booster (year cap)",Assumptions!$A$1:$A$327,0),G$5+1)+G36/INDEX(Assumptions!$B:$B,MATCH("Starship ship reuse life (flights per ship)",Assumptions!$A$1:$A$327,0)),0)</f>
        <v>2.5440811132138323</v>
      </c>
      <c r="H40" s="132">
        <f t="array" aca="1" ref="H40" ca="1">IFERROR(H35/INDEX(Assumptions!$D:$AC,MATCH("Lifetime reuses per booster (year cap)",Assumptions!$A$1:$A$327,0),H$5+1)+H36/INDEX(Assumptions!$B:$B,MATCH("Starship ship reuse life (flights per ship)",Assumptions!$A$1:$A$327,0)),0)</f>
        <v>1.8899669794004308</v>
      </c>
      <c r="I40" s="132">
        <f t="array" aca="1" ref="I40" ca="1">IFERROR(I35/INDEX(Assumptions!$D:$AC,MATCH("Lifetime reuses per booster (year cap)",Assumptions!$A$1:$A$327,0),I$5+1)+I36/INDEX(Assumptions!$B:$B,MATCH("Starship ship reuse life (flights per ship)",Assumptions!$A$1:$A$327,0)),0)</f>
        <v>1.5716157222953884</v>
      </c>
      <c r="J40" s="132">
        <f t="array" aca="1" ref="J40" ca="1">IFERROR(J35/INDEX(Assumptions!$D:$AC,MATCH("Lifetime reuses per booster (year cap)",Assumptions!$A$1:$A$327,0),J$5+1)+J36/INDEX(Assumptions!$B:$B,MATCH("Starship ship reuse life (flights per ship)",Assumptions!$A$1:$A$327,0)),0)</f>
        <v>1.3518226306330543</v>
      </c>
      <c r="K40" s="132">
        <f t="array" aca="1" ref="K40" ca="1">IFERROR(K35/INDEX(Assumptions!$D:$AC,MATCH("Lifetime reuses per booster (year cap)",Assumptions!$A$1:$A$327,0),K$5+1)+K36/INDEX(Assumptions!$B:$B,MATCH("Starship ship reuse life (flights per ship)",Assumptions!$A$1:$A$327,0)),0)</f>
        <v>1.1673634450182069</v>
      </c>
      <c r="L40" s="132">
        <f t="array" aca="1" ref="L40" ca="1">IFERROR(L35/INDEX(Assumptions!$D:$AC,MATCH("Lifetime reuses per booster (year cap)",Assumptions!$A$1:$A$327,0),L$5+1)+L36/INDEX(Assumptions!$B:$B,MATCH("Starship ship reuse life (flights per ship)",Assumptions!$A$1:$A$327,0)),0)</f>
        <v>1.0380205899293278</v>
      </c>
      <c r="M40" s="132">
        <f t="array" aca="1" ref="M40" ca="1">IFERROR(M35/INDEX(Assumptions!$D:$AC,MATCH("Lifetime reuses per booster (year cap)",Assumptions!$A$1:$A$327,0),M$5+1)+M36/INDEX(Assumptions!$B:$B,MATCH("Starship ship reuse life (flights per ship)",Assumptions!$A$1:$A$327,0)),0)</f>
        <v>0.97063117757372619</v>
      </c>
      <c r="N40" s="132">
        <f t="array" aca="1" ref="N40" ca="1">IFERROR(N35/INDEX(Assumptions!$D:$AC,MATCH("Lifetime reuses per booster (year cap)",Assumptions!$A$1:$A$327,0),N$5+1)+N36/INDEX(Assumptions!$B:$B,MATCH("Starship ship reuse life (flights per ship)",Assumptions!$A$1:$A$327,0)),0)</f>
        <v>0.91682144196954796</v>
      </c>
      <c r="O40" s="132">
        <f t="array" aca="1" ref="O40" ca="1">IFERROR(O35/INDEX(Assumptions!$D:$AC,MATCH("Lifetime reuses per booster (year cap)",Assumptions!$A$1:$A$327,0),O$5+1)+O36/INDEX(Assumptions!$B:$B,MATCH("Starship ship reuse life (flights per ship)",Assumptions!$A$1:$A$327,0)),0)</f>
        <v>0.87668110697001977</v>
      </c>
      <c r="P40" s="132">
        <f t="array" aca="1" ref="P40" ca="1">IFERROR(P35/INDEX(Assumptions!$D:$AC,MATCH("Lifetime reuses per booster (year cap)",Assumptions!$A$1:$A$327,0),P$5+1)+P36/INDEX(Assumptions!$B:$B,MATCH("Starship ship reuse life (flights per ship)",Assumptions!$A$1:$A$327,0)),0)</f>
        <v>0.84790358474063887</v>
      </c>
      <c r="Q40" s="132">
        <f t="array" aca="1" ref="Q40" ca="1">IFERROR(Q35/INDEX(Assumptions!$D:$AC,MATCH("Lifetime reuses per booster (year cap)",Assumptions!$A$1:$A$327,0),Q$5+1)+Q36/INDEX(Assumptions!$B:$B,MATCH("Starship ship reuse life (flights per ship)",Assumptions!$A$1:$A$327,0)),0)</f>
        <v>0.82851570477088921</v>
      </c>
      <c r="R40" s="132">
        <f t="array" aca="1" ref="R40" ca="1">IFERROR(R35/INDEX(Assumptions!$D:$AC,MATCH("Lifetime reuses per booster (year cap)",Assumptions!$A$1:$A$327,0),R$5+1)+R36/INDEX(Assumptions!$B:$B,MATCH("Starship ship reuse life (flights per ship)",Assumptions!$A$1:$A$327,0)),0)</f>
        <v>0.80018225413889843</v>
      </c>
      <c r="S40" s="132">
        <f t="array" aca="1" ref="S40" ca="1">IFERROR(S35/INDEX(Assumptions!$D:$AC,MATCH("Lifetime reuses per booster (year cap)",Assumptions!$A$1:$A$327,0),S$5+1)+S36/INDEX(Assumptions!$B:$B,MATCH("Starship ship reuse life (flights per ship)",Assumptions!$A$1:$A$327,0)),0)</f>
        <v>0.77457181448222934</v>
      </c>
    </row>
    <row r="41" spans="1:19" x14ac:dyDescent="0.2">
      <c r="A41" s="22" t="s">
        <v>767</v>
      </c>
      <c r="B41" s="8"/>
      <c r="C41" s="8"/>
      <c r="D41" s="134">
        <f t="shared" ref="D41:S41" ca="1" si="5">D37+D38+D39+D40</f>
        <v>18.192564285070283</v>
      </c>
      <c r="E41" s="134">
        <f t="shared" ca="1" si="5"/>
        <v>14.499423754028511</v>
      </c>
      <c r="F41" s="134">
        <f t="shared" ca="1" si="5"/>
        <v>11.804892604145198</v>
      </c>
      <c r="G41" s="134">
        <f t="shared" ca="1" si="5"/>
        <v>9.9704187366340875</v>
      </c>
      <c r="H41" s="134">
        <f t="shared" ca="1" si="5"/>
        <v>8.8283342988931413</v>
      </c>
      <c r="I41" s="134">
        <f t="shared" ca="1" si="5"/>
        <v>8.1203650367351585</v>
      </c>
      <c r="J41" s="134">
        <f t="shared" ca="1" si="5"/>
        <v>7.5835393237515065</v>
      </c>
      <c r="K41" s="134">
        <f t="shared" ca="1" si="5"/>
        <v>7.13549686064413</v>
      </c>
      <c r="L41" s="134">
        <f t="shared" ca="1" si="5"/>
        <v>6.8216488030609037</v>
      </c>
      <c r="M41" s="134">
        <f t="shared" ca="1" si="5"/>
        <v>6.7019498396911681</v>
      </c>
      <c r="N41" s="134">
        <f t="shared" ca="1" si="5"/>
        <v>6.5756664039789481</v>
      </c>
      <c r="O41" s="134">
        <f t="shared" ca="1" si="5"/>
        <v>6.4555531137210274</v>
      </c>
      <c r="P41" s="134">
        <f t="shared" ca="1" si="5"/>
        <v>6.3793324042162078</v>
      </c>
      <c r="Q41" s="134">
        <f t="shared" ca="1" si="5"/>
        <v>6.3416409270733691</v>
      </c>
      <c r="R41" s="134">
        <f t="shared" ca="1" si="5"/>
        <v>6.24714496335808</v>
      </c>
      <c r="S41" s="134">
        <f t="shared" ca="1" si="5"/>
        <v>6.15858460623223</v>
      </c>
    </row>
    <row r="42" spans="1:19" x14ac:dyDescent="0.2">
      <c r="A42" s="22" t="s">
        <v>768</v>
      </c>
      <c r="B42" s="8"/>
      <c r="C42" s="8"/>
      <c r="D42" s="132">
        <f t="array" aca="1" ref="D42" ca="1">D37+D38+IFERROR(D35/INDEX(Assumptions!$D:$AC,MATCH("Lifetime reuses per booster (year cap)",Assumptions!$A$1:$A$327,0),D$5+1),0)+D36</f>
        <v>42.31440402917233</v>
      </c>
      <c r="E42" s="132">
        <f t="array" aca="1" ref="E42" ca="1">E37+E38+IFERROR(E35/INDEX(Assumptions!$D:$AC,MATCH("Lifetime reuses per booster (year cap)",Assumptions!$A$1:$A$327,0),E$5+1),0)+E36</f>
        <v>37.087929208870882</v>
      </c>
      <c r="F42" s="132">
        <f t="array" aca="1" ref="F42" ca="1">F37+F38+IFERROR(F35/INDEX(Assumptions!$D:$AC,MATCH("Lifetime reuses per booster (year cap)",Assumptions!$A$1:$A$327,0),F$5+1),0)+F36</f>
        <v>31.736354148135899</v>
      </c>
      <c r="G42" s="132">
        <f t="array" aca="1" ref="G42" ca="1">G37+G38+IFERROR(G35/INDEX(Assumptions!$D:$AC,MATCH("Lifetime reuses per booster (year cap)",Assumptions!$A$1:$A$327,0),G$5+1),0)+G36</f>
        <v>27.601907493387959</v>
      </c>
      <c r="H42" s="132">
        <f t="array" aca="1" ref="H42" ca="1">H37+H38+IFERROR(H35/INDEX(Assumptions!$D:$AC,MATCH("Lifetime reuses per booster (year cap)",Assumptions!$A$1:$A$327,0),H$5+1),0)+H36</f>
        <v>24.688218572415533</v>
      </c>
      <c r="I42" s="132">
        <f t="array" aca="1" ref="I42" ca="1">I37+I38+IFERROR(I35/INDEX(Assumptions!$D:$AC,MATCH("Lifetime reuses per booster (year cap)",Assumptions!$A$1:$A$327,0),I$5+1),0)+I36</f>
        <v>22.61413111091203</v>
      </c>
      <c r="J42" s="132">
        <f t="array" aca="1" ref="J42" ca="1">J37+J38+IFERROR(J35/INDEX(Assumptions!$D:$AC,MATCH("Lifetime reuses per booster (year cap)",Assumptions!$A$1:$A$327,0),J$5+1),0)+J36</f>
        <v>20.998276919148449</v>
      </c>
      <c r="K42" s="132">
        <f t="array" aca="1" ref="K42" ca="1">K37+K38+IFERROR(K35/INDEX(Assumptions!$D:$AC,MATCH("Lifetime reuses per booster (year cap)",Assumptions!$A$1:$A$327,0),K$5+1),0)+K36</f>
        <v>19.675899481887527</v>
      </c>
      <c r="L42" s="132">
        <f t="array" aca="1" ref="L42" ca="1">L37+L38+IFERROR(L35/INDEX(Assumptions!$D:$AC,MATCH("Lifetime reuses per booster (year cap)",Assumptions!$A$1:$A$327,0),L$5+1),0)+L36</f>
        <v>18.7625680942629</v>
      </c>
      <c r="M42" s="132">
        <f t="array" aca="1" ref="M42" ca="1">M37+M38+IFERROR(M35/INDEX(Assumptions!$D:$AC,MATCH("Lifetime reuses per booster (year cap)",Assumptions!$A$1:$A$327,0),M$5+1),0)+M36</f>
        <v>18.474811448045227</v>
      </c>
      <c r="N42" s="132">
        <f t="array" aca="1" ref="N42" ca="1">N37+N38+IFERROR(N35/INDEX(Assumptions!$D:$AC,MATCH("Lifetime reuses per booster (year cap)",Assumptions!$A$1:$A$327,0),N$5+1),0)+N36</f>
        <v>18.117088818782445</v>
      </c>
      <c r="O42" s="132">
        <f t="array" aca="1" ref="O42" ca="1">O37+O38+IFERROR(O35/INDEX(Assumptions!$D:$AC,MATCH("Lifetime reuses per booster (year cap)",Assumptions!$A$1:$A$327,0),O$5+1),0)+O36</f>
        <v>17.743487035972223</v>
      </c>
      <c r="P42" s="132">
        <f t="array" aca="1" ref="P42" ca="1">P37+P38+IFERROR(P35/INDEX(Assumptions!$D:$AC,MATCH("Lifetime reuses per booster (year cap)",Assumptions!$A$1:$A$327,0),P$5+1),0)+P36</f>
        <v>17.517833418683651</v>
      </c>
      <c r="Q42" s="132">
        <f t="array" aca="1" ref="Q42" ca="1">Q37+Q38+IFERROR(Q35/INDEX(Assumptions!$D:$AC,MATCH("Lifetime reuses per booster (year cap)",Assumptions!$A$1:$A$327,0),Q$5+1),0)+Q36</f>
        <v>17.422679893329736</v>
      </c>
      <c r="R42" s="132">
        <f t="array" aca="1" ref="R42" ca="1">R37+R38+IFERROR(R35/INDEX(Assumptions!$D:$AC,MATCH("Lifetime reuses per booster (year cap)",Assumptions!$A$1:$A$327,0),R$5+1),0)+R36</f>
        <v>17.121356206810027</v>
      </c>
      <c r="S42" s="132">
        <f t="array" aca="1" ref="S42" ca="1">S37+S38+IFERROR(S35/INDEX(Assumptions!$D:$AC,MATCH("Lifetime reuses per booster (year cap)",Assumptions!$A$1:$A$327,0),S$5+1),0)+S36</f>
        <v>16.83729877648733</v>
      </c>
    </row>
    <row r="43" spans="1:19" x14ac:dyDescent="0.2">
      <c r="A43" s="22" t="s">
        <v>769</v>
      </c>
      <c r="B43" s="8"/>
      <c r="C43" s="8"/>
      <c r="D43" s="134">
        <f t="shared" ref="D43:S43" ca="1" si="6">D37+D35+D36</f>
        <v>72.640688569949702</v>
      </c>
      <c r="E43" s="134">
        <f t="shared" ca="1" si="6"/>
        <v>68.226991920737561</v>
      </c>
      <c r="F43" s="134">
        <f t="shared" ca="1" si="6"/>
        <v>60.556330464939954</v>
      </c>
      <c r="G43" s="134">
        <f t="shared" ca="1" si="6"/>
        <v>53.890135558942902</v>
      </c>
      <c r="H43" s="134">
        <f t="shared" ca="1" si="6"/>
        <v>48.735767752617356</v>
      </c>
      <c r="I43" s="134">
        <f t="shared" ca="1" si="6"/>
        <v>44.747684152751191</v>
      </c>
      <c r="J43" s="134">
        <f t="shared" ca="1" si="6"/>
        <v>41.588321915155305</v>
      </c>
      <c r="K43" s="134">
        <f t="shared" ca="1" si="6"/>
        <v>39.021544992719299</v>
      </c>
      <c r="L43" s="134">
        <f t="shared" ca="1" si="6"/>
        <v>37.257833612901138</v>
      </c>
      <c r="M43" s="134">
        <f t="shared" ca="1" si="6"/>
        <v>36.762808146050205</v>
      </c>
      <c r="N43" s="134">
        <f t="shared" ca="1" si="6"/>
        <v>36.080648202387103</v>
      </c>
      <c r="O43" s="134">
        <f t="shared" ca="1" si="6"/>
        <v>35.332898749576529</v>
      </c>
      <c r="P43" s="134">
        <f t="shared" ca="1" si="6"/>
        <v>34.891794899823893</v>
      </c>
      <c r="Q43" s="134">
        <f t="shared" ca="1" si="6"/>
        <v>34.722114828435913</v>
      </c>
      <c r="R43" s="134">
        <f t="shared" ca="1" si="6"/>
        <v>34.111088461366577</v>
      </c>
      <c r="S43" s="134">
        <f t="shared" ca="1" si="6"/>
        <v>33.533120369541933</v>
      </c>
    </row>
    <row r="44" spans="1:19" x14ac:dyDescent="0.2">
      <c r="A44" s="22" t="s">
        <v>770</v>
      </c>
      <c r="B44" s="8"/>
      <c r="C44" s="8"/>
      <c r="D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(kg-to-LEO)",Assumptions!$A:$A,0)))^MAX(0,MIN(1,(D$4-$D$4)/MAX(1,INDEX(Assumptions!$B:$B,MATCH("Starship payload ramp plateau year",Assumptions!$A:$A,0))-$D$4))))</f>
        <v>100000</v>
      </c>
      <c r="E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(kg-to-LEO)",Assumptions!$A:$A,0)))^MAX(0,MIN(1,(E$4-$D$4)/MAX(1,INDEX(Assumptions!$B:$B,MATCH("Starship payload ramp plateau year",Assumptions!$A:$A,0))-$D$4))))</f>
        <v>114869.83549970351</v>
      </c>
      <c r="F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(kg-to-LEO)",Assumptions!$A:$A,0)))^MAX(0,MIN(1,(F$4-$D$4)/MAX(1,INDEX(Assumptions!$B:$B,MATCH("Starship payload ramp plateau year",Assumptions!$A:$A,0))-$D$4))))</f>
        <v>131950.79107728941</v>
      </c>
      <c r="G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(kg-to-LEO)",Assumptions!$A:$A,0)))^MAX(0,MIN(1,(G$4-$D$4)/MAX(1,INDEX(Assumptions!$B:$B,MATCH("Starship payload ramp plateau year",Assumptions!$A:$A,0))-$D$4))))</f>
        <v>151571.65665103981</v>
      </c>
      <c r="H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(kg-to-LEO)",Assumptions!$A:$A,0)))^MAX(0,MIN(1,(H$4-$D$4)/MAX(1,INDEX(Assumptions!$B:$B,MATCH("Starship payload ramp plateau year",Assumptions!$A:$A,0))-$D$4))))</f>
        <v>174110.11265922483</v>
      </c>
      <c r="I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(kg-to-LEO)",Assumptions!$A:$A,0)))^MAX(0,MIN(1,(I$4-$D$4)/MAX(1,INDEX(Assumptions!$B:$B,MATCH("Starship payload ramp plateau year",Assumptions!$A:$A,0))-$D$4))))</f>
        <v>200000</v>
      </c>
      <c r="J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(kg-to-LEO)",Assumptions!$A:$A,0)))^MAX(0,MIN(1,(J$4-$D$4)/MAX(1,INDEX(Assumptions!$B:$B,MATCH("Starship payload ramp plateau year",Assumptions!$A:$A,0))-$D$4))))</f>
        <v>200000</v>
      </c>
      <c r="K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(kg-to-LEO)",Assumptions!$A:$A,0)))^MAX(0,MIN(1,(K$4-$D$4)/MAX(1,INDEX(Assumptions!$B:$B,MATCH("Starship payload ramp plateau year",Assumptions!$A:$A,0))-$D$4))))</f>
        <v>200000</v>
      </c>
      <c r="L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(kg-to-LEO)",Assumptions!$A:$A,0)))^MAX(0,MIN(1,(L$4-$D$4)/MAX(1,INDEX(Assumptions!$B:$B,MATCH("Starship payload ramp plateau year",Assumptions!$A:$A,0))-$D$4))))</f>
        <v>200000</v>
      </c>
      <c r="M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(kg-to-LEO)",Assumptions!$A:$A,0)))^MAX(0,MIN(1,(M$4-$D$4)/MAX(1,INDEX(Assumptions!$B:$B,MATCH("Starship payload ramp plateau year",Assumptions!$A:$A,0))-$D$4))))</f>
        <v>200000</v>
      </c>
      <c r="N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(kg-to-LEO)",Assumptions!$A:$A,0)))^MAX(0,MIN(1,(N$4-$D$4)/MAX(1,INDEX(Assumptions!$B:$B,MATCH("Starship payload ramp plateau year",Assumptions!$A:$A,0))-$D$4))))</f>
        <v>200000</v>
      </c>
      <c r="O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(kg-to-LEO)",Assumptions!$A:$A,0)))^MAX(0,MIN(1,(O$4-$D$4)/MAX(1,INDEX(Assumptions!$B:$B,MATCH("Starship payload ramp plateau year",Assumptions!$A:$A,0))-$D$4))))</f>
        <v>200000</v>
      </c>
      <c r="P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(kg-to-LEO)",Assumptions!$A:$A,0)))^MAX(0,MIN(1,(P$4-$D$4)/MAX(1,INDEX(Assumptions!$B:$B,MATCH("Starship payload ramp plateau year",Assumptions!$A:$A,0))-$D$4))))</f>
        <v>200000</v>
      </c>
      <c r="Q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(kg-to-LEO)",Assumptions!$A:$A,0)))^MAX(0,MIN(1,(Q$4-$D$4)/MAX(1,INDEX(Assumptions!$B:$B,MATCH("Starship payload ramp plateau year",Assumptions!$A:$A,0))-$D$4))))</f>
        <v>200000</v>
      </c>
      <c r="R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(kg-to-LEO)",Assumptions!$A:$A,0)))^MAX(0,MIN(1,(R$4-$D$4)/MAX(1,INDEX(Assumptions!$B:$B,MATCH("Starship payload ramp plateau year",Assumptions!$A:$A,0))-$D$4))))</f>
        <v>200000</v>
      </c>
      <c r="S44" s="66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(kg-to-LEO)",Assumptions!$A:$A,0)))^MAX(0,MIN(1,(S$4-$D$4)/MAX(1,INDEX(Assumptions!$B:$B,MATCH("Starship payload ramp plateau year",Assumptions!$A:$A,0))-$D$4))))</f>
        <v>200000</v>
      </c>
    </row>
    <row r="45" spans="1:19" x14ac:dyDescent="0.2">
      <c r="A45" s="22" t="s">
        <v>771</v>
      </c>
      <c r="B45" s="8"/>
      <c r="C45" s="8"/>
      <c r="D45" s="66">
        <f>D44+(INDEX(Assumptions!$B:$B,MATCH("Payload: booster-only mode (kg-to-LEO)",Assumptions!$A$1:$A$327,0))-INDEX(Assumptions!$B:$B,MATCH("Payload: fully reusable mode (kg-to-LEO)",Assumptions!$A$1:$A$327,0)))</f>
        <v>150000</v>
      </c>
      <c r="E45" s="66">
        <f>E44+(INDEX(Assumptions!$B:$B,MATCH("Payload: booster-only mode (kg-to-LEO)",Assumptions!$A$1:$A$327,0))-INDEX(Assumptions!$B:$B,MATCH("Payload: fully reusable mode (kg-to-LEO)",Assumptions!$A$1:$A$327,0)))</f>
        <v>164869.83549970351</v>
      </c>
      <c r="F45" s="66">
        <f>F44+(INDEX(Assumptions!$B:$B,MATCH("Payload: booster-only mode (kg-to-LEO)",Assumptions!$A$1:$A$327,0))-INDEX(Assumptions!$B:$B,MATCH("Payload: fully reusable mode (kg-to-LEO)",Assumptions!$A$1:$A$327,0)))</f>
        <v>181950.79107728941</v>
      </c>
      <c r="G45" s="66">
        <f>G44+(INDEX(Assumptions!$B:$B,MATCH("Payload: booster-only mode (kg-to-LEO)",Assumptions!$A$1:$A$327,0))-INDEX(Assumptions!$B:$B,MATCH("Payload: fully reusable mode (kg-to-LEO)",Assumptions!$A$1:$A$327,0)))</f>
        <v>201571.65665103981</v>
      </c>
      <c r="H45" s="66">
        <f>H44+(INDEX(Assumptions!$B:$B,MATCH("Payload: booster-only mode (kg-to-LEO)",Assumptions!$A$1:$A$327,0))-INDEX(Assumptions!$B:$B,MATCH("Payload: fully reusable mode (kg-to-LEO)",Assumptions!$A$1:$A$327,0)))</f>
        <v>224110.11265922483</v>
      </c>
      <c r="I45" s="66">
        <f>I44+(INDEX(Assumptions!$B:$B,MATCH("Payload: booster-only mode (kg-to-LEO)",Assumptions!$A$1:$A$327,0))-INDEX(Assumptions!$B:$B,MATCH("Payload: fully reusable mode (kg-to-LEO)",Assumptions!$A$1:$A$327,0)))</f>
        <v>250000</v>
      </c>
      <c r="J45" s="66">
        <f>J44+(INDEX(Assumptions!$B:$B,MATCH("Payload: booster-only mode (kg-to-LEO)",Assumptions!$A$1:$A$327,0))-INDEX(Assumptions!$B:$B,MATCH("Payload: fully reusable mode (kg-to-LEO)",Assumptions!$A$1:$A$327,0)))</f>
        <v>250000</v>
      </c>
      <c r="K45" s="66">
        <f>K44+(INDEX(Assumptions!$B:$B,MATCH("Payload: booster-only mode (kg-to-LEO)",Assumptions!$A$1:$A$327,0))-INDEX(Assumptions!$B:$B,MATCH("Payload: fully reusable mode (kg-to-LEO)",Assumptions!$A$1:$A$327,0)))</f>
        <v>250000</v>
      </c>
      <c r="L45" s="66">
        <f>L44+(INDEX(Assumptions!$B:$B,MATCH("Payload: booster-only mode (kg-to-LEO)",Assumptions!$A$1:$A$327,0))-INDEX(Assumptions!$B:$B,MATCH("Payload: fully reusable mode (kg-to-LEO)",Assumptions!$A$1:$A$327,0)))</f>
        <v>250000</v>
      </c>
      <c r="M45" s="66">
        <f>M44+(INDEX(Assumptions!$B:$B,MATCH("Payload: booster-only mode (kg-to-LEO)",Assumptions!$A$1:$A$327,0))-INDEX(Assumptions!$B:$B,MATCH("Payload: fully reusable mode (kg-to-LEO)",Assumptions!$A$1:$A$327,0)))</f>
        <v>250000</v>
      </c>
      <c r="N45" s="66">
        <f>N44+(INDEX(Assumptions!$B:$B,MATCH("Payload: booster-only mode (kg-to-LEO)",Assumptions!$A$1:$A$327,0))-INDEX(Assumptions!$B:$B,MATCH("Payload: fully reusable mode (kg-to-LEO)",Assumptions!$A$1:$A$327,0)))</f>
        <v>250000</v>
      </c>
      <c r="O45" s="66">
        <f>O44+(INDEX(Assumptions!$B:$B,MATCH("Payload: booster-only mode (kg-to-LEO)",Assumptions!$A$1:$A$327,0))-INDEX(Assumptions!$B:$B,MATCH("Payload: fully reusable mode (kg-to-LEO)",Assumptions!$A$1:$A$327,0)))</f>
        <v>250000</v>
      </c>
      <c r="P45" s="66">
        <f>P44+(INDEX(Assumptions!$B:$B,MATCH("Payload: booster-only mode (kg-to-LEO)",Assumptions!$A$1:$A$327,0))-INDEX(Assumptions!$B:$B,MATCH("Payload: fully reusable mode (kg-to-LEO)",Assumptions!$A$1:$A$327,0)))</f>
        <v>250000</v>
      </c>
      <c r="Q45" s="66">
        <f>Q44+(INDEX(Assumptions!$B:$B,MATCH("Payload: booster-only mode (kg-to-LEO)",Assumptions!$A$1:$A$327,0))-INDEX(Assumptions!$B:$B,MATCH("Payload: fully reusable mode (kg-to-LEO)",Assumptions!$A$1:$A$327,0)))</f>
        <v>250000</v>
      </c>
      <c r="R45" s="66">
        <f>R44+(INDEX(Assumptions!$B:$B,MATCH("Payload: booster-only mode (kg-to-LEO)",Assumptions!$A$1:$A$327,0))-INDEX(Assumptions!$B:$B,MATCH("Payload: fully reusable mode (kg-to-LEO)",Assumptions!$A$1:$A$327,0)))</f>
        <v>250000</v>
      </c>
      <c r="S45" s="66">
        <f>S44+(INDEX(Assumptions!$B:$B,MATCH("Payload: booster-only mode (kg-to-LEO)",Assumptions!$A$1:$A$327,0))-INDEX(Assumptions!$B:$B,MATCH("Payload: fully reusable mode (kg-to-LEO)",Assumptions!$A$1:$A$327,0)))</f>
        <v>250000</v>
      </c>
    </row>
    <row r="46" spans="1:19" x14ac:dyDescent="0.2">
      <c r="A46" s="22" t="s">
        <v>772</v>
      </c>
      <c r="B46" s="8"/>
      <c r="C46" s="8"/>
      <c r="D46" s="67">
        <f t="shared" ref="D46:S46" si="7">D45</f>
        <v>150000</v>
      </c>
      <c r="E46" s="67">
        <f t="shared" si="7"/>
        <v>164869.83549970351</v>
      </c>
      <c r="F46" s="67">
        <f t="shared" si="7"/>
        <v>181950.79107728941</v>
      </c>
      <c r="G46" s="67">
        <f t="shared" si="7"/>
        <v>201571.65665103981</v>
      </c>
      <c r="H46" s="67">
        <f t="shared" si="7"/>
        <v>224110.11265922483</v>
      </c>
      <c r="I46" s="67">
        <f t="shared" si="7"/>
        <v>250000</v>
      </c>
      <c r="J46" s="67">
        <f t="shared" si="7"/>
        <v>250000</v>
      </c>
      <c r="K46" s="67">
        <f t="shared" si="7"/>
        <v>250000</v>
      </c>
      <c r="L46" s="67">
        <f t="shared" si="7"/>
        <v>250000</v>
      </c>
      <c r="M46" s="67">
        <f t="shared" si="7"/>
        <v>250000</v>
      </c>
      <c r="N46" s="67">
        <f t="shared" si="7"/>
        <v>250000</v>
      </c>
      <c r="O46" s="67">
        <f t="shared" si="7"/>
        <v>250000</v>
      </c>
      <c r="P46" s="67">
        <f t="shared" si="7"/>
        <v>250000</v>
      </c>
      <c r="Q46" s="67">
        <f t="shared" si="7"/>
        <v>250000</v>
      </c>
      <c r="R46" s="67">
        <f t="shared" si="7"/>
        <v>250000</v>
      </c>
      <c r="S46" s="67">
        <f t="shared" si="7"/>
        <v>250000</v>
      </c>
    </row>
    <row r="47" spans="1:19" x14ac:dyDescent="0.2">
      <c r="A47" s="22" t="s">
        <v>773</v>
      </c>
      <c r="B47" s="8"/>
      <c r="C47" s="8"/>
      <c r="D47" s="67">
        <f t="shared" ref="D47:S47" ca="1" si="8">IFERROR(D41*1000000/D44,0)</f>
        <v>181.92564285070281</v>
      </c>
      <c r="E47" s="67">
        <f t="shared" ca="1" si="8"/>
        <v>126.22481516538721</v>
      </c>
      <c r="F47" s="67">
        <f t="shared" ca="1" si="8"/>
        <v>89.464356429894778</v>
      </c>
      <c r="G47" s="67">
        <f t="shared" ca="1" si="8"/>
        <v>65.780231983534819</v>
      </c>
      <c r="H47" s="67">
        <f t="shared" ca="1" si="8"/>
        <v>50.705465432512263</v>
      </c>
      <c r="I47" s="67">
        <f t="shared" ca="1" si="8"/>
        <v>40.601825183675793</v>
      </c>
      <c r="J47" s="67">
        <f t="shared" ca="1" si="8"/>
        <v>37.917696618757532</v>
      </c>
      <c r="K47" s="67">
        <f t="shared" ca="1" si="8"/>
        <v>35.677484303220652</v>
      </c>
      <c r="L47" s="67">
        <f t="shared" ca="1" si="8"/>
        <v>34.108244015304521</v>
      </c>
      <c r="M47" s="67">
        <f t="shared" ca="1" si="8"/>
        <v>33.509749198455836</v>
      </c>
      <c r="N47" s="67">
        <f t="shared" ca="1" si="8"/>
        <v>32.878332019894742</v>
      </c>
      <c r="O47" s="67">
        <f t="shared" ca="1" si="8"/>
        <v>32.277765568605133</v>
      </c>
      <c r="P47" s="67">
        <f t="shared" ca="1" si="8"/>
        <v>31.896662021081038</v>
      </c>
      <c r="Q47" s="67">
        <f t="shared" ca="1" si="8"/>
        <v>31.708204635366844</v>
      </c>
      <c r="R47" s="67">
        <f t="shared" ca="1" si="8"/>
        <v>31.235724816790402</v>
      </c>
      <c r="S47" s="67">
        <f t="shared" ca="1" si="8"/>
        <v>30.792923031161148</v>
      </c>
    </row>
    <row r="48" spans="1:19" x14ac:dyDescent="0.2">
      <c r="A48" s="22" t="s">
        <v>774</v>
      </c>
      <c r="B48" s="8"/>
      <c r="C48" s="8"/>
      <c r="D48" s="67">
        <f t="shared" ref="D48:S48" ca="1" si="9">IFERROR(D42*1000000/D45,0)</f>
        <v>282.09602686114886</v>
      </c>
      <c r="E48" s="67">
        <f t="shared" ca="1" si="9"/>
        <v>224.95278834033638</v>
      </c>
      <c r="F48" s="67">
        <f t="shared" ca="1" si="9"/>
        <v>174.42273243349004</v>
      </c>
      <c r="G48" s="67">
        <f t="shared" ca="1" si="9"/>
        <v>136.93347542989287</v>
      </c>
      <c r="H48" s="67">
        <f t="shared" ca="1" si="9"/>
        <v>110.16110910602104</v>
      </c>
      <c r="I48" s="67">
        <f t="shared" ca="1" si="9"/>
        <v>90.456524443648121</v>
      </c>
      <c r="J48" s="67">
        <f t="shared" ca="1" si="9"/>
        <v>83.993107676593795</v>
      </c>
      <c r="K48" s="67">
        <f t="shared" ca="1" si="9"/>
        <v>78.703597927550106</v>
      </c>
      <c r="L48" s="67">
        <f t="shared" ca="1" si="9"/>
        <v>75.050272377051598</v>
      </c>
      <c r="M48" s="67">
        <f t="shared" ca="1" si="9"/>
        <v>73.899245792180906</v>
      </c>
      <c r="N48" s="67">
        <f t="shared" ca="1" si="9"/>
        <v>72.468355275129781</v>
      </c>
      <c r="O48" s="67">
        <f t="shared" ca="1" si="9"/>
        <v>70.97394814388889</v>
      </c>
      <c r="P48" s="67">
        <f t="shared" ca="1" si="9"/>
        <v>70.071333674734603</v>
      </c>
      <c r="Q48" s="67">
        <f t="shared" ca="1" si="9"/>
        <v>69.690719573318944</v>
      </c>
      <c r="R48" s="67">
        <f t="shared" ca="1" si="9"/>
        <v>68.485424827240109</v>
      </c>
      <c r="S48" s="67">
        <f t="shared" ca="1" si="9"/>
        <v>67.34919510594932</v>
      </c>
    </row>
    <row r="49" spans="1:19" x14ac:dyDescent="0.2">
      <c r="A49" s="22" t="s">
        <v>775</v>
      </c>
      <c r="B49" s="8"/>
      <c r="C49" s="8"/>
      <c r="D49" s="67">
        <f t="shared" ref="D49:S49" ca="1" si="10">IFERROR(D43*1000000/D46,0)</f>
        <v>484.27125713299802</v>
      </c>
      <c r="E49" s="67">
        <f t="shared" ca="1" si="10"/>
        <v>413.82337596170078</v>
      </c>
      <c r="F49" s="67">
        <f t="shared" ca="1" si="10"/>
        <v>332.81707711409024</v>
      </c>
      <c r="G49" s="67">
        <f t="shared" ca="1" si="10"/>
        <v>267.34976759275895</v>
      </c>
      <c r="H49" s="67">
        <f t="shared" ca="1" si="10"/>
        <v>217.46349227320908</v>
      </c>
      <c r="I49" s="67">
        <f t="shared" ca="1" si="10"/>
        <v>178.99073661100476</v>
      </c>
      <c r="J49" s="67">
        <f t="shared" ca="1" si="10"/>
        <v>166.35328766062122</v>
      </c>
      <c r="K49" s="67">
        <f t="shared" ca="1" si="10"/>
        <v>156.0861799708772</v>
      </c>
      <c r="L49" s="67">
        <f t="shared" ca="1" si="10"/>
        <v>149.03133445160455</v>
      </c>
      <c r="M49" s="67">
        <f t="shared" ca="1" si="10"/>
        <v>147.05123258420082</v>
      </c>
      <c r="N49" s="67">
        <f t="shared" ca="1" si="10"/>
        <v>144.32259280954841</v>
      </c>
      <c r="O49" s="67">
        <f t="shared" ca="1" si="10"/>
        <v>141.33159499830612</v>
      </c>
      <c r="P49" s="67">
        <f t="shared" ca="1" si="10"/>
        <v>139.56717959929554</v>
      </c>
      <c r="Q49" s="67">
        <f t="shared" ca="1" si="10"/>
        <v>138.88845931374365</v>
      </c>
      <c r="R49" s="67">
        <f t="shared" ca="1" si="10"/>
        <v>136.44435384546631</v>
      </c>
      <c r="S49" s="67">
        <f t="shared" ca="1" si="10"/>
        <v>134.13248147816773</v>
      </c>
    </row>
    <row r="50" spans="1:19" x14ac:dyDescent="0.2">
      <c r="A50" s="22" t="s">
        <v>776</v>
      </c>
      <c r="B50" s="8"/>
      <c r="C50" s="8"/>
      <c r="D50" s="134">
        <f t="shared" ref="D50:S50" ca="1" si="11">D34</f>
        <v>65.071945281952225</v>
      </c>
      <c r="E50" s="134">
        <f t="shared" ca="1" si="11"/>
        <v>60.971010453263865</v>
      </c>
      <c r="F50" s="134">
        <f t="shared" ca="1" si="11"/>
        <v>53.860799959099772</v>
      </c>
      <c r="G50" s="134">
        <f t="shared" ca="1" si="11"/>
        <v>47.701520872759353</v>
      </c>
      <c r="H50" s="134">
        <f t="shared" ca="1" si="11"/>
        <v>42.953794986373431</v>
      </c>
      <c r="I50" s="134">
        <f t="shared" ca="1" si="11"/>
        <v>39.290393057384712</v>
      </c>
      <c r="J50" s="134">
        <f t="shared" ca="1" si="11"/>
        <v>36.395224670889924</v>
      </c>
      <c r="K50" s="134">
        <f t="shared" ca="1" si="11"/>
        <v>34.048100479697702</v>
      </c>
      <c r="L50" s="134">
        <f t="shared" ca="1" si="11"/>
        <v>32.438143435291494</v>
      </c>
      <c r="M50" s="134">
        <f t="shared" ca="1" si="11"/>
        <v>31.986709260952335</v>
      </c>
      <c r="N50" s="134">
        <f t="shared" ca="1" si="11"/>
        <v>31.36494406737927</v>
      </c>
      <c r="O50" s="134">
        <f t="shared" ca="1" si="11"/>
        <v>30.683838743950687</v>
      </c>
      <c r="P50" s="134">
        <f t="shared" ca="1" si="11"/>
        <v>30.282270883594247</v>
      </c>
      <c r="Q50" s="134">
        <f t="shared" ca="1" si="11"/>
        <v>30.127843809850518</v>
      </c>
      <c r="R50" s="134">
        <f t="shared" ca="1" si="11"/>
        <v>29.571952870350593</v>
      </c>
      <c r="S50" s="134">
        <f t="shared" ca="1" si="11"/>
        <v>29.046443043083599</v>
      </c>
    </row>
    <row r="51" spans="1:19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">
      <c r="A52" s="215" t="s">
        <v>1606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</row>
    <row r="53" spans="1:19" x14ac:dyDescent="0.2">
      <c r="A53" s="22" t="s">
        <v>777</v>
      </c>
      <c r="B53" s="8"/>
      <c r="C53" s="8"/>
      <c r="D53" s="67">
        <f ca="1">D20*D44</f>
        <v>0</v>
      </c>
      <c r="E53" s="67">
        <f t="shared" ref="E53:S53" ca="1" si="12">D53+E20*E44</f>
        <v>0</v>
      </c>
      <c r="F53" s="67">
        <f t="shared" ca="1" si="12"/>
        <v>8048998.255714654</v>
      </c>
      <c r="G53" s="67">
        <f t="shared" ca="1" si="12"/>
        <v>27298598.650396712</v>
      </c>
      <c r="H53" s="67">
        <f t="shared" ca="1" si="12"/>
        <v>73263668.392432064</v>
      </c>
      <c r="I53" s="67">
        <f t="shared" ca="1" si="12"/>
        <v>157910008.60239467</v>
      </c>
      <c r="J53" s="67">
        <f t="shared" ca="1" si="12"/>
        <v>285142586.12551093</v>
      </c>
      <c r="K53" s="67">
        <f t="shared" ca="1" si="12"/>
        <v>438220900.53144538</v>
      </c>
      <c r="L53" s="67">
        <f t="shared" ca="1" si="12"/>
        <v>615333468.13709891</v>
      </c>
      <c r="M53" s="67">
        <f t="shared" ca="1" si="12"/>
        <v>851953305.94855917</v>
      </c>
      <c r="N53" s="67">
        <f t="shared" ca="1" si="12"/>
        <v>1119214152.9571786</v>
      </c>
      <c r="O53" s="67">
        <f t="shared" ca="1" si="12"/>
        <v>1462139920.0877585</v>
      </c>
      <c r="P53" s="67">
        <f t="shared" ca="1" si="12"/>
        <v>1788390814.4982948</v>
      </c>
      <c r="Q53" s="67">
        <f t="shared" ca="1" si="12"/>
        <v>2049466185.6544969</v>
      </c>
      <c r="R53" s="67">
        <f t="shared" ca="1" si="12"/>
        <v>2305621875.1961451</v>
      </c>
      <c r="S53" s="67">
        <f t="shared" ca="1" si="12"/>
        <v>2480153453.9308758</v>
      </c>
    </row>
    <row r="54" spans="1:19" x14ac:dyDescent="0.2">
      <c r="A54" s="22" t="s">
        <v>778</v>
      </c>
      <c r="B54" s="8"/>
      <c r="C54" s="8"/>
      <c r="D54" s="82">
        <f t="shared" ref="D54:S54" si="13">IFERROR(D106/D11,0)</f>
        <v>0</v>
      </c>
      <c r="E54" s="82">
        <f t="shared" ca="1" si="13"/>
        <v>772.26112345242313</v>
      </c>
      <c r="F54" s="82">
        <f t="shared" ca="1" si="13"/>
        <v>2013.7464846808805</v>
      </c>
      <c r="G54" s="82">
        <f t="shared" ca="1" si="13"/>
        <v>999.75341433692165</v>
      </c>
      <c r="H54" s="82">
        <f t="shared" ca="1" si="13"/>
        <v>566.61902706682019</v>
      </c>
      <c r="I54" s="82">
        <f t="shared" ca="1" si="13"/>
        <v>336.94428210421398</v>
      </c>
      <c r="J54" s="82">
        <f t="shared" ca="1" si="13"/>
        <v>253.98047919319714</v>
      </c>
      <c r="K54" s="82">
        <f t="shared" ca="1" si="13"/>
        <v>184.12661929473586</v>
      </c>
      <c r="L54" s="82">
        <f t="shared" ca="1" si="13"/>
        <v>151.87910691630373</v>
      </c>
      <c r="M54" s="82">
        <f t="shared" ca="1" si="13"/>
        <v>137.29611756748261</v>
      </c>
      <c r="N54" s="82">
        <f t="shared" ca="1" si="13"/>
        <v>126.45621289465697</v>
      </c>
      <c r="O54" s="82">
        <f t="shared" ca="1" si="13"/>
        <v>111.17391085223224</v>
      </c>
      <c r="P54" s="82">
        <f t="shared" ca="1" si="13"/>
        <v>88.226954279305048</v>
      </c>
      <c r="Q54" s="82">
        <f t="shared" ca="1" si="13"/>
        <v>62.788410001437676</v>
      </c>
      <c r="R54" s="82">
        <f t="shared" ca="1" si="13"/>
        <v>58.348470083862537</v>
      </c>
      <c r="S54" s="82">
        <f t="shared" ca="1" si="13"/>
        <v>65.237281574271265</v>
      </c>
    </row>
    <row r="55" spans="1:19" x14ac:dyDescent="0.2">
      <c r="A55" s="22" t="s">
        <v>779</v>
      </c>
      <c r="B55" s="8"/>
      <c r="C55" s="8"/>
      <c r="D55" s="82">
        <f ca="1">MIN( MAX(0,D54-D56+D57), D107 )</f>
        <v>0</v>
      </c>
      <c r="E55" s="82">
        <f ca="1">MIN( MAX(0,E54-E56+E57), E107 )</f>
        <v>8</v>
      </c>
      <c r="F55" s="82">
        <f t="shared" ref="F55:S55" ca="1" si="14">MIN( MAX(0,F54-F56+F57), F107 )</f>
        <v>23</v>
      </c>
      <c r="G55" s="82">
        <f t="shared" ca="1" si="14"/>
        <v>38</v>
      </c>
      <c r="H55" s="82">
        <f t="shared" ca="1" si="14"/>
        <v>53</v>
      </c>
      <c r="I55" s="82">
        <f t="shared" ca="1" si="14"/>
        <v>68</v>
      </c>
      <c r="J55" s="82">
        <f t="shared" ca="1" si="14"/>
        <v>83</v>
      </c>
      <c r="K55" s="82">
        <f t="shared" ca="1" si="14"/>
        <v>0</v>
      </c>
      <c r="L55" s="82">
        <f t="shared" ca="1" si="14"/>
        <v>0</v>
      </c>
      <c r="M55" s="82">
        <f t="shared" ca="1" si="14"/>
        <v>0</v>
      </c>
      <c r="N55" s="82">
        <f t="shared" ca="1" si="14"/>
        <v>0</v>
      </c>
      <c r="O55" s="82">
        <f t="shared" ca="1" si="14"/>
        <v>3.1379833705390325E-2</v>
      </c>
      <c r="P55" s="82">
        <f t="shared" ca="1" si="14"/>
        <v>0</v>
      </c>
      <c r="Q55" s="82">
        <f t="shared" ca="1" si="14"/>
        <v>0</v>
      </c>
      <c r="R55" s="82">
        <f t="shared" ca="1" si="14"/>
        <v>0.30981129400602292</v>
      </c>
      <c r="S55" s="82">
        <f t="shared" ca="1" si="14"/>
        <v>16.585010309004872</v>
      </c>
    </row>
    <row r="56" spans="1:19" x14ac:dyDescent="0.2">
      <c r="A56" s="22" t="s">
        <v>780</v>
      </c>
      <c r="B56" s="8"/>
      <c r="C56" s="8"/>
      <c r="D56" s="71">
        <v>0</v>
      </c>
      <c r="E56" s="82">
        <f t="shared" ref="E56:S56" ca="1" si="15">D58</f>
        <v>0</v>
      </c>
      <c r="F56" s="82">
        <f t="shared" ca="1" si="15"/>
        <v>8</v>
      </c>
      <c r="G56" s="82">
        <f t="shared" ca="1" si="15"/>
        <v>25.916666666666668</v>
      </c>
      <c r="H56" s="82">
        <f t="shared" ca="1" si="15"/>
        <v>56.861111111111114</v>
      </c>
      <c r="I56" s="82">
        <f t="shared" ca="1" si="15"/>
        <v>99.301111111111112</v>
      </c>
      <c r="J56" s="82">
        <f t="shared" ca="1" si="15"/>
        <v>153.19338774278401</v>
      </c>
      <c r="K56" s="82">
        <f t="shared" ca="1" si="15"/>
        <v>218.01730523948169</v>
      </c>
      <c r="L56" s="82">
        <f t="shared" ca="1" si="15"/>
        <v>196.21557471553351</v>
      </c>
      <c r="M56" s="82">
        <f t="shared" ca="1" si="15"/>
        <v>176.59401724398015</v>
      </c>
      <c r="N56" s="82">
        <f t="shared" ca="1" si="15"/>
        <v>156.19575536368185</v>
      </c>
      <c r="O56" s="82">
        <f t="shared" ca="1" si="15"/>
        <v>135.63722867071112</v>
      </c>
      <c r="P56" s="82">
        <f t="shared" ca="1" si="15"/>
        <v>111.17391085223224</v>
      </c>
      <c r="Q56" s="82">
        <f t="shared" ca="1" si="15"/>
        <v>89.423851224863157</v>
      </c>
      <c r="R56" s="82">
        <f t="shared" ca="1" si="15"/>
        <v>73.106640527600533</v>
      </c>
      <c r="S56" s="82">
        <f t="shared" ca="1" si="15"/>
        <v>58.348470083862537</v>
      </c>
    </row>
    <row r="57" spans="1:19" x14ac:dyDescent="0.2">
      <c r="A57" s="22" t="s">
        <v>781</v>
      </c>
      <c r="B57" s="8"/>
      <c r="C57" s="8"/>
      <c r="D57" s="71">
        <f t="array" aca="1" ref="D57" ca="1">MAX( IFERROR(D20/INDEX(Assumptions!$D:$AC,MATCH("Lifetime reuses per booster (year cap)",Assumptions!$A$1:$A$327,0),D$5+1),0), IFERROR(D56/INDEX(Assumptions!$B:$B,MATCH("Launch vehicle calendar life (years)",Assumptions!$A$1:$A$327,0)),0) )</f>
        <v>0</v>
      </c>
      <c r="E57" s="71">
        <f t="array" aca="1" ref="E57" ca="1">MAX( IFERROR(E20/INDEX(Assumptions!$D:$AC,MATCH("Lifetime reuses per booster (year cap)",Assumptions!$A$1:$A$327,0),E$5+1),0), IFERROR(E56/INDEX(Assumptions!$B:$B,MATCH("Launch vehicle calendar life (years)",Assumptions!$A$1:$A$327,0)),0) )</f>
        <v>0</v>
      </c>
      <c r="F57" s="71">
        <f t="array" aca="1" ref="F57" ca="1">MAX( IFERROR(F20/INDEX(Assumptions!$D:$AC,MATCH("Lifetime reuses per booster (year cap)",Assumptions!$A$1:$A$327,0),F$5+1),0), IFERROR(F56/INDEX(Assumptions!$B:$B,MATCH("Launch vehicle calendar life (years)",Assumptions!$A$1:$A$327,0)),0) )</f>
        <v>5.083333333333333</v>
      </c>
      <c r="G57" s="71">
        <f t="array" aca="1" ref="G57" ca="1">MAX( IFERROR(G20/INDEX(Assumptions!$D:$AC,MATCH("Lifetime reuses per booster (year cap)",Assumptions!$A$1:$A$327,0),G$5+1),0), IFERROR(G56/INDEX(Assumptions!$B:$B,MATCH("Launch vehicle calendar life (years)",Assumptions!$A$1:$A$327,0)),0) )</f>
        <v>7.0555555555555554</v>
      </c>
      <c r="H57" s="71">
        <f t="array" aca="1" ref="H57" ca="1">MAX( IFERROR(H20/INDEX(Assumptions!$D:$AC,MATCH("Lifetime reuses per booster (year cap)",Assumptions!$A$1:$A$327,0),H$5+1),0), IFERROR(H56/INDEX(Assumptions!$B:$B,MATCH("Launch vehicle calendar life (years)",Assumptions!$A$1:$A$327,0)),0) )</f>
        <v>10.56</v>
      </c>
      <c r="I57" s="71">
        <f t="array" aca="1" ref="I57" ca="1">MAX( IFERROR(I20/INDEX(Assumptions!$D:$AC,MATCH("Lifetime reuses per booster (year cap)",Assumptions!$A$1:$A$327,0),I$5+1),0), IFERROR(I56/INDEX(Assumptions!$B:$B,MATCH("Launch vehicle calendar life (years)",Assumptions!$A$1:$A$327,0)),0) )</f>
        <v>14.107723368327102</v>
      </c>
      <c r="J57" s="71">
        <f t="array" aca="1" ref="J57" ca="1">MAX( IFERROR(J20/INDEX(Assumptions!$D:$AC,MATCH("Lifetime reuses per booster (year cap)",Assumptions!$A$1:$A$327,0),J$5+1),0), IFERROR(J56/INDEX(Assumptions!$B:$B,MATCH("Launch vehicle calendar life (years)",Assumptions!$A$1:$A$327,0)),0) )</f>
        <v>18.176082503302325</v>
      </c>
      <c r="K57" s="71">
        <f t="array" aca="1" ref="K57" ca="1">MAX( IFERROR(K20/INDEX(Assumptions!$D:$AC,MATCH("Lifetime reuses per booster (year cap)",Assumptions!$A$1:$A$327,0),K$5+1),0), IFERROR(K56/INDEX(Assumptions!$B:$B,MATCH("Launch vehicle calendar life (years)",Assumptions!$A$1:$A$327,0)),0) )</f>
        <v>21.801730523948169</v>
      </c>
      <c r="L57" s="71">
        <f t="array" aca="1" ref="L57" ca="1">MAX( IFERROR(L20/INDEX(Assumptions!$D:$AC,MATCH("Lifetime reuses per booster (year cap)",Assumptions!$A$1:$A$327,0),L$5+1),0), IFERROR(L56/INDEX(Assumptions!$B:$B,MATCH("Launch vehicle calendar life (years)",Assumptions!$A$1:$A$327,0)),0) )</f>
        <v>19.621557471553352</v>
      </c>
      <c r="M57" s="71">
        <f t="array" aca="1" ref="M57" ca="1">MAX( IFERROR(M20/INDEX(Assumptions!$D:$AC,MATCH("Lifetime reuses per booster (year cap)",Assumptions!$A$1:$A$327,0),M$5+1),0), IFERROR(M56/INDEX(Assumptions!$B:$B,MATCH("Launch vehicle calendar life (years)",Assumptions!$A$1:$A$327,0)),0) )</f>
        <v>20.3982618802983</v>
      </c>
      <c r="N57" s="71">
        <f t="array" aca="1" ref="N57" ca="1">MAX( IFERROR(N20/INDEX(Assumptions!$D:$AC,MATCH("Lifetime reuses per booster (year cap)",Assumptions!$A$1:$A$327,0),N$5+1),0), IFERROR(N56/INDEX(Assumptions!$B:$B,MATCH("Launch vehicle calendar life (years)",Assumptions!$A$1:$A$327,0)),0) )</f>
        <v>20.55852669297073</v>
      </c>
      <c r="O57" s="71">
        <f t="array" aca="1" ref="O57" ca="1">MAX( IFERROR(O20/INDEX(Assumptions!$D:$AC,MATCH("Lifetime reuses per booster (year cap)",Assumptions!$A$1:$A$327,0),O$5+1),0), IFERROR(O56/INDEX(Assumptions!$B:$B,MATCH("Launch vehicle calendar life (years)",Assumptions!$A$1:$A$327,0)),0) )</f>
        <v>24.494697652184275</v>
      </c>
      <c r="P57" s="71">
        <f t="array" aca="1" ref="P57" ca="1">MAX( IFERROR(P20/INDEX(Assumptions!$D:$AC,MATCH("Lifetime reuses per booster (year cap)",Assumptions!$A$1:$A$327,0),P$5+1),0), IFERROR(P56/INDEX(Assumptions!$B:$B,MATCH("Launch vehicle calendar life (years)",Assumptions!$A$1:$A$327,0)),0) )</f>
        <v>21.750059627369083</v>
      </c>
      <c r="Q57" s="71">
        <f t="array" aca="1" ref="Q57" ca="1">MAX( IFERROR(Q20/INDEX(Assumptions!$D:$AC,MATCH("Lifetime reuses per booster (year cap)",Assumptions!$A$1:$A$327,0),Q$5+1),0), IFERROR(Q56/INDEX(Assumptions!$B:$B,MATCH("Launch vehicle calendar life (years)",Assumptions!$A$1:$A$327,0)),0) )</f>
        <v>16.317210697262627</v>
      </c>
      <c r="R57" s="71">
        <f t="array" aca="1" ref="R57" ca="1">MAX( IFERROR(R20/INDEX(Assumptions!$D:$AC,MATCH("Lifetime reuses per booster (year cap)",Assumptions!$A$1:$A$327,0),R$5+1),0), IFERROR(R56/INDEX(Assumptions!$B:$B,MATCH("Launch vehicle calendar life (years)",Assumptions!$A$1:$A$327,0)),0) )</f>
        <v>15.067981737744018</v>
      </c>
      <c r="S57" s="71">
        <f t="array" aca="1" ref="S57" ca="1">MAX( IFERROR(S20/INDEX(Assumptions!$D:$AC,MATCH("Lifetime reuses per booster (year cap)",Assumptions!$A$1:$A$327,0),S$5+1),0), IFERROR(S56/INDEX(Assumptions!$B:$B,MATCH("Launch vehicle calendar life (years)",Assumptions!$A$1:$A$327,0)),0) )</f>
        <v>9.6961988185961445</v>
      </c>
    </row>
    <row r="58" spans="1:19" x14ac:dyDescent="0.2">
      <c r="A58" s="22" t="s">
        <v>782</v>
      </c>
      <c r="B58" s="8"/>
      <c r="C58" s="8"/>
      <c r="D58" s="82">
        <f t="shared" ref="D58:S58" ca="1" si="16">D56+D55-D57</f>
        <v>0</v>
      </c>
      <c r="E58" s="82">
        <f t="shared" ca="1" si="16"/>
        <v>8</v>
      </c>
      <c r="F58" s="82">
        <f t="shared" ca="1" si="16"/>
        <v>25.916666666666668</v>
      </c>
      <c r="G58" s="82">
        <f t="shared" ca="1" si="16"/>
        <v>56.861111111111114</v>
      </c>
      <c r="H58" s="82">
        <f t="shared" ca="1" si="16"/>
        <v>99.301111111111112</v>
      </c>
      <c r="I58" s="82">
        <f t="shared" ca="1" si="16"/>
        <v>153.19338774278401</v>
      </c>
      <c r="J58" s="82">
        <f t="shared" ca="1" si="16"/>
        <v>218.01730523948169</v>
      </c>
      <c r="K58" s="82">
        <f t="shared" ca="1" si="16"/>
        <v>196.21557471553351</v>
      </c>
      <c r="L58" s="82">
        <f t="shared" ca="1" si="16"/>
        <v>176.59401724398015</v>
      </c>
      <c r="M58" s="82">
        <f t="shared" ca="1" si="16"/>
        <v>156.19575536368185</v>
      </c>
      <c r="N58" s="82">
        <f t="shared" ca="1" si="16"/>
        <v>135.63722867071112</v>
      </c>
      <c r="O58" s="82">
        <f t="shared" ca="1" si="16"/>
        <v>111.17391085223224</v>
      </c>
      <c r="P58" s="82">
        <f t="shared" ca="1" si="16"/>
        <v>89.423851224863157</v>
      </c>
      <c r="Q58" s="82">
        <f t="shared" ca="1" si="16"/>
        <v>73.106640527600533</v>
      </c>
      <c r="R58" s="82">
        <f t="shared" ca="1" si="16"/>
        <v>58.348470083862537</v>
      </c>
      <c r="S58" s="82">
        <f t="shared" ca="1" si="16"/>
        <v>65.237281574271265</v>
      </c>
    </row>
    <row r="59" spans="1:19" x14ac:dyDescent="0.2">
      <c r="A59" s="24" t="s">
        <v>1746</v>
      </c>
      <c r="B59" s="8"/>
      <c r="C59" s="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</row>
    <row r="60" spans="1:19" x14ac:dyDescent="0.2">
      <c r="A60" s="22" t="s">
        <v>783</v>
      </c>
      <c r="B60" s="8"/>
      <c r="C60" s="8"/>
      <c r="D60" s="74">
        <f>IF(D$4&lt;INDEX(Assumptions!$B:$B,MATCH("V3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pre-V3-trigger)",Assumptions!$A$1:$A$327,0))*(1-(D$4-INDEX(Assumptions!$B:$B,MATCH("V3 Starlink launch trigger year",Assumptions!$A$1:$A$327,0)))/INDEX(Assumptions!$B:$B,MATCH("F9 build-rate decay window (years)",Assumptions!$A$1:$A$327,0)))))</f>
        <v>8</v>
      </c>
      <c r="E60" s="74">
        <f>IF(E$4&lt;INDEX(Assumptions!$B:$B,MATCH("V3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pre-V3-trigger)",Assumptions!$A$1:$A$327,0))*(1-(E$4-INDEX(Assumptions!$B:$B,MATCH("V3 Starlink launch trigger year",Assumptions!$A$1:$A$327,0)))/INDEX(Assumptions!$B:$B,MATCH("F9 build-rate decay window (years)",Assumptions!$A$1:$A$327,0)))))</f>
        <v>8</v>
      </c>
      <c r="F60" s="74">
        <f>IF(F$4&lt;INDEX(Assumptions!$B:$B,MATCH("V3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pre-V3-trigger)",Assumptions!$A$1:$A$327,0))*(1-(F$4-INDEX(Assumptions!$B:$B,MATCH("V3 Starlink launch trigger year",Assumptions!$A$1:$A$327,0)))/INDEX(Assumptions!$B:$B,MATCH("F9 build-rate decay window (years)",Assumptions!$A$1:$A$327,0)))))</f>
        <v>7</v>
      </c>
      <c r="G60" s="74">
        <f>IF(G$4&lt;INDEX(Assumptions!$B:$B,MATCH("V3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pre-V3-trigger)",Assumptions!$A$1:$A$327,0))*(1-(G$4-INDEX(Assumptions!$B:$B,MATCH("V3 Starlink launch trigger year",Assumptions!$A$1:$A$327,0)))/INDEX(Assumptions!$B:$B,MATCH("F9 build-rate decay window (years)",Assumptions!$A$1:$A$327,0)))))</f>
        <v>6</v>
      </c>
      <c r="H60" s="74">
        <f>IF(H$4&lt;INDEX(Assumptions!$B:$B,MATCH("V3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pre-V3-trigger)",Assumptions!$A$1:$A$327,0))*(1-(H$4-INDEX(Assumptions!$B:$B,MATCH("V3 Starlink launch trigger year",Assumptions!$A$1:$A$327,0)))/INDEX(Assumptions!$B:$B,MATCH("F9 build-rate decay window (years)",Assumptions!$A$1:$A$327,0)))))</f>
        <v>5</v>
      </c>
      <c r="I60" s="74">
        <f>IF(I$4&lt;INDEX(Assumptions!$B:$B,MATCH("V3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pre-V3-trigger)",Assumptions!$A$1:$A$327,0))*(1-(I$4-INDEX(Assumptions!$B:$B,MATCH("V3 Starlink launch trigger year",Assumptions!$A$1:$A$327,0)))/INDEX(Assumptions!$B:$B,MATCH("F9 build-rate decay window (years)",Assumptions!$A$1:$A$327,0)))))</f>
        <v>4</v>
      </c>
      <c r="J60" s="74">
        <f>IF(J$4&lt;INDEX(Assumptions!$B:$B,MATCH("V3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pre-V3-trigger)",Assumptions!$A$1:$A$327,0))*(1-(J$4-INDEX(Assumptions!$B:$B,MATCH("V3 Starlink launch trigger year",Assumptions!$A$1:$A$327,0)))/INDEX(Assumptions!$B:$B,MATCH("F9 build-rate decay window (years)",Assumptions!$A$1:$A$327,0)))))</f>
        <v>3</v>
      </c>
      <c r="K60" s="74">
        <f>IF(K$4&lt;INDEX(Assumptions!$B:$B,MATCH("V3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pre-V3-trigger)",Assumptions!$A$1:$A$327,0))*(1-(K$4-INDEX(Assumptions!$B:$B,MATCH("V3 Starlink launch trigger year",Assumptions!$A$1:$A$327,0)))/INDEX(Assumptions!$B:$B,MATCH("F9 build-rate decay window (years)",Assumptions!$A$1:$A$327,0)))))</f>
        <v>2</v>
      </c>
      <c r="L60" s="74">
        <f>IF(L$4&lt;INDEX(Assumptions!$B:$B,MATCH("V3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pre-V3-trigger)",Assumptions!$A$1:$A$327,0))*(1-(L$4-INDEX(Assumptions!$B:$B,MATCH("V3 Starlink launch trigger year",Assumptions!$A$1:$A$327,0)))/INDEX(Assumptions!$B:$B,MATCH("F9 build-rate decay window (years)",Assumptions!$A$1:$A$327,0)))))</f>
        <v>1</v>
      </c>
      <c r="M60" s="74">
        <f>IF(M$4&lt;INDEX(Assumptions!$B:$B,MATCH("V3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pre-V3-trigger)",Assumptions!$A$1:$A$327,0))*(1-(M$4-INDEX(Assumptions!$B:$B,MATCH("V3 Starlink launch trigger year",Assumptions!$A$1:$A$327,0)))/INDEX(Assumptions!$B:$B,MATCH("F9 build-rate decay window (years)",Assumptions!$A$1:$A$327,0)))))</f>
        <v>0</v>
      </c>
      <c r="N60" s="74">
        <f>IF(N$4&lt;INDEX(Assumptions!$B:$B,MATCH("V3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pre-V3-trigger)",Assumptions!$A$1:$A$327,0))*(1-(N$4-INDEX(Assumptions!$B:$B,MATCH("V3 Starlink launch trigger year",Assumptions!$A$1:$A$327,0)))/INDEX(Assumptions!$B:$B,MATCH("F9 build-rate decay window (years)",Assumptions!$A$1:$A$327,0)))))</f>
        <v>0</v>
      </c>
      <c r="O60" s="74">
        <f>IF(O$4&lt;INDEX(Assumptions!$B:$B,MATCH("V3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pre-V3-trigger)",Assumptions!$A$1:$A$327,0))*(1-(O$4-INDEX(Assumptions!$B:$B,MATCH("V3 Starlink launch trigger year",Assumptions!$A$1:$A$327,0)))/INDEX(Assumptions!$B:$B,MATCH("F9 build-rate decay window (years)",Assumptions!$A$1:$A$327,0)))))</f>
        <v>0</v>
      </c>
      <c r="P60" s="74">
        <f>IF(P$4&lt;INDEX(Assumptions!$B:$B,MATCH("V3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pre-V3-trigger)",Assumptions!$A$1:$A$327,0))*(1-(P$4-INDEX(Assumptions!$B:$B,MATCH("V3 Starlink launch trigger year",Assumptions!$A$1:$A$327,0)))/INDEX(Assumptions!$B:$B,MATCH("F9 build-rate decay window (years)",Assumptions!$A$1:$A$327,0)))))</f>
        <v>0</v>
      </c>
      <c r="Q60" s="74">
        <f>IF(Q$4&lt;INDEX(Assumptions!$B:$B,MATCH("V3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pre-V3-trigger)",Assumptions!$A$1:$A$327,0))*(1-(Q$4-INDEX(Assumptions!$B:$B,MATCH("V3 Starlink launch trigger year",Assumptions!$A$1:$A$327,0)))/INDEX(Assumptions!$B:$B,MATCH("F9 build-rate decay window (years)",Assumptions!$A$1:$A$327,0)))))</f>
        <v>0</v>
      </c>
      <c r="R60" s="74">
        <f>IF(R$4&lt;INDEX(Assumptions!$B:$B,MATCH("V3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pre-V3-trigger)",Assumptions!$A$1:$A$327,0))*(1-(R$4-INDEX(Assumptions!$B:$B,MATCH("V3 Starlink launch trigger year",Assumptions!$A$1:$A$327,0)))/INDEX(Assumptions!$B:$B,MATCH("F9 build-rate decay window (years)",Assumptions!$A$1:$A$327,0)))))</f>
        <v>0</v>
      </c>
      <c r="S60" s="74">
        <f>IF(S$4&lt;INDEX(Assumptions!$B:$B,MATCH("V3 Starlink launch trigger year",Assumptions!$A$1:$A$327,0)),INDEX(Assumptions!$B:$B,MATCH("F9 base booster build rate (boosters/year, pre-V3-trigger)",Assumptions!$A$1:$A$327,0)),MAX(0,INDEX(Assumptions!$B:$B,MATCH("F9 base booster build rate (boosters/year, pre-V3-trigger)",Assumptions!$A$1:$A$327,0))*(1-(S$4-INDEX(Assumptions!$B:$B,MATCH("V3 Starlink launch trigger year",Assumptions!$A$1:$A$327,0)))/INDEX(Assumptions!$B:$B,MATCH("F9 build-rate decay window (years)",Assumptions!$A$1:$A$327,0)))))</f>
        <v>0</v>
      </c>
    </row>
    <row r="61" spans="1:19" x14ac:dyDescent="0.2">
      <c r="A61" s="22" t="s">
        <v>784</v>
      </c>
      <c r="B61" s="8"/>
      <c r="C61" s="8"/>
      <c r="D61" s="74">
        <f>MAX( IFERROR(D19/INDEX(Assumptions!$B:$B,MATCH("F9 lifetime reuses per booster",Assumptions!$A$1:$A$327,0)),0), IFERROR(D62/INDEX(Assumptions!$B:$B,MATCH("Launch vehicle calendar life (years)",Assumptions!$A$1:$A$327,0)),0) )</f>
        <v>4.8857142857142861</v>
      </c>
      <c r="E61" s="74">
        <f>MAX( IFERROR(E19/INDEX(Assumptions!$B:$B,MATCH("F9 lifetime reuses per booster",Assumptions!$A$1:$A$327,0)),0), IFERROR(E62/INDEX(Assumptions!$B:$B,MATCH("Launch vehicle calendar life (years)",Assumptions!$A$1:$A$327,0)),0) )</f>
        <v>4.2857142857142856</v>
      </c>
      <c r="F61" s="74">
        <f>MAX( IFERROR(F19/INDEX(Assumptions!$B:$B,MATCH("F9 lifetime reuses per booster",Assumptions!$A$1:$A$327,0)),0), IFERROR(F62/INDEX(Assumptions!$B:$B,MATCH("Launch vehicle calendar life (years)",Assumptions!$A$1:$A$327,0)),0) )</f>
        <v>3.4828571428571431</v>
      </c>
      <c r="G61" s="74">
        <f>MAX( IFERROR(G19/INDEX(Assumptions!$B:$B,MATCH("F9 lifetime reuses per booster",Assumptions!$A$1:$A$327,0)),0), IFERROR(G62/INDEX(Assumptions!$B:$B,MATCH("Launch vehicle calendar life (years)",Assumptions!$A$1:$A$327,0)),0) )</f>
        <v>3.8345714285714285</v>
      </c>
      <c r="H61" s="74">
        <f>MAX( IFERROR(H19/INDEX(Assumptions!$B:$B,MATCH("F9 lifetime reuses per booster",Assumptions!$A$1:$A$327,0)),0), IFERROR(H62/INDEX(Assumptions!$B:$B,MATCH("Launch vehicle calendar life (years)",Assumptions!$A$1:$A$327,0)),0) )</f>
        <v>4.0511142857142861</v>
      </c>
      <c r="I61" s="74">
        <f>MAX( IFERROR(I19/INDEX(Assumptions!$B:$B,MATCH("F9 lifetime reuses per booster",Assumptions!$A$1:$A$327,0)),0), IFERROR(I62/INDEX(Assumptions!$B:$B,MATCH("Launch vehicle calendar life (years)",Assumptions!$A$1:$A$327,0)),0) )</f>
        <v>4.1460028571428573</v>
      </c>
      <c r="J61" s="74">
        <f>MAX( IFERROR(J19/INDEX(Assumptions!$B:$B,MATCH("F9 lifetime reuses per booster",Assumptions!$A$1:$A$327,0)),0), IFERROR(J62/INDEX(Assumptions!$B:$B,MATCH("Launch vehicle calendar life (years)",Assumptions!$A$1:$A$327,0)),0) )</f>
        <v>4.1314025714285716</v>
      </c>
      <c r="K61" s="74">
        <f>MAX( IFERROR(K19/INDEX(Assumptions!$B:$B,MATCH("F9 lifetime reuses per booster",Assumptions!$A$1:$A$327,0)),0), IFERROR(K62/INDEX(Assumptions!$B:$B,MATCH("Launch vehicle calendar life (years)",Assumptions!$A$1:$A$327,0)),0) )</f>
        <v>4.0182623142857148</v>
      </c>
      <c r="L61" s="74">
        <f>MAX( IFERROR(L19/INDEX(Assumptions!$B:$B,MATCH("F9 lifetime reuses per booster",Assumptions!$A$1:$A$327,0)),0), IFERROR(L62/INDEX(Assumptions!$B:$B,MATCH("Launch vehicle calendar life (years)",Assumptions!$A$1:$A$327,0)),0) )</f>
        <v>3.8164360828571433</v>
      </c>
      <c r="M61" s="74">
        <f>MAX( IFERROR(M19/INDEX(Assumptions!$B:$B,MATCH("F9 lifetime reuses per booster",Assumptions!$A$1:$A$327,0)),0), IFERROR(M62/INDEX(Assumptions!$B:$B,MATCH("Launch vehicle calendar life (years)",Assumptions!$A$1:$A$327,0)),0) )</f>
        <v>3.5347924745714288</v>
      </c>
      <c r="N61" s="74">
        <f>MAX( IFERROR(N19/INDEX(Assumptions!$B:$B,MATCH("F9 lifetime reuses per booster",Assumptions!$A$1:$A$327,0)),0), IFERROR(N62/INDEX(Assumptions!$B:$B,MATCH("Launch vehicle calendar life (years)",Assumptions!$A$1:$A$327,0)),0) )</f>
        <v>3.1813132271142859</v>
      </c>
      <c r="O61" s="74">
        <f>MAX( IFERROR(O19/INDEX(Assumptions!$B:$B,MATCH("F9 lifetime reuses per booster",Assumptions!$A$1:$A$327,0)),0), IFERROR(O62/INDEX(Assumptions!$B:$B,MATCH("Launch vehicle calendar life (years)",Assumptions!$A$1:$A$327,0)),0) )</f>
        <v>2.8631819044028575</v>
      </c>
      <c r="P61" s="74">
        <f>MAX( IFERROR(P19/INDEX(Assumptions!$B:$B,MATCH("F9 lifetime reuses per booster",Assumptions!$A$1:$A$327,0)),0), IFERROR(P62/INDEX(Assumptions!$B:$B,MATCH("Launch vehicle calendar life (years)",Assumptions!$A$1:$A$327,0)),0) )</f>
        <v>2.5768637139625716</v>
      </c>
      <c r="Q61" s="74">
        <f>MAX( IFERROR(Q19/INDEX(Assumptions!$B:$B,MATCH("F9 lifetime reuses per booster",Assumptions!$A$1:$A$327,0)),0), IFERROR(Q62/INDEX(Assumptions!$B:$B,MATCH("Launch vehicle calendar life (years)",Assumptions!$A$1:$A$327,0)),0) )</f>
        <v>2.3191773425663147</v>
      </c>
      <c r="R61" s="74">
        <f>MAX( IFERROR(R19/INDEX(Assumptions!$B:$B,MATCH("F9 lifetime reuses per booster",Assumptions!$A$1:$A$327,0)),0), IFERROR(R62/INDEX(Assumptions!$B:$B,MATCH("Launch vehicle calendar life (years)",Assumptions!$A$1:$A$327,0)),0) )</f>
        <v>2.087259608309683</v>
      </c>
      <c r="S61" s="74">
        <f>MAX( IFERROR(S19/INDEX(Assumptions!$B:$B,MATCH("F9 lifetime reuses per booster",Assumptions!$A$1:$A$327,0)),0), IFERROR(S62/INDEX(Assumptions!$B:$B,MATCH("Launch vehicle calendar life (years)",Assumptions!$A$1:$A$327,0)),0) )</f>
        <v>1.8785336474787147</v>
      </c>
    </row>
    <row r="62" spans="1:19" x14ac:dyDescent="0.2">
      <c r="A62" s="22" t="s">
        <v>785</v>
      </c>
      <c r="B62" s="8"/>
      <c r="C62" s="8"/>
      <c r="D62" s="74">
        <f>INDEX(Assumptions!$B:$B,MATCH("F9 starting fleet at 2025 SoY (boosters)",Assumptions!$A$1:$A$327,0))</f>
        <v>28</v>
      </c>
      <c r="E62" s="82">
        <f t="shared" ref="E62:S62" si="17">D63</f>
        <v>31.114285714285714</v>
      </c>
      <c r="F62" s="82">
        <f t="shared" si="17"/>
        <v>34.828571428571429</v>
      </c>
      <c r="G62" s="82">
        <f t="shared" si="17"/>
        <v>38.345714285714287</v>
      </c>
      <c r="H62" s="82">
        <f t="shared" si="17"/>
        <v>40.511142857142858</v>
      </c>
      <c r="I62" s="82">
        <f t="shared" si="17"/>
        <v>41.460028571428573</v>
      </c>
      <c r="J62" s="82">
        <f t="shared" si="17"/>
        <v>41.314025714285719</v>
      </c>
      <c r="K62" s="82">
        <f t="shared" si="17"/>
        <v>40.182623142857146</v>
      </c>
      <c r="L62" s="82">
        <f t="shared" si="17"/>
        <v>38.164360828571432</v>
      </c>
      <c r="M62" s="82">
        <f t="shared" si="17"/>
        <v>35.347924745714288</v>
      </c>
      <c r="N62" s="82">
        <f t="shared" si="17"/>
        <v>31.813132271142859</v>
      </c>
      <c r="O62" s="82">
        <f t="shared" si="17"/>
        <v>28.631819044028575</v>
      </c>
      <c r="P62" s="82">
        <f t="shared" si="17"/>
        <v>25.768637139625717</v>
      </c>
      <c r="Q62" s="82">
        <f t="shared" si="17"/>
        <v>23.191773425663147</v>
      </c>
      <c r="R62" s="82">
        <f t="shared" si="17"/>
        <v>20.87259608309683</v>
      </c>
      <c r="S62" s="82">
        <f t="shared" si="17"/>
        <v>18.785336474787147</v>
      </c>
    </row>
    <row r="63" spans="1:19" x14ac:dyDescent="0.2">
      <c r="A63" s="22" t="s">
        <v>786</v>
      </c>
      <c r="B63" s="8"/>
      <c r="C63" s="8"/>
      <c r="D63" s="82">
        <f t="shared" ref="D63:S63" si="18">D62+D60-D61</f>
        <v>31.114285714285714</v>
      </c>
      <c r="E63" s="82">
        <f t="shared" si="18"/>
        <v>34.828571428571429</v>
      </c>
      <c r="F63" s="82">
        <f t="shared" si="18"/>
        <v>38.345714285714287</v>
      </c>
      <c r="G63" s="82">
        <f t="shared" si="18"/>
        <v>40.511142857142858</v>
      </c>
      <c r="H63" s="82">
        <f t="shared" si="18"/>
        <v>41.460028571428573</v>
      </c>
      <c r="I63" s="82">
        <f t="shared" si="18"/>
        <v>41.314025714285719</v>
      </c>
      <c r="J63" s="82">
        <f t="shared" si="18"/>
        <v>40.182623142857146</v>
      </c>
      <c r="K63" s="82">
        <f t="shared" si="18"/>
        <v>38.164360828571432</v>
      </c>
      <c r="L63" s="82">
        <f t="shared" si="18"/>
        <v>35.347924745714288</v>
      </c>
      <c r="M63" s="82">
        <f t="shared" si="18"/>
        <v>31.813132271142859</v>
      </c>
      <c r="N63" s="82">
        <f t="shared" si="18"/>
        <v>28.631819044028575</v>
      </c>
      <c r="O63" s="82">
        <f t="shared" si="18"/>
        <v>25.768637139625717</v>
      </c>
      <c r="P63" s="82">
        <f t="shared" si="18"/>
        <v>23.191773425663147</v>
      </c>
      <c r="Q63" s="82">
        <f t="shared" si="18"/>
        <v>20.87259608309683</v>
      </c>
      <c r="R63" s="82">
        <f t="shared" si="18"/>
        <v>18.785336474787147</v>
      </c>
      <c r="S63" s="82">
        <f t="shared" si="18"/>
        <v>16.906802827308432</v>
      </c>
    </row>
    <row r="64" spans="1:19" x14ac:dyDescent="0.2">
      <c r="A64" s="22" t="s">
        <v>787</v>
      </c>
      <c r="B64" s="8"/>
      <c r="C64" s="8"/>
      <c r="D64" s="74">
        <f>D63*INDEX(Assumptions!$B:$B,MATCH("F9 cadence per booster (flights/year, flat)",Assumptions!$A$1:$A$327,0))</f>
        <v>248.91428571428571</v>
      </c>
      <c r="E64" s="74">
        <f>E63*INDEX(Assumptions!$B:$B,MATCH("F9 cadence per booster (flights/year, flat)",Assumptions!$A$1:$A$327,0))</f>
        <v>278.62857142857143</v>
      </c>
      <c r="F64" s="74">
        <f>F63*INDEX(Assumptions!$B:$B,MATCH("F9 cadence per booster (flights/year, flat)",Assumptions!$A$1:$A$327,0))</f>
        <v>306.7657142857143</v>
      </c>
      <c r="G64" s="74">
        <f>G63*INDEX(Assumptions!$B:$B,MATCH("F9 cadence per booster (flights/year, flat)",Assumptions!$A$1:$A$327,0))</f>
        <v>324.08914285714286</v>
      </c>
      <c r="H64" s="74">
        <f>H63*INDEX(Assumptions!$B:$B,MATCH("F9 cadence per booster (flights/year, flat)",Assumptions!$A$1:$A$327,0))</f>
        <v>331.68022857142859</v>
      </c>
      <c r="I64" s="74">
        <f>I63*INDEX(Assumptions!$B:$B,MATCH("F9 cadence per booster (flights/year, flat)",Assumptions!$A$1:$A$327,0))</f>
        <v>330.51220571428576</v>
      </c>
      <c r="J64" s="74">
        <f>J63*INDEX(Assumptions!$B:$B,MATCH("F9 cadence per booster (flights/year, flat)",Assumptions!$A$1:$A$327,0))</f>
        <v>321.46098514285717</v>
      </c>
      <c r="K64" s="74">
        <f>K63*INDEX(Assumptions!$B:$B,MATCH("F9 cadence per booster (flights/year, flat)",Assumptions!$A$1:$A$327,0))</f>
        <v>305.31488662857146</v>
      </c>
      <c r="L64" s="74">
        <f>L63*INDEX(Assumptions!$B:$B,MATCH("F9 cadence per booster (flights/year, flat)",Assumptions!$A$1:$A$327,0))</f>
        <v>282.7833979657143</v>
      </c>
      <c r="M64" s="74">
        <f>M63*INDEX(Assumptions!$B:$B,MATCH("F9 cadence per booster (flights/year, flat)",Assumptions!$A$1:$A$327,0))</f>
        <v>254.50505816914287</v>
      </c>
      <c r="N64" s="74">
        <f>N63*INDEX(Assumptions!$B:$B,MATCH("F9 cadence per booster (flights/year, flat)",Assumptions!$A$1:$A$327,0))</f>
        <v>229.0545523522286</v>
      </c>
      <c r="O64" s="74">
        <f>O63*INDEX(Assumptions!$B:$B,MATCH("F9 cadence per booster (flights/year, flat)",Assumptions!$A$1:$A$327,0))</f>
        <v>206.14909711700574</v>
      </c>
      <c r="P64" s="74">
        <f>P63*INDEX(Assumptions!$B:$B,MATCH("F9 cadence per booster (flights/year, flat)",Assumptions!$A$1:$A$327,0))</f>
        <v>185.53418740530518</v>
      </c>
      <c r="Q64" s="74">
        <f>Q63*INDEX(Assumptions!$B:$B,MATCH("F9 cadence per booster (flights/year, flat)",Assumptions!$A$1:$A$327,0))</f>
        <v>166.98076866477464</v>
      </c>
      <c r="R64" s="74">
        <f>R63*INDEX(Assumptions!$B:$B,MATCH("F9 cadence per booster (flights/year, flat)",Assumptions!$A$1:$A$327,0))</f>
        <v>150.28269179829718</v>
      </c>
      <c r="S64" s="74">
        <f>S63*INDEX(Assumptions!$B:$B,MATCH("F9 cadence per booster (flights/year, flat)",Assumptions!$A$1:$A$327,0))</f>
        <v>135.25442261846746</v>
      </c>
    </row>
    <row r="65" spans="1:19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x14ac:dyDescent="0.2">
      <c r="A66" s="215" t="s">
        <v>1607</v>
      </c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</row>
    <row r="67" spans="1:19" x14ac:dyDescent="0.2">
      <c r="A67" s="22" t="s">
        <v>788</v>
      </c>
      <c r="B67" s="8"/>
      <c r="C67" s="8"/>
      <c r="D67" s="70">
        <f t="array" aca="1" ref="D67" ca="1">IFERROR(INDEX(Starlink!$D:$AC,MATCH("Kg demand year N+1",Starlink!$A$1:$A$205,0),D$5+1),0)+IFERROR(INDEX('Customer Launch'!$D:$AC,MATCH("Kg demand year N+1",'Customer Launch'!$A$1:$A$153,0),D$5+1),0)+IFERROR(INDEX('AI - Compute'!$D:$AC,MATCH("Kg demand year N+1",'AI - Compute'!$A$1:$A$33,0),D$5+1),0)+IFERROR(INDEX('Lunar - Mars'!$D:$AC,MATCH("Kg demand year N+1",'Lunar - Mars'!$A$1:$A$133,0),D$5+1),0)</f>
        <v>36539261.88016355</v>
      </c>
      <c r="E67" s="70">
        <f t="array" aca="1" ref="E67" ca="1">IFERROR(INDEX(Starlink!$D:$AC,MATCH("Kg demand year N+1",Starlink!$A$1:$A$205,0),E$5+1),0)+IFERROR(INDEX('Customer Launch'!$D:$AC,MATCH("Kg demand year N+1",'Customer Launch'!$A$1:$A$153,0),E$5+1),0)+IFERROR(INDEX('AI - Compute'!$D:$AC,MATCH("Kg demand year N+1",'AI - Compute'!$A$1:$A$33,0),E$5+1),0)+IFERROR(INDEX('Lunar - Mars'!$D:$AC,MATCH("Kg demand year N+1",'Lunar - Mars'!$A$1:$A$133,0),E$5+1),0)</f>
        <v>41721739.651219949</v>
      </c>
      <c r="F67" s="70">
        <f t="array" aca="1" ref="F67" ca="1">IFERROR(INDEX(Starlink!$D:$AC,MATCH("Kg demand year N+1",Starlink!$A$1:$A$205,0),F$5+1),0)+IFERROR(INDEX('Customer Launch'!$D:$AC,MATCH("Kg demand year N+1",'Customer Launch'!$A$1:$A$153,0),F$5+1),0)+IFERROR(INDEX('AI - Compute'!$D:$AC,MATCH("Kg demand year N+1",'AI - Compute'!$A$1:$A$33,0),F$5+1),0)+IFERROR(INDEX('Lunar - Mars'!$D:$AC,MATCH("Kg demand year N+1",'Lunar - Mars'!$A$1:$A$133,0),F$5+1),0)</f>
        <v>54362171.453616835</v>
      </c>
      <c r="G67" s="70">
        <f t="array" aca="1" ref="G67" ca="1">IFERROR(INDEX(Starlink!$D:$AC,MATCH("Kg demand year N+1",Starlink!$A$1:$A$205,0),G$5+1),0)+IFERROR(INDEX('Customer Launch'!$D:$AC,MATCH("Kg demand year N+1",'Customer Launch'!$A$1:$A$153,0),G$5+1),0)+IFERROR(INDEX('AI - Compute'!$D:$AC,MATCH("Kg demand year N+1",'AI - Compute'!$A$1:$A$33,0),G$5+1),0)+IFERROR(INDEX('Lunar - Mars'!$D:$AC,MATCH("Kg demand year N+1",'Lunar - Mars'!$A$1:$A$133,0),G$5+1),0)</f>
        <v>71703525.606272161</v>
      </c>
      <c r="H67" s="70">
        <f t="array" aca="1" ref="H67" ca="1">IFERROR(INDEX(Starlink!$D:$AC,MATCH("Kg demand year N+1",Starlink!$A$1:$A$205,0),H$5+1),0)+IFERROR(INDEX('Customer Launch'!$D:$AC,MATCH("Kg demand year N+1",'Customer Launch'!$A$1:$A$153,0),H$5+1),0)+IFERROR(INDEX('AI - Compute'!$D:$AC,MATCH("Kg demand year N+1",'AI - Compute'!$A$1:$A$33,0),H$5+1),0)+IFERROR(INDEX('Lunar - Mars'!$D:$AC,MATCH("Kg demand year N+1",'Lunar - Mars'!$A$1:$A$133,0),H$5+1),0)</f>
        <v>101930311.68027732</v>
      </c>
      <c r="I67" s="70">
        <f t="array" aca="1" ref="I67" ca="1">IFERROR(INDEX(Starlink!$D:$AC,MATCH("Kg demand year N+1",Starlink!$A$1:$A$205,0),I$5+1),0)+IFERROR(INDEX('Customer Launch'!$D:$AC,MATCH("Kg demand year N+1",'Customer Launch'!$A$1:$A$153,0),I$5+1),0)+IFERROR(INDEX('AI - Compute'!$D:$AC,MATCH("Kg demand year N+1",'AI - Compute'!$A$1:$A$33,0),I$5+1),0)+IFERROR(INDEX('Lunar - Mars'!$D:$AC,MATCH("Kg demand year N+1",'Lunar - Mars'!$A$1:$A$133,0),I$5+1),0)</f>
        <v>136425836.04187742</v>
      </c>
      <c r="J67" s="70">
        <f t="array" aca="1" ref="J67" ca="1">IFERROR(INDEX(Starlink!$D:$AC,MATCH("Kg demand year N+1",Starlink!$A$1:$A$205,0),J$5+1),0)+IFERROR(INDEX('Customer Launch'!$D:$AC,MATCH("Kg demand year N+1",'Customer Launch'!$A$1:$A$153,0),J$5+1),0)+IFERROR(INDEX('AI - Compute'!$D:$AC,MATCH("Kg demand year N+1",'AI - Compute'!$A$1:$A$33,0),J$5+1),0)+IFERROR(INDEX('Lunar - Mars'!$D:$AC,MATCH("Kg demand year N+1",'Lunar - Mars'!$A$1:$A$133,0),J$5+1),0)</f>
        <v>216714415.23848647</v>
      </c>
      <c r="K67" s="70">
        <f t="array" aca="1" ref="K67" ca="1">IFERROR(INDEX(Starlink!$D:$AC,MATCH("Kg demand year N+1",Starlink!$A$1:$A$205,0),K$5+1),0)+IFERROR(INDEX('Customer Launch'!$D:$AC,MATCH("Kg demand year N+1",'Customer Launch'!$A$1:$A$153,0),K$5+1),0)+IFERROR(INDEX('AI - Compute'!$D:$AC,MATCH("Kg demand year N+1",'AI - Compute'!$A$1:$A$33,0),K$5+1),0)+IFERROR(INDEX('Lunar - Mars'!$D:$AC,MATCH("Kg demand year N+1",'Lunar - Mars'!$A$1:$A$133,0),K$5+1),0)</f>
        <v>184307128.92991585</v>
      </c>
      <c r="L67" s="70">
        <f t="array" aca="1" ref="L67" ca="1">IFERROR(INDEX(Starlink!$D:$AC,MATCH("Kg demand year N+1",Starlink!$A$1:$A$205,0),L$5+1),0)+IFERROR(INDEX('Customer Launch'!$D:$AC,MATCH("Kg demand year N+1",'Customer Launch'!$A$1:$A$153,0),L$5+1),0)+IFERROR(INDEX('AI - Compute'!$D:$AC,MATCH("Kg demand year N+1",'AI - Compute'!$A$1:$A$33,0),L$5+1),0)+IFERROR(INDEX('Lunar - Mars'!$D:$AC,MATCH("Kg demand year N+1",'Lunar - Mars'!$A$1:$A$133,0),L$5+1),0)</f>
        <v>212909128.99898413</v>
      </c>
      <c r="M67" s="70">
        <f t="array" aca="1" ref="M67" ca="1">IFERROR(INDEX(Starlink!$D:$AC,MATCH("Kg demand year N+1",Starlink!$A$1:$A$205,0),M$5+1),0)+IFERROR(INDEX('Customer Launch'!$D:$AC,MATCH("Kg demand year N+1",'Customer Launch'!$A$1:$A$153,0),M$5+1),0)+IFERROR(INDEX('AI - Compute'!$D:$AC,MATCH("Kg demand year N+1",'AI - Compute'!$A$1:$A$33,0),M$5+1),0)+IFERROR(INDEX('Lunar - Mars'!$D:$AC,MATCH("Kg demand year N+1",'Lunar - Mars'!$A$1:$A$133,0),M$5+1),0)</f>
        <v>283622524.33508271</v>
      </c>
      <c r="N67" s="70">
        <f t="array" aca="1" ref="N67" ca="1">IFERROR(INDEX(Starlink!$D:$AC,MATCH("Kg demand year N+1",Starlink!$A$1:$A$205,0),N$5+1),0)+IFERROR(INDEX('Customer Launch'!$D:$AC,MATCH("Kg demand year N+1",'Customer Launch'!$A$1:$A$153,0),N$5+1),0)+IFERROR(INDEX('AI - Compute'!$D:$AC,MATCH("Kg demand year N+1",'AI - Compute'!$A$1:$A$33,0),N$5+1),0)+IFERROR(INDEX('Lunar - Mars'!$D:$AC,MATCH("Kg demand year N+1",'Lunar - Mars'!$A$1:$A$133,0),N$5+1),0)</f>
        <v>333621606.34850693</v>
      </c>
      <c r="O67" s="70">
        <f t="array" aca="1" ref="O67" ca="1">IFERROR(INDEX(Starlink!$D:$AC,MATCH("Kg demand year N+1",Starlink!$A$1:$A$205,0),O$5+1),0)+IFERROR(INDEX('Customer Launch'!$D:$AC,MATCH("Kg demand year N+1",'Customer Launch'!$A$1:$A$153,0),O$5+1),0)+IFERROR(INDEX('AI - Compute'!$D:$AC,MATCH("Kg demand year N+1",'AI - Compute'!$A$1:$A$33,0),O$5+1),0)+IFERROR(INDEX('Lunar - Mars'!$D:$AC,MATCH("Kg demand year N+1",'Lunar - Mars'!$A$1:$A$133,0),O$5+1),0)</f>
        <v>419085361.02924895</v>
      </c>
      <c r="P67" s="70">
        <f t="array" aca="1" ref="P67" ca="1">IFERROR(INDEX(Starlink!$D:$AC,MATCH("Kg demand year N+1",Starlink!$A$1:$A$205,0),P$5+1),0)+IFERROR(INDEX('Customer Launch'!$D:$AC,MATCH("Kg demand year N+1",'Customer Launch'!$A$1:$A$153,0),P$5+1),0)+IFERROR(INDEX('AI - Compute'!$D:$AC,MATCH("Kg demand year N+1",'AI - Compute'!$A$1:$A$33,0),P$5+1),0)+IFERROR(INDEX('Lunar - Mars'!$D:$AC,MATCH("Kg demand year N+1",'Lunar - Mars'!$A$1:$A$133,0),P$5+1),0)</f>
        <v>399094983.32492888</v>
      </c>
      <c r="Q67" s="70">
        <f t="array" aca="1" ref="Q67" ca="1">IFERROR(INDEX(Starlink!$D:$AC,MATCH("Kg demand year N+1",Starlink!$A$1:$A$205,0),Q$5+1),0)+IFERROR(INDEX('Customer Launch'!$D:$AC,MATCH("Kg demand year N+1",'Customer Launch'!$A$1:$A$153,0),Q$5+1),0)+IFERROR(INDEX('AI - Compute'!$D:$AC,MATCH("Kg demand year N+1",'AI - Compute'!$A$1:$A$33,0),Q$5+1),0)+IFERROR(INDEX('Lunar - Mars'!$D:$AC,MATCH("Kg demand year N+1",'Lunar - Mars'!$A$1:$A$133,0),Q$5+1),0)</f>
        <v>351095355.0212726</v>
      </c>
      <c r="R67" s="70">
        <f t="array" aca="1" ref="R67" ca="1">IFERROR(INDEX(Starlink!$D:$AC,MATCH("Kg demand year N+1",Starlink!$A$1:$A$205,0),R$5+1),0)+IFERROR(INDEX('Customer Launch'!$D:$AC,MATCH("Kg demand year N+1",'Customer Launch'!$A$1:$A$153,0),R$5+1),0)+IFERROR(INDEX('AI - Compute'!$D:$AC,MATCH("Kg demand year N+1",'AI - Compute'!$A$1:$A$33,0),R$5+1),0)+IFERROR(INDEX('Lunar - Mars'!$D:$AC,MATCH("Kg demand year N+1",'Lunar - Mars'!$A$1:$A$133,0),R$5+1),0)</f>
        <v>265041102.22364771</v>
      </c>
      <c r="S67" s="70">
        <f t="array" aca="1" ref="S67" ca="1">IFERROR(INDEX(Starlink!$D:$AC,MATCH("Kg demand year N+1",Starlink!$A$1:$A$205,0),S$5+1),0)+IFERROR(INDEX('Customer Launch'!$D:$AC,MATCH("Kg demand year N+1",'Customer Launch'!$A$1:$A$153,0),S$5+1),0)+IFERROR(INDEX('AI - Compute'!$D:$AC,MATCH("Kg demand year N+1",'AI - Compute'!$A$1:$A$33,0),S$5+1),0)+IFERROR(INDEX('Lunar - Mars'!$D:$AC,MATCH("Kg demand year N+1",'Lunar - Mars'!$A$1:$A$133,0),S$5+1),0)</f>
        <v>174414834.60966572</v>
      </c>
    </row>
    <row r="68" spans="1:19" x14ac:dyDescent="0.2">
      <c r="A68" s="20" t="s">
        <v>1344</v>
      </c>
      <c r="B68" s="20"/>
      <c r="C68" s="20"/>
      <c r="D68" s="124">
        <f>D56*D11*D44+D62*INDEX(Assumptions!$B:$B,MATCH("F9 cadence per booster (flights/year, flat)",Assumptions!$A$1:$A$327,0))*INDEX(Assumptions!$B:$B,MATCH("F9 payload to LEO (kg)",Assumptions!$A$1:$A$327,0))</f>
        <v>5107200</v>
      </c>
      <c r="E68" s="124">
        <f ca="1">E56*E11*E44+E62*INDEX(Assumptions!$B:$B,MATCH("F9 cadence per booster (flights/year, flat)",Assumptions!$A$1:$A$327,0))*INDEX(Assumptions!$B:$B,MATCH("F9 payload to LEO (kg)",Assumptions!$A$1:$A$327,0))</f>
        <v>5675245.7142857146</v>
      </c>
      <c r="F68" s="124">
        <f ca="1">F56*F11*F44+F62*INDEX(Assumptions!$B:$B,MATCH("F9 cadence per booster (flights/year, flat)",Assumptions!$A$1:$A$327,0))*INDEX(Assumptions!$B:$B,MATCH("F9 payload to LEO (kg)",Assumptions!$A$1:$A$327,0))</f>
        <v>8463944.0858080592</v>
      </c>
      <c r="G68" s="124">
        <f ca="1">G56*G11*G44+G62*INDEX(Assumptions!$B:$B,MATCH("F9 cadence per booster (flights/year, flat)",Assumptions!$A$1:$A$327,0))*INDEX(Assumptions!$B:$B,MATCH("F9 payload to LEO (kg)",Assumptions!$A$1:$A$327,0))</f>
        <v>20795565.623956859</v>
      </c>
      <c r="H68" s="124">
        <f ca="1">H56*H11*H44+H62*INDEX(Assumptions!$B:$B,MATCH("F9 cadence per booster (flights/year, flat)",Assumptions!$A$1:$A$327,0))*INDEX(Assumptions!$B:$B,MATCH("F9 payload to LEO (kg)",Assumptions!$A$1:$A$327,0))</f>
        <v>60080413.873316675</v>
      </c>
      <c r="I68" s="124">
        <f ca="1">I56*I11*I44+I62*INDEX(Assumptions!$B:$B,MATCH("F9 cadence per booster (flights/year, flat)",Assumptions!$A$1:$A$327,0))*INDEX(Assumptions!$B:$B,MATCH("F9 payload to LEO (kg)",Assumptions!$A$1:$A$327,0))</f>
        <v>155435509.24327886</v>
      </c>
      <c r="J68" s="124">
        <f ca="1">J56*J11*J44+J62*INDEX(Assumptions!$B:$B,MATCH("F9 cadence per booster (flights/year, flat)",Assumptions!$A$1:$A$327,0))*INDEX(Assumptions!$B:$B,MATCH("F9 payload to LEO (kg)",Assumptions!$A$1:$A$327,0))</f>
        <v>303744292.18263942</v>
      </c>
      <c r="K68" s="124">
        <f ca="1">K56*K11*K44+K62*INDEX(Assumptions!$B:$B,MATCH("F9 cadence per booster (flights/year, flat)",Assumptions!$A$1:$A$327,0))*INDEX(Assumptions!$B:$B,MATCH("F9 payload to LEO (kg)",Assumptions!$A$1:$A$327,0))</f>
        <v>522711989.01515263</v>
      </c>
      <c r="L68" s="124">
        <f ca="1">L56*L11*L44+L62*INDEX(Assumptions!$B:$B,MATCH("F9 cadence per booster (flights/year, flat)",Assumptions!$A$1:$A$327,0))*INDEX(Assumptions!$B:$B,MATCH("F9 payload to LEO (kg)",Assumptions!$A$1:$A$327,0))</f>
        <v>543796334.77527714</v>
      </c>
      <c r="M68" s="124">
        <f ca="1">M56*M11*M44+M62*INDEX(Assumptions!$B:$B,MATCH("F9 cadence per booster (flights/year, flat)",Assumptions!$A$1:$A$327,0))*INDEX(Assumptions!$B:$B,MATCH("F9 payload to LEO (kg)",Assumptions!$A$1:$A$327,0))</f>
        <v>548718627.31791186</v>
      </c>
      <c r="N68" s="124">
        <f ca="1">N56*N11*N44+N62*INDEX(Assumptions!$B:$B,MATCH("F9 cadence per booster (flights/year, flat)",Assumptions!$A$1:$A$327,0))*INDEX(Assumptions!$B:$B,MATCH("F9 payload to LEO (kg)",Assumptions!$A$1:$A$327,0))</f>
        <v>541555208.75714505</v>
      </c>
      <c r="O68" s="124">
        <f ca="1">O56*O11*O44+O62*INDEX(Assumptions!$B:$B,MATCH("F9 cadence per booster (flights/year, flat)",Assumptions!$A$1:$A$327,0))*INDEX(Assumptions!$B:$B,MATCH("F9 payload to LEO (kg)",Assumptions!$A$1:$A$327,0))</f>
        <v>515694457.19272763</v>
      </c>
      <c r="P68" s="124">
        <f ca="1">P56*P11*P44+P62*INDEX(Assumptions!$B:$B,MATCH("F9 cadence per booster (flights/year, flat)",Assumptions!$A$1:$A$327,0))*INDEX(Assumptions!$B:$B,MATCH("F9 payload to LEO (kg)",Assumptions!$A$1:$A$327,0))</f>
        <v>462916380.63630843</v>
      </c>
      <c r="Q68" s="124">
        <f ca="1">Q56*Q11*Q44+Q62*INDEX(Assumptions!$B:$B,MATCH("F9 cadence per booster (flights/year, flat)",Assumptions!$A$1:$A$327,0))*INDEX(Assumptions!$B:$B,MATCH("F9 payload to LEO (kg)",Assumptions!$A$1:$A$327,0))</f>
        <v>398931423.8917864</v>
      </c>
      <c r="R68" s="124">
        <f ca="1">R56*R11*R44+R62*INDEX(Assumptions!$B:$B,MATCH("F9 cadence per booster (flights/year, flat)",Assumptions!$A$1:$A$327,0))*INDEX(Assumptions!$B:$B,MATCH("F9 payload to LEO (kg)",Assumptions!$A$1:$A$327,0))</f>
        <v>341791867.56086272</v>
      </c>
      <c r="S68" s="124">
        <f ca="1">S56*S11*S44+S62*INDEX(Assumptions!$B:$B,MATCH("F9 cadence per booster (flights/year, flat)",Assumptions!$A$1:$A$327,0))*INDEX(Assumptions!$B:$B,MATCH("F9 payload to LEO (kg)",Assumptions!$A$1:$A$327,0))</f>
        <v>284204812.71713591</v>
      </c>
    </row>
    <row r="69" spans="1:19" x14ac:dyDescent="0.2">
      <c r="A69" s="215" t="s">
        <v>1608</v>
      </c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</row>
    <row r="70" spans="1:19" x14ac:dyDescent="0.2">
      <c r="A70" s="24" t="s">
        <v>789</v>
      </c>
      <c r="B70" s="8"/>
      <c r="C70" s="8"/>
      <c r="D70" s="71">
        <f t="array" ref="D70">IFERROR(INDEX(Starlink!$D:$AC,MATCH("F9 internal launches per year (Starlink-driven)",Starlink!$A$1:$A$205,0),D$5+1),0)</f>
        <v>166</v>
      </c>
      <c r="E70" s="71">
        <f t="array" aca="1" ref="E70" ca="1">IFERROR(INDEX(Starlink!$D:$AC,MATCH("F9 internal launches per year (Starlink-driven)",Starlink!$A$1:$A$205,0),E$5+1),0)</f>
        <v>138</v>
      </c>
      <c r="F70" s="71">
        <f t="array" ref="F70">IFERROR(INDEX(Starlink!$D:$AC,MATCH("F9 internal launches per year (Starlink-driven)",Starlink!$A$1:$A$205,0),F$5+1),0)</f>
        <v>0</v>
      </c>
      <c r="G70" s="71">
        <f t="array" ref="G70">IFERROR(INDEX(Starlink!$D:$AC,MATCH("F9 internal launches per year (Starlink-driven)",Starlink!$A$1:$A$205,0),G$5+1),0)</f>
        <v>0</v>
      </c>
      <c r="H70" s="71">
        <f t="array" ref="H70">IFERROR(INDEX(Starlink!$D:$AC,MATCH("F9 internal launches per year (Starlink-driven)",Starlink!$A$1:$A$205,0),H$5+1),0)</f>
        <v>0</v>
      </c>
      <c r="I70" s="71">
        <f t="array" ref="I70">IFERROR(INDEX(Starlink!$D:$AC,MATCH("F9 internal launches per year (Starlink-driven)",Starlink!$A$1:$A$205,0),I$5+1),0)</f>
        <v>0</v>
      </c>
      <c r="J70" s="71">
        <f t="array" ref="J70">IFERROR(INDEX(Starlink!$D:$AC,MATCH("F9 internal launches per year (Starlink-driven)",Starlink!$A$1:$A$205,0),J$5+1),0)</f>
        <v>0</v>
      </c>
      <c r="K70" s="71">
        <f t="array" ref="K70">IFERROR(INDEX(Starlink!$D:$AC,MATCH("F9 internal launches per year (Starlink-driven)",Starlink!$A$1:$A$205,0),K$5+1),0)</f>
        <v>0</v>
      </c>
      <c r="L70" s="71">
        <f t="array" ref="L70">IFERROR(INDEX(Starlink!$D:$AC,MATCH("F9 internal launches per year (Starlink-driven)",Starlink!$A$1:$A$205,0),L$5+1),0)</f>
        <v>0</v>
      </c>
      <c r="M70" s="71">
        <f t="array" ref="M70">IFERROR(INDEX(Starlink!$D:$AC,MATCH("F9 internal launches per year (Starlink-driven)",Starlink!$A$1:$A$205,0),M$5+1),0)</f>
        <v>0</v>
      </c>
      <c r="N70" s="71">
        <f t="array" ref="N70">IFERROR(INDEX(Starlink!$D:$AC,MATCH("F9 internal launches per year (Starlink-driven)",Starlink!$A$1:$A$205,0),N$5+1),0)</f>
        <v>0</v>
      </c>
      <c r="O70" s="71">
        <f t="array" ref="O70">IFERROR(INDEX(Starlink!$D:$AC,MATCH("F9 internal launches per year (Starlink-driven)",Starlink!$A$1:$A$205,0),O$5+1),0)</f>
        <v>0</v>
      </c>
      <c r="P70" s="71">
        <f t="array" ref="P70">IFERROR(INDEX(Starlink!$D:$AC,MATCH("F9 internal launches per year (Starlink-driven)",Starlink!$A$1:$A$205,0),P$5+1),0)</f>
        <v>0</v>
      </c>
      <c r="Q70" s="71">
        <f t="array" ref="Q70">IFERROR(INDEX(Starlink!$D:$AC,MATCH("F9 internal launches per year (Starlink-driven)",Starlink!$A$1:$A$205,0),Q$5+1),0)</f>
        <v>0</v>
      </c>
      <c r="R70" s="71">
        <f t="array" ref="R70">IFERROR(INDEX(Starlink!$D:$AC,MATCH("F9 internal launches per year (Starlink-driven)",Starlink!$A$1:$A$205,0),R$5+1),0)</f>
        <v>0</v>
      </c>
      <c r="S70" s="71">
        <f t="array" ref="S70">IFERROR(INDEX(Starlink!$D:$AC,MATCH("F9 internal launches per year (Starlink-driven)",Starlink!$A$1:$A$205,0),S$5+1),0)</f>
        <v>0</v>
      </c>
    </row>
    <row r="71" spans="1:19" x14ac:dyDescent="0.2">
      <c r="A71" s="24" t="s">
        <v>790</v>
      </c>
      <c r="B71" s="8"/>
      <c r="C71" s="8"/>
      <c r="D71" s="71">
        <f t="array" aca="1" ref="D71" ca="1">IFERROR(INDEX('Customer Launch'!$D:$AC,MATCH("F9 customer launches (residual)",'Customer Launch'!$A$1:$A$153,0),D$5+1),IFERROR(INDEX('Customer Launch'!$D:$AC,MATCH("F9 customer launches per year",'Customer Launch'!$A$1:$A$153,0),D$5+1),0))</f>
        <v>29</v>
      </c>
      <c r="E71" s="71">
        <f t="array" aca="1" ref="E71" ca="1">IFERROR(INDEX('Customer Launch'!$D:$AC,MATCH("F9 customer launches (residual)",'Customer Launch'!$A$1:$A$153,0),E$5+1),IFERROR(INDEX('Customer Launch'!$D:$AC,MATCH("F9 customer launches per year",'Customer Launch'!$A$1:$A$153,0),E$5+1),0))</f>
        <v>84</v>
      </c>
      <c r="F71" s="71">
        <f t="array" aca="1" ref="F71" ca="1">IFERROR(INDEX('Customer Launch'!$D:$AC,MATCH("F9 customer launches (residual)",'Customer Launch'!$A$1:$A$153,0),F$5+1),IFERROR(INDEX('Customer Launch'!$D:$AC,MATCH("F9 customer launches per year",'Customer Launch'!$A$1:$A$153,0),F$5+1),0))</f>
        <v>200.20558467153288</v>
      </c>
      <c r="G71" s="71">
        <f t="array" aca="1" ref="G71" ca="1">IFERROR(INDEX('Customer Launch'!$D:$AC,MATCH("F9 customer launches (residual)",'Customer Launch'!$A$1:$A$153,0),G$5+1),IFERROR(INDEX('Customer Launch'!$D:$AC,MATCH("F9 customer launches per year",'Customer Launch'!$A$1:$A$153,0),G$5+1),0))</f>
        <v>219.22022247560051</v>
      </c>
      <c r="H71" s="71">
        <f t="array" aca="1" ref="H71" ca="1">IFERROR(INDEX('Customer Launch'!$D:$AC,MATCH("F9 customer launches (residual)",'Customer Launch'!$A$1:$A$153,0),H$5+1),IFERROR(INDEX('Customer Launch'!$D:$AC,MATCH("F9 customer launches per year",'Customer Launch'!$A$1:$A$153,0),H$5+1),0))</f>
        <v>243.65397969694556</v>
      </c>
      <c r="I71" s="71">
        <f t="array" aca="1" ref="I71" ca="1">IFERROR(INDEX('Customer Launch'!$D:$AC,MATCH("F9 customer launches (residual)",'Customer Launch'!$A$1:$A$153,0),I$5+1),IFERROR(INDEX('Customer Launch'!$D:$AC,MATCH("F9 customer launches per year",'Customer Launch'!$A$1:$A$153,0),I$5+1),0))</f>
        <v>270</v>
      </c>
      <c r="J71" s="71">
        <f t="array" aca="1" ref="J71" ca="1">IFERROR(INDEX('Customer Launch'!$D:$AC,MATCH("F9 customer launches (residual)",'Customer Launch'!$A$1:$A$153,0),J$5+1),IFERROR(INDEX('Customer Launch'!$D:$AC,MATCH("F9 customer launches per year",'Customer Launch'!$A$1:$A$153,0),J$5+1),0))</f>
        <v>267</v>
      </c>
      <c r="K71" s="71">
        <f t="array" aca="1" ref="K71" ca="1">IFERROR(INDEX('Customer Launch'!$D:$AC,MATCH("F9 customer launches (residual)",'Customer Launch'!$A$1:$A$153,0),K$5+1),IFERROR(INDEX('Customer Launch'!$D:$AC,MATCH("F9 customer launches per year",'Customer Launch'!$A$1:$A$153,0),K$5+1),0))</f>
        <v>61.539136051043272</v>
      </c>
      <c r="L71" s="71">
        <f t="array" aca="1" ref="L71" ca="1">IFERROR(INDEX('Customer Launch'!$D:$AC,MATCH("F9 customer launches (residual)",'Customer Launch'!$A$1:$A$153,0),L$5+1),IFERROR(INDEX('Customer Launch'!$D:$AC,MATCH("F9 customer launches per year",'Customer Launch'!$A$1:$A$153,0),L$5+1),0))</f>
        <v>27.416506458860624</v>
      </c>
      <c r="M71" s="71">
        <f t="array" aca="1" ref="M71" ca="1">IFERROR(INDEX('Customer Launch'!$D:$AC,MATCH("F9 customer launches (residual)",'Customer Launch'!$A$1:$A$153,0),M$5+1),IFERROR(INDEX('Customer Launch'!$D:$AC,MATCH("F9 customer launches per year",'Customer Launch'!$A$1:$A$153,0),M$5+1),0))</f>
        <v>11.352319127390047</v>
      </c>
      <c r="N71" s="71">
        <f t="array" aca="1" ref="N71" ca="1">IFERROR(INDEX('Customer Launch'!$D:$AC,MATCH("F9 customer launches (residual)",'Customer Launch'!$A$1:$A$153,0),N$5+1),IFERROR(INDEX('Customer Launch'!$D:$AC,MATCH("F9 customer launches per year",'Customer Launch'!$A$1:$A$153,0),N$5+1),0))</f>
        <v>4.5611339034795719</v>
      </c>
      <c r="O71" s="71">
        <f t="array" aca="1" ref="O71" ca="1">IFERROR(INDEX('Customer Launch'!$D:$AC,MATCH("F9 customer launches (residual)",'Customer Launch'!$A$1:$A$153,0),O$5+1),IFERROR(INDEX('Customer Launch'!$D:$AC,MATCH("F9 customer launches per year",'Customer Launch'!$A$1:$A$153,0),O$5+1),0))</f>
        <v>1.811967029299808</v>
      </c>
      <c r="P71" s="71">
        <f t="array" aca="1" ref="P71" ca="1">IFERROR(INDEX('Customer Launch'!$D:$AC,MATCH("F9 customer launches (residual)",'Customer Launch'!$A$1:$A$153,0),P$5+1),IFERROR(INDEX('Customer Launch'!$D:$AC,MATCH("F9 customer launches per year",'Customer Launch'!$A$1:$A$153,0),P$5+1),0))</f>
        <v>0.71679629206266782</v>
      </c>
      <c r="Q71" s="71">
        <f t="array" aca="1" ref="Q71" ca="1">IFERROR(INDEX('Customer Launch'!$D:$AC,MATCH("F9 customer launches (residual)",'Customer Launch'!$A$1:$A$153,0),Q$5+1),IFERROR(INDEX('Customer Launch'!$D:$AC,MATCH("F9 customer launches per year",'Customer Launch'!$A$1:$A$153,0),Q$5+1),0))</f>
        <v>0.28317870723714123</v>
      </c>
      <c r="R71" s="71">
        <f t="array" aca="1" ref="R71" ca="1">IFERROR(INDEX('Customer Launch'!$D:$AC,MATCH("F9 customer launches (residual)",'Customer Launch'!$A$1:$A$153,0),R$5+1),IFERROR(INDEX('Customer Launch'!$D:$AC,MATCH("F9 customer launches per year",'Customer Launch'!$A$1:$A$153,0),R$5+1),0))</f>
        <v>16.132360811390413</v>
      </c>
      <c r="S71" s="71">
        <f t="array" aca="1" ref="S71" ca="1">IFERROR(INDEX('Customer Launch'!$D:$AC,MATCH("F9 customer launches (residual)",'Customer Launch'!$A$1:$A$153,0),S$5+1),IFERROR(INDEX('Customer Launch'!$D:$AC,MATCH("F9 customer launches per year",'Customer Launch'!$A$1:$A$153,0),S$5+1),0))</f>
        <v>6</v>
      </c>
    </row>
    <row r="72" spans="1:19" x14ac:dyDescent="0.2">
      <c r="A72" s="21" t="s">
        <v>791</v>
      </c>
      <c r="B72" s="20"/>
      <c r="C72" s="20"/>
      <c r="D72" s="193">
        <f t="shared" ref="D72:S72" ca="1" si="19">D70+D71</f>
        <v>195</v>
      </c>
      <c r="E72" s="193">
        <f t="shared" ca="1" si="19"/>
        <v>222</v>
      </c>
      <c r="F72" s="193">
        <f t="shared" ca="1" si="19"/>
        <v>200.20558467153288</v>
      </c>
      <c r="G72" s="193">
        <f t="shared" ca="1" si="19"/>
        <v>219.22022247560051</v>
      </c>
      <c r="H72" s="193">
        <f t="shared" ca="1" si="19"/>
        <v>243.65397969694556</v>
      </c>
      <c r="I72" s="193">
        <f t="shared" ca="1" si="19"/>
        <v>270</v>
      </c>
      <c r="J72" s="193">
        <f t="shared" ca="1" si="19"/>
        <v>267</v>
      </c>
      <c r="K72" s="193">
        <f t="shared" ca="1" si="19"/>
        <v>61.539136051043272</v>
      </c>
      <c r="L72" s="193">
        <f t="shared" ca="1" si="19"/>
        <v>27.416506458860624</v>
      </c>
      <c r="M72" s="193">
        <f t="shared" ca="1" si="19"/>
        <v>11.352319127390047</v>
      </c>
      <c r="N72" s="193">
        <f t="shared" ca="1" si="19"/>
        <v>4.5611339034795719</v>
      </c>
      <c r="O72" s="193">
        <f t="shared" ca="1" si="19"/>
        <v>1.811967029299808</v>
      </c>
      <c r="P72" s="193">
        <f t="shared" ca="1" si="19"/>
        <v>0.71679629206266782</v>
      </c>
      <c r="Q72" s="193">
        <f t="shared" ca="1" si="19"/>
        <v>0.28317870723714123</v>
      </c>
      <c r="R72" s="193">
        <f t="shared" ca="1" si="19"/>
        <v>16.132360811390413</v>
      </c>
      <c r="S72" s="193">
        <f t="shared" ca="1" si="19"/>
        <v>6</v>
      </c>
    </row>
    <row r="73" spans="1:19" x14ac:dyDescent="0.2">
      <c r="A73" s="24" t="s">
        <v>792</v>
      </c>
      <c r="B73" s="8"/>
      <c r="C73" s="8"/>
      <c r="D73" s="82">
        <f t="shared" ref="D73:S73" si="20">D64</f>
        <v>248.91428571428571</v>
      </c>
      <c r="E73" s="82">
        <f t="shared" si="20"/>
        <v>278.62857142857143</v>
      </c>
      <c r="F73" s="82">
        <f t="shared" si="20"/>
        <v>306.7657142857143</v>
      </c>
      <c r="G73" s="82">
        <f t="shared" si="20"/>
        <v>324.08914285714286</v>
      </c>
      <c r="H73" s="82">
        <f t="shared" si="20"/>
        <v>331.68022857142859</v>
      </c>
      <c r="I73" s="82">
        <f t="shared" si="20"/>
        <v>330.51220571428576</v>
      </c>
      <c r="J73" s="82">
        <f t="shared" si="20"/>
        <v>321.46098514285717</v>
      </c>
      <c r="K73" s="82">
        <f t="shared" si="20"/>
        <v>305.31488662857146</v>
      </c>
      <c r="L73" s="82">
        <f t="shared" si="20"/>
        <v>282.7833979657143</v>
      </c>
      <c r="M73" s="82">
        <f t="shared" si="20"/>
        <v>254.50505816914287</v>
      </c>
      <c r="N73" s="82">
        <f t="shared" si="20"/>
        <v>229.0545523522286</v>
      </c>
      <c r="O73" s="82">
        <f t="shared" si="20"/>
        <v>206.14909711700574</v>
      </c>
      <c r="P73" s="82">
        <f t="shared" si="20"/>
        <v>185.53418740530518</v>
      </c>
      <c r="Q73" s="82">
        <f t="shared" si="20"/>
        <v>166.98076866477464</v>
      </c>
      <c r="R73" s="82">
        <f t="shared" si="20"/>
        <v>150.28269179829718</v>
      </c>
      <c r="S73" s="82">
        <f t="shared" si="20"/>
        <v>135.25442261846746</v>
      </c>
    </row>
    <row r="74" spans="1:19" x14ac:dyDescent="0.2">
      <c r="A74" s="24" t="s">
        <v>1493</v>
      </c>
      <c r="B74" s="8"/>
      <c r="C74" s="8"/>
      <c r="D74" s="74">
        <f ca="1">D72*INDEX(Assumptions!$B:$B,MATCH("F9 average realized payload per launch (kg)",Assumptions!$A$1:$A$327,0))</f>
        <v>2515500</v>
      </c>
      <c r="E74" s="74">
        <f ca="1">E72*INDEX(Assumptions!$B:$B,MATCH("F9 average realized payload per launch (kg)",Assumptions!$A$1:$A$327,0))</f>
        <v>2863800</v>
      </c>
      <c r="F74" s="74">
        <f ca="1">F72*INDEX(Assumptions!$B:$B,MATCH("F9 average realized payload per launch (kg)",Assumptions!$A$1:$A$327,0))</f>
        <v>2582652.042262774</v>
      </c>
      <c r="G74" s="74">
        <f ca="1">G72*INDEX(Assumptions!$B:$B,MATCH("F9 average realized payload per launch (kg)",Assumptions!$A$1:$A$327,0))</f>
        <v>2827940.8699352467</v>
      </c>
      <c r="H74" s="74">
        <f ca="1">H72*INDEX(Assumptions!$B:$B,MATCH("F9 average realized payload per launch (kg)",Assumptions!$A$1:$A$327,0))</f>
        <v>3143136.3380905977</v>
      </c>
      <c r="I74" s="74">
        <f ca="1">I72*INDEX(Assumptions!$B:$B,MATCH("F9 average realized payload per launch (kg)",Assumptions!$A$1:$A$327,0))</f>
        <v>3483000</v>
      </c>
      <c r="J74" s="74">
        <f ca="1">J72*INDEX(Assumptions!$B:$B,MATCH("F9 average realized payload per launch (kg)",Assumptions!$A$1:$A$327,0))</f>
        <v>3444300</v>
      </c>
      <c r="K74" s="74">
        <f ca="1">K72*INDEX(Assumptions!$B:$B,MATCH("F9 average realized payload per launch (kg)",Assumptions!$A$1:$A$327,0))</f>
        <v>793854.85505845817</v>
      </c>
      <c r="L74" s="74">
        <f ca="1">L72*INDEX(Assumptions!$B:$B,MATCH("F9 average realized payload per launch (kg)",Assumptions!$A$1:$A$327,0))</f>
        <v>353672.93331930204</v>
      </c>
      <c r="M74" s="74">
        <f ca="1">M72*INDEX(Assumptions!$B:$B,MATCH("F9 average realized payload per launch (kg)",Assumptions!$A$1:$A$327,0))</f>
        <v>146444.91674333159</v>
      </c>
      <c r="N74" s="74">
        <f ca="1">N72*INDEX(Assumptions!$B:$B,MATCH("F9 average realized payload per launch (kg)",Assumptions!$A$1:$A$327,0))</f>
        <v>58838.627354886477</v>
      </c>
      <c r="O74" s="74">
        <f ca="1">O72*INDEX(Assumptions!$B:$B,MATCH("F9 average realized payload per launch (kg)",Assumptions!$A$1:$A$327,0))</f>
        <v>23374.374677967524</v>
      </c>
      <c r="P74" s="74">
        <f ca="1">P72*INDEX(Assumptions!$B:$B,MATCH("F9 average realized payload per launch (kg)",Assumptions!$A$1:$A$327,0))</f>
        <v>9246.6721676084144</v>
      </c>
      <c r="Q74" s="74">
        <f ca="1">Q72*INDEX(Assumptions!$B:$B,MATCH("F9 average realized payload per launch (kg)",Assumptions!$A$1:$A$327,0))</f>
        <v>3653.0053233591216</v>
      </c>
      <c r="R74" s="74">
        <f ca="1">R72*INDEX(Assumptions!$B:$B,MATCH("F9 average realized payload per launch (kg)",Assumptions!$A$1:$A$327,0))</f>
        <v>208107.45446693632</v>
      </c>
      <c r="S74" s="74">
        <f ca="1">S72*INDEX(Assumptions!$B:$B,MATCH("F9 average realized payload per launch (kg)",Assumptions!$A$1:$A$327,0))</f>
        <v>77400</v>
      </c>
    </row>
    <row r="75" spans="1:19" x14ac:dyDescent="0.2">
      <c r="A75" s="24" t="s">
        <v>1494</v>
      </c>
      <c r="B75" s="8"/>
      <c r="C75" s="8"/>
      <c r="D75" s="82">
        <f t="shared" ref="D75:S75" ca="1" si="21">D20*D44</f>
        <v>0</v>
      </c>
      <c r="E75" s="82">
        <f t="shared" ca="1" si="21"/>
        <v>0</v>
      </c>
      <c r="F75" s="82">
        <f t="shared" ca="1" si="21"/>
        <v>8048998.255714654</v>
      </c>
      <c r="G75" s="82">
        <f t="shared" ca="1" si="21"/>
        <v>19249600.394682057</v>
      </c>
      <c r="H75" s="82">
        <f t="shared" ca="1" si="21"/>
        <v>45965069.742035359</v>
      </c>
      <c r="I75" s="82">
        <f t="shared" ca="1" si="21"/>
        <v>84646340.209962606</v>
      </c>
      <c r="J75" s="82">
        <f t="shared" ca="1" si="21"/>
        <v>127232577.52311626</v>
      </c>
      <c r="K75" s="82">
        <f t="shared" ca="1" si="21"/>
        <v>153078314.40593445</v>
      </c>
      <c r="L75" s="82">
        <f t="shared" ca="1" si="21"/>
        <v>177112567.60565349</v>
      </c>
      <c r="M75" s="82">
        <f t="shared" ca="1" si="21"/>
        <v>236619837.81146029</v>
      </c>
      <c r="N75" s="82">
        <f t="shared" ca="1" si="21"/>
        <v>267260847.00861949</v>
      </c>
      <c r="O75" s="82">
        <f t="shared" ca="1" si="21"/>
        <v>342925767.13057983</v>
      </c>
      <c r="P75" s="82">
        <f t="shared" ca="1" si="21"/>
        <v>326250894.41053623</v>
      </c>
      <c r="Q75" s="82">
        <f t="shared" ca="1" si="21"/>
        <v>261075371.15620202</v>
      </c>
      <c r="R75" s="82">
        <f t="shared" ca="1" si="21"/>
        <v>256155689.54164833</v>
      </c>
      <c r="S75" s="82">
        <f t="shared" ca="1" si="21"/>
        <v>174531578.7347306</v>
      </c>
    </row>
    <row r="76" spans="1:19" x14ac:dyDescent="0.2">
      <c r="A76" s="21" t="s">
        <v>793</v>
      </c>
      <c r="B76" s="20"/>
      <c r="C76" s="20"/>
      <c r="D76" s="193">
        <f t="shared" ref="D76:S76" ca="1" si="22">(D74+D75)/1000</f>
        <v>2515.5</v>
      </c>
      <c r="E76" s="193">
        <f t="shared" ca="1" si="22"/>
        <v>2863.8</v>
      </c>
      <c r="F76" s="193">
        <f t="shared" ca="1" si="22"/>
        <v>10631.650297977429</v>
      </c>
      <c r="G76" s="193">
        <f t="shared" ca="1" si="22"/>
        <v>22077.541264617306</v>
      </c>
      <c r="H76" s="193">
        <f t="shared" ca="1" si="22"/>
        <v>49108.206080125958</v>
      </c>
      <c r="I76" s="193">
        <f t="shared" ca="1" si="22"/>
        <v>88129.340209962611</v>
      </c>
      <c r="J76" s="193">
        <f t="shared" ca="1" si="22"/>
        <v>130676.87752311626</v>
      </c>
      <c r="K76" s="193">
        <f t="shared" ca="1" si="22"/>
        <v>153872.1692609929</v>
      </c>
      <c r="L76" s="193">
        <f t="shared" ca="1" si="22"/>
        <v>177466.24053897281</v>
      </c>
      <c r="M76" s="193">
        <f t="shared" ca="1" si="22"/>
        <v>236766.28272820363</v>
      </c>
      <c r="N76" s="193">
        <f t="shared" ca="1" si="22"/>
        <v>267319.6856359744</v>
      </c>
      <c r="O76" s="193">
        <f t="shared" ca="1" si="22"/>
        <v>342949.14150525781</v>
      </c>
      <c r="P76" s="193">
        <f t="shared" ca="1" si="22"/>
        <v>326260.14108270383</v>
      </c>
      <c r="Q76" s="193">
        <f t="shared" ca="1" si="22"/>
        <v>261079.02416152536</v>
      </c>
      <c r="R76" s="193">
        <f t="shared" ca="1" si="22"/>
        <v>256363.79699611527</v>
      </c>
      <c r="S76" s="193">
        <f t="shared" ca="1" si="22"/>
        <v>174608.9787347306</v>
      </c>
    </row>
    <row r="77" spans="1:19" x14ac:dyDescent="0.2">
      <c r="A77" s="24" t="s">
        <v>1345</v>
      </c>
      <c r="B77" s="8"/>
      <c r="C77" s="8"/>
      <c r="D77" s="131">
        <v>0</v>
      </c>
      <c r="E77" s="131">
        <v>0</v>
      </c>
      <c r="F77" s="131">
        <v>0</v>
      </c>
      <c r="G77" s="131">
        <v>0</v>
      </c>
      <c r="H77" s="131">
        <v>0</v>
      </c>
      <c r="I77" s="131">
        <v>0</v>
      </c>
      <c r="J77" s="131">
        <v>0</v>
      </c>
      <c r="K77" s="131">
        <v>0</v>
      </c>
      <c r="L77" s="131">
        <v>0</v>
      </c>
      <c r="M77" s="131">
        <v>0</v>
      </c>
      <c r="N77" s="131">
        <v>0</v>
      </c>
      <c r="O77" s="131">
        <v>0</v>
      </c>
      <c r="P77" s="131">
        <v>0</v>
      </c>
      <c r="Q77" s="131">
        <v>0</v>
      </c>
      <c r="R77" s="131">
        <v>0</v>
      </c>
      <c r="S77" s="131">
        <v>0</v>
      </c>
    </row>
    <row r="78" spans="1:19" x14ac:dyDescent="0.2">
      <c r="A78" s="24" t="s">
        <v>1747</v>
      </c>
      <c r="B78" s="8"/>
      <c r="C78" s="8"/>
      <c r="D78" s="82">
        <f>D70</f>
        <v>166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</row>
    <row r="79" spans="1:19" x14ac:dyDescent="0.2">
      <c r="A79" s="24" t="s">
        <v>1748</v>
      </c>
      <c r="B79" s="8"/>
      <c r="C79" s="8"/>
      <c r="D79" s="82">
        <f ca="1">D71</f>
        <v>29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</row>
    <row r="80" spans="1:19" x14ac:dyDescent="0.2">
      <c r="A80" s="21" t="s">
        <v>1749</v>
      </c>
      <c r="B80" s="20"/>
      <c r="C80" s="20"/>
      <c r="D80" s="193">
        <f ca="1">D72</f>
        <v>195</v>
      </c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</row>
    <row r="81" spans="1:19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216" t="s">
        <v>1609</v>
      </c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</row>
    <row r="83" spans="1:19" x14ac:dyDescent="0.2">
      <c r="A83" s="24" t="s">
        <v>794</v>
      </c>
      <c r="B83" s="8"/>
      <c r="C83" s="8"/>
      <c r="D83" s="175">
        <f t="shared" ref="D83:S83" si="23">IFERROR(D106/D12,0)</f>
        <v>0</v>
      </c>
      <c r="E83" s="175">
        <f t="shared" ca="1" si="23"/>
        <v>1544.5222469048463</v>
      </c>
      <c r="F83" s="175">
        <f t="shared" ca="1" si="23"/>
        <v>4027.492969361761</v>
      </c>
      <c r="G83" s="175">
        <f t="shared" ca="1" si="23"/>
        <v>1999.5068286738433</v>
      </c>
      <c r="H83" s="175">
        <f t="shared" ca="1" si="23"/>
        <v>1133.2380541336404</v>
      </c>
      <c r="I83" s="175">
        <f t="shared" ca="1" si="23"/>
        <v>673.88856420842797</v>
      </c>
      <c r="J83" s="175">
        <f t="shared" ca="1" si="23"/>
        <v>507.96095838639428</v>
      </c>
      <c r="K83" s="175">
        <f t="shared" ca="1" si="23"/>
        <v>368.25323858947172</v>
      </c>
      <c r="L83" s="175">
        <f t="shared" ca="1" si="23"/>
        <v>303.75821383260745</v>
      </c>
      <c r="M83" s="175">
        <f t="shared" ca="1" si="23"/>
        <v>274.59223513496522</v>
      </c>
      <c r="N83" s="175">
        <f t="shared" ca="1" si="23"/>
        <v>252.91242578931394</v>
      </c>
      <c r="O83" s="175">
        <f t="shared" ca="1" si="23"/>
        <v>222.34782170446448</v>
      </c>
      <c r="P83" s="175">
        <f t="shared" ca="1" si="23"/>
        <v>176.4539085586101</v>
      </c>
      <c r="Q83" s="175">
        <f t="shared" ca="1" si="23"/>
        <v>125.57682000287535</v>
      </c>
      <c r="R83" s="175">
        <f t="shared" ca="1" si="23"/>
        <v>116.69694016772507</v>
      </c>
      <c r="S83" s="175">
        <f t="shared" ca="1" si="23"/>
        <v>130.47456314854253</v>
      </c>
    </row>
    <row r="84" spans="1:19" x14ac:dyDescent="0.2">
      <c r="A84" s="24" t="s">
        <v>795</v>
      </c>
      <c r="B84" s="8"/>
      <c r="C84" s="8"/>
      <c r="D84" s="175">
        <f ca="1">MIN( MAX(0,D83-D85+D86), D107 )</f>
        <v>0</v>
      </c>
      <c r="E84" s="175">
        <f ca="1">MIN( MAX(0,E83-E85+E86), E107 )</f>
        <v>8</v>
      </c>
      <c r="F84" s="175">
        <f t="shared" ref="F84:S84" ca="1" si="24">MIN( MAX(0,F83-F85+F86), F107 )</f>
        <v>23</v>
      </c>
      <c r="G84" s="175">
        <f t="shared" ca="1" si="24"/>
        <v>38</v>
      </c>
      <c r="H84" s="175">
        <f t="shared" ca="1" si="24"/>
        <v>53</v>
      </c>
      <c r="I84" s="175">
        <f t="shared" ca="1" si="24"/>
        <v>68</v>
      </c>
      <c r="J84" s="175">
        <f t="shared" ca="1" si="24"/>
        <v>83</v>
      </c>
      <c r="K84" s="175">
        <f t="shared" ca="1" si="24"/>
        <v>98</v>
      </c>
      <c r="L84" s="175">
        <f t="shared" ca="1" si="24"/>
        <v>90.875663768774174</v>
      </c>
      <c r="M84" s="175">
        <f t="shared" ca="1" si="24"/>
        <v>29.98898075522284</v>
      </c>
      <c r="N84" s="175">
        <f t="shared" ca="1" si="24"/>
        <v>45.135402406503587</v>
      </c>
      <c r="O84" s="175">
        <f t="shared" ca="1" si="24"/>
        <v>55.166837697795501</v>
      </c>
      <c r="P84" s="175">
        <f t="shared" ca="1" si="24"/>
        <v>35.66881045677971</v>
      </c>
      <c r="Q84" s="175">
        <f t="shared" ca="1" si="24"/>
        <v>14.391754233315766</v>
      </c>
      <c r="R84" s="175">
        <f t="shared" ca="1" si="24"/>
        <v>55.159042550261802</v>
      </c>
      <c r="S84" s="175">
        <f t="shared" ca="1" si="24"/>
        <v>57.410517664500091</v>
      </c>
    </row>
    <row r="85" spans="1:19" x14ac:dyDescent="0.2">
      <c r="A85" s="24" t="s">
        <v>796</v>
      </c>
      <c r="B85" s="8"/>
      <c r="C85" s="8"/>
      <c r="D85" s="161">
        <v>0</v>
      </c>
      <c r="E85" s="175">
        <f t="shared" ref="E85:S85" ca="1" si="25">D87</f>
        <v>0</v>
      </c>
      <c r="F85" s="175">
        <f t="shared" ca="1" si="25"/>
        <v>8</v>
      </c>
      <c r="G85" s="175">
        <f t="shared" ca="1" si="25"/>
        <v>27.95</v>
      </c>
      <c r="H85" s="175">
        <f t="shared" ca="1" si="25"/>
        <v>59.6</v>
      </c>
      <c r="I85" s="175">
        <f t="shared" ca="1" si="25"/>
        <v>99.399999999999991</v>
      </c>
      <c r="J85" s="175">
        <f t="shared" ca="1" si="25"/>
        <v>146.23841494750931</v>
      </c>
      <c r="K85" s="175">
        <f t="shared" ca="1" si="25"/>
        <v>197.43027056673026</v>
      </c>
      <c r="L85" s="175">
        <f t="shared" ca="1" si="25"/>
        <v>257.16069196524666</v>
      </c>
      <c r="M85" s="175">
        <f t="shared" ca="1" si="25"/>
        <v>303.75821383260745</v>
      </c>
      <c r="N85" s="175">
        <f t="shared" ca="1" si="25"/>
        <v>274.59223513496522</v>
      </c>
      <c r="O85" s="175">
        <f t="shared" ca="1" si="25"/>
        <v>252.91242578931394</v>
      </c>
      <c r="P85" s="175">
        <f t="shared" ca="1" si="25"/>
        <v>222.34782170446445</v>
      </c>
      <c r="Q85" s="175">
        <f t="shared" ca="1" si="25"/>
        <v>176.4539085586101</v>
      </c>
      <c r="R85" s="175">
        <f t="shared" ca="1" si="25"/>
        <v>125.57682000287535</v>
      </c>
      <c r="S85" s="175">
        <f t="shared" ca="1" si="25"/>
        <v>116.69694016772509</v>
      </c>
    </row>
    <row r="86" spans="1:19" x14ac:dyDescent="0.2">
      <c r="A86" s="24" t="s">
        <v>797</v>
      </c>
      <c r="B86" s="8"/>
      <c r="C86" s="8"/>
      <c r="D86" s="63">
        <f ca="1">MAX( IFERROR(D20/INDEX(Assumptions!$B:$B,MATCH("Starship ship reuse life (flights per ship)",Assumptions!$A$1:$A$327,0)),0), IFERROR(D85/INDEX(Assumptions!$B:$B,MATCH("Launch vehicle calendar life (years)",Assumptions!$A$1:$A$327,0)),0) )</f>
        <v>0</v>
      </c>
      <c r="E86" s="63">
        <f ca="1">MAX( IFERROR(E20/INDEX(Assumptions!$B:$B,MATCH("Starship ship reuse life (flights per ship)",Assumptions!$A$1:$A$327,0)),0), IFERROR(E85/INDEX(Assumptions!$B:$B,MATCH("Launch vehicle calendar life (years)",Assumptions!$A$1:$A$327,0)),0) )</f>
        <v>0</v>
      </c>
      <c r="F86" s="63">
        <f ca="1">MAX( IFERROR(F20/INDEX(Assumptions!$B:$B,MATCH("Starship ship reuse life (flights per ship)",Assumptions!$A$1:$A$327,0)),0), IFERROR(F85/INDEX(Assumptions!$B:$B,MATCH("Launch vehicle calendar life (years)",Assumptions!$A$1:$A$327,0)),0) )</f>
        <v>3.05</v>
      </c>
      <c r="G86" s="63">
        <f ca="1">MAX( IFERROR(G20/INDEX(Assumptions!$B:$B,MATCH("Starship ship reuse life (flights per ship)",Assumptions!$A$1:$A$327,0)),0), IFERROR(G85/INDEX(Assumptions!$B:$B,MATCH("Launch vehicle calendar life (years)",Assumptions!$A$1:$A$327,0)),0) )</f>
        <v>6.35</v>
      </c>
      <c r="H86" s="63">
        <f ca="1">MAX( IFERROR(H20/INDEX(Assumptions!$B:$B,MATCH("Starship ship reuse life (flights per ship)",Assumptions!$A$1:$A$327,0)),0), IFERROR(H85/INDEX(Assumptions!$B:$B,MATCH("Launch vehicle calendar life (years)",Assumptions!$A$1:$A$327,0)),0) )</f>
        <v>13.2</v>
      </c>
      <c r="I86" s="63">
        <f ca="1">MAX( IFERROR(I20/INDEX(Assumptions!$B:$B,MATCH("Starship ship reuse life (flights per ship)",Assumptions!$A$1:$A$327,0)),0), IFERROR(I85/INDEX(Assumptions!$B:$B,MATCH("Launch vehicle calendar life (years)",Assumptions!$A$1:$A$327,0)),0) )</f>
        <v>21.161585052490654</v>
      </c>
      <c r="J86" s="63">
        <f ca="1">MAX( IFERROR(J20/INDEX(Assumptions!$B:$B,MATCH("Starship ship reuse life (flights per ship)",Assumptions!$A$1:$A$327,0)),0), IFERROR(J85/INDEX(Assumptions!$B:$B,MATCH("Launch vehicle calendar life (years)",Assumptions!$A$1:$A$327,0)),0) )</f>
        <v>31.808144380779066</v>
      </c>
      <c r="K86" s="63">
        <f ca="1">MAX( IFERROR(K20/INDEX(Assumptions!$B:$B,MATCH("Starship ship reuse life (flights per ship)",Assumptions!$A$1:$A$327,0)),0), IFERROR(K85/INDEX(Assumptions!$B:$B,MATCH("Launch vehicle calendar life (years)",Assumptions!$A$1:$A$327,0)),0) )</f>
        <v>38.269578601483616</v>
      </c>
      <c r="L86" s="63">
        <f ca="1">MAX( IFERROR(L20/INDEX(Assumptions!$B:$B,MATCH("Starship ship reuse life (flights per ship)",Assumptions!$A$1:$A$327,0)),0), IFERROR(L85/INDEX(Assumptions!$B:$B,MATCH("Launch vehicle calendar life (years)",Assumptions!$A$1:$A$327,0)),0) )</f>
        <v>44.278141901413377</v>
      </c>
      <c r="M86" s="63">
        <f ca="1">MAX( IFERROR(M20/INDEX(Assumptions!$B:$B,MATCH("Starship ship reuse life (flights per ship)",Assumptions!$A$1:$A$327,0)),0), IFERROR(M85/INDEX(Assumptions!$B:$B,MATCH("Launch vehicle calendar life (years)",Assumptions!$A$1:$A$327,0)),0) )</f>
        <v>59.154959452865072</v>
      </c>
      <c r="N86" s="63">
        <f ca="1">MAX( IFERROR(N20/INDEX(Assumptions!$B:$B,MATCH("Starship ship reuse life (flights per ship)",Assumptions!$A$1:$A$327,0)),0), IFERROR(N85/INDEX(Assumptions!$B:$B,MATCH("Launch vehicle calendar life (years)",Assumptions!$A$1:$A$327,0)),0) )</f>
        <v>66.815211752154866</v>
      </c>
      <c r="O86" s="63">
        <f ca="1">MAX( IFERROR(O20/INDEX(Assumptions!$B:$B,MATCH("Starship ship reuse life (flights per ship)",Assumptions!$A$1:$A$327,0)),0), IFERROR(O85/INDEX(Assumptions!$B:$B,MATCH("Launch vehicle calendar life (years)",Assumptions!$A$1:$A$327,0)),0) )</f>
        <v>85.731441782644964</v>
      </c>
      <c r="P86" s="63">
        <f ca="1">MAX( IFERROR(P20/INDEX(Assumptions!$B:$B,MATCH("Starship ship reuse life (flights per ship)",Assumptions!$A$1:$A$327,0)),0), IFERROR(P85/INDEX(Assumptions!$B:$B,MATCH("Launch vehicle calendar life (years)",Assumptions!$A$1:$A$327,0)),0) )</f>
        <v>81.562723602634065</v>
      </c>
      <c r="Q86" s="63">
        <f ca="1">MAX( IFERROR(Q20/INDEX(Assumptions!$B:$B,MATCH("Starship ship reuse life (flights per ship)",Assumptions!$A$1:$A$327,0)),0), IFERROR(Q85/INDEX(Assumptions!$B:$B,MATCH("Launch vehicle calendar life (years)",Assumptions!$A$1:$A$327,0)),0) )</f>
        <v>65.26884278905051</v>
      </c>
      <c r="R86" s="63">
        <f ca="1">MAX( IFERROR(R20/INDEX(Assumptions!$B:$B,MATCH("Starship ship reuse life (flights per ship)",Assumptions!$A$1:$A$327,0)),0), IFERROR(R85/INDEX(Assumptions!$B:$B,MATCH("Launch vehicle calendar life (years)",Assumptions!$A$1:$A$327,0)),0) )</f>
        <v>64.038922385412079</v>
      </c>
      <c r="S86" s="63">
        <f ca="1">MAX( IFERROR(S20/INDEX(Assumptions!$B:$B,MATCH("Starship ship reuse life (flights per ship)",Assumptions!$A$1:$A$327,0)),0), IFERROR(S85/INDEX(Assumptions!$B:$B,MATCH("Launch vehicle calendar life (years)",Assumptions!$A$1:$A$327,0)),0) )</f>
        <v>43.63289468368265</v>
      </c>
    </row>
    <row r="87" spans="1:19" x14ac:dyDescent="0.2">
      <c r="A87" s="24" t="s">
        <v>798</v>
      </c>
      <c r="B87" s="8"/>
      <c r="C87" s="8"/>
      <c r="D87" s="175">
        <f t="shared" ref="D87:S87" ca="1" si="26">D85+D84-D86</f>
        <v>0</v>
      </c>
      <c r="E87" s="175">
        <f t="shared" ca="1" si="26"/>
        <v>8</v>
      </c>
      <c r="F87" s="175">
        <f t="shared" ca="1" si="26"/>
        <v>27.95</v>
      </c>
      <c r="G87" s="175">
        <f t="shared" ca="1" si="26"/>
        <v>59.6</v>
      </c>
      <c r="H87" s="175">
        <f t="shared" ca="1" si="26"/>
        <v>99.399999999999991</v>
      </c>
      <c r="I87" s="175">
        <f t="shared" ca="1" si="26"/>
        <v>146.23841494750931</v>
      </c>
      <c r="J87" s="175">
        <f t="shared" ca="1" si="26"/>
        <v>197.43027056673026</v>
      </c>
      <c r="K87" s="175">
        <f t="shared" ca="1" si="26"/>
        <v>257.16069196524666</v>
      </c>
      <c r="L87" s="175">
        <f t="shared" ca="1" si="26"/>
        <v>303.75821383260745</v>
      </c>
      <c r="M87" s="175">
        <f t="shared" ca="1" si="26"/>
        <v>274.59223513496522</v>
      </c>
      <c r="N87" s="175">
        <f t="shared" ca="1" si="26"/>
        <v>252.91242578931394</v>
      </c>
      <c r="O87" s="175">
        <f t="shared" ca="1" si="26"/>
        <v>222.34782170446445</v>
      </c>
      <c r="P87" s="175">
        <f t="shared" ca="1" si="26"/>
        <v>176.4539085586101</v>
      </c>
      <c r="Q87" s="175">
        <f t="shared" ca="1" si="26"/>
        <v>125.57682000287535</v>
      </c>
      <c r="R87" s="175">
        <f t="shared" ca="1" si="26"/>
        <v>116.69694016772509</v>
      </c>
      <c r="S87" s="175">
        <f t="shared" ca="1" si="26"/>
        <v>130.47456314854253</v>
      </c>
    </row>
    <row r="88" spans="1:19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x14ac:dyDescent="0.2">
      <c r="A89" s="216" t="s">
        <v>1610</v>
      </c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</row>
    <row r="90" spans="1:19" x14ac:dyDescent="0.2">
      <c r="A90" s="24" t="s">
        <v>799</v>
      </c>
      <c r="B90" s="8"/>
      <c r="C90" s="8"/>
      <c r="D90" s="82">
        <f t="shared" ref="D90:S90" ca="1" si="27">D55*D35</f>
        <v>0</v>
      </c>
      <c r="E90" s="82">
        <f t="shared" ca="1" si="27"/>
        <v>292.66085017566655</v>
      </c>
      <c r="F90" s="82">
        <f t="shared" ca="1" si="27"/>
        <v>743.27903943557681</v>
      </c>
      <c r="G90" s="82">
        <f t="shared" ca="1" si="27"/>
        <v>1087.5946758989132</v>
      </c>
      <c r="H90" s="82">
        <f t="shared" ca="1" si="27"/>
        <v>1365.9306805666749</v>
      </c>
      <c r="I90" s="82">
        <f t="shared" ca="1" si="27"/>
        <v>1603.0480367412963</v>
      </c>
      <c r="J90" s="82">
        <f t="shared" ca="1" si="27"/>
        <v>1812.4821886103182</v>
      </c>
      <c r="K90" s="82">
        <f t="shared" ca="1" si="27"/>
        <v>0</v>
      </c>
      <c r="L90" s="82">
        <f t="shared" ca="1" si="27"/>
        <v>0</v>
      </c>
      <c r="M90" s="82">
        <f t="shared" ca="1" si="27"/>
        <v>0</v>
      </c>
      <c r="N90" s="82">
        <f t="shared" ca="1" si="27"/>
        <v>0</v>
      </c>
      <c r="O90" s="82">
        <f t="shared" ca="1" si="27"/>
        <v>0.5777122543369112</v>
      </c>
      <c r="P90" s="82">
        <f t="shared" ca="1" si="27"/>
        <v>0</v>
      </c>
      <c r="Q90" s="82">
        <f t="shared" ca="1" si="27"/>
        <v>0</v>
      </c>
      <c r="R90" s="82">
        <f t="shared" ca="1" si="27"/>
        <v>5.4970349910290643</v>
      </c>
      <c r="S90" s="82">
        <f t="shared" ca="1" si="27"/>
        <v>289.04133438567857</v>
      </c>
    </row>
    <row r="91" spans="1:19" x14ac:dyDescent="0.2">
      <c r="A91" s="24" t="s">
        <v>800</v>
      </c>
      <c r="B91" s="8"/>
      <c r="C91" s="8"/>
      <c r="D91" s="82">
        <f t="shared" ref="D91:S91" ca="1" si="28">D84*D36</f>
        <v>0</v>
      </c>
      <c r="E91" s="82">
        <f t="shared" ca="1" si="28"/>
        <v>195.10723345044437</v>
      </c>
      <c r="F91" s="82">
        <f t="shared" ca="1" si="28"/>
        <v>495.51935962371789</v>
      </c>
      <c r="G91" s="82">
        <f t="shared" ca="1" si="28"/>
        <v>725.0631172659422</v>
      </c>
      <c r="H91" s="82">
        <f t="shared" ca="1" si="28"/>
        <v>910.62045371111685</v>
      </c>
      <c r="I91" s="82">
        <f t="shared" ca="1" si="28"/>
        <v>1068.6986911608642</v>
      </c>
      <c r="J91" s="82">
        <f t="shared" ca="1" si="28"/>
        <v>1208.3214590735456</v>
      </c>
      <c r="K91" s="82">
        <f t="shared" ca="1" si="28"/>
        <v>1334.6855388041499</v>
      </c>
      <c r="L91" s="82">
        <f t="shared" ca="1" si="28"/>
        <v>1179.1351264435277</v>
      </c>
      <c r="M91" s="82">
        <f t="shared" ca="1" si="28"/>
        <v>383.69952337984313</v>
      </c>
      <c r="N91" s="82">
        <f t="shared" ca="1" si="28"/>
        <v>566.26774877545631</v>
      </c>
      <c r="O91" s="82">
        <f t="shared" ca="1" si="28"/>
        <v>677.09214077314289</v>
      </c>
      <c r="P91" s="82">
        <f t="shared" ca="1" si="28"/>
        <v>432.05303213911293</v>
      </c>
      <c r="Q91" s="82">
        <f t="shared" ca="1" si="28"/>
        <v>173.43700947643694</v>
      </c>
      <c r="R91" s="82">
        <f t="shared" ca="1" si="28"/>
        <v>652.46424266800204</v>
      </c>
      <c r="S91" s="82">
        <f t="shared" ca="1" si="28"/>
        <v>667.02853256633875</v>
      </c>
    </row>
    <row r="92" spans="1:19" x14ac:dyDescent="0.2">
      <c r="A92" s="21" t="s">
        <v>801</v>
      </c>
      <c r="B92" s="20"/>
      <c r="C92" s="20"/>
      <c r="D92" s="193">
        <f t="shared" ref="D92:S92" ca="1" si="29">D90+D91</f>
        <v>0</v>
      </c>
      <c r="E92" s="193">
        <f t="shared" ca="1" si="29"/>
        <v>487.76808362611092</v>
      </c>
      <c r="F92" s="193">
        <f t="shared" ca="1" si="29"/>
        <v>1238.7983990592948</v>
      </c>
      <c r="G92" s="193">
        <f t="shared" ca="1" si="29"/>
        <v>1812.6577931648553</v>
      </c>
      <c r="H92" s="193">
        <f t="shared" ca="1" si="29"/>
        <v>2276.5511342777918</v>
      </c>
      <c r="I92" s="193">
        <f t="shared" ca="1" si="29"/>
        <v>2671.7467279021603</v>
      </c>
      <c r="J92" s="193">
        <f t="shared" ca="1" si="29"/>
        <v>3020.8036476838638</v>
      </c>
      <c r="K92" s="193">
        <f t="shared" ca="1" si="29"/>
        <v>1334.6855388041499</v>
      </c>
      <c r="L92" s="193">
        <f t="shared" ca="1" si="29"/>
        <v>1179.1351264435277</v>
      </c>
      <c r="M92" s="193">
        <f t="shared" ca="1" si="29"/>
        <v>383.69952337984313</v>
      </c>
      <c r="N92" s="193">
        <f t="shared" ca="1" si="29"/>
        <v>566.26774877545631</v>
      </c>
      <c r="O92" s="193">
        <f t="shared" ca="1" si="29"/>
        <v>677.6698530274798</v>
      </c>
      <c r="P92" s="193">
        <f t="shared" ca="1" si="29"/>
        <v>432.05303213911293</v>
      </c>
      <c r="Q92" s="193">
        <f t="shared" ca="1" si="29"/>
        <v>173.43700947643694</v>
      </c>
      <c r="R92" s="193">
        <f t="shared" ca="1" si="29"/>
        <v>657.96127765903111</v>
      </c>
      <c r="S92" s="193">
        <f t="shared" ca="1" si="29"/>
        <v>956.06986695201726</v>
      </c>
    </row>
    <row r="93" spans="1:19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x14ac:dyDescent="0.2">
      <c r="A94" s="24" t="s">
        <v>802</v>
      </c>
      <c r="B94" s="11"/>
      <c r="C94" s="11"/>
      <c r="D94" s="171">
        <f t="array" aca="1" ref="D94" ca="1">IFERROR(INDEX('Facilities Build'!$D:$AC,MATCH("Launch/vehicle facility CapEx total ($mm)  ◄ launch/vehicle",'Facilities Build'!$A$1:$A$74,0),D$5+1),0)</f>
        <v>750</v>
      </c>
      <c r="E94" s="171">
        <f t="array" aca="1" ref="E94" ca="1">IFERROR(INDEX('Facilities Build'!$D:$AC,MATCH("Launch/vehicle facility CapEx total ($mm)  ◄ launch/vehicle",'Facilities Build'!$A$1:$A$74,0),E$5+1),0)</f>
        <v>750</v>
      </c>
      <c r="F94" s="171">
        <f t="array" aca="1" ref="F94" ca="1">IFERROR(INDEX('Facilities Build'!$D:$AC,MATCH("Launch/vehicle facility CapEx total ($mm)  ◄ launch/vehicle",'Facilities Build'!$A$1:$A$74,0),F$5+1),0)</f>
        <v>375</v>
      </c>
      <c r="G94" s="171">
        <f t="array" aca="1" ref="G94" ca="1">IFERROR(INDEX('Facilities Build'!$D:$AC,MATCH("Launch/vehicle facility CapEx total ($mm)  ◄ launch/vehicle",'Facilities Build'!$A$1:$A$74,0),G$5+1),0)</f>
        <v>471.4</v>
      </c>
      <c r="H94" s="171">
        <f t="array" aca="1" ref="H94" ca="1">IFERROR(INDEX('Facilities Build'!$D:$AC,MATCH("Launch/vehicle facility CapEx total ($mm)  ◄ launch/vehicle",'Facilities Build'!$A$1:$A$74,0),H$5+1),0)</f>
        <v>892</v>
      </c>
      <c r="I94" s="171">
        <f t="array" aca="1" ref="I94" ca="1">IFERROR(INDEX('Facilities Build'!$D:$AC,MATCH("Launch/vehicle facility CapEx total ($mm)  ◄ launch/vehicle",'Facilities Build'!$A$1:$A$74,0),I$5+1),0)</f>
        <v>892</v>
      </c>
      <c r="J94" s="171">
        <f t="array" aca="1" ref="J94" ca="1">IFERROR(INDEX('Facilities Build'!$D:$AC,MATCH("Launch/vehicle facility CapEx total ($mm)  ◄ launch/vehicle",'Facilities Build'!$A$1:$A$74,0),J$5+1),0)</f>
        <v>1092</v>
      </c>
      <c r="K94" s="171">
        <f t="array" aca="1" ref="K94" ca="1">IFERROR(INDEX('Facilities Build'!$D:$AC,MATCH("Launch/vehicle facility CapEx total ($mm)  ◄ launch/vehicle",'Facilities Build'!$A$1:$A$74,0),K$5+1),0)</f>
        <v>775</v>
      </c>
      <c r="L94" s="171">
        <f t="array" aca="1" ref="L94" ca="1">IFERROR(INDEX('Facilities Build'!$D:$AC,MATCH("Launch/vehicle facility CapEx total ($mm)  ◄ launch/vehicle",'Facilities Build'!$A$1:$A$74,0),L$5+1),0)</f>
        <v>575</v>
      </c>
      <c r="M94" s="171">
        <f t="array" aca="1" ref="M94" ca="1">IFERROR(INDEX('Facilities Build'!$D:$AC,MATCH("Launch/vehicle facility CapEx total ($mm)  ◄ launch/vehicle",'Facilities Build'!$A$1:$A$74,0),M$5+1),0)</f>
        <v>1175</v>
      </c>
      <c r="N94" s="171">
        <f t="array" aca="1" ref="N94" ca="1">IFERROR(INDEX('Facilities Build'!$D:$AC,MATCH("Launch/vehicle facility CapEx total ($mm)  ◄ launch/vehicle",'Facilities Build'!$A$1:$A$74,0),N$5+1),0)</f>
        <v>775</v>
      </c>
      <c r="O94" s="171">
        <f t="array" aca="1" ref="O94" ca="1">IFERROR(INDEX('Facilities Build'!$D:$AC,MATCH("Launch/vehicle facility CapEx total ($mm)  ◄ launch/vehicle",'Facilities Build'!$A$1:$A$74,0),O$5+1),0)</f>
        <v>1375</v>
      </c>
      <c r="P94" s="171">
        <f t="array" aca="1" ref="P94" ca="1">IFERROR(INDEX('Facilities Build'!$D:$AC,MATCH("Launch/vehicle facility CapEx total ($mm)  ◄ launch/vehicle",'Facilities Build'!$A$1:$A$74,0),P$5+1),0)</f>
        <v>375</v>
      </c>
      <c r="Q94" s="171">
        <f t="array" aca="1" ref="Q94" ca="1">IFERROR(INDEX('Facilities Build'!$D:$AC,MATCH("Launch/vehicle facility CapEx total ($mm)  ◄ launch/vehicle",'Facilities Build'!$A$1:$A$74,0),Q$5+1),0)</f>
        <v>375</v>
      </c>
      <c r="R94" s="171">
        <f t="array" aca="1" ref="R94" ca="1">IFERROR(INDEX('Facilities Build'!$D:$AC,MATCH("Launch/vehicle facility CapEx total ($mm)  ◄ launch/vehicle",'Facilities Build'!$A$1:$A$74,0),R$5+1),0)</f>
        <v>375</v>
      </c>
      <c r="S94" s="171">
        <f t="array" aca="1" ref="S94" ca="1">IFERROR(INDEX('Facilities Build'!$D:$AC,MATCH("Launch/vehicle facility CapEx total ($mm)  ◄ launch/vehicle",'Facilities Build'!$A$1:$A$74,0),S$5+1),0)</f>
        <v>375</v>
      </c>
    </row>
    <row r="95" spans="1:19" x14ac:dyDescent="0.2">
      <c r="A95" s="21" t="s">
        <v>803</v>
      </c>
      <c r="B95" s="21"/>
      <c r="C95" s="21"/>
      <c r="D95" s="136">
        <f t="shared" ref="D95:S95" ca="1" si="30">D28+D94</f>
        <v>990</v>
      </c>
      <c r="E95" s="136">
        <f t="shared" ca="1" si="30"/>
        <v>1472.9680836261109</v>
      </c>
      <c r="F95" s="136">
        <f t="shared" ca="1" si="30"/>
        <v>1815.4823990592947</v>
      </c>
      <c r="G95" s="136">
        <f t="shared" ca="1" si="30"/>
        <v>2453.4723531648551</v>
      </c>
      <c r="H95" s="136">
        <f t="shared" ca="1" si="30"/>
        <v>3306.9063582777917</v>
      </c>
      <c r="I95" s="136">
        <f t="shared" ca="1" si="30"/>
        <v>3672.2172235181602</v>
      </c>
      <c r="J95" s="136">
        <f t="shared" ca="1" si="30"/>
        <v>4192.5294619616234</v>
      </c>
      <c r="K95" s="136">
        <f t="shared" ca="1" si="30"/>
        <v>2161.7730707989531</v>
      </c>
      <c r="L95" s="136">
        <f t="shared" ca="1" si="30"/>
        <v>1779.6580171209812</v>
      </c>
      <c r="M95" s="136">
        <f t="shared" ca="1" si="30"/>
        <v>1558.6995233798432</v>
      </c>
      <c r="N95" s="136">
        <f t="shared" ca="1" si="30"/>
        <v>1341.2677487754563</v>
      </c>
      <c r="O95" s="136">
        <f t="shared" ca="1" si="30"/>
        <v>2052.6698530274798</v>
      </c>
      <c r="P95" s="136">
        <f t="shared" ca="1" si="30"/>
        <v>807.05303213911293</v>
      </c>
      <c r="Q95" s="136">
        <f t="shared" ca="1" si="30"/>
        <v>548.43700947643697</v>
      </c>
      <c r="R95" s="136">
        <f t="shared" ca="1" si="30"/>
        <v>1032.9612776590311</v>
      </c>
      <c r="S95" s="136">
        <f t="shared" ca="1" si="30"/>
        <v>1331.0698669520173</v>
      </c>
    </row>
    <row r="96" spans="1:19" x14ac:dyDescent="0.2">
      <c r="A96" s="216" t="s">
        <v>1611</v>
      </c>
      <c r="B96" s="215"/>
      <c r="C96" s="215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</row>
    <row r="97" spans="1:19" x14ac:dyDescent="0.2">
      <c r="A97" s="24" t="s">
        <v>1159</v>
      </c>
      <c r="B97" s="8"/>
      <c r="C97" s="8"/>
      <c r="D97" s="67">
        <f>0</f>
        <v>0</v>
      </c>
      <c r="E97" s="67">
        <f t="shared" ref="E97:S97" ca="1" si="31">D97+E84</f>
        <v>8</v>
      </c>
      <c r="F97" s="67">
        <f t="shared" ca="1" si="31"/>
        <v>31</v>
      </c>
      <c r="G97" s="67">
        <f t="shared" ca="1" si="31"/>
        <v>69</v>
      </c>
      <c r="H97" s="67">
        <f t="shared" ca="1" si="31"/>
        <v>122</v>
      </c>
      <c r="I97" s="67">
        <f t="shared" ca="1" si="31"/>
        <v>190</v>
      </c>
      <c r="J97" s="67">
        <f t="shared" ca="1" si="31"/>
        <v>273</v>
      </c>
      <c r="K97" s="67">
        <f t="shared" ca="1" si="31"/>
        <v>371</v>
      </c>
      <c r="L97" s="67">
        <f t="shared" ca="1" si="31"/>
        <v>461.87566376877419</v>
      </c>
      <c r="M97" s="67">
        <f t="shared" ca="1" si="31"/>
        <v>491.86464452399701</v>
      </c>
      <c r="N97" s="67">
        <f t="shared" ca="1" si="31"/>
        <v>537.00004693050062</v>
      </c>
      <c r="O97" s="67">
        <f t="shared" ca="1" si="31"/>
        <v>592.16688462829609</v>
      </c>
      <c r="P97" s="67">
        <f t="shared" ca="1" si="31"/>
        <v>627.83569508507583</v>
      </c>
      <c r="Q97" s="67">
        <f t="shared" ca="1" si="31"/>
        <v>642.22744931839156</v>
      </c>
      <c r="R97" s="67">
        <f t="shared" ca="1" si="31"/>
        <v>697.38649186865337</v>
      </c>
      <c r="S97" s="67">
        <f t="shared" ca="1" si="31"/>
        <v>754.79700953315341</v>
      </c>
    </row>
    <row r="98" spans="1:19" x14ac:dyDescent="0.2">
      <c r="A98" s="24" t="s">
        <v>1160</v>
      </c>
      <c r="B98" s="8"/>
      <c r="C98" s="8"/>
      <c r="D98" s="12">
        <f>0</f>
        <v>0</v>
      </c>
      <c r="E98" s="12">
        <f t="shared" ref="E98:S98" ca="1" si="32">D98+E86</f>
        <v>0</v>
      </c>
      <c r="F98" s="12">
        <f t="shared" ca="1" si="32"/>
        <v>3.05</v>
      </c>
      <c r="G98" s="12">
        <f t="shared" ca="1" si="32"/>
        <v>9.3999999999999986</v>
      </c>
      <c r="H98" s="12">
        <f t="shared" ca="1" si="32"/>
        <v>22.599999999999998</v>
      </c>
      <c r="I98" s="12">
        <f t="shared" ca="1" si="32"/>
        <v>43.761585052490652</v>
      </c>
      <c r="J98" s="12">
        <f t="shared" ca="1" si="32"/>
        <v>75.569729433269714</v>
      </c>
      <c r="K98" s="12">
        <f t="shared" ca="1" si="32"/>
        <v>113.83930803475333</v>
      </c>
      <c r="L98" s="12">
        <f t="shared" ca="1" si="32"/>
        <v>158.11744993616671</v>
      </c>
      <c r="M98" s="12">
        <f t="shared" ca="1" si="32"/>
        <v>217.27240938903179</v>
      </c>
      <c r="N98" s="12">
        <f t="shared" ca="1" si="32"/>
        <v>284.08762114118667</v>
      </c>
      <c r="O98" s="12">
        <f t="shared" ca="1" si="32"/>
        <v>369.81906292383167</v>
      </c>
      <c r="P98" s="12">
        <f t="shared" ca="1" si="32"/>
        <v>451.3817865264657</v>
      </c>
      <c r="Q98" s="12">
        <f t="shared" ca="1" si="32"/>
        <v>516.6506293155162</v>
      </c>
      <c r="R98" s="12">
        <f t="shared" ca="1" si="32"/>
        <v>580.68955170092829</v>
      </c>
      <c r="S98" s="12">
        <f t="shared" ca="1" si="32"/>
        <v>624.32244638461088</v>
      </c>
    </row>
    <row r="99" spans="1:19" x14ac:dyDescent="0.2">
      <c r="A99" s="24" t="s">
        <v>1161</v>
      </c>
      <c r="B99" s="8"/>
      <c r="C99" s="8"/>
      <c r="D99" s="12">
        <f>0</f>
        <v>0</v>
      </c>
      <c r="E99" s="12">
        <f t="shared" ref="E99:S99" ca="1" si="33">D99+E55</f>
        <v>8</v>
      </c>
      <c r="F99" s="12">
        <f t="shared" ca="1" si="33"/>
        <v>31</v>
      </c>
      <c r="G99" s="12">
        <f t="shared" ca="1" si="33"/>
        <v>69</v>
      </c>
      <c r="H99" s="12">
        <f t="shared" ca="1" si="33"/>
        <v>122</v>
      </c>
      <c r="I99" s="12">
        <f t="shared" ca="1" si="33"/>
        <v>190</v>
      </c>
      <c r="J99" s="12">
        <f t="shared" ca="1" si="33"/>
        <v>273</v>
      </c>
      <c r="K99" s="12">
        <f t="shared" ca="1" si="33"/>
        <v>273</v>
      </c>
      <c r="L99" s="12">
        <f t="shared" ca="1" si="33"/>
        <v>273</v>
      </c>
      <c r="M99" s="12">
        <f t="shared" ca="1" si="33"/>
        <v>273</v>
      </c>
      <c r="N99" s="12">
        <f t="shared" ca="1" si="33"/>
        <v>273</v>
      </c>
      <c r="O99" s="12">
        <f t="shared" ca="1" si="33"/>
        <v>273.03137983370539</v>
      </c>
      <c r="P99" s="12">
        <f t="shared" ca="1" si="33"/>
        <v>273.03137983370539</v>
      </c>
      <c r="Q99" s="12">
        <f t="shared" ca="1" si="33"/>
        <v>273.03137983370539</v>
      </c>
      <c r="R99" s="12">
        <f t="shared" ca="1" si="33"/>
        <v>273.3411911277114</v>
      </c>
      <c r="S99" s="12">
        <f t="shared" ca="1" si="33"/>
        <v>289.92620143671627</v>
      </c>
    </row>
    <row r="100" spans="1:19" x14ac:dyDescent="0.2">
      <c r="A100" s="24" t="s">
        <v>1162</v>
      </c>
      <c r="B100" s="8"/>
      <c r="C100" s="8"/>
      <c r="D100" s="67">
        <f>0</f>
        <v>0</v>
      </c>
      <c r="E100" s="67">
        <f t="shared" ref="E100:S100" ca="1" si="34">D100+E57</f>
        <v>0</v>
      </c>
      <c r="F100" s="67">
        <f t="shared" ca="1" si="34"/>
        <v>5.083333333333333</v>
      </c>
      <c r="G100" s="67">
        <f t="shared" ca="1" si="34"/>
        <v>12.138888888888889</v>
      </c>
      <c r="H100" s="67">
        <f t="shared" ca="1" si="34"/>
        <v>22.698888888888888</v>
      </c>
      <c r="I100" s="67">
        <f t="shared" ca="1" si="34"/>
        <v>36.806612257215988</v>
      </c>
      <c r="J100" s="67">
        <f t="shared" ca="1" si="34"/>
        <v>54.982694760518314</v>
      </c>
      <c r="K100" s="67">
        <f t="shared" ca="1" si="34"/>
        <v>76.784425284466479</v>
      </c>
      <c r="L100" s="67">
        <f t="shared" ca="1" si="34"/>
        <v>96.405982756019824</v>
      </c>
      <c r="M100" s="67">
        <f t="shared" ca="1" si="34"/>
        <v>116.80424463631812</v>
      </c>
      <c r="N100" s="67">
        <f t="shared" ca="1" si="34"/>
        <v>137.36277132928885</v>
      </c>
      <c r="O100" s="67">
        <f t="shared" ca="1" si="34"/>
        <v>161.85746898147312</v>
      </c>
      <c r="P100" s="67">
        <f t="shared" ca="1" si="34"/>
        <v>183.60752860884219</v>
      </c>
      <c r="Q100" s="67">
        <f t="shared" ca="1" si="34"/>
        <v>199.92473930610481</v>
      </c>
      <c r="R100" s="67">
        <f t="shared" ca="1" si="34"/>
        <v>214.99272104384883</v>
      </c>
      <c r="S100" s="67">
        <f t="shared" ca="1" si="34"/>
        <v>224.68891986244498</v>
      </c>
    </row>
    <row r="101" spans="1:19" x14ac:dyDescent="0.2">
      <c r="A101" s="24" t="s">
        <v>1163</v>
      </c>
      <c r="B101" s="11"/>
      <c r="C101" s="11"/>
      <c r="D101" s="135">
        <f t="shared" ref="D101:S101" ca="1" si="35">(D97-D98)-D87</f>
        <v>0</v>
      </c>
      <c r="E101" s="135">
        <f t="shared" ca="1" si="35"/>
        <v>0</v>
      </c>
      <c r="F101" s="135">
        <f t="shared" ca="1" si="35"/>
        <v>0</v>
      </c>
      <c r="G101" s="135">
        <f t="shared" ca="1" si="35"/>
        <v>0</v>
      </c>
      <c r="H101" s="135">
        <f t="shared" ca="1" si="35"/>
        <v>0</v>
      </c>
      <c r="I101" s="135">
        <f t="shared" ca="1" si="35"/>
        <v>0</v>
      </c>
      <c r="J101" s="135">
        <f t="shared" ca="1" si="35"/>
        <v>0</v>
      </c>
      <c r="K101" s="135">
        <f t="shared" ca="1" si="35"/>
        <v>0</v>
      </c>
      <c r="L101" s="135">
        <f t="shared" ca="1" si="35"/>
        <v>0</v>
      </c>
      <c r="M101" s="135">
        <f t="shared" ca="1" si="35"/>
        <v>0</v>
      </c>
      <c r="N101" s="135">
        <f t="shared" ca="1" si="35"/>
        <v>0</v>
      </c>
      <c r="O101" s="135">
        <f t="shared" ca="1" si="35"/>
        <v>0</v>
      </c>
      <c r="P101" s="135">
        <f t="shared" ca="1" si="35"/>
        <v>0</v>
      </c>
      <c r="Q101" s="135">
        <f t="shared" ca="1" si="35"/>
        <v>0</v>
      </c>
      <c r="R101" s="135">
        <f t="shared" ca="1" si="35"/>
        <v>0</v>
      </c>
      <c r="S101" s="135">
        <f t="shared" ca="1" si="35"/>
        <v>0</v>
      </c>
    </row>
    <row r="102" spans="1:19" x14ac:dyDescent="0.2">
      <c r="A102" s="24" t="s">
        <v>1164</v>
      </c>
      <c r="B102" s="11"/>
      <c r="C102" s="11"/>
      <c r="D102" s="135">
        <f t="shared" ref="D102:S102" ca="1" si="36">(D99-D100)-D58</f>
        <v>0</v>
      </c>
      <c r="E102" s="135">
        <f t="shared" ca="1" si="36"/>
        <v>0</v>
      </c>
      <c r="F102" s="135">
        <f t="shared" ca="1" si="36"/>
        <v>0</v>
      </c>
      <c r="G102" s="135">
        <f t="shared" ca="1" si="36"/>
        <v>0</v>
      </c>
      <c r="H102" s="135">
        <f t="shared" ca="1" si="36"/>
        <v>0</v>
      </c>
      <c r="I102" s="135">
        <f t="shared" ca="1" si="36"/>
        <v>0</v>
      </c>
      <c r="J102" s="135">
        <f t="shared" ca="1" si="36"/>
        <v>0</v>
      </c>
      <c r="K102" s="135">
        <f t="shared" ca="1" si="36"/>
        <v>0</v>
      </c>
      <c r="L102" s="135">
        <f t="shared" ca="1" si="36"/>
        <v>0</v>
      </c>
      <c r="M102" s="135">
        <f t="shared" ca="1" si="36"/>
        <v>0</v>
      </c>
      <c r="N102" s="135">
        <f t="shared" ca="1" si="36"/>
        <v>0</v>
      </c>
      <c r="O102" s="135">
        <f t="shared" ca="1" si="36"/>
        <v>0</v>
      </c>
      <c r="P102" s="135">
        <f t="shared" ca="1" si="36"/>
        <v>0</v>
      </c>
      <c r="Q102" s="135">
        <f t="shared" ca="1" si="36"/>
        <v>0</v>
      </c>
      <c r="R102" s="135">
        <f t="shared" ca="1" si="36"/>
        <v>0</v>
      </c>
      <c r="S102" s="135">
        <f t="shared" ca="1" si="36"/>
        <v>0</v>
      </c>
    </row>
    <row r="103" spans="1:19" x14ac:dyDescent="0.2">
      <c r="A103" s="168" t="s">
        <v>1794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</row>
    <row r="104" spans="1:19" x14ac:dyDescent="0.2">
      <c r="A104" s="197" t="s">
        <v>1169</v>
      </c>
      <c r="B104" s="20"/>
      <c r="C104" s="20"/>
      <c r="D104" s="124">
        <f ca="1">IFERROR(INDEX('Cash Allocation Engine'!$D:$AC, MATCH("Total desired launch kg",'Cash Allocation Engine'!$A:$A,0), MATCH(D$4,'Cash Allocation Engine'!$D$4:$AC$4,0)),0)</f>
        <v>179062784.49565637</v>
      </c>
      <c r="E104" s="124">
        <f ca="1">IFERROR(INDEX('Cash Allocation Engine'!$D:$AC, MATCH("Total desired launch kg",'Cash Allocation Engine'!$A:$A,0), MATCH(E$4,'Cash Allocation Engine'!$D$4:$AC$4,0)),0)</f>
        <v>183771747.85616356</v>
      </c>
      <c r="F104" s="124">
        <f ca="1">IFERROR(INDEX('Cash Allocation Engine'!$D:$AC, MATCH("Total desired launch kg",'Cash Allocation Engine'!$A:$A,0), MATCH(F$4,'Cash Allocation Engine'!$D$4:$AC$4,0)),0)</f>
        <v>538425141.65121996</v>
      </c>
      <c r="G104" s="124">
        <f ca="1">IFERROR(INDEX('Cash Allocation Engine'!$D:$AC, MATCH("Total desired launch kg",'Cash Allocation Engine'!$A:$A,0), MATCH(G$4,'Cash Allocation Engine'!$D$4:$AC$4,0)),0)</f>
        <v>539784247.26310647</v>
      </c>
      <c r="H104" s="124">
        <f ca="1">IFERROR(INDEX('Cash Allocation Engine'!$D:$AC, MATCH("Total desired launch kg",'Cash Allocation Engine'!$A:$A,0), MATCH(H$4,'Cash Allocation Engine'!$D$4:$AC$4,0)),0)</f>
        <v>532628129.51685804</v>
      </c>
      <c r="I104" s="124">
        <f ca="1">IFERROR(INDEX('Cash Allocation Engine'!$D:$AC, MATCH("Total desired launch kg",'Cash Allocation Engine'!$A:$A,0), MATCH(I$4,'Cash Allocation Engine'!$D$4:$AC$4,0)),0)</f>
        <v>509292694.59832919</v>
      </c>
      <c r="J104" s="124">
        <f ca="1">IFERROR(INDEX('Cash Allocation Engine'!$D:$AC, MATCH("Total desired launch kg",'Cash Allocation Engine'!$A:$A,0), MATCH(J$4,'Cash Allocation Engine'!$D$4:$AC$4,0)),0)</f>
        <v>498415817.56199449</v>
      </c>
      <c r="K104" s="124">
        <f ca="1">IFERROR(INDEX('Cash Allocation Engine'!$D:$AC, MATCH("Total desired launch kg",'Cash Allocation Engine'!$A:$A,0), MATCH(K$4,'Cash Allocation Engine'!$D$4:$AC$4,0)),0)</f>
        <v>442227866.80472165</v>
      </c>
      <c r="L104" s="124">
        <f ca="1">IFERROR(INDEX('Cash Allocation Engine'!$D:$AC, MATCH("Total desired launch kg",'Cash Allocation Engine'!$A:$A,0), MATCH(L$4,'Cash Allocation Engine'!$D$4:$AC$4,0)),0)</f>
        <v>421980448.98278677</v>
      </c>
      <c r="M104" s="124">
        <f ca="1">IFERROR(INDEX('Cash Allocation Engine'!$D:$AC, MATCH("Total desired launch kg",'Cash Allocation Engine'!$A:$A,0), MATCH(M$4,'Cash Allocation Engine'!$D$4:$AC$4,0)),0)</f>
        <v>427400948.95357347</v>
      </c>
      <c r="N104" s="124">
        <f ca="1">IFERROR(INDEX('Cash Allocation Engine'!$D:$AC, MATCH("Total desired launch kg",'Cash Allocation Engine'!$A:$A,0), MATCH(N$4,'Cash Allocation Engine'!$D$4:$AC$4,0)),0)</f>
        <v>438968106.15426493</v>
      </c>
      <c r="O104" s="124">
        <f ca="1">IFERROR(INDEX('Cash Allocation Engine'!$D:$AC, MATCH("Total desired launch kg",'Cash Allocation Engine'!$A:$A,0), MATCH(O$4,'Cash Allocation Engine'!$D$4:$AC$4,0)),0)</f>
        <v>423104281.14293891</v>
      </c>
      <c r="P104" s="124">
        <f ca="1">IFERROR(INDEX('Cash Allocation Engine'!$D:$AC, MATCH("Total desired launch kg",'Cash Allocation Engine'!$A:$A,0), MATCH(P$4,'Cash Allocation Engine'!$D$4:$AC$4,0)),0)</f>
        <v>367867814.96493644</v>
      </c>
      <c r="Q104" s="124">
        <f ca="1">IFERROR(INDEX('Cash Allocation Engine'!$D:$AC, MATCH("Total desired launch kg",'Cash Allocation Engine'!$A:$A,0), MATCH(Q$4,'Cash Allocation Engine'!$D$4:$AC$4,0)),0)</f>
        <v>280944225.33123541</v>
      </c>
      <c r="R104" s="124">
        <f ca="1">IFERROR(INDEX('Cash Allocation Engine'!$D:$AC, MATCH("Total desired launch kg",'Cash Allocation Engine'!$A:$A,0), MATCH(R$4,'Cash Allocation Engine'!$D$4:$AC$4,0)),0)</f>
        <v>273181564.28670275</v>
      </c>
      <c r="S104" s="124">
        <f ca="1">IFERROR(INDEX('Cash Allocation Engine'!$D:$AC, MATCH("Total desired launch kg",'Cash Allocation Engine'!$A:$A,0), MATCH(S$4,'Cash Allocation Engine'!$D$4:$AC$4,0)),0)</f>
        <v>317011781.87902051</v>
      </c>
    </row>
    <row r="105" spans="1:19" x14ac:dyDescent="0.2">
      <c r="A105" s="29" t="s">
        <v>1170</v>
      </c>
      <c r="B105" s="8"/>
      <c r="C105" s="8"/>
      <c r="D105" s="12">
        <f t="shared" ref="D105:S105" si="37">D64*D8</f>
        <v>5675245.7142857146</v>
      </c>
      <c r="E105" s="12">
        <f t="shared" si="37"/>
        <v>6352731.4285714291</v>
      </c>
      <c r="F105" s="12">
        <f t="shared" si="37"/>
        <v>6994258.2857142864</v>
      </c>
      <c r="G105" s="12">
        <f t="shared" si="37"/>
        <v>7389232.4571428569</v>
      </c>
      <c r="H105" s="12">
        <f t="shared" si="37"/>
        <v>7562309.2114285715</v>
      </c>
      <c r="I105" s="12">
        <f t="shared" si="37"/>
        <v>7535678.2902857149</v>
      </c>
      <c r="J105" s="12">
        <f t="shared" si="37"/>
        <v>7329310.4612571439</v>
      </c>
      <c r="K105" s="12">
        <f t="shared" si="37"/>
        <v>6961179.4151314292</v>
      </c>
      <c r="L105" s="12">
        <f t="shared" si="37"/>
        <v>6447461.4736182857</v>
      </c>
      <c r="M105" s="12">
        <f t="shared" si="37"/>
        <v>5802715.3262564577</v>
      </c>
      <c r="N105" s="12">
        <f t="shared" si="37"/>
        <v>5222443.7936308123</v>
      </c>
      <c r="O105" s="12">
        <f t="shared" si="37"/>
        <v>4700199.4142677309</v>
      </c>
      <c r="P105" s="12">
        <f t="shared" si="37"/>
        <v>4230179.4728409583</v>
      </c>
      <c r="Q105" s="12">
        <f t="shared" si="37"/>
        <v>3807161.5255568619</v>
      </c>
      <c r="R105" s="12">
        <f t="shared" si="37"/>
        <v>3426445.3730011755</v>
      </c>
      <c r="S105" s="12">
        <f t="shared" si="37"/>
        <v>3083800.8357010582</v>
      </c>
    </row>
    <row r="106" spans="1:19" x14ac:dyDescent="0.2">
      <c r="A106" s="177" t="s">
        <v>1171</v>
      </c>
      <c r="B106" s="8"/>
      <c r="C106" s="8"/>
      <c r="D106" s="74">
        <f>IF(D$4 &lt; INDEX(Assumptions!$B:$B,MATCH("Starship operational year",Assumptions!$A:$A,0)), 0, MAX(0,(D104 - D105)/D44))</f>
        <v>0</v>
      </c>
      <c r="E106" s="74">
        <f ca="1">IF(E$4 &lt; INDEX(Assumptions!$B:$B,MATCH("Starship operational year",Assumptions!$A:$A,0)), 0, MAX(0,(E104 - E105)/E44))</f>
        <v>1544.5222469048463</v>
      </c>
      <c r="F106" s="74">
        <f ca="1">IF(F$4 &lt; INDEX(Assumptions!$B:$B,MATCH("Starship operational year",Assumptions!$A:$A,0)), 0, MAX(0,(F104 - F105)/F44))</f>
        <v>4027.492969361761</v>
      </c>
      <c r="G106" s="74">
        <f ca="1">IF(G$4 &lt; INDEX(Assumptions!$B:$B,MATCH("Starship operational year",Assumptions!$A:$A,0)), 0, MAX(0,(G104 - G105)/G44))</f>
        <v>3512.4971684626057</v>
      </c>
      <c r="H106" s="74">
        <f ca="1">IF(H$4 &lt; INDEX(Assumptions!$B:$B,MATCH("Starship operational year",Assumptions!$A:$A,0)), 0, MAX(0,(H104 - H105)/H44))</f>
        <v>3015.711220250078</v>
      </c>
      <c r="I106" s="74">
        <f ca="1">IF(I$4 &lt; INDEX(Assumptions!$B:$B,MATCH("Starship operational year",Assumptions!$A:$A,0)), 0, MAX(0,(I104 - I105)/I44))</f>
        <v>2508.7850815402176</v>
      </c>
      <c r="J106" s="74">
        <f ca="1">IF(J$4 &lt; INDEX(Assumptions!$B:$B,MATCH("Starship operational year",Assumptions!$A:$A,0)), 0, MAX(0,(J104 - J105)/J44))</f>
        <v>2455.4325355036867</v>
      </c>
      <c r="K106" s="74">
        <f ca="1">IF(K$4 &lt; INDEX(Assumptions!$B:$B,MATCH("Starship operational year",Assumptions!$A:$A,0)), 0, MAX(0,(K104 - K105)/K44))</f>
        <v>2176.3334369479512</v>
      </c>
      <c r="L106" s="74">
        <f ca="1">IF(L$4 &lt; INDEX(Assumptions!$B:$B,MATCH("Starship operational year",Assumptions!$A:$A,0)), 0, MAX(0,(L104 - L105)/L44))</f>
        <v>2077.6649375458423</v>
      </c>
      <c r="M106" s="74">
        <f ca="1">IF(M$4 &lt; INDEX(Assumptions!$B:$B,MATCH("Starship operational year",Assumptions!$A:$A,0)), 0, MAX(0,(M104 - M105)/M44))</f>
        <v>2107.9911681365852</v>
      </c>
      <c r="N106" s="74">
        <f ca="1">IF(N$4 &lt; INDEX(Assumptions!$B:$B,MATCH("Starship operational year",Assumptions!$A:$A,0)), 0, MAX(0,(N104 - N105)/N44))</f>
        <v>2168.7283118031705</v>
      </c>
      <c r="O106" s="74">
        <f ca="1">IF(O$4 &lt; INDEX(Assumptions!$B:$B,MATCH("Starship operational year",Assumptions!$A:$A,0)), 0, MAX(0,(O104 - O105)/O44))</f>
        <v>2092.0204086433559</v>
      </c>
      <c r="P106" s="74">
        <f ca="1">IF(P$4 &lt; INDEX(Assumptions!$B:$B,MATCH("Starship operational year",Assumptions!$A:$A,0)), 0, MAX(0,(P104 - P105)/P44))</f>
        <v>1818.1881774604774</v>
      </c>
      <c r="Q106" s="74">
        <f ca="1">IF(Q$4 &lt; INDEX(Assumptions!$B:$B,MATCH("Starship operational year",Assumptions!$A:$A,0)), 0, MAX(0,(Q104 - Q105)/Q44))</f>
        <v>1385.6853190283928</v>
      </c>
      <c r="R106" s="74">
        <f ca="1">IF(R$4 &lt; INDEX(Assumptions!$B:$B,MATCH("Starship operational year",Assumptions!$A:$A,0)), 0, MAX(0,(R104 - R105)/R44))</f>
        <v>1348.775594568508</v>
      </c>
      <c r="S106" s="74">
        <f ca="1">IF(S$4 &lt; INDEX(Assumptions!$B:$B,MATCH("Starship operational year",Assumptions!$A:$A,0)), 0, MAX(0,(S104 - S105)/S44))</f>
        <v>1569.6399052165973</v>
      </c>
    </row>
    <row r="107" spans="1:19" x14ac:dyDescent="0.2">
      <c r="A107" s="177" t="s">
        <v>1172</v>
      </c>
      <c r="B107" s="8"/>
      <c r="C107" s="8"/>
      <c r="D107" s="74" cm="1">
        <f t="array" ref="D107">IFERROR(INDEX('Facilities Build'!$D:$AC, MATCH("Installed Starship build capacity (ships/yr): rate-limited ramp",'Facilities Build'!$A$1:$A$74,0), D$5+1), 0)</f>
        <v>8</v>
      </c>
      <c r="E107" s="74" cm="1">
        <f t="array" ref="E107">IFERROR(INDEX('Facilities Build'!$D:$AC, MATCH("Installed Starship build capacity (ships/yr): rate-limited ramp",'Facilities Build'!$A$1:$A$74,0), E$5+1), 0)</f>
        <v>8</v>
      </c>
      <c r="F107" s="74" cm="1">
        <f t="array" ref="F107">IFERROR(INDEX('Facilities Build'!$D:$AC, MATCH("Installed Starship build capacity (ships/yr): rate-limited ramp",'Facilities Build'!$A$1:$A$74,0), F$5+1), 0)</f>
        <v>23</v>
      </c>
      <c r="G107" s="74" cm="1">
        <f t="array" ref="G107">IFERROR(INDEX('Facilities Build'!$D:$AC, MATCH("Installed Starship build capacity (ships/yr): rate-limited ramp",'Facilities Build'!$A$1:$A$74,0), G$5+1), 0)</f>
        <v>38</v>
      </c>
      <c r="H107" s="74" cm="1">
        <f t="array" ref="H107">IFERROR(INDEX('Facilities Build'!$D:$AC, MATCH("Installed Starship build capacity (ships/yr): rate-limited ramp",'Facilities Build'!$A$1:$A$74,0), H$5+1), 0)</f>
        <v>53</v>
      </c>
      <c r="I107" s="74" cm="1">
        <f t="array" ref="I107">IFERROR(INDEX('Facilities Build'!$D:$AC, MATCH("Installed Starship build capacity (ships/yr): rate-limited ramp",'Facilities Build'!$A$1:$A$74,0), I$5+1), 0)</f>
        <v>68</v>
      </c>
      <c r="J107" s="74" cm="1">
        <f t="array" ref="J107">IFERROR(INDEX('Facilities Build'!$D:$AC, MATCH("Installed Starship build capacity (ships/yr): rate-limited ramp",'Facilities Build'!$A$1:$A$74,0), J$5+1), 0)</f>
        <v>83</v>
      </c>
      <c r="K107" s="74" cm="1">
        <f t="array" ref="K107">IFERROR(INDEX('Facilities Build'!$D:$AC, MATCH("Installed Starship build capacity (ships/yr): rate-limited ramp",'Facilities Build'!$A$1:$A$74,0), K$5+1), 0)</f>
        <v>98</v>
      </c>
      <c r="L107" s="74" cm="1">
        <f t="array" ref="L107">IFERROR(INDEX('Facilities Build'!$D:$AC, MATCH("Installed Starship build capacity (ships/yr): rate-limited ramp",'Facilities Build'!$A$1:$A$74,0), L$5+1), 0)</f>
        <v>113</v>
      </c>
      <c r="M107" s="74" cm="1">
        <f t="array" ref="M107">IFERROR(INDEX('Facilities Build'!$D:$AC, MATCH("Installed Starship build capacity (ships/yr): rate-limited ramp",'Facilities Build'!$A$1:$A$74,0), M$5+1), 0)</f>
        <v>128</v>
      </c>
      <c r="N107" s="74" cm="1">
        <f t="array" ref="N107">IFERROR(INDEX('Facilities Build'!$D:$AC, MATCH("Installed Starship build capacity (ships/yr): rate-limited ramp",'Facilities Build'!$A$1:$A$74,0), N$5+1), 0)</f>
        <v>143</v>
      </c>
      <c r="O107" s="74" cm="1">
        <f t="array" ref="O107">IFERROR(INDEX('Facilities Build'!$D:$AC, MATCH("Installed Starship build capacity (ships/yr): rate-limited ramp",'Facilities Build'!$A$1:$A$74,0), O$5+1), 0)</f>
        <v>158</v>
      </c>
      <c r="P107" s="74" cm="1">
        <f t="array" ref="P107">IFERROR(INDEX('Facilities Build'!$D:$AC, MATCH("Installed Starship build capacity (ships/yr): rate-limited ramp",'Facilities Build'!$A$1:$A$74,0), P$5+1), 0)</f>
        <v>173</v>
      </c>
      <c r="Q107" s="74" cm="1">
        <f t="array" ref="Q107">IFERROR(INDEX('Facilities Build'!$D:$AC, MATCH("Installed Starship build capacity (ships/yr): rate-limited ramp",'Facilities Build'!$A$1:$A$74,0), Q$5+1), 0)</f>
        <v>188</v>
      </c>
      <c r="R107" s="74" cm="1">
        <f t="array" ref="R107">IFERROR(INDEX('Facilities Build'!$D:$AC, MATCH("Installed Starship build capacity (ships/yr): rate-limited ramp",'Facilities Build'!$A$1:$A$74,0), R$5+1), 0)</f>
        <v>203</v>
      </c>
      <c r="S107" s="74" cm="1">
        <f t="array" ref="S107">IFERROR(INDEX('Facilities Build'!$D:$AC, MATCH("Installed Starship build capacity (ships/yr): rate-limited ramp",'Facilities Build'!$A$1:$A$74,0), S$5+1), 0)</f>
        <v>218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73D8-2EF5-9146-9F3E-48B340B12195}">
  <dimension ref="A1:AC28"/>
  <sheetViews>
    <sheetView zoomScale="150" workbookViewId="0">
      <selection activeCell="P8" sqref="P8"/>
    </sheetView>
  </sheetViews>
  <sheetFormatPr baseColWidth="10" defaultRowHeight="16" x14ac:dyDescent="0.2"/>
  <cols>
    <col min="1" max="1" width="33.33203125" customWidth="1"/>
  </cols>
  <sheetData>
    <row r="1" spans="1:29" x14ac:dyDescent="0.2">
      <c r="A1" s="235" t="s">
        <v>1938</v>
      </c>
    </row>
    <row r="2" spans="1:29" x14ac:dyDescent="0.2">
      <c r="A2" s="234" t="s">
        <v>1939</v>
      </c>
    </row>
    <row r="4" spans="1:29" x14ac:dyDescent="0.2">
      <c r="D4" s="233">
        <f>Starlink!D4</f>
        <v>2025</v>
      </c>
      <c r="E4" s="233">
        <f>Starlink!E4</f>
        <v>2026</v>
      </c>
      <c r="F4" s="233">
        <f>Starlink!F4</f>
        <v>2027</v>
      </c>
      <c r="G4" s="233">
        <f>Starlink!G4</f>
        <v>2028</v>
      </c>
      <c r="H4" s="233">
        <f>Starlink!H4</f>
        <v>2029</v>
      </c>
      <c r="I4" s="233">
        <f>Starlink!I4</f>
        <v>2030</v>
      </c>
      <c r="J4" s="233">
        <f>Starlink!J4</f>
        <v>2031</v>
      </c>
      <c r="K4" s="233">
        <f>Starlink!K4</f>
        <v>2032</v>
      </c>
      <c r="L4" s="233">
        <f>Starlink!L4</f>
        <v>2033</v>
      </c>
      <c r="M4" s="233">
        <f>Starlink!M4</f>
        <v>2034</v>
      </c>
      <c r="N4" s="233">
        <f>Starlink!N4</f>
        <v>2035</v>
      </c>
      <c r="O4" s="233">
        <f>Starlink!O4</f>
        <v>2036</v>
      </c>
      <c r="P4" s="233">
        <f>Starlink!P4</f>
        <v>2037</v>
      </c>
      <c r="Q4" s="233">
        <f>Starlink!Q4</f>
        <v>2038</v>
      </c>
      <c r="R4" s="233">
        <f>Starlink!R4</f>
        <v>2039</v>
      </c>
      <c r="S4" s="233">
        <f>Starlink!S4</f>
        <v>2040</v>
      </c>
      <c r="T4" s="233">
        <f>Starlink!T4</f>
        <v>0</v>
      </c>
      <c r="U4" s="233">
        <f>Starlink!U4</f>
        <v>0</v>
      </c>
      <c r="V4" s="233">
        <f>Starlink!V4</f>
        <v>0</v>
      </c>
      <c r="W4" s="233">
        <f>Starlink!W4</f>
        <v>0</v>
      </c>
      <c r="X4" s="233">
        <f>Starlink!X4</f>
        <v>0</v>
      </c>
      <c r="Y4" s="233">
        <f>Starlink!Y4</f>
        <v>0</v>
      </c>
      <c r="Z4" s="233">
        <f>Starlink!Z4</f>
        <v>0</v>
      </c>
      <c r="AA4" s="233">
        <f>Starlink!AA4</f>
        <v>0</v>
      </c>
      <c r="AB4" s="233">
        <f>Starlink!AB4</f>
        <v>0</v>
      </c>
      <c r="AC4" s="233">
        <f>Starlink!AC4</f>
        <v>0</v>
      </c>
    </row>
    <row r="5" spans="1:29" x14ac:dyDescent="0.2">
      <c r="D5" s="233">
        <f>Starlink!D5</f>
        <v>0</v>
      </c>
      <c r="E5" s="233">
        <f>Starlink!E5</f>
        <v>1</v>
      </c>
      <c r="F5" s="233">
        <f>Starlink!F5</f>
        <v>2</v>
      </c>
      <c r="G5" s="233">
        <f>Starlink!G5</f>
        <v>3</v>
      </c>
      <c r="H5" s="233">
        <f>Starlink!H5</f>
        <v>4</v>
      </c>
      <c r="I5" s="233">
        <f>Starlink!I5</f>
        <v>5</v>
      </c>
      <c r="J5" s="233">
        <f>Starlink!J5</f>
        <v>6</v>
      </c>
      <c r="K5" s="233">
        <f>Starlink!K5</f>
        <v>7</v>
      </c>
      <c r="L5" s="233">
        <f>Starlink!L5</f>
        <v>8</v>
      </c>
      <c r="M5" s="233">
        <f>Starlink!M5</f>
        <v>9</v>
      </c>
      <c r="N5" s="233">
        <f>Starlink!N5</f>
        <v>10</v>
      </c>
      <c r="O5" s="233">
        <f>Starlink!O5</f>
        <v>11</v>
      </c>
      <c r="P5" s="233">
        <f>Starlink!P5</f>
        <v>12</v>
      </c>
      <c r="Q5" s="233">
        <f>Starlink!Q5</f>
        <v>13</v>
      </c>
      <c r="R5" s="233">
        <f>Starlink!R5</f>
        <v>14</v>
      </c>
      <c r="S5" s="233">
        <f>Starlink!S5</f>
        <v>15</v>
      </c>
      <c r="T5" s="233">
        <f>Starlink!T5</f>
        <v>0</v>
      </c>
      <c r="U5" s="233">
        <f>Starlink!U5</f>
        <v>0</v>
      </c>
      <c r="V5" s="233">
        <f>Starlink!V5</f>
        <v>0</v>
      </c>
      <c r="W5" s="233">
        <f>Starlink!W5</f>
        <v>0</v>
      </c>
      <c r="X5" s="233">
        <f>Starlink!X5</f>
        <v>0</v>
      </c>
      <c r="Y5" s="233">
        <f>Starlink!Y5</f>
        <v>0</v>
      </c>
      <c r="Z5" s="233">
        <f>Starlink!Z5</f>
        <v>0</v>
      </c>
      <c r="AA5" s="233">
        <f>Starlink!AA5</f>
        <v>0</v>
      </c>
      <c r="AB5" s="233">
        <f>Starlink!AB5</f>
        <v>0</v>
      </c>
      <c r="AC5" s="233">
        <f>Starlink!AC5</f>
        <v>0</v>
      </c>
    </row>
    <row r="7" spans="1:29" x14ac:dyDescent="0.2">
      <c r="A7" s="235" t="s">
        <v>1940</v>
      </c>
    </row>
    <row r="8" spans="1:29" x14ac:dyDescent="0.2">
      <c r="A8" t="s">
        <v>1941</v>
      </c>
      <c r="D8" s="231">
        <f>Starlink!D70</f>
        <v>0</v>
      </c>
      <c r="E8" s="231">
        <f>Starlink!E70</f>
        <v>0</v>
      </c>
      <c r="F8" s="231">
        <f ca="1">Starlink!F70</f>
        <v>61</v>
      </c>
      <c r="G8" s="231">
        <f ca="1">Starlink!G70</f>
        <v>127</v>
      </c>
      <c r="H8" s="231">
        <f ca="1">Starlink!H70</f>
        <v>264</v>
      </c>
      <c r="I8" s="231">
        <f ca="1">Starlink!I70</f>
        <v>351</v>
      </c>
      <c r="J8" s="231">
        <f ca="1">Starlink!J70</f>
        <v>559</v>
      </c>
      <c r="K8" s="231">
        <f ca="1">Starlink!K70</f>
        <v>397</v>
      </c>
      <c r="L8" s="231">
        <f ca="1">Starlink!L70</f>
        <v>481</v>
      </c>
      <c r="M8" s="231">
        <f ca="1">Starlink!M70</f>
        <v>694</v>
      </c>
      <c r="N8" s="231">
        <f ca="1">Starlink!N70</f>
        <v>821</v>
      </c>
      <c r="O8" s="231">
        <f ca="1">Starlink!O70</f>
        <v>1146</v>
      </c>
      <c r="P8" s="231">
        <f ca="1">Starlink!P70</f>
        <v>1015</v>
      </c>
      <c r="Q8" s="231">
        <f ca="1">Starlink!Q70</f>
        <v>564</v>
      </c>
      <c r="R8" s="231">
        <f ca="1">Starlink!R70</f>
        <v>388</v>
      </c>
      <c r="S8" s="231">
        <f ca="1">Starlink!S70</f>
        <v>395</v>
      </c>
      <c r="T8" s="231">
        <f>Starlink!T70</f>
        <v>0</v>
      </c>
      <c r="U8" s="231">
        <f>Starlink!U70</f>
        <v>0</v>
      </c>
      <c r="V8" s="231">
        <f>Starlink!V70</f>
        <v>0</v>
      </c>
      <c r="W8" s="231">
        <f>Starlink!W70</f>
        <v>0</v>
      </c>
      <c r="X8" s="231">
        <f>Starlink!X70</f>
        <v>0</v>
      </c>
      <c r="Y8" s="231">
        <f>Starlink!Y70</f>
        <v>0</v>
      </c>
      <c r="Z8" s="231">
        <f>Starlink!Z70</f>
        <v>0</v>
      </c>
      <c r="AA8" s="231">
        <f>Starlink!AA70</f>
        <v>0</v>
      </c>
      <c r="AB8" s="231">
        <f>Starlink!AB70</f>
        <v>0</v>
      </c>
      <c r="AC8" s="231">
        <f>Starlink!AC70</f>
        <v>0</v>
      </c>
    </row>
    <row r="9" spans="1:29" x14ac:dyDescent="0.2">
      <c r="A9" t="s">
        <v>1942</v>
      </c>
      <c r="D9" s="231">
        <f ca="1">'Customer Launch'!D47</f>
        <v>0</v>
      </c>
      <c r="E9" s="231">
        <f ca="1">'Customer Launch'!E47</f>
        <v>0</v>
      </c>
      <c r="F9" s="231">
        <f ca="1">'Customer Launch'!F47</f>
        <v>0</v>
      </c>
      <c r="G9" s="231">
        <f ca="1">'Customer Launch'!G47</f>
        <v>0</v>
      </c>
      <c r="H9" s="231">
        <f ca="1">'Customer Launch'!H47</f>
        <v>1.6047130641486054E-14</v>
      </c>
      <c r="I9" s="231">
        <f ca="1">'Customer Launch'!I47</f>
        <v>0</v>
      </c>
      <c r="J9" s="231">
        <f ca="1">'Customer Launch'!J47</f>
        <v>0</v>
      </c>
      <c r="K9" s="231">
        <f ca="1">'Customer Launch'!K47</f>
        <v>275.79927343800779</v>
      </c>
      <c r="L9" s="231">
        <f ca="1">'Customer Launch'!L47</f>
        <v>334.00142435865763</v>
      </c>
      <c r="M9" s="231">
        <f ca="1">'Customer Launch'!M47</f>
        <v>375.93717868282891</v>
      </c>
      <c r="N9" s="231">
        <f ca="1">'Customer Launch'!N47</f>
        <v>410.5801894687832</v>
      </c>
      <c r="O9" s="231">
        <f ca="1">'Customer Launch'!O47</f>
        <v>443.37371359843735</v>
      </c>
      <c r="P9" s="231">
        <f ca="1">'Customer Launch'!P47</f>
        <v>476.77105626268184</v>
      </c>
      <c r="Q9" s="231">
        <f ca="1">'Customer Launch'!Q47</f>
        <v>511.99911355553655</v>
      </c>
      <c r="R9" s="231">
        <f ca="1">'Customer Launch'!R47</f>
        <v>533.70642256817166</v>
      </c>
      <c r="S9" s="231">
        <f ca="1">'Customer Launch'!S47</f>
        <v>1.4901161193847657E-13</v>
      </c>
      <c r="T9" s="231">
        <f>'Customer Launch'!T47</f>
        <v>0</v>
      </c>
      <c r="U9" s="231">
        <f>'Customer Launch'!U47</f>
        <v>0</v>
      </c>
      <c r="V9" s="231">
        <f>'Customer Launch'!V47</f>
        <v>0</v>
      </c>
      <c r="W9" s="231">
        <f>'Customer Launch'!W47</f>
        <v>0</v>
      </c>
      <c r="X9" s="231">
        <f>'Customer Launch'!X47</f>
        <v>0</v>
      </c>
      <c r="Y9" s="231">
        <f>'Customer Launch'!Y47</f>
        <v>0</v>
      </c>
      <c r="Z9" s="231">
        <f>'Customer Launch'!Z47</f>
        <v>0</v>
      </c>
      <c r="AA9" s="231">
        <f>'Customer Launch'!AA47</f>
        <v>0</v>
      </c>
      <c r="AB9" s="231">
        <f>'Customer Launch'!AB47</f>
        <v>0</v>
      </c>
      <c r="AC9" s="231">
        <f>'Customer Launch'!AC47</f>
        <v>0</v>
      </c>
    </row>
    <row r="10" spans="1:29" x14ac:dyDescent="0.2">
      <c r="A10" t="s">
        <v>1943</v>
      </c>
      <c r="D10" s="231">
        <f ca="1">'AI - Compute'!D81</f>
        <v>0</v>
      </c>
      <c r="E10" s="231">
        <f ca="1">'AI - Compute'!E81</f>
        <v>0</v>
      </c>
      <c r="F10" s="231">
        <f ca="1">'AI - Compute'!F81</f>
        <v>0</v>
      </c>
      <c r="G10" s="231">
        <f ca="1">'AI - Compute'!G81</f>
        <v>12</v>
      </c>
      <c r="H10" s="231">
        <f ca="1">'AI - Compute'!H81</f>
        <v>34.700000000000003</v>
      </c>
      <c r="I10" s="231">
        <f ca="1">'AI - Compute'!I81</f>
        <v>81.716981132075475</v>
      </c>
      <c r="J10" s="231">
        <f ca="1">'AI - Compute'!J81</f>
        <v>163.38181818181818</v>
      </c>
      <c r="K10" s="231">
        <f ca="1">'AI - Compute'!K81</f>
        <v>173.41592920353983</v>
      </c>
      <c r="L10" s="231">
        <f ca="1">'AI - Compute'!L81</f>
        <v>99.188034188034194</v>
      </c>
      <c r="M10" s="231">
        <f ca="1">'AI - Compute'!M81</f>
        <v>138.31666666666666</v>
      </c>
      <c r="N10" s="231">
        <f ca="1">'AI - Compute'!N81</f>
        <v>201.5</v>
      </c>
      <c r="O10" s="231">
        <f ca="1">'AI - Compute'!O81</f>
        <v>299.4375</v>
      </c>
      <c r="P10" s="231">
        <f ca="1">'AI - Compute'!P81</f>
        <v>350.01526717557255</v>
      </c>
      <c r="Q10" s="231">
        <f ca="1">'AI - Compute'!Q81</f>
        <v>330.80740740740742</v>
      </c>
      <c r="R10" s="231">
        <f ca="1">'AI - Compute'!R81</f>
        <v>430.63309352517985</v>
      </c>
      <c r="S10" s="231">
        <f ca="1">'AI - Compute'!S81</f>
        <v>551.18181818181813</v>
      </c>
      <c r="T10" s="231">
        <f>'AI - Compute'!T81</f>
        <v>0</v>
      </c>
      <c r="U10" s="231">
        <f>'AI - Compute'!U81</f>
        <v>0</v>
      </c>
      <c r="V10" s="231">
        <f>'AI - Compute'!V81</f>
        <v>0</v>
      </c>
      <c r="W10" s="231">
        <f>'AI - Compute'!W81</f>
        <v>0</v>
      </c>
      <c r="X10" s="231">
        <f>'AI - Compute'!X81</f>
        <v>0</v>
      </c>
      <c r="Y10" s="231">
        <f>'AI - Compute'!Y81</f>
        <v>0</v>
      </c>
      <c r="Z10" s="231">
        <f>'AI - Compute'!Z81</f>
        <v>0</v>
      </c>
      <c r="AA10" s="231">
        <f>'AI - Compute'!AA81</f>
        <v>0</v>
      </c>
      <c r="AB10" s="231">
        <f>'AI - Compute'!AB81</f>
        <v>0</v>
      </c>
      <c r="AC10" s="231">
        <f>'AI - Compute'!AC81</f>
        <v>0</v>
      </c>
    </row>
    <row r="11" spans="1:29" x14ac:dyDescent="0.2">
      <c r="A11" t="s">
        <v>1944</v>
      </c>
      <c r="D11" s="231">
        <f>'Lunar - Mars'!D120</f>
        <v>0</v>
      </c>
      <c r="E11" s="231">
        <f>'Lunar - Mars'!E120</f>
        <v>0</v>
      </c>
      <c r="F11" s="231">
        <f>'Lunar - Mars'!F120</f>
        <v>0</v>
      </c>
      <c r="G11" s="231">
        <f>'Lunar - Mars'!G120</f>
        <v>0</v>
      </c>
      <c r="H11" s="231">
        <f>'Lunar - Mars'!H120</f>
        <v>0</v>
      </c>
      <c r="I11" s="231">
        <f ca="1">'Lunar - Mars'!I120</f>
        <v>72.231701049813097</v>
      </c>
      <c r="J11" s="231">
        <f ca="1">'Lunar - Mars'!J120</f>
        <v>77.162887615581283</v>
      </c>
      <c r="K11" s="231">
        <f ca="1">'Lunar - Mars'!K120</f>
        <v>92.59229859166453</v>
      </c>
      <c r="L11" s="231">
        <f ca="1">'Lunar - Mars'!L120</f>
        <v>70.561413669609777</v>
      </c>
      <c r="M11" s="231">
        <f ca="1">'Lunar - Mars'!M120</f>
        <v>113.16201037447252</v>
      </c>
      <c r="N11" s="231">
        <f ca="1">'Lunar - Mars'!N120</f>
        <v>104.72404557431413</v>
      </c>
      <c r="O11" s="231">
        <f ca="1">'Lunar - Mars'!O120</f>
        <v>125.25512205446174</v>
      </c>
      <c r="P11" s="231">
        <f ca="1">'Lunar - Mars'!P120</f>
        <v>139.48341578999927</v>
      </c>
      <c r="Q11" s="231">
        <f ca="1">'Lunar - Mars'!Q120</f>
        <v>229.3777422254737</v>
      </c>
      <c r="R11" s="231">
        <f ca="1">'Lunar - Mars'!R120</f>
        <v>359.07202514006991</v>
      </c>
      <c r="S11" s="231">
        <f ca="1">'Lunar - Mars'!S120</f>
        <v>477.65789367365284</v>
      </c>
      <c r="T11" s="231">
        <f>'Lunar - Mars'!T120</f>
        <v>0</v>
      </c>
      <c r="U11" s="231">
        <f>'Lunar - Mars'!U120</f>
        <v>0</v>
      </c>
      <c r="V11" s="231">
        <f>'Lunar - Mars'!V120</f>
        <v>0</v>
      </c>
      <c r="W11" s="231">
        <f>'Lunar - Mars'!W120</f>
        <v>0</v>
      </c>
      <c r="X11" s="231">
        <f>'Lunar - Mars'!X120</f>
        <v>0</v>
      </c>
      <c r="Y11" s="231">
        <f>'Lunar - Mars'!Y120</f>
        <v>0</v>
      </c>
      <c r="Z11" s="231">
        <f>'Lunar - Mars'!Z120</f>
        <v>0</v>
      </c>
      <c r="AA11" s="231">
        <f>'Lunar - Mars'!AA120</f>
        <v>0</v>
      </c>
      <c r="AB11" s="231">
        <f>'Lunar - Mars'!AB120</f>
        <v>0</v>
      </c>
      <c r="AC11" s="231">
        <f>'Lunar - Mars'!AC120</f>
        <v>0</v>
      </c>
    </row>
    <row r="12" spans="1:29" x14ac:dyDescent="0.2">
      <c r="A12" s="235" t="s">
        <v>1945</v>
      </c>
      <c r="D12" s="231">
        <f ca="1">SUM(D8:D11)</f>
        <v>0</v>
      </c>
      <c r="E12" s="231">
        <f t="shared" ref="E12:AC12" ca="1" si="0">SUM(E8:E11)</f>
        <v>0</v>
      </c>
      <c r="F12" s="231">
        <f t="shared" ca="1" si="0"/>
        <v>61</v>
      </c>
      <c r="G12" s="231">
        <f t="shared" ca="1" si="0"/>
        <v>139</v>
      </c>
      <c r="H12" s="231">
        <f t="shared" ca="1" si="0"/>
        <v>298.7</v>
      </c>
      <c r="I12" s="231">
        <f t="shared" ca="1" si="0"/>
        <v>504.94868218188856</v>
      </c>
      <c r="J12" s="231">
        <f t="shared" ca="1" si="0"/>
        <v>799.5447057973995</v>
      </c>
      <c r="K12" s="231">
        <f t="shared" ca="1" si="0"/>
        <v>938.80750123321207</v>
      </c>
      <c r="L12" s="231">
        <f t="shared" ca="1" si="0"/>
        <v>984.75087221630167</v>
      </c>
      <c r="M12" s="231">
        <f t="shared" ca="1" si="0"/>
        <v>1321.415855723968</v>
      </c>
      <c r="N12" s="231">
        <f t="shared" ca="1" si="0"/>
        <v>1537.8042350430974</v>
      </c>
      <c r="O12" s="231">
        <f t="shared" ca="1" si="0"/>
        <v>2014.0663356528992</v>
      </c>
      <c r="P12" s="231">
        <f t="shared" ca="1" si="0"/>
        <v>1981.2697392282537</v>
      </c>
      <c r="Q12" s="231">
        <f t="shared" ca="1" si="0"/>
        <v>1636.1842631884176</v>
      </c>
      <c r="R12" s="231">
        <f t="shared" ca="1" si="0"/>
        <v>1711.4115412334213</v>
      </c>
      <c r="S12" s="231">
        <f t="shared" ca="1" si="0"/>
        <v>1423.839711855471</v>
      </c>
      <c r="T12" s="231">
        <f t="shared" si="0"/>
        <v>0</v>
      </c>
      <c r="U12" s="231">
        <f t="shared" si="0"/>
        <v>0</v>
      </c>
      <c r="V12" s="231">
        <f t="shared" si="0"/>
        <v>0</v>
      </c>
      <c r="W12" s="231">
        <f t="shared" si="0"/>
        <v>0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</row>
    <row r="14" spans="1:29" x14ac:dyDescent="0.2">
      <c r="A14" s="235" t="s">
        <v>1946</v>
      </c>
    </row>
    <row r="15" spans="1:29" x14ac:dyDescent="0.2">
      <c r="A15" t="s">
        <v>831</v>
      </c>
      <c r="D15" s="232">
        <f ca="1">IFERROR(D8/D$12,0)</f>
        <v>0</v>
      </c>
      <c r="E15" s="232">
        <f t="shared" ref="E15:AC15" ca="1" si="1">IFERROR(E8/E$12,0)</f>
        <v>0</v>
      </c>
      <c r="F15" s="232">
        <f t="shared" ca="1" si="1"/>
        <v>1</v>
      </c>
      <c r="G15" s="232">
        <f t="shared" ca="1" si="1"/>
        <v>0.91366906474820142</v>
      </c>
      <c r="H15" s="232">
        <f t="shared" ca="1" si="1"/>
        <v>0.88382992969534657</v>
      </c>
      <c r="I15" s="232">
        <f t="shared" ca="1" si="1"/>
        <v>0.69512014267138056</v>
      </c>
      <c r="J15" s="232">
        <f t="shared" ca="1" si="1"/>
        <v>0.69914789748060402</v>
      </c>
      <c r="K15" s="232">
        <f t="shared" ca="1" si="1"/>
        <v>0.42287689380251342</v>
      </c>
      <c r="L15" s="232">
        <f t="shared" ca="1" si="1"/>
        <v>0.48844841225420899</v>
      </c>
      <c r="M15" s="232">
        <f t="shared" ca="1" si="1"/>
        <v>0.52519424297340234</v>
      </c>
      <c r="N15" s="232">
        <f t="shared" ca="1" si="1"/>
        <v>0.53387809793422192</v>
      </c>
      <c r="O15" s="232">
        <f t="shared" ca="1" si="1"/>
        <v>0.56899814058433262</v>
      </c>
      <c r="P15" s="232">
        <f t="shared" ca="1" si="1"/>
        <v>0.51229773508546284</v>
      </c>
      <c r="Q15" s="232">
        <f t="shared" ca="1" si="1"/>
        <v>0.34470445211405359</v>
      </c>
      <c r="R15" s="232">
        <f t="shared" ca="1" si="1"/>
        <v>0.22671344130375959</v>
      </c>
      <c r="S15" s="232">
        <f t="shared" ca="1" si="1"/>
        <v>0.27741886724402237</v>
      </c>
      <c r="T15" s="232">
        <f t="shared" si="1"/>
        <v>0</v>
      </c>
      <c r="U15" s="232">
        <f t="shared" si="1"/>
        <v>0</v>
      </c>
      <c r="V15" s="232">
        <f t="shared" si="1"/>
        <v>0</v>
      </c>
      <c r="W15" s="232">
        <f t="shared" si="1"/>
        <v>0</v>
      </c>
      <c r="X15" s="232">
        <f t="shared" si="1"/>
        <v>0</v>
      </c>
      <c r="Y15" s="232">
        <f t="shared" si="1"/>
        <v>0</v>
      </c>
      <c r="Z15" s="232">
        <f t="shared" si="1"/>
        <v>0</v>
      </c>
      <c r="AA15" s="232">
        <f t="shared" si="1"/>
        <v>0</v>
      </c>
      <c r="AB15" s="232">
        <f t="shared" si="1"/>
        <v>0</v>
      </c>
      <c r="AC15" s="232">
        <f t="shared" si="1"/>
        <v>0</v>
      </c>
    </row>
    <row r="16" spans="1:29" x14ac:dyDescent="0.2">
      <c r="A16" t="s">
        <v>1111</v>
      </c>
      <c r="D16" s="232">
        <f ca="1">IFERROR(D9/D$12,0)</f>
        <v>0</v>
      </c>
      <c r="E16" s="232">
        <f t="shared" ref="E16:AC16" ca="1" si="2">IFERROR(E9/E$12,0)</f>
        <v>0</v>
      </c>
      <c r="F16" s="232">
        <f t="shared" ca="1" si="2"/>
        <v>0</v>
      </c>
      <c r="G16" s="232">
        <f t="shared" ca="1" si="2"/>
        <v>0</v>
      </c>
      <c r="H16" s="232">
        <f t="shared" ca="1" si="2"/>
        <v>5.3723236161654016E-17</v>
      </c>
      <c r="I16" s="232">
        <f t="shared" ca="1" si="2"/>
        <v>0</v>
      </c>
      <c r="J16" s="232">
        <f t="shared" ca="1" si="2"/>
        <v>0</v>
      </c>
      <c r="K16" s="232">
        <f t="shared" ca="1" si="2"/>
        <v>0.29377617144698936</v>
      </c>
      <c r="L16" s="232">
        <f t="shared" ca="1" si="2"/>
        <v>0.33917352477885782</v>
      </c>
      <c r="M16" s="232">
        <f t="shared" ca="1" si="2"/>
        <v>0.28449573770012249</v>
      </c>
      <c r="N16" s="232">
        <f t="shared" ca="1" si="2"/>
        <v>0.26699119440081176</v>
      </c>
      <c r="O16" s="232">
        <f t="shared" ca="1" si="2"/>
        <v>0.22013858518453863</v>
      </c>
      <c r="P16" s="232">
        <f t="shared" ca="1" si="2"/>
        <v>0.24063914510115833</v>
      </c>
      <c r="Q16" s="232">
        <f t="shared" ca="1" si="2"/>
        <v>0.31292264879617437</v>
      </c>
      <c r="R16" s="232">
        <f t="shared" ca="1" si="2"/>
        <v>0.31185159718131106</v>
      </c>
      <c r="S16" s="232">
        <f t="shared" ca="1" si="2"/>
        <v>1.0465476605108358E-16</v>
      </c>
      <c r="T16" s="232">
        <f t="shared" si="2"/>
        <v>0</v>
      </c>
      <c r="U16" s="232">
        <f t="shared" si="2"/>
        <v>0</v>
      </c>
      <c r="V16" s="232">
        <f t="shared" si="2"/>
        <v>0</v>
      </c>
      <c r="W16" s="232">
        <f t="shared" si="2"/>
        <v>0</v>
      </c>
      <c r="X16" s="232">
        <f t="shared" si="2"/>
        <v>0</v>
      </c>
      <c r="Y16" s="232">
        <f t="shared" si="2"/>
        <v>0</v>
      </c>
      <c r="Z16" s="232">
        <f t="shared" si="2"/>
        <v>0</v>
      </c>
      <c r="AA16" s="232">
        <f t="shared" si="2"/>
        <v>0</v>
      </c>
      <c r="AB16" s="232">
        <f t="shared" si="2"/>
        <v>0</v>
      </c>
      <c r="AC16" s="232">
        <f t="shared" si="2"/>
        <v>0</v>
      </c>
    </row>
    <row r="17" spans="1:29" x14ac:dyDescent="0.2">
      <c r="A17" t="s">
        <v>1943</v>
      </c>
      <c r="D17" s="232">
        <f ca="1">IFERROR(D10/D$12,0)</f>
        <v>0</v>
      </c>
      <c r="E17" s="232">
        <f t="shared" ref="E17:AC17" ca="1" si="3">IFERROR(E10/E$12,0)</f>
        <v>0</v>
      </c>
      <c r="F17" s="232">
        <f t="shared" ca="1" si="3"/>
        <v>0</v>
      </c>
      <c r="G17" s="232">
        <f t="shared" ca="1" si="3"/>
        <v>8.6330935251798566E-2</v>
      </c>
      <c r="H17" s="232">
        <f t="shared" ca="1" si="3"/>
        <v>0.11617007030465351</v>
      </c>
      <c r="I17" s="232">
        <f t="shared" ca="1" si="3"/>
        <v>0.16183224952479436</v>
      </c>
      <c r="J17" s="232">
        <f t="shared" ca="1" si="3"/>
        <v>0.20434356827974332</v>
      </c>
      <c r="K17" s="232">
        <f t="shared" ca="1" si="3"/>
        <v>0.18471936896088034</v>
      </c>
      <c r="L17" s="232">
        <f t="shared" ca="1" si="3"/>
        <v>0.10072398713879731</v>
      </c>
      <c r="M17" s="232">
        <f t="shared" ca="1" si="3"/>
        <v>0.10467307930922828</v>
      </c>
      <c r="N17" s="232">
        <f t="shared" ca="1" si="3"/>
        <v>0.13103098262332</v>
      </c>
      <c r="O17" s="232">
        <f t="shared" ca="1" si="3"/>
        <v>0.14867310708658038</v>
      </c>
      <c r="P17" s="232">
        <f t="shared" ca="1" si="3"/>
        <v>0.17666209716194972</v>
      </c>
      <c r="Q17" s="232">
        <f t="shared" ca="1" si="3"/>
        <v>0.20218224490361861</v>
      </c>
      <c r="R17" s="232">
        <f t="shared" ca="1" si="3"/>
        <v>0.25162451178447753</v>
      </c>
      <c r="S17" s="232">
        <f t="shared" ca="1" si="3"/>
        <v>0.38710945733038149</v>
      </c>
      <c r="T17" s="232">
        <f t="shared" si="3"/>
        <v>0</v>
      </c>
      <c r="U17" s="232">
        <f t="shared" si="3"/>
        <v>0</v>
      </c>
      <c r="V17" s="232">
        <f t="shared" si="3"/>
        <v>0</v>
      </c>
      <c r="W17" s="232">
        <f t="shared" si="3"/>
        <v>0</v>
      </c>
      <c r="X17" s="232">
        <f t="shared" si="3"/>
        <v>0</v>
      </c>
      <c r="Y17" s="232">
        <f t="shared" si="3"/>
        <v>0</v>
      </c>
      <c r="Z17" s="232">
        <f t="shared" si="3"/>
        <v>0</v>
      </c>
      <c r="AA17" s="232">
        <f t="shared" si="3"/>
        <v>0</v>
      </c>
      <c r="AB17" s="232">
        <f t="shared" si="3"/>
        <v>0</v>
      </c>
      <c r="AC17" s="232">
        <f t="shared" si="3"/>
        <v>0</v>
      </c>
    </row>
    <row r="18" spans="1:29" x14ac:dyDescent="0.2">
      <c r="A18" t="s">
        <v>1944</v>
      </c>
      <c r="D18" s="232">
        <f ca="1">IFERROR(D11/D$12,0)</f>
        <v>0</v>
      </c>
      <c r="E18" s="232">
        <f t="shared" ref="E18:AC18" ca="1" si="4">IFERROR(E11/E$12,0)</f>
        <v>0</v>
      </c>
      <c r="F18" s="232">
        <f t="shared" ca="1" si="4"/>
        <v>0</v>
      </c>
      <c r="G18" s="232">
        <f t="shared" ca="1" si="4"/>
        <v>0</v>
      </c>
      <c r="H18" s="232">
        <f t="shared" ca="1" si="4"/>
        <v>0</v>
      </c>
      <c r="I18" s="232">
        <f t="shared" ca="1" si="4"/>
        <v>0.14304760780382506</v>
      </c>
      <c r="J18" s="232">
        <f t="shared" ca="1" si="4"/>
        <v>9.6508534239652582E-2</v>
      </c>
      <c r="K18" s="232">
        <f t="shared" ca="1" si="4"/>
        <v>9.8627565789616956E-2</v>
      </c>
      <c r="L18" s="232">
        <f t="shared" ca="1" si="4"/>
        <v>7.1654075828135835E-2</v>
      </c>
      <c r="M18" s="232">
        <f t="shared" ca="1" si="4"/>
        <v>8.5636940017246962E-2</v>
      </c>
      <c r="N18" s="232">
        <f t="shared" ca="1" si="4"/>
        <v>6.8099725041646283E-2</v>
      </c>
      <c r="O18" s="232">
        <f t="shared" ca="1" si="4"/>
        <v>6.2190167144548308E-2</v>
      </c>
      <c r="P18" s="232">
        <f t="shared" ca="1" si="4"/>
        <v>7.0401022651429085E-2</v>
      </c>
      <c r="Q18" s="232">
        <f t="shared" ca="1" si="4"/>
        <v>0.14019065418615342</v>
      </c>
      <c r="R18" s="232">
        <f t="shared" ca="1" si="4"/>
        <v>0.20981044973045188</v>
      </c>
      <c r="S18" s="232">
        <f t="shared" ca="1" si="4"/>
        <v>0.33547167542559608</v>
      </c>
      <c r="T18" s="232">
        <f t="shared" si="4"/>
        <v>0</v>
      </c>
      <c r="U18" s="232">
        <f t="shared" si="4"/>
        <v>0</v>
      </c>
      <c r="V18" s="232">
        <f t="shared" si="4"/>
        <v>0</v>
      </c>
      <c r="W18" s="232">
        <f t="shared" si="4"/>
        <v>0</v>
      </c>
      <c r="X18" s="232">
        <f t="shared" si="4"/>
        <v>0</v>
      </c>
      <c r="Y18" s="232">
        <f t="shared" si="4"/>
        <v>0</v>
      </c>
      <c r="Z18" s="232">
        <f t="shared" si="4"/>
        <v>0</v>
      </c>
      <c r="AA18" s="232">
        <f t="shared" si="4"/>
        <v>0</v>
      </c>
      <c r="AB18" s="232">
        <f t="shared" si="4"/>
        <v>0</v>
      </c>
      <c r="AC18" s="232">
        <f t="shared" si="4"/>
        <v>0</v>
      </c>
    </row>
    <row r="20" spans="1:29" x14ac:dyDescent="0.2">
      <c r="A20" s="235" t="s">
        <v>1947</v>
      </c>
    </row>
    <row r="21" spans="1:29" x14ac:dyDescent="0.2">
      <c r="A21" t="s">
        <v>1948</v>
      </c>
      <c r="D21" s="231">
        <f>Starlink!D69</f>
        <v>166</v>
      </c>
      <c r="E21" s="231">
        <f ca="1">Starlink!E69</f>
        <v>138</v>
      </c>
      <c r="F21" s="231">
        <f>Starlink!F69</f>
        <v>0</v>
      </c>
      <c r="G21" s="231">
        <f>Starlink!G69</f>
        <v>0</v>
      </c>
      <c r="H21" s="231">
        <f>Starlink!H69</f>
        <v>0</v>
      </c>
      <c r="I21" s="231">
        <f>Starlink!I69</f>
        <v>0</v>
      </c>
      <c r="J21" s="231">
        <f>Starlink!J69</f>
        <v>0</v>
      </c>
      <c r="K21" s="231">
        <f>Starlink!K69</f>
        <v>0</v>
      </c>
      <c r="L21" s="231">
        <f>Starlink!L69</f>
        <v>0</v>
      </c>
      <c r="M21" s="231">
        <f>Starlink!M69</f>
        <v>0</v>
      </c>
      <c r="N21" s="231">
        <f>Starlink!N69</f>
        <v>0</v>
      </c>
      <c r="O21" s="231">
        <f>Starlink!O69</f>
        <v>0</v>
      </c>
      <c r="P21" s="231">
        <f>Starlink!P69</f>
        <v>0</v>
      </c>
      <c r="Q21" s="231">
        <f>Starlink!Q69</f>
        <v>0</v>
      </c>
      <c r="R21" s="231">
        <f>Starlink!R69</f>
        <v>0</v>
      </c>
      <c r="S21" s="231">
        <f>Starlink!S69</f>
        <v>0</v>
      </c>
      <c r="T21" s="231">
        <f>Starlink!T69</f>
        <v>0</v>
      </c>
      <c r="U21" s="231">
        <f>Starlink!U69</f>
        <v>0</v>
      </c>
      <c r="V21" s="231">
        <f>Starlink!V69</f>
        <v>0</v>
      </c>
      <c r="W21" s="231">
        <f>Starlink!W69</f>
        <v>0</v>
      </c>
      <c r="X21" s="231">
        <f>Starlink!X69</f>
        <v>0</v>
      </c>
      <c r="Y21" s="231">
        <f>Starlink!Y69</f>
        <v>0</v>
      </c>
      <c r="Z21" s="231">
        <f>Starlink!Z69</f>
        <v>0</v>
      </c>
      <c r="AA21" s="231">
        <f>Starlink!AA69</f>
        <v>0</v>
      </c>
      <c r="AB21" s="231">
        <f>Starlink!AB69</f>
        <v>0</v>
      </c>
      <c r="AC21" s="231">
        <f>Starlink!AC69</f>
        <v>0</v>
      </c>
    </row>
    <row r="22" spans="1:29" x14ac:dyDescent="0.2">
      <c r="A22" t="s">
        <v>1949</v>
      </c>
      <c r="D22" s="231">
        <f ca="1">'Customer Launch'!D131</f>
        <v>29</v>
      </c>
      <c r="E22" s="231">
        <f ca="1">'Customer Launch'!E131</f>
        <v>84</v>
      </c>
      <c r="F22" s="231">
        <f ca="1">'Customer Launch'!F131</f>
        <v>200.20558467153288</v>
      </c>
      <c r="G22" s="231">
        <f ca="1">'Customer Launch'!G131</f>
        <v>219.22022247560051</v>
      </c>
      <c r="H22" s="231">
        <f ca="1">'Customer Launch'!H131</f>
        <v>243.65397969694556</v>
      </c>
      <c r="I22" s="231">
        <f ca="1">'Customer Launch'!I131</f>
        <v>270</v>
      </c>
      <c r="J22" s="231">
        <f ca="1">'Customer Launch'!J131</f>
        <v>267</v>
      </c>
      <c r="K22" s="231">
        <f ca="1">'Customer Launch'!K131</f>
        <v>61.539136051043272</v>
      </c>
      <c r="L22" s="231">
        <f ca="1">'Customer Launch'!L131</f>
        <v>27.416506458860624</v>
      </c>
      <c r="M22" s="231">
        <f ca="1">'Customer Launch'!M131</f>
        <v>11.352319127390047</v>
      </c>
      <c r="N22" s="231">
        <f ca="1">'Customer Launch'!N131</f>
        <v>4.5611339034795719</v>
      </c>
      <c r="O22" s="231">
        <f ca="1">'Customer Launch'!O131</f>
        <v>1.811967029299808</v>
      </c>
      <c r="P22" s="231">
        <f ca="1">'Customer Launch'!P131</f>
        <v>0.71679629206266782</v>
      </c>
      <c r="Q22" s="231">
        <f ca="1">'Customer Launch'!Q131</f>
        <v>0.28317870723714123</v>
      </c>
      <c r="R22" s="231">
        <f ca="1">'Customer Launch'!R131</f>
        <v>16.132360811390413</v>
      </c>
      <c r="S22" s="231">
        <f ca="1">'Customer Launch'!S131</f>
        <v>6</v>
      </c>
      <c r="T22" s="231">
        <f>'Customer Launch'!T131</f>
        <v>0</v>
      </c>
      <c r="U22" s="231">
        <f>'Customer Launch'!U131</f>
        <v>0</v>
      </c>
      <c r="V22" s="231">
        <f>'Customer Launch'!V131</f>
        <v>0</v>
      </c>
      <c r="W22" s="231">
        <f>'Customer Launch'!W131</f>
        <v>0</v>
      </c>
      <c r="X22" s="231">
        <f>'Customer Launch'!X131</f>
        <v>0</v>
      </c>
      <c r="Y22" s="231">
        <f>'Customer Launch'!Y131</f>
        <v>0</v>
      </c>
      <c r="Z22" s="231">
        <f>'Customer Launch'!Z131</f>
        <v>0</v>
      </c>
      <c r="AA22" s="231">
        <f>'Customer Launch'!AA131</f>
        <v>0</v>
      </c>
      <c r="AB22" s="231">
        <f>'Customer Launch'!AB131</f>
        <v>0</v>
      </c>
      <c r="AC22" s="231">
        <f>'Customer Launch'!AC131</f>
        <v>0</v>
      </c>
    </row>
    <row r="23" spans="1:29" x14ac:dyDescent="0.2">
      <c r="A23" s="235" t="s">
        <v>1950</v>
      </c>
      <c r="D23" s="231">
        <f ca="1">SUM(D21:D22)</f>
        <v>195</v>
      </c>
      <c r="E23" s="231">
        <f t="shared" ref="E23:AC23" ca="1" si="5">SUM(E21:E22)</f>
        <v>222</v>
      </c>
      <c r="F23" s="231">
        <f t="shared" ca="1" si="5"/>
        <v>200.20558467153288</v>
      </c>
      <c r="G23" s="231">
        <f t="shared" ca="1" si="5"/>
        <v>219.22022247560051</v>
      </c>
      <c r="H23" s="231">
        <f t="shared" ca="1" si="5"/>
        <v>243.65397969694556</v>
      </c>
      <c r="I23" s="231">
        <f t="shared" ca="1" si="5"/>
        <v>270</v>
      </c>
      <c r="J23" s="231">
        <f t="shared" ca="1" si="5"/>
        <v>267</v>
      </c>
      <c r="K23" s="231">
        <f t="shared" ca="1" si="5"/>
        <v>61.539136051043272</v>
      </c>
      <c r="L23" s="231">
        <f t="shared" ca="1" si="5"/>
        <v>27.416506458860624</v>
      </c>
      <c r="M23" s="231">
        <f t="shared" ca="1" si="5"/>
        <v>11.352319127390047</v>
      </c>
      <c r="N23" s="231">
        <f t="shared" ca="1" si="5"/>
        <v>4.5611339034795719</v>
      </c>
      <c r="O23" s="231">
        <f t="shared" ca="1" si="5"/>
        <v>1.811967029299808</v>
      </c>
      <c r="P23" s="231">
        <f t="shared" ca="1" si="5"/>
        <v>0.71679629206266782</v>
      </c>
      <c r="Q23" s="231">
        <f t="shared" ca="1" si="5"/>
        <v>0.28317870723714123</v>
      </c>
      <c r="R23" s="231">
        <f t="shared" ca="1" si="5"/>
        <v>16.132360811390413</v>
      </c>
      <c r="S23" s="231">
        <f t="shared" ca="1" si="5"/>
        <v>6</v>
      </c>
      <c r="T23" s="231">
        <f t="shared" si="5"/>
        <v>0</v>
      </c>
      <c r="U23" s="231">
        <f t="shared" si="5"/>
        <v>0</v>
      </c>
      <c r="V23" s="231">
        <f t="shared" si="5"/>
        <v>0</v>
      </c>
      <c r="W23" s="231">
        <f t="shared" si="5"/>
        <v>0</v>
      </c>
      <c r="X23" s="231">
        <f t="shared" si="5"/>
        <v>0</v>
      </c>
      <c r="Y23" s="231">
        <f t="shared" si="5"/>
        <v>0</v>
      </c>
      <c r="Z23" s="231">
        <f t="shared" si="5"/>
        <v>0</v>
      </c>
      <c r="AA23" s="231">
        <f t="shared" si="5"/>
        <v>0</v>
      </c>
      <c r="AB23" s="231">
        <f t="shared" si="5"/>
        <v>0</v>
      </c>
      <c r="AC23" s="231">
        <f t="shared" si="5"/>
        <v>0</v>
      </c>
    </row>
    <row r="25" spans="1:29" x14ac:dyDescent="0.2">
      <c r="A25" s="235" t="s">
        <v>1951</v>
      </c>
    </row>
    <row r="26" spans="1:29" x14ac:dyDescent="0.2">
      <c r="A26" t="s">
        <v>1952</v>
      </c>
      <c r="D26" s="231">
        <f ca="1">D12</f>
        <v>0</v>
      </c>
      <c r="E26" s="231">
        <f t="shared" ref="E26:AC26" ca="1" si="6">E12</f>
        <v>0</v>
      </c>
      <c r="F26" s="231">
        <f t="shared" ca="1" si="6"/>
        <v>61</v>
      </c>
      <c r="G26" s="231">
        <f t="shared" ca="1" si="6"/>
        <v>139</v>
      </c>
      <c r="H26" s="231">
        <f t="shared" ca="1" si="6"/>
        <v>298.7</v>
      </c>
      <c r="I26" s="231">
        <f t="shared" ca="1" si="6"/>
        <v>504.94868218188856</v>
      </c>
      <c r="J26" s="231">
        <f t="shared" ca="1" si="6"/>
        <v>799.5447057973995</v>
      </c>
      <c r="K26" s="231">
        <f t="shared" ca="1" si="6"/>
        <v>938.80750123321207</v>
      </c>
      <c r="L26" s="231">
        <f t="shared" ca="1" si="6"/>
        <v>984.75087221630167</v>
      </c>
      <c r="M26" s="231">
        <f t="shared" ca="1" si="6"/>
        <v>1321.415855723968</v>
      </c>
      <c r="N26" s="231">
        <f t="shared" ca="1" si="6"/>
        <v>1537.8042350430974</v>
      </c>
      <c r="O26" s="231">
        <f t="shared" ca="1" si="6"/>
        <v>2014.0663356528992</v>
      </c>
      <c r="P26" s="231">
        <f t="shared" ca="1" si="6"/>
        <v>1981.2697392282537</v>
      </c>
      <c r="Q26" s="231">
        <f t="shared" ca="1" si="6"/>
        <v>1636.1842631884176</v>
      </c>
      <c r="R26" s="231">
        <f t="shared" ca="1" si="6"/>
        <v>1711.4115412334213</v>
      </c>
      <c r="S26" s="231">
        <f t="shared" ca="1" si="6"/>
        <v>1423.839711855471</v>
      </c>
      <c r="T26" s="231">
        <f t="shared" si="6"/>
        <v>0</v>
      </c>
      <c r="U26" s="231">
        <f t="shared" si="6"/>
        <v>0</v>
      </c>
      <c r="V26" s="231">
        <f t="shared" si="6"/>
        <v>0</v>
      </c>
      <c r="W26" s="231">
        <f t="shared" si="6"/>
        <v>0</v>
      </c>
      <c r="X26" s="231">
        <f t="shared" si="6"/>
        <v>0</v>
      </c>
      <c r="Y26" s="231">
        <f t="shared" si="6"/>
        <v>0</v>
      </c>
      <c r="Z26" s="231">
        <f t="shared" si="6"/>
        <v>0</v>
      </c>
      <c r="AA26" s="231">
        <f t="shared" si="6"/>
        <v>0</v>
      </c>
      <c r="AB26" s="231">
        <f t="shared" si="6"/>
        <v>0</v>
      </c>
      <c r="AC26" s="231">
        <f t="shared" si="6"/>
        <v>0</v>
      </c>
    </row>
    <row r="27" spans="1:29" x14ac:dyDescent="0.2">
      <c r="A27" t="s">
        <v>1953</v>
      </c>
      <c r="D27" s="231">
        <f ca="1">D23</f>
        <v>195</v>
      </c>
      <c r="E27" s="231">
        <f t="shared" ref="E27:AC27" ca="1" si="7">E23</f>
        <v>222</v>
      </c>
      <c r="F27" s="231">
        <f t="shared" ca="1" si="7"/>
        <v>200.20558467153288</v>
      </c>
      <c r="G27" s="231">
        <f t="shared" ca="1" si="7"/>
        <v>219.22022247560051</v>
      </c>
      <c r="H27" s="231">
        <f t="shared" ca="1" si="7"/>
        <v>243.65397969694556</v>
      </c>
      <c r="I27" s="231">
        <f t="shared" ca="1" si="7"/>
        <v>270</v>
      </c>
      <c r="J27" s="231">
        <f t="shared" ca="1" si="7"/>
        <v>267</v>
      </c>
      <c r="K27" s="231">
        <f t="shared" ca="1" si="7"/>
        <v>61.539136051043272</v>
      </c>
      <c r="L27" s="231">
        <f t="shared" ca="1" si="7"/>
        <v>27.416506458860624</v>
      </c>
      <c r="M27" s="231">
        <f t="shared" ca="1" si="7"/>
        <v>11.352319127390047</v>
      </c>
      <c r="N27" s="231">
        <f t="shared" ca="1" si="7"/>
        <v>4.5611339034795719</v>
      </c>
      <c r="O27" s="231">
        <f t="shared" ca="1" si="7"/>
        <v>1.811967029299808</v>
      </c>
      <c r="P27" s="231">
        <f t="shared" ca="1" si="7"/>
        <v>0.71679629206266782</v>
      </c>
      <c r="Q27" s="231">
        <f t="shared" ca="1" si="7"/>
        <v>0.28317870723714123</v>
      </c>
      <c r="R27" s="231">
        <f t="shared" ca="1" si="7"/>
        <v>16.132360811390413</v>
      </c>
      <c r="S27" s="231">
        <f t="shared" ca="1" si="7"/>
        <v>6</v>
      </c>
      <c r="T27" s="231">
        <f t="shared" si="7"/>
        <v>0</v>
      </c>
      <c r="U27" s="231">
        <f t="shared" si="7"/>
        <v>0</v>
      </c>
      <c r="V27" s="231">
        <f t="shared" si="7"/>
        <v>0</v>
      </c>
      <c r="W27" s="231">
        <f t="shared" si="7"/>
        <v>0</v>
      </c>
      <c r="X27" s="231">
        <f t="shared" si="7"/>
        <v>0</v>
      </c>
      <c r="Y27" s="231">
        <f t="shared" si="7"/>
        <v>0</v>
      </c>
      <c r="Z27" s="231">
        <f t="shared" si="7"/>
        <v>0</v>
      </c>
      <c r="AA27" s="231">
        <f t="shared" si="7"/>
        <v>0</v>
      </c>
      <c r="AB27" s="231">
        <f t="shared" si="7"/>
        <v>0</v>
      </c>
      <c r="AC27" s="231">
        <f t="shared" si="7"/>
        <v>0</v>
      </c>
    </row>
    <row r="28" spans="1:29" x14ac:dyDescent="0.2">
      <c r="A28" s="235" t="s">
        <v>1954</v>
      </c>
      <c r="D28" s="231">
        <f ca="1">D26+D27</f>
        <v>195</v>
      </c>
      <c r="E28" s="231">
        <f t="shared" ref="E28:AC28" ca="1" si="8">E26+E27</f>
        <v>222</v>
      </c>
      <c r="F28" s="231">
        <f t="shared" ca="1" si="8"/>
        <v>261.20558467153285</v>
      </c>
      <c r="G28" s="231">
        <f t="shared" ca="1" si="8"/>
        <v>358.22022247560051</v>
      </c>
      <c r="H28" s="231">
        <f t="shared" ca="1" si="8"/>
        <v>542.35397969694554</v>
      </c>
      <c r="I28" s="231">
        <f t="shared" ca="1" si="8"/>
        <v>774.94868218188856</v>
      </c>
      <c r="J28" s="231">
        <f t="shared" ca="1" si="8"/>
        <v>1066.5447057973995</v>
      </c>
      <c r="K28" s="231">
        <f t="shared" ca="1" si="8"/>
        <v>1000.3466372842554</v>
      </c>
      <c r="L28" s="231">
        <f t="shared" ca="1" si="8"/>
        <v>1012.1673786751624</v>
      </c>
      <c r="M28" s="231">
        <f t="shared" ca="1" si="8"/>
        <v>1332.768174851358</v>
      </c>
      <c r="N28" s="231">
        <f t="shared" ca="1" si="8"/>
        <v>1542.3653689465768</v>
      </c>
      <c r="O28" s="231">
        <f t="shared" ca="1" si="8"/>
        <v>2015.8783026821989</v>
      </c>
      <c r="P28" s="231">
        <f t="shared" ca="1" si="8"/>
        <v>1981.9865355203165</v>
      </c>
      <c r="Q28" s="231">
        <f t="shared" ca="1" si="8"/>
        <v>1636.4674418956547</v>
      </c>
      <c r="R28" s="231">
        <f t="shared" ca="1" si="8"/>
        <v>1727.5439020448116</v>
      </c>
      <c r="S28" s="231">
        <f t="shared" ca="1" si="8"/>
        <v>1429.839711855471</v>
      </c>
      <c r="T28" s="231">
        <f t="shared" si="8"/>
        <v>0</v>
      </c>
      <c r="U28" s="231">
        <f t="shared" si="8"/>
        <v>0</v>
      </c>
      <c r="V28" s="231">
        <f t="shared" si="8"/>
        <v>0</v>
      </c>
      <c r="W28" s="231">
        <f t="shared" si="8"/>
        <v>0</v>
      </c>
      <c r="X28" s="231">
        <f t="shared" si="8"/>
        <v>0</v>
      </c>
      <c r="Y28" s="231">
        <f t="shared" si="8"/>
        <v>0</v>
      </c>
      <c r="Z28" s="231">
        <f t="shared" si="8"/>
        <v>0</v>
      </c>
      <c r="AA28" s="231">
        <f t="shared" si="8"/>
        <v>0</v>
      </c>
      <c r="AB28" s="231">
        <f t="shared" si="8"/>
        <v>0</v>
      </c>
      <c r="AC28" s="231">
        <f t="shared" si="8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Z84"/>
  <sheetViews>
    <sheetView showGridLines="0" workbookViewId="0">
      <selection activeCell="AC58" sqref="AC58"/>
    </sheetView>
  </sheetViews>
  <sheetFormatPr baseColWidth="10" defaultColWidth="10.6640625" defaultRowHeight="16" x14ac:dyDescent="0.2"/>
  <cols>
    <col min="1" max="1" width="60" customWidth="1"/>
  </cols>
  <sheetData>
    <row r="1" spans="1:19" ht="19" customHeight="1" x14ac:dyDescent="0.2">
      <c r="A1" s="182" t="s">
        <v>1639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2">
      <c r="A2" s="170" t="s">
        <v>1640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2">
      <c r="A4" s="153"/>
      <c r="B4" s="153"/>
      <c r="C4" s="153"/>
      <c r="D4" s="155">
        <v>2025</v>
      </c>
      <c r="E4" s="155">
        <v>2026</v>
      </c>
      <c r="F4" s="155">
        <v>2027</v>
      </c>
      <c r="G4" s="155">
        <v>2028</v>
      </c>
      <c r="H4" s="155">
        <v>2029</v>
      </c>
      <c r="I4" s="155">
        <v>2030</v>
      </c>
      <c r="J4" s="155">
        <v>2031</v>
      </c>
      <c r="K4" s="155">
        <v>2032</v>
      </c>
      <c r="L4" s="155">
        <v>2033</v>
      </c>
      <c r="M4" s="155">
        <v>2034</v>
      </c>
      <c r="N4" s="155">
        <v>2035</v>
      </c>
      <c r="O4" s="155">
        <v>2036</v>
      </c>
      <c r="P4" s="155">
        <v>2037</v>
      </c>
      <c r="Q4" s="155">
        <v>2038</v>
      </c>
      <c r="R4" s="155">
        <v>2039</v>
      </c>
      <c r="S4" s="155">
        <v>2040</v>
      </c>
    </row>
    <row r="5" spans="1:19" x14ac:dyDescent="0.2">
      <c r="A5" s="154"/>
      <c r="B5" s="154"/>
      <c r="C5" s="154"/>
      <c r="D5" s="156">
        <v>0</v>
      </c>
      <c r="E5" s="156">
        <v>1</v>
      </c>
      <c r="F5" s="156">
        <v>2</v>
      </c>
      <c r="G5" s="156">
        <v>3</v>
      </c>
      <c r="H5" s="156">
        <v>4</v>
      </c>
      <c r="I5" s="156">
        <v>5</v>
      </c>
      <c r="J5" s="156">
        <v>6</v>
      </c>
      <c r="K5" s="156">
        <v>7</v>
      </c>
      <c r="L5" s="156">
        <v>8</v>
      </c>
      <c r="M5" s="156">
        <v>9</v>
      </c>
      <c r="N5" s="156">
        <v>10</v>
      </c>
      <c r="O5" s="156">
        <v>11</v>
      </c>
      <c r="P5" s="156">
        <v>12</v>
      </c>
      <c r="Q5" s="156">
        <v>13</v>
      </c>
      <c r="R5" s="156">
        <v>14</v>
      </c>
      <c r="S5" s="156">
        <v>15</v>
      </c>
    </row>
    <row r="6" spans="1:19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168" t="s">
        <v>804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x14ac:dyDescent="0.2">
      <c r="A8" s="22" t="s">
        <v>1495</v>
      </c>
      <c r="B8" s="8"/>
      <c r="C8" s="8"/>
      <c r="D8" s="70">
        <f t="array" ref="D8">INDEX(Starlink!$D:$AC, MATCH("Total new Starlink deployment (sats/yr)", Starlink!$A$1:$A$205, 0), D$5+1)</f>
        <v>3840</v>
      </c>
      <c r="E8" s="70">
        <f t="array" aca="1" ref="E8" ca="1">INDEX(Starlink!$D:$AC, MATCH("Total new Starlink deployment (sats/yr)", Starlink!$A$1:$A$205, 0), E$5+1)</f>
        <v>3120</v>
      </c>
      <c r="F8" s="70">
        <f t="array" aca="1" ref="F8" ca="1">INDEX(Starlink!$D:$AC, MATCH("Total new Starlink deployment (sats/yr)", Starlink!$A$1:$A$205, 0), F$5+1)</f>
        <v>3918.7353004899928</v>
      </c>
      <c r="G8" s="70">
        <f t="array" aca="1" ref="G8" ca="1">INDEX(Starlink!$D:$AC, MATCH("Total new Starlink deployment (sats/yr)", Starlink!$A$1:$A$205, 0), G$5+1)</f>
        <v>9497.379961050312</v>
      </c>
      <c r="H8" s="70">
        <f t="array" aca="1" ref="H8" ca="1">INDEX(Starlink!$D:$AC, MATCH("Total new Starlink deployment (sats/yr)", Starlink!$A$1:$A$205, 0), H$5+1)</f>
        <v>22947.350941449131</v>
      </c>
      <c r="I8" s="70">
        <f t="array" aca="1" ref="I8" ca="1">INDEX(Starlink!$D:$AC, MATCH("Total new Starlink deployment (sats/yr)", Starlink!$A$1:$A$205, 0), I$5+1)</f>
        <v>35068.943705604703</v>
      </c>
      <c r="J8" s="70">
        <f t="array" aca="1" ref="J8" ca="1">INDEX(Starlink!$D:$AC, MATCH("Total new Starlink deployment (sats/yr)", Starlink!$A$1:$A$205, 0), J$5+1)</f>
        <v>55854.425372966594</v>
      </c>
      <c r="K8" s="70">
        <f t="array" aca="1" ref="K8" ca="1">INDEX(Starlink!$D:$AC, MATCH("Total new Starlink deployment (sats/yr)", Starlink!$A$1:$A$205, 0), K$5+1)</f>
        <v>39606.221179053282</v>
      </c>
      <c r="L8" s="70">
        <f t="array" aca="1" ref="L8" ca="1">INDEX(Starlink!$D:$AC, MATCH("Total new Starlink deployment (sats/yr)", Starlink!$A$1:$A$205, 0), L$5+1)</f>
        <v>48073.963374475235</v>
      </c>
      <c r="M8" s="70">
        <f t="array" aca="1" ref="M8" ca="1">INDEX(Starlink!$D:$AC, MATCH("Total new Starlink deployment (sats/yr)", Starlink!$A$1:$A$205, 0), M$5+1)</f>
        <v>69360.344617768453</v>
      </c>
      <c r="N8" s="70">
        <f t="array" aca="1" ref="N8" ca="1">INDEX(Starlink!$D:$AC, MATCH("Total new Starlink deployment (sats/yr)", Starlink!$A$1:$A$205, 0), N$5+1)</f>
        <v>82078.478747832269</v>
      </c>
      <c r="O8" s="70">
        <f t="array" aca="1" ref="O8" ca="1">INDEX(Starlink!$D:$AC, MATCH("Total new Starlink deployment (sats/yr)", Starlink!$A$1:$A$205, 0), O$5+1)</f>
        <v>114553.44433198069</v>
      </c>
      <c r="P8" s="70">
        <f t="array" aca="1" ref="P8" ca="1">INDEX(Starlink!$D:$AC, MATCH("Total new Starlink deployment (sats/yr)", Starlink!$A$1:$A$205, 0), P$5+1)</f>
        <v>101470.18350527063</v>
      </c>
      <c r="Q8" s="70">
        <f t="array" aca="1" ref="Q8" ca="1">INDEX(Starlink!$D:$AC, MATCH("Total new Starlink deployment (sats/yr)", Starlink!$A$1:$A$205, 0), Q$5+1)</f>
        <v>56343.146087423826</v>
      </c>
      <c r="R8" s="70">
        <f t="array" aca="1" ref="R8" ca="1">INDEX(Starlink!$D:$AC, MATCH("Total new Starlink deployment (sats/yr)", Starlink!$A$1:$A$205, 0), R$5+1)</f>
        <v>38721.97406575927</v>
      </c>
      <c r="S8" s="70">
        <f t="array" aca="1" ref="S8" ca="1">INDEX(Starlink!$D:$AC, MATCH("Total new Starlink deployment (sats/yr)", Starlink!$A$1:$A$205, 0), S$5+1)</f>
        <v>39441.627937467572</v>
      </c>
    </row>
    <row r="9" spans="1:19" x14ac:dyDescent="0.2">
      <c r="A9" s="22" t="s">
        <v>1346</v>
      </c>
      <c r="B9" s="8"/>
      <c r="C9" s="8"/>
      <c r="D9" s="66">
        <f>MAX(INDEX(Assumptions!$B:$B,MATCH("Sat factory base capacity 2025 (sats/yr)",Assumptions!$A:$A,0)), D8)</f>
        <v>3840</v>
      </c>
      <c r="E9" s="67">
        <f t="shared" ref="E9:S9" ca="1" si="0">MAX(D9, E8)</f>
        <v>3840</v>
      </c>
      <c r="F9" s="67">
        <f t="shared" ca="1" si="0"/>
        <v>3918.7353004899928</v>
      </c>
      <c r="G9" s="67">
        <f t="shared" ca="1" si="0"/>
        <v>9497.379961050312</v>
      </c>
      <c r="H9" s="67">
        <f t="shared" ca="1" si="0"/>
        <v>22947.350941449131</v>
      </c>
      <c r="I9" s="67">
        <f t="shared" ca="1" si="0"/>
        <v>35068.943705604703</v>
      </c>
      <c r="J9" s="67">
        <f t="shared" ca="1" si="0"/>
        <v>55854.425372966594</v>
      </c>
      <c r="K9" s="67">
        <f t="shared" ca="1" si="0"/>
        <v>55854.425372966594</v>
      </c>
      <c r="L9" s="67">
        <f t="shared" ca="1" si="0"/>
        <v>55854.425372966594</v>
      </c>
      <c r="M9" s="67">
        <f t="shared" ca="1" si="0"/>
        <v>69360.344617768453</v>
      </c>
      <c r="N9" s="67">
        <f t="shared" ca="1" si="0"/>
        <v>82078.478747832269</v>
      </c>
      <c r="O9" s="67">
        <f t="shared" ca="1" si="0"/>
        <v>114553.44433198069</v>
      </c>
      <c r="P9" s="67">
        <f t="shared" ca="1" si="0"/>
        <v>114553.44433198069</v>
      </c>
      <c r="Q9" s="67">
        <f t="shared" ca="1" si="0"/>
        <v>114553.44433198069</v>
      </c>
      <c r="R9" s="67">
        <f t="shared" ca="1" si="0"/>
        <v>114553.44433198069</v>
      </c>
      <c r="S9" s="67">
        <f t="shared" ca="1" si="0"/>
        <v>114553.44433198069</v>
      </c>
    </row>
    <row r="10" spans="1:19" x14ac:dyDescent="0.2">
      <c r="A10" s="22" t="s">
        <v>805</v>
      </c>
      <c r="B10" s="8"/>
      <c r="C10" s="8"/>
      <c r="D10" s="60">
        <f>IFERROR(MAX(0, D8 - INDEX(Assumptions!$B:$B,MATCH("Sat factory base capacity 2025 (sats/yr)",Assumptions!$A:$A,0))) / INDEX(Assumptions!$B:$B,MATCH("Sat factory capacity (sats/yr per increment)",Assumptions!$A:$A,0)), 0)</f>
        <v>5.4945054945054944E-2</v>
      </c>
      <c r="E10" s="60">
        <f ca="1">IFERROR(MAX(0, E8 - D9) / INDEX(Assumptions!$B:$B,MATCH("Sat factory capacity (sats/yr per increment)",Assumptions!$A:$A,0)), 0)</f>
        <v>0</v>
      </c>
      <c r="F10" s="60">
        <f ca="1">IFERROR(MAX(0, F8 - E9) / INDEX(Assumptions!$B:$B,MATCH("Sat factory capacity (sats/yr per increment)",Assumptions!$A:$A,0)), 0)</f>
        <v>2.1630577057690337E-2</v>
      </c>
      <c r="G10" s="60">
        <f ca="1">IFERROR(MAX(0, G8 - F9) / INDEX(Assumptions!$B:$B,MATCH("Sat factory capacity (sats/yr per increment)",Assumptions!$A:$A,0)), 0)</f>
        <v>1.5325946869671208</v>
      </c>
      <c r="H10" s="60">
        <f ca="1">IFERROR(MAX(0, H8 - G9) / INDEX(Assumptions!$B:$B,MATCH("Sat factory capacity (sats/yr per increment)",Assumptions!$A:$A,0)), 0)</f>
        <v>3.6950469726370381</v>
      </c>
      <c r="I10" s="60">
        <f ca="1">IFERROR(MAX(0, I8 - H9) / INDEX(Assumptions!$B:$B,MATCH("Sat factory capacity (sats/yr per increment)",Assumptions!$A:$A,0)), 0)</f>
        <v>3.3301079022405418</v>
      </c>
      <c r="J10" s="60">
        <f ca="1">IFERROR(MAX(0, J8 - I9) / INDEX(Assumptions!$B:$B,MATCH("Sat factory capacity (sats/yr per increment)",Assumptions!$A:$A,0)), 0)</f>
        <v>5.7102971613631572</v>
      </c>
      <c r="K10" s="60">
        <f ca="1">IFERROR(MAX(0, K8 - J9) / INDEX(Assumptions!$B:$B,MATCH("Sat factory capacity (sats/yr per increment)",Assumptions!$A:$A,0)), 0)</f>
        <v>0</v>
      </c>
      <c r="L10" s="60">
        <f ca="1">IFERROR(MAX(0, L8 - K9) / INDEX(Assumptions!$B:$B,MATCH("Sat factory capacity (sats/yr per increment)",Assumptions!$A:$A,0)), 0)</f>
        <v>0</v>
      </c>
      <c r="M10" s="60">
        <f ca="1">IFERROR(MAX(0, M8 - L9) / INDEX(Assumptions!$B:$B,MATCH("Sat factory capacity (sats/yr per increment)",Assumptions!$A:$A,0)), 0)</f>
        <v>3.7104173749455653</v>
      </c>
      <c r="N10" s="60">
        <f ca="1">IFERROR(MAX(0, N8 - M9) / INDEX(Assumptions!$B:$B,MATCH("Sat factory capacity (sats/yr per increment)",Assumptions!$A:$A,0)), 0)</f>
        <v>3.4939928928746746</v>
      </c>
      <c r="O10" s="60">
        <f ca="1">IFERROR(MAX(0, O8 - N9) / INDEX(Assumptions!$B:$B,MATCH("Sat factory capacity (sats/yr per increment)",Assumptions!$A:$A,0)), 0)</f>
        <v>8.9216938417990157</v>
      </c>
      <c r="P10" s="60">
        <f ca="1">IFERROR(MAX(0, P8 - O9) / INDEX(Assumptions!$B:$B,MATCH("Sat factory capacity (sats/yr per increment)",Assumptions!$A:$A,0)), 0)</f>
        <v>0</v>
      </c>
      <c r="Q10" s="60">
        <f ca="1">IFERROR(MAX(0, Q8 - P9) / INDEX(Assumptions!$B:$B,MATCH("Sat factory capacity (sats/yr per increment)",Assumptions!$A:$A,0)), 0)</f>
        <v>0</v>
      </c>
      <c r="R10" s="60">
        <f ca="1">IFERROR(MAX(0, R8 - Q9) / INDEX(Assumptions!$B:$B,MATCH("Sat factory capacity (sats/yr per increment)",Assumptions!$A:$A,0)), 0)</f>
        <v>0</v>
      </c>
      <c r="S10" s="60">
        <f ca="1">IFERROR(MAX(0, S8 - R9) / INDEX(Assumptions!$B:$B,MATCH("Sat factory capacity (sats/yr per increment)",Assumptions!$A:$A,0)), 0)</f>
        <v>0</v>
      </c>
    </row>
    <row r="11" spans="1:19" x14ac:dyDescent="0.2">
      <c r="A11" s="22" t="s">
        <v>806</v>
      </c>
      <c r="B11" s="8"/>
      <c r="C11" s="8"/>
      <c r="D11" s="62">
        <f>IFERROR(D10^INDEX(Assumptions!$B:$B, MATCH("Sat facility capacity-ratio CapEx exponent", Assumptions!$A$1:$A$327, 0)) * INDEX(Assumptions!$B:$B, MATCH("Sat factory cost per capacity increment ($mm)", Assumptions!$A$1:$A$327, 0)), 0)</f>
        <v>23.35164835164835</v>
      </c>
      <c r="E11" s="62">
        <f ca="1">IFERROR(E10^INDEX(Assumptions!$B:$B, MATCH("Sat facility capacity-ratio CapEx exponent", Assumptions!$A$1:$A$327, 0)) * INDEX(Assumptions!$B:$B, MATCH("Sat factory cost per capacity increment ($mm)", Assumptions!$A$1:$A$327, 0)), 0)</f>
        <v>0</v>
      </c>
      <c r="F11" s="62">
        <f ca="1">IFERROR(F10^INDEX(Assumptions!$B:$B, MATCH("Sat facility capacity-ratio CapEx exponent", Assumptions!$A$1:$A$327, 0)) * INDEX(Assumptions!$B:$B, MATCH("Sat factory cost per capacity increment ($mm)", Assumptions!$A$1:$A$327, 0)), 0)</f>
        <v>9.1929952495183933</v>
      </c>
      <c r="G11" s="62">
        <f ca="1">IFERROR(G10^INDEX(Assumptions!$B:$B, MATCH("Sat facility capacity-ratio CapEx exponent", Assumptions!$A$1:$A$327, 0)) * INDEX(Assumptions!$B:$B, MATCH("Sat factory cost per capacity increment ($mm)", Assumptions!$A$1:$A$327, 0)), 0)</f>
        <v>651.35274196102637</v>
      </c>
      <c r="H11" s="62">
        <f ca="1">IFERROR(H10^INDEX(Assumptions!$B:$B, MATCH("Sat facility capacity-ratio CapEx exponent", Assumptions!$A$1:$A$327, 0)) * INDEX(Assumptions!$B:$B, MATCH("Sat factory cost per capacity increment ($mm)", Assumptions!$A$1:$A$327, 0)), 0)</f>
        <v>1570.3949633707412</v>
      </c>
      <c r="I11" s="62">
        <f ca="1">IFERROR(I10^INDEX(Assumptions!$B:$B, MATCH("Sat facility capacity-ratio CapEx exponent", Assumptions!$A$1:$A$327, 0)) * INDEX(Assumptions!$B:$B, MATCH("Sat factory cost per capacity increment ($mm)", Assumptions!$A$1:$A$327, 0)), 0)</f>
        <v>1415.2958584522303</v>
      </c>
      <c r="J11" s="62">
        <f ca="1">IFERROR(J10^INDEX(Assumptions!$B:$B, MATCH("Sat facility capacity-ratio CapEx exponent", Assumptions!$A$1:$A$327, 0)) * INDEX(Assumptions!$B:$B, MATCH("Sat factory cost per capacity increment ($mm)", Assumptions!$A$1:$A$327, 0)), 0)</f>
        <v>2426.876293579342</v>
      </c>
      <c r="K11" s="62">
        <f ca="1">IFERROR(K10^INDEX(Assumptions!$B:$B, MATCH("Sat facility capacity-ratio CapEx exponent", Assumptions!$A$1:$A$327, 0)) * INDEX(Assumptions!$B:$B, MATCH("Sat factory cost per capacity increment ($mm)", Assumptions!$A$1:$A$327, 0)), 0)</f>
        <v>0</v>
      </c>
      <c r="L11" s="62">
        <f ca="1">IFERROR(L10^INDEX(Assumptions!$B:$B, MATCH("Sat facility capacity-ratio CapEx exponent", Assumptions!$A$1:$A$327, 0)) * INDEX(Assumptions!$B:$B, MATCH("Sat factory cost per capacity increment ($mm)", Assumptions!$A$1:$A$327, 0)), 0)</f>
        <v>0</v>
      </c>
      <c r="M11" s="62">
        <f ca="1">IFERROR(M10^INDEX(Assumptions!$B:$B, MATCH("Sat facility capacity-ratio CapEx exponent", Assumptions!$A$1:$A$327, 0)) * INDEX(Assumptions!$B:$B, MATCH("Sat factory cost per capacity increment ($mm)", Assumptions!$A$1:$A$327, 0)), 0)</f>
        <v>1576.9273843518652</v>
      </c>
      <c r="N11" s="62">
        <f ca="1">IFERROR(N10^INDEX(Assumptions!$B:$B, MATCH("Sat facility capacity-ratio CapEx exponent", Assumptions!$A$1:$A$327, 0)) * INDEX(Assumptions!$B:$B, MATCH("Sat factory cost per capacity increment ($mm)", Assumptions!$A$1:$A$327, 0)), 0)</f>
        <v>1484.9469794717368</v>
      </c>
      <c r="O11" s="62">
        <f ca="1">IFERROR(O10^INDEX(Assumptions!$B:$B, MATCH("Sat facility capacity-ratio CapEx exponent", Assumptions!$A$1:$A$327, 0)) * INDEX(Assumptions!$B:$B, MATCH("Sat factory cost per capacity increment ($mm)", Assumptions!$A$1:$A$327, 0)), 0)</f>
        <v>3791.7198827645816</v>
      </c>
      <c r="P11" s="62">
        <f ca="1">IFERROR(P10^INDEX(Assumptions!$B:$B, MATCH("Sat facility capacity-ratio CapEx exponent", Assumptions!$A$1:$A$327, 0)) * INDEX(Assumptions!$B:$B, MATCH("Sat factory cost per capacity increment ($mm)", Assumptions!$A$1:$A$327, 0)), 0)</f>
        <v>0</v>
      </c>
      <c r="Q11" s="62">
        <f ca="1">IFERROR(Q10^INDEX(Assumptions!$B:$B, MATCH("Sat facility capacity-ratio CapEx exponent", Assumptions!$A$1:$A$327, 0)) * INDEX(Assumptions!$B:$B, MATCH("Sat factory cost per capacity increment ($mm)", Assumptions!$A$1:$A$327, 0)), 0)</f>
        <v>0</v>
      </c>
      <c r="R11" s="62">
        <f ca="1">IFERROR(R10^INDEX(Assumptions!$B:$B, MATCH("Sat facility capacity-ratio CapEx exponent", Assumptions!$A$1:$A$327, 0)) * INDEX(Assumptions!$B:$B, MATCH("Sat factory cost per capacity increment ($mm)", Assumptions!$A$1:$A$327, 0)), 0)</f>
        <v>0</v>
      </c>
      <c r="S11" s="62">
        <f ca="1">IFERROR(S10^INDEX(Assumptions!$B:$B, MATCH("Sat facility capacity-ratio CapEx exponent", Assumptions!$A$1:$A$327, 0)) * INDEX(Assumptions!$B:$B, MATCH("Sat factory cost per capacity increment ($mm)", Assumptions!$A$1:$A$327, 0)), 0)</f>
        <v>0</v>
      </c>
    </row>
    <row r="12" spans="1:19" x14ac:dyDescent="0.2">
      <c r="A12" s="22" t="s">
        <v>807</v>
      </c>
      <c r="B12" s="8"/>
      <c r="C12" s="8"/>
      <c r="D12" s="66">
        <f>INDEX(Assumptions!$B:$B, MATCH("Ground stations built per year (placeholder, flat)", Assumptions!$A$1:$A$327, 0))</f>
        <v>56</v>
      </c>
      <c r="E12" s="70">
        <f t="array" aca="1" ref="E12" ca="1">INDEX(Assumptions!$B:$B, MATCH("Ground stations built per year (placeholder, flat)", Assumptions!$A$1:$A$327, 0)) * IFERROR( ( (INDEX(Starlink!$D:$AC, MATCH("BB active Gbps (V2+V3 combined)", Starlink!$A$1:$A$205, 0), E$5+1) + INDEX(Starlink!$D:$AC, MATCH("DTC active Gbps (V2+V3 combined)", Starlink!$A$1:$A$205, 0), E$5+1)) / (INDEX(Starlink!$D:$AC, MATCH("BB active Gbps (V2+V3 combined)", Starlink!$A$1:$A$205, 0), MATCH(D$4, Starlink!$D$4:$AC$4, 0)) + INDEX(Starlink!$D:$AC, MATCH("DTC active Gbps (V2+V3 combined)", Starlink!$A$1:$A$205, 0), MATCH(D$4, Starlink!$D$4:$AC$4, 0))) ), 1)</f>
        <v>96.444277682014757</v>
      </c>
      <c r="F12" s="70">
        <f t="array" aca="1" ref="F12" ca="1">INDEX(Assumptions!$B:$B, MATCH("Ground stations built per year (placeholder, flat)", Assumptions!$A$1:$A$327, 0)) * IFERROR( ( (INDEX(Starlink!$D:$AC, MATCH("BB active Gbps (V2+V3 combined)", Starlink!$A$1:$A$205, 0), F$5+1) + INDEX(Starlink!$D:$AC, MATCH("DTC active Gbps (V2+V3 combined)", Starlink!$A$1:$A$205, 0), F$5+1)) / (INDEX(Starlink!$D:$AC, MATCH("BB active Gbps (V2+V3 combined)", Starlink!$A$1:$A$205, 0), MATCH(E$4, Starlink!$D$4:$AC$4, 0)) + INDEX(Starlink!$D:$AC, MATCH("DTC active Gbps (V2+V3 combined)", Starlink!$A$1:$A$205, 0), MATCH(E$4, Starlink!$D$4:$AC$4, 0))) ), 1)</f>
        <v>363.10043229800874</v>
      </c>
      <c r="G12" s="70">
        <f t="array" aca="1" ref="G12" ca="1">INDEX(Assumptions!$B:$B, MATCH("Ground stations built per year (placeholder, flat)", Assumptions!$A$1:$A$327, 0)) * IFERROR( ( (INDEX(Starlink!$D:$AC, MATCH("BB active Gbps (V2+V3 combined)", Starlink!$A$1:$A$205, 0), G$5+1) + INDEX(Starlink!$D:$AC, MATCH("DTC active Gbps (V2+V3 combined)", Starlink!$A$1:$A$205, 0), G$5+1)) / (INDEX(Starlink!$D:$AC, MATCH("BB active Gbps (V2+V3 combined)", Starlink!$A$1:$A$205, 0), MATCH(F$4, Starlink!$D$4:$AC$4, 0)) + INDEX(Starlink!$D:$AC, MATCH("DTC active Gbps (V2+V3 combined)", Starlink!$A$1:$A$205, 0), MATCH(F$4, Starlink!$D$4:$AC$4, 0))) ), 1)</f>
        <v>168.20749344698996</v>
      </c>
      <c r="H12" s="70">
        <f t="array" aca="1" ref="H12" ca="1">INDEX(Assumptions!$B:$B, MATCH("Ground stations built per year (placeholder, flat)", Assumptions!$A$1:$A$327, 0)) * IFERROR( ( (INDEX(Starlink!$D:$AC, MATCH("BB active Gbps (V2+V3 combined)", Starlink!$A$1:$A$205, 0), H$5+1) + INDEX(Starlink!$D:$AC, MATCH("DTC active Gbps (V2+V3 combined)", Starlink!$A$1:$A$205, 0), H$5+1)) / (INDEX(Starlink!$D:$AC, MATCH("BB active Gbps (V2+V3 combined)", Starlink!$A$1:$A$205, 0), MATCH(G$4, Starlink!$D$4:$AC$4, 0)) + INDEX(Starlink!$D:$AC, MATCH("DTC active Gbps (V2+V3 combined)", Starlink!$A$1:$A$205, 0), MATCH(G$4, Starlink!$D$4:$AC$4, 0))) ), 1)</f>
        <v>137.26678719530153</v>
      </c>
      <c r="I12" s="70">
        <f t="array" aca="1" ref="I12" ca="1">INDEX(Assumptions!$B:$B, MATCH("Ground stations built per year (placeholder, flat)", Assumptions!$A$1:$A$327, 0)) * IFERROR( ( (INDEX(Starlink!$D:$AC, MATCH("BB active Gbps (V2+V3 combined)", Starlink!$A$1:$A$205, 0), I$5+1) + INDEX(Starlink!$D:$AC, MATCH("DTC active Gbps (V2+V3 combined)", Starlink!$A$1:$A$205, 0), I$5+1)) / (INDEX(Starlink!$D:$AC, MATCH("BB active Gbps (V2+V3 combined)", Starlink!$A$1:$A$205, 0), MATCH(H$4, Starlink!$D$4:$AC$4, 0)) + INDEX(Starlink!$D:$AC, MATCH("DTC active Gbps (V2+V3 combined)", Starlink!$A$1:$A$205, 0), MATCH(H$4, Starlink!$D$4:$AC$4, 0))) ), 1)</f>
        <v>76.111864975210608</v>
      </c>
      <c r="J12" s="70">
        <f t="array" aca="1" ref="J12" ca="1">INDEX(Assumptions!$B:$B, MATCH("Ground stations built per year (placeholder, flat)", Assumptions!$A$1:$A$327, 0)) * IFERROR( ( (INDEX(Starlink!$D:$AC, MATCH("BB active Gbps (V2+V3 combined)", Starlink!$A$1:$A$205, 0), J$5+1) + INDEX(Starlink!$D:$AC, MATCH("DTC active Gbps (V2+V3 combined)", Starlink!$A$1:$A$205, 0), J$5+1)) / (INDEX(Starlink!$D:$AC, MATCH("BB active Gbps (V2+V3 combined)", Starlink!$A$1:$A$205, 0), MATCH(I$4, Starlink!$D$4:$AC$4, 0)) + INDEX(Starlink!$D:$AC, MATCH("DTC active Gbps (V2+V3 combined)", Starlink!$A$1:$A$205, 0), MATCH(I$4, Starlink!$D$4:$AC$4, 0))) ), 1)</f>
        <v>89.081889319868864</v>
      </c>
      <c r="K12" s="70">
        <f t="array" aca="1" ref="K12" ca="1">INDEX(Assumptions!$B:$B, MATCH("Ground stations built per year (placeholder, flat)", Assumptions!$A$1:$A$327, 0)) * IFERROR( ( (INDEX(Starlink!$D:$AC, MATCH("BB active Gbps (V2+V3 combined)", Starlink!$A$1:$A$205, 0), K$5+1) + INDEX(Starlink!$D:$AC, MATCH("DTC active Gbps (V2+V3 combined)", Starlink!$A$1:$A$205, 0), K$5+1)) / (INDEX(Starlink!$D:$AC, MATCH("BB active Gbps (V2+V3 combined)", Starlink!$A$1:$A$205, 0), MATCH(J$4, Starlink!$D$4:$AC$4, 0)) + INDEX(Starlink!$D:$AC, MATCH("DTC active Gbps (V2+V3 combined)", Starlink!$A$1:$A$205, 0), MATCH(J$4, Starlink!$D$4:$AC$4, 0))) ), 1)</f>
        <v>62.570212551997585</v>
      </c>
      <c r="L12" s="70">
        <f t="array" aca="1" ref="L12" ca="1">INDEX(Assumptions!$B:$B, MATCH("Ground stations built per year (placeholder, flat)", Assumptions!$A$1:$A$327, 0)) * IFERROR( ( (INDEX(Starlink!$D:$AC, MATCH("BB active Gbps (V2+V3 combined)", Starlink!$A$1:$A$205, 0), L$5+1) + INDEX(Starlink!$D:$AC, MATCH("DTC active Gbps (V2+V3 combined)", Starlink!$A$1:$A$205, 0), L$5+1)) / (INDEX(Starlink!$D:$AC, MATCH("BB active Gbps (V2+V3 combined)", Starlink!$A$1:$A$205, 0), MATCH(K$4, Starlink!$D$4:$AC$4, 0)) + INDEX(Starlink!$D:$AC, MATCH("DTC active Gbps (V2+V3 combined)", Starlink!$A$1:$A$205, 0), MATCH(K$4, Starlink!$D$4:$AC$4, 0))) ), 1)</f>
        <v>59.64097582328025</v>
      </c>
      <c r="M12" s="70">
        <f t="array" aca="1" ref="M12" ca="1">INDEX(Assumptions!$B:$B, MATCH("Ground stations built per year (placeholder, flat)", Assumptions!$A$1:$A$327, 0)) * IFERROR( ( (INDEX(Starlink!$D:$AC, MATCH("BB active Gbps (V2+V3 combined)", Starlink!$A$1:$A$205, 0), M$5+1) + INDEX(Starlink!$D:$AC, MATCH("DTC active Gbps (V2+V3 combined)", Starlink!$A$1:$A$205, 0), M$5+1)) / (INDEX(Starlink!$D:$AC, MATCH("BB active Gbps (V2+V3 combined)", Starlink!$A$1:$A$205, 0), MATCH(L$4, Starlink!$D$4:$AC$4, 0)) + INDEX(Starlink!$D:$AC, MATCH("DTC active Gbps (V2+V3 combined)", Starlink!$A$1:$A$205, 0), MATCH(L$4, Starlink!$D$4:$AC$4, 0))) ), 1)</f>
        <v>58.594344822678984</v>
      </c>
      <c r="N12" s="70">
        <f t="array" aca="1" ref="N12" ca="1">INDEX(Assumptions!$B:$B, MATCH("Ground stations built per year (placeholder, flat)", Assumptions!$A$1:$A$327, 0)) * IFERROR( ( (INDEX(Starlink!$D:$AC, MATCH("BB active Gbps (V2+V3 combined)", Starlink!$A$1:$A$205, 0), N$5+1) + INDEX(Starlink!$D:$AC, MATCH("DTC active Gbps (V2+V3 combined)", Starlink!$A$1:$A$205, 0), N$5+1)) / (INDEX(Starlink!$D:$AC, MATCH("BB active Gbps (V2+V3 combined)", Starlink!$A$1:$A$205, 0), MATCH(M$4, Starlink!$D$4:$AC$4, 0)) + INDEX(Starlink!$D:$AC, MATCH("DTC active Gbps (V2+V3 combined)", Starlink!$A$1:$A$205, 0), MATCH(M$4, Starlink!$D$4:$AC$4, 0))) ), 1)</f>
        <v>68.860869524854962</v>
      </c>
      <c r="O12" s="70">
        <f t="array" aca="1" ref="O12" ca="1">INDEX(Assumptions!$B:$B, MATCH("Ground stations built per year (placeholder, flat)", Assumptions!$A$1:$A$327, 0)) * IFERROR( ( (INDEX(Starlink!$D:$AC, MATCH("BB active Gbps (V2+V3 combined)", Starlink!$A$1:$A$205, 0), O$5+1) + INDEX(Starlink!$D:$AC, MATCH("DTC active Gbps (V2+V3 combined)", Starlink!$A$1:$A$205, 0), O$5+1)) / (INDEX(Starlink!$D:$AC, MATCH("BB active Gbps (V2+V3 combined)", Starlink!$A$1:$A$205, 0), MATCH(N$4, Starlink!$D$4:$AC$4, 0)) + INDEX(Starlink!$D:$AC, MATCH("DTC active Gbps (V2+V3 combined)", Starlink!$A$1:$A$205, 0), MATCH(N$4, Starlink!$D$4:$AC$4, 0))) ), 1)</f>
        <v>73.783202170678621</v>
      </c>
      <c r="P12" s="70">
        <f t="array" aca="1" ref="P12" ca="1">INDEX(Assumptions!$B:$B, MATCH("Ground stations built per year (placeholder, flat)", Assumptions!$A$1:$A$327, 0)) * IFERROR( ( (INDEX(Starlink!$D:$AC, MATCH("BB active Gbps (V2+V3 combined)", Starlink!$A$1:$A$205, 0), P$5+1) + INDEX(Starlink!$D:$AC, MATCH("DTC active Gbps (V2+V3 combined)", Starlink!$A$1:$A$205, 0), P$5+1)) / (INDEX(Starlink!$D:$AC, MATCH("BB active Gbps (V2+V3 combined)", Starlink!$A$1:$A$205, 0), MATCH(O$4, Starlink!$D$4:$AC$4, 0)) + INDEX(Starlink!$D:$AC, MATCH("DTC active Gbps (V2+V3 combined)", Starlink!$A$1:$A$205, 0), MATCH(O$4, Starlink!$D$4:$AC$4, 0))) ), 1)</f>
        <v>72.999044968206803</v>
      </c>
      <c r="Q12" s="70">
        <f t="array" aca="1" ref="Q12" ca="1">INDEX(Assumptions!$B:$B, MATCH("Ground stations built per year (placeholder, flat)", Assumptions!$A$1:$A$327, 0)) * IFERROR( ( (INDEX(Starlink!$D:$AC, MATCH("BB active Gbps (V2+V3 combined)", Starlink!$A$1:$A$205, 0), Q$5+1) + INDEX(Starlink!$D:$AC, MATCH("DTC active Gbps (V2+V3 combined)", Starlink!$A$1:$A$205, 0), Q$5+1)) / (INDEX(Starlink!$D:$AC, MATCH("BB active Gbps (V2+V3 combined)", Starlink!$A$1:$A$205, 0), MATCH(P$4, Starlink!$D$4:$AC$4, 0)) + INDEX(Starlink!$D:$AC, MATCH("DTC active Gbps (V2+V3 combined)", Starlink!$A$1:$A$205, 0), MATCH(P$4, Starlink!$D$4:$AC$4, 0))) ), 1)</f>
        <v>61.088009991014118</v>
      </c>
      <c r="R12" s="70">
        <f t="array" aca="1" ref="R12" ca="1">INDEX(Assumptions!$B:$B, MATCH("Ground stations built per year (placeholder, flat)", Assumptions!$A$1:$A$327, 0)) * IFERROR( ( (INDEX(Starlink!$D:$AC, MATCH("BB active Gbps (V2+V3 combined)", Starlink!$A$1:$A$205, 0), R$5+1) + INDEX(Starlink!$D:$AC, MATCH("DTC active Gbps (V2+V3 combined)", Starlink!$A$1:$A$205, 0), R$5+1)) / (INDEX(Starlink!$D:$AC, MATCH("BB active Gbps (V2+V3 combined)", Starlink!$A$1:$A$205, 0), MATCH(Q$4, Starlink!$D$4:$AC$4, 0)) + INDEX(Starlink!$D:$AC, MATCH("DTC active Gbps (V2+V3 combined)", Starlink!$A$1:$A$205, 0), MATCH(Q$4, Starlink!$D$4:$AC$4, 0))) ), 1)</f>
        <v>55.232814226851424</v>
      </c>
      <c r="S12" s="70">
        <f t="array" aca="1" ref="S12" ca="1">INDEX(Assumptions!$B:$B, MATCH("Ground stations built per year (placeholder, flat)", Assumptions!$A$1:$A$327, 0)) * IFERROR( ( (INDEX(Starlink!$D:$AC, MATCH("BB active Gbps (V2+V3 combined)", Starlink!$A$1:$A$205, 0), S$5+1) + INDEX(Starlink!$D:$AC, MATCH("DTC active Gbps (V2+V3 combined)", Starlink!$A$1:$A$205, 0), S$5+1)) / (INDEX(Starlink!$D:$AC, MATCH("BB active Gbps (V2+V3 combined)", Starlink!$A$1:$A$205, 0), MATCH(R$4, Starlink!$D$4:$AC$4, 0)) + INDEX(Starlink!$D:$AC, MATCH("DTC active Gbps (V2+V3 combined)", Starlink!$A$1:$A$205, 0), MATCH(R$4, Starlink!$D$4:$AC$4, 0))) ), 1)</f>
        <v>52.450536664206609</v>
      </c>
    </row>
    <row r="13" spans="1:19" x14ac:dyDescent="0.2">
      <c r="A13" s="22" t="s">
        <v>808</v>
      </c>
      <c r="B13" s="8"/>
      <c r="C13" s="8"/>
      <c r="D13" s="62">
        <f>D12*INDEX(Assumptions!$B:$B, MATCH("Ground station build CapEx per station ($mm)", Assumptions!$A$1:$A$327, 0))</f>
        <v>84</v>
      </c>
      <c r="E13" s="62">
        <f ca="1">E12*INDEX(Assumptions!$B:$B, MATCH("Ground station build CapEx per station ($mm)", Assumptions!$A$1:$A$327, 0))</f>
        <v>144.66641652302212</v>
      </c>
      <c r="F13" s="62">
        <f ca="1">F12*INDEX(Assumptions!$B:$B, MATCH("Ground station build CapEx per station ($mm)", Assumptions!$A$1:$A$327, 0))</f>
        <v>544.65064844701305</v>
      </c>
      <c r="G13" s="62">
        <f ca="1">G12*INDEX(Assumptions!$B:$B, MATCH("Ground station build CapEx per station ($mm)", Assumptions!$A$1:$A$327, 0))</f>
        <v>252.31124017048495</v>
      </c>
      <c r="H13" s="62">
        <f ca="1">H12*INDEX(Assumptions!$B:$B, MATCH("Ground station build CapEx per station ($mm)", Assumptions!$A$1:$A$327, 0))</f>
        <v>205.90018079295231</v>
      </c>
      <c r="I13" s="62">
        <f ca="1">I12*INDEX(Assumptions!$B:$B, MATCH("Ground station build CapEx per station ($mm)", Assumptions!$A$1:$A$327, 0))</f>
        <v>114.16779746281591</v>
      </c>
      <c r="J13" s="62">
        <f ca="1">J12*INDEX(Assumptions!$B:$B, MATCH("Ground station build CapEx per station ($mm)", Assumptions!$A$1:$A$327, 0))</f>
        <v>133.62283397980329</v>
      </c>
      <c r="K13" s="62">
        <f ca="1">K12*INDEX(Assumptions!$B:$B, MATCH("Ground station build CapEx per station ($mm)", Assumptions!$A$1:$A$327, 0))</f>
        <v>93.855318827996371</v>
      </c>
      <c r="L13" s="62">
        <f ca="1">L12*INDEX(Assumptions!$B:$B, MATCH("Ground station build CapEx per station ($mm)", Assumptions!$A$1:$A$327, 0))</f>
        <v>89.461463734920372</v>
      </c>
      <c r="M13" s="62">
        <f ca="1">M12*INDEX(Assumptions!$B:$B, MATCH("Ground station build CapEx per station ($mm)", Assumptions!$A$1:$A$327, 0))</f>
        <v>87.89151723401848</v>
      </c>
      <c r="N13" s="62">
        <f ca="1">N12*INDEX(Assumptions!$B:$B, MATCH("Ground station build CapEx per station ($mm)", Assumptions!$A$1:$A$327, 0))</f>
        <v>103.29130428728244</v>
      </c>
      <c r="O13" s="62">
        <f ca="1">O12*INDEX(Assumptions!$B:$B, MATCH("Ground station build CapEx per station ($mm)", Assumptions!$A$1:$A$327, 0))</f>
        <v>110.67480325601792</v>
      </c>
      <c r="P13" s="62">
        <f ca="1">P12*INDEX(Assumptions!$B:$B, MATCH("Ground station build CapEx per station ($mm)", Assumptions!$A$1:$A$327, 0))</f>
        <v>109.4985674523102</v>
      </c>
      <c r="Q13" s="62">
        <f ca="1">Q12*INDEX(Assumptions!$B:$B, MATCH("Ground station build CapEx per station ($mm)", Assumptions!$A$1:$A$327, 0))</f>
        <v>91.63201498652117</v>
      </c>
      <c r="R13" s="62">
        <f ca="1">R12*INDEX(Assumptions!$B:$B, MATCH("Ground station build CapEx per station ($mm)", Assumptions!$A$1:$A$327, 0))</f>
        <v>82.84922134027714</v>
      </c>
      <c r="S13" s="62">
        <f ca="1">S12*INDEX(Assumptions!$B:$B, MATCH("Ground station build CapEx per station ($mm)", Assumptions!$A$1:$A$327, 0))</f>
        <v>78.675804996309921</v>
      </c>
    </row>
    <row r="14" spans="1:19" x14ac:dyDescent="0.2">
      <c r="A14" s="20" t="s">
        <v>809</v>
      </c>
      <c r="B14" s="20"/>
      <c r="C14" s="20"/>
      <c r="D14" s="87">
        <f t="shared" ref="D14:S14" si="1">D11+D13</f>
        <v>107.35164835164835</v>
      </c>
      <c r="E14" s="87">
        <f t="shared" ca="1" si="1"/>
        <v>144.66641652302212</v>
      </c>
      <c r="F14" s="87">
        <f t="shared" ca="1" si="1"/>
        <v>553.84364369653144</v>
      </c>
      <c r="G14" s="87">
        <f t="shared" ca="1" si="1"/>
        <v>903.66398213151137</v>
      </c>
      <c r="H14" s="87">
        <f t="shared" ca="1" si="1"/>
        <v>1776.2951441636935</v>
      </c>
      <c r="I14" s="87">
        <f t="shared" ca="1" si="1"/>
        <v>1529.4636559150463</v>
      </c>
      <c r="J14" s="87">
        <f t="shared" ca="1" si="1"/>
        <v>2560.4991275591451</v>
      </c>
      <c r="K14" s="87">
        <f t="shared" ca="1" si="1"/>
        <v>93.855318827996371</v>
      </c>
      <c r="L14" s="87">
        <f t="shared" ca="1" si="1"/>
        <v>89.461463734920372</v>
      </c>
      <c r="M14" s="87">
        <f t="shared" ca="1" si="1"/>
        <v>1664.8189015858836</v>
      </c>
      <c r="N14" s="87">
        <f t="shared" ca="1" si="1"/>
        <v>1588.2382837590192</v>
      </c>
      <c r="O14" s="87">
        <f t="shared" ca="1" si="1"/>
        <v>3902.3946860205997</v>
      </c>
      <c r="P14" s="87">
        <f t="shared" ca="1" si="1"/>
        <v>109.4985674523102</v>
      </c>
      <c r="Q14" s="87">
        <f t="shared" ca="1" si="1"/>
        <v>91.63201498652117</v>
      </c>
      <c r="R14" s="87">
        <f t="shared" ca="1" si="1"/>
        <v>82.84922134027714</v>
      </c>
      <c r="S14" s="87">
        <f t="shared" ca="1" si="1"/>
        <v>78.675804996309921</v>
      </c>
    </row>
    <row r="15" spans="1:19" x14ac:dyDescent="0.2">
      <c r="A15" s="23" t="s">
        <v>810</v>
      </c>
      <c r="B15" s="8"/>
      <c r="C15" s="8"/>
      <c r="D15" s="62">
        <f>MIN( SUM($D11:D11)+SUM($D13:D13), SUM($D11:D11)/INDEX(Assumptions!$B:$B, MATCH("Sat factory useful life (years)", Assumptions!$A$1:$A$327, 0)) + SUM($D13:D13)/INDEX(Assumptions!$B:$B, MATCH("Ground station useful life (years)", Assumptions!$A$1:$A$327, 0)) )</f>
        <v>4.9783882783882785</v>
      </c>
      <c r="E15" s="62">
        <f ca="1">MIN( SUM($D11:E11)+SUM($D13:E13), SUM($D11:E11)/INDEX(Assumptions!$B:$B, MATCH("Sat factory useful life (years)", Assumptions!$A$1:$A$327, 0)) + SUM($D13:E13)/INDEX(Assumptions!$B:$B, MATCH("Ground station useful life (years)", Assumptions!$A$1:$A$327, 0)) )</f>
        <v>12.211709104539386</v>
      </c>
      <c r="F15" s="62">
        <f ca="1">MIN( SUM($D11:F11)+SUM($D13:F13), SUM($D11:F11)/INDEX(Assumptions!$B:$B, MATCH("Sat factory useful life (years)", Assumptions!$A$1:$A$327, 0)) + SUM($D13:F13)/INDEX(Assumptions!$B:$B, MATCH("Ground station useful life (years)", Assumptions!$A$1:$A$327, 0)) )</f>
        <v>39.750674701873983</v>
      </c>
      <c r="G15" s="62">
        <f ca="1">MIN( SUM($D11:G11)+SUM($D13:G13), SUM($D11:G11)/INDEX(Assumptions!$B:$B, MATCH("Sat factory useful life (years)", Assumptions!$A$1:$A$327, 0)) + SUM($D13:G13)/INDEX(Assumptions!$B:$B, MATCH("Ground station useful life (years)", Assumptions!$A$1:$A$327, 0)) )</f>
        <v>74.077994775765774</v>
      </c>
      <c r="H15" s="62">
        <f ca="1">MIN( SUM($D11:H11)+SUM($D13:H13), SUM($D11:H11)/INDEX(Assumptions!$B:$B, MATCH("Sat factory useful life (years)", Assumptions!$A$1:$A$327, 0)) + SUM($D13:H13)/INDEX(Assumptions!$B:$B, MATCH("Ground station useful life (years)", Assumptions!$A$1:$A$327, 0)) )</f>
        <v>136.7195025944381</v>
      </c>
      <c r="I15" s="62">
        <f ca="1">MIN( SUM($D11:I11)+SUM($D13:I13), SUM($D11:I11)/INDEX(Assumptions!$B:$B, MATCH("Sat factory useful life (years)", Assumptions!$A$1:$A$327, 0)) + SUM($D13:I13)/INDEX(Assumptions!$B:$B, MATCH("Ground station useful life (years)", Assumptions!$A$1:$A$327, 0)) )</f>
        <v>189.60442108265323</v>
      </c>
      <c r="J15" s="62">
        <f ca="1">MIN( SUM($D11:J11)+SUM($D13:J13), SUM($D11:J11)/INDEX(Assumptions!$B:$B, MATCH("Sat factory useful life (years)", Assumptions!$A$1:$A$327, 0)) + SUM($D13:J13)/INDEX(Assumptions!$B:$B, MATCH("Ground station useful life (years)", Assumptions!$A$1:$A$327, 0)) )</f>
        <v>277.18143923428812</v>
      </c>
      <c r="K15" s="62">
        <f ca="1">MIN( SUM($D11:K11)+SUM($D13:K13), SUM($D11:K11)/INDEX(Assumptions!$B:$B, MATCH("Sat factory useful life (years)", Assumptions!$A$1:$A$327, 0)) + SUM($D13:K13)/INDEX(Assumptions!$B:$B, MATCH("Ground station useful life (years)", Assumptions!$A$1:$A$327, 0)) )</f>
        <v>281.87420517568796</v>
      </c>
      <c r="L15" s="62">
        <f ca="1">MIN( SUM($D11:L11)+SUM($D13:L13), SUM($D11:L11)/INDEX(Assumptions!$B:$B, MATCH("Sat factory useful life (years)", Assumptions!$A$1:$A$327, 0)) + SUM($D13:L13)/INDEX(Assumptions!$B:$B, MATCH("Ground station useful life (years)", Assumptions!$A$1:$A$327, 0)) )</f>
        <v>286.347278362434</v>
      </c>
      <c r="M15" s="62">
        <f ca="1">MIN( SUM($D11:M11)+SUM($D13:M13), SUM($D11:M11)/INDEX(Assumptions!$B:$B, MATCH("Sat factory useful life (years)", Assumptions!$A$1:$A$327, 0)) + SUM($D13:M13)/INDEX(Assumptions!$B:$B, MATCH("Ground station useful life (years)", Assumptions!$A$1:$A$327, 0)) )</f>
        <v>343.30610036919705</v>
      </c>
      <c r="N15" s="62">
        <f ca="1">MIN( SUM($D11:N11)+SUM($D13:N13), SUM($D11:N11)/INDEX(Assumptions!$B:$B, MATCH("Sat factory useful life (years)", Assumptions!$A$1:$A$327, 0)) + SUM($D13:N13)/INDEX(Assumptions!$B:$B, MATCH("Ground station useful life (years)", Assumptions!$A$1:$A$327, 0)) )</f>
        <v>397.96889823261904</v>
      </c>
      <c r="O15" s="62">
        <f ca="1">MIN( SUM($D11:O11)+SUM($D13:O13), SUM($D11:O11)/INDEX(Assumptions!$B:$B, MATCH("Sat factory useful life (years)", Assumptions!$A$1:$A$327, 0)) + SUM($D13:O13)/INDEX(Assumptions!$B:$B, MATCH("Ground station useful life (years)", Assumptions!$A$1:$A$327, 0)) )</f>
        <v>529.89330115423934</v>
      </c>
      <c r="P15" s="62">
        <f ca="1">MIN( SUM($D11:P11)+SUM($D13:P13), SUM($D11:P11)/INDEX(Assumptions!$B:$B, MATCH("Sat factory useful life (years)", Assumptions!$A$1:$A$327, 0)) + SUM($D13:P13)/INDEX(Assumptions!$B:$B, MATCH("Ground station useful life (years)", Assumptions!$A$1:$A$327, 0)) )</f>
        <v>535.36822952685486</v>
      </c>
      <c r="Q15" s="62">
        <f ca="1">MIN( SUM($D11:Q11)+SUM($D13:Q13), SUM($D11:Q11)/INDEX(Assumptions!$B:$B, MATCH("Sat factory useful life (years)", Assumptions!$A$1:$A$327, 0)) + SUM($D13:Q13)/INDEX(Assumptions!$B:$B, MATCH("Ground station useful life (years)", Assumptions!$A$1:$A$327, 0)) )</f>
        <v>539.94983027618082</v>
      </c>
      <c r="R15" s="62">
        <f ca="1">MIN( SUM($D11:R11)+SUM($D13:R13), SUM($D11:R11)/INDEX(Assumptions!$B:$B, MATCH("Sat factory useful life (years)", Assumptions!$A$1:$A$327, 0)) + SUM($D13:R13)/INDEX(Assumptions!$B:$B, MATCH("Ground station useful life (years)", Assumptions!$A$1:$A$327, 0)) )</f>
        <v>544.09229134319469</v>
      </c>
      <c r="S15" s="62">
        <f ca="1">MIN( SUM($D11:S11)+SUM($D13:S13), SUM($D11:S11)/INDEX(Assumptions!$B:$B, MATCH("Sat factory useful life (years)", Assumptions!$A$1:$A$327, 0)) + SUM($D13:S13)/INDEX(Assumptions!$B:$B, MATCH("Ground station useful life (years)", Assumptions!$A$1:$A$327, 0)) )</f>
        <v>548.02608159301019</v>
      </c>
    </row>
    <row r="16" spans="1:19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2">
      <c r="A17" s="168" t="s">
        <v>1347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x14ac:dyDescent="0.2">
      <c r="A18" s="22" t="s">
        <v>811</v>
      </c>
      <c r="B18" s="8"/>
      <c r="C18" s="8"/>
      <c r="D18" s="66" cm="1">
        <f t="array" aca="1" ref="D18" ca="1">IFERROR(INDEX('Vehicle Build'!$D:$AC, MATCH("Ships built (fleet)", 'Vehicle Build'!$A$1:$A$119, 0), D$5+1), 0)</f>
        <v>0</v>
      </c>
      <c r="E18" s="66" cm="1">
        <f t="array" aca="1" ref="E18" ca="1">IFERROR(INDEX('Vehicle Build'!$D:$AC, MATCH("Ships built (fleet)", 'Vehicle Build'!$A$1:$A$119, 0), E$5+1), 0)</f>
        <v>8</v>
      </c>
      <c r="F18" s="66" cm="1">
        <f t="array" aca="1" ref="F18" ca="1">IFERROR(INDEX('Vehicle Build'!$D:$AC, MATCH("Ships built (fleet)", 'Vehicle Build'!$A$1:$A$119, 0), F$5+1), 0)</f>
        <v>23</v>
      </c>
      <c r="G18" s="66" cm="1">
        <f t="array" aca="1" ref="G18" ca="1">IFERROR(INDEX('Vehicle Build'!$D:$AC, MATCH("Ships built (fleet)", 'Vehicle Build'!$A$1:$A$119, 0), G$5+1), 0)</f>
        <v>38</v>
      </c>
      <c r="H18" s="66" cm="1">
        <f t="array" aca="1" ref="H18" ca="1">IFERROR(INDEX('Vehicle Build'!$D:$AC, MATCH("Ships built (fleet)", 'Vehicle Build'!$A$1:$A$119, 0), H$5+1), 0)</f>
        <v>53</v>
      </c>
      <c r="I18" s="66" cm="1">
        <f t="array" aca="1" ref="I18" ca="1">IFERROR(INDEX('Vehicle Build'!$D:$AC, MATCH("Ships built (fleet)", 'Vehicle Build'!$A$1:$A$119, 0), I$5+1), 0)</f>
        <v>68</v>
      </c>
      <c r="J18" s="66" cm="1">
        <f t="array" aca="1" ref="J18" ca="1">IFERROR(INDEX('Vehicle Build'!$D:$AC, MATCH("Ships built (fleet)", 'Vehicle Build'!$A$1:$A$119, 0), J$5+1), 0)</f>
        <v>83</v>
      </c>
      <c r="K18" s="66" cm="1">
        <f t="array" aca="1" ref="K18" ca="1">IFERROR(INDEX('Vehicle Build'!$D:$AC, MATCH("Ships built (fleet)", 'Vehicle Build'!$A$1:$A$119, 0), K$5+1), 0)</f>
        <v>98</v>
      </c>
      <c r="L18" s="66" cm="1">
        <f t="array" aca="1" ref="L18" ca="1">IFERROR(INDEX('Vehicle Build'!$D:$AC, MATCH("Ships built (fleet)", 'Vehicle Build'!$A$1:$A$119, 0), L$5+1), 0)</f>
        <v>90.875663768774174</v>
      </c>
      <c r="M18" s="66" cm="1">
        <f t="array" aca="1" ref="M18" ca="1">IFERROR(INDEX('Vehicle Build'!$D:$AC, MATCH("Ships built (fleet)", 'Vehicle Build'!$A$1:$A$119, 0), M$5+1), 0)</f>
        <v>29.98898075522284</v>
      </c>
      <c r="N18" s="66" cm="1">
        <f t="array" aca="1" ref="N18" ca="1">IFERROR(INDEX('Vehicle Build'!$D:$AC, MATCH("Ships built (fleet)", 'Vehicle Build'!$A$1:$A$119, 0), N$5+1), 0)</f>
        <v>45.135402406503587</v>
      </c>
      <c r="O18" s="66" cm="1">
        <f t="array" aca="1" ref="O18" ca="1">IFERROR(INDEX('Vehicle Build'!$D:$AC, MATCH("Ships built (fleet)", 'Vehicle Build'!$A$1:$A$119, 0), O$5+1), 0)</f>
        <v>55.166837697795501</v>
      </c>
      <c r="P18" s="66" cm="1">
        <f t="array" aca="1" ref="P18" ca="1">IFERROR(INDEX('Vehicle Build'!$D:$AC, MATCH("Ships built (fleet)", 'Vehicle Build'!$A$1:$A$119, 0), P$5+1), 0)</f>
        <v>35.66881045677971</v>
      </c>
      <c r="Q18" s="66" cm="1">
        <f t="array" aca="1" ref="Q18" ca="1">IFERROR(INDEX('Vehicle Build'!$D:$AC, MATCH("Ships built (fleet)", 'Vehicle Build'!$A$1:$A$119, 0), Q$5+1), 0)</f>
        <v>14.391754233315766</v>
      </c>
      <c r="R18" s="66" cm="1">
        <f t="array" aca="1" ref="R18" ca="1">IFERROR(INDEX('Vehicle Build'!$D:$AC, MATCH("Ships built (fleet)", 'Vehicle Build'!$A$1:$A$119, 0), R$5+1), 0)</f>
        <v>55.159042550261802</v>
      </c>
      <c r="S18" s="66" cm="1">
        <f t="array" aca="1" ref="S18" ca="1">IFERROR(INDEX('Vehicle Build'!$D:$AC, MATCH("Ships built (fleet)", 'Vehicle Build'!$A$1:$A$119, 0), S$5+1), 0)</f>
        <v>57.410517664500091</v>
      </c>
    </row>
    <row r="19" spans="1:19" x14ac:dyDescent="0.2">
      <c r="A19" s="22" t="s">
        <v>1348</v>
      </c>
      <c r="B19" s="8"/>
      <c r="C19" s="8"/>
      <c r="D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D$4 - INDEX(Assumptions!$B:$B,MATCH("Starship operational year",Assumptions!$A:$A,0))) )</f>
        <v>8</v>
      </c>
      <c r="E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E$4 - INDEX(Assumptions!$B:$B,MATCH("Starship operational year",Assumptions!$A:$A,0))) )</f>
        <v>8</v>
      </c>
      <c r="F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F$4 - INDEX(Assumptions!$B:$B,MATCH("Starship operational year",Assumptions!$A:$A,0))) )</f>
        <v>23</v>
      </c>
      <c r="G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G$4 - INDEX(Assumptions!$B:$B,MATCH("Starship operational year",Assumptions!$A:$A,0))) )</f>
        <v>38</v>
      </c>
      <c r="H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H$4 - INDEX(Assumptions!$B:$B,MATCH("Starship operational year",Assumptions!$A:$A,0))) )</f>
        <v>53</v>
      </c>
      <c r="I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I$4 - INDEX(Assumptions!$B:$B,MATCH("Starship operational year",Assumptions!$A:$A,0))) )</f>
        <v>68</v>
      </c>
      <c r="J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J$4 - INDEX(Assumptions!$B:$B,MATCH("Starship operational year",Assumptions!$A:$A,0))) )</f>
        <v>83</v>
      </c>
      <c r="K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K$4 - INDEX(Assumptions!$B:$B,MATCH("Starship operational year",Assumptions!$A:$A,0))) )</f>
        <v>98</v>
      </c>
      <c r="L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L$4 - INDEX(Assumptions!$B:$B,MATCH("Starship operational year",Assumptions!$A:$A,0))) )</f>
        <v>113</v>
      </c>
      <c r="M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M$4 - INDEX(Assumptions!$B:$B,MATCH("Starship operational year",Assumptions!$A:$A,0))) )</f>
        <v>128</v>
      </c>
      <c r="N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N$4 - INDEX(Assumptions!$B:$B,MATCH("Starship operational year",Assumptions!$A:$A,0))) )</f>
        <v>143</v>
      </c>
      <c r="O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O$4 - INDEX(Assumptions!$B:$B,MATCH("Starship operational year",Assumptions!$A:$A,0))) )</f>
        <v>158</v>
      </c>
      <c r="P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P$4 - INDEX(Assumptions!$B:$B,MATCH("Starship operational year",Assumptions!$A:$A,0))) )</f>
        <v>173</v>
      </c>
      <c r="Q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Q$4 - INDEX(Assumptions!$B:$B,MATCH("Starship operational year",Assumptions!$A:$A,0))) )</f>
        <v>188</v>
      </c>
      <c r="R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R$4 - INDEX(Assumptions!$B:$B,MATCH("Starship operational year",Assumptions!$A:$A,0))) )</f>
        <v>203</v>
      </c>
      <c r="S19" s="66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S$4 - INDEX(Assumptions!$B:$B,MATCH("Starship operational year",Assumptions!$A:$A,0))) )</f>
        <v>218</v>
      </c>
    </row>
    <row r="20" spans="1:19" x14ac:dyDescent="0.2">
      <c r="A20" s="22" t="s">
        <v>1175</v>
      </c>
      <c r="B20" s="8"/>
      <c r="C20" s="8"/>
      <c r="D20" s="70">
        <v>0</v>
      </c>
      <c r="E20" s="67">
        <f>MAX(0, E19 - D19)</f>
        <v>0</v>
      </c>
      <c r="F20" s="67">
        <f t="shared" ref="F20:S20" si="2">MAX(0, F19 - E19)</f>
        <v>15</v>
      </c>
      <c r="G20" s="67">
        <f t="shared" si="2"/>
        <v>15</v>
      </c>
      <c r="H20" s="67">
        <f t="shared" si="2"/>
        <v>15</v>
      </c>
      <c r="I20" s="67">
        <f t="shared" si="2"/>
        <v>15</v>
      </c>
      <c r="J20" s="67">
        <f t="shared" si="2"/>
        <v>15</v>
      </c>
      <c r="K20" s="67">
        <f t="shared" si="2"/>
        <v>15</v>
      </c>
      <c r="L20" s="67">
        <f t="shared" si="2"/>
        <v>15</v>
      </c>
      <c r="M20" s="67">
        <f t="shared" si="2"/>
        <v>15</v>
      </c>
      <c r="N20" s="67">
        <f t="shared" si="2"/>
        <v>15</v>
      </c>
      <c r="O20" s="67">
        <f t="shared" si="2"/>
        <v>15</v>
      </c>
      <c r="P20" s="67">
        <f t="shared" si="2"/>
        <v>15</v>
      </c>
      <c r="Q20" s="67">
        <f t="shared" si="2"/>
        <v>15</v>
      </c>
      <c r="R20" s="67">
        <f t="shared" si="2"/>
        <v>15</v>
      </c>
      <c r="S20" s="67">
        <f t="shared" si="2"/>
        <v>15</v>
      </c>
    </row>
    <row r="21" spans="1:19" x14ac:dyDescent="0.2">
      <c r="A21" s="22" t="s">
        <v>812</v>
      </c>
      <c r="B21" s="8"/>
      <c r="C21" s="8"/>
      <c r="D21" s="62">
        <f>D20 / INDEX(Assumptions!$B:$B,MATCH("Starship facility capacity (ships/yr per Gigabay)",Assumptions!$A:$A,0)) * INDEX(Assumptions!$B:$B,MATCH("Starship facility cost per Gigabay increment ($mm)",Assumptions!$A:$A,0))</f>
        <v>0</v>
      </c>
      <c r="E21" s="62">
        <f>E20 / INDEX(Assumptions!$B:$B,MATCH("Starship facility capacity (ships/yr per Gigabay)",Assumptions!$A:$A,0)) * INDEX(Assumptions!$B:$B,MATCH("Starship facility cost per Gigabay increment ($mm)",Assumptions!$A:$A,0))</f>
        <v>0</v>
      </c>
      <c r="F21" s="62">
        <f>F20 / INDEX(Assumptions!$B:$B,MATCH("Starship facility capacity (ships/yr per Gigabay)",Assumptions!$A:$A,0)) * INDEX(Assumptions!$B:$B,MATCH("Starship facility cost per Gigabay increment ($mm)",Assumptions!$A:$A,0))</f>
        <v>375</v>
      </c>
      <c r="G21" s="62">
        <f>G20 / INDEX(Assumptions!$B:$B,MATCH("Starship facility capacity (ships/yr per Gigabay)",Assumptions!$A:$A,0)) * INDEX(Assumptions!$B:$B,MATCH("Starship facility cost per Gigabay increment ($mm)",Assumptions!$A:$A,0))</f>
        <v>375</v>
      </c>
      <c r="H21" s="62">
        <f>H20 / INDEX(Assumptions!$B:$B,MATCH("Starship facility capacity (ships/yr per Gigabay)",Assumptions!$A:$A,0)) * INDEX(Assumptions!$B:$B,MATCH("Starship facility cost per Gigabay increment ($mm)",Assumptions!$A:$A,0))</f>
        <v>375</v>
      </c>
      <c r="I21" s="62">
        <f>I20 / INDEX(Assumptions!$B:$B,MATCH("Starship facility capacity (ships/yr per Gigabay)",Assumptions!$A:$A,0)) * INDEX(Assumptions!$B:$B,MATCH("Starship facility cost per Gigabay increment ($mm)",Assumptions!$A:$A,0))</f>
        <v>375</v>
      </c>
      <c r="J21" s="62">
        <f>J20 / INDEX(Assumptions!$B:$B,MATCH("Starship facility capacity (ships/yr per Gigabay)",Assumptions!$A:$A,0)) * INDEX(Assumptions!$B:$B,MATCH("Starship facility cost per Gigabay increment ($mm)",Assumptions!$A:$A,0))</f>
        <v>375</v>
      </c>
      <c r="K21" s="62">
        <f>K20 / INDEX(Assumptions!$B:$B,MATCH("Starship facility capacity (ships/yr per Gigabay)",Assumptions!$A:$A,0)) * INDEX(Assumptions!$B:$B,MATCH("Starship facility cost per Gigabay increment ($mm)",Assumptions!$A:$A,0))</f>
        <v>375</v>
      </c>
      <c r="L21" s="62">
        <f>L20 / INDEX(Assumptions!$B:$B,MATCH("Starship facility capacity (ships/yr per Gigabay)",Assumptions!$A:$A,0)) * INDEX(Assumptions!$B:$B,MATCH("Starship facility cost per Gigabay increment ($mm)",Assumptions!$A:$A,0))</f>
        <v>375</v>
      </c>
      <c r="M21" s="62">
        <f>M20 / INDEX(Assumptions!$B:$B,MATCH("Starship facility capacity (ships/yr per Gigabay)",Assumptions!$A:$A,0)) * INDEX(Assumptions!$B:$B,MATCH("Starship facility cost per Gigabay increment ($mm)",Assumptions!$A:$A,0))</f>
        <v>375</v>
      </c>
      <c r="N21" s="62">
        <f>N20 / INDEX(Assumptions!$B:$B,MATCH("Starship facility capacity (ships/yr per Gigabay)",Assumptions!$A:$A,0)) * INDEX(Assumptions!$B:$B,MATCH("Starship facility cost per Gigabay increment ($mm)",Assumptions!$A:$A,0))</f>
        <v>375</v>
      </c>
      <c r="O21" s="62">
        <f>O20 / INDEX(Assumptions!$B:$B,MATCH("Starship facility capacity (ships/yr per Gigabay)",Assumptions!$A:$A,0)) * INDEX(Assumptions!$B:$B,MATCH("Starship facility cost per Gigabay increment ($mm)",Assumptions!$A:$A,0))</f>
        <v>375</v>
      </c>
      <c r="P21" s="62">
        <f>P20 / INDEX(Assumptions!$B:$B,MATCH("Starship facility capacity (ships/yr per Gigabay)",Assumptions!$A:$A,0)) * INDEX(Assumptions!$B:$B,MATCH("Starship facility cost per Gigabay increment ($mm)",Assumptions!$A:$A,0))</f>
        <v>375</v>
      </c>
      <c r="Q21" s="62">
        <f>Q20 / INDEX(Assumptions!$B:$B,MATCH("Starship facility capacity (ships/yr per Gigabay)",Assumptions!$A:$A,0)) * INDEX(Assumptions!$B:$B,MATCH("Starship facility cost per Gigabay increment ($mm)",Assumptions!$A:$A,0))</f>
        <v>375</v>
      </c>
      <c r="R21" s="62">
        <f>R20 / INDEX(Assumptions!$B:$B,MATCH("Starship facility capacity (ships/yr per Gigabay)",Assumptions!$A:$A,0)) * INDEX(Assumptions!$B:$B,MATCH("Starship facility cost per Gigabay increment ($mm)",Assumptions!$A:$A,0))</f>
        <v>375</v>
      </c>
      <c r="S21" s="62">
        <f>S20 / INDEX(Assumptions!$B:$B,MATCH("Starship facility capacity (ships/yr per Gigabay)",Assumptions!$A:$A,0)) * INDEX(Assumptions!$B:$B,MATCH("Starship facility cost per Gigabay increment ($mm)",Assumptions!$A:$A,0))</f>
        <v>375</v>
      </c>
    </row>
    <row r="22" spans="1:19" x14ac:dyDescent="0.2">
      <c r="A22" s="22" t="s">
        <v>813</v>
      </c>
      <c r="B22" s="8"/>
      <c r="C22" s="8"/>
      <c r="D22" s="66">
        <f ca="1">D53*INDEX(Assumptions!$B:$B,MATCH("Raptor engines per booster (Super Heavy)",Assumptions!$A$1:$A$327,0))+D18*INDEX(Assumptions!$B:$B,MATCH("Raptor engines per ship (2nd stage)",Assumptions!$A$1:$A$327,0))</f>
        <v>0</v>
      </c>
      <c r="E22" s="66">
        <f ca="1">E53*INDEX(Assumptions!$B:$B,MATCH("Raptor engines per booster (Super Heavy)",Assumptions!$A$1:$A$327,0))+E18*INDEX(Assumptions!$B:$B,MATCH("Raptor engines per ship (2nd stage)",Assumptions!$A$1:$A$327,0))</f>
        <v>312</v>
      </c>
      <c r="F22" s="66">
        <f ca="1">F53*INDEX(Assumptions!$B:$B,MATCH("Raptor engines per booster (Super Heavy)",Assumptions!$A$1:$A$327,0))+F18*INDEX(Assumptions!$B:$B,MATCH("Raptor engines per ship (2nd stage)",Assumptions!$A$1:$A$327,0))</f>
        <v>897</v>
      </c>
      <c r="G22" s="66">
        <f ca="1">G53*INDEX(Assumptions!$B:$B,MATCH("Raptor engines per booster (Super Heavy)",Assumptions!$A$1:$A$327,0))+G18*INDEX(Assumptions!$B:$B,MATCH("Raptor engines per ship (2nd stage)",Assumptions!$A$1:$A$327,0))</f>
        <v>1482</v>
      </c>
      <c r="H22" s="66">
        <f ca="1">H53*INDEX(Assumptions!$B:$B,MATCH("Raptor engines per booster (Super Heavy)",Assumptions!$A$1:$A$327,0))+H18*INDEX(Assumptions!$B:$B,MATCH("Raptor engines per ship (2nd stage)",Assumptions!$A$1:$A$327,0))</f>
        <v>2067</v>
      </c>
      <c r="I22" s="66">
        <f ca="1">I53*INDEX(Assumptions!$B:$B,MATCH("Raptor engines per booster (Super Heavy)",Assumptions!$A$1:$A$327,0))+I18*INDEX(Assumptions!$B:$B,MATCH("Raptor engines per ship (2nd stage)",Assumptions!$A$1:$A$327,0))</f>
        <v>2652</v>
      </c>
      <c r="J22" s="66">
        <f ca="1">J53*INDEX(Assumptions!$B:$B,MATCH("Raptor engines per booster (Super Heavy)",Assumptions!$A$1:$A$327,0))+J18*INDEX(Assumptions!$B:$B,MATCH("Raptor engines per ship (2nd stage)",Assumptions!$A$1:$A$327,0))</f>
        <v>3237</v>
      </c>
      <c r="K22" s="66">
        <f ca="1">K53*INDEX(Assumptions!$B:$B,MATCH("Raptor engines per booster (Super Heavy)",Assumptions!$A$1:$A$327,0))+K18*INDEX(Assumptions!$B:$B,MATCH("Raptor engines per ship (2nd stage)",Assumptions!$A$1:$A$327,0))</f>
        <v>588</v>
      </c>
      <c r="L22" s="66">
        <f ca="1">L53*INDEX(Assumptions!$B:$B,MATCH("Raptor engines per booster (Super Heavy)",Assumptions!$A$1:$A$327,0))+L18*INDEX(Assumptions!$B:$B,MATCH("Raptor engines per ship (2nd stage)",Assumptions!$A$1:$A$327,0))</f>
        <v>545.25398261264502</v>
      </c>
      <c r="M22" s="66">
        <f ca="1">M53*INDEX(Assumptions!$B:$B,MATCH("Raptor engines per booster (Super Heavy)",Assumptions!$A$1:$A$327,0))+M18*INDEX(Assumptions!$B:$B,MATCH("Raptor engines per ship (2nd stage)",Assumptions!$A$1:$A$327,0))</f>
        <v>179.93388453133704</v>
      </c>
      <c r="N22" s="66">
        <f ca="1">N53*INDEX(Assumptions!$B:$B,MATCH("Raptor engines per booster (Super Heavy)",Assumptions!$A$1:$A$327,0))+N18*INDEX(Assumptions!$B:$B,MATCH("Raptor engines per ship (2nd stage)",Assumptions!$A$1:$A$327,0))</f>
        <v>270.8124144390215</v>
      </c>
      <c r="O22" s="66">
        <f ca="1">O53*INDEX(Assumptions!$B:$B,MATCH("Raptor engines per booster (Super Heavy)",Assumptions!$A$1:$A$327,0))+O18*INDEX(Assumptions!$B:$B,MATCH("Raptor engines per ship (2nd stage)",Assumptions!$A$1:$A$327,0))</f>
        <v>332.03656069905088</v>
      </c>
      <c r="P22" s="66">
        <f ca="1">P53*INDEX(Assumptions!$B:$B,MATCH("Raptor engines per booster (Super Heavy)",Assumptions!$A$1:$A$327,0))+P18*INDEX(Assumptions!$B:$B,MATCH("Raptor engines per ship (2nd stage)",Assumptions!$A$1:$A$327,0))</f>
        <v>214.01286274067826</v>
      </c>
      <c r="Q22" s="66">
        <f ca="1">Q53*INDEX(Assumptions!$B:$B,MATCH("Raptor engines per booster (Super Heavy)",Assumptions!$A$1:$A$327,0))+Q18*INDEX(Assumptions!$B:$B,MATCH("Raptor engines per ship (2nd stage)",Assumptions!$A$1:$A$327,0))</f>
        <v>86.350525399894593</v>
      </c>
      <c r="R22" s="66">
        <f ca="1">R53*INDEX(Assumptions!$B:$B,MATCH("Raptor engines per booster (Super Heavy)",Assumptions!$A$1:$A$327,0))+R18*INDEX(Assumptions!$B:$B,MATCH("Raptor engines per ship (2nd stage)",Assumptions!$A$1:$A$327,0))</f>
        <v>341.17802800376955</v>
      </c>
      <c r="S22" s="66">
        <f ca="1">S53*INDEX(Assumptions!$B:$B,MATCH("Raptor engines per booster (Super Heavy)",Assumptions!$A$1:$A$327,0))+S18*INDEX(Assumptions!$B:$B,MATCH("Raptor engines per ship (2nd stage)",Assumptions!$A$1:$A$327,0))</f>
        <v>891.76844618416135</v>
      </c>
    </row>
    <row r="23" spans="1:19" x14ac:dyDescent="0.2">
      <c r="A23" s="22" t="s">
        <v>814</v>
      </c>
      <c r="B23" s="8"/>
      <c r="C23" s="8"/>
      <c r="D23" s="62">
        <f ca="1">IFERROR(MAX(0, D22 - INDEX(Assumptions!$B:$B,MATCH("Engine facility base capacity 2025 (engines/yr)",Assumptions!$A:$A,0))) / INDEX(Assumptions!$B:$B,MATCH("Engine facility capacity (engines/yr per increment)",Assumptions!$A:$A,0)) * INDEX(Assumptions!$B:$B,MATCH("Engine facility cost per capacity increment ($mm)",Assumptions!$A:$A,0)), 0)</f>
        <v>0</v>
      </c>
      <c r="E23" s="62">
        <f ca="1">IFERROR(MAX(0, E22 - D28) / INDEX(Assumptions!$B:$B,MATCH("Engine facility capacity (engines/yr per increment)",Assumptions!$A:$A,0)) * INDEX(Assumptions!$B:$B,MATCH("Engine facility cost per capacity increment ($mm)",Assumptions!$A:$A,0)), 0)</f>
        <v>0</v>
      </c>
      <c r="F23" s="62">
        <f ca="1">IFERROR(MAX(0, F22 - E28) / INDEX(Assumptions!$B:$B,MATCH("Engine facility capacity (engines/yr per increment)",Assumptions!$A:$A,0)) * INDEX(Assumptions!$B:$B,MATCH("Engine facility cost per capacity increment ($mm)",Assumptions!$A:$A,0)), 0)</f>
        <v>0</v>
      </c>
      <c r="G23" s="62">
        <f ca="1">IFERROR(MAX(0, G22 - F28) / INDEX(Assumptions!$B:$B,MATCH("Engine facility capacity (engines/yr per increment)",Assumptions!$A:$A,0)) * INDEX(Assumptions!$B:$B,MATCH("Engine facility cost per capacity increment ($mm)",Assumptions!$A:$A,0)), 0)</f>
        <v>96.399999999999991</v>
      </c>
      <c r="H23" s="62">
        <f ca="1">IFERROR(MAX(0, H22 - G28) / INDEX(Assumptions!$B:$B,MATCH("Engine facility capacity (engines/yr per increment)",Assumptions!$A:$A,0)) * INDEX(Assumptions!$B:$B,MATCH("Engine facility cost per capacity increment ($mm)",Assumptions!$A:$A,0)), 0)</f>
        <v>117</v>
      </c>
      <c r="I23" s="62">
        <f ca="1">IFERROR(MAX(0, I22 - H28) / INDEX(Assumptions!$B:$B,MATCH("Engine facility capacity (engines/yr per increment)",Assumptions!$A:$A,0)) * INDEX(Assumptions!$B:$B,MATCH("Engine facility cost per capacity increment ($mm)",Assumptions!$A:$A,0)), 0)</f>
        <v>117</v>
      </c>
      <c r="J23" s="62">
        <f ca="1">IFERROR(MAX(0, J22 - I28) / INDEX(Assumptions!$B:$B,MATCH("Engine facility capacity (engines/yr per increment)",Assumptions!$A:$A,0)) * INDEX(Assumptions!$B:$B,MATCH("Engine facility cost per capacity increment ($mm)",Assumptions!$A:$A,0)), 0)</f>
        <v>117</v>
      </c>
      <c r="K23" s="62">
        <f ca="1">IFERROR(MAX(0, K22 - J28) / INDEX(Assumptions!$B:$B,MATCH("Engine facility capacity (engines/yr per increment)",Assumptions!$A:$A,0)) * INDEX(Assumptions!$B:$B,MATCH("Engine facility cost per capacity increment ($mm)",Assumptions!$A:$A,0)), 0)</f>
        <v>0</v>
      </c>
      <c r="L23" s="62">
        <f ca="1">IFERROR(MAX(0, L22 - K28) / INDEX(Assumptions!$B:$B,MATCH("Engine facility capacity (engines/yr per increment)",Assumptions!$A:$A,0)) * INDEX(Assumptions!$B:$B,MATCH("Engine facility cost per capacity increment ($mm)",Assumptions!$A:$A,0)), 0)</f>
        <v>0</v>
      </c>
      <c r="M23" s="62">
        <f ca="1">IFERROR(MAX(0, M22 - L28) / INDEX(Assumptions!$B:$B,MATCH("Engine facility capacity (engines/yr per increment)",Assumptions!$A:$A,0)) * INDEX(Assumptions!$B:$B,MATCH("Engine facility cost per capacity increment ($mm)",Assumptions!$A:$A,0)), 0)</f>
        <v>0</v>
      </c>
      <c r="N23" s="62">
        <f ca="1">IFERROR(MAX(0, N22 - M28) / INDEX(Assumptions!$B:$B,MATCH("Engine facility capacity (engines/yr per increment)",Assumptions!$A:$A,0)) * INDEX(Assumptions!$B:$B,MATCH("Engine facility cost per capacity increment ($mm)",Assumptions!$A:$A,0)), 0)</f>
        <v>0</v>
      </c>
      <c r="O23" s="62">
        <f ca="1">IFERROR(MAX(0, O22 - N28) / INDEX(Assumptions!$B:$B,MATCH("Engine facility capacity (engines/yr per increment)",Assumptions!$A:$A,0)) * INDEX(Assumptions!$B:$B,MATCH("Engine facility cost per capacity increment ($mm)",Assumptions!$A:$A,0)), 0)</f>
        <v>0</v>
      </c>
      <c r="P23" s="62">
        <f ca="1">IFERROR(MAX(0, P22 - O28) / INDEX(Assumptions!$B:$B,MATCH("Engine facility capacity (engines/yr per increment)",Assumptions!$A:$A,0)) * INDEX(Assumptions!$B:$B,MATCH("Engine facility cost per capacity increment ($mm)",Assumptions!$A:$A,0)), 0)</f>
        <v>0</v>
      </c>
      <c r="Q23" s="62">
        <f ca="1">IFERROR(MAX(0, Q22 - P28) / INDEX(Assumptions!$B:$B,MATCH("Engine facility capacity (engines/yr per increment)",Assumptions!$A:$A,0)) * INDEX(Assumptions!$B:$B,MATCH("Engine facility cost per capacity increment ($mm)",Assumptions!$A:$A,0)), 0)</f>
        <v>0</v>
      </c>
      <c r="R23" s="62">
        <f ca="1">IFERROR(MAX(0, R22 - Q28) / INDEX(Assumptions!$B:$B,MATCH("Engine facility capacity (engines/yr per increment)",Assumptions!$A:$A,0)) * INDEX(Assumptions!$B:$B,MATCH("Engine facility cost per capacity increment ($mm)",Assumptions!$A:$A,0)), 0)</f>
        <v>0</v>
      </c>
      <c r="S23" s="62">
        <f ca="1">IFERROR(MAX(0, S22 - R28) / INDEX(Assumptions!$B:$B,MATCH("Engine facility capacity (engines/yr per increment)",Assumptions!$A:$A,0)) * INDEX(Assumptions!$B:$B,MATCH("Engine facility cost per capacity increment ($mm)",Assumptions!$A:$A,0)), 0)</f>
        <v>0</v>
      </c>
    </row>
    <row r="24" spans="1:19" x14ac:dyDescent="0.2">
      <c r="A24" s="22" t="s">
        <v>815</v>
      </c>
      <c r="B24" s="8"/>
      <c r="C24" s="8"/>
      <c r="D24" s="71">
        <f t="array" aca="1" ref="D24" ca="1">IFERROR(INDEX('Vehicle Build'!$D:$AC, MATCH("Starship launches per year", 'Vehicle Build'!$A$1:$A$119, 0), D$5+1) / INDEX(Assumptions!$B:$B, MATCH("Starship launches per pad per year", Assumptions!$A$1:$A$327, 0)), 0)</f>
        <v>0</v>
      </c>
      <c r="E24" s="71">
        <f t="array" aca="1" ref="E24" ca="1">IFERROR(INDEX('Vehicle Build'!$D:$AC, MATCH("Starship launches per year", 'Vehicle Build'!$A$1:$A$119, 0), E$5+1) / INDEX(Assumptions!$B:$B, MATCH("Starship launches per pad per year", Assumptions!$A$1:$A$327, 0)), 0)</f>
        <v>0</v>
      </c>
      <c r="F24" s="71">
        <f t="array" aca="1" ref="F24" ca="1">IFERROR(INDEX('Vehicle Build'!$D:$AC, MATCH("Starship launches per year", 'Vehicle Build'!$A$1:$A$119, 0), F$5+1) / INDEX(Assumptions!$B:$B, MATCH("Starship launches per pad per year", Assumptions!$A$1:$A$327, 0)), 0)</f>
        <v>0.80263157894736847</v>
      </c>
      <c r="G24" s="71">
        <f t="array" aca="1" ref="G24" ca="1">IFERROR(INDEX('Vehicle Build'!$D:$AC, MATCH("Starship launches per year", 'Vehicle Build'!$A$1:$A$119, 0), G$5+1) / INDEX(Assumptions!$B:$B, MATCH("Starship launches per pad per year", Assumptions!$A$1:$A$327, 0)), 0)</f>
        <v>1.6710526315789473</v>
      </c>
      <c r="H24" s="71">
        <f t="array" aca="1" ref="H24" ca="1">IFERROR(INDEX('Vehicle Build'!$D:$AC, MATCH("Starship launches per year", 'Vehicle Build'!$A$1:$A$119, 0), H$5+1) / INDEX(Assumptions!$B:$B, MATCH("Starship launches per pad per year", Assumptions!$A$1:$A$327, 0)), 0)</f>
        <v>3.4736842105263159</v>
      </c>
      <c r="I24" s="71">
        <f t="array" aca="1" ref="I24" ca="1">IFERROR(INDEX('Vehicle Build'!$D:$AC, MATCH("Starship launches per year", 'Vehicle Build'!$A$1:$A$119, 0), I$5+1) / INDEX(Assumptions!$B:$B, MATCH("Starship launches per pad per year", Assumptions!$A$1:$A$327, 0)), 0)</f>
        <v>5.5688381717080668</v>
      </c>
      <c r="J24" s="71">
        <f t="array" aca="1" ref="J24" ca="1">IFERROR(INDEX('Vehicle Build'!$D:$AC, MATCH("Starship launches per year", 'Vehicle Build'!$A$1:$A$119, 0), J$5+1) / INDEX(Assumptions!$B:$B, MATCH("Starship launches per pad per year", Assumptions!$A$1:$A$327, 0)), 0)</f>
        <v>8.3705643107313339</v>
      </c>
      <c r="K24" s="71">
        <f t="array" aca="1" ref="K24" ca="1">IFERROR(INDEX('Vehicle Build'!$D:$AC, MATCH("Starship launches per year", 'Vehicle Build'!$A$1:$A$119, 0), K$5+1) / INDEX(Assumptions!$B:$B, MATCH("Starship launches per pad per year", Assumptions!$A$1:$A$327, 0)), 0)</f>
        <v>10.07094173723253</v>
      </c>
      <c r="L24" s="71">
        <f t="array" aca="1" ref="L24" ca="1">IFERROR(INDEX('Vehicle Build'!$D:$AC, MATCH("Starship launches per year", 'Vehicle Build'!$A$1:$A$119, 0), L$5+1) / INDEX(Assumptions!$B:$B, MATCH("Starship launches per pad per year", Assumptions!$A$1:$A$327, 0)), 0)</f>
        <v>11.652142605635099</v>
      </c>
      <c r="M24" s="71">
        <f t="array" aca="1" ref="M24" ca="1">IFERROR(INDEX('Vehicle Build'!$D:$AC, MATCH("Starship launches per year", 'Vehicle Build'!$A$1:$A$119, 0), M$5+1) / INDEX(Assumptions!$B:$B, MATCH("Starship launches per pad per year", Assumptions!$A$1:$A$327, 0)), 0)</f>
        <v>15.567094592859229</v>
      </c>
      <c r="N24" s="71">
        <f t="array" aca="1" ref="N24" ca="1">IFERROR(INDEX('Vehicle Build'!$D:$AC, MATCH("Starship launches per year", 'Vehicle Build'!$A$1:$A$119, 0), N$5+1) / INDEX(Assumptions!$B:$B, MATCH("Starship launches per pad per year", Assumptions!$A$1:$A$327, 0)), 0)</f>
        <v>17.582950461093386</v>
      </c>
      <c r="O24" s="71">
        <f t="array" aca="1" ref="O24" ca="1">IFERROR(INDEX('Vehicle Build'!$D:$AC, MATCH("Starship launches per year", 'Vehicle Build'!$A$1:$A$119, 0), O$5+1) / INDEX(Assumptions!$B:$B, MATCH("Starship launches per pad per year", Assumptions!$A$1:$A$327, 0)), 0)</f>
        <v>22.560905732274989</v>
      </c>
      <c r="P24" s="71">
        <f t="array" aca="1" ref="P24" ca="1">IFERROR(INDEX('Vehicle Build'!$D:$AC, MATCH("Starship launches per year", 'Vehicle Build'!$A$1:$A$119, 0), P$5+1) / INDEX(Assumptions!$B:$B, MATCH("Starship launches per pad per year", Assumptions!$A$1:$A$327, 0)), 0)</f>
        <v>21.46387463227212</v>
      </c>
      <c r="Q24" s="71">
        <f t="array" aca="1" ref="Q24" ca="1">IFERROR(INDEX('Vehicle Build'!$D:$AC, MATCH("Starship launches per year", 'Vehicle Build'!$A$1:$A$119, 0), Q$5+1) / INDEX(Assumptions!$B:$B, MATCH("Starship launches per pad per year", Assumptions!$A$1:$A$327, 0)), 0)</f>
        <v>17.17601126027645</v>
      </c>
      <c r="R24" s="71">
        <f t="array" aca="1" ref="R24" ca="1">IFERROR(INDEX('Vehicle Build'!$D:$AC, MATCH("Starship launches per year", 'Vehicle Build'!$A$1:$A$119, 0), R$5+1) / INDEX(Assumptions!$B:$B, MATCH("Starship launches per pad per year", Assumptions!$A$1:$A$327, 0)), 0)</f>
        <v>16.852347996161075</v>
      </c>
      <c r="S24" s="71">
        <f t="array" aca="1" ref="S24" ca="1">IFERROR(INDEX('Vehicle Build'!$D:$AC, MATCH("Starship launches per year", 'Vehicle Build'!$A$1:$A$119, 0), S$5+1) / INDEX(Assumptions!$B:$B, MATCH("Starship launches per pad per year", Assumptions!$A$1:$A$327, 0)), 0)</f>
        <v>11.482340706232277</v>
      </c>
    </row>
    <row r="25" spans="1:19" x14ac:dyDescent="0.2">
      <c r="A25" s="22" t="s">
        <v>816</v>
      </c>
      <c r="B25" s="8"/>
      <c r="C25" s="8"/>
      <c r="D25" s="62">
        <f ca="1">MAX(0, ROUNDUP(D24,0) - INDEX(Assumptions!$B:$B,MATCH("Launch pads base in service 2025 (Starship-capable)",Assumptions!$A:$A,0))) * INDEX(Assumptions!$B:$B,MATCH("Launch pad build/upgrade cost ($mm per pad)",Assumptions!$A:$A,0))</f>
        <v>0</v>
      </c>
      <c r="E25" s="62">
        <f ca="1">MAX(0, ROUNDUP(E24,0)-D29) * INDEX(Assumptions!$B:$B, MATCH("Launch pad build/upgrade cost ($mm per pad)", Assumptions!$A$1:$A$327, 0))</f>
        <v>0</v>
      </c>
      <c r="F25" s="62">
        <f ca="1">MAX(0, ROUNDUP(F24,0)-E29) * INDEX(Assumptions!$B:$B, MATCH("Launch pad build/upgrade cost ($mm per pad)", Assumptions!$A$1:$A$327, 0))</f>
        <v>0</v>
      </c>
      <c r="G25" s="62">
        <f ca="1">MAX(0, ROUNDUP(G24,0)-F29) * INDEX(Assumptions!$B:$B, MATCH("Launch pad build/upgrade cost ($mm per pad)", Assumptions!$A$1:$A$327, 0))</f>
        <v>0</v>
      </c>
      <c r="H25" s="62">
        <f ca="1">MAX(0, ROUNDUP(H24,0)-G29) * INDEX(Assumptions!$B:$B, MATCH("Launch pad build/upgrade cost ($mm per pad)", Assumptions!$A$1:$A$327, 0))</f>
        <v>400</v>
      </c>
      <c r="I25" s="62">
        <f ca="1">MAX(0, ROUNDUP(I24,0)-H29) * INDEX(Assumptions!$B:$B, MATCH("Launch pad build/upgrade cost ($mm per pad)", Assumptions!$A$1:$A$327, 0))</f>
        <v>400</v>
      </c>
      <c r="J25" s="62">
        <f ca="1">MAX(0, ROUNDUP(J24,0)-I29) * INDEX(Assumptions!$B:$B, MATCH("Launch pad build/upgrade cost ($mm per pad)", Assumptions!$A$1:$A$327, 0))</f>
        <v>600</v>
      </c>
      <c r="K25" s="62">
        <f ca="1">MAX(0, ROUNDUP(K24,0)-J29) * INDEX(Assumptions!$B:$B, MATCH("Launch pad build/upgrade cost ($mm per pad)", Assumptions!$A$1:$A$327, 0))</f>
        <v>400</v>
      </c>
      <c r="L25" s="62">
        <f ca="1">MAX(0, ROUNDUP(L24,0)-K29) * INDEX(Assumptions!$B:$B, MATCH("Launch pad build/upgrade cost ($mm per pad)", Assumptions!$A$1:$A$327, 0))</f>
        <v>200</v>
      </c>
      <c r="M25" s="62">
        <f ca="1">MAX(0, ROUNDUP(M24,0)-L29) * INDEX(Assumptions!$B:$B, MATCH("Launch pad build/upgrade cost ($mm per pad)", Assumptions!$A$1:$A$327, 0))</f>
        <v>800</v>
      </c>
      <c r="N25" s="62">
        <f ca="1">MAX(0, ROUNDUP(N24,0)-M29) * INDEX(Assumptions!$B:$B, MATCH("Launch pad build/upgrade cost ($mm per pad)", Assumptions!$A$1:$A$327, 0))</f>
        <v>400</v>
      </c>
      <c r="O25" s="62">
        <f ca="1">MAX(0, ROUNDUP(O24,0)-N29) * INDEX(Assumptions!$B:$B, MATCH("Launch pad build/upgrade cost ($mm per pad)", Assumptions!$A$1:$A$327, 0))</f>
        <v>1000</v>
      </c>
      <c r="P25" s="62">
        <f ca="1">MAX(0, ROUNDUP(P24,0)-O29) * INDEX(Assumptions!$B:$B, MATCH("Launch pad build/upgrade cost ($mm per pad)", Assumptions!$A$1:$A$327, 0))</f>
        <v>0</v>
      </c>
      <c r="Q25" s="62">
        <f ca="1">MAX(0, ROUNDUP(Q24,0)-P29) * INDEX(Assumptions!$B:$B, MATCH("Launch pad build/upgrade cost ($mm per pad)", Assumptions!$A$1:$A$327, 0))</f>
        <v>0</v>
      </c>
      <c r="R25" s="62">
        <f ca="1">MAX(0, ROUNDUP(R24,0)-Q29) * INDEX(Assumptions!$B:$B, MATCH("Launch pad build/upgrade cost ($mm per pad)", Assumptions!$A$1:$A$327, 0))</f>
        <v>0</v>
      </c>
      <c r="S25" s="62">
        <f ca="1">MAX(0, ROUNDUP(S24,0)-R29) * INDEX(Assumptions!$B:$B, MATCH("Launch pad build/upgrade cost ($mm per pad)", Assumptions!$A$1:$A$327, 0))</f>
        <v>0</v>
      </c>
    </row>
    <row r="26" spans="1:19" x14ac:dyDescent="0.2">
      <c r="A26" s="20" t="s">
        <v>817</v>
      </c>
      <c r="B26" s="20"/>
      <c r="C26" s="20"/>
      <c r="D26" s="87">
        <f t="shared" ref="D26:S26" ca="1" si="3">D21+D23+D25+D51</f>
        <v>750</v>
      </c>
      <c r="E26" s="87">
        <f t="shared" ca="1" si="3"/>
        <v>750</v>
      </c>
      <c r="F26" s="87">
        <f t="shared" ca="1" si="3"/>
        <v>375</v>
      </c>
      <c r="G26" s="87">
        <f t="shared" ca="1" si="3"/>
        <v>471.4</v>
      </c>
      <c r="H26" s="87">
        <f t="shared" ca="1" si="3"/>
        <v>892</v>
      </c>
      <c r="I26" s="87">
        <f t="shared" ca="1" si="3"/>
        <v>892</v>
      </c>
      <c r="J26" s="87">
        <f t="shared" ca="1" si="3"/>
        <v>1092</v>
      </c>
      <c r="K26" s="87">
        <f t="shared" ca="1" si="3"/>
        <v>775</v>
      </c>
      <c r="L26" s="87">
        <f t="shared" ca="1" si="3"/>
        <v>575</v>
      </c>
      <c r="M26" s="87">
        <f t="shared" ca="1" si="3"/>
        <v>1175</v>
      </c>
      <c r="N26" s="87">
        <f t="shared" ca="1" si="3"/>
        <v>775</v>
      </c>
      <c r="O26" s="87">
        <f t="shared" ca="1" si="3"/>
        <v>1375</v>
      </c>
      <c r="P26" s="87">
        <f t="shared" ca="1" si="3"/>
        <v>375</v>
      </c>
      <c r="Q26" s="87">
        <f t="shared" ca="1" si="3"/>
        <v>375</v>
      </c>
      <c r="R26" s="87">
        <f t="shared" ca="1" si="3"/>
        <v>375</v>
      </c>
      <c r="S26" s="87">
        <f t="shared" ca="1" si="3"/>
        <v>375</v>
      </c>
    </row>
    <row r="27" spans="1:19" x14ac:dyDescent="0.2">
      <c r="A27" s="20" t="s">
        <v>818</v>
      </c>
      <c r="B27" s="20"/>
      <c r="C27" s="20"/>
      <c r="D27" s="90">
        <f ca="1">MIN( SUM($D21:D21)+SUM($D23:D23)+SUM($D25:D25), SUM($D21:D21)/INDEX(Assumptions!$B:$B, MATCH("Starship facility useful life (years)", Assumptions!$A$1:$A$327, 0)) + SUM($D23:D23)/INDEX(Assumptions!$B:$B, MATCH("Engine facility useful life (years)", Assumptions!$A$1:$A$327, 0)) + SUM($D25:D25)/INDEX(Assumptions!$B:$B, MATCH("Launch pad useful life (years)", Assumptions!$A$1:$A$327, 0)) )+D52</f>
        <v>25</v>
      </c>
      <c r="E27" s="90">
        <f ca="1">MIN( SUM($D21:E21)+SUM($D23:E23)+SUM($D25:E25), SUM($D21:E21)/INDEX(Assumptions!$B:$B, MATCH("Starship facility useful life (years)", Assumptions!$A$1:$A$327, 0)) + SUM($D23:E23)/INDEX(Assumptions!$B:$B, MATCH("Engine facility useful life (years)", Assumptions!$A$1:$A$327, 0)) + SUM($D25:E25)/INDEX(Assumptions!$B:$B, MATCH("Launch pad useful life (years)", Assumptions!$A$1:$A$327, 0)) )+E52</f>
        <v>50</v>
      </c>
      <c r="F27" s="90">
        <f ca="1">MIN( SUM($D21:F21)+SUM($D23:F23)+SUM($D25:F25), SUM($D21:F21)/INDEX(Assumptions!$B:$B, MATCH("Starship facility useful life (years)", Assumptions!$A$1:$A$327, 0)) + SUM($D23:F23)/INDEX(Assumptions!$B:$B, MATCH("Engine facility useful life (years)", Assumptions!$A$1:$A$327, 0)) + SUM($D25:F25)/INDEX(Assumptions!$B:$B, MATCH("Launch pad useful life (years)", Assumptions!$A$1:$A$327, 0)) )+F52</f>
        <v>62.5</v>
      </c>
      <c r="G27" s="90">
        <f ca="1">MIN( SUM($D21:G21)+SUM($D23:G23)+SUM($D25:G25), SUM($D21:G21)/INDEX(Assumptions!$B:$B, MATCH("Starship facility useful life (years)", Assumptions!$A$1:$A$327, 0)) + SUM($D23:G23)/INDEX(Assumptions!$B:$B, MATCH("Engine facility useful life (years)", Assumptions!$A$1:$A$327, 0)) + SUM($D25:G25)/INDEX(Assumptions!$B:$B, MATCH("Launch pad useful life (years)", Assumptions!$A$1:$A$327, 0)) )+G52</f>
        <v>78.213333333333338</v>
      </c>
      <c r="H27" s="90">
        <f ca="1">MIN( SUM($D21:H21)+SUM($D23:H23)+SUM($D25:H25), SUM($D21:H21)/INDEX(Assumptions!$B:$B, MATCH("Starship facility useful life (years)", Assumptions!$A$1:$A$327, 0)) + SUM($D23:H23)/INDEX(Assumptions!$B:$B, MATCH("Engine facility useful life (years)", Assumptions!$A$1:$A$327, 0)) + SUM($D25:H25)/INDEX(Assumptions!$B:$B, MATCH("Launch pad useful life (years)", Assumptions!$A$1:$A$327, 0)) )+H52</f>
        <v>107.94666666666666</v>
      </c>
      <c r="I27" s="90">
        <f ca="1">MIN( SUM($D21:I21)+SUM($D23:I23)+SUM($D25:I25), SUM($D21:I21)/INDEX(Assumptions!$B:$B, MATCH("Starship facility useful life (years)", Assumptions!$A$1:$A$327, 0)) + SUM($D23:I23)/INDEX(Assumptions!$B:$B, MATCH("Engine facility useful life (years)", Assumptions!$A$1:$A$327, 0)) + SUM($D25:I25)/INDEX(Assumptions!$B:$B, MATCH("Launch pad useful life (years)", Assumptions!$A$1:$A$327, 0)) )+I52</f>
        <v>137.68</v>
      </c>
      <c r="J27" s="90">
        <f ca="1">MIN( SUM($D21:J21)+SUM($D23:J23)+SUM($D25:J25), SUM($D21:J21)/INDEX(Assumptions!$B:$B, MATCH("Starship facility useful life (years)", Assumptions!$A$1:$A$327, 0)) + SUM($D23:J23)/INDEX(Assumptions!$B:$B, MATCH("Engine facility useful life (years)", Assumptions!$A$1:$A$327, 0)) + SUM($D25:J25)/INDEX(Assumptions!$B:$B, MATCH("Launch pad useful life (years)", Assumptions!$A$1:$A$327, 0)) )+J52</f>
        <v>174.07999999999998</v>
      </c>
      <c r="K27" s="90">
        <f ca="1">MIN( SUM($D21:K21)+SUM($D23:K23)+SUM($D25:K25), SUM($D21:K21)/INDEX(Assumptions!$B:$B, MATCH("Starship facility useful life (years)", Assumptions!$A$1:$A$327, 0)) + SUM($D23:K23)/INDEX(Assumptions!$B:$B, MATCH("Engine facility useful life (years)", Assumptions!$A$1:$A$327, 0)) + SUM($D25:K25)/INDEX(Assumptions!$B:$B, MATCH("Launch pad useful life (years)", Assumptions!$A$1:$A$327, 0)) )+K52</f>
        <v>199.91333333333333</v>
      </c>
      <c r="L27" s="90">
        <f ca="1">MIN( SUM($D21:L21)+SUM($D23:L23)+SUM($D25:L25), SUM($D21:L21)/INDEX(Assumptions!$B:$B, MATCH("Starship facility useful life (years)", Assumptions!$A$1:$A$327, 0)) + SUM($D23:L23)/INDEX(Assumptions!$B:$B, MATCH("Engine facility useful life (years)", Assumptions!$A$1:$A$327, 0)) + SUM($D25:L25)/INDEX(Assumptions!$B:$B, MATCH("Launch pad useful life (years)", Assumptions!$A$1:$A$327, 0)) )+L52</f>
        <v>219.07999999999998</v>
      </c>
      <c r="M27" s="90">
        <f ca="1">MIN( SUM($D21:M21)+SUM($D23:M23)+SUM($D25:M25), SUM($D21:M21)/INDEX(Assumptions!$B:$B, MATCH("Starship facility useful life (years)", Assumptions!$A$1:$A$327, 0)) + SUM($D23:M23)/INDEX(Assumptions!$B:$B, MATCH("Engine facility useful life (years)", Assumptions!$A$1:$A$327, 0)) + SUM($D25:M25)/INDEX(Assumptions!$B:$B, MATCH("Launch pad useful life (years)", Assumptions!$A$1:$A$327, 0)) )+M52</f>
        <v>258.24666666666667</v>
      </c>
      <c r="N27" s="90">
        <f ca="1">MIN( SUM($D21:N21)+SUM($D23:N23)+SUM($D25:N25), SUM($D21:N21)/INDEX(Assumptions!$B:$B, MATCH("Starship facility useful life (years)", Assumptions!$A$1:$A$327, 0)) + SUM($D23:N23)/INDEX(Assumptions!$B:$B, MATCH("Engine facility useful life (years)", Assumptions!$A$1:$A$327, 0)) + SUM($D25:N25)/INDEX(Assumptions!$B:$B, MATCH("Launch pad useful life (years)", Assumptions!$A$1:$A$327, 0)) )+N52</f>
        <v>284.08</v>
      </c>
      <c r="O27" s="90">
        <f ca="1">MIN( SUM($D21:O21)+SUM($D23:O23)+SUM($D25:O25), SUM($D21:O21)/INDEX(Assumptions!$B:$B, MATCH("Starship facility useful life (years)", Assumptions!$A$1:$A$327, 0)) + SUM($D23:O23)/INDEX(Assumptions!$B:$B, MATCH("Engine facility useful life (years)", Assumptions!$A$1:$A$327, 0)) + SUM($D25:O25)/INDEX(Assumptions!$B:$B, MATCH("Launch pad useful life (years)", Assumptions!$A$1:$A$327, 0)) )+O52</f>
        <v>329.9133333333333</v>
      </c>
      <c r="P27" s="90">
        <f ca="1">MIN( SUM($D21:P21)+SUM($D23:P23)+SUM($D25:P25), SUM($D21:P21)/INDEX(Assumptions!$B:$B, MATCH("Starship facility useful life (years)", Assumptions!$A$1:$A$327, 0)) + SUM($D23:P23)/INDEX(Assumptions!$B:$B, MATCH("Engine facility useful life (years)", Assumptions!$A$1:$A$327, 0)) + SUM($D25:P25)/INDEX(Assumptions!$B:$B, MATCH("Launch pad useful life (years)", Assumptions!$A$1:$A$327, 0)) )+P52</f>
        <v>342.4133333333333</v>
      </c>
      <c r="Q27" s="90">
        <f ca="1">MIN( SUM($D21:Q21)+SUM($D23:Q23)+SUM($D25:Q25), SUM($D21:Q21)/INDEX(Assumptions!$B:$B, MATCH("Starship facility useful life (years)", Assumptions!$A$1:$A$327, 0)) + SUM($D23:Q23)/INDEX(Assumptions!$B:$B, MATCH("Engine facility useful life (years)", Assumptions!$A$1:$A$327, 0)) + SUM($D25:Q25)/INDEX(Assumptions!$B:$B, MATCH("Launch pad useful life (years)", Assumptions!$A$1:$A$327, 0)) )+Q52</f>
        <v>354.9133333333333</v>
      </c>
      <c r="R27" s="90">
        <f ca="1">MIN( SUM($D21:R21)+SUM($D23:R23)+SUM($D25:R25), SUM($D21:R21)/INDEX(Assumptions!$B:$B, MATCH("Starship facility useful life (years)", Assumptions!$A$1:$A$327, 0)) + SUM($D23:R23)/INDEX(Assumptions!$B:$B, MATCH("Engine facility useful life (years)", Assumptions!$A$1:$A$327, 0)) + SUM($D25:R25)/INDEX(Assumptions!$B:$B, MATCH("Launch pad useful life (years)", Assumptions!$A$1:$A$327, 0)) )+R52</f>
        <v>367.4133333333333</v>
      </c>
      <c r="S27" s="90">
        <f ca="1">MIN( SUM($D21:S21)+SUM($D23:S23)+SUM($D25:S25), SUM($D21:S21)/INDEX(Assumptions!$B:$B, MATCH("Starship facility useful life (years)", Assumptions!$A$1:$A$327, 0)) + SUM($D23:S23)/INDEX(Assumptions!$B:$B, MATCH("Engine facility useful life (years)", Assumptions!$A$1:$A$327, 0)) + SUM($D25:S25)/INDEX(Assumptions!$B:$B, MATCH("Launch pad useful life (years)", Assumptions!$A$1:$A$327, 0)) )+S52</f>
        <v>379.9133333333333</v>
      </c>
    </row>
    <row r="28" spans="1:19" x14ac:dyDescent="0.2">
      <c r="A28" s="170" t="s">
        <v>1349</v>
      </c>
      <c r="B28" s="8"/>
      <c r="C28" s="8"/>
      <c r="D28" s="66">
        <f ca="1">MAX(INDEX(Assumptions!$B:$B,MATCH("Engine facility base capacity 2025 (engines/yr)",Assumptions!$A:$A,0)), D22)</f>
        <v>1000</v>
      </c>
      <c r="E28" s="67">
        <f t="shared" ref="E28:S28" ca="1" si="4">MAX(D28, E22)</f>
        <v>1000</v>
      </c>
      <c r="F28" s="67">
        <f t="shared" ca="1" si="4"/>
        <v>1000</v>
      </c>
      <c r="G28" s="67">
        <f t="shared" ca="1" si="4"/>
        <v>1482</v>
      </c>
      <c r="H28" s="67">
        <f t="shared" ca="1" si="4"/>
        <v>2067</v>
      </c>
      <c r="I28" s="67">
        <f t="shared" ca="1" si="4"/>
        <v>2652</v>
      </c>
      <c r="J28" s="67">
        <f t="shared" ca="1" si="4"/>
        <v>3237</v>
      </c>
      <c r="K28" s="67">
        <f t="shared" ca="1" si="4"/>
        <v>3237</v>
      </c>
      <c r="L28" s="67">
        <f t="shared" ca="1" si="4"/>
        <v>3237</v>
      </c>
      <c r="M28" s="67">
        <f t="shared" ca="1" si="4"/>
        <v>3237</v>
      </c>
      <c r="N28" s="67">
        <f t="shared" ca="1" si="4"/>
        <v>3237</v>
      </c>
      <c r="O28" s="67">
        <f t="shared" ca="1" si="4"/>
        <v>3237</v>
      </c>
      <c r="P28" s="67">
        <f t="shared" ca="1" si="4"/>
        <v>3237</v>
      </c>
      <c r="Q28" s="67">
        <f t="shared" ca="1" si="4"/>
        <v>3237</v>
      </c>
      <c r="R28" s="67">
        <f t="shared" ca="1" si="4"/>
        <v>3237</v>
      </c>
      <c r="S28" s="67">
        <f t="shared" ca="1" si="4"/>
        <v>3237</v>
      </c>
    </row>
    <row r="29" spans="1:19" x14ac:dyDescent="0.2">
      <c r="A29" s="170" t="s">
        <v>1350</v>
      </c>
      <c r="B29" s="8"/>
      <c r="C29" s="8"/>
      <c r="D29" s="66">
        <f ca="1">MAX(INDEX(Assumptions!$B:$B,MATCH("Launch pads base in service 2025 (Starship-capable)",Assumptions!$A:$A,0)), ROUNDUP(D24,0))</f>
        <v>2</v>
      </c>
      <c r="E29" s="67">
        <f t="shared" ref="E29:S29" ca="1" si="5">MAX(D29, ROUNDUP(E24,0))</f>
        <v>2</v>
      </c>
      <c r="F29" s="67">
        <f t="shared" ca="1" si="5"/>
        <v>2</v>
      </c>
      <c r="G29" s="67">
        <f t="shared" ca="1" si="5"/>
        <v>2</v>
      </c>
      <c r="H29" s="67">
        <f t="shared" ca="1" si="5"/>
        <v>4</v>
      </c>
      <c r="I29" s="67">
        <f t="shared" ca="1" si="5"/>
        <v>6</v>
      </c>
      <c r="J29" s="67">
        <f t="shared" ca="1" si="5"/>
        <v>9</v>
      </c>
      <c r="K29" s="67">
        <f t="shared" ca="1" si="5"/>
        <v>11</v>
      </c>
      <c r="L29" s="67">
        <f t="shared" ca="1" si="5"/>
        <v>12</v>
      </c>
      <c r="M29" s="67">
        <f t="shared" ca="1" si="5"/>
        <v>16</v>
      </c>
      <c r="N29" s="67">
        <f t="shared" ca="1" si="5"/>
        <v>18</v>
      </c>
      <c r="O29" s="67">
        <f t="shared" ca="1" si="5"/>
        <v>23</v>
      </c>
      <c r="P29" s="67">
        <f t="shared" ca="1" si="5"/>
        <v>23</v>
      </c>
      <c r="Q29" s="67">
        <f t="shared" ca="1" si="5"/>
        <v>23</v>
      </c>
      <c r="R29" s="67">
        <f t="shared" ca="1" si="5"/>
        <v>23</v>
      </c>
      <c r="S29" s="67">
        <f t="shared" ca="1" si="5"/>
        <v>23</v>
      </c>
    </row>
    <row r="30" spans="1:19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168" t="s">
        <v>1496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x14ac:dyDescent="0.2">
      <c r="A32" s="22" t="s">
        <v>1351</v>
      </c>
      <c r="B32" s="8"/>
      <c r="C32" s="8"/>
      <c r="D32" s="66" cm="1">
        <f t="array" ref="D32">(IF(D$4=2025,IFERROR(INDEX(Starlink!$D:$AC,MATCH("BB net adds (M)",Starlink!$A:$A,0),D$5+1),0),IFERROR(INDEX(Starlink!$D:$AC,MATCH("BB net adds (M)",Starlink!$A:$A,0),D$5),0)))*1000000*INDEX(Assumptions!$B:$B,MATCH("Terminal kits per net subscriber add",Assumptions!$A:$A,0))+C35*INDEX(Assumptions!$B:$B,MATCH("Terminal replacement rate (% installed/yr)",Assumptions!$A:$A,0))</f>
        <v>2514835.9577777777</v>
      </c>
      <c r="E32" s="66" cm="1">
        <f t="array" ref="E32">(IF(E$4=2025,IFERROR(INDEX(Starlink!$D:$AC,MATCH("BB net adds (M)",Starlink!$A:$A,0),E$5+1),0),IFERROR(INDEX(Starlink!$D:$AC,MATCH("BB net adds (M)",Starlink!$A:$A,0),E$5),0)))*1000000*INDEX(Assumptions!$B:$B,MATCH("Terminal kits per net subscriber add",Assumptions!$A:$A,0))+D35*INDEX(Assumptions!$B:$B,MATCH("Terminal replacement rate (% installed/yr)",Assumptions!$A:$A,0))</f>
        <v>2766319.5535555556</v>
      </c>
      <c r="F32" s="66" cm="1">
        <f t="array" aca="1" ref="F32" ca="1">(IF(F$4=2025,IFERROR(INDEX(Starlink!$D:$AC,MATCH("BB net adds (M)",Starlink!$A:$A,0),F$5+1),0),IFERROR(INDEX(Starlink!$D:$AC,MATCH("BB net adds (M)",Starlink!$A:$A,0),F$5),0)))*1000000*INDEX(Assumptions!$B:$B,MATCH("Terminal kits per net subscriber add",Assumptions!$A:$A,0))+E35*INDEX(Assumptions!$B:$B,MATCH("Terminal replacement rate (% installed/yr)",Assumptions!$A:$A,0))</f>
        <v>3722843.7023807992</v>
      </c>
      <c r="G32" s="66" cm="1">
        <f t="array" aca="1" ref="G32" ca="1">(IF(G$4=2025,IFERROR(INDEX(Starlink!$D:$AC,MATCH("BB net adds (M)",Starlink!$A:$A,0),G$5+1),0),IFERROR(INDEX(Starlink!$D:$AC,MATCH("BB net adds (M)",Starlink!$A:$A,0),G$5),0)))*1000000*INDEX(Assumptions!$B:$B,MATCH("Terminal kits per net subscriber add",Assumptions!$A:$A,0))+F35*INDEX(Assumptions!$B:$B,MATCH("Terminal replacement rate (% installed/yr)",Assumptions!$A:$A,0))</f>
        <v>34599557.015874982</v>
      </c>
      <c r="H32" s="66" cm="1">
        <f t="array" aca="1" ref="H32" ca="1">(IF(H$4=2025,IFERROR(INDEX(Starlink!$D:$AC,MATCH("BB net adds (M)",Starlink!$A:$A,0),H$5+1),0),IFERROR(INDEX(Starlink!$D:$AC,MATCH("BB net adds (M)",Starlink!$A:$A,0),H$5),0)))*1000000*INDEX(Assumptions!$B:$B,MATCH("Terminal kits per net subscriber add",Assumptions!$A:$A,0))+G35*INDEX(Assumptions!$B:$B,MATCH("Terminal replacement rate (% installed/yr)",Assumptions!$A:$A,0))</f>
        <v>58890903.70653519</v>
      </c>
      <c r="I32" s="66" cm="1">
        <f t="array" aca="1" ref="I32" ca="1">(IF(I$4=2025,IFERROR(INDEX(Starlink!$D:$AC,MATCH("BB net adds (M)",Starlink!$A:$A,0),I$5+1),0),IFERROR(INDEX(Starlink!$D:$AC,MATCH("BB net adds (M)",Starlink!$A:$A,0),I$5),0)))*1000000*INDEX(Assumptions!$B:$B,MATCH("Terminal kits per net subscriber add",Assumptions!$A:$A,0))+H35*INDEX(Assumptions!$B:$B,MATCH("Terminal replacement rate (% installed/yr)",Assumptions!$A:$A,0))</f>
        <v>85749729.703282967</v>
      </c>
      <c r="J32" s="66" cm="1">
        <f t="array" aca="1" ref="J32" ca="1">(IF(J$4=2025,IFERROR(INDEX(Starlink!$D:$AC,MATCH("BB net adds (M)",Starlink!$A:$A,0),J$5+1),0),IFERROR(INDEX(Starlink!$D:$AC,MATCH("BB net adds (M)",Starlink!$A:$A,0),J$5),0)))*1000000*INDEX(Assumptions!$B:$B,MATCH("Terminal kits per net subscriber add",Assumptions!$A:$A,0))+I35*INDEX(Assumptions!$B:$B,MATCH("Terminal replacement rate (% installed/yr)",Assumptions!$A:$A,0))</f>
        <v>66381360.914313972</v>
      </c>
      <c r="K32" s="66" cm="1">
        <f t="array" aca="1" ref="K32" ca="1">(IF(K$4=2025,IFERROR(INDEX(Starlink!$D:$AC,MATCH("BB net adds (M)",Starlink!$A:$A,0),K$5+1),0),IFERROR(INDEX(Starlink!$D:$AC,MATCH("BB net adds (M)",Starlink!$A:$A,0),K$5),0)))*1000000*INDEX(Assumptions!$B:$B,MATCH("Terminal kits per net subscriber add",Assumptions!$A:$A,0))+J35*INDEX(Assumptions!$B:$B,MATCH("Terminal replacement rate (% installed/yr)",Assumptions!$A:$A,0))</f>
        <v>69245170.952846736</v>
      </c>
      <c r="L32" s="66" cm="1">
        <f t="array" aca="1" ref="L32" ca="1">(IF(L$4=2025,IFERROR(INDEX(Starlink!$D:$AC,MATCH("BB net adds (M)",Starlink!$A:$A,0),L$5+1),0),IFERROR(INDEX(Starlink!$D:$AC,MATCH("BB net adds (M)",Starlink!$A:$A,0),L$5),0)))*1000000*INDEX(Assumptions!$B:$B,MATCH("Terminal kits per net subscriber add",Assumptions!$A:$A,0))+K35*INDEX(Assumptions!$B:$B,MATCH("Terminal replacement rate (% installed/yr)",Assumptions!$A:$A,0))</f>
        <v>35571915.799715094</v>
      </c>
      <c r="M32" s="66" cm="1">
        <f t="array" aca="1" ref="M32" ca="1">(IF(M$4=2025,IFERROR(INDEX(Starlink!$D:$AC,MATCH("BB net adds (M)",Starlink!$A:$A,0),M$5+1),0),IFERROR(INDEX(Starlink!$D:$AC,MATCH("BB net adds (M)",Starlink!$A:$A,0),M$5),0)))*1000000*INDEX(Assumptions!$B:$B,MATCH("Terminal kits per net subscriber add",Assumptions!$A:$A,0))+L35*INDEX(Assumptions!$B:$B,MATCH("Terminal replacement rate (% installed/yr)",Assumptions!$A:$A,0))</f>
        <v>31834512.273827095</v>
      </c>
      <c r="N32" s="66" cm="1">
        <f t="array" aca="1" ref="N32" ca="1">(IF(N$4=2025,IFERROR(INDEX(Starlink!$D:$AC,MATCH("BB net adds (M)",Starlink!$A:$A,0),N$5+1),0),IFERROR(INDEX(Starlink!$D:$AC,MATCH("BB net adds (M)",Starlink!$A:$A,0),N$5),0)))*1000000*INDEX(Assumptions!$B:$B,MATCH("Terminal kits per net subscriber add",Assumptions!$A:$A,0))+M35*INDEX(Assumptions!$B:$B,MATCH("Terminal replacement rate (% installed/yr)",Assumptions!$A:$A,0))</f>
        <v>30355904.263899382</v>
      </c>
      <c r="O32" s="66" cm="1">
        <f t="array" aca="1" ref="O32" ca="1">(IF(O$4=2025,IFERROR(INDEX(Starlink!$D:$AC,MATCH("BB net adds (M)",Starlink!$A:$A,0),O$5+1),0),IFERROR(INDEX(Starlink!$D:$AC,MATCH("BB net adds (M)",Starlink!$A:$A,0),O$5),0)))*1000000*INDEX(Assumptions!$B:$B,MATCH("Terminal kits per net subscriber add",Assumptions!$A:$A,0))+N35*INDEX(Assumptions!$B:$B,MATCH("Terminal replacement rate (% installed/yr)",Assumptions!$A:$A,0))</f>
        <v>43146411.794295877</v>
      </c>
      <c r="P32" s="66" cm="1">
        <f t="array" aca="1" ref="P32" ca="1">(IF(P$4=2025,IFERROR(INDEX(Starlink!$D:$AC,MATCH("BB net adds (M)",Starlink!$A:$A,0),P$5+1),0),IFERROR(INDEX(Starlink!$D:$AC,MATCH("BB net adds (M)",Starlink!$A:$A,0),P$5),0)))*1000000*INDEX(Assumptions!$B:$B,MATCH("Terminal kits per net subscriber add",Assumptions!$A:$A,0))+O35*INDEX(Assumptions!$B:$B,MATCH("Terminal replacement rate (% installed/yr)",Assumptions!$A:$A,0))</f>
        <v>43448658.72991851</v>
      </c>
      <c r="Q32" s="66" cm="1">
        <f t="array" aca="1" ref="Q32" ca="1">(IF(Q$4=2025,IFERROR(INDEX(Starlink!$D:$AC,MATCH("BB net adds (M)",Starlink!$A:$A,0),Q$5+1),0),IFERROR(INDEX(Starlink!$D:$AC,MATCH("BB net adds (M)",Starlink!$A:$A,0),Q$5),0)))*1000000*INDEX(Assumptions!$B:$B,MATCH("Terminal kits per net subscriber add",Assumptions!$A:$A,0))+P35*INDEX(Assumptions!$B:$B,MATCH("Terminal replacement rate (% installed/yr)",Assumptions!$A:$A,0))</f>
        <v>43091485.220961988</v>
      </c>
      <c r="R32" s="66" cm="1">
        <f t="array" aca="1" ref="R32" ca="1">(IF(R$4=2025,IFERROR(INDEX(Starlink!$D:$AC,MATCH("BB net adds (M)",Starlink!$A:$A,0),R$5+1),0),IFERROR(INDEX(Starlink!$D:$AC,MATCH("BB net adds (M)",Starlink!$A:$A,0),R$5),0)))*1000000*INDEX(Assumptions!$B:$B,MATCH("Terminal kits per net subscriber add",Assumptions!$A:$A,0))+Q35*INDEX(Assumptions!$B:$B,MATCH("Terminal replacement rate (% installed/yr)",Assumptions!$A:$A,0))</f>
        <v>31756042.955471564</v>
      </c>
      <c r="S32" s="66" cm="1">
        <f t="array" aca="1" ref="S32" ca="1">(IF(S$4=2025,IFERROR(INDEX(Starlink!$D:$AC,MATCH("BB net adds (M)",Starlink!$A:$A,0),S$5+1),0),IFERROR(INDEX(Starlink!$D:$AC,MATCH("BB net adds (M)",Starlink!$A:$A,0),S$5),0)))*1000000*INDEX(Assumptions!$B:$B,MATCH("Terminal kits per net subscriber add",Assumptions!$A:$A,0))+R35*INDEX(Assumptions!$B:$B,MATCH("Terminal replacement rate (% installed/yr)",Assumptions!$A:$A,0))</f>
        <v>25656838.993983679</v>
      </c>
    </row>
    <row r="33" spans="1:19" x14ac:dyDescent="0.2">
      <c r="A33" s="22" t="s">
        <v>819</v>
      </c>
      <c r="B33" s="8"/>
      <c r="C33" s="8"/>
      <c r="D33" s="62">
        <f>IFERROR(MAX(0, D32-D32)/INDEX(Assumptions!$B:$B,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E33" s="62">
        <f>IFERROR(MAX(0, E32-E35)/INDEX(Assumptions!$B:$B,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8.2841655079738619</v>
      </c>
      <c r="F33" s="62">
        <f ca="1">IFERROR(MAX(0, F32-F35)/INDEX(Assumptions!$B:$B,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31.509030784831552</v>
      </c>
      <c r="G33" s="62">
        <f ca="1">IFERROR(MAX(0, G32-G35)/INDEX(Assumptions!$B:$B,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1017.1152620915731</v>
      </c>
      <c r="H33" s="62">
        <f ca="1">IFERROR(MAX(0, H32-H35)/INDEX(Assumptions!$B:$B,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800.18553804527744</v>
      </c>
      <c r="I33" s="62">
        <f ca="1">IFERROR(MAX(0, I32-I35)/INDEX(Assumptions!$B:$B,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884.76132695169156</v>
      </c>
      <c r="J33" s="62">
        <f ca="1">IFERROR(MAX(0, J32-J35)/INDEX(Assumptions!$B:$B,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K33" s="62">
        <f ca="1">IFERROR(MAX(0, K32-K35)/INDEX(Assumptions!$B:$B,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L33" s="62">
        <f ca="1">IFERROR(MAX(0, L32-L35)/INDEX(Assumptions!$B:$B,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M33" s="62">
        <f ca="1">IFERROR(MAX(0, M32-M35)/INDEX(Assumptions!$B:$B,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N33" s="62">
        <f ca="1">IFERROR(MAX(0, N32-N35)/INDEX(Assumptions!$B:$B,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O33" s="62">
        <f ca="1">IFERROR(MAX(0, O32-O35)/INDEX(Assumptions!$B:$B,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P33" s="62">
        <f ca="1">IFERROR(MAX(0, P32-P35)/INDEX(Assumptions!$B:$B,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Q33" s="62">
        <f ca="1">IFERROR(MAX(0, Q32-Q35)/INDEX(Assumptions!$B:$B,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R33" s="62">
        <f ca="1">IFERROR(MAX(0, R32-R35)/INDEX(Assumptions!$B:$B,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  <c r="S33" s="62">
        <f ca="1">IFERROR(MAX(0, S32-S35)/INDEX(Assumptions!$B:$B, MATCH("Terminal factory capacity (kits/yr per increment)", Assumptions!$A$1:$A$327, 0)) * INDEX(Assumptions!$B:$B, MATCH("Terminal factory cost per capacity increment ($mm)", Assumptions!$A$1:$A$327, 0)), 0) * INDEX(Assumptions!$B:$B, MATCH("Terminal factory CapEx toggle (1=on,0=off)", Assumptions!$A$1:$A$327, 0))</f>
        <v>0</v>
      </c>
    </row>
    <row r="34" spans="1:19" x14ac:dyDescent="0.2">
      <c r="A34" s="23" t="s">
        <v>820</v>
      </c>
      <c r="B34" s="8"/>
      <c r="C34" s="8"/>
      <c r="D34" s="62">
        <f>MIN( SUM($D33:D33), SUM($D33:D33)/INDEX(Assumptions!$B:$B, MATCH("Terminal factory useful life (years)", Assumptions!$A$1:$A$327, 0)) )</f>
        <v>0</v>
      </c>
      <c r="E34" s="62">
        <f>MIN( SUM($D33:E33), SUM($D33:E33)/INDEX(Assumptions!$B:$B, MATCH("Terminal factory useful life (years)", Assumptions!$A$1:$A$327, 0)) )</f>
        <v>0.41420827539869309</v>
      </c>
      <c r="F34" s="62">
        <f ca="1">MIN( SUM($D33:F33), SUM($D33:F33)/INDEX(Assumptions!$B:$B, MATCH("Terminal factory useful life (years)", Assumptions!$A$1:$A$327, 0)) )</f>
        <v>1.9896598146402706</v>
      </c>
      <c r="G34" s="62">
        <f ca="1">MIN( SUM($D33:G33), SUM($D33:G33)/INDEX(Assumptions!$B:$B, MATCH("Terminal factory useful life (years)", Assumptions!$A$1:$A$327, 0)) )</f>
        <v>52.845422919218926</v>
      </c>
      <c r="H34" s="62">
        <f ca="1">MIN( SUM($D33:H33), SUM($D33:H33)/INDEX(Assumptions!$B:$B, MATCH("Terminal factory useful life (years)", Assumptions!$A$1:$A$327, 0)) )</f>
        <v>92.854699821482797</v>
      </c>
      <c r="I34" s="62">
        <f ca="1">MIN( SUM($D33:I33), SUM($D33:I33)/INDEX(Assumptions!$B:$B, MATCH("Terminal factory useful life (years)", Assumptions!$A$1:$A$327, 0)) )</f>
        <v>137.09276616906737</v>
      </c>
      <c r="J34" s="62">
        <f ca="1">MIN( SUM($D33:J33), SUM($D33:J33)/INDEX(Assumptions!$B:$B, MATCH("Terminal factory useful life (years)", Assumptions!$A$1:$A$327, 0)) )</f>
        <v>137.09276616906737</v>
      </c>
      <c r="K34" s="62">
        <f ca="1">MIN( SUM($D33:K33), SUM($D33:K33)/INDEX(Assumptions!$B:$B, MATCH("Terminal factory useful life (years)", Assumptions!$A$1:$A$327, 0)) )</f>
        <v>137.09276616906737</v>
      </c>
      <c r="L34" s="62">
        <f ca="1">MIN( SUM($D33:L33), SUM($D33:L33)/INDEX(Assumptions!$B:$B, MATCH("Terminal factory useful life (years)", Assumptions!$A$1:$A$327, 0)) )</f>
        <v>137.09276616906737</v>
      </c>
      <c r="M34" s="62">
        <f ca="1">MIN( SUM($D33:M33), SUM($D33:M33)/INDEX(Assumptions!$B:$B, MATCH("Terminal factory useful life (years)", Assumptions!$A$1:$A$327, 0)) )</f>
        <v>137.09276616906737</v>
      </c>
      <c r="N34" s="62">
        <f ca="1">MIN( SUM($D33:N33), SUM($D33:N33)/INDEX(Assumptions!$B:$B, MATCH("Terminal factory useful life (years)", Assumptions!$A$1:$A$327, 0)) )</f>
        <v>137.09276616906737</v>
      </c>
      <c r="O34" s="62">
        <f ca="1">MIN( SUM($D33:O33), SUM($D33:O33)/INDEX(Assumptions!$B:$B, MATCH("Terminal factory useful life (years)", Assumptions!$A$1:$A$327, 0)) )</f>
        <v>137.09276616906737</v>
      </c>
      <c r="P34" s="62">
        <f ca="1">MIN( SUM($D33:P33), SUM($D33:P33)/INDEX(Assumptions!$B:$B, MATCH("Terminal factory useful life (years)", Assumptions!$A$1:$A$327, 0)) )</f>
        <v>137.09276616906737</v>
      </c>
      <c r="Q34" s="62">
        <f ca="1">MIN( SUM($D33:Q33), SUM($D33:Q33)/INDEX(Assumptions!$B:$B, MATCH("Terminal factory useful life (years)", Assumptions!$A$1:$A$327, 0)) )</f>
        <v>137.09276616906737</v>
      </c>
      <c r="R34" s="62">
        <f ca="1">MIN( SUM($D33:R33), SUM($D33:R33)/INDEX(Assumptions!$B:$B, MATCH("Terminal factory useful life (years)", Assumptions!$A$1:$A$327, 0)) )</f>
        <v>137.09276616906737</v>
      </c>
      <c r="S34" s="62">
        <f ca="1">MIN( SUM($D33:S33), SUM($D33:S33)/INDEX(Assumptions!$B:$B, MATCH("Terminal factory useful life (years)", Assumptions!$A$1:$A$327, 0)) )</f>
        <v>137.09276616906737</v>
      </c>
    </row>
    <row r="35" spans="1:19" x14ac:dyDescent="0.2">
      <c r="A35" s="170" t="s">
        <v>1352</v>
      </c>
      <c r="B35" s="8"/>
      <c r="C35" s="8"/>
      <c r="D35" s="76">
        <f>D32</f>
        <v>2514835.9577777777</v>
      </c>
      <c r="E35" s="76">
        <f t="shared" ref="E35:S35" si="6">D35+MAX(0, D32-D35)</f>
        <v>2514835.9577777777</v>
      </c>
      <c r="F35" s="76">
        <f t="shared" si="6"/>
        <v>2766319.5535555556</v>
      </c>
      <c r="G35" s="76">
        <f t="shared" ca="1" si="6"/>
        <v>3722843.7023807992</v>
      </c>
      <c r="H35" s="76">
        <f t="shared" ca="1" si="6"/>
        <v>34599557.015874982</v>
      </c>
      <c r="I35" s="76">
        <f t="shared" ca="1" si="6"/>
        <v>58890903.70653519</v>
      </c>
      <c r="J35" s="76">
        <f t="shared" ca="1" si="6"/>
        <v>85749729.703282967</v>
      </c>
      <c r="K35" s="76">
        <f t="shared" ca="1" si="6"/>
        <v>85749729.703282967</v>
      </c>
      <c r="L35" s="76">
        <f t="shared" ca="1" si="6"/>
        <v>85749729.703282967</v>
      </c>
      <c r="M35" s="76">
        <f t="shared" ca="1" si="6"/>
        <v>85749729.703282967</v>
      </c>
      <c r="N35" s="76">
        <f t="shared" ca="1" si="6"/>
        <v>85749729.703282967</v>
      </c>
      <c r="O35" s="76">
        <f t="shared" ca="1" si="6"/>
        <v>85749729.703282967</v>
      </c>
      <c r="P35" s="76">
        <f t="shared" ca="1" si="6"/>
        <v>85749729.703282967</v>
      </c>
      <c r="Q35" s="76">
        <f t="shared" ca="1" si="6"/>
        <v>85749729.703282967</v>
      </c>
      <c r="R35" s="76">
        <f t="shared" ca="1" si="6"/>
        <v>85749729.703282967</v>
      </c>
      <c r="S35" s="76">
        <f t="shared" ca="1" si="6"/>
        <v>85749729.703282967</v>
      </c>
    </row>
    <row r="36" spans="1:19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">
      <c r="A37" s="168" t="s">
        <v>821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2">
      <c r="A38" s="217" t="s">
        <v>1353</v>
      </c>
      <c r="B38" s="20"/>
      <c r="C38" s="20"/>
      <c r="D38" s="90" cm="1">
        <f t="array" aca="1" ref="D38" ca="1">IFERROR(INDEX('Group P&amp;L'!$D:$AC, MATCH("Group Revenue ($mm)",'Group P&amp;L'!$A:$A,0), D$5+1), 0)</f>
        <v>14461.389830359478</v>
      </c>
      <c r="E38" s="90" cm="1">
        <f t="array" aca="1" ref="E38" ca="1">IFERROR(INDEX('Group P&amp;L'!$D:$AC, MATCH("Group Revenue ($mm)",'Group P&amp;L'!$A:$A,0), E$5+1), 0)</f>
        <v>23765.238531318886</v>
      </c>
      <c r="F38" s="90" cm="1">
        <f t="array" aca="1" ref="F38" ca="1">IFERROR(INDEX('Group P&amp;L'!$D:$AC, MATCH("Group Revenue ($mm)",'Group P&amp;L'!$A:$A,0), F$5+1), 0)</f>
        <v>76087.189602633283</v>
      </c>
      <c r="G38" s="90" cm="1">
        <f t="array" aca="1" ref="G38" ca="1">IFERROR(INDEX('Group P&amp;L'!$D:$AC, MATCH("Group Revenue ($mm)",'Group P&amp;L'!$A:$A,0), G$5+1), 0)</f>
        <v>132955.85061999588</v>
      </c>
      <c r="H38" s="90" cm="1">
        <f t="array" aca="1" ref="H38" ca="1">IFERROR(INDEX('Group P&amp;L'!$D:$AC, MATCH("Group Revenue ($mm)",'Group P&amp;L'!$A:$A,0), H$5+1), 0)</f>
        <v>210772.32801826874</v>
      </c>
      <c r="I38" s="90" cm="1">
        <f t="array" aca="1" ref="I38" ca="1">IFERROR(INDEX('Group P&amp;L'!$D:$AC, MATCH("Group Revenue ($mm)",'Group P&amp;L'!$A:$A,0), I$5+1), 0)</f>
        <v>285043.56240807043</v>
      </c>
      <c r="J38" s="90" cm="1">
        <f t="array" aca="1" ref="J38" ca="1">IFERROR(INDEX('Group P&amp;L'!$D:$AC, MATCH("Group Revenue ($mm)",'Group P&amp;L'!$A:$A,0), J$5+1), 0)</f>
        <v>389591.34862066183</v>
      </c>
      <c r="K38" s="90" cm="1">
        <f t="array" aca="1" ref="K38" ca="1">IFERROR(INDEX('Group P&amp;L'!$D:$AC, MATCH("Group Revenue ($mm)",'Group P&amp;L'!$A:$A,0), K$5+1), 0)</f>
        <v>459225.75897234323</v>
      </c>
      <c r="L38" s="90" cm="1">
        <f t="array" aca="1" ref="L38" ca="1">IFERROR(INDEX('Group P&amp;L'!$D:$AC, MATCH("Group Revenue ($mm)",'Group P&amp;L'!$A:$A,0), L$5+1), 0)</f>
        <v>496467.68253111665</v>
      </c>
      <c r="M38" s="90" cm="1">
        <f t="array" aca="1" ref="M38" ca="1">IFERROR(INDEX('Group P&amp;L'!$D:$AC, MATCH("Group Revenue ($mm)",'Group P&amp;L'!$A:$A,0), M$5+1), 0)</f>
        <v>550400.6674966662</v>
      </c>
      <c r="N38" s="90" cm="1">
        <f t="array" aca="1" ref="N38" ca="1">IFERROR(INDEX('Group P&amp;L'!$D:$AC, MATCH("Group Revenue ($mm)",'Group P&amp;L'!$A:$A,0), N$5+1), 0)</f>
        <v>654051.41670097481</v>
      </c>
      <c r="O38" s="90" cm="1">
        <f t="array" aca="1" ref="O38" ca="1">IFERROR(INDEX('Group P&amp;L'!$D:$AC, MATCH("Group Revenue ($mm)",'Group P&amp;L'!$A:$A,0), O$5+1), 0)</f>
        <v>807850.81816132064</v>
      </c>
      <c r="P38" s="90" cm="1">
        <f t="array" aca="1" ref="P38" ca="1">IFERROR(INDEX('Group P&amp;L'!$D:$AC, MATCH("Group Revenue ($mm)",'Group P&amp;L'!$A:$A,0), P$5+1), 0)</f>
        <v>996952.44438955234</v>
      </c>
      <c r="Q38" s="90" cm="1">
        <f t="array" aca="1" ref="Q38" ca="1">IFERROR(INDEX('Group P&amp;L'!$D:$AC, MATCH("Group Revenue ($mm)",'Group P&amp;L'!$A:$A,0), Q$5+1), 0)</f>
        <v>1173797.1249223978</v>
      </c>
      <c r="R38" s="90" cm="1">
        <f t="array" aca="1" ref="R38" ca="1">IFERROR(INDEX('Group P&amp;L'!$D:$AC, MATCH("Group Revenue ($mm)",'Group P&amp;L'!$A:$A,0), R$5+1), 0)</f>
        <v>1426058.1549557641</v>
      </c>
      <c r="S38" s="90" cm="1">
        <f t="array" aca="1" ref="S38" ca="1">IFERROR(INDEX('Group P&amp;L'!$D:$AC, MATCH("Group Revenue ($mm)",'Group P&amp;L'!$A:$A,0), S$5+1), 0)</f>
        <v>1761968.5708536203</v>
      </c>
    </row>
    <row r="39" spans="1:19" x14ac:dyDescent="0.2">
      <c r="A39" s="20" t="s">
        <v>822</v>
      </c>
      <c r="B39" s="20"/>
      <c r="C39" s="20"/>
      <c r="D39" s="90">
        <f ca="1">D38*INDEX(Assumptions!$B:$B, MATCH("HQ facility CapEx (% of revenue)", Assumptions!$A$1:$A$327, 0))</f>
        <v>72.306949151797397</v>
      </c>
      <c r="E39" s="90">
        <f ca="1">E38*INDEX(Assumptions!$B:$B, MATCH("HQ facility CapEx (% of revenue)", Assumptions!$A$1:$A$327, 0))</f>
        <v>118.82619265659443</v>
      </c>
      <c r="F39" s="90">
        <f ca="1">F38*INDEX(Assumptions!$B:$B, MATCH("HQ facility CapEx (% of revenue)", Assumptions!$A$1:$A$327, 0))</f>
        <v>380.43594801316641</v>
      </c>
      <c r="G39" s="90">
        <f ca="1">G38*INDEX(Assumptions!$B:$B, MATCH("HQ facility CapEx (% of revenue)", Assumptions!$A$1:$A$327, 0))</f>
        <v>664.77925309997943</v>
      </c>
      <c r="H39" s="90">
        <f ca="1">H38*INDEX(Assumptions!$B:$B, MATCH("HQ facility CapEx (% of revenue)", Assumptions!$A$1:$A$327, 0))</f>
        <v>1053.8616400913438</v>
      </c>
      <c r="I39" s="90">
        <f ca="1">I38*INDEX(Assumptions!$B:$B, MATCH("HQ facility CapEx (% of revenue)", Assumptions!$A$1:$A$327, 0))</f>
        <v>1425.2178120403521</v>
      </c>
      <c r="J39" s="90">
        <f ca="1">J38*INDEX(Assumptions!$B:$B, MATCH("HQ facility CapEx (% of revenue)", Assumptions!$A$1:$A$327, 0))</f>
        <v>1947.9567431033092</v>
      </c>
      <c r="K39" s="90">
        <f ca="1">K38*INDEX(Assumptions!$B:$B, MATCH("HQ facility CapEx (% of revenue)", Assumptions!$A$1:$A$327, 0))</f>
        <v>2296.1287948617164</v>
      </c>
      <c r="L39" s="90">
        <f ca="1">L38*INDEX(Assumptions!$B:$B, MATCH("HQ facility CapEx (% of revenue)", Assumptions!$A$1:$A$327, 0))</f>
        <v>2482.3384126555834</v>
      </c>
      <c r="M39" s="90">
        <f ca="1">M38*INDEX(Assumptions!$B:$B, MATCH("HQ facility CapEx (% of revenue)", Assumptions!$A$1:$A$327, 0))</f>
        <v>2752.0033374833311</v>
      </c>
      <c r="N39" s="90">
        <f ca="1">N38*INDEX(Assumptions!$B:$B, MATCH("HQ facility CapEx (% of revenue)", Assumptions!$A$1:$A$327, 0))</f>
        <v>3270.2570835048741</v>
      </c>
      <c r="O39" s="90">
        <f ca="1">O38*INDEX(Assumptions!$B:$B, MATCH("HQ facility CapEx (% of revenue)", Assumptions!$A$1:$A$327, 0))</f>
        <v>4039.2540908066035</v>
      </c>
      <c r="P39" s="90">
        <f ca="1">P38*INDEX(Assumptions!$B:$B, MATCH("HQ facility CapEx (% of revenue)", Assumptions!$A$1:$A$327, 0))</f>
        <v>4984.7622219477616</v>
      </c>
      <c r="Q39" s="90">
        <f ca="1">Q38*INDEX(Assumptions!$B:$B, MATCH("HQ facility CapEx (% of revenue)", Assumptions!$A$1:$A$327, 0))</f>
        <v>5868.9856246119889</v>
      </c>
      <c r="R39" s="90">
        <f ca="1">R38*INDEX(Assumptions!$B:$B, MATCH("HQ facility CapEx (% of revenue)", Assumptions!$A$1:$A$327, 0))</f>
        <v>7130.2907747788204</v>
      </c>
      <c r="S39" s="90">
        <f ca="1">S38*INDEX(Assumptions!$B:$B, MATCH("HQ facility CapEx (% of revenue)", Assumptions!$A$1:$A$327, 0))</f>
        <v>8809.8428542681013</v>
      </c>
    </row>
    <row r="40" spans="1:19" x14ac:dyDescent="0.2">
      <c r="A40" s="20" t="s">
        <v>823</v>
      </c>
      <c r="B40" s="20"/>
      <c r="C40" s="20"/>
      <c r="D40" s="90">
        <f ca="1">MIN( SUM($D39:D39), SUM($D39:D39)/INDEX(Assumptions!$B:$B, MATCH("HQ facility useful life (years)", Assumptions!$A$1:$A$327, 0)) )</f>
        <v>2.4102316383932467</v>
      </c>
      <c r="E40" s="90">
        <f ca="1">MIN( SUM($D39:E39), SUM($D39:E39)/INDEX(Assumptions!$B:$B, MATCH("HQ facility useful life (years)", Assumptions!$A$1:$A$327, 0)) )</f>
        <v>6.3711047269463945</v>
      </c>
      <c r="F40" s="90">
        <f ca="1">MIN( SUM($D39:F39), SUM($D39:F39)/INDEX(Assumptions!$B:$B, MATCH("HQ facility useful life (years)", Assumptions!$A$1:$A$327, 0)) )</f>
        <v>19.052302994051942</v>
      </c>
      <c r="G40" s="90">
        <f ca="1">MIN( SUM($D39:G39), SUM($D39:G39)/INDEX(Assumptions!$B:$B, MATCH("HQ facility useful life (years)", Assumptions!$A$1:$A$327, 0)) )</f>
        <v>41.211611430717916</v>
      </c>
      <c r="H40" s="90">
        <f ca="1">MIN( SUM($D39:H39), SUM($D39:H39)/INDEX(Assumptions!$B:$B, MATCH("HQ facility useful life (years)", Assumptions!$A$1:$A$327, 0)) )</f>
        <v>76.340332767096044</v>
      </c>
      <c r="I40" s="90">
        <f ca="1">MIN( SUM($D39:I39), SUM($D39:I39)/INDEX(Assumptions!$B:$B, MATCH("HQ facility useful life (years)", Assumptions!$A$1:$A$327, 0)) )</f>
        <v>123.84759316844111</v>
      </c>
      <c r="J40" s="90">
        <f ca="1">MIN( SUM($D39:J39), SUM($D39:J39)/INDEX(Assumptions!$B:$B, MATCH("HQ facility useful life (years)", Assumptions!$A$1:$A$327, 0)) )</f>
        <v>188.77948460521807</v>
      </c>
      <c r="K40" s="90">
        <f ca="1">MIN( SUM($D39:K39), SUM($D39:K39)/INDEX(Assumptions!$B:$B, MATCH("HQ facility useful life (years)", Assumptions!$A$1:$A$327, 0)) )</f>
        <v>265.31711110060866</v>
      </c>
      <c r="L40" s="90">
        <f ca="1">MIN( SUM($D39:L39), SUM($D39:L39)/INDEX(Assumptions!$B:$B, MATCH("HQ facility useful life (years)", Assumptions!$A$1:$A$327, 0)) )</f>
        <v>348.06172485579475</v>
      </c>
      <c r="M40" s="90">
        <f ca="1">MIN( SUM($D39:M39), SUM($D39:M39)/INDEX(Assumptions!$B:$B, MATCH("HQ facility useful life (years)", Assumptions!$A$1:$A$327, 0)) )</f>
        <v>439.79516943857249</v>
      </c>
      <c r="N40" s="90">
        <f ca="1">MIN( SUM($D39:N39), SUM($D39:N39)/INDEX(Assumptions!$B:$B, MATCH("HQ facility useful life (years)", Assumptions!$A$1:$A$327, 0)) )</f>
        <v>548.80373888873498</v>
      </c>
      <c r="O40" s="90">
        <f ca="1">MIN( SUM($D39:O39), SUM($D39:O39)/INDEX(Assumptions!$B:$B, MATCH("HQ facility useful life (years)", Assumptions!$A$1:$A$327, 0)) )</f>
        <v>683.44554191562179</v>
      </c>
      <c r="P40" s="90">
        <f ca="1">MIN( SUM($D39:P39), SUM($D39:P39)/INDEX(Assumptions!$B:$B, MATCH("HQ facility useful life (years)", Assumptions!$A$1:$A$327, 0)) )</f>
        <v>849.60428264721384</v>
      </c>
      <c r="Q40" s="90">
        <f ca="1">MIN( SUM($D39:Q39), SUM($D39:Q39)/INDEX(Assumptions!$B:$B, MATCH("HQ facility useful life (years)", Assumptions!$A$1:$A$327, 0)) )</f>
        <v>1045.2371368009469</v>
      </c>
      <c r="R40" s="90">
        <f ca="1">MIN( SUM($D39:R39), SUM($D39:R39)/INDEX(Assumptions!$B:$B, MATCH("HQ facility useful life (years)", Assumptions!$A$1:$A$327, 0)) )</f>
        <v>1282.9134959602409</v>
      </c>
      <c r="S40" s="90">
        <f ca="1">MIN( SUM($D39:S39), SUM($D39:S39)/INDEX(Assumptions!$B:$B, MATCH("HQ facility useful life (years)", Assumptions!$A$1:$A$327, 0)) )</f>
        <v>1576.5749244358442</v>
      </c>
    </row>
    <row r="41" spans="1:19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2">
      <c r="A42" s="168" t="s">
        <v>824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2">
      <c r="A43" s="20" t="s">
        <v>825</v>
      </c>
      <c r="B43" s="20"/>
      <c r="C43" s="20"/>
      <c r="D43" s="87">
        <f ca="1">D14+D26+D33+D39+D63</f>
        <v>929.65859750344578</v>
      </c>
      <c r="E43" s="87">
        <f t="shared" ref="E43:S43" ca="1" si="7">E14+E26+E33+E39+E63</f>
        <v>24248.693441354259</v>
      </c>
      <c r="F43" s="87">
        <f t="shared" ca="1" si="7"/>
        <v>24567.705289161197</v>
      </c>
      <c r="G43" s="87">
        <f t="shared" ca="1" si="7"/>
        <v>26283.875163989731</v>
      </c>
      <c r="H43" s="87">
        <f t="shared" ca="1" si="7"/>
        <v>4522.3423223003147</v>
      </c>
      <c r="I43" s="87">
        <f t="shared" ca="1" si="7"/>
        <v>4731.4427949070896</v>
      </c>
      <c r="J43" s="87">
        <f t="shared" ca="1" si="7"/>
        <v>5600.4558706624539</v>
      </c>
      <c r="K43" s="87">
        <f t="shared" ca="1" si="7"/>
        <v>3164.984113689713</v>
      </c>
      <c r="L43" s="87">
        <f t="shared" ca="1" si="7"/>
        <v>3146.7998763905039</v>
      </c>
      <c r="M43" s="87">
        <f t="shared" ca="1" si="7"/>
        <v>5591.8222390692144</v>
      </c>
      <c r="N43" s="87">
        <f t="shared" ca="1" si="7"/>
        <v>5633.4953672638931</v>
      </c>
      <c r="O43" s="87">
        <f t="shared" ca="1" si="7"/>
        <v>9316.6487768272036</v>
      </c>
      <c r="P43" s="87">
        <f t="shared" ca="1" si="7"/>
        <v>5469.2607894000721</v>
      </c>
      <c r="Q43" s="87">
        <f t="shared" ca="1" si="7"/>
        <v>6335.6176395985103</v>
      </c>
      <c r="R43" s="87">
        <f t="shared" ca="1" si="7"/>
        <v>7588.1399961190973</v>
      </c>
      <c r="S43" s="87">
        <f t="shared" ca="1" si="7"/>
        <v>9263.5186592644113</v>
      </c>
    </row>
    <row r="44" spans="1:19" x14ac:dyDescent="0.2">
      <c r="A44" s="22" t="s">
        <v>1354</v>
      </c>
      <c r="B44" s="8"/>
      <c r="C44" s="8"/>
      <c r="D44" s="76">
        <f ca="1">MAX( SUM($D$15:D15)-SUM($D$14:D14), SUM($D$27:D27)-SUM($D$26:D26), SUM($D$34:D34)-SUM($D$33:D33), SUM($D$40:D40)-SUM($D$39:D39), SUM($D$64:D64)-SUM($D$63:D63), SUM($D$52:D52)-SUM($D$51:D51) )</f>
        <v>0</v>
      </c>
      <c r="E44" s="76">
        <f ca="1">MAX( SUM($D$15:E15)-SUM($D$14:E14), SUM($D$27:E27)-SUM($D$26:E26), SUM($D$34:E34)-SUM($D$33:E33), SUM($D$40:E40)-SUM($D$39:E39), SUM($D$64:E64)-SUM($D$63:E63), SUM($D$52:E52)-SUM($D$51:E51) )</f>
        <v>-7.8699572325751692</v>
      </c>
      <c r="F44" s="76">
        <f ca="1">MAX( SUM($D$15:F15)-SUM($D$14:F14), SUM($D$27:F27)-SUM($D$26:F26), SUM($D$34:F34)-SUM($D$33:F33), SUM($D$40:F40)-SUM($D$39:F39), SUM($D$64:F64)-SUM($D$63:F63), SUM($D$52:F52)-SUM($D$51:F51) )</f>
        <v>-37.38932820276645</v>
      </c>
      <c r="G44" s="76">
        <f ca="1">MAX( SUM($D$15:G15)-SUM($D$14:G14), SUM($D$27:G27)-SUM($D$26:G26), SUM($D$34:G34)-SUM($D$33:G33), SUM($D$40:G40)-SUM($D$39:G39), SUM($D$64:G64)-SUM($D$63:G63), SUM($D$52:G52)-SUM($D$51:G51) )</f>
        <v>-1001.6591673751207</v>
      </c>
      <c r="H44" s="76">
        <f ca="1">MAX( SUM($D$15:H15)-SUM($D$14:H14), SUM($D$27:H27)-SUM($D$26:H26), SUM($D$34:H34)-SUM($D$33:H33), SUM($D$40:H40)-SUM($D$39:H39), SUM($D$64:H64)-SUM($D$63:H63), SUM($D$52:H52)-SUM($D$51:H51) )</f>
        <v>-1275</v>
      </c>
      <c r="I44" s="76">
        <f ca="1">MAX( SUM($D$15:I15)-SUM($D$14:I14), SUM($D$27:I27)-SUM($D$26:I26), SUM($D$34:I34)-SUM($D$33:I33), SUM($D$40:I40)-SUM($D$39:I39), SUM($D$64:I64)-SUM($D$63:I63), SUM($D$52:I52)-SUM($D$51:I51) )</f>
        <v>-1225</v>
      </c>
      <c r="J44" s="76">
        <f ca="1">MAX( SUM($D$15:J15)-SUM($D$14:J14), SUM($D$27:J27)-SUM($D$26:J26), SUM($D$34:J34)-SUM($D$33:J33), SUM($D$40:J40)-SUM($D$39:J39), SUM($D$64:J64)-SUM($D$63:J63), SUM($D$52:J52)-SUM($D$51:J51) )</f>
        <v>-1175</v>
      </c>
      <c r="K44" s="76">
        <f ca="1">MAX( SUM($D$15:K15)-SUM($D$14:K14), SUM($D$27:K27)-SUM($D$26:K26), SUM($D$34:K34)-SUM($D$33:K33), SUM($D$40:K40)-SUM($D$39:K39), SUM($D$64:K64)-SUM($D$63:K63), SUM($D$52:K52)-SUM($D$51:K51) )</f>
        <v>-1125</v>
      </c>
      <c r="L44" s="76">
        <f ca="1">MAX( SUM($D$15:L15)-SUM($D$14:L14), SUM($D$27:L27)-SUM($D$26:L26), SUM($D$34:L34)-SUM($D$33:L33), SUM($D$40:L40)-SUM($D$39:L39), SUM($D$64:L64)-SUM($D$63:L63), SUM($D$52:L52)-SUM($D$51:L51) )</f>
        <v>-1075</v>
      </c>
      <c r="M44" s="76">
        <f ca="1">MAX( SUM($D$15:M15)-SUM($D$14:M14), SUM($D$27:M27)-SUM($D$26:M26), SUM($D$34:M34)-SUM($D$33:M33), SUM($D$40:M40)-SUM($D$39:M39), SUM($D$64:M64)-SUM($D$63:M63), SUM($D$52:M52)-SUM($D$51:M51) )</f>
        <v>-1025</v>
      </c>
      <c r="N44" s="76">
        <f ca="1">MAX( SUM($D$15:N15)-SUM($D$14:N14), SUM($D$27:N27)-SUM($D$26:N26), SUM($D$34:N34)-SUM($D$33:N33), SUM($D$40:N40)-SUM($D$39:N39), SUM($D$64:N64)-SUM($D$63:N63), SUM($D$52:N52)-SUM($D$51:N51) )</f>
        <v>0</v>
      </c>
      <c r="O44" s="76">
        <f ca="1">MAX( SUM($D$15:O15)-SUM($D$14:O14), SUM($D$27:O27)-SUM($D$26:O26), SUM($D$34:O34)-SUM($D$33:O33), SUM($D$40:O40)-SUM($D$39:O39), SUM($D$64:O64)-SUM($D$63:O63), SUM($D$52:O52)-SUM($D$51:O51) )</f>
        <v>0</v>
      </c>
      <c r="P44" s="76">
        <f ca="1">MAX( SUM($D$15:P15)-SUM($D$14:P14), SUM($D$27:P27)-SUM($D$26:P26), SUM($D$34:P34)-SUM($D$33:P33), SUM($D$40:P40)-SUM($D$39:P39), SUM($D$64:P64)-SUM($D$63:P63), SUM($D$52:P52)-SUM($D$51:P51) )</f>
        <v>0</v>
      </c>
      <c r="Q44" s="76">
        <f ca="1">MAX( SUM($D$15:Q15)-SUM($D$14:Q14), SUM($D$27:Q27)-SUM($D$26:Q26), SUM($D$34:Q34)-SUM($D$33:Q33), SUM($D$40:Q40)-SUM($D$39:Q39), SUM($D$64:Q64)-SUM($D$63:Q63), SUM($D$52:Q52)-SUM($D$51:Q51) )</f>
        <v>0</v>
      </c>
      <c r="R44" s="76">
        <f ca="1">MAX( SUM($D$15:R15)-SUM($D$14:R14), SUM($D$27:R27)-SUM($D$26:R26), SUM($D$34:R34)-SUM($D$33:R33), SUM($D$40:R40)-SUM($D$39:R39), SUM($D$64:R64)-SUM($D$63:R63), SUM($D$52:R52)-SUM($D$51:R51) )</f>
        <v>0</v>
      </c>
      <c r="S44" s="76">
        <f ca="1">MAX( SUM($D$15:S15)-SUM($D$14:S14), SUM($D$27:S27)-SUM($D$26:S26), SUM($D$34:S34)-SUM($D$33:S33), SUM($D$40:S40)-SUM($D$39:S39), SUM($D$64:S64)-SUM($D$63:S63), SUM($D$52:S52)-SUM($D$51:S51) )</f>
        <v>0</v>
      </c>
    </row>
    <row r="45" spans="1:19" x14ac:dyDescent="0.2">
      <c r="A45" s="170" t="s">
        <v>1878</v>
      </c>
      <c r="B45" s="8"/>
      <c r="C45" s="8"/>
      <c r="D45" s="76">
        <f t="shared" ref="D45:S45" si="8">D14</f>
        <v>107.35164835164835</v>
      </c>
      <c r="E45" s="76">
        <f t="shared" ca="1" si="8"/>
        <v>144.66641652302212</v>
      </c>
      <c r="F45" s="76">
        <f t="shared" ca="1" si="8"/>
        <v>553.84364369653144</v>
      </c>
      <c r="G45" s="76">
        <f t="shared" ca="1" si="8"/>
        <v>903.66398213151137</v>
      </c>
      <c r="H45" s="76">
        <f t="shared" ca="1" si="8"/>
        <v>1776.2951441636935</v>
      </c>
      <c r="I45" s="76">
        <f t="shared" ca="1" si="8"/>
        <v>1529.4636559150463</v>
      </c>
      <c r="J45" s="76">
        <f t="shared" ca="1" si="8"/>
        <v>2560.4991275591451</v>
      </c>
      <c r="K45" s="76">
        <f t="shared" ca="1" si="8"/>
        <v>93.855318827996371</v>
      </c>
      <c r="L45" s="76">
        <f t="shared" ca="1" si="8"/>
        <v>89.461463734920372</v>
      </c>
      <c r="M45" s="76">
        <f t="shared" ca="1" si="8"/>
        <v>1664.8189015858836</v>
      </c>
      <c r="N45" s="76">
        <f t="shared" ca="1" si="8"/>
        <v>1588.2382837590192</v>
      </c>
      <c r="O45" s="76">
        <f t="shared" ca="1" si="8"/>
        <v>3902.3946860205997</v>
      </c>
      <c r="P45" s="76">
        <f t="shared" ca="1" si="8"/>
        <v>109.4985674523102</v>
      </c>
      <c r="Q45" s="76">
        <f t="shared" ca="1" si="8"/>
        <v>91.63201498652117</v>
      </c>
      <c r="R45" s="76">
        <f t="shared" ca="1" si="8"/>
        <v>82.84922134027714</v>
      </c>
      <c r="S45" s="76">
        <f t="shared" ca="1" si="8"/>
        <v>78.675804996309921</v>
      </c>
    </row>
    <row r="46" spans="1:19" x14ac:dyDescent="0.2">
      <c r="A46" s="170" t="s">
        <v>1879</v>
      </c>
      <c r="B46" s="8"/>
      <c r="C46" s="8"/>
      <c r="D46" s="76">
        <f t="shared" ref="D46:S46" ca="1" si="9">D26</f>
        <v>750</v>
      </c>
      <c r="E46" s="76">
        <f t="shared" ca="1" si="9"/>
        <v>750</v>
      </c>
      <c r="F46" s="76">
        <f t="shared" ca="1" si="9"/>
        <v>375</v>
      </c>
      <c r="G46" s="76">
        <f t="shared" ca="1" si="9"/>
        <v>471.4</v>
      </c>
      <c r="H46" s="76">
        <f t="shared" ca="1" si="9"/>
        <v>892</v>
      </c>
      <c r="I46" s="76">
        <f t="shared" ca="1" si="9"/>
        <v>892</v>
      </c>
      <c r="J46" s="76">
        <f t="shared" ca="1" si="9"/>
        <v>1092</v>
      </c>
      <c r="K46" s="76">
        <f t="shared" ca="1" si="9"/>
        <v>775</v>
      </c>
      <c r="L46" s="76">
        <f t="shared" ca="1" si="9"/>
        <v>575</v>
      </c>
      <c r="M46" s="76">
        <f t="shared" ca="1" si="9"/>
        <v>1175</v>
      </c>
      <c r="N46" s="76">
        <f t="shared" ca="1" si="9"/>
        <v>775</v>
      </c>
      <c r="O46" s="76">
        <f t="shared" ca="1" si="9"/>
        <v>1375</v>
      </c>
      <c r="P46" s="76">
        <f t="shared" ca="1" si="9"/>
        <v>375</v>
      </c>
      <c r="Q46" s="76">
        <f t="shared" ca="1" si="9"/>
        <v>375</v>
      </c>
      <c r="R46" s="76">
        <f t="shared" ca="1" si="9"/>
        <v>375</v>
      </c>
      <c r="S46" s="76">
        <f t="shared" ca="1" si="9"/>
        <v>375</v>
      </c>
    </row>
    <row r="47" spans="1:19" x14ac:dyDescent="0.2">
      <c r="A47" s="170" t="s">
        <v>1880</v>
      </c>
      <c r="B47" s="8"/>
      <c r="C47" s="8"/>
      <c r="D47" s="76">
        <f t="shared" ref="D47:S47" ca="1" si="10">D39</f>
        <v>72.306949151797397</v>
      </c>
      <c r="E47" s="76">
        <f t="shared" ca="1" si="10"/>
        <v>118.82619265659443</v>
      </c>
      <c r="F47" s="76">
        <f t="shared" ca="1" si="10"/>
        <v>380.43594801316641</v>
      </c>
      <c r="G47" s="76">
        <f t="shared" ca="1" si="10"/>
        <v>664.77925309997943</v>
      </c>
      <c r="H47" s="76">
        <f t="shared" ca="1" si="10"/>
        <v>1053.8616400913438</v>
      </c>
      <c r="I47" s="76">
        <f t="shared" ca="1" si="10"/>
        <v>1425.2178120403521</v>
      </c>
      <c r="J47" s="76">
        <f t="shared" ca="1" si="10"/>
        <v>1947.9567431033092</v>
      </c>
      <c r="K47" s="76">
        <f t="shared" ca="1" si="10"/>
        <v>2296.1287948617164</v>
      </c>
      <c r="L47" s="76">
        <f t="shared" ca="1" si="10"/>
        <v>2482.3384126555834</v>
      </c>
      <c r="M47" s="76">
        <f t="shared" ca="1" si="10"/>
        <v>2752.0033374833311</v>
      </c>
      <c r="N47" s="76">
        <f t="shared" ca="1" si="10"/>
        <v>3270.2570835048741</v>
      </c>
      <c r="O47" s="76">
        <f t="shared" ca="1" si="10"/>
        <v>4039.2540908066035</v>
      </c>
      <c r="P47" s="76">
        <f t="shared" ca="1" si="10"/>
        <v>4984.7622219477616</v>
      </c>
      <c r="Q47" s="76">
        <f t="shared" ca="1" si="10"/>
        <v>5868.9856246119889</v>
      </c>
      <c r="R47" s="76">
        <f t="shared" ca="1" si="10"/>
        <v>7130.2907747788204</v>
      </c>
      <c r="S47" s="76">
        <f t="shared" ca="1" si="10"/>
        <v>8809.8428542681013</v>
      </c>
    </row>
    <row r="48" spans="1:19" x14ac:dyDescent="0.2">
      <c r="A48" s="217" t="s">
        <v>826</v>
      </c>
      <c r="B48" s="20"/>
      <c r="C48" s="20"/>
      <c r="D48" s="100">
        <f ca="1">D43 / INDEX(Assumptions!$B:$B,MATCH("S-1 2025 SpaceX total CapEx ($mm)",Assumptions!$A:$A,0))</f>
        <v>0.11620732468793073</v>
      </c>
      <c r="E48" s="100">
        <f ca="1">E43 / INDEX(Assumptions!$B:$B,MATCH("S-1 2025 SpaceX total CapEx ($mm)",Assumptions!$A:$A,0))</f>
        <v>3.0310866801692824</v>
      </c>
      <c r="F48" s="100">
        <f ca="1">F43 / INDEX(Assumptions!$B:$B,MATCH("S-1 2025 SpaceX total CapEx ($mm)",Assumptions!$A:$A,0))</f>
        <v>3.0709631611451496</v>
      </c>
      <c r="G48" s="100">
        <f ca="1">G43 / INDEX(Assumptions!$B:$B,MATCH("S-1 2025 SpaceX total CapEx ($mm)",Assumptions!$A:$A,0))</f>
        <v>3.2854843954987163</v>
      </c>
      <c r="H48" s="100">
        <f ca="1">H43 / INDEX(Assumptions!$B:$B,MATCH("S-1 2025 SpaceX total CapEx ($mm)",Assumptions!$A:$A,0))</f>
        <v>0.56529279028753932</v>
      </c>
      <c r="I48" s="100">
        <f ca="1">I43 / INDEX(Assumptions!$B:$B,MATCH("S-1 2025 SpaceX total CapEx ($mm)",Assumptions!$A:$A,0))</f>
        <v>0.59143034936338623</v>
      </c>
      <c r="J48" s="100">
        <f ca="1">J43 / INDEX(Assumptions!$B:$B,MATCH("S-1 2025 SpaceX total CapEx ($mm)",Assumptions!$A:$A,0))</f>
        <v>0.70005698383280679</v>
      </c>
      <c r="K48" s="100">
        <f ca="1">K43 / INDEX(Assumptions!$B:$B,MATCH("S-1 2025 SpaceX total CapEx ($mm)",Assumptions!$A:$A,0))</f>
        <v>0.39562301421121415</v>
      </c>
      <c r="L48" s="100">
        <f ca="1">L43 / INDEX(Assumptions!$B:$B,MATCH("S-1 2025 SpaceX total CapEx ($mm)",Assumptions!$A:$A,0))</f>
        <v>0.39334998454881298</v>
      </c>
      <c r="M48" s="100">
        <f ca="1">M43 / INDEX(Assumptions!$B:$B,MATCH("S-1 2025 SpaceX total CapEx ($mm)",Assumptions!$A:$A,0))</f>
        <v>0.69897777988365184</v>
      </c>
      <c r="N48" s="100">
        <f ca="1">N43 / INDEX(Assumptions!$B:$B,MATCH("S-1 2025 SpaceX total CapEx ($mm)",Assumptions!$A:$A,0))</f>
        <v>0.70418692090798662</v>
      </c>
      <c r="O48" s="100">
        <f ca="1">O43 / INDEX(Assumptions!$B:$B,MATCH("S-1 2025 SpaceX total CapEx ($mm)",Assumptions!$A:$A,0))</f>
        <v>1.1645810971034005</v>
      </c>
      <c r="P48" s="100">
        <f ca="1">P43 / INDEX(Assumptions!$B:$B,MATCH("S-1 2025 SpaceX total CapEx ($mm)",Assumptions!$A:$A,0))</f>
        <v>0.68365759867500897</v>
      </c>
      <c r="Q48" s="100">
        <f ca="1">Q43 / INDEX(Assumptions!$B:$B,MATCH("S-1 2025 SpaceX total CapEx ($mm)",Assumptions!$A:$A,0))</f>
        <v>0.79195220494981378</v>
      </c>
      <c r="R48" s="100">
        <f ca="1">R43 / INDEX(Assumptions!$B:$B,MATCH("S-1 2025 SpaceX total CapEx ($mm)",Assumptions!$A:$A,0))</f>
        <v>0.94851749951488717</v>
      </c>
      <c r="S48" s="100">
        <f ca="1">S43 / INDEX(Assumptions!$B:$B,MATCH("S-1 2025 SpaceX total CapEx ($mm)",Assumptions!$A:$A,0))</f>
        <v>1.1579398324080514</v>
      </c>
    </row>
    <row r="49" spans="1:78" x14ac:dyDescent="0.2">
      <c r="A49" s="217" t="s">
        <v>1046</v>
      </c>
      <c r="B49" s="20"/>
      <c r="C49" s="20"/>
      <c r="D49" s="139">
        <f ca="1">(D43 - D63) / Assumptions!$B$315</f>
        <v>0.11620732468793073</v>
      </c>
      <c r="E49" s="139">
        <f ca="1">(E43 - E63) / Assumptions!$B$315</f>
        <v>0.12772209683594885</v>
      </c>
      <c r="F49" s="139">
        <f ca="1">(F43 - F63) / Assumptions!$B$315</f>
        <v>0.16759857781181609</v>
      </c>
      <c r="G49" s="139">
        <f ca="1">(G43 - G63) / Assumptions!$B$315</f>
        <v>0.38211981216538288</v>
      </c>
      <c r="H49" s="139">
        <f ca="1">(H43 - H63) / Assumptions!$B$315</f>
        <v>0.56529279028753932</v>
      </c>
      <c r="I49" s="139">
        <f ca="1">(I43 - I63) / Assumptions!$B$315</f>
        <v>0.59143034936338623</v>
      </c>
      <c r="J49" s="139">
        <f ca="1">(J43 - J63) / Assumptions!$B$315</f>
        <v>0.70005698383280679</v>
      </c>
      <c r="K49" s="139">
        <f ca="1">(K43 - K63) / Assumptions!$B$315</f>
        <v>0.39562301421121415</v>
      </c>
      <c r="L49" s="139">
        <f ca="1">(L43 - L63) / Assumptions!$B$315</f>
        <v>0.39334998454881298</v>
      </c>
      <c r="M49" s="139">
        <f ca="1">(M43 - M63) / Assumptions!$B$315</f>
        <v>0.69897777988365184</v>
      </c>
      <c r="N49" s="139">
        <f ca="1">(N43 - N63) / Assumptions!$B$315</f>
        <v>0.70418692090798662</v>
      </c>
      <c r="O49" s="139">
        <f ca="1">(O43 - O63) / Assumptions!$B$315</f>
        <v>1.1645810971034005</v>
      </c>
      <c r="P49" s="139">
        <f ca="1">(P43 - P63) / Assumptions!$B$315</f>
        <v>0.68365759867500897</v>
      </c>
      <c r="Q49" s="139">
        <f ca="1">(Q43 - Q63) / Assumptions!$B$315</f>
        <v>0.79195220494981378</v>
      </c>
      <c r="R49" s="139">
        <f ca="1">(R43 - R63) / Assumptions!$B$315</f>
        <v>0.94851749951488717</v>
      </c>
      <c r="S49" s="139">
        <f ca="1">(S43 - S63) / Assumptions!$B$315</f>
        <v>1.1579398324080514</v>
      </c>
    </row>
    <row r="50" spans="1:78" x14ac:dyDescent="0.2">
      <c r="A50" s="168" t="s">
        <v>1355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78" x14ac:dyDescent="0.2">
      <c r="A51" s="170" t="s">
        <v>827</v>
      </c>
      <c r="B51" s="8"/>
      <c r="C51" s="8"/>
      <c r="D51" s="63">
        <f>IF(AND(D$4&gt;=2025,D$4&lt;2025+INDEX(Assumptions!$B:$B,MATCH("Starfactory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750</v>
      </c>
      <c r="E51" s="63">
        <f>IF(AND(E$4&gt;=2025,E$4&lt;2025+INDEX(Assumptions!$B:$B,MATCH("Starfactory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750</v>
      </c>
      <c r="F51" s="63">
        <f>IF(AND(F$4&gt;=2025,F$4&lt;2025+INDEX(Assumptions!$B:$B,MATCH("Starfactory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G51" s="63">
        <f>IF(AND(G$4&gt;=2025,G$4&lt;2025+INDEX(Assumptions!$B:$B,MATCH("Starfactory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H51" s="63">
        <f>IF(AND(H$4&gt;=2025,H$4&lt;2025+INDEX(Assumptions!$B:$B,MATCH("Starfactory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I51" s="63">
        <f>IF(AND(I$4&gt;=2025,I$4&lt;2025+INDEX(Assumptions!$B:$B,MATCH("Starfactory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J51" s="63">
        <f>IF(AND(J$4&gt;=2025,J$4&lt;2025+INDEX(Assumptions!$B:$B,MATCH("Starfactory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K51" s="63">
        <f>IF(AND(K$4&gt;=2025,K$4&lt;2025+INDEX(Assumptions!$B:$B,MATCH("Starfactory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L51" s="63">
        <f>IF(AND(L$4&gt;=2025,L$4&lt;2025+INDEX(Assumptions!$B:$B,MATCH("Starfactory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M51" s="63">
        <f>IF(AND(M$4&gt;=2025,M$4&lt;2025+INDEX(Assumptions!$B:$B,MATCH("Starfactory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N51" s="63">
        <f>IF(AND(N$4&gt;=2025,N$4&lt;2025+INDEX(Assumptions!$B:$B,MATCH("Starfactory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O51" s="63">
        <f>IF(AND(O$4&gt;=2025,O$4&lt;2025+INDEX(Assumptions!$B:$B,MATCH("Starfactory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P51" s="63">
        <f>IF(AND(P$4&gt;=2025,P$4&lt;2025+INDEX(Assumptions!$B:$B,MATCH("Starfactory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Q51" s="63">
        <f>IF(AND(Q$4&gt;=2025,Q$4&lt;2025+INDEX(Assumptions!$B:$B,MATCH("Starfactory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R51" s="63">
        <f>IF(AND(R$4&gt;=2025,R$4&lt;2025+INDEX(Assumptions!$B:$B,MATCH("Starfactory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  <c r="S51" s="63">
        <f>IF(AND(S$4&gt;=2025,S$4&lt;2025+INDEX(Assumptions!$B:$B,MATCH("Starfactory build window (years)",Assumptions!$A$1:$A$327,0))),INDEX(Assumptions!$B:$B,MATCH("Starfactory build cost ($mm)",Assumptions!$A$1:$A$327,0))/INDEX(Assumptions!$B:$B,MATCH("Starfactory build window (years)",Assumptions!$A$1:$A$327,0)),0)</f>
        <v>0</v>
      </c>
    </row>
    <row r="52" spans="1:78" x14ac:dyDescent="0.2">
      <c r="A52" s="170" t="s">
        <v>828</v>
      </c>
      <c r="B52" s="8"/>
      <c r="C52" s="8"/>
      <c r="D52" s="63">
        <f>MIN(SUM($D51:D51),SUM($D51:D51)/INDEX(Assumptions!$B:$B,MATCH("Starship facility useful life (years)",Assumptions!$A$1:$A$327,0)))</f>
        <v>25</v>
      </c>
      <c r="E52" s="63">
        <f>MIN(SUM($D51:E51),SUM($D51:E51)/INDEX(Assumptions!$B:$B,MATCH("Starship facility useful life (years)",Assumptions!$A$1:$A$327,0)))</f>
        <v>50</v>
      </c>
      <c r="F52" s="63">
        <f>MIN(SUM($D51:F51),SUM($D51:F51)/INDEX(Assumptions!$B:$B,MATCH("Starship facility useful life (years)",Assumptions!$A$1:$A$327,0)))</f>
        <v>50</v>
      </c>
      <c r="G52" s="63">
        <f>MIN(SUM($D51:G51),SUM($D51:G51)/INDEX(Assumptions!$B:$B,MATCH("Starship facility useful life (years)",Assumptions!$A$1:$A$327,0)))</f>
        <v>50</v>
      </c>
      <c r="H52" s="63">
        <f>MIN(SUM($D51:H51),SUM($D51:H51)/INDEX(Assumptions!$B:$B,MATCH("Starship facility useful life (years)",Assumptions!$A$1:$A$327,0)))</f>
        <v>50</v>
      </c>
      <c r="I52" s="63">
        <f>MIN(SUM($D51:I51),SUM($D51:I51)/INDEX(Assumptions!$B:$B,MATCH("Starship facility useful life (years)",Assumptions!$A$1:$A$327,0)))</f>
        <v>50</v>
      </c>
      <c r="J52" s="63">
        <f>MIN(SUM($D51:J51),SUM($D51:J51)/INDEX(Assumptions!$B:$B,MATCH("Starship facility useful life (years)",Assumptions!$A$1:$A$327,0)))</f>
        <v>50</v>
      </c>
      <c r="K52" s="63">
        <f>MIN(SUM($D51:K51),SUM($D51:K51)/INDEX(Assumptions!$B:$B,MATCH("Starship facility useful life (years)",Assumptions!$A$1:$A$327,0)))</f>
        <v>50</v>
      </c>
      <c r="L52" s="63">
        <f>MIN(SUM($D51:L51),SUM($D51:L51)/INDEX(Assumptions!$B:$B,MATCH("Starship facility useful life (years)",Assumptions!$A$1:$A$327,0)))</f>
        <v>50</v>
      </c>
      <c r="M52" s="63">
        <f>MIN(SUM($D51:M51),SUM($D51:M51)/INDEX(Assumptions!$B:$B,MATCH("Starship facility useful life (years)",Assumptions!$A$1:$A$327,0)))</f>
        <v>50</v>
      </c>
      <c r="N52" s="63">
        <f>MIN(SUM($D51:N51),SUM($D51:N51)/INDEX(Assumptions!$B:$B,MATCH("Starship facility useful life (years)",Assumptions!$A$1:$A$327,0)))</f>
        <v>50</v>
      </c>
      <c r="O52" s="63">
        <f>MIN(SUM($D51:O51),SUM($D51:O51)/INDEX(Assumptions!$B:$B,MATCH("Starship facility useful life (years)",Assumptions!$A$1:$A$327,0)))</f>
        <v>50</v>
      </c>
      <c r="P52" s="63">
        <f>MIN(SUM($D51:P51),SUM($D51:P51)/INDEX(Assumptions!$B:$B,MATCH("Starship facility useful life (years)",Assumptions!$A$1:$A$327,0)))</f>
        <v>50</v>
      </c>
      <c r="Q52" s="63">
        <f>MIN(SUM($D51:Q51),SUM($D51:Q51)/INDEX(Assumptions!$B:$B,MATCH("Starship facility useful life (years)",Assumptions!$A$1:$A$327,0)))</f>
        <v>50</v>
      </c>
      <c r="R52" s="63">
        <f>MIN(SUM($D51:R51),SUM($D51:R51)/INDEX(Assumptions!$B:$B,MATCH("Starship facility useful life (years)",Assumptions!$A$1:$A$327,0)))</f>
        <v>50</v>
      </c>
      <c r="S52" s="63">
        <f>MIN(SUM($D51:S51),SUM($D51:S51)/INDEX(Assumptions!$B:$B,MATCH("Starship facility useful life (years)",Assumptions!$A$1:$A$327,0)))</f>
        <v>50</v>
      </c>
    </row>
    <row r="53" spans="1:78" x14ac:dyDescent="0.2">
      <c r="A53" s="170" t="s">
        <v>829</v>
      </c>
      <c r="B53" s="8"/>
      <c r="C53" s="8"/>
      <c r="D53" s="63" cm="1">
        <f t="array" aca="1" ref="D53" ca="1">IFERROR(INDEX('Vehicle Build'!$D:$AC, MATCH("Boosters built (fleet)", 'Vehicle Build'!$A$1:$A$119, 0), D$5+1), 0)</f>
        <v>0</v>
      </c>
      <c r="E53" s="63" cm="1">
        <f t="array" aca="1" ref="E53" ca="1">IFERROR(INDEX('Vehicle Build'!$D:$AC, MATCH("Boosters built (fleet)", 'Vehicle Build'!$A$1:$A$119, 0), E$5+1), 0)</f>
        <v>8</v>
      </c>
      <c r="F53" s="63" cm="1">
        <f t="array" aca="1" ref="F53" ca="1">IFERROR(INDEX('Vehicle Build'!$D:$AC, MATCH("Boosters built (fleet)", 'Vehicle Build'!$A$1:$A$119, 0), F$5+1), 0)</f>
        <v>23</v>
      </c>
      <c r="G53" s="63" cm="1">
        <f t="array" aca="1" ref="G53" ca="1">IFERROR(INDEX('Vehicle Build'!$D:$AC, MATCH("Boosters built (fleet)", 'Vehicle Build'!$A$1:$A$119, 0), G$5+1), 0)</f>
        <v>38</v>
      </c>
      <c r="H53" s="63" cm="1">
        <f t="array" aca="1" ref="H53" ca="1">IFERROR(INDEX('Vehicle Build'!$D:$AC, MATCH("Boosters built (fleet)", 'Vehicle Build'!$A$1:$A$119, 0), H$5+1), 0)</f>
        <v>53</v>
      </c>
      <c r="I53" s="63" cm="1">
        <f t="array" aca="1" ref="I53" ca="1">IFERROR(INDEX('Vehicle Build'!$D:$AC, MATCH("Boosters built (fleet)", 'Vehicle Build'!$A$1:$A$119, 0), I$5+1), 0)</f>
        <v>68</v>
      </c>
      <c r="J53" s="63" cm="1">
        <f t="array" aca="1" ref="J53" ca="1">IFERROR(INDEX('Vehicle Build'!$D:$AC, MATCH("Boosters built (fleet)", 'Vehicle Build'!$A$1:$A$119, 0), J$5+1), 0)</f>
        <v>83</v>
      </c>
      <c r="K53" s="63" cm="1">
        <f t="array" aca="1" ref="K53" ca="1">IFERROR(INDEX('Vehicle Build'!$D:$AC, MATCH("Boosters built (fleet)", 'Vehicle Build'!$A$1:$A$119, 0), K$5+1), 0)</f>
        <v>0</v>
      </c>
      <c r="L53" s="63" cm="1">
        <f t="array" aca="1" ref="L53" ca="1">IFERROR(INDEX('Vehicle Build'!$D:$AC, MATCH("Boosters built (fleet)", 'Vehicle Build'!$A$1:$A$119, 0), L$5+1), 0)</f>
        <v>0</v>
      </c>
      <c r="M53" s="63" cm="1">
        <f t="array" aca="1" ref="M53" ca="1">IFERROR(INDEX('Vehicle Build'!$D:$AC, MATCH("Boosters built (fleet)", 'Vehicle Build'!$A$1:$A$119, 0), M$5+1), 0)</f>
        <v>0</v>
      </c>
      <c r="N53" s="63" cm="1">
        <f t="array" aca="1" ref="N53" ca="1">IFERROR(INDEX('Vehicle Build'!$D:$AC, MATCH("Boosters built (fleet)", 'Vehicle Build'!$A$1:$A$119, 0), N$5+1), 0)</f>
        <v>0</v>
      </c>
      <c r="O53" s="63" cm="1">
        <f t="array" aca="1" ref="O53" ca="1">IFERROR(INDEX('Vehicle Build'!$D:$AC, MATCH("Boosters built (fleet)", 'Vehicle Build'!$A$1:$A$119, 0), O$5+1), 0)</f>
        <v>3.1379833705390325E-2</v>
      </c>
      <c r="P53" s="63" cm="1">
        <f t="array" aca="1" ref="P53" ca="1">IFERROR(INDEX('Vehicle Build'!$D:$AC, MATCH("Boosters built (fleet)", 'Vehicle Build'!$A$1:$A$119, 0), P$5+1), 0)</f>
        <v>0</v>
      </c>
      <c r="Q53" s="63" cm="1">
        <f t="array" aca="1" ref="Q53" ca="1">IFERROR(INDEX('Vehicle Build'!$D:$AC, MATCH("Boosters built (fleet)", 'Vehicle Build'!$A$1:$A$119, 0), Q$5+1), 0)</f>
        <v>0</v>
      </c>
      <c r="R53" s="63" cm="1">
        <f t="array" aca="1" ref="R53" ca="1">IFERROR(INDEX('Vehicle Build'!$D:$AC, MATCH("Boosters built (fleet)", 'Vehicle Build'!$A$1:$A$119, 0), R$5+1), 0)</f>
        <v>0.30981129400602292</v>
      </c>
      <c r="S53" s="63" cm="1">
        <f t="array" aca="1" ref="S53" ca="1">IFERROR(INDEX('Vehicle Build'!$D:$AC, MATCH("Boosters built (fleet)", 'Vehicle Build'!$A$1:$A$119, 0), S$5+1), 0)</f>
        <v>16.585010309004872</v>
      </c>
    </row>
    <row r="54" spans="1:78" x14ac:dyDescent="0.2">
      <c r="A54" s="217" t="s">
        <v>830</v>
      </c>
      <c r="B54" s="20"/>
      <c r="C54" s="20"/>
      <c r="D54" s="85">
        <f t="shared" ref="D54:S54" ca="1" si="11">D53+D18</f>
        <v>0</v>
      </c>
      <c r="E54" s="85">
        <f t="shared" ca="1" si="11"/>
        <v>16</v>
      </c>
      <c r="F54" s="85">
        <f t="shared" ca="1" si="11"/>
        <v>46</v>
      </c>
      <c r="G54" s="85">
        <f t="shared" ca="1" si="11"/>
        <v>76</v>
      </c>
      <c r="H54" s="85">
        <f t="shared" ca="1" si="11"/>
        <v>106</v>
      </c>
      <c r="I54" s="85">
        <f t="shared" ca="1" si="11"/>
        <v>136</v>
      </c>
      <c r="J54" s="85">
        <f t="shared" ca="1" si="11"/>
        <v>166</v>
      </c>
      <c r="K54" s="85">
        <f t="shared" ca="1" si="11"/>
        <v>98</v>
      </c>
      <c r="L54" s="85">
        <f t="shared" ca="1" si="11"/>
        <v>90.875663768774174</v>
      </c>
      <c r="M54" s="85">
        <f t="shared" ca="1" si="11"/>
        <v>29.98898075522284</v>
      </c>
      <c r="N54" s="85">
        <f t="shared" ca="1" si="11"/>
        <v>45.135402406503587</v>
      </c>
      <c r="O54" s="85">
        <f t="shared" ca="1" si="11"/>
        <v>55.198217531500887</v>
      </c>
      <c r="P54" s="85">
        <f t="shared" ca="1" si="11"/>
        <v>35.66881045677971</v>
      </c>
      <c r="Q54" s="85">
        <f t="shared" ca="1" si="11"/>
        <v>14.391754233315766</v>
      </c>
      <c r="R54" s="85">
        <f t="shared" ca="1" si="11"/>
        <v>55.468853844267827</v>
      </c>
      <c r="S54" s="85">
        <f t="shared" ca="1" si="11"/>
        <v>73.995527973504963</v>
      </c>
    </row>
    <row r="55" spans="1:78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78" x14ac:dyDescent="0.2">
      <c r="A56" s="168" t="s">
        <v>1037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78" x14ac:dyDescent="0.2">
      <c r="A57" s="29" t="s">
        <v>1038</v>
      </c>
      <c r="B57" s="8"/>
      <c r="C57" s="8"/>
      <c r="D57" s="66">
        <f ca="1">('AI - Compute'!D47 + 'AI - Compute'!D86) * Assumptions!$B$383</f>
        <v>0</v>
      </c>
      <c r="E57" s="66">
        <f ca="1">('AI - Compute'!E47 + 'AI - Compute'!E86) * Assumptions!$B$383</f>
        <v>526441.04204676638</v>
      </c>
      <c r="F57" s="66">
        <f ca="1">('AI - Compute'!F47 + 'AI - Compute'!F86) * Assumptions!$B$383</f>
        <v>693561.07113171718</v>
      </c>
      <c r="G57" s="66">
        <f ca="1">('AI - Compute'!G47 + 'AI - Compute'!G86) * Assumptions!$B$383</f>
        <v>225796.88366746754</v>
      </c>
      <c r="H57" s="66">
        <f ca="1">('AI - Compute'!H47 + 'AI - Compute'!H86) * Assumptions!$B$383</f>
        <v>724048.15297004522</v>
      </c>
      <c r="I57" s="66">
        <f ca="1">('AI - Compute'!I47 + 'AI - Compute'!I86) * Assumptions!$B$383</f>
        <v>2087944.9742901106</v>
      </c>
      <c r="J57" s="66">
        <f ca="1">('AI - Compute'!J47 + 'AI - Compute'!J86) * Assumptions!$B$383</f>
        <v>4361131.8249752792</v>
      </c>
      <c r="K57" s="66">
        <f ca="1">('AI - Compute'!K47 + 'AI - Compute'!K86) * Assumptions!$B$383</f>
        <v>5227215.8071167497</v>
      </c>
      <c r="L57" s="66">
        <f ca="1">('AI - Compute'!L47 + 'AI - Compute'!L86) * Assumptions!$B$383</f>
        <v>2622730</v>
      </c>
      <c r="M57" s="66">
        <f ca="1">('AI - Compute'!M47 + 'AI - Compute'!M86) * Assumptions!$B$383</f>
        <v>3830828.5719415322</v>
      </c>
      <c r="N57" s="66">
        <f ca="1">('AI - Compute'!N47 + 'AI - Compute'!N86) * Assumptions!$B$383</f>
        <v>6345912.4602592345</v>
      </c>
      <c r="O57" s="66">
        <f ca="1">('AI - Compute'!O47 + 'AI - Compute'!O86) * Assumptions!$B$383</f>
        <v>9875614.2143146824</v>
      </c>
      <c r="P57" s="66">
        <f ca="1">('AI - Compute'!P47 + 'AI - Compute'!P86) * Assumptions!$B$383</f>
        <v>12409459.539707288</v>
      </c>
      <c r="Q57" s="66">
        <f ca="1">('AI - Compute'!Q47 + 'AI - Compute'!Q86) * Assumptions!$B$383</f>
        <v>12213074.932467194</v>
      </c>
      <c r="R57" s="66">
        <f ca="1">('AI - Compute'!R47 + 'AI - Compute'!R86) * Assumptions!$B$383</f>
        <v>16565339.455926776</v>
      </c>
      <c r="S57" s="66">
        <f ca="1">('AI - Compute'!S47 + 'AI - Compute'!S86) * Assumptions!$B$383</f>
        <v>22515562.1090203</v>
      </c>
    </row>
    <row r="58" spans="1:78" x14ac:dyDescent="0.2">
      <c r="A58" s="177" t="s">
        <v>1039</v>
      </c>
      <c r="B58" s="8"/>
      <c r="C58" s="8"/>
      <c r="D58" s="66">
        <f ca="1">IFERROR(D57 / Assumptions!$B$388, 0)</f>
        <v>0</v>
      </c>
      <c r="E58" s="66">
        <f ca="1">IFERROR(E57 / Assumptions!$B$388, 0)</f>
        <v>1202.4692600428652</v>
      </c>
      <c r="F58" s="66">
        <f ca="1">IFERROR(F57 / Assumptions!$B$388, 0)</f>
        <v>1584.1961423748678</v>
      </c>
      <c r="G58" s="66">
        <f ca="1">IFERROR(G57 / Assumptions!$B$388, 0)</f>
        <v>515.75350312349826</v>
      </c>
      <c r="H58" s="66">
        <f ca="1">IFERROR(H57 / Assumptions!$B$388, 0)</f>
        <v>1653.8331497716883</v>
      </c>
      <c r="I58" s="66">
        <f ca="1">IFERROR(I57 / Assumptions!$B$388, 0)</f>
        <v>4769.1753638421897</v>
      </c>
      <c r="J58" s="66">
        <f ca="1">IFERROR(J57 / Assumptions!$B$388, 0)</f>
        <v>9961.470591537869</v>
      </c>
      <c r="K58" s="66">
        <f ca="1">IFERROR(K57 / Assumptions!$B$388, 0)</f>
        <v>11939.734598256622</v>
      </c>
      <c r="L58" s="66">
        <f ca="1">IFERROR(L57 / Assumptions!$B$388, 0)</f>
        <v>5990.7035175879391</v>
      </c>
      <c r="M58" s="66">
        <f ca="1">IFERROR(M57 / Assumptions!$B$388, 0)</f>
        <v>8750.1794699441125</v>
      </c>
      <c r="N58" s="66">
        <f ca="1">IFERROR(N57 / Assumptions!$B$388, 0)</f>
        <v>14495.003335448228</v>
      </c>
      <c r="O58" s="66">
        <f ca="1">IFERROR(O57 / Assumptions!$B$388, 0)</f>
        <v>22557.364582719696</v>
      </c>
      <c r="P58" s="66">
        <f ca="1">IFERROR(P57 / Assumptions!$B$388, 0)</f>
        <v>28345.042347435559</v>
      </c>
      <c r="Q58" s="66">
        <f ca="1">IFERROR(Q57 / Assumptions!$B$388, 0)</f>
        <v>27896.470837065313</v>
      </c>
      <c r="R58" s="66">
        <f ca="1">IFERROR(R57 / Assumptions!$B$388, 0)</f>
        <v>37837.687199467284</v>
      </c>
      <c r="S58" s="66">
        <f ca="1">IFERROR(S57 / Assumptions!$B$388, 0)</f>
        <v>51428.876448196206</v>
      </c>
    </row>
    <row r="59" spans="1:78" x14ac:dyDescent="0.2">
      <c r="A59" s="177" t="s">
        <v>1356</v>
      </c>
      <c r="B59" s="8"/>
      <c r="C59" s="8"/>
      <c r="D59" s="66">
        <f ca="1">MAX(0, CEILING(D58, Assumptions!$B$386))</f>
        <v>0</v>
      </c>
      <c r="E59" s="66">
        <f ca="1">MAX(D59, CEILING(E58, Assumptions!$B$386))</f>
        <v>100000</v>
      </c>
      <c r="F59" s="66">
        <f ca="1">MAX(E59, CEILING(F58, Assumptions!$B$386))</f>
        <v>100000</v>
      </c>
      <c r="G59" s="66">
        <f ca="1">MAX(F59, CEILING(G58, Assumptions!$B$386))</f>
        <v>100000</v>
      </c>
      <c r="H59" s="66">
        <f ca="1">MAX(G59, CEILING(H58, Assumptions!$B$386))</f>
        <v>100000</v>
      </c>
      <c r="I59" s="66">
        <f ca="1">MAX(H59, CEILING(I58, Assumptions!$B$386))</f>
        <v>100000</v>
      </c>
      <c r="J59" s="66">
        <f ca="1">MAX(I59, CEILING(J58, Assumptions!$B$386))</f>
        <v>100000</v>
      </c>
      <c r="K59" s="66">
        <f ca="1">MAX(J59, CEILING(K58, Assumptions!$B$386))</f>
        <v>100000</v>
      </c>
      <c r="L59" s="66">
        <f ca="1">MAX(K59, CEILING(L58, Assumptions!$B$386))</f>
        <v>100000</v>
      </c>
      <c r="M59" s="66">
        <f ca="1">MAX(L59, CEILING(M58, Assumptions!$B$386))</f>
        <v>100000</v>
      </c>
      <c r="N59" s="66">
        <f ca="1">MAX(M59, CEILING(N58, Assumptions!$B$386))</f>
        <v>100000</v>
      </c>
      <c r="O59" s="66">
        <f ca="1">MAX(N59, CEILING(O58, Assumptions!$B$386))</f>
        <v>100000</v>
      </c>
      <c r="P59" s="66">
        <f ca="1">MAX(O59, CEILING(P58, Assumptions!$B$386))</f>
        <v>100000</v>
      </c>
      <c r="Q59" s="66">
        <f ca="1">MAX(P59, CEILING(Q58, Assumptions!$B$386))</f>
        <v>100000</v>
      </c>
      <c r="R59" s="66">
        <f ca="1">MAX(Q59, CEILING(R58, Assumptions!$B$386))</f>
        <v>100000</v>
      </c>
      <c r="S59" s="66">
        <f ca="1">MAX(R59, CEILING(S58, Assumptions!$B$386))</f>
        <v>100000</v>
      </c>
    </row>
    <row r="60" spans="1:78" x14ac:dyDescent="0.2">
      <c r="A60" s="177" t="s">
        <v>1040</v>
      </c>
      <c r="B60" s="8"/>
      <c r="C60" s="8"/>
      <c r="D60" s="67">
        <f ca="1">D59</f>
        <v>0</v>
      </c>
      <c r="E60" s="67">
        <f ca="1">E59 - D59</f>
        <v>100000</v>
      </c>
      <c r="F60" s="67">
        <f t="shared" ref="F60:S60" ca="1" si="12">F59 - E59</f>
        <v>0</v>
      </c>
      <c r="G60" s="67">
        <f t="shared" ca="1" si="12"/>
        <v>0</v>
      </c>
      <c r="H60" s="67">
        <f t="shared" ca="1" si="12"/>
        <v>0</v>
      </c>
      <c r="I60" s="67">
        <f t="shared" ca="1" si="12"/>
        <v>0</v>
      </c>
      <c r="J60" s="67">
        <f t="shared" ca="1" si="12"/>
        <v>0</v>
      </c>
      <c r="K60" s="67">
        <f t="shared" ca="1" si="12"/>
        <v>0</v>
      </c>
      <c r="L60" s="67">
        <f t="shared" ca="1" si="12"/>
        <v>0</v>
      </c>
      <c r="M60" s="67">
        <f t="shared" ca="1" si="12"/>
        <v>0</v>
      </c>
      <c r="N60" s="67">
        <f t="shared" ca="1" si="12"/>
        <v>0</v>
      </c>
      <c r="O60" s="67">
        <f t="shared" ca="1" si="12"/>
        <v>0</v>
      </c>
      <c r="P60" s="67">
        <f t="shared" ca="1" si="12"/>
        <v>0</v>
      </c>
      <c r="Q60" s="67">
        <f t="shared" ca="1" si="12"/>
        <v>0</v>
      </c>
      <c r="R60" s="67">
        <f t="shared" ca="1" si="12"/>
        <v>0</v>
      </c>
      <c r="S60" s="67">
        <f t="shared" ca="1" si="12"/>
        <v>0</v>
      </c>
    </row>
    <row r="61" spans="1:78" s="7" customFormat="1" x14ac:dyDescent="0.2">
      <c r="A61" s="218" t="s">
        <v>1041</v>
      </c>
      <c r="B61" s="203"/>
      <c r="C61" s="203"/>
      <c r="D61" s="137">
        <f ca="1">D60 * Assumptions!$B$385 / 1000000</f>
        <v>0</v>
      </c>
      <c r="E61" s="137">
        <f ca="1">E60 * Assumptions!$B$385 / 1000000</f>
        <v>139361.5</v>
      </c>
      <c r="F61" s="137">
        <f ca="1">F60 * Assumptions!$B$385 / 1000000</f>
        <v>0</v>
      </c>
      <c r="G61" s="137">
        <f ca="1">G60 * Assumptions!$B$385 / 1000000</f>
        <v>0</v>
      </c>
      <c r="H61" s="137">
        <f ca="1">H60 * Assumptions!$B$385 / 1000000</f>
        <v>0</v>
      </c>
      <c r="I61" s="137">
        <f ca="1">I60 * Assumptions!$B$385 / 1000000</f>
        <v>0</v>
      </c>
      <c r="J61" s="137">
        <f ca="1">J60 * Assumptions!$B$385 / 1000000</f>
        <v>0</v>
      </c>
      <c r="K61" s="137">
        <f ca="1">K60 * Assumptions!$B$385 / 1000000</f>
        <v>0</v>
      </c>
      <c r="L61" s="137">
        <f ca="1">L60 * Assumptions!$B$385 / 1000000</f>
        <v>0</v>
      </c>
      <c r="M61" s="137">
        <f ca="1">M60 * Assumptions!$B$385 / 1000000</f>
        <v>0</v>
      </c>
      <c r="N61" s="137">
        <f ca="1">N60 * Assumptions!$B$385 / 1000000</f>
        <v>0</v>
      </c>
      <c r="O61" s="137">
        <f ca="1">O60 * Assumptions!$B$385 / 1000000</f>
        <v>0</v>
      </c>
      <c r="P61" s="137">
        <f ca="1">P60 * Assumptions!$B$385 / 1000000</f>
        <v>0</v>
      </c>
      <c r="Q61" s="137">
        <f ca="1">Q60 * Assumptions!$B$385 / 1000000</f>
        <v>0</v>
      </c>
      <c r="R61" s="137">
        <f ca="1">R60 * Assumptions!$B$385 / 1000000</f>
        <v>0</v>
      </c>
      <c r="S61" s="137">
        <f ca="1">S60 * Assumptions!$B$385 / 1000000</f>
        <v>0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s="7" customFormat="1" x14ac:dyDescent="0.2">
      <c r="A62" s="218" t="s">
        <v>1357</v>
      </c>
      <c r="B62" s="203"/>
      <c r="C62" s="203"/>
      <c r="D62" s="137">
        <f ca="1">SUM($D61:D61) / Assumptions!$B$389</f>
        <v>0</v>
      </c>
      <c r="E62" s="137">
        <f ca="1">SUM($D61:E61) / Assumptions!$B$389</f>
        <v>46453.833333333336</v>
      </c>
      <c r="F62" s="137">
        <f ca="1">SUM($D61:F61) / Assumptions!$B$389</f>
        <v>46453.833333333336</v>
      </c>
      <c r="G62" s="137">
        <f ca="1">SUM(E61:G61) / Assumptions!$B$389</f>
        <v>46453.833333333336</v>
      </c>
      <c r="H62" s="137">
        <f ca="1">SUM(F61:H61) / Assumptions!$B$389</f>
        <v>0</v>
      </c>
      <c r="I62" s="137">
        <f ca="1">SUM(G61:I61) / Assumptions!$B$389</f>
        <v>0</v>
      </c>
      <c r="J62" s="137">
        <f ca="1">SUM(H61:J61) / Assumptions!$B$389</f>
        <v>0</v>
      </c>
      <c r="K62" s="137">
        <f ca="1">SUM(I61:K61) / Assumptions!$B$389</f>
        <v>0</v>
      </c>
      <c r="L62" s="137">
        <f ca="1">SUM(J61:L61) / Assumptions!$B$389</f>
        <v>0</v>
      </c>
      <c r="M62" s="137">
        <f ca="1">SUM(K61:M61) / Assumptions!$B$389</f>
        <v>0</v>
      </c>
      <c r="N62" s="137">
        <f ca="1">SUM(L61:N61) / Assumptions!$B$389</f>
        <v>0</v>
      </c>
      <c r="O62" s="137">
        <f ca="1">SUM(M61:O61) / Assumptions!$B$389</f>
        <v>0</v>
      </c>
      <c r="P62" s="137">
        <f ca="1">SUM(N61:P61) / Assumptions!$B$389</f>
        <v>0</v>
      </c>
      <c r="Q62" s="137">
        <f ca="1">SUM(O61:Q61) / Assumptions!$B$389</f>
        <v>0</v>
      </c>
      <c r="R62" s="137">
        <f ca="1">SUM(P61:R61) / Assumptions!$B$389</f>
        <v>0</v>
      </c>
      <c r="S62" s="137">
        <f ca="1">SUM(Q61:S61) / Assumptions!$B$389</f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x14ac:dyDescent="0.2">
      <c r="A63" s="210" t="s">
        <v>1042</v>
      </c>
      <c r="B63" s="20"/>
      <c r="C63" s="20"/>
      <c r="D63" s="90">
        <f ca="1">D62*Assumptions!$B$397</f>
        <v>0</v>
      </c>
      <c r="E63" s="90">
        <f ca="1">E62*Assumptions!$B$397</f>
        <v>23226.916666666668</v>
      </c>
      <c r="F63" s="90">
        <f ca="1">F62*Assumptions!$B$397</f>
        <v>23226.916666666668</v>
      </c>
      <c r="G63" s="90">
        <f ca="1">G62*Assumptions!$B$397</f>
        <v>23226.916666666668</v>
      </c>
      <c r="H63" s="90">
        <f ca="1">H62*Assumptions!$B$397</f>
        <v>0</v>
      </c>
      <c r="I63" s="90">
        <f ca="1">I62*Assumptions!$B$397</f>
        <v>0</v>
      </c>
      <c r="J63" s="90">
        <f ca="1">J62*Assumptions!$B$397</f>
        <v>0</v>
      </c>
      <c r="K63" s="90">
        <f ca="1">K62*Assumptions!$B$397</f>
        <v>0</v>
      </c>
      <c r="L63" s="90">
        <f ca="1">L62*Assumptions!$B$397</f>
        <v>0</v>
      </c>
      <c r="M63" s="90">
        <f ca="1">M62*Assumptions!$B$397</f>
        <v>0</v>
      </c>
      <c r="N63" s="90">
        <f ca="1">N62*Assumptions!$B$397</f>
        <v>0</v>
      </c>
      <c r="O63" s="90">
        <f ca="1">O62*Assumptions!$B$397</f>
        <v>0</v>
      </c>
      <c r="P63" s="90">
        <f ca="1">P62*Assumptions!$B$397</f>
        <v>0</v>
      </c>
      <c r="Q63" s="90">
        <f ca="1">Q62*Assumptions!$B$397</f>
        <v>0</v>
      </c>
      <c r="R63" s="90">
        <f ca="1">R62*Assumptions!$B$397</f>
        <v>0</v>
      </c>
      <c r="S63" s="90">
        <f ca="1">S62*Assumptions!$B$397</f>
        <v>0</v>
      </c>
    </row>
    <row r="64" spans="1:78" x14ac:dyDescent="0.2">
      <c r="A64" s="210" t="s">
        <v>1043</v>
      </c>
      <c r="B64" s="20"/>
      <c r="C64" s="20"/>
      <c r="D64" s="90">
        <f ca="1">( SUM($D$63:D63) - IF( D$5 &gt;= ROUND(Assumptions!$B$387,0), SUM( $D$63              : INDEX($D$63:$AC$63, MAX(1, D$5 - ROUND(Assumptions!$B$387,0) + 1)) ), 0 ) ) / Assumptions!$B$387</f>
        <v>0</v>
      </c>
      <c r="E64" s="90">
        <f ca="1">( SUM($D$63:E63) - IF( E$5 &gt;= ROUND(Assumptions!$B$387,0), SUM( $D$63              : INDEX($D$63:$AC$63, MAX(1, E$5 - ROUND(Assumptions!$B$387,0) + 1)) ), 0 ) ) / Assumptions!$B$387</f>
        <v>2903.3645833333335</v>
      </c>
      <c r="F64" s="90">
        <f ca="1">( SUM($D$63:F63) - IF( F$5 &gt;= ROUND(Assumptions!$B$387,0), SUM( $D$63              : INDEX($D$63:$AC$63, MAX(1, F$5 - ROUND(Assumptions!$B$387,0) + 1)) ), 0 ) ) / Assumptions!$B$387</f>
        <v>5806.729166666667</v>
      </c>
      <c r="G64" s="90">
        <f ca="1">( SUM($D$63:G63) - IF( G$5 &gt;= ROUND(Assumptions!$B$387,0), SUM( $D$63              : INDEX($D$63:$AC$63, MAX(1, G$5 - ROUND(Assumptions!$B$387,0) + 1)) ), 0 ) ) / Assumptions!$B$387</f>
        <v>8710.09375</v>
      </c>
      <c r="H64" s="90">
        <f ca="1">( SUM($D$63:H63) - IF( H$5 &gt;= ROUND(Assumptions!$B$387,0), SUM( $D$63              : INDEX($D$63:$AC$63, MAX(1, H$5 - ROUND(Assumptions!$B$387,0) + 1)) ), 0 ) ) / Assumptions!$B$387</f>
        <v>8710.09375</v>
      </c>
      <c r="I64" s="90">
        <f ca="1">( SUM($D$63:I63) - IF( I$5 &gt;= ROUND(Assumptions!$B$387,0), SUM( $D$63              : INDEX($D$63:$AC$63, MAX(1, I$5 - ROUND(Assumptions!$B$387,0) + 1)) ), 0 ) ) / Assumptions!$B$387</f>
        <v>8710.09375</v>
      </c>
      <c r="J64" s="90">
        <f ca="1">( SUM($D$63:J63) - IF( J$5 &gt;= ROUND(Assumptions!$B$387,0), SUM( $D$63              : INDEX($D$63:$AC$63, MAX(1, J$5 - ROUND(Assumptions!$B$387,0) + 1)) ), 0 ) ) / Assumptions!$B$387</f>
        <v>8710.09375</v>
      </c>
      <c r="K64" s="90">
        <f ca="1">( SUM($D$63:K63) - IF( K$5 &gt;= ROUND(Assumptions!$B$387,0), SUM( $D$63              : INDEX($D$63:$AC$63, MAX(1, K$5 - ROUND(Assumptions!$B$387,0) + 1)) ), 0 ) ) / Assumptions!$B$387</f>
        <v>8710.09375</v>
      </c>
      <c r="L64" s="90">
        <f ca="1">( SUM($D$63:L63) - IF( L$5 &gt;= ROUND(Assumptions!$B$387,0), SUM( $D$63              : INDEX($D$63:$AC$63, MAX(1, L$5 - ROUND(Assumptions!$B$387,0) + 1)) ), 0 ) ) / Assumptions!$B$387</f>
        <v>8710.09375</v>
      </c>
      <c r="M64" s="90">
        <f ca="1">( SUM($D$63:M63) - IF( M$5 &gt;= ROUND(Assumptions!$B$387,0), SUM( $D$63              : INDEX($D$63:$AC$63, MAX(1, M$5 - ROUND(Assumptions!$B$387,0) + 1)) ), 0 ) ) / Assumptions!$B$387</f>
        <v>5806.7291666666661</v>
      </c>
      <c r="N64" s="90">
        <f ca="1">( SUM($D$63:N63) - IF( N$5 &gt;= ROUND(Assumptions!$B$387,0), SUM( $D$63              : INDEX($D$63:$AC$63, MAX(1, N$5 - ROUND(Assumptions!$B$387,0) + 1)) ), 0 ) ) / Assumptions!$B$387</f>
        <v>2903.364583333333</v>
      </c>
      <c r="O64" s="90">
        <f ca="1">( SUM($D$63:O63) - IF( O$5 &gt;= ROUND(Assumptions!$B$387,0), SUM( $D$63              : INDEX($D$63:$AC$63, MAX(1, O$5 - ROUND(Assumptions!$B$387,0) + 1)) ), 0 ) ) / Assumptions!$B$387</f>
        <v>0</v>
      </c>
      <c r="P64" s="90">
        <f ca="1">( SUM($D$63:P63) - IF( P$5 &gt;= ROUND(Assumptions!$B$387,0), SUM( $D$63              : INDEX($D$63:$AC$63, MAX(1, P$5 - ROUND(Assumptions!$B$387,0) + 1)) ), 0 ) ) / Assumptions!$B$387</f>
        <v>0</v>
      </c>
      <c r="Q64" s="90">
        <f ca="1">( SUM($D$63:Q63) - IF( Q$5 &gt;= ROUND(Assumptions!$B$387,0), SUM( $D$63              : INDEX($D$63:$AC$63, MAX(1, Q$5 - ROUND(Assumptions!$B$387,0) + 1)) ), 0 ) ) / Assumptions!$B$387</f>
        <v>0</v>
      </c>
      <c r="R64" s="90">
        <f ca="1">( SUM($D$63:R63) - IF( R$5 &gt;= ROUND(Assumptions!$B$387,0), SUM( $D$63              : INDEX($D$63:$AC$63, MAX(1, R$5 - ROUND(Assumptions!$B$387,0) + 1)) ), 0 ) ) / Assumptions!$B$387</f>
        <v>0</v>
      </c>
      <c r="S64" s="90">
        <f ca="1">( SUM($D$63:S63) - IF( S$5 &gt;= ROUND(Assumptions!$B$387,0), SUM( $D$63              : INDEX($D$63:$AC$63, MAX(1, S$5 - ROUND(Assumptions!$B$387,0) + 1)) ), 0 ) ) / Assumptions!$B$387</f>
        <v>0</v>
      </c>
    </row>
    <row r="65" spans="1:19" x14ac:dyDescent="0.2">
      <c r="A65" s="8"/>
      <c r="B65" s="8"/>
      <c r="C65" s="8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</row>
    <row r="66" spans="1:19" x14ac:dyDescent="0.2">
      <c r="A66" s="177" t="s">
        <v>1044</v>
      </c>
      <c r="B66" s="8"/>
      <c r="C66" s="8"/>
      <c r="D66" s="66">
        <f ca="1">D57 - ( 'AI - Compute'!D47 + 'AI - Compute'!D86 ) * Assumptions!$B$383</f>
        <v>0</v>
      </c>
      <c r="E66" s="66">
        <f ca="1">E57 - ( 'AI - Compute'!E47 + 'AI - Compute'!E86 ) * Assumptions!$B$383</f>
        <v>0</v>
      </c>
      <c r="F66" s="66">
        <f ca="1">F57 - ( 'AI - Compute'!F47 + 'AI - Compute'!F86 ) * Assumptions!$B$383</f>
        <v>0</v>
      </c>
      <c r="G66" s="66">
        <f ca="1">G57 - ( 'AI - Compute'!G47 + 'AI - Compute'!G86 ) * Assumptions!$B$383</f>
        <v>0</v>
      </c>
      <c r="H66" s="66">
        <f ca="1">H57 - ( 'AI - Compute'!H47 + 'AI - Compute'!H86 ) * Assumptions!$B$383</f>
        <v>0</v>
      </c>
      <c r="I66" s="66">
        <f ca="1">I57 - ( 'AI - Compute'!I47 + 'AI - Compute'!I86 ) * Assumptions!$B$383</f>
        <v>0</v>
      </c>
      <c r="J66" s="66">
        <f ca="1">J57 - ( 'AI - Compute'!J47 + 'AI - Compute'!J86 ) * Assumptions!$B$383</f>
        <v>0</v>
      </c>
      <c r="K66" s="66">
        <f ca="1">K57 - ( 'AI - Compute'!K47 + 'AI - Compute'!K86 ) * Assumptions!$B$383</f>
        <v>0</v>
      </c>
      <c r="L66" s="66">
        <f ca="1">L57 - ( 'AI - Compute'!L47 + 'AI - Compute'!L86 ) * Assumptions!$B$383</f>
        <v>0</v>
      </c>
      <c r="M66" s="66">
        <f ca="1">M57 - ( 'AI - Compute'!M47 + 'AI - Compute'!M86 ) * Assumptions!$B$383</f>
        <v>0</v>
      </c>
      <c r="N66" s="66">
        <f ca="1">N57 - ( 'AI - Compute'!N47 + 'AI - Compute'!N86 ) * Assumptions!$B$383</f>
        <v>0</v>
      </c>
      <c r="O66" s="66">
        <f ca="1">O57 - ( 'AI - Compute'!O47 + 'AI - Compute'!O86 ) * Assumptions!$B$383</f>
        <v>0</v>
      </c>
      <c r="P66" s="66">
        <f ca="1">P57 - ( 'AI - Compute'!P47 + 'AI - Compute'!P86 ) * Assumptions!$B$383</f>
        <v>0</v>
      </c>
      <c r="Q66" s="66">
        <f ca="1">Q57 - ( 'AI - Compute'!Q47 + 'AI - Compute'!Q86 ) * Assumptions!$B$383</f>
        <v>0</v>
      </c>
      <c r="R66" s="66">
        <f ca="1">R57 - ( 'AI - Compute'!R47 + 'AI - Compute'!R86 ) * Assumptions!$B$383</f>
        <v>0</v>
      </c>
      <c r="S66" s="66">
        <f ca="1">S57 - ( 'AI - Compute'!S47 + 'AI - Compute'!S86 ) * Assumptions!$B$383</f>
        <v>0</v>
      </c>
    </row>
    <row r="67" spans="1:19" x14ac:dyDescent="0.2">
      <c r="A67" s="170" t="s">
        <v>1045</v>
      </c>
      <c r="B67" s="8"/>
      <c r="C67" s="8"/>
      <c r="D67" s="138">
        <f ca="1">'AI - Compute'!D47 + 'AI - Compute'!D86</f>
        <v>0</v>
      </c>
      <c r="E67" s="138">
        <f ca="1">'AI - Compute'!E47 + 'AI - Compute'!E86</f>
        <v>526441.04204676638</v>
      </c>
      <c r="F67" s="138">
        <f ca="1">'AI - Compute'!F47 + 'AI - Compute'!F86</f>
        <v>693561.07113171718</v>
      </c>
      <c r="G67" s="138">
        <f ca="1">'AI - Compute'!G47 + 'AI - Compute'!G86</f>
        <v>225796.88366746754</v>
      </c>
      <c r="H67" s="138">
        <f ca="1">'AI - Compute'!H47 + 'AI - Compute'!H86</f>
        <v>724048.15297004522</v>
      </c>
      <c r="I67" s="138">
        <f ca="1">'AI - Compute'!I47 + 'AI - Compute'!I86</f>
        <v>2087944.9742901106</v>
      </c>
      <c r="J67" s="138">
        <f ca="1">'AI - Compute'!J47 + 'AI - Compute'!J86</f>
        <v>4361131.8249752792</v>
      </c>
      <c r="K67" s="138">
        <f ca="1">'AI - Compute'!K47 + 'AI - Compute'!K86</f>
        <v>5227215.8071167497</v>
      </c>
      <c r="L67" s="138">
        <f ca="1">'AI - Compute'!L47 + 'AI - Compute'!L86</f>
        <v>2622730</v>
      </c>
      <c r="M67" s="138">
        <f ca="1">'AI - Compute'!M47 + 'AI - Compute'!M86</f>
        <v>3830828.5719415322</v>
      </c>
      <c r="N67" s="138">
        <f ca="1">'AI - Compute'!N47 + 'AI - Compute'!N86</f>
        <v>6345912.4602592345</v>
      </c>
      <c r="O67" s="138">
        <f ca="1">'AI - Compute'!O47 + 'AI - Compute'!O86</f>
        <v>9875614.2143146824</v>
      </c>
      <c r="P67" s="138">
        <f ca="1">'AI - Compute'!P47 + 'AI - Compute'!P86</f>
        <v>12409459.539707288</v>
      </c>
      <c r="Q67" s="138">
        <f ca="1">'AI - Compute'!Q47 + 'AI - Compute'!Q86</f>
        <v>12213074.932467194</v>
      </c>
      <c r="R67" s="138">
        <f ca="1">'AI - Compute'!R47 + 'AI - Compute'!R86</f>
        <v>16565339.455926776</v>
      </c>
      <c r="S67" s="138">
        <f ca="1">'AI - Compute'!S47 + 'AI - Compute'!S86</f>
        <v>22515562.1090203</v>
      </c>
    </row>
    <row r="68" spans="1:19" x14ac:dyDescent="0.2">
      <c r="A68" s="170" t="s">
        <v>1050</v>
      </c>
      <c r="B68" s="8"/>
      <c r="C68" s="8"/>
      <c r="D68" s="78">
        <f ca="1">D62</f>
        <v>0</v>
      </c>
      <c r="E68" s="78">
        <f t="shared" ref="E68:S68" ca="1" si="13">E62</f>
        <v>46453.833333333336</v>
      </c>
      <c r="F68" s="78">
        <f t="shared" ca="1" si="13"/>
        <v>46453.833333333336</v>
      </c>
      <c r="G68" s="78">
        <f t="shared" ca="1" si="13"/>
        <v>46453.833333333336</v>
      </c>
      <c r="H68" s="78">
        <f t="shared" ca="1" si="13"/>
        <v>0</v>
      </c>
      <c r="I68" s="78">
        <f t="shared" ca="1" si="13"/>
        <v>0</v>
      </c>
      <c r="J68" s="78">
        <f t="shared" ca="1" si="13"/>
        <v>0</v>
      </c>
      <c r="K68" s="78">
        <f t="shared" ca="1" si="13"/>
        <v>0</v>
      </c>
      <c r="L68" s="78">
        <f t="shared" ca="1" si="13"/>
        <v>0</v>
      </c>
      <c r="M68" s="78">
        <f t="shared" ca="1" si="13"/>
        <v>0</v>
      </c>
      <c r="N68" s="78">
        <f t="shared" ca="1" si="13"/>
        <v>0</v>
      </c>
      <c r="O68" s="78">
        <f t="shared" ca="1" si="13"/>
        <v>0</v>
      </c>
      <c r="P68" s="78">
        <f t="shared" ca="1" si="13"/>
        <v>0</v>
      </c>
      <c r="Q68" s="78">
        <f t="shared" ca="1" si="13"/>
        <v>0</v>
      </c>
      <c r="R68" s="78">
        <f t="shared" ca="1" si="13"/>
        <v>0</v>
      </c>
      <c r="S68" s="78">
        <f t="shared" ca="1" si="13"/>
        <v>0</v>
      </c>
    </row>
    <row r="69" spans="1:19" x14ac:dyDescent="0.2">
      <c r="A69" s="170" t="s">
        <v>1051</v>
      </c>
      <c r="B69" s="8"/>
      <c r="C69" s="8"/>
      <c r="D69" s="78">
        <f ca="1">D62-D63</f>
        <v>0</v>
      </c>
      <c r="E69" s="78">
        <f t="shared" ref="E69:S69" ca="1" si="14">E62-E63</f>
        <v>23226.916666666668</v>
      </c>
      <c r="F69" s="78">
        <f t="shared" ca="1" si="14"/>
        <v>23226.916666666668</v>
      </c>
      <c r="G69" s="78">
        <f t="shared" ca="1" si="14"/>
        <v>23226.916666666668</v>
      </c>
      <c r="H69" s="78">
        <f t="shared" ca="1" si="14"/>
        <v>0</v>
      </c>
      <c r="I69" s="78">
        <f t="shared" ca="1" si="14"/>
        <v>0</v>
      </c>
      <c r="J69" s="78">
        <f t="shared" ca="1" si="14"/>
        <v>0</v>
      </c>
      <c r="K69" s="78">
        <f t="shared" ca="1" si="14"/>
        <v>0</v>
      </c>
      <c r="L69" s="78">
        <f t="shared" ca="1" si="14"/>
        <v>0</v>
      </c>
      <c r="M69" s="78">
        <f t="shared" ca="1" si="14"/>
        <v>0</v>
      </c>
      <c r="N69" s="78">
        <f t="shared" ca="1" si="14"/>
        <v>0</v>
      </c>
      <c r="O69" s="78">
        <f t="shared" ca="1" si="14"/>
        <v>0</v>
      </c>
      <c r="P69" s="78">
        <f t="shared" ca="1" si="14"/>
        <v>0</v>
      </c>
      <c r="Q69" s="78">
        <f t="shared" ca="1" si="14"/>
        <v>0</v>
      </c>
      <c r="R69" s="78">
        <f t="shared" ca="1" si="14"/>
        <v>0</v>
      </c>
      <c r="S69" s="78">
        <f t="shared" ca="1" si="14"/>
        <v>0</v>
      </c>
    </row>
    <row r="70" spans="1:19" x14ac:dyDescent="0.2">
      <c r="A70" s="168" t="s">
        <v>1750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</row>
    <row r="71" spans="1:19" x14ac:dyDescent="0.2">
      <c r="A71" s="170" t="s">
        <v>1185</v>
      </c>
      <c r="B71" s="8"/>
      <c r="C71" s="8"/>
      <c r="D71" s="66" cm="1">
        <f t="array" aca="1" ref="D71" ca="1">IF(D$4=2025,INDEX('Group P&amp;L'!$D:$AC,MATCH("Group Revenue ($mm)",'Group P&amp;L'!$A:$A,0),D$5+1),INDEX('Group P&amp;L'!$D:$AC,MATCH("Group Revenue ($mm)",'Group P&amp;L'!$A:$A,0),D$5))*INDEX(Assumptions!$B:$B,MATCH("Corporate, IT &amp; HQ CapEx (% of Group revenue)",Assumptions!$A:$A,0))</f>
        <v>506.14864406258175</v>
      </c>
      <c r="E71" s="66" cm="1">
        <f t="array" aca="1" ref="E71" ca="1">IF(E$4=2025,INDEX('Group P&amp;L'!$D:$AC,MATCH("Group Revenue ($mm)",'Group P&amp;L'!$A:$A,0),E$5+1),INDEX('Group P&amp;L'!$D:$AC,MATCH("Group Revenue ($mm)",'Group P&amp;L'!$A:$A,0),E$5))*INDEX(Assumptions!$B:$B,MATCH("Corporate, IT &amp; HQ CapEx (% of Group revenue)",Assumptions!$A:$A,0))</f>
        <v>506.14864406258175</v>
      </c>
      <c r="F71" s="66" cm="1">
        <f t="array" aca="1" ref="F71" ca="1">IF(F$4=2025,INDEX('Group P&amp;L'!$D:$AC,MATCH("Group Revenue ($mm)",'Group P&amp;L'!$A:$A,0),F$5+1),INDEX('Group P&amp;L'!$D:$AC,MATCH("Group Revenue ($mm)",'Group P&amp;L'!$A:$A,0),F$5))*INDEX(Assumptions!$B:$B,MATCH("Corporate, IT &amp; HQ CapEx (% of Group revenue)",Assumptions!$A:$A,0))</f>
        <v>831.78334859616109</v>
      </c>
      <c r="G71" s="66" cm="1">
        <f t="array" aca="1" ref="G71" ca="1">IF(G$4=2025,INDEX('Group P&amp;L'!$D:$AC,MATCH("Group Revenue ($mm)",'Group P&amp;L'!$A:$A,0),G$5+1),INDEX('Group P&amp;L'!$D:$AC,MATCH("Group Revenue ($mm)",'Group P&amp;L'!$A:$A,0),G$5))*INDEX(Assumptions!$B:$B,MATCH("Corporate, IT &amp; HQ CapEx (% of Group revenue)",Assumptions!$A:$A,0))</f>
        <v>2663.0516360921652</v>
      </c>
      <c r="H71" s="66" cm="1">
        <f t="array" aca="1" ref="H71" ca="1">IF(H$4=2025,INDEX('Group P&amp;L'!$D:$AC,MATCH("Group Revenue ($mm)",'Group P&amp;L'!$A:$A,0),H$5+1),INDEX('Group P&amp;L'!$D:$AC,MATCH("Group Revenue ($mm)",'Group P&amp;L'!$A:$A,0),H$5))*INDEX(Assumptions!$B:$B,MATCH("Corporate, IT &amp; HQ CapEx (% of Group revenue)",Assumptions!$A:$A,0))</f>
        <v>4653.4547716998559</v>
      </c>
      <c r="I71" s="66" cm="1">
        <f t="array" aca="1" ref="I71" ca="1">IF(I$4=2025,INDEX('Group P&amp;L'!$D:$AC,MATCH("Group Revenue ($mm)",'Group P&amp;L'!$A:$A,0),I$5+1),INDEX('Group P&amp;L'!$D:$AC,MATCH("Group Revenue ($mm)",'Group P&amp;L'!$A:$A,0),I$5))*INDEX(Assumptions!$B:$B,MATCH("Corporate, IT &amp; HQ CapEx (% of Group revenue)",Assumptions!$A:$A,0))</f>
        <v>7377.0314806394072</v>
      </c>
      <c r="J71" s="66" cm="1">
        <f t="array" aca="1" ref="J71" ca="1">IF(J$4=2025,INDEX('Group P&amp;L'!$D:$AC,MATCH("Group Revenue ($mm)",'Group P&amp;L'!$A:$A,0),J$5+1),INDEX('Group P&amp;L'!$D:$AC,MATCH("Group Revenue ($mm)",'Group P&amp;L'!$A:$A,0),J$5))*INDEX(Assumptions!$B:$B,MATCH("Corporate, IT &amp; HQ CapEx (% of Group revenue)",Assumptions!$A:$A,0))</f>
        <v>9976.5246842824654</v>
      </c>
      <c r="K71" s="66" cm="1">
        <f t="array" aca="1" ref="K71" ca="1">IF(K$4=2025,INDEX('Group P&amp;L'!$D:$AC,MATCH("Group Revenue ($mm)",'Group P&amp;L'!$A:$A,0),K$5+1),INDEX('Group P&amp;L'!$D:$AC,MATCH("Group Revenue ($mm)",'Group P&amp;L'!$A:$A,0),K$5))*INDEX(Assumptions!$B:$B,MATCH("Corporate, IT &amp; HQ CapEx (% of Group revenue)",Assumptions!$A:$A,0))</f>
        <v>13635.697201723166</v>
      </c>
      <c r="L71" s="66" cm="1">
        <f t="array" aca="1" ref="L71" ca="1">IF(L$4=2025,INDEX('Group P&amp;L'!$D:$AC,MATCH("Group Revenue ($mm)",'Group P&amp;L'!$A:$A,0),L$5+1),INDEX('Group P&amp;L'!$D:$AC,MATCH("Group Revenue ($mm)",'Group P&amp;L'!$A:$A,0),L$5))*INDEX(Assumptions!$B:$B,MATCH("Corporate, IT &amp; HQ CapEx (% of Group revenue)",Assumptions!$A:$A,0))</f>
        <v>16072.901564032014</v>
      </c>
      <c r="M71" s="66" cm="1">
        <f t="array" aca="1" ref="M71" ca="1">IF(M$4=2025,INDEX('Group P&amp;L'!$D:$AC,MATCH("Group Revenue ($mm)",'Group P&amp;L'!$A:$A,0),M$5+1),INDEX('Group P&amp;L'!$D:$AC,MATCH("Group Revenue ($mm)",'Group P&amp;L'!$A:$A,0),M$5))*INDEX(Assumptions!$B:$B,MATCH("Corporate, IT &amp; HQ CapEx (% of Group revenue)",Assumptions!$A:$A,0))</f>
        <v>17376.368888589084</v>
      </c>
      <c r="N71" s="66" cm="1">
        <f t="array" aca="1" ref="N71" ca="1">IF(N$4=2025,INDEX('Group P&amp;L'!$D:$AC,MATCH("Group Revenue ($mm)",'Group P&amp;L'!$A:$A,0),N$5+1),INDEX('Group P&amp;L'!$D:$AC,MATCH("Group Revenue ($mm)",'Group P&amp;L'!$A:$A,0),N$5))*INDEX(Assumptions!$B:$B,MATCH("Corporate, IT &amp; HQ CapEx (% of Group revenue)",Assumptions!$A:$A,0))</f>
        <v>19264.023362383319</v>
      </c>
      <c r="O71" s="66" cm="1">
        <f t="array" aca="1" ref="O71" ca="1">IF(O$4=2025,INDEX('Group P&amp;L'!$D:$AC,MATCH("Group Revenue ($mm)",'Group P&amp;L'!$A:$A,0),O$5+1),INDEX('Group P&amp;L'!$D:$AC,MATCH("Group Revenue ($mm)",'Group P&amp;L'!$A:$A,0),O$5))*INDEX(Assumptions!$B:$B,MATCH("Corporate, IT &amp; HQ CapEx (% of Group revenue)",Assumptions!$A:$A,0))</f>
        <v>22891.799584534121</v>
      </c>
      <c r="P71" s="66" cm="1">
        <f t="array" aca="1" ref="P71" ca="1">IF(P$4=2025,INDEX('Group P&amp;L'!$D:$AC,MATCH("Group Revenue ($mm)",'Group P&amp;L'!$A:$A,0),P$5+1),INDEX('Group P&amp;L'!$D:$AC,MATCH("Group Revenue ($mm)",'Group P&amp;L'!$A:$A,0),P$5))*INDEX(Assumptions!$B:$B,MATCH("Corporate, IT &amp; HQ CapEx (% of Group revenue)",Assumptions!$A:$A,0))</f>
        <v>28274.778635646224</v>
      </c>
      <c r="Q71" s="66" cm="1">
        <f t="array" aca="1" ref="Q71" ca="1">IF(Q$4=2025,INDEX('Group P&amp;L'!$D:$AC,MATCH("Group Revenue ($mm)",'Group P&amp;L'!$A:$A,0),Q$5+1),INDEX('Group P&amp;L'!$D:$AC,MATCH("Group Revenue ($mm)",'Group P&amp;L'!$A:$A,0),Q$5))*INDEX(Assumptions!$B:$B,MATCH("Corporate, IT &amp; HQ CapEx (% of Group revenue)",Assumptions!$A:$A,0))</f>
        <v>34893.335553634337</v>
      </c>
      <c r="R71" s="66" cm="1">
        <f t="array" aca="1" ref="R71" ca="1">IF(R$4=2025,INDEX('Group P&amp;L'!$D:$AC,MATCH("Group Revenue ($mm)",'Group P&amp;L'!$A:$A,0),R$5+1),INDEX('Group P&amp;L'!$D:$AC,MATCH("Group Revenue ($mm)",'Group P&amp;L'!$A:$A,0),R$5))*INDEX(Assumptions!$B:$B,MATCH("Corporate, IT &amp; HQ CapEx (% of Group revenue)",Assumptions!$A:$A,0))</f>
        <v>41082.89937228393</v>
      </c>
      <c r="S71" s="66" cm="1">
        <f t="array" aca="1" ref="S71" ca="1">IF(S$4=2025,INDEX('Group P&amp;L'!$D:$AC,MATCH("Group Revenue ($mm)",'Group P&amp;L'!$A:$A,0),S$5+1),INDEX('Group P&amp;L'!$D:$AC,MATCH("Group Revenue ($mm)",'Group P&amp;L'!$A:$A,0),S$5))*INDEX(Assumptions!$B:$B,MATCH("Corporate, IT &amp; HQ CapEx (% of Group revenue)",Assumptions!$A:$A,0))</f>
        <v>49912.035423451744</v>
      </c>
    </row>
    <row r="72" spans="1:19" x14ac:dyDescent="0.2">
      <c r="A72" s="170" t="s">
        <v>1186</v>
      </c>
      <c r="B72" s="8"/>
      <c r="C72" s="8"/>
      <c r="D72" s="66" cm="1">
        <f t="array" aca="1" ref="D72" ca="1">MAX(C72,IF(D$4=2025,INDEX('Vehicle Build'!$D:$AC,MATCH("Starship launches per year",'Vehicle Build'!$A$1:$A$119,0),D$5+1)+INDEX('Vehicle Build'!$D:$AC,MATCH("F9 launches per year",'Vehicle Build'!$A$1:$A$119,0),D$5+1),INDEX('Vehicle Build'!$D:$AC,MATCH("Starship launches per year",'Vehicle Build'!$A$1:$A$119,0),D$5)+INDEX('Vehicle Build'!$D:$AC,MATCH("F9 launches per year",'Vehicle Build'!$A$1:$A$119,0),D$5)))</f>
        <v>171</v>
      </c>
      <c r="E72" s="66" cm="1">
        <f t="array" aca="1" ref="E72" ca="1">MAX(D72,IF(E$4=2025,INDEX('Vehicle Build'!$D:$AC,MATCH("Starship launches per year",'Vehicle Build'!$A$1:$A$119,0),E$5+1)+INDEX('Vehicle Build'!$D:$AC,MATCH("F9 launches per year",'Vehicle Build'!$A$1:$A$119,0),E$5+1),INDEX('Vehicle Build'!$D:$AC,MATCH("Starship launches per year",'Vehicle Build'!$A$1:$A$119,0),E$5)+INDEX('Vehicle Build'!$D:$AC,MATCH("F9 launches per year",'Vehicle Build'!$A$1:$A$119,0),E$5)))</f>
        <v>171</v>
      </c>
      <c r="F72" s="66" cm="1">
        <f t="array" aca="1" ref="F72" ca="1">MAX(E72,IF(F$4=2025,INDEX('Vehicle Build'!$D:$AC,MATCH("Starship launches per year",'Vehicle Build'!$A$1:$A$119,0),F$5+1)+INDEX('Vehicle Build'!$D:$AC,MATCH("F9 launches per year",'Vehicle Build'!$A$1:$A$119,0),F$5+1),INDEX('Vehicle Build'!$D:$AC,MATCH("Starship launches per year",'Vehicle Build'!$A$1:$A$119,0),F$5)+INDEX('Vehicle Build'!$D:$AC,MATCH("F9 launches per year",'Vehicle Build'!$A$1:$A$119,0),F$5)))</f>
        <v>171</v>
      </c>
      <c r="G72" s="66" cm="1">
        <f t="array" aca="1" ref="G72" ca="1">MAX(F72,IF(G$4=2025,INDEX('Vehicle Build'!$D:$AC,MATCH("Starship launches per year",'Vehicle Build'!$A$1:$A$119,0),G$5+1)+INDEX('Vehicle Build'!$D:$AC,MATCH("F9 launches per year",'Vehicle Build'!$A$1:$A$119,0),G$5+1),INDEX('Vehicle Build'!$D:$AC,MATCH("Starship launches per year",'Vehicle Build'!$A$1:$A$119,0),G$5)+INDEX('Vehicle Build'!$D:$AC,MATCH("F9 launches per year",'Vehicle Build'!$A$1:$A$119,0),G$5)))</f>
        <v>171</v>
      </c>
      <c r="H72" s="66" cm="1">
        <f t="array" aca="1" ref="H72" ca="1">MAX(G72,IF(H$4=2025,INDEX('Vehicle Build'!$D:$AC,MATCH("Starship launches per year",'Vehicle Build'!$A$1:$A$119,0),H$5+1)+INDEX('Vehicle Build'!$D:$AC,MATCH("F9 launches per year",'Vehicle Build'!$A$1:$A$119,0),H$5+1),INDEX('Vehicle Build'!$D:$AC,MATCH("Starship launches per year",'Vehicle Build'!$A$1:$A$119,0),H$5)+INDEX('Vehicle Build'!$D:$AC,MATCH("F9 launches per year",'Vehicle Build'!$A$1:$A$119,0),H$5)))</f>
        <v>187</v>
      </c>
      <c r="I72" s="66" cm="1">
        <f t="array" aca="1" ref="I72" ca="1">MAX(H72,IF(I$4=2025,INDEX('Vehicle Build'!$D:$AC,MATCH("Starship launches per year",'Vehicle Build'!$A$1:$A$119,0),I$5+1)+INDEX('Vehicle Build'!$D:$AC,MATCH("F9 launches per year",'Vehicle Build'!$A$1:$A$119,0),I$5+1),INDEX('Vehicle Build'!$D:$AC,MATCH("Starship launches per year",'Vehicle Build'!$A$1:$A$119,0),I$5)+INDEX('Vehicle Build'!$D:$AC,MATCH("F9 launches per year",'Vehicle Build'!$A$1:$A$119,0),I$5)))</f>
        <v>294</v>
      </c>
      <c r="J72" s="66" cm="1">
        <f t="array" aca="1" ref="J72" ca="1">MAX(I72,IF(J$4=2025,INDEX('Vehicle Build'!$D:$AC,MATCH("Starship launches per year",'Vehicle Build'!$A$1:$A$119,0),J$5+1)+INDEX('Vehicle Build'!$D:$AC,MATCH("F9 launches per year",'Vehicle Build'!$A$1:$A$119,0),J$5+1),INDEX('Vehicle Build'!$D:$AC,MATCH("Starship launches per year",'Vehicle Build'!$A$1:$A$119,0),J$5)+INDEX('Vehicle Build'!$D:$AC,MATCH("F9 launches per year",'Vehicle Build'!$A$1:$A$119,0),J$5)))</f>
        <v>433.23170104981307</v>
      </c>
      <c r="K72" s="66" cm="1">
        <f t="array" aca="1" ref="K72" ca="1">MAX(J72,IF(K$4=2025,INDEX('Vehicle Build'!$D:$AC,MATCH("Starship launches per year",'Vehicle Build'!$A$1:$A$119,0),K$5+1)+INDEX('Vehicle Build'!$D:$AC,MATCH("F9 launches per year",'Vehicle Build'!$A$1:$A$119,0),K$5+1),INDEX('Vehicle Build'!$D:$AC,MATCH("Starship launches per year",'Vehicle Build'!$A$1:$A$119,0),K$5)+INDEX('Vehicle Build'!$D:$AC,MATCH("F9 launches per year",'Vehicle Build'!$A$1:$A$119,0),K$5)))</f>
        <v>636.16288761558133</v>
      </c>
      <c r="L72" s="66" cm="1">
        <f t="array" aca="1" ref="L72" ca="1">MAX(K72,IF(L$4=2025,INDEX('Vehicle Build'!$D:$AC,MATCH("Starship launches per year",'Vehicle Build'!$A$1:$A$119,0),L$5+1)+INDEX('Vehicle Build'!$D:$AC,MATCH("F9 launches per year",'Vehicle Build'!$A$1:$A$119,0),L$5+1),INDEX('Vehicle Build'!$D:$AC,MATCH("Starship launches per year",'Vehicle Build'!$A$1:$A$119,0),L$5)+INDEX('Vehicle Build'!$D:$AC,MATCH("F9 launches per year",'Vehicle Build'!$A$1:$A$119,0),L$5)))</f>
        <v>765.39157202967226</v>
      </c>
      <c r="M72" s="66" cm="1">
        <f t="array" aca="1" ref="M72" ca="1">MAX(L72,IF(M$4=2025,INDEX('Vehicle Build'!$D:$AC,MATCH("Starship launches per year",'Vehicle Build'!$A$1:$A$119,0),M$5+1)+INDEX('Vehicle Build'!$D:$AC,MATCH("F9 launches per year",'Vehicle Build'!$A$1:$A$119,0),M$5+1),INDEX('Vehicle Build'!$D:$AC,MATCH("Starship launches per year",'Vehicle Build'!$A$1:$A$119,0),M$5)+INDEX('Vehicle Build'!$D:$AC,MATCH("F9 launches per year",'Vehicle Build'!$A$1:$A$119,0),M$5)))</f>
        <v>885.56283802826749</v>
      </c>
      <c r="N72" s="66" cm="1">
        <f t="array" aca="1" ref="N72" ca="1">MAX(M72,IF(N$4=2025,INDEX('Vehicle Build'!$D:$AC,MATCH("Starship launches per year",'Vehicle Build'!$A$1:$A$119,0),N$5+1)+INDEX('Vehicle Build'!$D:$AC,MATCH("F9 launches per year",'Vehicle Build'!$A$1:$A$119,0),N$5+1),INDEX('Vehicle Build'!$D:$AC,MATCH("Starship launches per year",'Vehicle Build'!$A$1:$A$119,0),N$5)+INDEX('Vehicle Build'!$D:$AC,MATCH("F9 launches per year",'Vehicle Build'!$A$1:$A$119,0),N$5)))</f>
        <v>1183.0991890573014</v>
      </c>
      <c r="O72" s="66" cm="1">
        <f t="array" aca="1" ref="O72" ca="1">MAX(N72,IF(O$4=2025,INDEX('Vehicle Build'!$D:$AC,MATCH("Starship launches per year",'Vehicle Build'!$A$1:$A$119,0),O$5+1)+INDEX('Vehicle Build'!$D:$AC,MATCH("F9 launches per year",'Vehicle Build'!$A$1:$A$119,0),O$5+1),INDEX('Vehicle Build'!$D:$AC,MATCH("Starship launches per year",'Vehicle Build'!$A$1:$A$119,0),O$5)+INDEX('Vehicle Build'!$D:$AC,MATCH("F9 launches per year",'Vehicle Build'!$A$1:$A$119,0),O$5)))</f>
        <v>1336.3042350430974</v>
      </c>
      <c r="P72" s="66" cm="1">
        <f t="array" aca="1" ref="P72" ca="1">MAX(O72,IF(P$4=2025,INDEX('Vehicle Build'!$D:$AC,MATCH("Starship launches per year",'Vehicle Build'!$A$1:$A$119,0),P$5+1)+INDEX('Vehicle Build'!$D:$AC,MATCH("F9 launches per year",'Vehicle Build'!$A$1:$A$119,0),P$5+1),INDEX('Vehicle Build'!$D:$AC,MATCH("Starship launches per year",'Vehicle Build'!$A$1:$A$119,0),P$5)+INDEX('Vehicle Build'!$D:$AC,MATCH("F9 launches per year",'Vehicle Build'!$A$1:$A$119,0),P$5)))</f>
        <v>1714.6288356528992</v>
      </c>
      <c r="Q72" s="66" cm="1">
        <f t="array" aca="1" ref="Q72" ca="1">MAX(P72,IF(Q$4=2025,INDEX('Vehicle Build'!$D:$AC,MATCH("Starship launches per year",'Vehicle Build'!$A$1:$A$119,0),Q$5+1)+INDEX('Vehicle Build'!$D:$AC,MATCH("F9 launches per year",'Vehicle Build'!$A$1:$A$119,0),Q$5+1),INDEX('Vehicle Build'!$D:$AC,MATCH("Starship launches per year",'Vehicle Build'!$A$1:$A$119,0),Q$5)+INDEX('Vehicle Build'!$D:$AC,MATCH("F9 launches per year",'Vehicle Build'!$A$1:$A$119,0),Q$5)))</f>
        <v>1714.6288356528992</v>
      </c>
      <c r="R72" s="66" cm="1">
        <f t="array" aca="1" ref="R72" ca="1">MAX(Q72,IF(R$4=2025,INDEX('Vehicle Build'!$D:$AC,MATCH("Starship launches per year",'Vehicle Build'!$A$1:$A$119,0),R$5+1)+INDEX('Vehicle Build'!$D:$AC,MATCH("F9 launches per year",'Vehicle Build'!$A$1:$A$119,0),R$5+1),INDEX('Vehicle Build'!$D:$AC,MATCH("Starship launches per year",'Vehicle Build'!$A$1:$A$119,0),R$5)+INDEX('Vehicle Build'!$D:$AC,MATCH("F9 launches per year",'Vehicle Build'!$A$1:$A$119,0),R$5)))</f>
        <v>1714.6288356528992</v>
      </c>
      <c r="S72" s="66" cm="1">
        <f t="array" aca="1" ref="S72" ca="1">MAX(R72,IF(S$4=2025,INDEX('Vehicle Build'!$D:$AC,MATCH("Starship launches per year",'Vehicle Build'!$A$1:$A$119,0),S$5+1)+INDEX('Vehicle Build'!$D:$AC,MATCH("F9 launches per year",'Vehicle Build'!$A$1:$A$119,0),S$5+1),INDEX('Vehicle Build'!$D:$AC,MATCH("Starship launches per year",'Vehicle Build'!$A$1:$A$119,0),S$5)+INDEX('Vehicle Build'!$D:$AC,MATCH("F9 launches per year",'Vehicle Build'!$A$1:$A$119,0),S$5)))</f>
        <v>1714.6288356528992</v>
      </c>
    </row>
    <row r="73" spans="1:19" x14ac:dyDescent="0.2">
      <c r="A73" s="170" t="s">
        <v>1187</v>
      </c>
      <c r="B73" s="8"/>
      <c r="C73" s="8"/>
      <c r="D73" s="66">
        <f ca="1">MAX(0,D72-C72)*INDEX(Assumptions!$B:$B,MATCH("Launch-site infra CapEx ($mm per annual launch of capacity)",Assumptions!$A:$A,0))</f>
        <v>2223</v>
      </c>
      <c r="E73" s="66">
        <f ca="1">MAX(0,E72-D72)*INDEX(Assumptions!$B:$B,MATCH("Launch-site infra CapEx ($mm per annual launch of capacity)",Assumptions!$A:$A,0))</f>
        <v>0</v>
      </c>
      <c r="F73" s="66">
        <f ca="1">MAX(0,F72-E72)*INDEX(Assumptions!$B:$B,MATCH("Launch-site infra CapEx ($mm per annual launch of capacity)",Assumptions!$A:$A,0))</f>
        <v>0</v>
      </c>
      <c r="G73" s="66">
        <f ca="1">MAX(0,G72-F72)*INDEX(Assumptions!$B:$B,MATCH("Launch-site infra CapEx ($mm per annual launch of capacity)",Assumptions!$A:$A,0))</f>
        <v>0</v>
      </c>
      <c r="H73" s="66">
        <f ca="1">MAX(0,H72-G72)*INDEX(Assumptions!$B:$B,MATCH("Launch-site infra CapEx ($mm per annual launch of capacity)",Assumptions!$A:$A,0))</f>
        <v>208</v>
      </c>
      <c r="I73" s="66">
        <f ca="1">MAX(0,I72-H72)*INDEX(Assumptions!$B:$B,MATCH("Launch-site infra CapEx ($mm per annual launch of capacity)",Assumptions!$A:$A,0))</f>
        <v>1391</v>
      </c>
      <c r="J73" s="66">
        <f ca="1">MAX(0,J72-I72)*INDEX(Assumptions!$B:$B,MATCH("Launch-site infra CapEx ($mm per annual launch of capacity)",Assumptions!$A:$A,0))</f>
        <v>1810.01211364757</v>
      </c>
      <c r="K73" s="66">
        <f ca="1">MAX(0,K72-J72)*INDEX(Assumptions!$B:$B,MATCH("Launch-site infra CapEx ($mm per annual launch of capacity)",Assumptions!$A:$A,0))</f>
        <v>2638.1054253549873</v>
      </c>
      <c r="L73" s="66">
        <f ca="1">MAX(0,L72-K72)*INDEX(Assumptions!$B:$B,MATCH("Launch-site infra CapEx ($mm per annual launch of capacity)",Assumptions!$A:$A,0))</f>
        <v>1679.972897383182</v>
      </c>
      <c r="M73" s="66">
        <f ca="1">MAX(0,M72-L72)*INDEX(Assumptions!$B:$B,MATCH("Launch-site infra CapEx ($mm per annual launch of capacity)",Assumptions!$A:$A,0))</f>
        <v>1562.2264579817379</v>
      </c>
      <c r="N73" s="66">
        <f ca="1">MAX(0,N72-M72)*INDEX(Assumptions!$B:$B,MATCH("Launch-site infra CapEx ($mm per annual launch of capacity)",Assumptions!$A:$A,0))</f>
        <v>3867.9725633774406</v>
      </c>
      <c r="O73" s="66">
        <f ca="1">MAX(0,O72-N72)*INDEX(Assumptions!$B:$B,MATCH("Launch-site infra CapEx ($mm per annual launch of capacity)",Assumptions!$A:$A,0))</f>
        <v>1991.6655978153481</v>
      </c>
      <c r="P73" s="66">
        <f ca="1">MAX(0,P72-O72)*INDEX(Assumptions!$B:$B,MATCH("Launch-site infra CapEx ($mm per annual launch of capacity)",Assumptions!$A:$A,0))</f>
        <v>4918.2198079274231</v>
      </c>
      <c r="Q73" s="66">
        <f ca="1">MAX(0,Q72-P72)*INDEX(Assumptions!$B:$B,MATCH("Launch-site infra CapEx ($mm per annual launch of capacity)",Assumptions!$A:$A,0))</f>
        <v>0</v>
      </c>
      <c r="R73" s="66">
        <f ca="1">MAX(0,R72-Q72)*INDEX(Assumptions!$B:$B,MATCH("Launch-site infra CapEx ($mm per annual launch of capacity)",Assumptions!$A:$A,0))</f>
        <v>0</v>
      </c>
      <c r="S73" s="66">
        <f ca="1">MAX(0,S72-R72)*INDEX(Assumptions!$B:$B,MATCH("Launch-site infra CapEx ($mm per annual launch of capacity)",Assumptions!$A:$A,0))</f>
        <v>0</v>
      </c>
    </row>
    <row r="74" spans="1:19" x14ac:dyDescent="0.2">
      <c r="A74" s="170" t="s">
        <v>1188</v>
      </c>
      <c r="B74" s="8"/>
      <c r="C74" s="8"/>
      <c r="D74" s="66" cm="1">
        <f t="array" ref="D74">IF(D$4=2025,INDEX('Group P&amp;L'!$D:$AC,MATCH("Revenue: Starlink",'Group P&amp;L'!$A:$A,0),D$5+1),INDEX('Group P&amp;L'!$D:$AC,MATCH("Revenue: Starlink",'Group P&amp;L'!$A:$A,0),D$5))*INDEX(Assumptions!$B:$B,MATCH("Starlink ground-network CapEx (% of Starlink revenue)",Assumptions!$A:$A,0))</f>
        <v>435.16499321437908</v>
      </c>
      <c r="E74" s="66" cm="1">
        <f t="array" ref="E74">IF(E$4=2025,INDEX('Group P&amp;L'!$D:$AC,MATCH("Revenue: Starlink",'Group P&amp;L'!$A:$A,0),E$5+1),INDEX('Group P&amp;L'!$D:$AC,MATCH("Revenue: Starlink",'Group P&amp;L'!$A:$A,0),E$5))*INDEX(Assumptions!$B:$B,MATCH("Starlink ground-network CapEx (% of Starlink revenue)",Assumptions!$A:$A,0))</f>
        <v>435.16499321437908</v>
      </c>
      <c r="F74" s="66" cm="1">
        <f t="array" aca="1" ref="F74" ca="1">IF(F$4=2025,INDEX('Group P&amp;L'!$D:$AC,MATCH("Revenue: Starlink",'Group P&amp;L'!$A:$A,0),F$5+1),INDEX('Group P&amp;L'!$D:$AC,MATCH("Revenue: Starlink",'Group P&amp;L'!$A:$A,0),F$5))*INDEX(Assumptions!$B:$B,MATCH("Starlink ground-network CapEx (% of Starlink revenue)",Assumptions!$A:$A,0))</f>
        <v>570.07959414533934</v>
      </c>
      <c r="G74" s="66" cm="1">
        <f t="array" aca="1" ref="G74" ca="1">IF(G$4=2025,INDEX('Group P&amp;L'!$D:$AC,MATCH("Revenue: Starlink",'Group P&amp;L'!$A:$A,0),G$5+1),INDEX('Group P&amp;L'!$D:$AC,MATCH("Revenue: Starlink",'Group P&amp;L'!$A:$A,0),G$5))*INDEX(Assumptions!$B:$B,MATCH("Starlink ground-network CapEx (% of Starlink revenue)",Assumptions!$A:$A,0))</f>
        <v>2207.7222143536383</v>
      </c>
      <c r="H74" s="66" cm="1">
        <f t="array" aca="1" ref="H74" ca="1">IF(H$4=2025,INDEX('Group P&amp;L'!$D:$AC,MATCH("Revenue: Starlink",'Group P&amp;L'!$A:$A,0),H$5+1),INDEX('Group P&amp;L'!$D:$AC,MATCH("Revenue: Starlink",'Group P&amp;L'!$A:$A,0),H$5))*INDEX(Assumptions!$B:$B,MATCH("Starlink ground-network CapEx (% of Starlink revenue)",Assumptions!$A:$A,0))</f>
        <v>4335.6308199015093</v>
      </c>
      <c r="I74" s="66" cm="1">
        <f t="array" aca="1" ref="I74" ca="1">IF(I$4=2025,INDEX('Group P&amp;L'!$D:$AC,MATCH("Revenue: Starlink",'Group P&amp;L'!$A:$A,0),I$5+1),INDEX('Group P&amp;L'!$D:$AC,MATCH("Revenue: Starlink",'Group P&amp;L'!$A:$A,0),I$5))*INDEX(Assumptions!$B:$B,MATCH("Starlink ground-network CapEx (% of Starlink revenue)",Assumptions!$A:$A,0))</f>
        <v>7044.7863101021385</v>
      </c>
      <c r="J74" s="66" cm="1">
        <f t="array" aca="1" ref="J74" ca="1">IF(J$4=2025,INDEX('Group P&amp;L'!$D:$AC,MATCH("Revenue: Starlink",'Group P&amp;L'!$A:$A,0),J$5+1),INDEX('Group P&amp;L'!$D:$AC,MATCH("Revenue: Starlink",'Group P&amp;L'!$A:$A,0),J$5))*INDEX(Assumptions!$B:$B,MATCH("Starlink ground-network CapEx (% of Starlink revenue)",Assumptions!$A:$A,0))</f>
        <v>8833.4324433555084</v>
      </c>
      <c r="K74" s="66" cm="1">
        <f t="array" aca="1" ref="K74" ca="1">IF(K$4=2025,INDEX('Group P&amp;L'!$D:$AC,MATCH("Revenue: Starlink",'Group P&amp;L'!$A:$A,0),K$5+1),INDEX('Group P&amp;L'!$D:$AC,MATCH("Revenue: Starlink",'Group P&amp;L'!$A:$A,0),K$5))*INDEX(Assumptions!$B:$B,MATCH("Starlink ground-network CapEx (% of Starlink revenue)",Assumptions!$A:$A,0))</f>
        <v>10685.610339785835</v>
      </c>
      <c r="L74" s="66" cm="1">
        <f t="array" aca="1" ref="L74" ca="1">IF(L$4=2025,INDEX('Group P&amp;L'!$D:$AC,MATCH("Revenue: Starlink",'Group P&amp;L'!$A:$A,0),L$5+1),INDEX('Group P&amp;L'!$D:$AC,MATCH("Revenue: Starlink",'Group P&amp;L'!$A:$A,0),L$5))*INDEX(Assumptions!$B:$B,MATCH("Starlink ground-network CapEx (% of Starlink revenue)",Assumptions!$A:$A,0))</f>
        <v>11012.615587466062</v>
      </c>
      <c r="M74" s="66" cm="1">
        <f t="array" aca="1" ref="M74" ca="1">IF(M$4=2025,INDEX('Group P&amp;L'!$D:$AC,MATCH("Revenue: Starlink",'Group P&amp;L'!$A:$A,0),M$5+1),INDEX('Group P&amp;L'!$D:$AC,MATCH("Revenue: Starlink",'Group P&amp;L'!$A:$A,0),M$5))*INDEX(Assumptions!$B:$B,MATCH("Starlink ground-network CapEx (% of Starlink revenue)",Assumptions!$A:$A,0))</f>
        <v>11501.971068924286</v>
      </c>
      <c r="N74" s="66" cm="1">
        <f t="array" aca="1" ref="N74" ca="1">IF(N$4=2025,INDEX('Group P&amp;L'!$D:$AC,MATCH("Revenue: Starlink",'Group P&amp;L'!$A:$A,0),N$5+1),INDEX('Group P&amp;L'!$D:$AC,MATCH("Revenue: Starlink",'Group P&amp;L'!$A:$A,0),N$5))*INDEX(Assumptions!$B:$B,MATCH("Starlink ground-network CapEx (% of Starlink revenue)",Assumptions!$A:$A,0))</f>
        <v>11908.219402084602</v>
      </c>
      <c r="O74" s="66" cm="1">
        <f t="array" aca="1" ref="O74" ca="1">IF(O$4=2025,INDEX('Group P&amp;L'!$D:$AC,MATCH("Revenue: Starlink",'Group P&amp;L'!$A:$A,0),O$5+1),INDEX('Group P&amp;L'!$D:$AC,MATCH("Revenue: Starlink",'Group P&amp;L'!$A:$A,0),O$5))*INDEX(Assumptions!$B:$B,MATCH("Starlink ground-network CapEx (% of Starlink revenue)",Assumptions!$A:$A,0))</f>
        <v>12829.097788558354</v>
      </c>
      <c r="P74" s="66" cm="1">
        <f t="array" aca="1" ref="P74" ca="1">IF(P$4=2025,INDEX('Group P&amp;L'!$D:$AC,MATCH("Revenue: Starlink",'Group P&amp;L'!$A:$A,0),P$5+1),INDEX('Group P&amp;L'!$D:$AC,MATCH("Revenue: Starlink",'Group P&amp;L'!$A:$A,0),P$5))*INDEX(Assumptions!$B:$B,MATCH("Starlink ground-network CapEx (% of Starlink revenue)",Assumptions!$A:$A,0))</f>
        <v>13634.237340807689</v>
      </c>
      <c r="Q74" s="66" cm="1">
        <f t="array" aca="1" ref="Q74" ca="1">IF(Q$4=2025,INDEX('Group P&amp;L'!$D:$AC,MATCH("Revenue: Starlink",'Group P&amp;L'!$A:$A,0),Q$5+1),INDEX('Group P&amp;L'!$D:$AC,MATCH("Revenue: Starlink",'Group P&amp;L'!$A:$A,0),Q$5))*INDEX(Assumptions!$B:$B,MATCH("Starlink ground-network CapEx (% of Starlink revenue)",Assumptions!$A:$A,0))</f>
        <v>14406.415915954589</v>
      </c>
      <c r="R74" s="66" cm="1">
        <f t="array" aca="1" ref="R74" ca="1">IF(R$4=2025,INDEX('Group P&amp;L'!$D:$AC,MATCH("Revenue: Starlink",'Group P&amp;L'!$A:$A,0),R$5+1),INDEX('Group P&amp;L'!$D:$AC,MATCH("Revenue: Starlink",'Group P&amp;L'!$A:$A,0),R$5))*INDEX(Assumptions!$B:$B,MATCH("Starlink ground-network CapEx (% of Starlink revenue)",Assumptions!$A:$A,0))</f>
        <v>14725.359854197073</v>
      </c>
      <c r="S74" s="66" cm="1">
        <f t="array" aca="1" ref="S74" ca="1">IF(S$4=2025,INDEX('Group P&amp;L'!$D:$AC,MATCH("Revenue: Starlink",'Group P&amp;L'!$A:$A,0),S$5+1),INDEX('Group P&amp;L'!$D:$AC,MATCH("Revenue: Starlink",'Group P&amp;L'!$A:$A,0),S$5))*INDEX(Assumptions!$B:$B,MATCH("Starlink ground-network CapEx (% of Starlink revenue)",Assumptions!$A:$A,0))</f>
        <v>14979.460311409925</v>
      </c>
    </row>
    <row r="75" spans="1:19" x14ac:dyDescent="0.2">
      <c r="A75" s="170" t="s">
        <v>1751</v>
      </c>
      <c r="B75" s="8"/>
      <c r="C75" s="8"/>
      <c r="D75" s="171">
        <v>0</v>
      </c>
      <c r="E75" s="161">
        <v>0</v>
      </c>
      <c r="F75" s="161">
        <v>0</v>
      </c>
      <c r="G75" s="70">
        <v>0</v>
      </c>
      <c r="H75" s="70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O75" s="70">
        <v>0</v>
      </c>
      <c r="P75" s="70">
        <v>0</v>
      </c>
      <c r="Q75" s="70">
        <v>0</v>
      </c>
      <c r="R75" s="70">
        <v>0</v>
      </c>
      <c r="S75" s="70">
        <v>0</v>
      </c>
    </row>
    <row r="76" spans="1:19" x14ac:dyDescent="0.2">
      <c r="A76" s="170" t="s">
        <v>1752</v>
      </c>
      <c r="B76" s="8"/>
      <c r="C76" s="8"/>
      <c r="D76" s="171">
        <v>0</v>
      </c>
      <c r="E76" s="161">
        <v>0</v>
      </c>
      <c r="F76" s="161">
        <v>0</v>
      </c>
      <c r="G76" s="70">
        <v>0</v>
      </c>
      <c r="H76" s="70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O76" s="70">
        <v>0</v>
      </c>
      <c r="P76" s="70">
        <v>0</v>
      </c>
      <c r="Q76" s="70">
        <v>0</v>
      </c>
      <c r="R76" s="70">
        <v>0</v>
      </c>
      <c r="S76" s="70">
        <v>0</v>
      </c>
    </row>
    <row r="77" spans="1:19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x14ac:dyDescent="0.2">
      <c r="A78" s="170" t="s">
        <v>1753</v>
      </c>
      <c r="B78" s="8"/>
      <c r="C78" s="8"/>
      <c r="D78" s="12">
        <f t="shared" ref="D78:S78" ca="1" si="15">D71+D73+D74+D84</f>
        <v>3164.3136372769609</v>
      </c>
      <c r="E78" s="12">
        <f t="shared" ca="1" si="15"/>
        <v>941.31363727696089</v>
      </c>
      <c r="F78" s="12">
        <f t="shared" ca="1" si="15"/>
        <v>1401.8629427415003</v>
      </c>
      <c r="G78" s="12">
        <f t="shared" ca="1" si="15"/>
        <v>4870.773850445803</v>
      </c>
      <c r="H78" s="12">
        <f t="shared" ca="1" si="15"/>
        <v>9467.0855916013643</v>
      </c>
      <c r="I78" s="12">
        <f t="shared" ca="1" si="15"/>
        <v>16479.717790741546</v>
      </c>
      <c r="J78" s="12">
        <f t="shared" ca="1" si="15"/>
        <v>22281.669241285545</v>
      </c>
      <c r="K78" s="12">
        <f t="shared" ca="1" si="15"/>
        <v>29752.412966863987</v>
      </c>
      <c r="L78" s="12">
        <f t="shared" ca="1" si="15"/>
        <v>29252.690048881257</v>
      </c>
      <c r="M78" s="12">
        <f t="shared" ca="1" si="15"/>
        <v>30440.566415495108</v>
      </c>
      <c r="N78" s="12">
        <f t="shared" ca="1" si="15"/>
        <v>35040.215327845362</v>
      </c>
      <c r="O78" s="12">
        <f t="shared" ca="1" si="15"/>
        <v>39329.56297090782</v>
      </c>
      <c r="P78" s="12">
        <f t="shared" ca="1" si="15"/>
        <v>50829.835784381336</v>
      </c>
      <c r="Q78" s="12">
        <f t="shared" ca="1" si="15"/>
        <v>51556.951469588923</v>
      </c>
      <c r="R78" s="12">
        <f t="shared" ca="1" si="15"/>
        <v>55808.259226481001</v>
      </c>
      <c r="S78" s="12">
        <f t="shared" ca="1" si="15"/>
        <v>69093.295734861662</v>
      </c>
    </row>
    <row r="79" spans="1:19" x14ac:dyDescent="0.2">
      <c r="A79" s="217" t="s">
        <v>1189</v>
      </c>
      <c r="B79" s="20"/>
      <c r="C79" s="20"/>
      <c r="D79" s="85">
        <f t="shared" ref="D79:S79" ca="1" si="16">D78+D33</f>
        <v>3164.3136372769609</v>
      </c>
      <c r="E79" s="85">
        <f t="shared" ca="1" si="16"/>
        <v>949.59780278493474</v>
      </c>
      <c r="F79" s="85">
        <f t="shared" ca="1" si="16"/>
        <v>1433.3719735263319</v>
      </c>
      <c r="G79" s="85">
        <f t="shared" ca="1" si="16"/>
        <v>5887.8891125373757</v>
      </c>
      <c r="H79" s="85">
        <f t="shared" ca="1" si="16"/>
        <v>10267.271129646642</v>
      </c>
      <c r="I79" s="85">
        <f t="shared" ca="1" si="16"/>
        <v>17364.479117693238</v>
      </c>
      <c r="J79" s="85">
        <f t="shared" ca="1" si="16"/>
        <v>22281.669241285545</v>
      </c>
      <c r="K79" s="85">
        <f t="shared" ca="1" si="16"/>
        <v>29752.412966863987</v>
      </c>
      <c r="L79" s="85">
        <f t="shared" ca="1" si="16"/>
        <v>29252.690048881257</v>
      </c>
      <c r="M79" s="85">
        <f t="shared" ca="1" si="16"/>
        <v>30440.566415495108</v>
      </c>
      <c r="N79" s="85">
        <f t="shared" ca="1" si="16"/>
        <v>35040.215327845362</v>
      </c>
      <c r="O79" s="85">
        <f t="shared" ca="1" si="16"/>
        <v>39329.56297090782</v>
      </c>
      <c r="P79" s="85">
        <f t="shared" ca="1" si="16"/>
        <v>50829.835784381336</v>
      </c>
      <c r="Q79" s="85">
        <f t="shared" ca="1" si="16"/>
        <v>51556.951469588923</v>
      </c>
      <c r="R79" s="85">
        <f t="shared" ca="1" si="16"/>
        <v>55808.259226481001</v>
      </c>
      <c r="S79" s="85">
        <f t="shared" ca="1" si="16"/>
        <v>69093.295734861662</v>
      </c>
    </row>
    <row r="80" spans="1:19" x14ac:dyDescent="0.2">
      <c r="A80" s="217" t="s">
        <v>1190</v>
      </c>
      <c r="B80" s="20"/>
      <c r="C80" s="20"/>
      <c r="D80" s="124">
        <f ca="1">(SUM($D$78:D78)-IF(D$5&gt;=INDEX(Assumptions!$B:$B,MATCH("Infrastructure useful life (years)",Assumptions!$A:$A,0)),SUM($D$78:INDEX($D$78:$AC$78,MAX(1,D$5-INDEX(Assumptions!$B:$B,MATCH("Infrastructure useful life (years)",Assumptions!$A:$A,0))+1))),0))/INDEX(Assumptions!$B:$B,MATCH("Infrastructure useful life (years)",Assumptions!$A:$A,0))+D34</f>
        <v>158.21568186384803</v>
      </c>
      <c r="E80" s="124">
        <f ca="1">(SUM($D$78:E78)-IF(E$5&gt;=INDEX(Assumptions!$B:$B,MATCH("Infrastructure useful life (years)",Assumptions!$A:$A,0)),SUM($D$78:INDEX($D$78:$AC$78,MAX(1,E$5-INDEX(Assumptions!$B:$B,MATCH("Infrastructure useful life (years)",Assumptions!$A:$A,0))+1))),0))/INDEX(Assumptions!$B:$B,MATCH("Infrastructure useful life (years)",Assumptions!$A:$A,0))+E34</f>
        <v>205.69557200309478</v>
      </c>
      <c r="F80" s="124">
        <f ca="1">(SUM($D$78:F78)-IF(F$5&gt;=INDEX(Assumptions!$B:$B,MATCH("Infrastructure useful life (years)",Assumptions!$A:$A,0)),SUM($D$78:INDEX($D$78:$AC$78,MAX(1,F$5-INDEX(Assumptions!$B:$B,MATCH("Infrastructure useful life (years)",Assumptions!$A:$A,0))+1))),0))/INDEX(Assumptions!$B:$B,MATCH("Infrastructure useful life (years)",Assumptions!$A:$A,0))+F34</f>
        <v>277.36417067941142</v>
      </c>
      <c r="G80" s="124">
        <f ca="1">(SUM($D$78:G78)-IF(G$5&gt;=INDEX(Assumptions!$B:$B,MATCH("Infrastructure useful life (years)",Assumptions!$A:$A,0)),SUM($D$78:INDEX($D$78:$AC$78,MAX(1,G$5-INDEX(Assumptions!$B:$B,MATCH("Infrastructure useful life (years)",Assumptions!$A:$A,0))+1))),0))/INDEX(Assumptions!$B:$B,MATCH("Infrastructure useful life (years)",Assumptions!$A:$A,0))+G34</f>
        <v>571.75862630628012</v>
      </c>
      <c r="H80" s="124">
        <f ca="1">(SUM($D$78:H78)-IF(H$5&gt;=INDEX(Assumptions!$B:$B,MATCH("Infrastructure useful life (years)",Assumptions!$A:$A,0)),SUM($D$78:INDEX($D$78:$AC$78,MAX(1,H$5-INDEX(Assumptions!$B:$B,MATCH("Infrastructure useful life (years)",Assumptions!$A:$A,0))+1))),0))/INDEX(Assumptions!$B:$B,MATCH("Infrastructure useful life (years)",Assumptions!$A:$A,0))+H34</f>
        <v>1085.1221827886122</v>
      </c>
      <c r="I80" s="124">
        <f ca="1">(SUM($D$78:I78)-IF(I$5&gt;=INDEX(Assumptions!$B:$B,MATCH("Infrastructure useful life (years)",Assumptions!$A:$A,0)),SUM($D$78:INDEX($D$78:$AC$78,MAX(1,I$5-INDEX(Assumptions!$B:$B,MATCH("Infrastructure useful life (years)",Assumptions!$A:$A,0))+1))),0))/INDEX(Assumptions!$B:$B,MATCH("Infrastructure useful life (years)",Assumptions!$A:$A,0))+I34</f>
        <v>1953.346138673274</v>
      </c>
      <c r="J80" s="124">
        <f ca="1">(SUM($D$78:J78)-IF(J$5&gt;=INDEX(Assumptions!$B:$B,MATCH("Infrastructure useful life (years)",Assumptions!$A:$A,0)),SUM($D$78:INDEX($D$78:$AC$78,MAX(1,J$5-INDEX(Assumptions!$B:$B,MATCH("Infrastructure useful life (years)",Assumptions!$A:$A,0))+1))),0))/INDEX(Assumptions!$B:$B,MATCH("Infrastructure useful life (years)",Assumptions!$A:$A,0))+J34</f>
        <v>3067.4296007375515</v>
      </c>
      <c r="K80" s="124">
        <f ca="1">(SUM($D$78:K78)-IF(K$5&gt;=INDEX(Assumptions!$B:$B,MATCH("Infrastructure useful life (years)",Assumptions!$A:$A,0)),SUM($D$78:INDEX($D$78:$AC$78,MAX(1,K$5-INDEX(Assumptions!$B:$B,MATCH("Infrastructure useful life (years)",Assumptions!$A:$A,0))+1))),0))/INDEX(Assumptions!$B:$B,MATCH("Infrastructure useful life (years)",Assumptions!$A:$A,0))+K34</f>
        <v>4555.0502490807503</v>
      </c>
      <c r="L80" s="124">
        <f ca="1">(SUM($D$78:L78)-IF(L$5&gt;=INDEX(Assumptions!$B:$B,MATCH("Infrastructure useful life (years)",Assumptions!$A:$A,0)),SUM($D$78:INDEX($D$78:$AC$78,MAX(1,L$5-INDEX(Assumptions!$B:$B,MATCH("Infrastructure useful life (years)",Assumptions!$A:$A,0))+1))),0))/INDEX(Assumptions!$B:$B,MATCH("Infrastructure useful life (years)",Assumptions!$A:$A,0))+L34</f>
        <v>6017.6847515248128</v>
      </c>
      <c r="M80" s="124">
        <f ca="1">(SUM($D$78:M78)-IF(M$5&gt;=INDEX(Assumptions!$B:$B,MATCH("Infrastructure useful life (years)",Assumptions!$A:$A,0)),SUM($D$78:INDEX($D$78:$AC$78,MAX(1,M$5-INDEX(Assumptions!$B:$B,MATCH("Infrastructure useful life (years)",Assumptions!$A:$A,0))+1))),0))/INDEX(Assumptions!$B:$B,MATCH("Infrastructure useful life (years)",Assumptions!$A:$A,0))+M34</f>
        <v>7539.7130722995689</v>
      </c>
      <c r="N80" s="124">
        <f ca="1">(SUM($D$78:N78)-IF(N$5&gt;=INDEX(Assumptions!$B:$B,MATCH("Infrastructure useful life (years)",Assumptions!$A:$A,0)),SUM($D$78:INDEX($D$78:$AC$78,MAX(1,N$5-INDEX(Assumptions!$B:$B,MATCH("Infrastructure useful life (years)",Assumptions!$A:$A,0))+1))),0))/INDEX(Assumptions!$B:$B,MATCH("Infrastructure useful life (years)",Assumptions!$A:$A,0))+N34</f>
        <v>9291.723838691838</v>
      </c>
      <c r="O80" s="124">
        <f ca="1">(SUM($D$78:O78)-IF(O$5&gt;=INDEX(Assumptions!$B:$B,MATCH("Infrastructure useful life (years)",Assumptions!$A:$A,0)),SUM($D$78:INDEX($D$78:$AC$78,MAX(1,O$5-INDEX(Assumptions!$B:$B,MATCH("Infrastructure useful life (years)",Assumptions!$A:$A,0))+1))),0))/INDEX(Assumptions!$B:$B,MATCH("Infrastructure useful life (years)",Assumptions!$A:$A,0))+O34</f>
        <v>11258.201987237229</v>
      </c>
      <c r="P80" s="124">
        <f ca="1">(SUM($D$78:P78)-IF(P$5&gt;=INDEX(Assumptions!$B:$B,MATCH("Infrastructure useful life (years)",Assumptions!$A:$A,0)),SUM($D$78:INDEX($D$78:$AC$78,MAX(1,P$5-INDEX(Assumptions!$B:$B,MATCH("Infrastructure useful life (years)",Assumptions!$A:$A,0))+1))),0))/INDEX(Assumptions!$B:$B,MATCH("Infrastructure useful life (years)",Assumptions!$A:$A,0))+P34</f>
        <v>13799.693776456295</v>
      </c>
      <c r="Q80" s="124">
        <f ca="1">(SUM($D$78:Q78)-IF(Q$5&gt;=INDEX(Assumptions!$B:$B,MATCH("Infrastructure useful life (years)",Assumptions!$A:$A,0)),SUM($D$78:INDEX($D$78:$AC$78,MAX(1,Q$5-INDEX(Assumptions!$B:$B,MATCH("Infrastructure useful life (years)",Assumptions!$A:$A,0))+1))),0))/INDEX(Assumptions!$B:$B,MATCH("Infrastructure useful life (years)",Assumptions!$A:$A,0))+Q34</f>
        <v>16377.54134993574</v>
      </c>
      <c r="R80" s="124">
        <f ca="1">(SUM($D$78:R78)-IF(R$5&gt;=INDEX(Assumptions!$B:$B,MATCH("Infrastructure useful life (years)",Assumptions!$A:$A,0)),SUM($D$78:INDEX($D$78:$AC$78,MAX(1,R$5-INDEX(Assumptions!$B:$B,MATCH("Infrastructure useful life (years)",Assumptions!$A:$A,0))+1))),0))/INDEX(Assumptions!$B:$B,MATCH("Infrastructure useful life (years)",Assumptions!$A:$A,0))+R34</f>
        <v>19167.954311259789</v>
      </c>
      <c r="S80" s="124">
        <f ca="1">(SUM($D$78:S78)-IF(S$5&gt;=INDEX(Assumptions!$B:$B,MATCH("Infrastructure useful life (years)",Assumptions!$A:$A,0)),SUM($D$78:INDEX($D$78:$AC$78,MAX(1,S$5-INDEX(Assumptions!$B:$B,MATCH("Infrastructure useful life (years)",Assumptions!$A:$A,0))+1))),0))/INDEX(Assumptions!$B:$B,MATCH("Infrastructure useful life (years)",Assumptions!$A:$A,0))+S34</f>
        <v>22622.619098002873</v>
      </c>
    </row>
    <row r="81" spans="1:19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170" t="s">
        <v>1497</v>
      </c>
      <c r="B82" s="8"/>
      <c r="C82" s="8"/>
      <c r="D82" s="63" cm="1">
        <f t="array" aca="1" ref="D82" ca="1">IF(D$4=2025,IFERROR(INDEX('AI - Compute'!$D:$AC,MATCH("Sats deployed (actual)",'AI - Compute'!$A:$A,0),D$5+1),0),IFERROR(INDEX('AI - Compute'!$D:$AC,MATCH("Sats deployed (actual)",'AI - Compute'!$A:$A,0),D$5),0))</f>
        <v>0</v>
      </c>
      <c r="E82" s="63" cm="1">
        <f t="array" aca="1" ref="E82" ca="1">IF(E$4=2025,IFERROR(INDEX('AI - Compute'!$D:$AC,MATCH("Sats deployed (actual)",'AI - Compute'!$A:$A,0),E$5+1),0),IFERROR(INDEX('AI - Compute'!$D:$AC,MATCH("Sats deployed (actual)",'AI - Compute'!$A:$A,0),E$5),0))</f>
        <v>0</v>
      </c>
      <c r="F82" s="63" cm="1">
        <f t="array" aca="1" ref="F82" ca="1">IF(F$4=2025,IFERROR(INDEX('AI - Compute'!$D:$AC,MATCH("Sats deployed (actual)",'AI - Compute'!$A:$A,0),F$5+1),0),IFERROR(INDEX('AI - Compute'!$D:$AC,MATCH("Sats deployed (actual)",'AI - Compute'!$A:$A,0),F$5),0))</f>
        <v>0</v>
      </c>
      <c r="G82" s="63" cm="1">
        <f t="array" aca="1" ref="G82" ca="1">IF(G$4=2025,IFERROR(INDEX('AI - Compute'!$D:$AC,MATCH("Sats deployed (actual)",'AI - Compute'!$A:$A,0),G$5+1),0),IFERROR(INDEX('AI - Compute'!$D:$AC,MATCH("Sats deployed (actual)",'AI - Compute'!$A:$A,0),G$5),0))</f>
        <v>0</v>
      </c>
      <c r="H82" s="63" cm="1">
        <f t="array" aca="1" ref="H82" ca="1">IF(H$4=2025,IFERROR(INDEX('AI - Compute'!$D:$AC,MATCH("Sats deployed (actual)",'AI - Compute'!$A:$A,0),H$5+1),0),IFERROR(INDEX('AI - Compute'!$D:$AC,MATCH("Sats deployed (actual)",'AI - Compute'!$A:$A,0),H$5),0))</f>
        <v>900</v>
      </c>
      <c r="I82" s="63" cm="1">
        <f t="array" aca="1" ref="I82" ca="1">IF(I$4=2025,IFERROR(INDEX('AI - Compute'!$D:$AC,MATCH("Sats deployed (actual)",'AI - Compute'!$A:$A,0),I$5+1),0),IFERROR(INDEX('AI - Compute'!$D:$AC,MATCH("Sats deployed (actual)",'AI - Compute'!$A:$A,0),I$5),0))</f>
        <v>3123</v>
      </c>
      <c r="J82" s="63" cm="1">
        <f t="array" aca="1" ref="J82" ca="1">IF(J$4=2025,IFERROR(INDEX('AI - Compute'!$D:$AC,MATCH("Sats deployed (actual)",'AI - Compute'!$A:$A,0),J$5+1),0),IFERROR(INDEX('AI - Compute'!$D:$AC,MATCH("Sats deployed (actual)",'AI - Compute'!$A:$A,0),J$5),0))</f>
        <v>8662</v>
      </c>
      <c r="K82" s="63" cm="1">
        <f t="array" aca="1" ref="K82" ca="1">IF(K$4=2025,IFERROR(INDEX('AI - Compute'!$D:$AC,MATCH("Sats deployed (actual)",'AI - Compute'!$A:$A,0),K$5+1),0),IFERROR(INDEX('AI - Compute'!$D:$AC,MATCH("Sats deployed (actual)",'AI - Compute'!$A:$A,0),K$5),0))</f>
        <v>17972</v>
      </c>
      <c r="L82" s="63" cm="1">
        <f t="array" aca="1" ref="L82" ca="1">IF(L$4=2025,IFERROR(INDEX('AI - Compute'!$D:$AC,MATCH("Sats deployed (actual)",'AI - Compute'!$A:$A,0),L$5+1),0),IFERROR(INDEX('AI - Compute'!$D:$AC,MATCH("Sats deployed (actual)",'AI - Compute'!$A:$A,0),L$5),0))</f>
        <v>19596</v>
      </c>
      <c r="M82" s="63" cm="1">
        <f t="array" aca="1" ref="M82" ca="1">IF(M$4=2025,IFERROR(INDEX('AI - Compute'!$D:$AC,MATCH("Sats deployed (actual)",'AI - Compute'!$A:$A,0),M$5+1),0),IFERROR(INDEX('AI - Compute'!$D:$AC,MATCH("Sats deployed (actual)",'AI - Compute'!$A:$A,0),M$5),0))</f>
        <v>11605</v>
      </c>
      <c r="N82" s="63" cm="1">
        <f t="array" aca="1" ref="N82" ca="1">IF(N$4=2025,IFERROR(INDEX('AI - Compute'!$D:$AC,MATCH("Sats deployed (actual)",'AI - Compute'!$A:$A,0),N$5+1),0),IFERROR(INDEX('AI - Compute'!$D:$AC,MATCH("Sats deployed (actual)",'AI - Compute'!$A:$A,0),N$5),0))</f>
        <v>16598</v>
      </c>
      <c r="O82" s="63" cm="1">
        <f t="array" aca="1" ref="O82" ca="1">IF(O$4=2025,IFERROR(INDEX('AI - Compute'!$D:$AC,MATCH("Sats deployed (actual)",'AI - Compute'!$A:$A,0),O$5+1),0),IFERROR(INDEX('AI - Compute'!$D:$AC,MATCH("Sats deployed (actual)",'AI - Compute'!$A:$A,0),O$5),0))</f>
        <v>24986</v>
      </c>
      <c r="P82" s="63" cm="1">
        <f t="array" aca="1" ref="P82" ca="1">IF(P$4=2025,IFERROR(INDEX('AI - Compute'!$D:$AC,MATCH("Sats deployed (actual)",'AI - Compute'!$A:$A,0),P$5+1),0),IFERROR(INDEX('AI - Compute'!$D:$AC,MATCH("Sats deployed (actual)",'AI - Compute'!$A:$A,0),P$5),0))</f>
        <v>38328</v>
      </c>
      <c r="Q82" s="63" cm="1">
        <f t="array" aca="1" ref="Q82" ca="1">IF(Q$4=2025,IFERROR(INDEX('AI - Compute'!$D:$AC,MATCH("Sats deployed (actual)",'AI - Compute'!$A:$A,0),Q$5+1),0),IFERROR(INDEX('AI - Compute'!$D:$AC,MATCH("Sats deployed (actual)",'AI - Compute'!$A:$A,0),Q$5),0))</f>
        <v>45852</v>
      </c>
      <c r="R82" s="63" cm="1">
        <f t="array" aca="1" ref="R82" ca="1">IF(R$4=2025,IFERROR(INDEX('AI - Compute'!$D:$AC,MATCH("Sats deployed (actual)",'AI - Compute'!$A:$A,0),R$5+1),0),IFERROR(INDEX('AI - Compute'!$D:$AC,MATCH("Sats deployed (actual)",'AI - Compute'!$A:$A,0),R$5),0))</f>
        <v>44659</v>
      </c>
      <c r="S82" s="63" cm="1">
        <f t="array" aca="1" ref="S82" ca="1">IF(S$4=2025,IFERROR(INDEX('AI - Compute'!$D:$AC,MATCH("Sats deployed (actual)",'AI - Compute'!$A:$A,0),S$5+1),0),IFERROR(INDEX('AI - Compute'!$D:$AC,MATCH("Sats deployed (actual)",'AI - Compute'!$A:$A,0),S$5),0))</f>
        <v>59858</v>
      </c>
    </row>
    <row r="83" spans="1:19" x14ac:dyDescent="0.2">
      <c r="A83" s="170" t="s">
        <v>1358</v>
      </c>
      <c r="B83" s="8"/>
      <c r="C83" s="8"/>
      <c r="D83" s="175">
        <f ca="1">MAX(C83,D82)</f>
        <v>0</v>
      </c>
      <c r="E83" s="175">
        <f ca="1">MAX(D83,E82)</f>
        <v>0</v>
      </c>
      <c r="F83" s="175">
        <f t="shared" ref="F83:S83" ca="1" si="17">MAX(E83,F82)</f>
        <v>0</v>
      </c>
      <c r="G83" s="175">
        <f t="shared" ca="1" si="17"/>
        <v>0</v>
      </c>
      <c r="H83" s="175">
        <f t="shared" ca="1" si="17"/>
        <v>900</v>
      </c>
      <c r="I83" s="175">
        <f t="shared" ca="1" si="17"/>
        <v>3123</v>
      </c>
      <c r="J83" s="175">
        <f t="shared" ca="1" si="17"/>
        <v>8662</v>
      </c>
      <c r="K83" s="175">
        <f t="shared" ca="1" si="17"/>
        <v>17972</v>
      </c>
      <c r="L83" s="175">
        <f t="shared" ca="1" si="17"/>
        <v>19596</v>
      </c>
      <c r="M83" s="175">
        <f t="shared" ca="1" si="17"/>
        <v>19596</v>
      </c>
      <c r="N83" s="175">
        <f t="shared" ca="1" si="17"/>
        <v>19596</v>
      </c>
      <c r="O83" s="175">
        <f t="shared" ca="1" si="17"/>
        <v>24986</v>
      </c>
      <c r="P83" s="175">
        <f t="shared" ca="1" si="17"/>
        <v>38328</v>
      </c>
      <c r="Q83" s="175">
        <f t="shared" ca="1" si="17"/>
        <v>45852</v>
      </c>
      <c r="R83" s="175">
        <f t="shared" ca="1" si="17"/>
        <v>45852</v>
      </c>
      <c r="S83" s="175">
        <f t="shared" ca="1" si="17"/>
        <v>59858</v>
      </c>
    </row>
    <row r="84" spans="1:19" x14ac:dyDescent="0.2">
      <c r="A84" s="217" t="s">
        <v>1198</v>
      </c>
      <c r="B84" s="20"/>
      <c r="C84" s="20"/>
      <c r="D84" s="84">
        <f ca="1">MAX(0,D83-C83)*INDEX(Assumptions!$B:$B,MATCH("ODC sat-factory CapEx ($mm per sat/yr of capacity)",Assumptions!$A:$A,0))</f>
        <v>0</v>
      </c>
      <c r="E84" s="84">
        <f ca="1">MAX(0,E83-D83)*INDEX(Assumptions!$B:$B,MATCH("ODC sat-factory CapEx ($mm per sat/yr of capacity)",Assumptions!$A:$A,0))</f>
        <v>0</v>
      </c>
      <c r="F84" s="84">
        <f ca="1">MAX(0,F83-E83)*INDEX(Assumptions!$B:$B,MATCH("ODC sat-factory CapEx ($mm per sat/yr of capacity)",Assumptions!$A:$A,0))</f>
        <v>0</v>
      </c>
      <c r="G84" s="84">
        <f ca="1">MAX(0,G83-F83)*INDEX(Assumptions!$B:$B,MATCH("ODC sat-factory CapEx ($mm per sat/yr of capacity)",Assumptions!$A:$A,0))</f>
        <v>0</v>
      </c>
      <c r="H84" s="84">
        <f ca="1">MAX(0,H83-G83)*INDEX(Assumptions!$B:$B,MATCH("ODC sat-factory CapEx ($mm per sat/yr of capacity)",Assumptions!$A:$A,0))</f>
        <v>270</v>
      </c>
      <c r="I84" s="84">
        <f ca="1">MAX(0,I83-H83)*INDEX(Assumptions!$B:$B,MATCH("ODC sat-factory CapEx ($mm per sat/yr of capacity)",Assumptions!$A:$A,0))</f>
        <v>666.9</v>
      </c>
      <c r="J84" s="84">
        <f ca="1">MAX(0,J83-I83)*INDEX(Assumptions!$B:$B,MATCH("ODC sat-factory CapEx ($mm per sat/yr of capacity)",Assumptions!$A:$A,0))</f>
        <v>1661.7</v>
      </c>
      <c r="K84" s="84">
        <f ca="1">MAX(0,K83-J83)*INDEX(Assumptions!$B:$B,MATCH("ODC sat-factory CapEx ($mm per sat/yr of capacity)",Assumptions!$A:$A,0))</f>
        <v>2793</v>
      </c>
      <c r="L84" s="84">
        <f ca="1">MAX(0,L83-K83)*INDEX(Assumptions!$B:$B,MATCH("ODC sat-factory CapEx ($mm per sat/yr of capacity)",Assumptions!$A:$A,0))</f>
        <v>487.2</v>
      </c>
      <c r="M84" s="84">
        <f ca="1">MAX(0,M83-L83)*INDEX(Assumptions!$B:$B,MATCH("ODC sat-factory CapEx ($mm per sat/yr of capacity)",Assumptions!$A:$A,0))</f>
        <v>0</v>
      </c>
      <c r="N84" s="84">
        <f ca="1">MAX(0,N83-M83)*INDEX(Assumptions!$B:$B,MATCH("ODC sat-factory CapEx ($mm per sat/yr of capacity)",Assumptions!$A:$A,0))</f>
        <v>0</v>
      </c>
      <c r="O84" s="84">
        <f ca="1">MAX(0,O83-N83)*INDEX(Assumptions!$B:$B,MATCH("ODC sat-factory CapEx ($mm per sat/yr of capacity)",Assumptions!$A:$A,0))</f>
        <v>1617</v>
      </c>
      <c r="P84" s="84">
        <f ca="1">MAX(0,P83-O83)*INDEX(Assumptions!$B:$B,MATCH("ODC sat-factory CapEx ($mm per sat/yr of capacity)",Assumptions!$A:$A,0))</f>
        <v>4002.6</v>
      </c>
      <c r="Q84" s="84">
        <f ca="1">MAX(0,Q83-P83)*INDEX(Assumptions!$B:$B,MATCH("ODC sat-factory CapEx ($mm per sat/yr of capacity)",Assumptions!$A:$A,0))</f>
        <v>2257.1999999999998</v>
      </c>
      <c r="R84" s="84">
        <f ca="1">MAX(0,R83-Q83)*INDEX(Assumptions!$B:$B,MATCH("ODC sat-factory CapEx ($mm per sat/yr of capacity)",Assumptions!$A:$A,0))</f>
        <v>0</v>
      </c>
      <c r="S84" s="84">
        <f ca="1">MAX(0,S83-R83)*INDEX(Assumptions!$B:$B,MATCH("ODC sat-factory CapEx ($mm per sat/yr of capacity)",Assumptions!$A:$A,0))</f>
        <v>4201.8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AC112"/>
  <sheetViews>
    <sheetView showGridLines="0" zoomScale="150" zoomScaleNormal="130" workbookViewId="0">
      <selection activeCell="N35" sqref="N35"/>
    </sheetView>
  </sheetViews>
  <sheetFormatPr baseColWidth="10" defaultColWidth="10.6640625" defaultRowHeight="16" x14ac:dyDescent="0.2"/>
  <cols>
    <col min="1" max="1" width="38.33203125" customWidth="1"/>
  </cols>
  <sheetData>
    <row r="4" spans="1:19" x14ac:dyDescent="0.2">
      <c r="A4" s="153"/>
      <c r="B4" s="153"/>
      <c r="C4" s="153"/>
      <c r="D4" s="155">
        <v>2025</v>
      </c>
      <c r="E4" s="155">
        <v>2026</v>
      </c>
      <c r="F4" s="155">
        <v>2027</v>
      </c>
      <c r="G4" s="155">
        <v>2028</v>
      </c>
      <c r="H4" s="155">
        <v>2029</v>
      </c>
      <c r="I4" s="155">
        <v>2030</v>
      </c>
      <c r="J4" s="155">
        <v>2031</v>
      </c>
      <c r="K4" s="155">
        <v>2032</v>
      </c>
      <c r="L4" s="155">
        <v>2033</v>
      </c>
      <c r="M4" s="155">
        <v>2034</v>
      </c>
      <c r="N4" s="155">
        <v>2035</v>
      </c>
      <c r="O4" s="155">
        <v>2036</v>
      </c>
      <c r="P4" s="155">
        <v>2037</v>
      </c>
      <c r="Q4" s="155">
        <v>2038</v>
      </c>
      <c r="R4" s="155">
        <v>2039</v>
      </c>
      <c r="S4" s="155">
        <v>2040</v>
      </c>
    </row>
    <row r="5" spans="1:19" x14ac:dyDescent="0.2">
      <c r="A5" s="154"/>
      <c r="B5" s="154"/>
      <c r="C5" s="154"/>
      <c r="D5" s="156">
        <v>0</v>
      </c>
      <c r="E5" s="156">
        <v>1</v>
      </c>
      <c r="F5" s="156">
        <v>2</v>
      </c>
      <c r="G5" s="156">
        <v>3</v>
      </c>
      <c r="H5" s="156">
        <v>4</v>
      </c>
      <c r="I5" s="156">
        <v>5</v>
      </c>
      <c r="J5" s="156">
        <v>6</v>
      </c>
      <c r="K5" s="156">
        <v>7</v>
      </c>
      <c r="L5" s="156">
        <v>8</v>
      </c>
      <c r="M5" s="156">
        <v>9</v>
      </c>
      <c r="N5" s="156">
        <v>10</v>
      </c>
      <c r="O5" s="156">
        <v>11</v>
      </c>
      <c r="P5" s="156">
        <v>12</v>
      </c>
      <c r="Q5" s="156">
        <v>13</v>
      </c>
      <c r="R5" s="156">
        <v>14</v>
      </c>
      <c r="S5" s="156">
        <v>15</v>
      </c>
    </row>
    <row r="6" spans="1:19" ht="17" x14ac:dyDescent="0.2">
      <c r="A6" s="16" t="s">
        <v>1641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2">
      <c r="A7" s="9"/>
      <c r="B7" s="8"/>
      <c r="C7" s="8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x14ac:dyDescent="0.2">
      <c r="A8" s="18" t="s">
        <v>832</v>
      </c>
      <c r="B8" s="18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19" x14ac:dyDescent="0.2">
      <c r="A9" s="22" t="s">
        <v>1532</v>
      </c>
      <c r="B9" s="8"/>
      <c r="C9" s="8"/>
      <c r="D9" s="25">
        <f>Starlink!D145</f>
        <v>10879.124830359477</v>
      </c>
      <c r="E9" s="25">
        <f ca="1">Starlink!E145</f>
        <v>14251.989853633484</v>
      </c>
      <c r="F9" s="25">
        <f ca="1">Starlink!F145</f>
        <v>55193.05535884096</v>
      </c>
      <c r="G9" s="25">
        <f ca="1">Starlink!G145</f>
        <v>108390.77049753774</v>
      </c>
      <c r="H9" s="25">
        <f ca="1">Starlink!H145</f>
        <v>176119.65775255347</v>
      </c>
      <c r="I9" s="25">
        <f ca="1">Starlink!I145</f>
        <v>220835.8110838877</v>
      </c>
      <c r="J9" s="25">
        <f ca="1">Starlink!J145</f>
        <v>267140.25849464588</v>
      </c>
      <c r="K9" s="25">
        <f ca="1">Starlink!K145</f>
        <v>275315.38968665153</v>
      </c>
      <c r="L9" s="25">
        <f ca="1">Starlink!L145</f>
        <v>287549.27672310715</v>
      </c>
      <c r="M9" s="25">
        <f ca="1">Starlink!M145</f>
        <v>297705.48505211505</v>
      </c>
      <c r="N9" s="25">
        <f ca="1">Starlink!N145</f>
        <v>320727.44471395883</v>
      </c>
      <c r="O9" s="25">
        <f ca="1">Starlink!O145</f>
        <v>340855.93352019222</v>
      </c>
      <c r="P9" s="25">
        <f ca="1">Starlink!P145</f>
        <v>360160.3978988647</v>
      </c>
      <c r="Q9" s="25">
        <f ca="1">Starlink!Q145</f>
        <v>368133.99635492684</v>
      </c>
      <c r="R9" s="25">
        <f ca="1">Starlink!R145</f>
        <v>374486.5077852481</v>
      </c>
      <c r="S9" s="25">
        <f ca="1">Starlink!S145</f>
        <v>380035.57727409829</v>
      </c>
    </row>
    <row r="10" spans="1:19" x14ac:dyDescent="0.2">
      <c r="A10" s="22" t="s">
        <v>1533</v>
      </c>
      <c r="B10" s="8"/>
      <c r="C10" s="8"/>
      <c r="D10" s="25">
        <f ca="1">'Customer Launch'!D101</f>
        <v>3099.2</v>
      </c>
      <c r="E10" s="25">
        <f ca="1">'Customer Launch'!E101</f>
        <v>6188.7</v>
      </c>
      <c r="F10" s="25">
        <f ca="1">'Customer Launch'!F101</f>
        <v>12636.04104</v>
      </c>
      <c r="G10" s="25">
        <f ca="1">'Customer Launch'!G101</f>
        <v>13761.281941662908</v>
      </c>
      <c r="H10" s="25">
        <f ca="1">'Customer Launch'!H101</f>
        <v>15187.652524892617</v>
      </c>
      <c r="I10" s="25">
        <f ca="1">'Customer Launch'!I101</f>
        <v>16723.185159375</v>
      </c>
      <c r="J10" s="25">
        <f ca="1">'Customer Launch'!J101</f>
        <v>16655.144417343749</v>
      </c>
      <c r="K10" s="25">
        <f ca="1">'Customer Launch'!K101</f>
        <v>23674.996406107199</v>
      </c>
      <c r="L10" s="25">
        <f ca="1">'Customer Launch'!L101</f>
        <v>23987.228647176045</v>
      </c>
      <c r="M10" s="25">
        <f ca="1">'Customer Launch'!M101</f>
        <v>23938.147893023557</v>
      </c>
      <c r="N10" s="25">
        <f ca="1">'Customer Launch'!N101</f>
        <v>23780.556347882572</v>
      </c>
      <c r="O10" s="25">
        <f ca="1">'Customer Launch'!O101</f>
        <v>23613.581242943492</v>
      </c>
      <c r="P10" s="25">
        <f ca="1">'Customer Launch'!P101</f>
        <v>23461.958173149349</v>
      </c>
      <c r="Q10" s="25">
        <f ca="1">'Customer Launch'!Q101</f>
        <v>23322.332975743924</v>
      </c>
      <c r="R10" s="25">
        <f ca="1">'Customer Launch'!R101</f>
        <v>23498.135245449361</v>
      </c>
      <c r="S10" s="25">
        <f ca="1">'Customer Launch'!S101</f>
        <v>3467.9815509111709</v>
      </c>
    </row>
    <row r="11" spans="1:19" x14ac:dyDescent="0.2">
      <c r="A11" s="22" t="s">
        <v>1534</v>
      </c>
      <c r="B11" s="8"/>
      <c r="C11" s="8"/>
      <c r="D11" s="25">
        <f ca="1">'AI - Compute'!D8</f>
        <v>483.065</v>
      </c>
      <c r="E11" s="25">
        <f ca="1">'AI - Compute'!E8</f>
        <v>3324.5486776854018</v>
      </c>
      <c r="F11" s="25">
        <f ca="1">'AI - Compute'!F8</f>
        <v>8258.093203792323</v>
      </c>
      <c r="G11" s="25">
        <f ca="1">'AI - Compute'!G8</f>
        <v>10803.798180795218</v>
      </c>
      <c r="H11" s="25">
        <f ca="1">'AI - Compute'!H8</f>
        <v>19465.017740822652</v>
      </c>
      <c r="I11" s="25">
        <f ca="1">'AI - Compute'!I8</f>
        <v>47484.566164807766</v>
      </c>
      <c r="J11" s="25">
        <f ca="1">'AI - Compute'!J8</f>
        <v>105795.94570867221</v>
      </c>
      <c r="K11" s="25">
        <f ca="1">'AI - Compute'!K8</f>
        <v>160235.37287958449</v>
      </c>
      <c r="L11" s="25">
        <f ca="1">'AI - Compute'!L8</f>
        <v>184931.17716083347</v>
      </c>
      <c r="M11" s="25">
        <f ca="1">'AI - Compute'!M8</f>
        <v>228757.03455152758</v>
      </c>
      <c r="N11" s="25">
        <f ca="1">'AI - Compute'!N8</f>
        <v>309543.41563913337</v>
      </c>
      <c r="O11" s="25">
        <f ca="1">'AI - Compute'!O8</f>
        <v>443381.30339818494</v>
      </c>
      <c r="P11" s="25">
        <f ca="1">'AI - Compute'!P8</f>
        <v>613330.08831753838</v>
      </c>
      <c r="Q11" s="25">
        <f ca="1">'AI - Compute'!Q8</f>
        <v>782340.79559172702</v>
      </c>
      <c r="R11" s="25">
        <f ca="1">'AI - Compute'!R8</f>
        <v>1028073.5119250666</v>
      </c>
      <c r="S11" s="25">
        <f ca="1">'AI - Compute'!S8</f>
        <v>1378465.0120286108</v>
      </c>
    </row>
    <row r="12" spans="1:19" x14ac:dyDescent="0.2">
      <c r="A12" s="22" t="s">
        <v>1535</v>
      </c>
      <c r="B12" s="8"/>
      <c r="C12" s="8"/>
      <c r="D12" s="25">
        <f>'Lunar - Mars'!D81</f>
        <v>0</v>
      </c>
      <c r="E12" s="25">
        <f>'Lunar - Mars'!E81</f>
        <v>0</v>
      </c>
      <c r="F12" s="25">
        <f>'Lunar - Mars'!F81</f>
        <v>0</v>
      </c>
      <c r="G12" s="25">
        <f>'Lunar - Mars'!G81</f>
        <v>0</v>
      </c>
      <c r="H12" s="25">
        <f>'Lunar - Mars'!H81</f>
        <v>0</v>
      </c>
      <c r="I12" s="25">
        <f>'Lunar - Mars'!I81</f>
        <v>0</v>
      </c>
      <c r="J12" s="25">
        <f>'Lunar - Mars'!J81</f>
        <v>0</v>
      </c>
      <c r="K12" s="25">
        <f>'Lunar - Mars'!K81</f>
        <v>0</v>
      </c>
      <c r="L12" s="25">
        <f>'Lunar - Mars'!L81</f>
        <v>0</v>
      </c>
      <c r="M12" s="25">
        <f>'Lunar - Mars'!M81</f>
        <v>0</v>
      </c>
      <c r="N12" s="25">
        <f>'Lunar - Mars'!N81</f>
        <v>0</v>
      </c>
      <c r="O12" s="25">
        <f>'Lunar - Mars'!O81</f>
        <v>0</v>
      </c>
      <c r="P12" s="25">
        <f>'Lunar - Mars'!P81</f>
        <v>0</v>
      </c>
      <c r="Q12" s="25">
        <f>'Lunar - Mars'!Q81</f>
        <v>0</v>
      </c>
      <c r="R12" s="25">
        <f>'Lunar - Mars'!R81</f>
        <v>0</v>
      </c>
      <c r="S12" s="25">
        <f>'Lunar - Mars'!S81</f>
        <v>0</v>
      </c>
    </row>
    <row r="13" spans="1:19" x14ac:dyDescent="0.2">
      <c r="A13" s="22" t="s">
        <v>833</v>
      </c>
      <c r="B13" s="8"/>
      <c r="C13" s="8"/>
      <c r="D13" s="26">
        <f>-D101</f>
        <v>0</v>
      </c>
      <c r="E13" s="26">
        <f t="shared" ref="E13:S13" si="0">-E101</f>
        <v>0</v>
      </c>
      <c r="F13" s="26">
        <f t="shared" si="0"/>
        <v>0</v>
      </c>
      <c r="G13" s="26">
        <f t="shared" si="0"/>
        <v>0</v>
      </c>
      <c r="H13" s="26">
        <f t="shared" si="0"/>
        <v>0</v>
      </c>
      <c r="I13" s="26">
        <f t="shared" si="0"/>
        <v>0</v>
      </c>
      <c r="J13" s="26">
        <f t="shared" si="0"/>
        <v>0</v>
      </c>
      <c r="K13" s="26">
        <f t="shared" si="0"/>
        <v>0</v>
      </c>
      <c r="L13" s="26">
        <f t="shared" si="0"/>
        <v>0</v>
      </c>
      <c r="M13" s="26">
        <f t="shared" si="0"/>
        <v>0</v>
      </c>
      <c r="N13" s="26">
        <f t="shared" si="0"/>
        <v>0</v>
      </c>
      <c r="O13" s="26">
        <f t="shared" si="0"/>
        <v>0</v>
      </c>
      <c r="P13" s="26">
        <f t="shared" si="0"/>
        <v>0</v>
      </c>
      <c r="Q13" s="26">
        <f t="shared" si="0"/>
        <v>0</v>
      </c>
      <c r="R13" s="26">
        <f t="shared" si="0"/>
        <v>0</v>
      </c>
      <c r="S13" s="26">
        <f t="shared" si="0"/>
        <v>0</v>
      </c>
    </row>
    <row r="14" spans="1:19" x14ac:dyDescent="0.2">
      <c r="A14" s="20" t="s">
        <v>834</v>
      </c>
      <c r="B14" s="20"/>
      <c r="C14" s="20"/>
      <c r="D14" s="27">
        <f t="shared" ref="D14:S14" ca="1" si="1">D9+D10+D11+D12+D13</f>
        <v>14461.389830359478</v>
      </c>
      <c r="E14" s="27">
        <f t="shared" ca="1" si="1"/>
        <v>23765.238531318886</v>
      </c>
      <c r="F14" s="27">
        <f t="shared" ca="1" si="1"/>
        <v>76087.189602633283</v>
      </c>
      <c r="G14" s="27">
        <f t="shared" ca="1" si="1"/>
        <v>132955.85061999588</v>
      </c>
      <c r="H14" s="27">
        <f t="shared" ca="1" si="1"/>
        <v>210772.32801826874</v>
      </c>
      <c r="I14" s="27">
        <f t="shared" ca="1" si="1"/>
        <v>285043.56240807043</v>
      </c>
      <c r="J14" s="27">
        <f t="shared" ca="1" si="1"/>
        <v>389591.34862066183</v>
      </c>
      <c r="K14" s="27">
        <f t="shared" ca="1" si="1"/>
        <v>459225.75897234323</v>
      </c>
      <c r="L14" s="27">
        <f t="shared" ca="1" si="1"/>
        <v>496467.68253111665</v>
      </c>
      <c r="M14" s="27">
        <f t="shared" ca="1" si="1"/>
        <v>550400.6674966662</v>
      </c>
      <c r="N14" s="27">
        <f t="shared" ca="1" si="1"/>
        <v>654051.41670097481</v>
      </c>
      <c r="O14" s="27">
        <f t="shared" ca="1" si="1"/>
        <v>807850.81816132064</v>
      </c>
      <c r="P14" s="27">
        <f t="shared" ca="1" si="1"/>
        <v>996952.44438955234</v>
      </c>
      <c r="Q14" s="27">
        <f t="shared" ca="1" si="1"/>
        <v>1173797.1249223978</v>
      </c>
      <c r="R14" s="27">
        <f t="shared" ca="1" si="1"/>
        <v>1426058.1549557641</v>
      </c>
      <c r="S14" s="27">
        <f t="shared" ca="1" si="1"/>
        <v>1761968.5708536203</v>
      </c>
    </row>
    <row r="15" spans="1:19" x14ac:dyDescent="0.2">
      <c r="A15" s="8"/>
      <c r="B15" s="8"/>
      <c r="C15" s="8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">
      <c r="A16" s="18" t="s">
        <v>835</v>
      </c>
      <c r="B16" s="18"/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x14ac:dyDescent="0.2">
      <c r="A17" s="22" t="s">
        <v>1536</v>
      </c>
      <c r="B17" s="8"/>
      <c r="C17" s="8"/>
      <c r="D17" s="25">
        <f>Starlink!D146</f>
        <v>4281.2917237996735</v>
      </c>
      <c r="E17" s="25">
        <f ca="1">Starlink!E146</f>
        <v>4360.8897489105148</v>
      </c>
      <c r="F17" s="25">
        <f ca="1">Starlink!F146</f>
        <v>19122.254191024942</v>
      </c>
      <c r="G17" s="25">
        <f ca="1">Starlink!G146</f>
        <v>33095.232783074687</v>
      </c>
      <c r="H17" s="25">
        <f ca="1">Starlink!H146</f>
        <v>47545.724733424337</v>
      </c>
      <c r="I17" s="25">
        <f ca="1">Starlink!I146</f>
        <v>38237.80704434686</v>
      </c>
      <c r="J17" s="25">
        <f ca="1">Starlink!J146</f>
        <v>40351.625069298592</v>
      </c>
      <c r="K17" s="25">
        <f ca="1">Starlink!K146</f>
        <v>23066.209928844946</v>
      </c>
      <c r="L17" s="25">
        <f ca="1">Starlink!L146</f>
        <v>21714.531731674935</v>
      </c>
      <c r="M17" s="25">
        <f ca="1">Starlink!M146</f>
        <v>21757.357904639583</v>
      </c>
      <c r="N17" s="25">
        <f ca="1">Starlink!N146</f>
        <v>29014.306227632245</v>
      </c>
      <c r="O17" s="25">
        <f ca="1">Starlink!O146</f>
        <v>30368.005497032849</v>
      </c>
      <c r="P17" s="25">
        <f ca="1">Starlink!P146</f>
        <v>30267.589467467722</v>
      </c>
      <c r="Q17" s="25">
        <f ca="1">Starlink!Q146</f>
        <v>23761.53228885723</v>
      </c>
      <c r="R17" s="25">
        <f ca="1">Starlink!R146</f>
        <v>20488.801037435605</v>
      </c>
      <c r="S17" s="25">
        <f ca="1">Starlink!S146</f>
        <v>19002.833645223971</v>
      </c>
    </row>
    <row r="18" spans="1:19" x14ac:dyDescent="0.2">
      <c r="A18" s="22" t="s">
        <v>1537</v>
      </c>
      <c r="B18" s="8"/>
      <c r="C18" s="8"/>
      <c r="D18" s="25">
        <f ca="1">'Customer Launch'!D101-'Customer Launch'!D103</f>
        <v>714.29399999999987</v>
      </c>
      <c r="E18" s="25">
        <f ca="1">'Customer Launch'!E101-'Customer Launch'!E103</f>
        <v>1873.8090000000002</v>
      </c>
      <c r="F18" s="25">
        <f ca="1">'Customer Launch'!F101-'Customer Launch'!F103</f>
        <v>4318.0486499167891</v>
      </c>
      <c r="G18" s="25">
        <f ca="1">'Customer Launch'!G101-'Customer Launch'!G103</f>
        <v>4722.9165513729513</v>
      </c>
      <c r="H18" s="25">
        <f ca="1">'Customer Launch'!H101-'Customer Launch'!H103</f>
        <v>5241.801428545099</v>
      </c>
      <c r="I18" s="25">
        <f ca="1">'Customer Launch'!I101-'Customer Launch'!I103</f>
        <v>5801.1229611562503</v>
      </c>
      <c r="J18" s="25">
        <f ca="1">'Customer Launch'!J101-'Customer Launch'!J103</f>
        <v>5744.9101092140627</v>
      </c>
      <c r="K18" s="25">
        <f ca="1">'Customer Launch'!K101-'Customer Launch'!K103</f>
        <v>9736.7018276220788</v>
      </c>
      <c r="L18" s="25">
        <f ca="1">'Customer Launch'!L101-'Customer Launch'!L103</f>
        <v>10655.647366638075</v>
      </c>
      <c r="M18" s="25">
        <f ca="1">'Customer Launch'!M101-'Customer Launch'!M103</f>
        <v>11444.730692240677</v>
      </c>
      <c r="N18" s="25">
        <f ca="1">'Customer Launch'!N101-'Customer Launch'!N103</f>
        <v>12199.518656187425</v>
      </c>
      <c r="O18" s="25">
        <f ca="1">'Customer Launch'!O101-'Customer Launch'!O103</f>
        <v>12975.867659483538</v>
      </c>
      <c r="P18" s="25">
        <f ca="1">'Customer Launch'!P101-'Customer Launch'!P103</f>
        <v>13797.035389427312</v>
      </c>
      <c r="Q18" s="25">
        <f ca="1">'Customer Launch'!Q101-'Customer Launch'!Q103</f>
        <v>14677.013247163595</v>
      </c>
      <c r="R18" s="25">
        <f ca="1">'Customer Launch'!R101-'Customer Launch'!R103</f>
        <v>15513.974625062998</v>
      </c>
      <c r="S18" s="25">
        <f ca="1">'Customer Launch'!S101-'Customer Launch'!S103</f>
        <v>345.65870856378569</v>
      </c>
    </row>
    <row r="19" spans="1:19" x14ac:dyDescent="0.2">
      <c r="A19" s="22" t="s">
        <v>1538</v>
      </c>
      <c r="B19" s="8"/>
      <c r="C19" s="8"/>
      <c r="D19" s="25">
        <f ca="1">'AI - Compute'!D173</f>
        <v>0</v>
      </c>
      <c r="E19" s="25">
        <f ca="1">'AI - Compute'!E173</f>
        <v>137.2496886522043</v>
      </c>
      <c r="F19" s="25">
        <f ca="1">'AI - Compute'!F173</f>
        <v>391.89176034558415</v>
      </c>
      <c r="G19" s="25">
        <f ca="1">'AI - Compute'!G173</f>
        <v>648.89518188224861</v>
      </c>
      <c r="H19" s="25">
        <f ca="1">'AI - Compute'!H173</f>
        <v>1118.0997900925865</v>
      </c>
      <c r="I19" s="25">
        <f ca="1">'AI - Compute'!I173</f>
        <v>2218.9356411042932</v>
      </c>
      <c r="J19" s="25">
        <f ca="1">'AI - Compute'!J173</f>
        <v>4182.3495884036147</v>
      </c>
      <c r="K19" s="25">
        <f ca="1">'AI - Compute'!K173</f>
        <v>5713.640860755534</v>
      </c>
      <c r="L19" s="25">
        <f ca="1">'AI - Compute'!L173</f>
        <v>5732.5018478283346</v>
      </c>
      <c r="M19" s="25">
        <f ca="1">'AI - Compute'!M173</f>
        <v>6936.4617707655962</v>
      </c>
      <c r="N19" s="25">
        <f ca="1">'AI - Compute'!N173</f>
        <v>9190.2484438719639</v>
      </c>
      <c r="O19" s="25">
        <f ca="1">'AI - Compute'!O173</f>
        <v>12839.530556179601</v>
      </c>
      <c r="P19" s="25">
        <f ca="1">'AI - Compute'!P173</f>
        <v>17157.727136022244</v>
      </c>
      <c r="Q19" s="25">
        <f ca="1">'AI - Compute'!Q173</f>
        <v>20947.178005517002</v>
      </c>
      <c r="R19" s="25">
        <f ca="1">'AI - Compute'!R173</f>
        <v>27179.716773329215</v>
      </c>
      <c r="S19" s="25">
        <f ca="1">'AI - Compute'!S173</f>
        <v>36113.428749042512</v>
      </c>
    </row>
    <row r="20" spans="1:19" x14ac:dyDescent="0.2">
      <c r="A20" s="22" t="s">
        <v>1539</v>
      </c>
      <c r="B20" s="8"/>
      <c r="C20" s="8"/>
      <c r="D20" s="26">
        <f>0</f>
        <v>0</v>
      </c>
      <c r="E20" s="26">
        <f>0</f>
        <v>0</v>
      </c>
      <c r="F20" s="26">
        <f>0</f>
        <v>0</v>
      </c>
      <c r="G20" s="26">
        <f>0</f>
        <v>0</v>
      </c>
      <c r="H20" s="26">
        <f>0</f>
        <v>0</v>
      </c>
      <c r="I20" s="26">
        <f>0</f>
        <v>0</v>
      </c>
      <c r="J20" s="26">
        <f>0</f>
        <v>0</v>
      </c>
      <c r="K20" s="26">
        <f>0</f>
        <v>0</v>
      </c>
      <c r="L20" s="26">
        <f>0</f>
        <v>0</v>
      </c>
      <c r="M20" s="26">
        <f>0</f>
        <v>0</v>
      </c>
      <c r="N20" s="26">
        <f>0</f>
        <v>0</v>
      </c>
      <c r="O20" s="26">
        <f>0</f>
        <v>0</v>
      </c>
      <c r="P20" s="26">
        <f>0</f>
        <v>0</v>
      </c>
      <c r="Q20" s="26">
        <f>0</f>
        <v>0</v>
      </c>
      <c r="R20" s="26">
        <f>0</f>
        <v>0</v>
      </c>
      <c r="S20" s="26">
        <f>0</f>
        <v>0</v>
      </c>
    </row>
    <row r="21" spans="1:19" x14ac:dyDescent="0.2">
      <c r="A21" s="22" t="s">
        <v>833</v>
      </c>
      <c r="B21" s="8"/>
      <c r="C21" s="8"/>
      <c r="D21" s="26">
        <f>-D101</f>
        <v>0</v>
      </c>
      <c r="E21" s="26">
        <f t="shared" ref="E21:S21" si="2">-E101</f>
        <v>0</v>
      </c>
      <c r="F21" s="26">
        <f t="shared" si="2"/>
        <v>0</v>
      </c>
      <c r="G21" s="26">
        <f t="shared" si="2"/>
        <v>0</v>
      </c>
      <c r="H21" s="26">
        <f t="shared" si="2"/>
        <v>0</v>
      </c>
      <c r="I21" s="26">
        <f t="shared" si="2"/>
        <v>0</v>
      </c>
      <c r="J21" s="26">
        <f t="shared" si="2"/>
        <v>0</v>
      </c>
      <c r="K21" s="26">
        <f t="shared" si="2"/>
        <v>0</v>
      </c>
      <c r="L21" s="26">
        <f t="shared" si="2"/>
        <v>0</v>
      </c>
      <c r="M21" s="26">
        <f t="shared" si="2"/>
        <v>0</v>
      </c>
      <c r="N21" s="26">
        <f t="shared" si="2"/>
        <v>0</v>
      </c>
      <c r="O21" s="26">
        <f t="shared" si="2"/>
        <v>0</v>
      </c>
      <c r="P21" s="26">
        <f t="shared" si="2"/>
        <v>0</v>
      </c>
      <c r="Q21" s="26">
        <f t="shared" si="2"/>
        <v>0</v>
      </c>
      <c r="R21" s="26">
        <f t="shared" si="2"/>
        <v>0</v>
      </c>
      <c r="S21" s="26">
        <f t="shared" si="2"/>
        <v>0</v>
      </c>
    </row>
    <row r="22" spans="1:19" x14ac:dyDescent="0.2">
      <c r="A22" s="20" t="s">
        <v>836</v>
      </c>
      <c r="B22" s="20"/>
      <c r="C22" s="20"/>
      <c r="D22" s="27">
        <f t="shared" ref="D22:S22" ca="1" si="3">D17+D18+D19+D20+D21</f>
        <v>4995.5857237996734</v>
      </c>
      <c r="E22" s="27">
        <f t="shared" ca="1" si="3"/>
        <v>6371.9484375627189</v>
      </c>
      <c r="F22" s="27">
        <f t="shared" ca="1" si="3"/>
        <v>23832.194601287316</v>
      </c>
      <c r="G22" s="27">
        <f t="shared" ca="1" si="3"/>
        <v>38467.044516329886</v>
      </c>
      <c r="H22" s="27">
        <f t="shared" ca="1" si="3"/>
        <v>53905.625952062022</v>
      </c>
      <c r="I22" s="27">
        <f t="shared" ca="1" si="3"/>
        <v>46257.865646607403</v>
      </c>
      <c r="J22" s="27">
        <f t="shared" ca="1" si="3"/>
        <v>50278.884766916271</v>
      </c>
      <c r="K22" s="27">
        <f t="shared" ca="1" si="3"/>
        <v>38516.552617222558</v>
      </c>
      <c r="L22" s="27">
        <f t="shared" ca="1" si="3"/>
        <v>38102.68094614135</v>
      </c>
      <c r="M22" s="27">
        <f t="shared" ca="1" si="3"/>
        <v>40138.550367645861</v>
      </c>
      <c r="N22" s="27">
        <f t="shared" ca="1" si="3"/>
        <v>50404.073327691636</v>
      </c>
      <c r="O22" s="27">
        <f t="shared" ca="1" si="3"/>
        <v>56183.403712695988</v>
      </c>
      <c r="P22" s="27">
        <f t="shared" ca="1" si="3"/>
        <v>61222.351992917276</v>
      </c>
      <c r="Q22" s="27">
        <f t="shared" ca="1" si="3"/>
        <v>59385.723541537831</v>
      </c>
      <c r="R22" s="27">
        <f t="shared" ca="1" si="3"/>
        <v>63182.492435827822</v>
      </c>
      <c r="S22" s="27">
        <f t="shared" ca="1" si="3"/>
        <v>55461.921102830267</v>
      </c>
    </row>
    <row r="23" spans="1:19" x14ac:dyDescent="0.2">
      <c r="A23" s="9"/>
      <c r="B23" s="8"/>
      <c r="C23" s="8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x14ac:dyDescent="0.2">
      <c r="A24" s="18" t="s">
        <v>837</v>
      </c>
      <c r="B24" s="18"/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x14ac:dyDescent="0.2">
      <c r="A25" s="22" t="s">
        <v>1540</v>
      </c>
      <c r="B25" s="8"/>
      <c r="C25" s="8"/>
      <c r="D25" s="26">
        <f t="shared" ref="D25:S25" si="4">D9-D17</f>
        <v>6597.8331065598031</v>
      </c>
      <c r="E25" s="26">
        <f t="shared" ca="1" si="4"/>
        <v>9891.1001047229693</v>
      </c>
      <c r="F25" s="26">
        <f t="shared" ca="1" si="4"/>
        <v>36070.801167816018</v>
      </c>
      <c r="G25" s="26">
        <f t="shared" ca="1" si="4"/>
        <v>75295.537714463047</v>
      </c>
      <c r="H25" s="26">
        <f t="shared" ca="1" si="4"/>
        <v>128573.93301912912</v>
      </c>
      <c r="I25" s="26">
        <f t="shared" ca="1" si="4"/>
        <v>182598.00403954083</v>
      </c>
      <c r="J25" s="26">
        <f t="shared" ca="1" si="4"/>
        <v>226788.63342534727</v>
      </c>
      <c r="K25" s="26">
        <f t="shared" ca="1" si="4"/>
        <v>252249.17975780659</v>
      </c>
      <c r="L25" s="26">
        <f t="shared" ca="1" si="4"/>
        <v>265834.74499143224</v>
      </c>
      <c r="M25" s="26">
        <f t="shared" ca="1" si="4"/>
        <v>275948.12714747549</v>
      </c>
      <c r="N25" s="26">
        <f t="shared" ca="1" si="4"/>
        <v>291713.13848632656</v>
      </c>
      <c r="O25" s="26">
        <f t="shared" ca="1" si="4"/>
        <v>310487.92802315939</v>
      </c>
      <c r="P25" s="26">
        <f t="shared" ca="1" si="4"/>
        <v>329892.80843139696</v>
      </c>
      <c r="Q25" s="26">
        <f t="shared" ca="1" si="4"/>
        <v>344372.46406606963</v>
      </c>
      <c r="R25" s="26">
        <f t="shared" ca="1" si="4"/>
        <v>353997.70674781251</v>
      </c>
      <c r="S25" s="26">
        <f t="shared" ca="1" si="4"/>
        <v>361032.7436288743</v>
      </c>
    </row>
    <row r="26" spans="1:19" x14ac:dyDescent="0.2">
      <c r="A26" s="22" t="s">
        <v>1541</v>
      </c>
      <c r="B26" s="8"/>
      <c r="C26" s="8"/>
      <c r="D26" s="26">
        <f t="shared" ref="D26:S26" ca="1" si="5">D10-D18</f>
        <v>2384.9059999999999</v>
      </c>
      <c r="E26" s="26">
        <f t="shared" ca="1" si="5"/>
        <v>4314.8909999999996</v>
      </c>
      <c r="F26" s="26">
        <f t="shared" ca="1" si="5"/>
        <v>8317.9923900832109</v>
      </c>
      <c r="G26" s="26">
        <f t="shared" ca="1" si="5"/>
        <v>9038.3653902899568</v>
      </c>
      <c r="H26" s="26">
        <f t="shared" ca="1" si="5"/>
        <v>9945.8510963475183</v>
      </c>
      <c r="I26" s="26">
        <f t="shared" ca="1" si="5"/>
        <v>10922.062198218749</v>
      </c>
      <c r="J26" s="26">
        <f t="shared" ca="1" si="5"/>
        <v>10910.234308129686</v>
      </c>
      <c r="K26" s="26">
        <f t="shared" ca="1" si="5"/>
        <v>13938.29457848512</v>
      </c>
      <c r="L26" s="26">
        <f t="shared" ca="1" si="5"/>
        <v>13331.58128053797</v>
      </c>
      <c r="M26" s="26">
        <f t="shared" ca="1" si="5"/>
        <v>12493.41720078288</v>
      </c>
      <c r="N26" s="26">
        <f t="shared" ca="1" si="5"/>
        <v>11581.037691695146</v>
      </c>
      <c r="O26" s="26">
        <f t="shared" ca="1" si="5"/>
        <v>10637.713583459954</v>
      </c>
      <c r="P26" s="26">
        <f t="shared" ca="1" si="5"/>
        <v>9664.9227837220369</v>
      </c>
      <c r="Q26" s="26">
        <f t="shared" ca="1" si="5"/>
        <v>8645.319728580329</v>
      </c>
      <c r="R26" s="26">
        <f t="shared" ca="1" si="5"/>
        <v>7984.160620386363</v>
      </c>
      <c r="S26" s="26">
        <f t="shared" ca="1" si="5"/>
        <v>3122.3228423473852</v>
      </c>
    </row>
    <row r="27" spans="1:19" x14ac:dyDescent="0.2">
      <c r="A27" s="22" t="s">
        <v>1542</v>
      </c>
      <c r="B27" s="8"/>
      <c r="C27" s="8"/>
      <c r="D27" s="26">
        <f ca="1">D11-D19</f>
        <v>483.065</v>
      </c>
      <c r="E27" s="26">
        <f t="shared" ref="E27:S27" ca="1" si="6">E11-E19</f>
        <v>3187.2989890331974</v>
      </c>
      <c r="F27" s="26">
        <f t="shared" ca="1" si="6"/>
        <v>7866.2014434467392</v>
      </c>
      <c r="G27" s="26">
        <f t="shared" ca="1" si="6"/>
        <v>10154.90299891297</v>
      </c>
      <c r="H27" s="26">
        <f t="shared" ca="1" si="6"/>
        <v>18346.917950730065</v>
      </c>
      <c r="I27" s="26">
        <f t="shared" ca="1" si="6"/>
        <v>45265.630523703476</v>
      </c>
      <c r="J27" s="26">
        <f t="shared" ca="1" si="6"/>
        <v>101613.5961202686</v>
      </c>
      <c r="K27" s="26">
        <f t="shared" ca="1" si="6"/>
        <v>154521.73201882897</v>
      </c>
      <c r="L27" s="26">
        <f t="shared" ca="1" si="6"/>
        <v>179198.67531300514</v>
      </c>
      <c r="M27" s="26">
        <f t="shared" ca="1" si="6"/>
        <v>221820.57278076198</v>
      </c>
      <c r="N27" s="26">
        <f t="shared" ca="1" si="6"/>
        <v>300353.1671952614</v>
      </c>
      <c r="O27" s="26">
        <f t="shared" ca="1" si="6"/>
        <v>430541.77284200536</v>
      </c>
      <c r="P27" s="26">
        <f t="shared" ca="1" si="6"/>
        <v>596172.36118151608</v>
      </c>
      <c r="Q27" s="26">
        <f t="shared" ca="1" si="6"/>
        <v>761393.61758621002</v>
      </c>
      <c r="R27" s="26">
        <f t="shared" ca="1" si="6"/>
        <v>1000893.7951517374</v>
      </c>
      <c r="S27" s="26">
        <f t="shared" ca="1" si="6"/>
        <v>1342351.5832795682</v>
      </c>
    </row>
    <row r="28" spans="1:19" x14ac:dyDescent="0.2">
      <c r="A28" s="22" t="s">
        <v>1543</v>
      </c>
      <c r="B28" s="8"/>
      <c r="C28" s="8"/>
      <c r="D28" s="26">
        <f>D12-D20</f>
        <v>0</v>
      </c>
      <c r="E28" s="26">
        <f t="shared" ref="E28:S28" si="7">E12-E20</f>
        <v>0</v>
      </c>
      <c r="F28" s="26">
        <f t="shared" si="7"/>
        <v>0</v>
      </c>
      <c r="G28" s="26">
        <f t="shared" si="7"/>
        <v>0</v>
      </c>
      <c r="H28" s="26">
        <f t="shared" si="7"/>
        <v>0</v>
      </c>
      <c r="I28" s="26">
        <f t="shared" si="7"/>
        <v>0</v>
      </c>
      <c r="J28" s="26">
        <f t="shared" si="7"/>
        <v>0</v>
      </c>
      <c r="K28" s="26">
        <f t="shared" si="7"/>
        <v>0</v>
      </c>
      <c r="L28" s="26">
        <f t="shared" si="7"/>
        <v>0</v>
      </c>
      <c r="M28" s="26">
        <f t="shared" si="7"/>
        <v>0</v>
      </c>
      <c r="N28" s="26">
        <f t="shared" si="7"/>
        <v>0</v>
      </c>
      <c r="O28" s="26">
        <f t="shared" si="7"/>
        <v>0</v>
      </c>
      <c r="P28" s="26">
        <f t="shared" si="7"/>
        <v>0</v>
      </c>
      <c r="Q28" s="26">
        <f t="shared" si="7"/>
        <v>0</v>
      </c>
      <c r="R28" s="26">
        <f t="shared" si="7"/>
        <v>0</v>
      </c>
      <c r="S28" s="26">
        <f t="shared" si="7"/>
        <v>0</v>
      </c>
    </row>
    <row r="29" spans="1:19" x14ac:dyDescent="0.2">
      <c r="A29" s="20" t="s">
        <v>838</v>
      </c>
      <c r="B29" s="20"/>
      <c r="C29" s="20"/>
      <c r="D29" s="27">
        <f t="shared" ref="D29:S29" ca="1" si="8">D14-D22</f>
        <v>9465.8041065598045</v>
      </c>
      <c r="E29" s="27">
        <f t="shared" ca="1" si="8"/>
        <v>17393.290093756168</v>
      </c>
      <c r="F29" s="27">
        <f t="shared" ca="1" si="8"/>
        <v>52254.995001345967</v>
      </c>
      <c r="G29" s="27">
        <f t="shared" ca="1" si="8"/>
        <v>94488.806103665993</v>
      </c>
      <c r="H29" s="27">
        <f t="shared" ca="1" si="8"/>
        <v>156866.70206620672</v>
      </c>
      <c r="I29" s="27">
        <f t="shared" ca="1" si="8"/>
        <v>238785.69676146301</v>
      </c>
      <c r="J29" s="27">
        <f t="shared" ca="1" si="8"/>
        <v>339312.46385374555</v>
      </c>
      <c r="K29" s="27">
        <f t="shared" ca="1" si="8"/>
        <v>420709.2063551207</v>
      </c>
      <c r="L29" s="27">
        <f t="shared" ca="1" si="8"/>
        <v>458365.00158497528</v>
      </c>
      <c r="M29" s="27">
        <f t="shared" ca="1" si="8"/>
        <v>510262.11712902033</v>
      </c>
      <c r="N29" s="27">
        <f t="shared" ca="1" si="8"/>
        <v>603647.34337328316</v>
      </c>
      <c r="O29" s="27">
        <f t="shared" ca="1" si="8"/>
        <v>751667.41444862471</v>
      </c>
      <c r="P29" s="27">
        <f t="shared" ca="1" si="8"/>
        <v>935730.0923966351</v>
      </c>
      <c r="Q29" s="27">
        <f t="shared" ca="1" si="8"/>
        <v>1114411.40138086</v>
      </c>
      <c r="R29" s="27">
        <f t="shared" ca="1" si="8"/>
        <v>1362875.6625199362</v>
      </c>
      <c r="S29" s="27">
        <f t="shared" ca="1" si="8"/>
        <v>1706506.6497507901</v>
      </c>
    </row>
    <row r="30" spans="1:19" x14ac:dyDescent="0.2">
      <c r="A30" s="9"/>
      <c r="B30" s="8"/>
      <c r="C30" s="8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x14ac:dyDescent="0.2">
      <c r="A31" s="18" t="s">
        <v>1544</v>
      </c>
      <c r="B31" s="18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x14ac:dyDescent="0.2">
      <c r="A32" s="22" t="s">
        <v>1545</v>
      </c>
      <c r="B32" s="8"/>
      <c r="C32" s="8"/>
      <c r="D32" s="25">
        <f>Starlink!D148</f>
        <v>1463.4400194184639</v>
      </c>
      <c r="E32" s="25">
        <f ca="1">Starlink!E148</f>
        <v>1817.5896411165193</v>
      </c>
      <c r="F32" s="25">
        <f ca="1">Starlink!F148</f>
        <v>6638.7296349937533</v>
      </c>
      <c r="G32" s="25">
        <f ca="1">Starlink!G148</f>
        <v>12475.00087094925</v>
      </c>
      <c r="H32" s="25">
        <f ca="1">Starlink!H148</f>
        <v>19397.444362113318</v>
      </c>
      <c r="I32" s="25">
        <f ca="1">Starlink!I148</f>
        <v>23578.474978135186</v>
      </c>
      <c r="J32" s="25">
        <f ca="1">Starlink!J148</f>
        <v>28285.811209642558</v>
      </c>
      <c r="K32" s="25">
        <f ca="1">Starlink!K148</f>
        <v>29431.713409690692</v>
      </c>
      <c r="L32" s="25">
        <f ca="1">Starlink!L148</f>
        <v>30775.962587128401</v>
      </c>
      <c r="M32" s="25">
        <f ca="1">Starlink!M148</f>
        <v>31877.19931197754</v>
      </c>
      <c r="N32" s="25">
        <f ca="1">Starlink!N148</f>
        <v>34253.187245349305</v>
      </c>
      <c r="O32" s="25">
        <f ca="1">Starlink!O148</f>
        <v>36415.941639084216</v>
      </c>
      <c r="P32" s="25">
        <f ca="1">Starlink!P148</f>
        <v>38494.28040445091</v>
      </c>
      <c r="Q32" s="25">
        <f ca="1">Starlink!Q148</f>
        <v>39435.95973817983</v>
      </c>
      <c r="R32" s="25">
        <f ca="1">Starlink!R148</f>
        <v>40159.859539684738</v>
      </c>
      <c r="S32" s="25">
        <f ca="1">Starlink!S148</f>
        <v>40773.032238825064</v>
      </c>
    </row>
    <row r="33" spans="1:19" x14ac:dyDescent="0.2">
      <c r="A33" s="22" t="s">
        <v>1546</v>
      </c>
      <c r="B33" s="8"/>
      <c r="C33" s="8"/>
      <c r="D33" s="25">
        <f ca="1">'Customer Launch'!D104</f>
        <v>263.43200000000002</v>
      </c>
      <c r="E33" s="25">
        <f ca="1">'Customer Launch'!E104</f>
        <v>526.03949999999998</v>
      </c>
      <c r="F33" s="25">
        <f ca="1">'Customer Launch'!F104</f>
        <v>1074.0634884000001</v>
      </c>
      <c r="G33" s="25">
        <f ca="1">'Customer Launch'!G104</f>
        <v>1169.7089650413473</v>
      </c>
      <c r="H33" s="25">
        <f ca="1">'Customer Launch'!H104</f>
        <v>1290.9504646158725</v>
      </c>
      <c r="I33" s="25">
        <f ca="1">'Customer Launch'!I104</f>
        <v>1421.4707385468751</v>
      </c>
      <c r="J33" s="25">
        <f ca="1">'Customer Launch'!J104</f>
        <v>1415.6872754742187</v>
      </c>
      <c r="K33" s="25">
        <f ca="1">'Customer Launch'!K104</f>
        <v>2012.3746945191119</v>
      </c>
      <c r="L33" s="25">
        <f ca="1">'Customer Launch'!L104</f>
        <v>2038.9144350099641</v>
      </c>
      <c r="M33" s="25">
        <f ca="1">'Customer Launch'!M104</f>
        <v>2034.7425709070026</v>
      </c>
      <c r="N33" s="25">
        <f ca="1">'Customer Launch'!N104</f>
        <v>2021.3472895700188</v>
      </c>
      <c r="O33" s="25">
        <f ca="1">'Customer Launch'!O104</f>
        <v>2007.1544056501968</v>
      </c>
      <c r="P33" s="25">
        <f ca="1">'Customer Launch'!P104</f>
        <v>1994.2664447176949</v>
      </c>
      <c r="Q33" s="25">
        <f ca="1">'Customer Launch'!Q104</f>
        <v>1982.3983029382337</v>
      </c>
      <c r="R33" s="25">
        <f ca="1">'Customer Launch'!R104</f>
        <v>1997.3414958631959</v>
      </c>
      <c r="S33" s="25">
        <f ca="1">'Customer Launch'!S104</f>
        <v>294.77843182744954</v>
      </c>
    </row>
    <row r="34" spans="1:19" x14ac:dyDescent="0.2">
      <c r="A34" s="22" t="s">
        <v>1547</v>
      </c>
      <c r="B34" s="8"/>
      <c r="C34" s="8"/>
      <c r="D34" s="25">
        <f ca="1">'AI - Compute'!D9</f>
        <v>51.872599999999998</v>
      </c>
      <c r="E34" s="25">
        <f ca="1">'AI - Compute'!E9</f>
        <v>157.82660930138101</v>
      </c>
      <c r="F34" s="25">
        <f ca="1">'AI - Compute'!F9</f>
        <v>366.97455246825928</v>
      </c>
      <c r="G34" s="25">
        <f ca="1">'AI - Compute'!G9</f>
        <v>487.39320758759447</v>
      </c>
      <c r="H34" s="25">
        <f ca="1">'AI - Compute'!H9</f>
        <v>862.74592429399331</v>
      </c>
      <c r="I34" s="25">
        <f ca="1">'AI - Compute'!I9</f>
        <v>2026.9481373488534</v>
      </c>
      <c r="J34" s="25">
        <f ca="1">'AI - Compute'!J9</f>
        <v>4426.6266304557394</v>
      </c>
      <c r="K34" s="25">
        <f ca="1">'AI - Compute'!K9</f>
        <v>6692.8413416025642</v>
      </c>
      <c r="L34" s="25">
        <f ca="1">'AI - Compute'!L9</f>
        <v>7822.1223327630823</v>
      </c>
      <c r="M34" s="25">
        <f ca="1">'AI - Compute'!M9</f>
        <v>9806.5226782044956</v>
      </c>
      <c r="N34" s="25">
        <f ca="1">'AI - Compute'!N9</f>
        <v>13433.898513647438</v>
      </c>
      <c r="O34" s="25">
        <f ca="1">'AI - Compute'!O9</f>
        <v>19494.495684530266</v>
      </c>
      <c r="P34" s="25">
        <f ca="1">'AI - Compute'!P9</f>
        <v>27447.237053845471</v>
      </c>
      <c r="Q34" s="25">
        <f ca="1">'AI - Compute'!Q9</f>
        <v>35961.244128740786</v>
      </c>
      <c r="R34" s="25">
        <f ca="1">'AI - Compute'!R9</f>
        <v>48786.778761890797</v>
      </c>
      <c r="S34" s="25">
        <f ca="1">'AI - Compute'!S9</f>
        <v>68064.115879561854</v>
      </c>
    </row>
    <row r="35" spans="1:19" x14ac:dyDescent="0.2">
      <c r="A35" s="22" t="s">
        <v>1548</v>
      </c>
      <c r="B35" s="8"/>
      <c r="C35" s="8"/>
      <c r="D35" s="25">
        <f>'Lunar - Mars'!D86</f>
        <v>0</v>
      </c>
      <c r="E35" s="25">
        <f>'Lunar - Mars'!E86</f>
        <v>0</v>
      </c>
      <c r="F35" s="25">
        <f>'Lunar - Mars'!F86</f>
        <v>0</v>
      </c>
      <c r="G35" s="25">
        <f>'Lunar - Mars'!G86</f>
        <v>0</v>
      </c>
      <c r="H35" s="25">
        <f>'Lunar - Mars'!H86</f>
        <v>0</v>
      </c>
      <c r="I35" s="25">
        <f ca="1">'Lunar - Mars'!I86</f>
        <v>743.15307810865397</v>
      </c>
      <c r="J35" s="25">
        <f ca="1">'Lunar - Mars'!J86</f>
        <v>781.85880443818155</v>
      </c>
      <c r="K35" s="25">
        <f ca="1">'Lunar - Mars'!K86</f>
        <v>924.19551765933829</v>
      </c>
      <c r="L35" s="25">
        <f ca="1">'Lunar - Mars'!L86</f>
        <v>693.94037340516968</v>
      </c>
      <c r="M35" s="25">
        <f ca="1">'Lunar - Mars'!M86</f>
        <v>1096.7694846076595</v>
      </c>
      <c r="N35" s="25">
        <f ca="1">'Lunar - Mars'!N86</f>
        <v>1000.4886496831796</v>
      </c>
      <c r="O35" s="25">
        <f ca="1">'Lunar - Mars'!O86</f>
        <v>1195.2250971914711</v>
      </c>
      <c r="P35" s="25">
        <f ca="1">'Lunar - Mars'!P86</f>
        <v>1329.3837504480282</v>
      </c>
      <c r="Q35" s="25">
        <f ca="1">'Lunar - Mars'!Q86</f>
        <v>2183.5781510787979</v>
      </c>
      <c r="R35" s="25">
        <f ca="1">'Lunar - Mars'!R86</f>
        <v>3414.2027769867668</v>
      </c>
      <c r="S35" s="25">
        <f ca="1">'Lunar - Mars'!S86</f>
        <v>4536.2831170412946</v>
      </c>
    </row>
    <row r="36" spans="1:19" x14ac:dyDescent="0.2">
      <c r="A36" s="20" t="s">
        <v>839</v>
      </c>
      <c r="B36" s="20"/>
      <c r="C36" s="20"/>
      <c r="D36" s="27">
        <f t="shared" ref="D36:S36" ca="1" si="9">D32+D33+D34+D35</f>
        <v>1778.7446194184638</v>
      </c>
      <c r="E36" s="27">
        <f t="shared" ca="1" si="9"/>
        <v>2501.4557504179002</v>
      </c>
      <c r="F36" s="27">
        <f t="shared" ca="1" si="9"/>
        <v>8079.7676758620128</v>
      </c>
      <c r="G36" s="27">
        <f t="shared" ca="1" si="9"/>
        <v>14132.103043578192</v>
      </c>
      <c r="H36" s="27">
        <f t="shared" ca="1" si="9"/>
        <v>21551.140751023184</v>
      </c>
      <c r="I36" s="27">
        <f t="shared" ca="1" si="9"/>
        <v>27770.046932139569</v>
      </c>
      <c r="J36" s="27">
        <f t="shared" ca="1" si="9"/>
        <v>34909.983920010702</v>
      </c>
      <c r="K36" s="27">
        <f t="shared" ca="1" si="9"/>
        <v>39061.12496347171</v>
      </c>
      <c r="L36" s="27">
        <f t="shared" ca="1" si="9"/>
        <v>41330.939728306614</v>
      </c>
      <c r="M36" s="27">
        <f t="shared" ca="1" si="9"/>
        <v>44815.234045696707</v>
      </c>
      <c r="N36" s="27">
        <f t="shared" ca="1" si="9"/>
        <v>50708.921698249942</v>
      </c>
      <c r="O36" s="27">
        <f t="shared" ca="1" si="9"/>
        <v>59112.816826456146</v>
      </c>
      <c r="P36" s="27">
        <f t="shared" ca="1" si="9"/>
        <v>69265.167653462107</v>
      </c>
      <c r="Q36" s="27">
        <f t="shared" ca="1" si="9"/>
        <v>79563.180320937638</v>
      </c>
      <c r="R36" s="27">
        <f t="shared" ca="1" si="9"/>
        <v>94358.182574425504</v>
      </c>
      <c r="S36" s="27">
        <f t="shared" ca="1" si="9"/>
        <v>113668.20966725567</v>
      </c>
    </row>
    <row r="37" spans="1:19" x14ac:dyDescent="0.2">
      <c r="A37" s="9"/>
      <c r="B37" s="8"/>
      <c r="C37" s="8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">
      <c r="A38" s="18" t="s">
        <v>840</v>
      </c>
      <c r="B38" s="18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x14ac:dyDescent="0.2">
      <c r="A39" s="24" t="s">
        <v>1403</v>
      </c>
      <c r="B39" s="11"/>
      <c r="C39" s="11"/>
      <c r="D39" s="28">
        <f>Starlink!D150</f>
        <v>576.5936160090522</v>
      </c>
      <c r="E39" s="28">
        <f ca="1">Starlink!E150</f>
        <v>679.81991601831714</v>
      </c>
      <c r="F39" s="28">
        <f ca="1">Starlink!F150</f>
        <v>2369.4378665550425</v>
      </c>
      <c r="G39" s="28">
        <f ca="1">Starlink!G150</f>
        <v>4187.8941997133661</v>
      </c>
      <c r="H39" s="28">
        <f ca="1">Starlink!H150</f>
        <v>6124.2616949268686</v>
      </c>
      <c r="I39" s="28">
        <f ca="1">Starlink!I150</f>
        <v>6911.2709186070188</v>
      </c>
      <c r="J39" s="28">
        <f ca="1">Starlink!J150</f>
        <v>8014.2077548393763</v>
      </c>
      <c r="K39" s="28">
        <f ca="1">Starlink!K150</f>
        <v>8259.4616905995463</v>
      </c>
      <c r="L39" s="28">
        <f ca="1">Starlink!L150</f>
        <v>8626.4783016932142</v>
      </c>
      <c r="M39" s="28">
        <f ca="1">Starlink!M150</f>
        <v>8931.1645515634518</v>
      </c>
      <c r="N39" s="28">
        <f ca="1">Starlink!N150</f>
        <v>9621.8233414187653</v>
      </c>
      <c r="O39" s="28">
        <f ca="1">Starlink!O150</f>
        <v>10225.678005605767</v>
      </c>
      <c r="P39" s="28">
        <f ca="1">Starlink!P150</f>
        <v>10804.81193696594</v>
      </c>
      <c r="Q39" s="28">
        <f ca="1">Starlink!Q150</f>
        <v>11044.019890647805</v>
      </c>
      <c r="R39" s="28">
        <f ca="1">Starlink!R150</f>
        <v>11234.595233557442</v>
      </c>
      <c r="S39" s="28">
        <f ca="1">Starlink!S150</f>
        <v>11401.067318222948</v>
      </c>
    </row>
    <row r="40" spans="1:19" x14ac:dyDescent="0.2">
      <c r="A40" s="22" t="s">
        <v>1404</v>
      </c>
      <c r="B40" s="8"/>
      <c r="C40" s="8"/>
      <c r="D40" s="26">
        <f>0</f>
        <v>0</v>
      </c>
      <c r="E40" s="26">
        <f>0</f>
        <v>0</v>
      </c>
      <c r="F40" s="26">
        <f>0</f>
        <v>0</v>
      </c>
      <c r="G40" s="26">
        <f>0</f>
        <v>0</v>
      </c>
      <c r="H40" s="26">
        <f>0</f>
        <v>0</v>
      </c>
      <c r="I40" s="26">
        <f>0</f>
        <v>0</v>
      </c>
      <c r="J40" s="26">
        <f>0</f>
        <v>0</v>
      </c>
      <c r="K40" s="26">
        <f>0</f>
        <v>0</v>
      </c>
      <c r="L40" s="26">
        <f>0</f>
        <v>0</v>
      </c>
      <c r="M40" s="26">
        <f>0</f>
        <v>0</v>
      </c>
      <c r="N40" s="26">
        <f>0</f>
        <v>0</v>
      </c>
      <c r="O40" s="26">
        <f>0</f>
        <v>0</v>
      </c>
      <c r="P40" s="26">
        <f>0</f>
        <v>0</v>
      </c>
      <c r="Q40" s="26">
        <f>0</f>
        <v>0</v>
      </c>
      <c r="R40" s="26">
        <f>0</f>
        <v>0</v>
      </c>
      <c r="S40" s="26">
        <f>0</f>
        <v>0</v>
      </c>
    </row>
    <row r="41" spans="1:19" x14ac:dyDescent="0.2">
      <c r="A41" s="22" t="s">
        <v>1549</v>
      </c>
      <c r="B41" s="8"/>
      <c r="C41" s="8"/>
      <c r="D41" s="25">
        <f ca="1">'AI - Compute'!D10</f>
        <v>2072.45975</v>
      </c>
      <c r="E41" s="25">
        <f ca="1">'AI - Compute'!E10</f>
        <v>3495.7074842913325</v>
      </c>
      <c r="F41" s="25">
        <f ca="1">'AI - Compute'!F10</f>
        <v>4828.693236416877</v>
      </c>
      <c r="G41" s="25">
        <f ca="1">'AI - Compute'!G10</f>
        <v>2727.85327398648</v>
      </c>
      <c r="H41" s="25">
        <f ca="1">'AI - Compute'!H10</f>
        <v>4397.218834518816</v>
      </c>
      <c r="I41" s="25">
        <f ca="1">'AI - Compute'!I10</f>
        <v>9432.5025759786786</v>
      </c>
      <c r="J41" s="25">
        <f ca="1">'AI - Compute'!J10</f>
        <v>17933.840668219113</v>
      </c>
      <c r="K41" s="25">
        <f ca="1">'AI - Compute'!K10</f>
        <v>22750.676525975181</v>
      </c>
      <c r="L41" s="25">
        <f ca="1">'AI - Compute'!L10</f>
        <v>21399.132781836004</v>
      </c>
      <c r="M41" s="25">
        <f ca="1">'AI - Compute'!M10</f>
        <v>25758.369554350011</v>
      </c>
      <c r="N41" s="25">
        <f ca="1">'AI - Compute'!N10</f>
        <v>34692.534563381872</v>
      </c>
      <c r="O41" s="25">
        <f ca="1">'AI - Compute'!O10</f>
        <v>49428.950639547111</v>
      </c>
      <c r="P41" s="25">
        <f ca="1">'AI - Compute'!P10</f>
        <v>67444.743213255395</v>
      </c>
      <c r="Q41" s="25">
        <f ca="1">'AI - Compute'!Q10</f>
        <v>83881.236732609672</v>
      </c>
      <c r="R41" s="25">
        <f ca="1">'AI - Compute'!R10</f>
        <v>108477.21344634217</v>
      </c>
      <c r="S41" s="25">
        <f ca="1">'AI - Compute'!S10</f>
        <v>142873.75146692892</v>
      </c>
    </row>
    <row r="42" spans="1:19" x14ac:dyDescent="0.2">
      <c r="A42" s="24" t="s">
        <v>1550</v>
      </c>
      <c r="B42" s="8"/>
      <c r="C42" s="8"/>
      <c r="D42" s="25">
        <f>'Lunar - Mars'!D83</f>
        <v>700</v>
      </c>
      <c r="E42" s="25">
        <f>'Lunar - Mars'!E83</f>
        <v>700</v>
      </c>
      <c r="F42" s="25">
        <f>'Lunar - Mars'!F83</f>
        <v>700</v>
      </c>
      <c r="G42" s="25">
        <f>'Lunar - Mars'!G83</f>
        <v>700</v>
      </c>
      <c r="H42" s="25">
        <f>'Lunar - Mars'!H83</f>
        <v>700</v>
      </c>
      <c r="I42" s="25">
        <f>'Lunar - Mars'!I83</f>
        <v>0</v>
      </c>
      <c r="J42" s="25">
        <f>'Lunar - Mars'!J83</f>
        <v>0</v>
      </c>
      <c r="K42" s="25">
        <f>'Lunar - Mars'!K83</f>
        <v>0</v>
      </c>
      <c r="L42" s="25">
        <f>'Lunar - Mars'!L83</f>
        <v>0</v>
      </c>
      <c r="M42" s="25">
        <f>'Lunar - Mars'!M83</f>
        <v>0</v>
      </c>
      <c r="N42" s="25">
        <f>'Lunar - Mars'!N83</f>
        <v>0</v>
      </c>
      <c r="O42" s="25">
        <f>'Lunar - Mars'!O83</f>
        <v>0</v>
      </c>
      <c r="P42" s="25">
        <f>'Lunar - Mars'!P83</f>
        <v>0</v>
      </c>
      <c r="Q42" s="25">
        <f>'Lunar - Mars'!Q83</f>
        <v>0</v>
      </c>
      <c r="R42" s="25">
        <f>'Lunar - Mars'!R83</f>
        <v>0</v>
      </c>
      <c r="S42" s="25">
        <f>'Lunar - Mars'!S83</f>
        <v>0</v>
      </c>
    </row>
    <row r="43" spans="1:19" x14ac:dyDescent="0.2">
      <c r="A43" s="24" t="s">
        <v>1405</v>
      </c>
      <c r="B43" s="8"/>
      <c r="C43" s="8"/>
      <c r="D43" s="25">
        <f>'Cash Allocation Engine'!D16+Assumptions!D146</f>
        <v>3004</v>
      </c>
      <c r="E43" s="25">
        <f>'Cash Allocation Engine'!E16+Assumptions!E146</f>
        <v>3610</v>
      </c>
      <c r="F43" s="25">
        <f>'Cash Allocation Engine'!F16+Assumptions!F146</f>
        <v>3921</v>
      </c>
      <c r="G43" s="25">
        <f>'Cash Allocation Engine'!G16+Assumptions!G146</f>
        <v>3633.1</v>
      </c>
      <c r="H43" s="25">
        <f>'Cash Allocation Engine'!H16+Assumptions!H146</f>
        <v>3146.41</v>
      </c>
      <c r="I43" s="25">
        <f>'Cash Allocation Engine'!I16+Assumptions!I146</f>
        <v>2661.05</v>
      </c>
      <c r="J43" s="25">
        <f>'Cash Allocation Engine'!J16+Assumptions!J146</f>
        <v>2377.16</v>
      </c>
      <c r="K43" s="25">
        <f>'Cash Allocation Engine'!K16+Assumptions!K146</f>
        <v>2094.87</v>
      </c>
      <c r="L43" s="25">
        <f>'Cash Allocation Engine'!L16+Assumptions!L146</f>
        <v>1914.3600000000001</v>
      </c>
      <c r="M43" s="25">
        <f>'Cash Allocation Engine'!M16+Assumptions!M146</f>
        <v>1735.79</v>
      </c>
      <c r="N43" s="25">
        <f>'Cash Allocation Engine'!N16+Assumptions!N146</f>
        <v>1559.37</v>
      </c>
      <c r="O43" s="25">
        <f>'Cash Allocation Engine'!O16+Assumptions!O146</f>
        <v>1485.31</v>
      </c>
      <c r="P43" s="25">
        <f>'Cash Allocation Engine'!P16+Assumptions!P146</f>
        <v>1413.84</v>
      </c>
      <c r="Q43" s="25">
        <f>'Cash Allocation Engine'!Q16+Assumptions!Q146</f>
        <v>1345.23</v>
      </c>
      <c r="R43" s="25">
        <f>'Cash Allocation Engine'!R16+Assumptions!R146</f>
        <v>1329.75</v>
      </c>
      <c r="S43" s="25">
        <f>'Cash Allocation Engine'!S16+Assumptions!S146</f>
        <v>1317.72</v>
      </c>
    </row>
    <row r="44" spans="1:19" x14ac:dyDescent="0.2">
      <c r="A44" s="20" t="s">
        <v>841</v>
      </c>
      <c r="B44" s="20"/>
      <c r="C44" s="20"/>
      <c r="D44" s="27">
        <f t="shared" ref="D44:S44" ca="1" si="10">D40+D41+D42+D43</f>
        <v>5776.45975</v>
      </c>
      <c r="E44" s="27">
        <f t="shared" ca="1" si="10"/>
        <v>7805.7074842913325</v>
      </c>
      <c r="F44" s="27">
        <f t="shared" ca="1" si="10"/>
        <v>9449.693236416877</v>
      </c>
      <c r="G44" s="27">
        <f t="shared" ca="1" si="10"/>
        <v>7060.9532739864799</v>
      </c>
      <c r="H44" s="27">
        <f t="shared" ca="1" si="10"/>
        <v>8243.628834518815</v>
      </c>
      <c r="I44" s="27">
        <f t="shared" ca="1" si="10"/>
        <v>12093.55257597868</v>
      </c>
      <c r="J44" s="27">
        <f t="shared" ca="1" si="10"/>
        <v>20311.000668219112</v>
      </c>
      <c r="K44" s="27">
        <f t="shared" ca="1" si="10"/>
        <v>24845.54652597518</v>
      </c>
      <c r="L44" s="27">
        <f t="shared" ca="1" si="10"/>
        <v>23313.492781836005</v>
      </c>
      <c r="M44" s="27">
        <f t="shared" ca="1" si="10"/>
        <v>27494.159554350012</v>
      </c>
      <c r="N44" s="27">
        <f t="shared" ca="1" si="10"/>
        <v>36251.904563381875</v>
      </c>
      <c r="O44" s="27">
        <f t="shared" ca="1" si="10"/>
        <v>50914.260639547108</v>
      </c>
      <c r="P44" s="27">
        <f t="shared" ca="1" si="10"/>
        <v>68858.583213255391</v>
      </c>
      <c r="Q44" s="27">
        <f t="shared" ca="1" si="10"/>
        <v>85226.466732609668</v>
      </c>
      <c r="R44" s="27">
        <f t="shared" ca="1" si="10"/>
        <v>109806.96344634217</v>
      </c>
      <c r="S44" s="27">
        <f t="shared" ca="1" si="10"/>
        <v>144191.47146692892</v>
      </c>
    </row>
    <row r="45" spans="1:19" x14ac:dyDescent="0.2">
      <c r="A45" s="9"/>
      <c r="B45" s="8"/>
      <c r="C45" s="8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x14ac:dyDescent="0.2">
      <c r="A46" s="18" t="s">
        <v>842</v>
      </c>
      <c r="B46" s="18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x14ac:dyDescent="0.2">
      <c r="A47" s="22" t="s">
        <v>843</v>
      </c>
      <c r="B47" s="8"/>
      <c r="C47" s="8"/>
      <c r="D47" s="25">
        <f ca="1">'Cash Allocation Engine'!D15</f>
        <v>506.14864406258175</v>
      </c>
      <c r="E47" s="25">
        <f ca="1">'Cash Allocation Engine'!E15</f>
        <v>480.11814236793464</v>
      </c>
      <c r="F47" s="25">
        <f ca="1">'Cash Allocation Engine'!F15</f>
        <v>748.79513564479544</v>
      </c>
      <c r="G47" s="25">
        <f ca="1">'Cash Allocation Engine'!G15</f>
        <v>2276.3400166805732</v>
      </c>
      <c r="H47" s="25">
        <f ca="1">'Cash Allocation Engine'!H15</f>
        <v>3778.9335160242936</v>
      </c>
      <c r="I47" s="25">
        <f ca="1">'Cash Allocation Engine'!I15</f>
        <v>5694.4614203879319</v>
      </c>
      <c r="J47" s="25">
        <f ca="1">'Cash Allocation Engine'!J15</f>
        <v>7324.5060117366857</v>
      </c>
      <c r="K47" s="25">
        <f ca="1">'Cash Allocation Engine'!K15</f>
        <v>9527.1945572570949</v>
      </c>
      <c r="L47" s="25">
        <f ca="1">'Cash Allocation Engine'!L15</f>
        <v>10694.021548286531</v>
      </c>
      <c r="M47" s="25">
        <f ca="1">'Cash Allocation Engine'!M15</f>
        <v>11016.540459600086</v>
      </c>
      <c r="N47" s="25">
        <f ca="1">'Cash Allocation Engine'!N15</f>
        <v>11645.626887132103</v>
      </c>
      <c r="O47" s="25">
        <f ca="1">'Cash Allocation Engine'!O15</f>
        <v>13204.608875240074</v>
      </c>
      <c r="P47" s="25">
        <f ca="1">'Cash Allocation Engine'!P15</f>
        <v>16157.016363226414</v>
      </c>
      <c r="Q47" s="25">
        <f ca="1">'Cash Allocation Engine'!Q15</f>
        <v>19939.048887791047</v>
      </c>
      <c r="R47" s="25">
        <f ca="1">'Cash Allocation Engine'!R15</f>
        <v>23475.942498447956</v>
      </c>
      <c r="S47" s="25">
        <f ca="1">'Cash Allocation Engine'!S15</f>
        <v>28521.163099115282</v>
      </c>
    </row>
    <row r="48" spans="1:19" x14ac:dyDescent="0.2">
      <c r="A48" s="22" t="s">
        <v>844</v>
      </c>
      <c r="B48" s="8"/>
      <c r="C48" s="8"/>
      <c r="D48" s="25">
        <f>'Cash Allocation Engine'!D18</f>
        <v>0</v>
      </c>
      <c r="E48" s="25">
        <f>'Cash Allocation Engine'!E18</f>
        <v>0</v>
      </c>
      <c r="F48" s="25">
        <f>'Cash Allocation Engine'!F18</f>
        <v>0</v>
      </c>
      <c r="G48" s="25">
        <f>'Cash Allocation Engine'!G18</f>
        <v>0</v>
      </c>
      <c r="H48" s="25">
        <f>'Cash Allocation Engine'!H18</f>
        <v>0</v>
      </c>
      <c r="I48" s="25">
        <f>'Cash Allocation Engine'!I18</f>
        <v>0</v>
      </c>
      <c r="J48" s="25">
        <f>'Cash Allocation Engine'!J18</f>
        <v>0</v>
      </c>
      <c r="K48" s="25">
        <f>'Cash Allocation Engine'!K18</f>
        <v>0</v>
      </c>
      <c r="L48" s="25">
        <f>'Cash Allocation Engine'!L18</f>
        <v>0</v>
      </c>
      <c r="M48" s="25">
        <f>'Cash Allocation Engine'!M18</f>
        <v>0</v>
      </c>
      <c r="N48" s="25">
        <f>'Cash Allocation Engine'!N18</f>
        <v>0</v>
      </c>
      <c r="O48" s="25">
        <f>'Cash Allocation Engine'!O18</f>
        <v>0</v>
      </c>
      <c r="P48" s="25">
        <f>'Cash Allocation Engine'!P18</f>
        <v>0</v>
      </c>
      <c r="Q48" s="25">
        <f>'Cash Allocation Engine'!Q18</f>
        <v>0</v>
      </c>
      <c r="R48" s="25">
        <f>'Cash Allocation Engine'!R18</f>
        <v>0</v>
      </c>
      <c r="S48" s="25">
        <f>'Cash Allocation Engine'!S18</f>
        <v>0</v>
      </c>
    </row>
    <row r="49" spans="1:19" x14ac:dyDescent="0.2">
      <c r="A49" s="20" t="s">
        <v>845</v>
      </c>
      <c r="B49" s="20"/>
      <c r="C49" s="20"/>
      <c r="D49" s="27">
        <f t="shared" ref="D49:S49" ca="1" si="11">D47+D48</f>
        <v>506.14864406258175</v>
      </c>
      <c r="E49" s="27">
        <f t="shared" ca="1" si="11"/>
        <v>480.11814236793464</v>
      </c>
      <c r="F49" s="27">
        <f t="shared" ca="1" si="11"/>
        <v>748.79513564479544</v>
      </c>
      <c r="G49" s="27">
        <f t="shared" ca="1" si="11"/>
        <v>2276.3400166805732</v>
      </c>
      <c r="H49" s="27">
        <f t="shared" ca="1" si="11"/>
        <v>3778.9335160242936</v>
      </c>
      <c r="I49" s="27">
        <f t="shared" ca="1" si="11"/>
        <v>5694.4614203879319</v>
      </c>
      <c r="J49" s="27">
        <f t="shared" ca="1" si="11"/>
        <v>7324.5060117366857</v>
      </c>
      <c r="K49" s="27">
        <f t="shared" ca="1" si="11"/>
        <v>9527.1945572570949</v>
      </c>
      <c r="L49" s="27">
        <f t="shared" ca="1" si="11"/>
        <v>10694.021548286531</v>
      </c>
      <c r="M49" s="27">
        <f t="shared" ca="1" si="11"/>
        <v>11016.540459600086</v>
      </c>
      <c r="N49" s="27">
        <f t="shared" ca="1" si="11"/>
        <v>11645.626887132103</v>
      </c>
      <c r="O49" s="27">
        <f t="shared" ca="1" si="11"/>
        <v>13204.608875240074</v>
      </c>
      <c r="P49" s="27">
        <f t="shared" ca="1" si="11"/>
        <v>16157.016363226414</v>
      </c>
      <c r="Q49" s="27">
        <f t="shared" ca="1" si="11"/>
        <v>19939.048887791047</v>
      </c>
      <c r="R49" s="27">
        <f t="shared" ca="1" si="11"/>
        <v>23475.942498447956</v>
      </c>
      <c r="S49" s="27">
        <f t="shared" ca="1" si="11"/>
        <v>28521.163099115282</v>
      </c>
    </row>
    <row r="50" spans="1:19" x14ac:dyDescent="0.2">
      <c r="A50" s="9"/>
      <c r="B50" s="8"/>
      <c r="C50" s="8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x14ac:dyDescent="0.2">
      <c r="A51" s="18" t="s">
        <v>1551</v>
      </c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 x14ac:dyDescent="0.2">
      <c r="A52" s="22" t="s">
        <v>1552</v>
      </c>
      <c r="B52" s="8"/>
      <c r="C52" s="8"/>
      <c r="D52" s="26">
        <f t="shared" ref="D52:S52" si="12">D9-D17-D32</f>
        <v>5134.3930871413395</v>
      </c>
      <c r="E52" s="26">
        <f t="shared" ca="1" si="12"/>
        <v>8073.5104636064498</v>
      </c>
      <c r="F52" s="26">
        <f t="shared" ca="1" si="12"/>
        <v>29432.071532822265</v>
      </c>
      <c r="G52" s="26">
        <f t="shared" ca="1" si="12"/>
        <v>62820.536843513793</v>
      </c>
      <c r="H52" s="26">
        <f t="shared" ca="1" si="12"/>
        <v>109176.48865701581</v>
      </c>
      <c r="I52" s="26">
        <f t="shared" ca="1" si="12"/>
        <v>159019.52906140563</v>
      </c>
      <c r="J52" s="26">
        <f t="shared" ca="1" si="12"/>
        <v>198502.82221570471</v>
      </c>
      <c r="K52" s="26">
        <f t="shared" ca="1" si="12"/>
        <v>222817.46634811591</v>
      </c>
      <c r="L52" s="26">
        <f t="shared" ca="1" si="12"/>
        <v>235058.78240430384</v>
      </c>
      <c r="M52" s="26">
        <f t="shared" ca="1" si="12"/>
        <v>244070.92783549795</v>
      </c>
      <c r="N52" s="26">
        <f t="shared" ca="1" si="12"/>
        <v>257459.95124097724</v>
      </c>
      <c r="O52" s="26">
        <f t="shared" ca="1" si="12"/>
        <v>274071.98638407519</v>
      </c>
      <c r="P52" s="26">
        <f t="shared" ca="1" si="12"/>
        <v>291398.52802694606</v>
      </c>
      <c r="Q52" s="26">
        <f t="shared" ca="1" si="12"/>
        <v>304936.50432788982</v>
      </c>
      <c r="R52" s="26">
        <f t="shared" ca="1" si="12"/>
        <v>313837.84720812779</v>
      </c>
      <c r="S52" s="26">
        <f t="shared" ca="1" si="12"/>
        <v>320259.71139004925</v>
      </c>
    </row>
    <row r="53" spans="1:19" x14ac:dyDescent="0.2">
      <c r="A53" s="22" t="s">
        <v>1553</v>
      </c>
      <c r="B53" s="8"/>
      <c r="C53" s="8"/>
      <c r="D53" s="26">
        <f t="shared" ref="D53:S53" ca="1" si="13">D10-D18-D33-D40</f>
        <v>2121.4740000000002</v>
      </c>
      <c r="E53" s="26">
        <f t="shared" ca="1" si="13"/>
        <v>3788.8514999999998</v>
      </c>
      <c r="F53" s="26">
        <f t="shared" ca="1" si="13"/>
        <v>7243.9289016832108</v>
      </c>
      <c r="G53" s="26">
        <f t="shared" ca="1" si="13"/>
        <v>7868.6564252486096</v>
      </c>
      <c r="H53" s="26">
        <f t="shared" ca="1" si="13"/>
        <v>8654.9006317316453</v>
      </c>
      <c r="I53" s="26">
        <f t="shared" ca="1" si="13"/>
        <v>9500.591459671874</v>
      </c>
      <c r="J53" s="26">
        <f t="shared" ca="1" si="13"/>
        <v>9494.5470326554678</v>
      </c>
      <c r="K53" s="26">
        <f t="shared" ca="1" si="13"/>
        <v>11925.919883966008</v>
      </c>
      <c r="L53" s="26">
        <f t="shared" ca="1" si="13"/>
        <v>11292.666845528005</v>
      </c>
      <c r="M53" s="26">
        <f t="shared" ca="1" si="13"/>
        <v>10458.674629875877</v>
      </c>
      <c r="N53" s="26">
        <f t="shared" ca="1" si="13"/>
        <v>9559.6904021251285</v>
      </c>
      <c r="O53" s="26">
        <f t="shared" ca="1" si="13"/>
        <v>8630.5591778097569</v>
      </c>
      <c r="P53" s="26">
        <f t="shared" ca="1" si="13"/>
        <v>7670.656339004342</v>
      </c>
      <c r="Q53" s="26">
        <f t="shared" ca="1" si="13"/>
        <v>6662.9214256420955</v>
      </c>
      <c r="R53" s="26">
        <f t="shared" ca="1" si="13"/>
        <v>5986.8191245231674</v>
      </c>
      <c r="S53" s="26">
        <f t="shared" ca="1" si="13"/>
        <v>2827.5444105199358</v>
      </c>
    </row>
    <row r="54" spans="1:19" x14ac:dyDescent="0.2">
      <c r="A54" s="22" t="s">
        <v>1554</v>
      </c>
      <c r="B54" s="8"/>
      <c r="C54" s="8"/>
      <c r="D54" s="26">
        <f ca="1">D11-D19-D34-D41</f>
        <v>-1641.2673500000001</v>
      </c>
      <c r="E54" s="26">
        <f t="shared" ref="E54:S54" ca="1" si="14">E11-E19-E34-E41</f>
        <v>-466.235104559516</v>
      </c>
      <c r="F54" s="26">
        <f t="shared" ca="1" si="14"/>
        <v>2670.5336545616028</v>
      </c>
      <c r="G54" s="26">
        <f t="shared" ca="1" si="14"/>
        <v>6939.6565173388954</v>
      </c>
      <c r="H54" s="26">
        <f t="shared" ca="1" si="14"/>
        <v>13086.953191917255</v>
      </c>
      <c r="I54" s="26">
        <f t="shared" ca="1" si="14"/>
        <v>33806.179810375943</v>
      </c>
      <c r="J54" s="26">
        <f t="shared" ca="1" si="14"/>
        <v>79253.128821593753</v>
      </c>
      <c r="K54" s="26">
        <f t="shared" ca="1" si="14"/>
        <v>125078.21415125123</v>
      </c>
      <c r="L54" s="26">
        <f t="shared" ca="1" si="14"/>
        <v>149977.42019840606</v>
      </c>
      <c r="M54" s="26">
        <f t="shared" ca="1" si="14"/>
        <v>186255.68054820749</v>
      </c>
      <c r="N54" s="26">
        <f t="shared" ca="1" si="14"/>
        <v>252226.7341182321</v>
      </c>
      <c r="O54" s="26">
        <f t="shared" ca="1" si="14"/>
        <v>361618.32651792804</v>
      </c>
      <c r="P54" s="26">
        <f t="shared" ca="1" si="14"/>
        <v>501280.38091441523</v>
      </c>
      <c r="Q54" s="26">
        <f t="shared" ca="1" si="14"/>
        <v>641551.13672485959</v>
      </c>
      <c r="R54" s="26">
        <f t="shared" ca="1" si="14"/>
        <v>843629.80294350442</v>
      </c>
      <c r="S54" s="26">
        <f t="shared" ca="1" si="14"/>
        <v>1131413.7159330775</v>
      </c>
    </row>
    <row r="55" spans="1:19" x14ac:dyDescent="0.2">
      <c r="A55" s="22" t="s">
        <v>1555</v>
      </c>
      <c r="B55" s="8"/>
      <c r="C55" s="8"/>
      <c r="D55" s="26">
        <f>D12-D20-D35-D42</f>
        <v>-700</v>
      </c>
      <c r="E55" s="26">
        <f t="shared" ref="E55:S55" si="15">E12-E20-E35-E42</f>
        <v>-700</v>
      </c>
      <c r="F55" s="26">
        <f t="shared" si="15"/>
        <v>-700</v>
      </c>
      <c r="G55" s="26">
        <f t="shared" si="15"/>
        <v>-700</v>
      </c>
      <c r="H55" s="26">
        <f t="shared" si="15"/>
        <v>-700</v>
      </c>
      <c r="I55" s="26">
        <f t="shared" ca="1" si="15"/>
        <v>-743.15307810865397</v>
      </c>
      <c r="J55" s="26">
        <f t="shared" ca="1" si="15"/>
        <v>-781.85880443818155</v>
      </c>
      <c r="K55" s="26">
        <f t="shared" ca="1" si="15"/>
        <v>-924.19551765933829</v>
      </c>
      <c r="L55" s="26">
        <f t="shared" ca="1" si="15"/>
        <v>-693.94037340516968</v>
      </c>
      <c r="M55" s="26">
        <f t="shared" ca="1" si="15"/>
        <v>-1096.7694846076595</v>
      </c>
      <c r="N55" s="26">
        <f t="shared" ca="1" si="15"/>
        <v>-1000.4886496831796</v>
      </c>
      <c r="O55" s="26">
        <f t="shared" ca="1" si="15"/>
        <v>-1195.2250971914711</v>
      </c>
      <c r="P55" s="26">
        <f t="shared" ca="1" si="15"/>
        <v>-1329.3837504480282</v>
      </c>
      <c r="Q55" s="26">
        <f t="shared" ca="1" si="15"/>
        <v>-2183.5781510787979</v>
      </c>
      <c r="R55" s="26">
        <f t="shared" ca="1" si="15"/>
        <v>-3414.2027769867668</v>
      </c>
      <c r="S55" s="26">
        <f t="shared" ca="1" si="15"/>
        <v>-4536.2831170412946</v>
      </c>
    </row>
    <row r="56" spans="1:19" x14ac:dyDescent="0.2">
      <c r="A56" s="22" t="s">
        <v>1556</v>
      </c>
      <c r="B56" s="8"/>
      <c r="C56" s="8"/>
      <c r="D56" s="26">
        <f t="shared" ref="D56:S56" ca="1" si="16">-(D43+D47+D48)</f>
        <v>-3510.1486440625818</v>
      </c>
      <c r="E56" s="26">
        <f t="shared" ca="1" si="16"/>
        <v>-4090.1181423679345</v>
      </c>
      <c r="F56" s="26">
        <f t="shared" ca="1" si="16"/>
        <v>-4669.7951356447957</v>
      </c>
      <c r="G56" s="26">
        <f t="shared" ca="1" si="16"/>
        <v>-5909.4400166805735</v>
      </c>
      <c r="H56" s="26">
        <f t="shared" ca="1" si="16"/>
        <v>-6925.3435160242934</v>
      </c>
      <c r="I56" s="26">
        <f t="shared" ca="1" si="16"/>
        <v>-8355.5114203879311</v>
      </c>
      <c r="J56" s="26">
        <f t="shared" ca="1" si="16"/>
        <v>-9701.6660117366846</v>
      </c>
      <c r="K56" s="26">
        <f t="shared" ca="1" si="16"/>
        <v>-11622.064557257094</v>
      </c>
      <c r="L56" s="26">
        <f t="shared" ca="1" si="16"/>
        <v>-12608.381548286532</v>
      </c>
      <c r="M56" s="26">
        <f t="shared" ca="1" si="16"/>
        <v>-12752.330459600085</v>
      </c>
      <c r="N56" s="26">
        <f t="shared" ca="1" si="16"/>
        <v>-13204.996887132103</v>
      </c>
      <c r="O56" s="26">
        <f t="shared" ca="1" si="16"/>
        <v>-14689.918875240073</v>
      </c>
      <c r="P56" s="26">
        <f t="shared" ca="1" si="16"/>
        <v>-17570.856363226412</v>
      </c>
      <c r="Q56" s="26">
        <f t="shared" ca="1" si="16"/>
        <v>-21284.278887791046</v>
      </c>
      <c r="R56" s="26">
        <f t="shared" ca="1" si="16"/>
        <v>-24805.692498447956</v>
      </c>
      <c r="S56" s="26">
        <f t="shared" ca="1" si="16"/>
        <v>-29838.883099115283</v>
      </c>
    </row>
    <row r="57" spans="1:19" x14ac:dyDescent="0.2">
      <c r="A57" s="21" t="s">
        <v>846</v>
      </c>
      <c r="B57" s="20"/>
      <c r="C57" s="20"/>
      <c r="D57" s="27">
        <f t="shared" ref="D57:S57" ca="1" si="17">D52+D53+D54+D55+D56</f>
        <v>1404.4510930787578</v>
      </c>
      <c r="E57" s="27">
        <f t="shared" ca="1" si="17"/>
        <v>6606.008716678999</v>
      </c>
      <c r="F57" s="27">
        <f t="shared" ca="1" si="17"/>
        <v>33976.738953422282</v>
      </c>
      <c r="G57" s="27">
        <f t="shared" ca="1" si="17"/>
        <v>71019.40976942073</v>
      </c>
      <c r="H57" s="27">
        <f t="shared" ca="1" si="17"/>
        <v>123292.99896464041</v>
      </c>
      <c r="I57" s="27">
        <f t="shared" ca="1" si="17"/>
        <v>193227.63583295688</v>
      </c>
      <c r="J57" s="27">
        <f t="shared" ca="1" si="17"/>
        <v>276766.97325377906</v>
      </c>
      <c r="K57" s="27">
        <f t="shared" ca="1" si="17"/>
        <v>347275.34030841669</v>
      </c>
      <c r="L57" s="27">
        <f t="shared" ca="1" si="17"/>
        <v>383026.54752654623</v>
      </c>
      <c r="M57" s="27">
        <f t="shared" ca="1" si="17"/>
        <v>426936.18306937354</v>
      </c>
      <c r="N57" s="27">
        <f t="shared" ca="1" si="17"/>
        <v>505040.89022451919</v>
      </c>
      <c r="O57" s="27">
        <f t="shared" ca="1" si="17"/>
        <v>628435.72810738138</v>
      </c>
      <c r="P57" s="27">
        <f t="shared" ca="1" si="17"/>
        <v>781449.32516669121</v>
      </c>
      <c r="Q57" s="27">
        <f t="shared" ca="1" si="17"/>
        <v>929682.70543952158</v>
      </c>
      <c r="R57" s="27">
        <f t="shared" ca="1" si="17"/>
        <v>1135234.5740007204</v>
      </c>
      <c r="S57" s="27">
        <f t="shared" ca="1" si="17"/>
        <v>1420125.8055174903</v>
      </c>
    </row>
    <row r="58" spans="1:19" x14ac:dyDescent="0.2">
      <c r="A58" s="11"/>
      <c r="B58" s="8"/>
      <c r="C58" s="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x14ac:dyDescent="0.2">
      <c r="A59" s="18" t="s">
        <v>847</v>
      </c>
      <c r="B59" s="18"/>
      <c r="C59" s="1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 x14ac:dyDescent="0.2">
      <c r="A60" s="24" t="s">
        <v>1557</v>
      </c>
      <c r="B60" s="8"/>
      <c r="C60" s="8"/>
      <c r="D60" s="25">
        <f ca="1">Starlink!D151</f>
        <v>602.38373869890108</v>
      </c>
      <c r="E60" s="25">
        <f ca="1">Starlink!E151</f>
        <v>804.39193779975778</v>
      </c>
      <c r="F60" s="25">
        <f ca="1">Starlink!F151</f>
        <v>1944.3951992811649</v>
      </c>
      <c r="G60" s="25">
        <f ca="1">Starlink!G151</f>
        <v>4524.0594409171481</v>
      </c>
      <c r="H60" s="25">
        <f ca="1">Starlink!H151</f>
        <v>10679.200916177455</v>
      </c>
      <c r="I60" s="25">
        <f ca="1">Starlink!I151</f>
        <v>19933.746382251295</v>
      </c>
      <c r="J60" s="25">
        <f ca="1">Starlink!J151</f>
        <v>34550.14633382461</v>
      </c>
      <c r="K60" s="25">
        <f ca="1">Starlink!K151</f>
        <v>43824.739353232057</v>
      </c>
      <c r="L60" s="25">
        <f ca="1">Starlink!L151</f>
        <v>53863.6089388869</v>
      </c>
      <c r="M60" s="25">
        <f ca="1">Starlink!M151</f>
        <v>65945.349637702631</v>
      </c>
      <c r="N60" s="25">
        <f ca="1">Starlink!N151</f>
        <v>78176.082769752073</v>
      </c>
      <c r="O60" s="25">
        <f ca="1">Starlink!O151</f>
        <v>93534.424735750363</v>
      </c>
      <c r="P60" s="25">
        <f ca="1">Starlink!P151</f>
        <v>109504.91689295201</v>
      </c>
      <c r="Q60" s="25">
        <f ca="1">Starlink!Q151</f>
        <v>111602.12478285661</v>
      </c>
      <c r="R60" s="25">
        <f ca="1">Starlink!R151</f>
        <v>103704.75975683627</v>
      </c>
      <c r="S60" s="25">
        <f ca="1">Starlink!S151</f>
        <v>93001.758872307546</v>
      </c>
    </row>
    <row r="61" spans="1:19" x14ac:dyDescent="0.2">
      <c r="A61" s="24" t="s">
        <v>1558</v>
      </c>
      <c r="B61" s="8"/>
      <c r="C61" s="8"/>
      <c r="D61" s="25">
        <f ca="1">'Customer Launch'!D107</f>
        <v>29.46153846153846</v>
      </c>
      <c r="E61" s="25">
        <f ca="1">'Customer Launch'!E107</f>
        <v>65.585862785862787</v>
      </c>
      <c r="F61" s="25">
        <f ca="1">'Customer Launch'!F107</f>
        <v>103.29636278586278</v>
      </c>
      <c r="G61" s="25">
        <f ca="1">'Customer Launch'!G107</f>
        <v>140.18651611919611</v>
      </c>
      <c r="H61" s="25">
        <f ca="1">'Customer Launch'!H107</f>
        <v>187.21425245252945</v>
      </c>
      <c r="I61" s="25">
        <f ca="1">'Customer Launch'!I107</f>
        <v>230.50639773786281</v>
      </c>
      <c r="J61" s="25">
        <f ca="1">'Customer Launch'!J107</f>
        <v>276.87212452258279</v>
      </c>
      <c r="K61" s="25">
        <f ca="1">'Customer Launch'!K107</f>
        <v>369.33355299961875</v>
      </c>
      <c r="L61" s="25">
        <f ca="1">'Customer Launch'!L107</f>
        <v>447.28133001832998</v>
      </c>
      <c r="M61" s="25">
        <f ca="1">'Customer Launch'!M107</f>
        <v>501.68836258325882</v>
      </c>
      <c r="N61" s="25">
        <f ca="1">'Customer Launch'!N107</f>
        <v>549.26995442364444</v>
      </c>
      <c r="O61" s="25">
        <f ca="1">'Customer Launch'!O107</f>
        <v>559.97510660840419</v>
      </c>
      <c r="P61" s="25">
        <f ca="1">'Customer Launch'!P107</f>
        <v>532.79875092540351</v>
      </c>
      <c r="Q61" s="25">
        <f ca="1">'Customer Launch'!Q107</f>
        <v>553.80200371370745</v>
      </c>
      <c r="R61" s="25">
        <f ca="1">'Customer Launch'!R107</f>
        <v>600.57394984109283</v>
      </c>
      <c r="S61" s="25">
        <f ca="1">'Customer Launch'!S107</f>
        <v>613.07394984109283</v>
      </c>
    </row>
    <row r="62" spans="1:19" x14ac:dyDescent="0.2">
      <c r="A62" s="24" t="s">
        <v>1559</v>
      </c>
      <c r="B62" s="8"/>
      <c r="C62" s="8"/>
      <c r="D62" s="25">
        <f ca="1">'AI - Compute'!D11</f>
        <v>0</v>
      </c>
      <c r="E62" s="25">
        <f ca="1">'AI - Compute'!E11</f>
        <v>3745.3155785258996</v>
      </c>
      <c r="F62" s="25">
        <f ca="1">'AI - Compute'!F11</f>
        <v>7815.5895861575</v>
      </c>
      <c r="G62" s="25">
        <f ca="1">'AI - Compute'!G11</f>
        <v>11729.221726165679</v>
      </c>
      <c r="H62" s="25">
        <f ca="1">'AI - Compute'!H11</f>
        <v>14468.413283077492</v>
      </c>
      <c r="I62" s="25">
        <f ca="1">'AI - Compute'!I11</f>
        <v>21434.257946246787</v>
      </c>
      <c r="J62" s="25">
        <f ca="1">'AI - Compute'!J11</f>
        <v>35146.793075266549</v>
      </c>
      <c r="K62" s="25">
        <f ca="1">'AI - Compute'!K11</f>
        <v>50850.339198647984</v>
      </c>
      <c r="L62" s="25">
        <f ca="1">'AI - Compute'!L11</f>
        <v>60035.565458905956</v>
      </c>
      <c r="M62" s="25">
        <f ca="1">'AI - Compute'!M11</f>
        <v>68223.748520766894</v>
      </c>
      <c r="N62" s="25">
        <f ca="1">'AI - Compute'!N11</f>
        <v>79304.6199581447</v>
      </c>
      <c r="O62" s="25">
        <f ca="1">'AI - Compute'!O11</f>
        <v>94145.234597139599</v>
      </c>
      <c r="P62" s="25">
        <f ca="1">'AI - Compute'!P11</f>
        <v>117994.57811137635</v>
      </c>
      <c r="Q62" s="25">
        <f ca="1">'AI - Compute'!Q11</f>
        <v>148139.06160388596</v>
      </c>
      <c r="R62" s="25">
        <f ca="1">'AI - Compute'!R11</f>
        <v>186748.25791454493</v>
      </c>
      <c r="S62" s="25">
        <f ca="1">'AI - Compute'!S11</f>
        <v>235821.01093345572</v>
      </c>
    </row>
    <row r="63" spans="1:19" x14ac:dyDescent="0.2">
      <c r="A63" s="24" t="s">
        <v>1560</v>
      </c>
      <c r="B63" s="8"/>
      <c r="C63" s="8"/>
      <c r="D63" s="25">
        <f>'Lunar - Mars'!D109</f>
        <v>0</v>
      </c>
      <c r="E63" s="25">
        <f>'Lunar - Mars'!E109</f>
        <v>0</v>
      </c>
      <c r="F63" s="25">
        <f>'Lunar - Mars'!F109</f>
        <v>0</v>
      </c>
      <c r="G63" s="25">
        <f>'Lunar - Mars'!G109</f>
        <v>0</v>
      </c>
      <c r="H63" s="25">
        <f>'Lunar - Mars'!H109</f>
        <v>0</v>
      </c>
      <c r="I63" s="25">
        <f ca="1">'Lunar - Mars'!I109</f>
        <v>1486.3061562173079</v>
      </c>
      <c r="J63" s="25">
        <f ca="1">'Lunar - Mars'!J109</f>
        <v>3050.023765093671</v>
      </c>
      <c r="K63" s="25">
        <f ca="1">'Lunar - Mars'!K109</f>
        <v>4898.4148004123472</v>
      </c>
      <c r="L63" s="25">
        <f ca="1">'Lunar - Mars'!L109</f>
        <v>6286.2955472226868</v>
      </c>
      <c r="M63" s="25">
        <f ca="1">'Lunar - Mars'!M109</f>
        <v>8479.8345164380044</v>
      </c>
      <c r="N63" s="25">
        <f ca="1">'Lunar - Mars'!N109</f>
        <v>10480.811815804364</v>
      </c>
      <c r="O63" s="25">
        <f ca="1">'Lunar - Mars'!O109</f>
        <v>12871.262010187307</v>
      </c>
      <c r="P63" s="25">
        <f ca="1">'Lunar - Mars'!P109</f>
        <v>15530.029511083363</v>
      </c>
      <c r="Q63" s="25">
        <f ca="1">'Lunar - Mars'!Q109</f>
        <v>19897.185813240958</v>
      </c>
      <c r="R63" s="25">
        <f ca="1">'Lunar - Mars'!R109</f>
        <v>26725.591367214489</v>
      </c>
      <c r="S63" s="25">
        <f ca="1">'Lunar - Mars'!S109</f>
        <v>35798.157601297076</v>
      </c>
    </row>
    <row r="64" spans="1:19" x14ac:dyDescent="0.2">
      <c r="A64" s="24" t="s">
        <v>1561</v>
      </c>
      <c r="B64" s="8"/>
      <c r="C64" s="8"/>
      <c r="D64" s="25" cm="1">
        <f t="array" aca="1" ref="D64" ca="1">IFERROR(INDEX('Facilities Build'!$D:$AC,MATCH("Corporate &amp; infrastructure D&amp;A total ($mm)",'Facilities Build'!$A$1:$A$90,0),D$5+1),0)</f>
        <v>158.21568186384803</v>
      </c>
      <c r="E64" s="25" cm="1">
        <f t="array" aca="1" ref="E64" ca="1">IFERROR(INDEX('Facilities Build'!$D:$AC,MATCH("Corporate &amp; infrastructure D&amp;A total ($mm)",'Facilities Build'!$A$1:$A$90,0),E$5+1),0)</f>
        <v>205.69557200309478</v>
      </c>
      <c r="F64" s="25" cm="1">
        <f t="array" aca="1" ref="F64" ca="1">IFERROR(INDEX('Facilities Build'!$D:$AC,MATCH("Corporate &amp; infrastructure D&amp;A total ($mm)",'Facilities Build'!$A$1:$A$90,0),F$5+1),0)</f>
        <v>277.36417067941142</v>
      </c>
      <c r="G64" s="25" cm="1">
        <f t="array" aca="1" ref="G64" ca="1">IFERROR(INDEX('Facilities Build'!$D:$AC,MATCH("Corporate &amp; infrastructure D&amp;A total ($mm)",'Facilities Build'!$A$1:$A$90,0),G$5+1),0)</f>
        <v>571.75862630628012</v>
      </c>
      <c r="H64" s="25" cm="1">
        <f t="array" aca="1" ref="H64" ca="1">IFERROR(INDEX('Facilities Build'!$D:$AC,MATCH("Corporate &amp; infrastructure D&amp;A total ($mm)",'Facilities Build'!$A$1:$A$90,0),H$5+1),0)</f>
        <v>1085.1221827886122</v>
      </c>
      <c r="I64" s="25" cm="1">
        <f t="array" aca="1" ref="I64" ca="1">IFERROR(INDEX('Facilities Build'!$D:$AC,MATCH("Corporate &amp; infrastructure D&amp;A total ($mm)",'Facilities Build'!$A$1:$A$90,0),I$5+1),0)</f>
        <v>1953.346138673274</v>
      </c>
      <c r="J64" s="25" cm="1">
        <f t="array" aca="1" ref="J64" ca="1">IFERROR(INDEX('Facilities Build'!$D:$AC,MATCH("Corporate &amp; infrastructure D&amp;A total ($mm)",'Facilities Build'!$A$1:$A$90,0),J$5+1),0)</f>
        <v>3067.4296007375515</v>
      </c>
      <c r="K64" s="25" cm="1">
        <f t="array" aca="1" ref="K64" ca="1">IFERROR(INDEX('Facilities Build'!$D:$AC,MATCH("Corporate &amp; infrastructure D&amp;A total ($mm)",'Facilities Build'!$A$1:$A$90,0),K$5+1),0)</f>
        <v>4555.0502490807503</v>
      </c>
      <c r="L64" s="25" cm="1">
        <f t="array" aca="1" ref="L64" ca="1">IFERROR(INDEX('Facilities Build'!$D:$AC,MATCH("Corporate &amp; infrastructure D&amp;A total ($mm)",'Facilities Build'!$A$1:$A$90,0),L$5+1),0)</f>
        <v>6017.6847515248128</v>
      </c>
      <c r="M64" s="25" cm="1">
        <f t="array" aca="1" ref="M64" ca="1">IFERROR(INDEX('Facilities Build'!$D:$AC,MATCH("Corporate &amp; infrastructure D&amp;A total ($mm)",'Facilities Build'!$A$1:$A$90,0),M$5+1),0)</f>
        <v>7539.7130722995689</v>
      </c>
      <c r="N64" s="25" cm="1">
        <f t="array" aca="1" ref="N64" ca="1">IFERROR(INDEX('Facilities Build'!$D:$AC,MATCH("Corporate &amp; infrastructure D&amp;A total ($mm)",'Facilities Build'!$A$1:$A$90,0),N$5+1),0)</f>
        <v>9291.723838691838</v>
      </c>
      <c r="O64" s="25" cm="1">
        <f t="array" aca="1" ref="O64" ca="1">IFERROR(INDEX('Facilities Build'!$D:$AC,MATCH("Corporate &amp; infrastructure D&amp;A total ($mm)",'Facilities Build'!$A$1:$A$90,0),O$5+1),0)</f>
        <v>11258.201987237229</v>
      </c>
      <c r="P64" s="25" cm="1">
        <f t="array" aca="1" ref="P64" ca="1">IFERROR(INDEX('Facilities Build'!$D:$AC,MATCH("Corporate &amp; infrastructure D&amp;A total ($mm)",'Facilities Build'!$A$1:$A$90,0),P$5+1),0)</f>
        <v>13799.693776456295</v>
      </c>
      <c r="Q64" s="25" cm="1">
        <f t="array" aca="1" ref="Q64" ca="1">IFERROR(INDEX('Facilities Build'!$D:$AC,MATCH("Corporate &amp; infrastructure D&amp;A total ($mm)",'Facilities Build'!$A$1:$A$90,0),Q$5+1),0)</f>
        <v>16377.54134993574</v>
      </c>
      <c r="R64" s="25" cm="1">
        <f t="array" aca="1" ref="R64" ca="1">IFERROR(INDEX('Facilities Build'!$D:$AC,MATCH("Corporate &amp; infrastructure D&amp;A total ($mm)",'Facilities Build'!$A$1:$A$90,0),R$5+1),0)</f>
        <v>19167.954311259789</v>
      </c>
      <c r="S64" s="25" cm="1">
        <f t="array" aca="1" ref="S64" ca="1">IFERROR(INDEX('Facilities Build'!$D:$AC,MATCH("Corporate &amp; infrastructure D&amp;A total ($mm)",'Facilities Build'!$A$1:$A$90,0),S$5+1),0)</f>
        <v>22622.619098002873</v>
      </c>
    </row>
    <row r="65" spans="1:19" x14ac:dyDescent="0.2">
      <c r="A65" s="30" t="s">
        <v>848</v>
      </c>
      <c r="B65" s="31"/>
      <c r="C65" s="31"/>
      <c r="D65" s="32">
        <f t="shared" ref="D65:S65" ca="1" si="18">D60+D61+D62+D63+D64</f>
        <v>790.06095902428751</v>
      </c>
      <c r="E65" s="32">
        <f t="shared" ca="1" si="18"/>
        <v>4820.9889511146148</v>
      </c>
      <c r="F65" s="32">
        <f t="shared" ca="1" si="18"/>
        <v>10140.645318903938</v>
      </c>
      <c r="G65" s="32">
        <f t="shared" ca="1" si="18"/>
        <v>16965.226309508304</v>
      </c>
      <c r="H65" s="32">
        <f t="shared" ca="1" si="18"/>
        <v>26419.95063449609</v>
      </c>
      <c r="I65" s="32">
        <f t="shared" ca="1" si="18"/>
        <v>45038.163021126529</v>
      </c>
      <c r="J65" s="32">
        <f t="shared" ca="1" si="18"/>
        <v>76091.26489944497</v>
      </c>
      <c r="K65" s="32">
        <f t="shared" ca="1" si="18"/>
        <v>104497.87715437275</v>
      </c>
      <c r="L65" s="32">
        <f t="shared" ca="1" si="18"/>
        <v>126650.43602655869</v>
      </c>
      <c r="M65" s="32">
        <f t="shared" ca="1" si="18"/>
        <v>150690.33410979036</v>
      </c>
      <c r="N65" s="32">
        <f t="shared" ca="1" si="18"/>
        <v>177802.50833681659</v>
      </c>
      <c r="O65" s="32">
        <f t="shared" ca="1" si="18"/>
        <v>212369.09843692291</v>
      </c>
      <c r="P65" s="32">
        <f t="shared" ca="1" si="18"/>
        <v>257362.01704279342</v>
      </c>
      <c r="Q65" s="32">
        <f t="shared" ca="1" si="18"/>
        <v>296569.715553633</v>
      </c>
      <c r="R65" s="32">
        <f t="shared" ca="1" si="18"/>
        <v>336947.13729969662</v>
      </c>
      <c r="S65" s="32">
        <f t="shared" ca="1" si="18"/>
        <v>387856.62045490427</v>
      </c>
    </row>
    <row r="66" spans="1:19" x14ac:dyDescent="0.2">
      <c r="A66" s="8"/>
      <c r="B66" s="8"/>
      <c r="C66" s="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x14ac:dyDescent="0.2">
      <c r="A67" s="18" t="s">
        <v>1562</v>
      </c>
      <c r="B67" s="18"/>
      <c r="C67" s="18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x14ac:dyDescent="0.2">
      <c r="A68" s="24" t="s">
        <v>1563</v>
      </c>
      <c r="B68" s="8"/>
      <c r="C68" s="8"/>
      <c r="D68" s="26">
        <f t="shared" ref="D68:S68" ca="1" si="19">D52-D60</f>
        <v>4532.0093484424387</v>
      </c>
      <c r="E68" s="26">
        <f t="shared" ca="1" si="19"/>
        <v>7269.1185258066917</v>
      </c>
      <c r="F68" s="26">
        <f t="shared" ca="1" si="19"/>
        <v>27487.676333541101</v>
      </c>
      <c r="G68" s="26">
        <f t="shared" ca="1" si="19"/>
        <v>58296.477402596647</v>
      </c>
      <c r="H68" s="26">
        <f t="shared" ca="1" si="19"/>
        <v>98497.287740838365</v>
      </c>
      <c r="I68" s="26">
        <f t="shared" ca="1" si="19"/>
        <v>139085.78267915433</v>
      </c>
      <c r="J68" s="26">
        <f t="shared" ca="1" si="19"/>
        <v>163952.6758818801</v>
      </c>
      <c r="K68" s="26">
        <f t="shared" ca="1" si="19"/>
        <v>178992.72699488385</v>
      </c>
      <c r="L68" s="26">
        <f t="shared" ca="1" si="19"/>
        <v>181195.17346541694</v>
      </c>
      <c r="M68" s="26">
        <f t="shared" ca="1" si="19"/>
        <v>178125.57819779532</v>
      </c>
      <c r="N68" s="26">
        <f t="shared" ca="1" si="19"/>
        <v>179283.86847122517</v>
      </c>
      <c r="O68" s="26">
        <f t="shared" ca="1" si="19"/>
        <v>180537.56164832483</v>
      </c>
      <c r="P68" s="26">
        <f t="shared" ca="1" si="19"/>
        <v>181893.61113399407</v>
      </c>
      <c r="Q68" s="26">
        <f t="shared" ca="1" si="19"/>
        <v>193334.37954503321</v>
      </c>
      <c r="R68" s="26">
        <f t="shared" ca="1" si="19"/>
        <v>210133.0874512915</v>
      </c>
      <c r="S68" s="26">
        <f t="shared" ca="1" si="19"/>
        <v>227257.95251774171</v>
      </c>
    </row>
    <row r="69" spans="1:19" x14ac:dyDescent="0.2">
      <c r="A69" s="24" t="s">
        <v>1564</v>
      </c>
      <c r="B69" s="8"/>
      <c r="C69" s="8"/>
      <c r="D69" s="26">
        <f t="shared" ref="D69:S69" ca="1" si="20">D53-D61</f>
        <v>2092.0124615384616</v>
      </c>
      <c r="E69" s="26">
        <f t="shared" ca="1" si="20"/>
        <v>3723.2656372141369</v>
      </c>
      <c r="F69" s="26">
        <f t="shared" ca="1" si="20"/>
        <v>7140.6325388973482</v>
      </c>
      <c r="G69" s="26">
        <f t="shared" ca="1" si="20"/>
        <v>7728.4699091294133</v>
      </c>
      <c r="H69" s="26">
        <f t="shared" ca="1" si="20"/>
        <v>8467.6863792791155</v>
      </c>
      <c r="I69" s="26">
        <f t="shared" ca="1" si="20"/>
        <v>9270.0850619340108</v>
      </c>
      <c r="J69" s="26">
        <f t="shared" ca="1" si="20"/>
        <v>9217.6749081328853</v>
      </c>
      <c r="K69" s="26">
        <f t="shared" ca="1" si="20"/>
        <v>11556.586330966389</v>
      </c>
      <c r="L69" s="26">
        <f t="shared" ca="1" si="20"/>
        <v>10845.385515509675</v>
      </c>
      <c r="M69" s="26">
        <f t="shared" ca="1" si="20"/>
        <v>9956.9862672926174</v>
      </c>
      <c r="N69" s="26">
        <f t="shared" ca="1" si="20"/>
        <v>9010.4204477014846</v>
      </c>
      <c r="O69" s="26">
        <f t="shared" ca="1" si="20"/>
        <v>8070.5840712013523</v>
      </c>
      <c r="P69" s="26">
        <f t="shared" ca="1" si="20"/>
        <v>7137.8575880789385</v>
      </c>
      <c r="Q69" s="26">
        <f t="shared" ca="1" si="20"/>
        <v>6109.119421928388</v>
      </c>
      <c r="R69" s="26">
        <f t="shared" ca="1" si="20"/>
        <v>5386.2451746820743</v>
      </c>
      <c r="S69" s="26">
        <f t="shared" ca="1" si="20"/>
        <v>2214.4704606788428</v>
      </c>
    </row>
    <row r="70" spans="1:19" x14ac:dyDescent="0.2">
      <c r="A70" s="24" t="s">
        <v>1565</v>
      </c>
      <c r="B70" s="8"/>
      <c r="C70" s="8"/>
      <c r="D70" s="26">
        <f ca="1">D54-D62</f>
        <v>-1641.2673500000001</v>
      </c>
      <c r="E70" s="26">
        <f t="shared" ref="E70:S70" ca="1" si="21">E54-E62</f>
        <v>-4211.5506830854156</v>
      </c>
      <c r="F70" s="26">
        <f t="shared" ca="1" si="21"/>
        <v>-5145.0559315958972</v>
      </c>
      <c r="G70" s="26">
        <f t="shared" ca="1" si="21"/>
        <v>-4789.5652088267834</v>
      </c>
      <c r="H70" s="26">
        <f t="shared" ca="1" si="21"/>
        <v>-1381.4600911602374</v>
      </c>
      <c r="I70" s="26">
        <f t="shared" ca="1" si="21"/>
        <v>12371.921864129155</v>
      </c>
      <c r="J70" s="26">
        <f t="shared" ca="1" si="21"/>
        <v>44106.335746327204</v>
      </c>
      <c r="K70" s="26">
        <f t="shared" ca="1" si="21"/>
        <v>74227.874952603248</v>
      </c>
      <c r="L70" s="26">
        <f t="shared" ca="1" si="21"/>
        <v>89941.854739500108</v>
      </c>
      <c r="M70" s="26">
        <f t="shared" ca="1" si="21"/>
        <v>118031.93202744059</v>
      </c>
      <c r="N70" s="26">
        <f t="shared" ca="1" si="21"/>
        <v>172922.1141600874</v>
      </c>
      <c r="O70" s="26">
        <f t="shared" ca="1" si="21"/>
        <v>267473.09192078846</v>
      </c>
      <c r="P70" s="26">
        <f t="shared" ca="1" si="21"/>
        <v>383285.80280303885</v>
      </c>
      <c r="Q70" s="26">
        <f t="shared" ca="1" si="21"/>
        <v>493412.07512097363</v>
      </c>
      <c r="R70" s="26">
        <f t="shared" ca="1" si="21"/>
        <v>656881.54502895952</v>
      </c>
      <c r="S70" s="26">
        <f t="shared" ca="1" si="21"/>
        <v>895592.70499962172</v>
      </c>
    </row>
    <row r="71" spans="1:19" x14ac:dyDescent="0.2">
      <c r="A71" s="24" t="s">
        <v>1566</v>
      </c>
      <c r="B71" s="8"/>
      <c r="C71" s="8"/>
      <c r="D71" s="26">
        <f>D55-D63</f>
        <v>-700</v>
      </c>
      <c r="E71" s="26">
        <f t="shared" ref="E71:S71" si="22">E55-E63</f>
        <v>-700</v>
      </c>
      <c r="F71" s="26">
        <f t="shared" si="22"/>
        <v>-700</v>
      </c>
      <c r="G71" s="26">
        <f t="shared" si="22"/>
        <v>-700</v>
      </c>
      <c r="H71" s="26">
        <f t="shared" si="22"/>
        <v>-700</v>
      </c>
      <c r="I71" s="26">
        <f t="shared" ca="1" si="22"/>
        <v>-2229.4592343259619</v>
      </c>
      <c r="J71" s="26">
        <f t="shared" ca="1" si="22"/>
        <v>-3831.8825695318528</v>
      </c>
      <c r="K71" s="26">
        <f t="shared" ca="1" si="22"/>
        <v>-5822.6103180716855</v>
      </c>
      <c r="L71" s="26">
        <f t="shared" ca="1" si="22"/>
        <v>-6980.2359206278561</v>
      </c>
      <c r="M71" s="26">
        <f t="shared" ca="1" si="22"/>
        <v>-9576.6040010456636</v>
      </c>
      <c r="N71" s="26">
        <f t="shared" ca="1" si="22"/>
        <v>-11481.300465487544</v>
      </c>
      <c r="O71" s="26">
        <f t="shared" ca="1" si="22"/>
        <v>-14066.487107378778</v>
      </c>
      <c r="P71" s="26">
        <f t="shared" ca="1" si="22"/>
        <v>-16859.41326153139</v>
      </c>
      <c r="Q71" s="26">
        <f t="shared" ca="1" si="22"/>
        <v>-22080.763964319754</v>
      </c>
      <c r="R71" s="26">
        <f t="shared" ca="1" si="22"/>
        <v>-30139.794144201256</v>
      </c>
      <c r="S71" s="26">
        <f t="shared" ca="1" si="22"/>
        <v>-40334.440718338374</v>
      </c>
    </row>
    <row r="72" spans="1:19" x14ac:dyDescent="0.2">
      <c r="A72" s="24" t="s">
        <v>1567</v>
      </c>
      <c r="B72" s="8"/>
      <c r="C72" s="8"/>
      <c r="D72" s="26">
        <f ca="1">D56-D64</f>
        <v>-3668.36432592643</v>
      </c>
      <c r="E72" s="26">
        <f t="shared" ref="E72:S72" ca="1" si="23">E56-E64</f>
        <v>-4295.8137143710292</v>
      </c>
      <c r="F72" s="26">
        <f t="shared" ca="1" si="23"/>
        <v>-4947.1593063242071</v>
      </c>
      <c r="G72" s="26">
        <f t="shared" ca="1" si="23"/>
        <v>-6481.1986429868539</v>
      </c>
      <c r="H72" s="26">
        <f t="shared" ca="1" si="23"/>
        <v>-8010.4656988129054</v>
      </c>
      <c r="I72" s="26">
        <f t="shared" ca="1" si="23"/>
        <v>-10308.857559061205</v>
      </c>
      <c r="J72" s="26">
        <f t="shared" ca="1" si="23"/>
        <v>-12769.095612474237</v>
      </c>
      <c r="K72" s="26">
        <f t="shared" ca="1" si="23"/>
        <v>-16177.114806337844</v>
      </c>
      <c r="L72" s="26">
        <f t="shared" ca="1" si="23"/>
        <v>-18626.066299811344</v>
      </c>
      <c r="M72" s="26">
        <f t="shared" ca="1" si="23"/>
        <v>-20292.043531899653</v>
      </c>
      <c r="N72" s="26">
        <f t="shared" ca="1" si="23"/>
        <v>-22496.720725823943</v>
      </c>
      <c r="O72" s="26">
        <f t="shared" ca="1" si="23"/>
        <v>-25948.120862477303</v>
      </c>
      <c r="P72" s="26">
        <f t="shared" ca="1" si="23"/>
        <v>-31370.550139682709</v>
      </c>
      <c r="Q72" s="26">
        <f t="shared" ca="1" si="23"/>
        <v>-37661.820237726788</v>
      </c>
      <c r="R72" s="26">
        <f t="shared" ca="1" si="23"/>
        <v>-43973.646809707745</v>
      </c>
      <c r="S72" s="26">
        <f t="shared" ca="1" si="23"/>
        <v>-52461.502197118156</v>
      </c>
    </row>
    <row r="73" spans="1:19" x14ac:dyDescent="0.2">
      <c r="A73" s="30" t="s">
        <v>849</v>
      </c>
      <c r="B73" s="31"/>
      <c r="C73" s="31"/>
      <c r="D73" s="32">
        <f t="shared" ref="D73:S73" ca="1" si="24">D68+D69+D70+D71+D72</f>
        <v>614.39013405447076</v>
      </c>
      <c r="E73" s="32">
        <f t="shared" ca="1" si="24"/>
        <v>1785.0197655643833</v>
      </c>
      <c r="F73" s="32">
        <f t="shared" ca="1" si="24"/>
        <v>23836.093634518347</v>
      </c>
      <c r="G73" s="32">
        <f t="shared" ca="1" si="24"/>
        <v>54054.183459912427</v>
      </c>
      <c r="H73" s="32">
        <f t="shared" ca="1" si="24"/>
        <v>96873.048330144346</v>
      </c>
      <c r="I73" s="32">
        <f t="shared" ca="1" si="24"/>
        <v>148189.47281183035</v>
      </c>
      <c r="J73" s="32">
        <f t="shared" ca="1" si="24"/>
        <v>200675.70835433411</v>
      </c>
      <c r="K73" s="32">
        <f t="shared" ca="1" si="24"/>
        <v>242777.46315404397</v>
      </c>
      <c r="L73" s="32">
        <f t="shared" ca="1" si="24"/>
        <v>256376.11149998754</v>
      </c>
      <c r="M73" s="32">
        <f t="shared" ca="1" si="24"/>
        <v>276245.84895958327</v>
      </c>
      <c r="N73" s="32">
        <f t="shared" ca="1" si="24"/>
        <v>327238.38188770256</v>
      </c>
      <c r="O73" s="32">
        <f t="shared" ca="1" si="24"/>
        <v>416066.62967045855</v>
      </c>
      <c r="P73" s="32">
        <f t="shared" ca="1" si="24"/>
        <v>524087.30812389776</v>
      </c>
      <c r="Q73" s="32">
        <f t="shared" ca="1" si="24"/>
        <v>633112.98988588876</v>
      </c>
      <c r="R73" s="32">
        <f t="shared" ca="1" si="24"/>
        <v>798287.43670102418</v>
      </c>
      <c r="S73" s="32">
        <f t="shared" ca="1" si="24"/>
        <v>1032269.1850625857</v>
      </c>
    </row>
    <row r="74" spans="1:19" x14ac:dyDescent="0.2">
      <c r="A74" s="8"/>
      <c r="B74" s="8"/>
      <c r="C74" s="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x14ac:dyDescent="0.2">
      <c r="A75" s="18" t="s">
        <v>850</v>
      </c>
      <c r="B75" s="18"/>
      <c r="C75" s="18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 x14ac:dyDescent="0.2">
      <c r="A76" s="34" t="s">
        <v>851</v>
      </c>
      <c r="B76" s="35"/>
      <c r="C76" s="35"/>
      <c r="D76" s="36">
        <f>'Cash Allocation Engine'!D19</f>
        <v>0</v>
      </c>
      <c r="E76" s="36">
        <f ca="1">'Cash Allocation Engine'!E19</f>
        <v>40.4536266987229</v>
      </c>
      <c r="F76" s="36">
        <f ca="1">'Cash Allocation Engine'!F19</f>
        <v>296.31805230102952</v>
      </c>
      <c r="G76" s="36">
        <f ca="1">'Cash Allocation Engine'!G19</f>
        <v>4803.5007140740163</v>
      </c>
      <c r="H76" s="36">
        <f ca="1">'Cash Allocation Engine'!H19</f>
        <v>11258.108103243747</v>
      </c>
      <c r="I76" s="36">
        <f ca="1">'Cash Allocation Engine'!I19</f>
        <v>20270.880547799556</v>
      </c>
      <c r="J76" s="36">
        <f ca="1">'Cash Allocation Engine'!J19</f>
        <v>31247.299515422517</v>
      </c>
      <c r="K76" s="36">
        <f ca="1">'Cash Allocation Engine'!K19</f>
        <v>42382.775276005763</v>
      </c>
      <c r="L76" s="36">
        <f ca="1">'Cash Allocation Engine'!L19</f>
        <v>51732.701246540004</v>
      </c>
      <c r="M76" s="36">
        <f ca="1">'Cash Allocation Engine'!M19</f>
        <v>55072.467941441748</v>
      </c>
      <c r="N76" s="36">
        <f ca="1">'Cash Allocation Engine'!N19</f>
        <v>59499.908076913664</v>
      </c>
      <c r="O76" s="36">
        <f ca="1">'Cash Allocation Engine'!O19</f>
        <v>70359.488585040148</v>
      </c>
      <c r="P76" s="36">
        <f ca="1">'Cash Allocation Engine'!P19</f>
        <v>89133.217775638972</v>
      </c>
      <c r="Q76" s="36">
        <f ca="1">'Cash Allocation Engine'!Q19</f>
        <v>112176.45166891579</v>
      </c>
      <c r="R76" s="36">
        <f ca="1">'Cash Allocation Engine'!R19</f>
        <v>135653.5147012852</v>
      </c>
      <c r="S76" s="36">
        <f ca="1">'Cash Allocation Engine'!S19</f>
        <v>170608.66208643949</v>
      </c>
    </row>
    <row r="77" spans="1:19" x14ac:dyDescent="0.2">
      <c r="A77" s="33" t="s">
        <v>852</v>
      </c>
      <c r="B77" s="31"/>
      <c r="C77" s="31"/>
      <c r="D77" s="32">
        <f t="shared" ref="D77:S77" ca="1" si="25">D73-D76</f>
        <v>614.39013405447076</v>
      </c>
      <c r="E77" s="32">
        <f t="shared" ca="1" si="25"/>
        <v>1744.5661388656604</v>
      </c>
      <c r="F77" s="32">
        <f t="shared" ca="1" si="25"/>
        <v>23539.775582217317</v>
      </c>
      <c r="G77" s="32">
        <f t="shared" ca="1" si="25"/>
        <v>49250.682745838407</v>
      </c>
      <c r="H77" s="32">
        <f t="shared" ca="1" si="25"/>
        <v>85614.940226900595</v>
      </c>
      <c r="I77" s="32">
        <f t="shared" ca="1" si="25"/>
        <v>127918.5922640308</v>
      </c>
      <c r="J77" s="32">
        <f t="shared" ca="1" si="25"/>
        <v>169428.40883891159</v>
      </c>
      <c r="K77" s="32">
        <f t="shared" ca="1" si="25"/>
        <v>200394.68787803821</v>
      </c>
      <c r="L77" s="32">
        <f t="shared" ca="1" si="25"/>
        <v>204643.41025344754</v>
      </c>
      <c r="M77" s="32">
        <f t="shared" ca="1" si="25"/>
        <v>221173.38101814152</v>
      </c>
      <c r="N77" s="32">
        <f t="shared" ca="1" si="25"/>
        <v>267738.47381078888</v>
      </c>
      <c r="O77" s="32">
        <f t="shared" ca="1" si="25"/>
        <v>345707.14108541841</v>
      </c>
      <c r="P77" s="32">
        <f t="shared" ca="1" si="25"/>
        <v>434954.09034825879</v>
      </c>
      <c r="Q77" s="32">
        <f t="shared" ca="1" si="25"/>
        <v>520936.53821697296</v>
      </c>
      <c r="R77" s="32">
        <f t="shared" ca="1" si="25"/>
        <v>662633.92199973902</v>
      </c>
      <c r="S77" s="32">
        <f t="shared" ca="1" si="25"/>
        <v>861660.52297614631</v>
      </c>
    </row>
    <row r="78" spans="1:19" x14ac:dyDescent="0.2">
      <c r="A78" s="8"/>
      <c r="B78" s="8"/>
      <c r="C78" s="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x14ac:dyDescent="0.2">
      <c r="A79" s="18" t="s">
        <v>853</v>
      </c>
      <c r="B79" s="18"/>
      <c r="C79" s="1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 x14ac:dyDescent="0.2">
      <c r="A80" s="24" t="s">
        <v>1568</v>
      </c>
      <c r="B80" s="8"/>
      <c r="C80" s="8"/>
      <c r="D80" s="25">
        <f ca="1">Starlink!D156</f>
        <v>2007.9793406593408</v>
      </c>
      <c r="E80" s="25">
        <f ca="1">Starlink!E156</f>
        <v>1714.4918219284275</v>
      </c>
      <c r="F80" s="25">
        <f ca="1">Starlink!F156</f>
        <v>6918.8609654023821</v>
      </c>
      <c r="G80" s="25">
        <f ca="1">Starlink!G156</f>
        <v>14418.86235570158</v>
      </c>
      <c r="H80" s="25">
        <f ca="1">Starlink!H156</f>
        <v>30747.468886813833</v>
      </c>
      <c r="I80" s="25">
        <f ca="1">Starlink!I156</f>
        <v>42228.726511789231</v>
      </c>
      <c r="J80" s="25">
        <f ca="1">Starlink!J156</f>
        <v>63773.209930108671</v>
      </c>
      <c r="K80" s="25">
        <f ca="1">Starlink!K156</f>
        <v>40751.195188369697</v>
      </c>
      <c r="L80" s="25">
        <f ca="1">Starlink!L156</f>
        <v>48285.677359015157</v>
      </c>
      <c r="M80" s="25">
        <f ca="1">Starlink!M156</f>
        <v>69200.798159128593</v>
      </c>
      <c r="N80" s="25">
        <f ca="1">Starlink!N156</f>
        <v>79978.278086621649</v>
      </c>
      <c r="O80" s="25">
        <f ca="1">Starlink!O156</f>
        <v>111234.77078136329</v>
      </c>
      <c r="P80" s="25">
        <f ca="1">Starlink!P156</f>
        <v>93224.082515170536</v>
      </c>
      <c r="Q80" s="25">
        <f ca="1">Starlink!Q156</f>
        <v>51083.432228630241</v>
      </c>
      <c r="R80" s="25">
        <f ca="1">Starlink!R156</f>
        <v>35092.623804714014</v>
      </c>
      <c r="S80" s="25">
        <f ca="1">Starlink!S156</f>
        <v>35814.144100924284</v>
      </c>
    </row>
    <row r="81" spans="1:29" x14ac:dyDescent="0.2">
      <c r="A81" s="24" t="s">
        <v>1569</v>
      </c>
      <c r="B81" s="8"/>
      <c r="C81" s="8"/>
      <c r="D81" s="25">
        <f ca="1">'Customer Launch'!D113</f>
        <v>847.67630769230777</v>
      </c>
      <c r="E81" s="25">
        <f ca="1">'Customer Launch'!E113</f>
        <v>900.78459459459452</v>
      </c>
      <c r="F81" s="25">
        <f ca="1">'Customer Launch'!F113</f>
        <v>705.63082080000004</v>
      </c>
      <c r="G81" s="25">
        <f ca="1">'Customer Launch'!G113</f>
        <v>663.3193780332582</v>
      </c>
      <c r="H81" s="25">
        <f ca="1">'Customer Launch'!H113</f>
        <v>1058.8826356645943</v>
      </c>
      <c r="I81" s="25">
        <f ca="1">'Customer Launch'!I113</f>
        <v>1031.1811483056476</v>
      </c>
      <c r="J81" s="25">
        <f ca="1">'Customer Launch'!J113</f>
        <v>1170.3649994371351</v>
      </c>
      <c r="K81" s="25">
        <f ca="1">'Customer Launch'!K113</f>
        <v>1448.4218009248896</v>
      </c>
      <c r="L81" s="25">
        <f ca="1">'Customer Launch'!L113</f>
        <v>1051.4935276377337</v>
      </c>
      <c r="M81" s="25">
        <f ca="1">'Customer Launch'!M113</f>
        <v>1295.9413121030477</v>
      </c>
      <c r="N81" s="25">
        <f ca="1">'Customer Launch'!N113</f>
        <v>945.83423715359845</v>
      </c>
      <c r="O81" s="25">
        <f ca="1">'Customer Launch'!O113</f>
        <v>1546.8943403999017</v>
      </c>
      <c r="P81" s="25">
        <f ca="1">'Customer Launch'!P113</f>
        <v>498.24482030575888</v>
      </c>
      <c r="Q81" s="25">
        <f ca="1">'Customer Launch'!Q113</f>
        <v>440.23351835832335</v>
      </c>
      <c r="R81" s="25">
        <f ca="1">'Customer Launch'!R113</f>
        <v>652.6916144131917</v>
      </c>
      <c r="S81" s="25">
        <f ca="1">'Customer Launch'!S113</f>
        <v>-25.603073890763596</v>
      </c>
    </row>
    <row r="82" spans="1:29" x14ac:dyDescent="0.2">
      <c r="A82" s="24" t="s">
        <v>1570</v>
      </c>
      <c r="B82" s="8"/>
      <c r="C82" s="8"/>
      <c r="D82" s="25">
        <f ca="1">'AI - Compute'!D13</f>
        <v>0</v>
      </c>
      <c r="E82" s="25">
        <f ca="1">'AI - Compute'!E13</f>
        <v>35856.181594555157</v>
      </c>
      <c r="F82" s="25">
        <f ca="1">'AI - Compute'!F13</f>
        <v>40694.377327911105</v>
      </c>
      <c r="G82" s="25">
        <f ca="1">'AI - Compute'!G13</f>
        <v>30738.506805856676</v>
      </c>
      <c r="H82" s="25">
        <f ca="1">'AI - Compute'!H13</f>
        <v>17343.281305165438</v>
      </c>
      <c r="I82" s="25">
        <f ca="1">'AI - Compute'!I13</f>
        <v>43531.354333796844</v>
      </c>
      <c r="J82" s="25">
        <f ca="1">'AI - Compute'!J13</f>
        <v>88640.492674853842</v>
      </c>
      <c r="K82" s="25">
        <f ca="1">'AI - Compute'!K13</f>
        <v>121931.24160237634</v>
      </c>
      <c r="L82" s="25">
        <f ca="1">'AI - Compute'!L13</f>
        <v>92589.246595347387</v>
      </c>
      <c r="M82" s="25">
        <f ca="1">'AI - Compute'!M13</f>
        <v>115592.53292462794</v>
      </c>
      <c r="N82" s="25">
        <f ca="1">'AI - Compute'!N13</f>
        <v>165162.5702902159</v>
      </c>
      <c r="O82" s="25">
        <f ca="1">'AI - Compute'!O13</f>
        <v>234102.63374422595</v>
      </c>
      <c r="P82" s="25">
        <f ca="1">'AI - Compute'!P13</f>
        <v>311172.86519086419</v>
      </c>
      <c r="Q82" s="25">
        <f ca="1">'AI - Compute'!Q13</f>
        <v>360340.35804876371</v>
      </c>
      <c r="R82" s="25">
        <f ca="1">'AI - Compute'!R13</f>
        <v>461944.26316063129</v>
      </c>
      <c r="S82" s="25">
        <f ca="1">'AI - Compute'!S13</f>
        <v>609672.66684936837</v>
      </c>
    </row>
    <row r="83" spans="1:29" x14ac:dyDescent="0.2">
      <c r="A83" s="24" t="s">
        <v>1571</v>
      </c>
      <c r="B83" s="8"/>
      <c r="C83" s="8"/>
      <c r="D83" s="25">
        <f>'Lunar - Mars'!D111</f>
        <v>0</v>
      </c>
      <c r="E83" s="25">
        <f>'Lunar - Mars'!E111</f>
        <v>0</v>
      </c>
      <c r="F83" s="25">
        <f>'Lunar - Mars'!F111</f>
        <v>0</v>
      </c>
      <c r="G83" s="25">
        <f>'Lunar - Mars'!G111</f>
        <v>0</v>
      </c>
      <c r="H83" s="25">
        <f>'Lunar - Mars'!H111</f>
        <v>0</v>
      </c>
      <c r="I83" s="25">
        <f ca="1">'Lunar - Mars'!I111</f>
        <v>14863.061562173079</v>
      </c>
      <c r="J83" s="25">
        <f ca="1">'Lunar - Mars'!J111</f>
        <v>15637.176088763632</v>
      </c>
      <c r="K83" s="25">
        <f ca="1">'Lunar - Mars'!K111</f>
        <v>18483.910353186766</v>
      </c>
      <c r="L83" s="25">
        <f ca="1">'Lunar - Mars'!L111</f>
        <v>13878.807468103394</v>
      </c>
      <c r="M83" s="25">
        <f ca="1">'Lunar - Mars'!M111</f>
        <v>21935.389692153185</v>
      </c>
      <c r="N83" s="25">
        <f ca="1">'Lunar - Mars'!N111</f>
        <v>20009.772993663591</v>
      </c>
      <c r="O83" s="25">
        <f ca="1">'Lunar - Mars'!O111</f>
        <v>23904.501943829422</v>
      </c>
      <c r="P83" s="25">
        <f ca="1">'Lunar - Mars'!P111</f>
        <v>26587.675008960563</v>
      </c>
      <c r="Q83" s="25">
        <f ca="1">'Lunar - Mars'!Q111</f>
        <v>43671.563021575959</v>
      </c>
      <c r="R83" s="25">
        <f ca="1">'Lunar - Mars'!R111</f>
        <v>68284.055539735331</v>
      </c>
      <c r="S83" s="25">
        <f ca="1">'Lunar - Mars'!S111</f>
        <v>90725.662340825889</v>
      </c>
    </row>
    <row r="84" spans="1:29" x14ac:dyDescent="0.2">
      <c r="A84" s="24" t="s">
        <v>1572</v>
      </c>
      <c r="B84" s="8"/>
      <c r="C84" s="8"/>
      <c r="D84" s="25">
        <f ca="1">'Cash Allocation Engine'!D17</f>
        <v>3164.3136372769609</v>
      </c>
      <c r="E84" s="25">
        <f ca="1">'Cash Allocation Engine'!E17</f>
        <v>949.59780278493474</v>
      </c>
      <c r="F84" s="25">
        <f ca="1">'Cash Allocation Engine'!F17</f>
        <v>1433.3719735263319</v>
      </c>
      <c r="G84" s="25">
        <f ca="1">'Cash Allocation Engine'!G17</f>
        <v>5887.8891125373757</v>
      </c>
      <c r="H84" s="25">
        <f ca="1">'Cash Allocation Engine'!H17</f>
        <v>10267.271129646642</v>
      </c>
      <c r="I84" s="25">
        <f ca="1">'Cash Allocation Engine'!I17</f>
        <v>17364.479117693238</v>
      </c>
      <c r="J84" s="25">
        <f ca="1">'Cash Allocation Engine'!J17</f>
        <v>22281.669241285545</v>
      </c>
      <c r="K84" s="25">
        <f ca="1">'Cash Allocation Engine'!K17</f>
        <v>29752.412966863987</v>
      </c>
      <c r="L84" s="25">
        <f ca="1">'Cash Allocation Engine'!L17</f>
        <v>29252.690048881257</v>
      </c>
      <c r="M84" s="25">
        <f ca="1">'Cash Allocation Engine'!M17</f>
        <v>30440.566415495108</v>
      </c>
      <c r="N84" s="25">
        <f ca="1">'Cash Allocation Engine'!N17</f>
        <v>35040.215327845362</v>
      </c>
      <c r="O84" s="25">
        <f ca="1">'Cash Allocation Engine'!O17</f>
        <v>39329.56297090782</v>
      </c>
      <c r="P84" s="25">
        <f ca="1">'Cash Allocation Engine'!P17</f>
        <v>50829.835784381336</v>
      </c>
      <c r="Q84" s="25">
        <f ca="1">'Cash Allocation Engine'!Q17</f>
        <v>51556.951469588923</v>
      </c>
      <c r="R84" s="25">
        <f ca="1">'Cash Allocation Engine'!R17</f>
        <v>55808.259226481001</v>
      </c>
      <c r="S84" s="25">
        <f ca="1">'Cash Allocation Engine'!S17</f>
        <v>69093.295734861662</v>
      </c>
    </row>
    <row r="85" spans="1:29" x14ac:dyDescent="0.2">
      <c r="A85" s="30" t="s">
        <v>1573</v>
      </c>
      <c r="B85" s="31"/>
      <c r="C85" s="31"/>
      <c r="D85" s="32">
        <f t="shared" ref="D85:S85" ca="1" si="26">D80+D81+D82+D83+D84</f>
        <v>6019.9692856286092</v>
      </c>
      <c r="E85" s="32">
        <f t="shared" ca="1" si="26"/>
        <v>39421.055813863117</v>
      </c>
      <c r="F85" s="32">
        <f t="shared" ca="1" si="26"/>
        <v>49752.241087639813</v>
      </c>
      <c r="G85" s="32">
        <f t="shared" ca="1" si="26"/>
        <v>51708.577652128894</v>
      </c>
      <c r="H85" s="32">
        <f t="shared" ca="1" si="26"/>
        <v>59416.903957290509</v>
      </c>
      <c r="I85" s="32">
        <f t="shared" ca="1" si="26"/>
        <v>119018.80267375804</v>
      </c>
      <c r="J85" s="32">
        <f t="shared" ca="1" si="26"/>
        <v>191502.9129344488</v>
      </c>
      <c r="K85" s="32">
        <f t="shared" ca="1" si="26"/>
        <v>212367.18191172168</v>
      </c>
      <c r="L85" s="32">
        <f t="shared" ca="1" si="26"/>
        <v>185057.91499898492</v>
      </c>
      <c r="M85" s="32">
        <f t="shared" ca="1" si="26"/>
        <v>238465.22850350791</v>
      </c>
      <c r="N85" s="32">
        <f t="shared" ca="1" si="26"/>
        <v>301136.67093550012</v>
      </c>
      <c r="O85" s="32">
        <f t="shared" ca="1" si="26"/>
        <v>410118.36378072639</v>
      </c>
      <c r="P85" s="32">
        <f t="shared" ca="1" si="26"/>
        <v>482312.70331968233</v>
      </c>
      <c r="Q85" s="32">
        <f t="shared" ca="1" si="26"/>
        <v>507092.53828691714</v>
      </c>
      <c r="R85" s="32">
        <f t="shared" ca="1" si="26"/>
        <v>621781.89334597485</v>
      </c>
      <c r="S85" s="32">
        <f t="shared" ca="1" si="26"/>
        <v>805280.16595208936</v>
      </c>
    </row>
    <row r="86" spans="1:29" x14ac:dyDescent="0.2">
      <c r="A86" s="8"/>
      <c r="B86" s="8"/>
      <c r="C86" s="8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29" x14ac:dyDescent="0.2">
      <c r="A87" s="18" t="s">
        <v>1574</v>
      </c>
      <c r="B87" s="18"/>
      <c r="C87" s="1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29" x14ac:dyDescent="0.2">
      <c r="A88" s="24" t="s">
        <v>1575</v>
      </c>
      <c r="B88" s="8"/>
      <c r="C88" s="8"/>
      <c r="D88" s="25">
        <f ca="1">Starlink!D157</f>
        <v>3126.4137464819987</v>
      </c>
      <c r="E88" s="25">
        <f ca="1">Starlink!E157</f>
        <v>6359.0186416780225</v>
      </c>
      <c r="F88" s="25">
        <f ca="1">Starlink!F157</f>
        <v>22513.210567419883</v>
      </c>
      <c r="G88" s="25">
        <f ca="1">Starlink!G157</f>
        <v>48401.674487812212</v>
      </c>
      <c r="H88" s="25">
        <f ca="1">Starlink!H157</f>
        <v>78429.01977020198</v>
      </c>
      <c r="I88" s="25">
        <f ca="1">Starlink!I157</f>
        <v>116790.8025496164</v>
      </c>
      <c r="J88" s="25">
        <f ca="1">Starlink!J157</f>
        <v>134729.61228559603</v>
      </c>
      <c r="K88" s="25">
        <f ca="1">Starlink!K157</f>
        <v>182066.27115974622</v>
      </c>
      <c r="L88" s="25">
        <f ca="1">Starlink!L157</f>
        <v>186773.10504528868</v>
      </c>
      <c r="M88" s="25">
        <f ca="1">Starlink!M157</f>
        <v>174870.12967636937</v>
      </c>
      <c r="N88" s="25">
        <f ca="1">Starlink!N157</f>
        <v>177481.67315435561</v>
      </c>
      <c r="O88" s="25">
        <f ca="1">Starlink!O157</f>
        <v>162837.21560271189</v>
      </c>
      <c r="P88" s="25">
        <f ca="1">Starlink!P157</f>
        <v>198174.44551177553</v>
      </c>
      <c r="Q88" s="25">
        <f ca="1">Starlink!Q157</f>
        <v>253853.07209925959</v>
      </c>
      <c r="R88" s="25">
        <f ca="1">Starlink!R157</f>
        <v>278745.22340341378</v>
      </c>
      <c r="S88" s="25">
        <f ca="1">Starlink!S157</f>
        <v>284445.56728912494</v>
      </c>
    </row>
    <row r="89" spans="1:29" x14ac:dyDescent="0.2">
      <c r="A89" s="24" t="s">
        <v>1406</v>
      </c>
      <c r="B89" s="8"/>
      <c r="C89" s="8"/>
      <c r="D89" s="25">
        <f ca="1">'Customer Launch'!D114+'Customer Launch'!D105</f>
        <v>1273.7976923076924</v>
      </c>
      <c r="E89" s="25">
        <f ca="1">'Customer Launch'!E114+'Customer Launch'!E105</f>
        <v>2888.0669054054051</v>
      </c>
      <c r="F89" s="25">
        <f ca="1">'Customer Launch'!F114+'Customer Launch'!F105</f>
        <v>6538.2980808832108</v>
      </c>
      <c r="G89" s="25">
        <f ca="1">'Customer Launch'!G114+'Customer Launch'!G105</f>
        <v>7205.337047215351</v>
      </c>
      <c r="H89" s="25">
        <f ca="1">'Customer Launch'!H114+'Customer Launch'!H105</f>
        <v>7596.0179960670512</v>
      </c>
      <c r="I89" s="25">
        <f ca="1">'Customer Launch'!I114+'Customer Launch'!I105</f>
        <v>8469.4103113662259</v>
      </c>
      <c r="J89" s="25">
        <f ca="1">'Customer Launch'!J114+'Customer Launch'!J105</f>
        <v>8324.1820332183324</v>
      </c>
      <c r="K89" s="25">
        <f ca="1">'Customer Launch'!K114+'Customer Launch'!K105</f>
        <v>10477.498083041119</v>
      </c>
      <c r="L89" s="25">
        <f ca="1">'Customer Launch'!L114+'Customer Launch'!L105</f>
        <v>10241.173317890272</v>
      </c>
      <c r="M89" s="25">
        <f ca="1">'Customer Launch'!M114+'Customer Launch'!M105</f>
        <v>9162.7333177728287</v>
      </c>
      <c r="N89" s="25">
        <f ca="1">'Customer Launch'!N114+'Customer Launch'!N105</f>
        <v>8613.8561649715302</v>
      </c>
      <c r="O89" s="25">
        <f ca="1">'Customer Launch'!O114+'Customer Launch'!O105</f>
        <v>7083.664837409854</v>
      </c>
      <c r="P89" s="25">
        <f ca="1">'Customer Launch'!P114+'Customer Launch'!P105</f>
        <v>7172.4115186985828</v>
      </c>
      <c r="Q89" s="25">
        <f ca="1">'Customer Launch'!Q114+'Customer Launch'!Q105</f>
        <v>6222.6879072837719</v>
      </c>
      <c r="R89" s="25">
        <f ca="1">'Customer Launch'!R114+'Customer Launch'!R105</f>
        <v>5334.1275101099754</v>
      </c>
      <c r="S89" s="25">
        <f ca="1">'Customer Launch'!S114+'Customer Launch'!S105</f>
        <v>2853.1474844106992</v>
      </c>
    </row>
    <row r="90" spans="1:29" x14ac:dyDescent="0.2">
      <c r="A90" s="24" t="s">
        <v>1576</v>
      </c>
      <c r="B90" s="8"/>
      <c r="C90" s="8"/>
      <c r="D90" s="25">
        <f ca="1">'AI - Compute'!D14</f>
        <v>-1641.2673500000001</v>
      </c>
      <c r="E90" s="25">
        <f ca="1">'AI - Compute'!E14</f>
        <v>-36322.41669911467</v>
      </c>
      <c r="F90" s="25">
        <f ca="1">'AI - Compute'!F14</f>
        <v>-38023.843673349504</v>
      </c>
      <c r="G90" s="25">
        <f ca="1">'AI - Compute'!G14</f>
        <v>-23798.85028851778</v>
      </c>
      <c r="H90" s="25">
        <f ca="1">'AI - Compute'!H14</f>
        <v>-4256.3281132481825</v>
      </c>
      <c r="I90" s="25">
        <f ca="1">'AI - Compute'!I14</f>
        <v>-9725.1745234209011</v>
      </c>
      <c r="J90" s="25">
        <f ca="1">'AI - Compute'!J14</f>
        <v>-9387.3638532600889</v>
      </c>
      <c r="K90" s="25">
        <f ca="1">'AI - Compute'!K14</f>
        <v>3146.9725488748954</v>
      </c>
      <c r="L90" s="25">
        <f ca="1">'AI - Compute'!L14</f>
        <v>57388.173603058676</v>
      </c>
      <c r="M90" s="25">
        <f ca="1">'AI - Compute'!M14</f>
        <v>70663.147623579542</v>
      </c>
      <c r="N90" s="25">
        <f ca="1">'AI - Compute'!N14</f>
        <v>87064.163828016201</v>
      </c>
      <c r="O90" s="25">
        <f ca="1">'AI - Compute'!O14</f>
        <v>127515.69277370209</v>
      </c>
      <c r="P90" s="25">
        <f ca="1">'AI - Compute'!P14</f>
        <v>190107.51572355104</v>
      </c>
      <c r="Q90" s="25">
        <f ca="1">'AI - Compute'!Q14</f>
        <v>281210.77867609588</v>
      </c>
      <c r="R90" s="25">
        <f ca="1">'AI - Compute'!R14</f>
        <v>381685.53978287312</v>
      </c>
      <c r="S90" s="25">
        <f ca="1">'AI - Compute'!S14</f>
        <v>521741.04908370913</v>
      </c>
    </row>
    <row r="91" spans="1:29" x14ac:dyDescent="0.2">
      <c r="A91" s="24" t="s">
        <v>1577</v>
      </c>
      <c r="B91" s="8"/>
      <c r="C91" s="8"/>
      <c r="D91" s="25">
        <f>'Lunar - Mars'!D112</f>
        <v>-700</v>
      </c>
      <c r="E91" s="25">
        <f>'Lunar - Mars'!E112</f>
        <v>-700</v>
      </c>
      <c r="F91" s="25">
        <f>'Lunar - Mars'!F112</f>
        <v>-700</v>
      </c>
      <c r="G91" s="25">
        <f>'Lunar - Mars'!G112</f>
        <v>-700</v>
      </c>
      <c r="H91" s="25">
        <f>'Lunar - Mars'!H112</f>
        <v>-700</v>
      </c>
      <c r="I91" s="25">
        <f ca="1">'Lunar - Mars'!I112</f>
        <v>-15606.214640281734</v>
      </c>
      <c r="J91" s="25">
        <f ca="1">'Lunar - Mars'!J112</f>
        <v>-16419.034893201813</v>
      </c>
      <c r="K91" s="25">
        <f ca="1">'Lunar - Mars'!K112</f>
        <v>-19408.105870846106</v>
      </c>
      <c r="L91" s="25">
        <f ca="1">'Lunar - Mars'!L112</f>
        <v>-14572.747841508564</v>
      </c>
      <c r="M91" s="25">
        <f ca="1">'Lunar - Mars'!M112</f>
        <v>-23032.159176760844</v>
      </c>
      <c r="N91" s="25">
        <f ca="1">'Lunar - Mars'!N112</f>
        <v>-21010.26164334677</v>
      </c>
      <c r="O91" s="25">
        <f ca="1">'Lunar - Mars'!O112</f>
        <v>-25099.727041020895</v>
      </c>
      <c r="P91" s="25">
        <f ca="1">'Lunar - Mars'!P112</f>
        <v>-27917.058759408588</v>
      </c>
      <c r="Q91" s="25">
        <f ca="1">'Lunar - Mars'!Q112</f>
        <v>-45855.141172654752</v>
      </c>
      <c r="R91" s="25">
        <f ca="1">'Lunar - Mars'!R112</f>
        <v>-71698.258316722102</v>
      </c>
      <c r="S91" s="25">
        <f ca="1">'Lunar - Mars'!S112</f>
        <v>-95261.945457867187</v>
      </c>
    </row>
    <row r="92" spans="1:29" x14ac:dyDescent="0.2">
      <c r="A92" s="24" t="s">
        <v>1407</v>
      </c>
      <c r="B92" s="8"/>
      <c r="C92" s="8"/>
      <c r="D92" s="26">
        <f t="shared" ref="D92:S92" ca="1" si="27">-(D43+D47+D48+D76+D84)</f>
        <v>-6674.4622813395426</v>
      </c>
      <c r="E92" s="26">
        <f t="shared" ca="1" si="27"/>
        <v>-5080.1695718515921</v>
      </c>
      <c r="F92" s="26">
        <f t="shared" ca="1" si="27"/>
        <v>-6399.4851614721574</v>
      </c>
      <c r="G92" s="26">
        <f t="shared" ca="1" si="27"/>
        <v>-16600.829843291966</v>
      </c>
      <c r="H92" s="26">
        <f t="shared" ca="1" si="27"/>
        <v>-28450.722748914683</v>
      </c>
      <c r="I92" s="26">
        <f t="shared" ca="1" si="27"/>
        <v>-45990.871085880724</v>
      </c>
      <c r="J92" s="26">
        <f t="shared" ca="1" si="27"/>
        <v>-63230.634768444754</v>
      </c>
      <c r="K92" s="26">
        <f t="shared" ca="1" si="27"/>
        <v>-83757.252800126851</v>
      </c>
      <c r="L92" s="26">
        <f t="shared" ca="1" si="27"/>
        <v>-93593.772843707789</v>
      </c>
      <c r="M92" s="26">
        <f t="shared" ca="1" si="27"/>
        <v>-98265.364816536938</v>
      </c>
      <c r="N92" s="26">
        <f t="shared" ca="1" si="27"/>
        <v>-107745.12029189113</v>
      </c>
      <c r="O92" s="26">
        <f t="shared" ca="1" si="27"/>
        <v>-124378.97043118805</v>
      </c>
      <c r="P92" s="26">
        <f t="shared" ca="1" si="27"/>
        <v>-157533.90992324671</v>
      </c>
      <c r="Q92" s="26">
        <f t="shared" ca="1" si="27"/>
        <v>-185017.68202629575</v>
      </c>
      <c r="R92" s="26">
        <f t="shared" ca="1" si="27"/>
        <v>-216267.46642621415</v>
      </c>
      <c r="S92" s="26">
        <f t="shared" ca="1" si="27"/>
        <v>-269540.84092041641</v>
      </c>
    </row>
    <row r="93" spans="1:29" x14ac:dyDescent="0.2">
      <c r="A93" s="30" t="s">
        <v>1578</v>
      </c>
      <c r="B93" s="31"/>
      <c r="C93" s="31"/>
      <c r="D93" s="32">
        <f t="shared" ref="D93:S93" ca="1" si="28">D88+D89+D90+D91+D92</f>
        <v>-4615.5181925498518</v>
      </c>
      <c r="E93" s="32">
        <f t="shared" ca="1" si="28"/>
        <v>-32855.500723882833</v>
      </c>
      <c r="F93" s="32">
        <f t="shared" ca="1" si="28"/>
        <v>-16071.820186518567</v>
      </c>
      <c r="G93" s="32">
        <f t="shared" ca="1" si="28"/>
        <v>14507.331403217813</v>
      </c>
      <c r="H93" s="32">
        <f t="shared" ca="1" si="28"/>
        <v>52617.986904106168</v>
      </c>
      <c r="I93" s="32">
        <f t="shared" ca="1" si="28"/>
        <v>53937.952611399283</v>
      </c>
      <c r="J93" s="32">
        <f t="shared" ca="1" si="28"/>
        <v>54016.760803907702</v>
      </c>
      <c r="K93" s="32">
        <f t="shared" ca="1" si="28"/>
        <v>92525.383120689279</v>
      </c>
      <c r="L93" s="32">
        <f t="shared" ca="1" si="28"/>
        <v>146235.93128102127</v>
      </c>
      <c r="M93" s="32">
        <f t="shared" ca="1" si="28"/>
        <v>133398.48662442394</v>
      </c>
      <c r="N93" s="32">
        <f t="shared" ca="1" si="28"/>
        <v>144404.31121210544</v>
      </c>
      <c r="O93" s="32">
        <f t="shared" ca="1" si="28"/>
        <v>147957.8757416149</v>
      </c>
      <c r="P93" s="32">
        <f t="shared" ca="1" si="28"/>
        <v>210003.40407136985</v>
      </c>
      <c r="Q93" s="32">
        <f t="shared" ca="1" si="28"/>
        <v>310413.71548368875</v>
      </c>
      <c r="R93" s="32">
        <f t="shared" ca="1" si="28"/>
        <v>377799.16595346056</v>
      </c>
      <c r="S93" s="32">
        <f t="shared" ca="1" si="28"/>
        <v>444236.97747896111</v>
      </c>
    </row>
    <row r="94" spans="1:29" x14ac:dyDescent="0.2">
      <c r="A94" s="24" t="s">
        <v>1408</v>
      </c>
      <c r="B94" s="11"/>
      <c r="C94" s="11"/>
      <c r="D94" s="28" cm="1">
        <f t="array" ref="D94">IF(D$4&gt;=2026, INDEX(Assumptions!$B:$B, MATCH("Placeholder AI/strategic CapEx (% of Group revenue): TEMP", Assumptions!$A$1:$A$327, 0)) * INDEX($D:$AC, MATCH("Group Revenue ($mm)",$A$1:$A$91,0), D$5+1), 0)</f>
        <v>0</v>
      </c>
      <c r="E94" s="28" cm="1">
        <f t="array" aca="1" ref="E94" ca="1">IF(E$4&gt;=2026, INDEX(Assumptions!$B:$B, MATCH("Placeholder AI/strategic CapEx (% of Group revenue): TEMP", Assumptions!$A$1:$A$327, 0)) * INDEX($D:$AC, MATCH("Group Revenue ($mm)",$A$1:$A$91,0), E$5+1), 0)</f>
        <v>0</v>
      </c>
      <c r="F94" s="28" cm="1">
        <f t="array" aca="1" ref="F94" ca="1">IF(F$4&gt;=2026, INDEX(Assumptions!$B:$B, MATCH("Placeholder AI/strategic CapEx (% of Group revenue): TEMP", Assumptions!$A$1:$A$327, 0)) * INDEX($D:$AC, MATCH("Group Revenue ($mm)",$A$1:$A$91,0), F$5+1), 0)</f>
        <v>0</v>
      </c>
      <c r="G94" s="28" cm="1">
        <f t="array" aca="1" ref="G94" ca="1">IF(G$4&gt;=2026, INDEX(Assumptions!$B:$B, MATCH("Placeholder AI/strategic CapEx (% of Group revenue): TEMP", Assumptions!$A$1:$A$327, 0)) * INDEX($D:$AC, MATCH("Group Revenue ($mm)",$A$1:$A$91,0), G$5+1), 0)</f>
        <v>0</v>
      </c>
      <c r="H94" s="28" cm="1">
        <f t="array" aca="1" ref="H94" ca="1">IF(H$4&gt;=2026, INDEX(Assumptions!$B:$B, MATCH("Placeholder AI/strategic CapEx (% of Group revenue): TEMP", Assumptions!$A$1:$A$327, 0)) * INDEX($D:$AC, MATCH("Group Revenue ($mm)",$A$1:$A$91,0), H$5+1), 0)</f>
        <v>0</v>
      </c>
      <c r="I94" s="28" cm="1">
        <f t="array" aca="1" ref="I94" ca="1">IF(I$4&gt;=2026, INDEX(Assumptions!$B:$B, MATCH("Placeholder AI/strategic CapEx (% of Group revenue): TEMP", Assumptions!$A$1:$A$327, 0)) * INDEX($D:$AC, MATCH("Group Revenue ($mm)",$A$1:$A$91,0), I$5+1), 0)</f>
        <v>0</v>
      </c>
      <c r="J94" s="28" cm="1">
        <f t="array" aca="1" ref="J94" ca="1">IF(J$4&gt;=2026, INDEX(Assumptions!$B:$B, MATCH("Placeholder AI/strategic CapEx (% of Group revenue): TEMP", Assumptions!$A$1:$A$327, 0)) * INDEX($D:$AC, MATCH("Group Revenue ($mm)",$A$1:$A$91,0), J$5+1), 0)</f>
        <v>0</v>
      </c>
      <c r="K94" s="28" cm="1">
        <f t="array" aca="1" ref="K94" ca="1">IF(K$4&gt;=2026, INDEX(Assumptions!$B:$B, MATCH("Placeholder AI/strategic CapEx (% of Group revenue): TEMP", Assumptions!$A$1:$A$327, 0)) * INDEX($D:$AC, MATCH("Group Revenue ($mm)",$A$1:$A$91,0), K$5+1), 0)</f>
        <v>0</v>
      </c>
      <c r="L94" s="28" cm="1">
        <f t="array" aca="1" ref="L94" ca="1">IF(L$4&gt;=2026, INDEX(Assumptions!$B:$B, MATCH("Placeholder AI/strategic CapEx (% of Group revenue): TEMP", Assumptions!$A$1:$A$327, 0)) * INDEX($D:$AC, MATCH("Group Revenue ($mm)",$A$1:$A$91,0), L$5+1), 0)</f>
        <v>0</v>
      </c>
      <c r="M94" s="28" cm="1">
        <f t="array" aca="1" ref="M94" ca="1">IF(M$4&gt;=2026, INDEX(Assumptions!$B:$B, MATCH("Placeholder AI/strategic CapEx (% of Group revenue): TEMP", Assumptions!$A$1:$A$327, 0)) * INDEX($D:$AC, MATCH("Group Revenue ($mm)",$A$1:$A$91,0), M$5+1), 0)</f>
        <v>0</v>
      </c>
      <c r="N94" s="28" cm="1">
        <f t="array" aca="1" ref="N94" ca="1">IF(N$4&gt;=2026, INDEX(Assumptions!$B:$B, MATCH("Placeholder AI/strategic CapEx (% of Group revenue): TEMP", Assumptions!$A$1:$A$327, 0)) * INDEX($D:$AC, MATCH("Group Revenue ($mm)",$A$1:$A$91,0), N$5+1), 0)</f>
        <v>0</v>
      </c>
      <c r="O94" s="28" cm="1">
        <f t="array" aca="1" ref="O94" ca="1">IF(O$4&gt;=2026, INDEX(Assumptions!$B:$B, MATCH("Placeholder AI/strategic CapEx (% of Group revenue): TEMP", Assumptions!$A$1:$A$327, 0)) * INDEX($D:$AC, MATCH("Group Revenue ($mm)",$A$1:$A$91,0), O$5+1), 0)</f>
        <v>0</v>
      </c>
      <c r="P94" s="28" cm="1">
        <f t="array" aca="1" ref="P94" ca="1">IF(P$4&gt;=2026, INDEX(Assumptions!$B:$B, MATCH("Placeholder AI/strategic CapEx (% of Group revenue): TEMP", Assumptions!$A$1:$A$327, 0)) * INDEX($D:$AC, MATCH("Group Revenue ($mm)",$A$1:$A$91,0), P$5+1), 0)</f>
        <v>0</v>
      </c>
      <c r="Q94" s="28" cm="1">
        <f t="array" aca="1" ref="Q94" ca="1">IF(Q$4&gt;=2026, INDEX(Assumptions!$B:$B, MATCH("Placeholder AI/strategic CapEx (% of Group revenue): TEMP", Assumptions!$A$1:$A$327, 0)) * INDEX($D:$AC, MATCH("Group Revenue ($mm)",$A$1:$A$91,0), Q$5+1), 0)</f>
        <v>0</v>
      </c>
      <c r="R94" s="28" cm="1">
        <f t="array" aca="1" ref="R94" ca="1">IF(R$4&gt;=2026, INDEX(Assumptions!$B:$B, MATCH("Placeholder AI/strategic CapEx (% of Group revenue): TEMP", Assumptions!$A$1:$A$327, 0)) * INDEX($D:$AC, MATCH("Group Revenue ($mm)",$A$1:$A$91,0), R$5+1), 0)</f>
        <v>0</v>
      </c>
      <c r="S94" s="28" cm="1">
        <f t="array" aca="1" ref="S94" ca="1">IF(S$4&gt;=2026, INDEX(Assumptions!$B:$B, MATCH("Placeholder AI/strategic CapEx (% of Group revenue): TEMP", Assumptions!$A$1:$A$327, 0)) * INDEX($D:$AC, MATCH("Group Revenue ($mm)",$A$1:$A$91,0), S$5+1), 0)</f>
        <v>0</v>
      </c>
      <c r="T94" s="28" cm="1">
        <f t="array" ref="T94">IF(T$4&gt;=2026, INDEX(Assumptions!$B:$B, MATCH("Placeholder AI/strategic CapEx (% of Group revenue): TEMP", Assumptions!$A$1:$A$327, 0)) * INDEX($D:$AC, MATCH("Group Revenue ($mm)",$A$1:$A$91,0), T$5+1), 0)</f>
        <v>0</v>
      </c>
      <c r="U94" s="28" cm="1">
        <f t="array" ref="U94">IF(U$4&gt;=2026, INDEX(Assumptions!$B:$B, MATCH("Placeholder AI/strategic CapEx (% of Group revenue): TEMP", Assumptions!$A$1:$A$327, 0)) * INDEX($D:$AC, MATCH("Group Revenue ($mm)",$A$1:$A$91,0), U$5+1), 0)</f>
        <v>0</v>
      </c>
      <c r="V94" s="28" cm="1">
        <f t="array" ref="V94">IF(V$4&gt;=2026, INDEX(Assumptions!$B:$B, MATCH("Placeholder AI/strategic CapEx (% of Group revenue): TEMP", Assumptions!$A$1:$A$327, 0)) * INDEX($D:$AC, MATCH("Group Revenue ($mm)",$A$1:$A$91,0), V$5+1), 0)</f>
        <v>0</v>
      </c>
      <c r="W94" s="28" cm="1">
        <f t="array" ref="W94">IF(W$4&gt;=2026, INDEX(Assumptions!$B:$B, MATCH("Placeholder AI/strategic CapEx (% of Group revenue): TEMP", Assumptions!$A$1:$A$327, 0)) * INDEX($D:$AC, MATCH("Group Revenue ($mm)",$A$1:$A$91,0), W$5+1), 0)</f>
        <v>0</v>
      </c>
      <c r="X94" s="28" cm="1">
        <f t="array" ref="X94">IF(X$4&gt;=2026, INDEX(Assumptions!$B:$B, MATCH("Placeholder AI/strategic CapEx (% of Group revenue): TEMP", Assumptions!$A$1:$A$327, 0)) * INDEX($D:$AC, MATCH("Group Revenue ($mm)",$A$1:$A$91,0), X$5+1), 0)</f>
        <v>0</v>
      </c>
      <c r="Y94" s="28" cm="1">
        <f t="array" ref="Y94">IF(Y$4&gt;=2026, INDEX(Assumptions!$B:$B, MATCH("Placeholder AI/strategic CapEx (% of Group revenue): TEMP", Assumptions!$A$1:$A$327, 0)) * INDEX($D:$AC, MATCH("Group Revenue ($mm)",$A$1:$A$91,0), Y$5+1), 0)</f>
        <v>0</v>
      </c>
      <c r="Z94" s="28" cm="1">
        <f t="array" ref="Z94">IF(Z$4&gt;=2026, INDEX(Assumptions!$B:$B, MATCH("Placeholder AI/strategic CapEx (% of Group revenue): TEMP", Assumptions!$A$1:$A$327, 0)) * INDEX($D:$AC, MATCH("Group Revenue ($mm)",$A$1:$A$91,0), Z$5+1), 0)</f>
        <v>0</v>
      </c>
      <c r="AA94" s="28" cm="1">
        <f t="array" ref="AA94">IF(AA$4&gt;=2026, INDEX(Assumptions!$B:$B, MATCH("Placeholder AI/strategic CapEx (% of Group revenue): TEMP", Assumptions!$A$1:$A$327, 0)) * INDEX($D:$AC, MATCH("Group Revenue ($mm)",$A$1:$A$91,0), AA$5+1), 0)</f>
        <v>0</v>
      </c>
      <c r="AB94" s="28" cm="1">
        <f t="array" ref="AB94">IF(AB$4&gt;=2026, INDEX(Assumptions!$B:$B, MATCH("Placeholder AI/strategic CapEx (% of Group revenue): TEMP", Assumptions!$A$1:$A$327, 0)) * INDEX($D:$AC, MATCH("Group Revenue ($mm)",$A$1:$A$91,0), AB$5+1), 0)</f>
        <v>0</v>
      </c>
      <c r="AC94" s="28" cm="1">
        <f t="array" ref="AC94">IF(AC$4&gt;=2026, INDEX(Assumptions!$B:$B, MATCH("Placeholder AI/strategic CapEx (% of Group revenue): TEMP", Assumptions!$A$1:$A$327, 0)) * INDEX($D:$AC, MATCH("Group Revenue ($mm)",$A$1:$A$91,0), AC$5+1), 0)</f>
        <v>0</v>
      </c>
    </row>
    <row r="95" spans="1:29" x14ac:dyDescent="0.2">
      <c r="A95" s="24" t="s">
        <v>854</v>
      </c>
      <c r="B95" s="11"/>
      <c r="C95" s="11"/>
      <c r="D95" s="28">
        <f>'Cash Allocation Engine'!D55</f>
        <v>0</v>
      </c>
      <c r="E95" s="28">
        <f ca="1">'Cash Allocation Engine'!E55</f>
        <v>-32855.500723882833</v>
      </c>
      <c r="F95" s="28">
        <f ca="1">'Cash Allocation Engine'!F55</f>
        <v>-16071.820186518567</v>
      </c>
      <c r="G95" s="28">
        <f ca="1">'Cash Allocation Engine'!G55</f>
        <v>14507.331403217813</v>
      </c>
      <c r="H95" s="28">
        <f ca="1">'Cash Allocation Engine'!H55</f>
        <v>52617.986904106168</v>
      </c>
      <c r="I95" s="28">
        <f ca="1">'Cash Allocation Engine'!I55</f>
        <v>53937.952611399283</v>
      </c>
      <c r="J95" s="28">
        <f ca="1">'Cash Allocation Engine'!J55</f>
        <v>54016.760803907709</v>
      </c>
      <c r="K95" s="28">
        <f ca="1">'Cash Allocation Engine'!K55</f>
        <v>92525.383120689279</v>
      </c>
      <c r="L95" s="28">
        <f ca="1">'Cash Allocation Engine'!L55</f>
        <v>146235.93128102127</v>
      </c>
      <c r="M95" s="28">
        <f ca="1">'Cash Allocation Engine'!M55</f>
        <v>133398.48662442394</v>
      </c>
      <c r="N95" s="28">
        <f ca="1">'Cash Allocation Engine'!N55</f>
        <v>144404.31121210544</v>
      </c>
      <c r="O95" s="28">
        <f ca="1">'Cash Allocation Engine'!O55</f>
        <v>147957.87574161493</v>
      </c>
      <c r="P95" s="28">
        <f ca="1">'Cash Allocation Engine'!P55</f>
        <v>210003.40407136985</v>
      </c>
      <c r="Q95" s="28">
        <f ca="1">'Cash Allocation Engine'!Q55</f>
        <v>310413.71548368875</v>
      </c>
      <c r="R95" s="28">
        <f ca="1">'Cash Allocation Engine'!R55</f>
        <v>377799.16595346056</v>
      </c>
      <c r="S95" s="28">
        <f ca="1">'Cash Allocation Engine'!S55</f>
        <v>444236.97747896111</v>
      </c>
    </row>
    <row r="96" spans="1:29" x14ac:dyDescent="0.2">
      <c r="A96" s="33" t="s">
        <v>1409</v>
      </c>
      <c r="B96" s="31"/>
      <c r="C96" s="31"/>
      <c r="D96" s="32">
        <f t="shared" ref="D96:S96" ca="1" si="29">D77+D65-D85</f>
        <v>-4615.5181925498509</v>
      </c>
      <c r="E96" s="32">
        <f t="shared" ca="1" si="29"/>
        <v>-32855.50072388284</v>
      </c>
      <c r="F96" s="32">
        <f t="shared" ca="1" si="29"/>
        <v>-16071.820186518562</v>
      </c>
      <c r="G96" s="32">
        <f t="shared" ca="1" si="29"/>
        <v>14507.331403217817</v>
      </c>
      <c r="H96" s="32">
        <f t="shared" ca="1" si="29"/>
        <v>52617.986904106168</v>
      </c>
      <c r="I96" s="32">
        <f t="shared" ca="1" si="29"/>
        <v>53937.952611399291</v>
      </c>
      <c r="J96" s="32">
        <f t="shared" ca="1" si="29"/>
        <v>54016.76080390776</v>
      </c>
      <c r="K96" s="32">
        <f t="shared" ca="1" si="29"/>
        <v>92525.383120689279</v>
      </c>
      <c r="L96" s="32">
        <f t="shared" ca="1" si="29"/>
        <v>146235.9312810213</v>
      </c>
      <c r="M96" s="32">
        <f t="shared" ca="1" si="29"/>
        <v>133398.486624424</v>
      </c>
      <c r="N96" s="32">
        <f t="shared" ca="1" si="29"/>
        <v>144404.31121210539</v>
      </c>
      <c r="O96" s="32">
        <f t="shared" ca="1" si="29"/>
        <v>147957.8757416149</v>
      </c>
      <c r="P96" s="32">
        <f t="shared" ca="1" si="29"/>
        <v>210003.40407136985</v>
      </c>
      <c r="Q96" s="32">
        <f t="shared" ca="1" si="29"/>
        <v>310413.71548368875</v>
      </c>
      <c r="R96" s="32">
        <f t="shared" ca="1" si="29"/>
        <v>377799.16595346085</v>
      </c>
      <c r="S96" s="32">
        <f t="shared" ca="1" si="29"/>
        <v>444236.97747896134</v>
      </c>
    </row>
    <row r="97" spans="1:19" x14ac:dyDescent="0.2">
      <c r="A97" s="18" t="s">
        <v>1410</v>
      </c>
      <c r="B97" s="18"/>
      <c r="C97" s="18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 x14ac:dyDescent="0.2">
      <c r="A98" s="24" t="s">
        <v>1411</v>
      </c>
      <c r="B98" s="8"/>
      <c r="C98" s="8"/>
      <c r="D98" s="26">
        <f>0</f>
        <v>0</v>
      </c>
      <c r="E98" s="26">
        <f>0</f>
        <v>0</v>
      </c>
      <c r="F98" s="26">
        <f>0</f>
        <v>0</v>
      </c>
      <c r="G98" s="26">
        <f>0</f>
        <v>0</v>
      </c>
      <c r="H98" s="26">
        <f>0</f>
        <v>0</v>
      </c>
      <c r="I98" s="26">
        <f>0</f>
        <v>0</v>
      </c>
      <c r="J98" s="26">
        <f>0</f>
        <v>0</v>
      </c>
      <c r="K98" s="26">
        <f>0</f>
        <v>0</v>
      </c>
      <c r="L98" s="26">
        <f>0</f>
        <v>0</v>
      </c>
      <c r="M98" s="26">
        <f>0</f>
        <v>0</v>
      </c>
      <c r="N98" s="26">
        <f>0</f>
        <v>0</v>
      </c>
      <c r="O98" s="26">
        <f>0</f>
        <v>0</v>
      </c>
      <c r="P98" s="26">
        <f>0</f>
        <v>0</v>
      </c>
      <c r="Q98" s="26">
        <f>0</f>
        <v>0</v>
      </c>
      <c r="R98" s="26">
        <f>0</f>
        <v>0</v>
      </c>
      <c r="S98" s="26">
        <f>0</f>
        <v>0</v>
      </c>
    </row>
    <row r="99" spans="1:19" x14ac:dyDescent="0.2">
      <c r="A99" s="24" t="s">
        <v>855</v>
      </c>
      <c r="B99" s="8"/>
      <c r="C99" s="8"/>
      <c r="D99" s="26">
        <f>0</f>
        <v>0</v>
      </c>
      <c r="E99" s="26">
        <f>0</f>
        <v>0</v>
      </c>
      <c r="F99" s="26">
        <f>0</f>
        <v>0</v>
      </c>
      <c r="G99" s="26">
        <f>0</f>
        <v>0</v>
      </c>
      <c r="H99" s="26">
        <f>0</f>
        <v>0</v>
      </c>
      <c r="I99" s="26">
        <f>0</f>
        <v>0</v>
      </c>
      <c r="J99" s="26">
        <f>0</f>
        <v>0</v>
      </c>
      <c r="K99" s="26">
        <f>0</f>
        <v>0</v>
      </c>
      <c r="L99" s="26">
        <f>0</f>
        <v>0</v>
      </c>
      <c r="M99" s="26">
        <f>0</f>
        <v>0</v>
      </c>
      <c r="N99" s="26">
        <f>0</f>
        <v>0</v>
      </c>
      <c r="O99" s="26">
        <f>0</f>
        <v>0</v>
      </c>
      <c r="P99" s="26">
        <f>0</f>
        <v>0</v>
      </c>
      <c r="Q99" s="26">
        <f>0</f>
        <v>0</v>
      </c>
      <c r="R99" s="26">
        <f>0</f>
        <v>0</v>
      </c>
      <c r="S99" s="26">
        <f>0</f>
        <v>0</v>
      </c>
    </row>
    <row r="100" spans="1:19" x14ac:dyDescent="0.2">
      <c r="A100" s="24" t="s">
        <v>856</v>
      </c>
      <c r="B100" s="8"/>
      <c r="C100" s="8"/>
      <c r="D100" s="26">
        <f>0</f>
        <v>0</v>
      </c>
      <c r="E100" s="26">
        <f>0</f>
        <v>0</v>
      </c>
      <c r="F100" s="26">
        <f>0</f>
        <v>0</v>
      </c>
      <c r="G100" s="26">
        <f>0</f>
        <v>0</v>
      </c>
      <c r="H100" s="26">
        <f>0</f>
        <v>0</v>
      </c>
      <c r="I100" s="26">
        <f>0</f>
        <v>0</v>
      </c>
      <c r="J100" s="26">
        <f>0</f>
        <v>0</v>
      </c>
      <c r="K100" s="26">
        <f>0</f>
        <v>0</v>
      </c>
      <c r="L100" s="26">
        <f>0</f>
        <v>0</v>
      </c>
      <c r="M100" s="26">
        <f>0</f>
        <v>0</v>
      </c>
      <c r="N100" s="26">
        <f>0</f>
        <v>0</v>
      </c>
      <c r="O100" s="26">
        <f>0</f>
        <v>0</v>
      </c>
      <c r="P100" s="26">
        <f>0</f>
        <v>0</v>
      </c>
      <c r="Q100" s="26">
        <f>0</f>
        <v>0</v>
      </c>
      <c r="R100" s="26">
        <f>0</f>
        <v>0</v>
      </c>
      <c r="S100" s="26">
        <f>0</f>
        <v>0</v>
      </c>
    </row>
    <row r="101" spans="1:19" x14ac:dyDescent="0.2">
      <c r="A101" s="30" t="s">
        <v>857</v>
      </c>
      <c r="B101" s="31"/>
      <c r="C101" s="31"/>
      <c r="D101" s="32">
        <f>D98+D99+D100</f>
        <v>0</v>
      </c>
      <c r="E101" s="32">
        <f t="shared" ref="E101:S101" si="30">E98+E99+E100</f>
        <v>0</v>
      </c>
      <c r="F101" s="32">
        <f t="shared" si="30"/>
        <v>0</v>
      </c>
      <c r="G101" s="32">
        <f t="shared" si="30"/>
        <v>0</v>
      </c>
      <c r="H101" s="32">
        <f t="shared" si="30"/>
        <v>0</v>
      </c>
      <c r="I101" s="32">
        <f t="shared" si="30"/>
        <v>0</v>
      </c>
      <c r="J101" s="32">
        <f t="shared" si="30"/>
        <v>0</v>
      </c>
      <c r="K101" s="32">
        <f t="shared" si="30"/>
        <v>0</v>
      </c>
      <c r="L101" s="32">
        <f t="shared" si="30"/>
        <v>0</v>
      </c>
      <c r="M101" s="32">
        <f t="shared" si="30"/>
        <v>0</v>
      </c>
      <c r="N101" s="32">
        <f t="shared" si="30"/>
        <v>0</v>
      </c>
      <c r="O101" s="32">
        <f t="shared" si="30"/>
        <v>0</v>
      </c>
      <c r="P101" s="32">
        <f t="shared" si="30"/>
        <v>0</v>
      </c>
      <c r="Q101" s="32">
        <f t="shared" si="30"/>
        <v>0</v>
      </c>
      <c r="R101" s="32">
        <f t="shared" si="30"/>
        <v>0</v>
      </c>
      <c r="S101" s="32">
        <f t="shared" si="30"/>
        <v>0</v>
      </c>
    </row>
    <row r="102" spans="1:19" x14ac:dyDescent="0.2">
      <c r="A102" s="8"/>
      <c r="B102" s="8"/>
      <c r="C102" s="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x14ac:dyDescent="0.2">
      <c r="A103" s="18" t="s">
        <v>1642</v>
      </c>
      <c r="B103" s="18"/>
      <c r="C103" s="1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x14ac:dyDescent="0.2">
      <c r="A104" s="24" t="s">
        <v>1207</v>
      </c>
      <c r="B104" s="8"/>
      <c r="C104" s="8"/>
      <c r="D104" s="25">
        <f>'Lunar - Mars'!D115</f>
        <v>0</v>
      </c>
      <c r="E104" s="25">
        <f>'Lunar - Mars'!E115</f>
        <v>0</v>
      </c>
      <c r="F104" s="25">
        <f>'Lunar - Mars'!F115</f>
        <v>0</v>
      </c>
      <c r="G104" s="25">
        <f>'Lunar - Mars'!G115</f>
        <v>0</v>
      </c>
      <c r="H104" s="25">
        <f>'Lunar - Mars'!H115</f>
        <v>0</v>
      </c>
      <c r="I104" s="25">
        <f ca="1">'Lunar - Mars'!I115</f>
        <v>13376.755405955771</v>
      </c>
      <c r="J104" s="25">
        <f ca="1">'Lunar - Mars'!J115</f>
        <v>25963.907729625731</v>
      </c>
      <c r="K104" s="25">
        <f ca="1">'Lunar - Mars'!K115</f>
        <v>39549.403282400148</v>
      </c>
      <c r="L104" s="25">
        <f ca="1">'Lunar - Mars'!L115</f>
        <v>47141.915203280849</v>
      </c>
      <c r="M104" s="25">
        <f ca="1">'Lunar - Mars'!M115</f>
        <v>60597.470378996033</v>
      </c>
      <c r="N104" s="25">
        <f ca="1">'Lunar - Mars'!N115</f>
        <v>70126.431556855256</v>
      </c>
      <c r="O104" s="25">
        <f ca="1">'Lunar - Mars'!O115</f>
        <v>81159.671490497378</v>
      </c>
      <c r="P104" s="25">
        <f ca="1">'Lunar - Mars'!P115</f>
        <v>92217.316988374572</v>
      </c>
      <c r="Q104" s="25">
        <f ca="1">'Lunar - Mars'!Q115</f>
        <v>115991.69419670956</v>
      </c>
      <c r="R104" s="25">
        <f ca="1">'Lunar - Mars'!R115</f>
        <v>157550.15836923037</v>
      </c>
      <c r="S104" s="25">
        <f ca="1">'Lunar - Mars'!S115</f>
        <v>212477.66310875918</v>
      </c>
    </row>
    <row r="105" spans="1:19" x14ac:dyDescent="0.2">
      <c r="A105" s="24" t="s">
        <v>1208</v>
      </c>
      <c r="B105" s="8"/>
      <c r="C105" s="8"/>
      <c r="D105" s="25">
        <f>'Lunar - Mars'!D116</f>
        <v>0</v>
      </c>
      <c r="E105" s="25">
        <f>'Lunar - Mars'!E116</f>
        <v>0</v>
      </c>
      <c r="F105" s="25">
        <f>'Lunar - Mars'!F116</f>
        <v>0</v>
      </c>
      <c r="G105" s="25">
        <f>'Lunar - Mars'!G116</f>
        <v>0</v>
      </c>
      <c r="H105" s="25">
        <f>'Lunar - Mars'!H116</f>
        <v>0</v>
      </c>
      <c r="I105" s="25">
        <f>'Lunar - Mars'!I116</f>
        <v>0</v>
      </c>
      <c r="J105" s="25">
        <f>'Lunar - Mars'!J116</f>
        <v>0</v>
      </c>
      <c r="K105" s="25">
        <f>'Lunar - Mars'!K116</f>
        <v>0</v>
      </c>
      <c r="L105" s="25">
        <f>'Lunar - Mars'!L116</f>
        <v>0</v>
      </c>
      <c r="M105" s="25">
        <f>'Lunar - Mars'!M116</f>
        <v>0</v>
      </c>
      <c r="N105" s="25">
        <f>'Lunar - Mars'!N116</f>
        <v>0</v>
      </c>
      <c r="O105" s="25">
        <f>'Lunar - Mars'!O116</f>
        <v>0</v>
      </c>
      <c r="P105" s="25">
        <f>'Lunar - Mars'!P116</f>
        <v>0</v>
      </c>
      <c r="Q105" s="25">
        <f>'Lunar - Mars'!Q116</f>
        <v>0</v>
      </c>
      <c r="R105" s="25">
        <f>'Lunar - Mars'!R116</f>
        <v>0</v>
      </c>
      <c r="S105" s="25">
        <f>'Lunar - Mars'!S116</f>
        <v>0</v>
      </c>
    </row>
    <row r="106" spans="1:19" x14ac:dyDescent="0.2">
      <c r="A106" s="8"/>
      <c r="B106" s="8"/>
      <c r="C106" s="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x14ac:dyDescent="0.2">
      <c r="A107" s="18" t="s">
        <v>858</v>
      </c>
      <c r="B107" s="18"/>
      <c r="C107" s="1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 x14ac:dyDescent="0.2">
      <c r="A108" s="24" t="s">
        <v>1754</v>
      </c>
      <c r="B108" s="11"/>
      <c r="C108" s="11"/>
      <c r="D108" s="15">
        <f ca="1">D57-8690</f>
        <v>-7285.5489069212417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x14ac:dyDescent="0.2">
      <c r="A109" s="24" t="s">
        <v>1755</v>
      </c>
      <c r="B109" s="11"/>
      <c r="C109" s="11"/>
      <c r="D109" s="15">
        <f ca="1">D65-1060</f>
        <v>-269.93904097571249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x14ac:dyDescent="0.2">
      <c r="A110" s="24" t="s">
        <v>859</v>
      </c>
      <c r="B110" s="11"/>
      <c r="C110" s="11"/>
      <c r="D110" s="15">
        <f ca="1">D93-3670</f>
        <v>-8285.5181925498509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x14ac:dyDescent="0.2">
      <c r="A111" s="8"/>
      <c r="B111" s="8"/>
      <c r="C111" s="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x14ac:dyDescent="0.2">
      <c r="A112" s="29" t="s">
        <v>1412</v>
      </c>
      <c r="B112" s="8"/>
      <c r="C112" s="8"/>
      <c r="D112" s="28">
        <f ca="1">D54 - ('AI - Compute'!D160 + 'AI - Compute'!D159)</f>
        <v>0</v>
      </c>
      <c r="E112" s="28">
        <f ca="1">E54 - ('AI - Compute'!E160 + 'AI - Compute'!E159)</f>
        <v>0</v>
      </c>
      <c r="F112" s="28">
        <f ca="1">F54 - ('AI - Compute'!F160 + 'AI - Compute'!F159)</f>
        <v>0</v>
      </c>
      <c r="G112" s="28">
        <f ca="1">G54 - ('AI - Compute'!G160 + 'AI - Compute'!G159)</f>
        <v>0</v>
      </c>
      <c r="H112" s="28">
        <f ca="1">H54 - ('AI - Compute'!H160 + 'AI - Compute'!H159)</f>
        <v>0</v>
      </c>
      <c r="I112" s="28">
        <f ca="1">I54 - ('AI - Compute'!I160 + 'AI - Compute'!I159)</f>
        <v>0</v>
      </c>
      <c r="J112" s="28">
        <f ca="1">J54 - ('AI - Compute'!J160 + 'AI - Compute'!J159)</f>
        <v>0</v>
      </c>
      <c r="K112" s="28">
        <f ca="1">K54 - ('AI - Compute'!K160 + 'AI - Compute'!K159)</f>
        <v>0</v>
      </c>
      <c r="L112" s="28">
        <f ca="1">L54 - ('AI - Compute'!L160 + 'AI - Compute'!L159)</f>
        <v>0</v>
      </c>
      <c r="M112" s="28">
        <f ca="1">M54 - ('AI - Compute'!M160 + 'AI - Compute'!M159)</f>
        <v>0</v>
      </c>
      <c r="N112" s="28">
        <f ca="1">N54 - ('AI - Compute'!N160 + 'AI - Compute'!N159)</f>
        <v>0</v>
      </c>
      <c r="O112" s="28">
        <f ca="1">O54 - ('AI - Compute'!O160 + 'AI - Compute'!O159)</f>
        <v>0</v>
      </c>
      <c r="P112" s="28">
        <f ca="1">P54 - ('AI - Compute'!P160 + 'AI - Compute'!P159)</f>
        <v>0</v>
      </c>
      <c r="Q112" s="28">
        <f ca="1">Q54 - ('AI - Compute'!Q160 + 'AI - Compute'!Q159)</f>
        <v>0</v>
      </c>
      <c r="R112" s="28">
        <f ca="1">R54 - ('AI - Compute'!R160 + 'AI - Compute'!R159)</f>
        <v>0</v>
      </c>
      <c r="S112" s="28">
        <f ca="1">S54 - ('AI - Compute'!S160 + 'AI - Compute'!S159)</f>
        <v>0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1BE0-0D39-5C4E-88D3-3B469A9C124C}">
  <dimension ref="A1:AC129"/>
  <sheetViews>
    <sheetView tabSelected="1" topLeftCell="A70" workbookViewId="0">
      <selection activeCell="X48" sqref="X48"/>
    </sheetView>
  </sheetViews>
  <sheetFormatPr baseColWidth="10" defaultRowHeight="16" x14ac:dyDescent="0.2"/>
  <cols>
    <col min="1" max="1" width="53.33203125" customWidth="1"/>
    <col min="4" max="29" width="9.6640625" customWidth="1"/>
  </cols>
  <sheetData>
    <row r="1" spans="1:29" x14ac:dyDescent="0.2">
      <c r="A1" s="235" t="s">
        <v>2143</v>
      </c>
    </row>
    <row r="4" spans="1:29" x14ac:dyDescent="0.2">
      <c r="D4" s="246">
        <v>2025</v>
      </c>
      <c r="E4" s="246">
        <v>2026</v>
      </c>
      <c r="F4" s="246">
        <v>2027</v>
      </c>
      <c r="G4" s="246">
        <v>2028</v>
      </c>
      <c r="H4" s="246">
        <v>2029</v>
      </c>
      <c r="I4" s="246">
        <v>2030</v>
      </c>
      <c r="J4" s="246">
        <v>2031</v>
      </c>
      <c r="K4" s="246">
        <v>2032</v>
      </c>
      <c r="L4" s="246">
        <v>2033</v>
      </c>
      <c r="M4" s="246">
        <v>2034</v>
      </c>
      <c r="N4" s="246">
        <v>2035</v>
      </c>
      <c r="O4" s="246">
        <v>2036</v>
      </c>
      <c r="P4" s="246">
        <v>2037</v>
      </c>
      <c r="Q4" s="246">
        <v>2038</v>
      </c>
      <c r="R4" s="246">
        <v>2039</v>
      </c>
      <c r="S4" s="246">
        <v>2040</v>
      </c>
      <c r="T4" s="246">
        <v>2041</v>
      </c>
      <c r="U4" s="246">
        <v>2042</v>
      </c>
      <c r="V4" s="246">
        <v>2043</v>
      </c>
      <c r="W4" s="246">
        <v>2044</v>
      </c>
      <c r="X4" s="246">
        <v>2045</v>
      </c>
      <c r="Y4" s="246">
        <v>2046</v>
      </c>
      <c r="Z4" s="246">
        <v>2047</v>
      </c>
      <c r="AA4" s="246">
        <v>2048</v>
      </c>
      <c r="AB4" s="246">
        <v>2049</v>
      </c>
      <c r="AC4" s="246">
        <v>2050</v>
      </c>
    </row>
    <row r="5" spans="1:29" x14ac:dyDescent="0.2">
      <c r="D5">
        <v>0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7" spans="1:29" x14ac:dyDescent="0.2">
      <c r="A7" s="248" t="s">
        <v>2144</v>
      </c>
    </row>
    <row r="8" spans="1:29" x14ac:dyDescent="0.2">
      <c r="A8" t="s">
        <v>2145</v>
      </c>
      <c r="D8" s="247">
        <f>Starlink!D61</f>
        <v>6721.2205509599999</v>
      </c>
      <c r="E8" s="247">
        <f ca="1">Starlink!E61</f>
        <v>9347.5764579427196</v>
      </c>
      <c r="F8" s="247">
        <f ca="1">Starlink!F61</f>
        <v>37555.661744916186</v>
      </c>
      <c r="G8" s="247">
        <f ca="1">Starlink!G61</f>
        <v>80517.637559733921</v>
      </c>
      <c r="H8" s="247">
        <f ca="1">Starlink!H61</f>
        <v>133572.61041328282</v>
      </c>
      <c r="I8" s="247">
        <f ca="1">Starlink!I61</f>
        <v>162366.45810432514</v>
      </c>
      <c r="J8" s="247">
        <f ca="1">Starlink!J61</f>
        <v>198728.62897691844</v>
      </c>
      <c r="K8" s="247">
        <f ca="1">Starlink!K61</f>
        <v>212218.52482053958</v>
      </c>
      <c r="L8" s="247">
        <f ca="1">Starlink!L61</f>
        <v>222728.35423610132</v>
      </c>
      <c r="M8" s="247">
        <f ca="1">Starlink!M61</f>
        <v>231775.04660630334</v>
      </c>
      <c r="N8" s="247">
        <f ca="1">Starlink!N61</f>
        <v>247973.30114369758</v>
      </c>
      <c r="O8" s="247">
        <f ca="1">Starlink!O61</f>
        <v>266208.53747345717</v>
      </c>
      <c r="P8" s="247">
        <f ca="1">Starlink!P61</f>
        <v>283815.27155083528</v>
      </c>
      <c r="Q8" s="247">
        <f ca="1">Starlink!Q61</f>
        <v>294410.58008269034</v>
      </c>
      <c r="R8" s="247">
        <f ca="1">Starlink!R61</f>
        <v>301214.57429290668</v>
      </c>
      <c r="S8" s="247">
        <f ca="1">Starlink!S61</f>
        <v>305981.35928807611</v>
      </c>
      <c r="T8" s="247">
        <f>Starlink!T61</f>
        <v>0</v>
      </c>
      <c r="U8" s="247">
        <f>Starlink!U61</f>
        <v>0</v>
      </c>
      <c r="V8" s="247">
        <f>Starlink!V61</f>
        <v>0</v>
      </c>
      <c r="W8" s="247">
        <f>Starlink!W61</f>
        <v>0</v>
      </c>
      <c r="X8" s="247">
        <f>Starlink!X61</f>
        <v>0</v>
      </c>
      <c r="Y8" s="247">
        <f>Starlink!Y61</f>
        <v>0</v>
      </c>
      <c r="Z8" s="247">
        <f>Starlink!Z61</f>
        <v>0</v>
      </c>
      <c r="AA8" s="247">
        <f>Starlink!AA61</f>
        <v>0</v>
      </c>
      <c r="AB8" s="247">
        <f>Starlink!AB61</f>
        <v>0</v>
      </c>
      <c r="AC8" s="247">
        <f>Starlink!AC61</f>
        <v>0</v>
      </c>
    </row>
    <row r="9" spans="1:29" x14ac:dyDescent="0.2">
      <c r="A9" t="s">
        <v>2146</v>
      </c>
      <c r="D9" s="247">
        <f>Starlink!D62</f>
        <v>632.07519628836553</v>
      </c>
      <c r="E9" s="247">
        <f>Starlink!E62</f>
        <v>794.38307704955639</v>
      </c>
      <c r="F9" s="247">
        <f ca="1">Starlink!F62</f>
        <v>969.01841163700055</v>
      </c>
      <c r="G9" s="247">
        <f ca="1">Starlink!G62</f>
        <v>1291.3436109585891</v>
      </c>
      <c r="H9" s="247">
        <f ca="1">Starlink!H62</f>
        <v>6202.8488188799638</v>
      </c>
      <c r="I9" s="247">
        <f ca="1">Starlink!I62</f>
        <v>30569.892728808863</v>
      </c>
      <c r="J9" s="247">
        <f ca="1">Starlink!J62</f>
        <v>40144.794128767404</v>
      </c>
      <c r="K9" s="247">
        <f ca="1">Starlink!K62</f>
        <v>47979.431042728313</v>
      </c>
      <c r="L9" s="247">
        <f ca="1">Starlink!L62</f>
        <v>50852.957538647112</v>
      </c>
      <c r="M9" s="247">
        <f ca="1">Starlink!M62</f>
        <v>52180.784763267351</v>
      </c>
      <c r="N9" s="247">
        <f ca="1">Starlink!N62</f>
        <v>53485.30438234903</v>
      </c>
      <c r="O9" s="247">
        <f ca="1">Starlink!O62</f>
        <v>54822.436991907751</v>
      </c>
      <c r="P9" s="247">
        <f ca="1">Starlink!P62</f>
        <v>56192.997916705433</v>
      </c>
      <c r="Q9" s="247">
        <f ca="1">Starlink!Q62</f>
        <v>57597.822864623071</v>
      </c>
      <c r="R9" s="247">
        <f ca="1">Starlink!R62</f>
        <v>59037.768436238635</v>
      </c>
      <c r="S9" s="247">
        <f ca="1">Starlink!S62</f>
        <v>60513.712647144595</v>
      </c>
      <c r="T9" s="247">
        <f>Starlink!T62</f>
        <v>0</v>
      </c>
      <c r="U9" s="247">
        <f>Starlink!U62</f>
        <v>0</v>
      </c>
      <c r="V9" s="247">
        <f>Starlink!V62</f>
        <v>0</v>
      </c>
      <c r="W9" s="247">
        <f>Starlink!W62</f>
        <v>0</v>
      </c>
      <c r="X9" s="247">
        <f>Starlink!X62</f>
        <v>0</v>
      </c>
      <c r="Y9" s="247">
        <f>Starlink!Y62</f>
        <v>0</v>
      </c>
      <c r="Z9" s="247">
        <f>Starlink!Z62</f>
        <v>0</v>
      </c>
      <c r="AA9" s="247">
        <f>Starlink!AA62</f>
        <v>0</v>
      </c>
      <c r="AB9" s="247">
        <f>Starlink!AB62</f>
        <v>0</v>
      </c>
      <c r="AC9" s="247">
        <f>Starlink!AC62</f>
        <v>0</v>
      </c>
    </row>
    <row r="10" spans="1:29" x14ac:dyDescent="0.2">
      <c r="A10" t="s">
        <v>2147</v>
      </c>
      <c r="D10" s="247">
        <f>Starlink!D63</f>
        <v>2519.8946999999998</v>
      </c>
      <c r="E10" s="247">
        <f>Starlink!E63</f>
        <v>2721.4862760000001</v>
      </c>
      <c r="F10" s="247">
        <f>Starlink!F63</f>
        <v>2939.2051780800002</v>
      </c>
      <c r="G10" s="247">
        <f>Starlink!G63</f>
        <v>3174.3415923264006</v>
      </c>
      <c r="H10" s="247">
        <f>Starlink!H63</f>
        <v>3428.2889197125123</v>
      </c>
      <c r="I10" s="247">
        <f>Starlink!I63</f>
        <v>3702.5520332895139</v>
      </c>
      <c r="J10" s="247">
        <f>Starlink!J63</f>
        <v>3998.7561959526752</v>
      </c>
      <c r="K10" s="247">
        <f>Starlink!K63</f>
        <v>4318.6566916288903</v>
      </c>
      <c r="L10" s="247">
        <f>Starlink!L63</f>
        <v>4664.1492269592009</v>
      </c>
      <c r="M10" s="247">
        <f>Starlink!M63</f>
        <v>5037.2811651159373</v>
      </c>
      <c r="N10" s="247">
        <f>Starlink!N63</f>
        <v>5440.2636583252124</v>
      </c>
      <c r="O10" s="247">
        <f>Starlink!O63</f>
        <v>5875.4847509912297</v>
      </c>
      <c r="P10" s="247">
        <f>Starlink!P63</f>
        <v>6345.5235310705284</v>
      </c>
      <c r="Q10" s="247">
        <f>Starlink!Q63</f>
        <v>6853.1654135561703</v>
      </c>
      <c r="R10" s="247">
        <f>Starlink!R63</f>
        <v>7401.4186466406654</v>
      </c>
      <c r="S10" s="247">
        <f>Starlink!S63</f>
        <v>7993.5321383719192</v>
      </c>
      <c r="T10" s="247">
        <f>Starlink!T63</f>
        <v>0</v>
      </c>
      <c r="U10" s="247">
        <f>Starlink!U63</f>
        <v>0</v>
      </c>
      <c r="V10" s="247">
        <f>Starlink!V63</f>
        <v>0</v>
      </c>
      <c r="W10" s="247">
        <f>Starlink!W63</f>
        <v>0</v>
      </c>
      <c r="X10" s="247">
        <f>Starlink!X63</f>
        <v>0</v>
      </c>
      <c r="Y10" s="247">
        <f>Starlink!Y63</f>
        <v>0</v>
      </c>
      <c r="Z10" s="247">
        <f>Starlink!Z63</f>
        <v>0</v>
      </c>
      <c r="AA10" s="247">
        <f>Starlink!AA63</f>
        <v>0</v>
      </c>
      <c r="AB10" s="247">
        <f>Starlink!AB63</f>
        <v>0</v>
      </c>
      <c r="AC10" s="247">
        <f>Starlink!AC63</f>
        <v>0</v>
      </c>
    </row>
    <row r="11" spans="1:29" x14ac:dyDescent="0.2">
      <c r="A11" t="s">
        <v>2148</v>
      </c>
      <c r="D11" s="247">
        <f>Starlink!D64</f>
        <v>1005.9343831111111</v>
      </c>
      <c r="E11" s="247">
        <f ca="1">Starlink!E64</f>
        <v>1388.5440426412085</v>
      </c>
      <c r="F11" s="247">
        <f ca="1">Starlink!F64</f>
        <v>13729.17002420777</v>
      </c>
      <c r="G11" s="247">
        <f ca="1">Starlink!G64</f>
        <v>23407.447734518842</v>
      </c>
      <c r="H11" s="247">
        <f ca="1">Starlink!H64</f>
        <v>32915.909600678184</v>
      </c>
      <c r="I11" s="247">
        <f ca="1">Starlink!I64</f>
        <v>24196.908217464181</v>
      </c>
      <c r="J11" s="247">
        <f ca="1">Starlink!J64</f>
        <v>24268.079193007372</v>
      </c>
      <c r="K11" s="247">
        <f ca="1">Starlink!K64</f>
        <v>10798.777131754719</v>
      </c>
      <c r="L11" s="247">
        <f ca="1">Starlink!L64</f>
        <v>9303.8157213995182</v>
      </c>
      <c r="M11" s="247">
        <f ca="1">Starlink!M64</f>
        <v>8712.3725174284336</v>
      </c>
      <c r="N11" s="247">
        <f ca="1">Starlink!N64</f>
        <v>13828.575529587033</v>
      </c>
      <c r="O11" s="247">
        <f ca="1">Starlink!O64</f>
        <v>13949.474303836087</v>
      </c>
      <c r="P11" s="247">
        <f ca="1">Starlink!P64</f>
        <v>13806.604900253478</v>
      </c>
      <c r="Q11" s="247">
        <f ca="1">Starlink!Q64</f>
        <v>9272.4279940573069</v>
      </c>
      <c r="R11" s="247">
        <f ca="1">Starlink!R64</f>
        <v>6832.7464094621519</v>
      </c>
      <c r="S11" s="247">
        <f ca="1">Starlink!S64</f>
        <v>5546.9732005056812</v>
      </c>
      <c r="T11" s="247">
        <f>Starlink!T64</f>
        <v>0</v>
      </c>
      <c r="U11" s="247">
        <f>Starlink!U64</f>
        <v>0</v>
      </c>
      <c r="V11" s="247">
        <f>Starlink!V64</f>
        <v>0</v>
      </c>
      <c r="W11" s="247">
        <f>Starlink!W64</f>
        <v>0</v>
      </c>
      <c r="X11" s="247">
        <f>Starlink!X64</f>
        <v>0</v>
      </c>
      <c r="Y11" s="247">
        <f>Starlink!Y64</f>
        <v>0</v>
      </c>
      <c r="Z11" s="247">
        <f>Starlink!Z64</f>
        <v>0</v>
      </c>
      <c r="AA11" s="247">
        <f>Starlink!AA64</f>
        <v>0</v>
      </c>
      <c r="AB11" s="247">
        <f>Starlink!AB64</f>
        <v>0</v>
      </c>
      <c r="AC11" s="247">
        <f>Starlink!AC64</f>
        <v>0</v>
      </c>
    </row>
    <row r="12" spans="1:29" x14ac:dyDescent="0.2">
      <c r="A12" s="235" t="s">
        <v>2149</v>
      </c>
      <c r="B12" s="235"/>
      <c r="C12" s="235"/>
      <c r="D12" s="249">
        <f>D8+D9+D10+D11</f>
        <v>10879.124830359477</v>
      </c>
      <c r="E12" s="249">
        <f t="shared" ref="E12:AC12" ca="1" si="0">E8+E9+E10+E11</f>
        <v>14251.989853633484</v>
      </c>
      <c r="F12" s="249">
        <f t="shared" ca="1" si="0"/>
        <v>55193.05535884096</v>
      </c>
      <c r="G12" s="249">
        <f t="shared" ca="1" si="0"/>
        <v>108390.77049753774</v>
      </c>
      <c r="H12" s="249">
        <f t="shared" ca="1" si="0"/>
        <v>176119.65775255347</v>
      </c>
      <c r="I12" s="249">
        <f t="shared" ca="1" si="0"/>
        <v>220835.8110838877</v>
      </c>
      <c r="J12" s="249">
        <f t="shared" ca="1" si="0"/>
        <v>267140.25849464588</v>
      </c>
      <c r="K12" s="249">
        <f t="shared" ca="1" si="0"/>
        <v>275315.38968665153</v>
      </c>
      <c r="L12" s="249">
        <f t="shared" ca="1" si="0"/>
        <v>287549.27672310715</v>
      </c>
      <c r="M12" s="249">
        <f t="shared" ca="1" si="0"/>
        <v>297705.48505211505</v>
      </c>
      <c r="N12" s="249">
        <f t="shared" ca="1" si="0"/>
        <v>320727.44471395883</v>
      </c>
      <c r="O12" s="249">
        <f t="shared" ca="1" si="0"/>
        <v>340855.93352019222</v>
      </c>
      <c r="P12" s="249">
        <f t="shared" ca="1" si="0"/>
        <v>360160.3978988647</v>
      </c>
      <c r="Q12" s="249">
        <f t="shared" ca="1" si="0"/>
        <v>368133.99635492684</v>
      </c>
      <c r="R12" s="249">
        <f t="shared" ca="1" si="0"/>
        <v>374486.5077852481</v>
      </c>
      <c r="S12" s="249">
        <f t="shared" ca="1" si="0"/>
        <v>380035.57727409829</v>
      </c>
      <c r="T12" s="249">
        <f t="shared" si="0"/>
        <v>0</v>
      </c>
      <c r="U12" s="249">
        <f t="shared" si="0"/>
        <v>0</v>
      </c>
      <c r="V12" s="249">
        <f t="shared" si="0"/>
        <v>0</v>
      </c>
      <c r="W12" s="249">
        <f t="shared" si="0"/>
        <v>0</v>
      </c>
      <c r="X12" s="249">
        <f t="shared" si="0"/>
        <v>0</v>
      </c>
      <c r="Y12" s="249">
        <f t="shared" si="0"/>
        <v>0</v>
      </c>
      <c r="Z12" s="249">
        <f t="shared" si="0"/>
        <v>0</v>
      </c>
      <c r="AA12" s="249">
        <f t="shared" si="0"/>
        <v>0</v>
      </c>
      <c r="AB12" s="249">
        <f t="shared" si="0"/>
        <v>0</v>
      </c>
      <c r="AC12" s="249">
        <f t="shared" si="0"/>
        <v>0</v>
      </c>
    </row>
    <row r="13" spans="1:29" x14ac:dyDescent="0.2">
      <c r="A13" t="s">
        <v>2150</v>
      </c>
      <c r="D13" s="247">
        <f ca="1">'Customer Launch'!D52</f>
        <v>1589.1999999999998</v>
      </c>
      <c r="E13" s="247">
        <f ca="1">'Customer Launch'!E52</f>
        <v>4603.2</v>
      </c>
      <c r="F13" s="247">
        <f ca="1">'Customer Launch'!F52</f>
        <v>10971.26604</v>
      </c>
      <c r="G13" s="247">
        <f ca="1">'Customer Launch'!G52</f>
        <v>12013.268191662908</v>
      </c>
      <c r="H13" s="247">
        <f ca="1">'Customer Launch'!H52</f>
        <v>13352.238087392618</v>
      </c>
      <c r="I13" s="247">
        <f ca="1">'Customer Launch'!I52</f>
        <v>14796</v>
      </c>
      <c r="J13" s="247">
        <f ca="1">'Customer Launch'!J52</f>
        <v>14631.599999999999</v>
      </c>
      <c r="K13" s="247">
        <f ca="1">'Customer Launch'!K52</f>
        <v>21550.274767896262</v>
      </c>
      <c r="L13" s="247">
        <f ca="1">'Customer Launch'!L52</f>
        <v>21756.27092705456</v>
      </c>
      <c r="M13" s="247">
        <f ca="1">'Customer Launch'!M52</f>
        <v>21595.642286896</v>
      </c>
      <c r="N13" s="247">
        <f ca="1">'Customer Launch'!N52</f>
        <v>21320.925461448634</v>
      </c>
      <c r="O13" s="247">
        <f ca="1">'Customer Launch'!O52</f>
        <v>21030.968812187857</v>
      </c>
      <c r="P13" s="247">
        <f ca="1">'Customer Launch'!P52</f>
        <v>20750.215120855933</v>
      </c>
      <c r="Q13" s="247">
        <f ca="1">'Customer Launch'!Q52</f>
        <v>20475.002770835839</v>
      </c>
      <c r="R13" s="247">
        <f ca="1">'Customer Launch'!R52</f>
        <v>20508.438530295869</v>
      </c>
      <c r="S13" s="247">
        <f ca="1">'Customer Launch'!S52</f>
        <v>328.80000000000501</v>
      </c>
      <c r="T13" s="247">
        <f>'Customer Launch'!T52</f>
        <v>0</v>
      </c>
      <c r="U13" s="247">
        <f>'Customer Launch'!U52</f>
        <v>0</v>
      </c>
      <c r="V13" s="247">
        <f>'Customer Launch'!V52</f>
        <v>0</v>
      </c>
      <c r="W13" s="247">
        <f>'Customer Launch'!W52</f>
        <v>0</v>
      </c>
      <c r="X13" s="247">
        <f>'Customer Launch'!X52</f>
        <v>0</v>
      </c>
      <c r="Y13" s="247">
        <f>'Customer Launch'!Y52</f>
        <v>0</v>
      </c>
      <c r="Z13" s="247">
        <f>'Customer Launch'!Z52</f>
        <v>0</v>
      </c>
      <c r="AA13" s="247">
        <f>'Customer Launch'!AA52</f>
        <v>0</v>
      </c>
      <c r="AB13" s="247">
        <f>'Customer Launch'!AB52</f>
        <v>0</v>
      </c>
      <c r="AC13" s="247">
        <f>'Customer Launch'!AC52</f>
        <v>0</v>
      </c>
    </row>
    <row r="14" spans="1:29" x14ac:dyDescent="0.2">
      <c r="A14" t="s">
        <v>2151</v>
      </c>
      <c r="D14" s="247">
        <f>'Customer Launch'!D53</f>
        <v>1510</v>
      </c>
      <c r="E14" s="247">
        <f>'Customer Launch'!E53</f>
        <v>1585.5</v>
      </c>
      <c r="F14" s="247">
        <f>'Customer Launch'!F53</f>
        <v>1664.7750000000001</v>
      </c>
      <c r="G14" s="247">
        <f>'Customer Launch'!G53</f>
        <v>1748.0137500000003</v>
      </c>
      <c r="H14" s="247">
        <f>'Customer Launch'!H53</f>
        <v>1835.4144375000001</v>
      </c>
      <c r="I14" s="247">
        <f>'Customer Launch'!I53</f>
        <v>1927.1851593750002</v>
      </c>
      <c r="J14" s="247">
        <f>'Customer Launch'!J53</f>
        <v>2023.54441734375</v>
      </c>
      <c r="K14" s="247">
        <f>'Customer Launch'!K53</f>
        <v>2124.7216382109377</v>
      </c>
      <c r="L14" s="247">
        <f>'Customer Launch'!L53</f>
        <v>2230.9577201214843</v>
      </c>
      <c r="M14" s="247">
        <f>'Customer Launch'!M53</f>
        <v>2342.5056061275586</v>
      </c>
      <c r="N14" s="247">
        <f>'Customer Launch'!N53</f>
        <v>2459.6308864339367</v>
      </c>
      <c r="O14" s="247">
        <f>'Customer Launch'!O53</f>
        <v>2582.6124307556338</v>
      </c>
      <c r="P14" s="247">
        <f>'Customer Launch'!P53</f>
        <v>2711.7430522934151</v>
      </c>
      <c r="Q14" s="247">
        <f>'Customer Launch'!Q53</f>
        <v>2847.3302049080862</v>
      </c>
      <c r="R14" s="247">
        <f>'Customer Launch'!R53</f>
        <v>2989.69671515349</v>
      </c>
      <c r="S14" s="247">
        <f>'Customer Launch'!S53</f>
        <v>3139.1815509111657</v>
      </c>
      <c r="T14" s="247">
        <f>'Customer Launch'!T53</f>
        <v>0</v>
      </c>
      <c r="U14" s="247">
        <f>'Customer Launch'!U53</f>
        <v>0</v>
      </c>
      <c r="V14" s="247">
        <f>'Customer Launch'!V53</f>
        <v>0</v>
      </c>
      <c r="W14" s="247">
        <f>'Customer Launch'!W53</f>
        <v>0</v>
      </c>
      <c r="X14" s="247">
        <f>'Customer Launch'!X53</f>
        <v>0</v>
      </c>
      <c r="Y14" s="247">
        <f>'Customer Launch'!Y53</f>
        <v>0</v>
      </c>
      <c r="Z14" s="247">
        <f>'Customer Launch'!Z53</f>
        <v>0</v>
      </c>
      <c r="AA14" s="247">
        <f>'Customer Launch'!AA53</f>
        <v>0</v>
      </c>
      <c r="AB14" s="247">
        <f>'Customer Launch'!AB53</f>
        <v>0</v>
      </c>
      <c r="AC14" s="247">
        <f>'Customer Launch'!AC53</f>
        <v>0</v>
      </c>
    </row>
    <row r="15" spans="1:29" x14ac:dyDescent="0.2">
      <c r="A15" s="235" t="s">
        <v>2152</v>
      </c>
      <c r="B15" s="235"/>
      <c r="C15" s="235"/>
      <c r="D15" s="249">
        <f ca="1">D13+D14</f>
        <v>3099.2</v>
      </c>
      <c r="E15" s="249">
        <f t="shared" ref="E15:AC15" ca="1" si="1">E13+E14</f>
        <v>6188.7</v>
      </c>
      <c r="F15" s="249">
        <f t="shared" ca="1" si="1"/>
        <v>12636.04104</v>
      </c>
      <c r="G15" s="249">
        <f t="shared" ca="1" si="1"/>
        <v>13761.281941662908</v>
      </c>
      <c r="H15" s="249">
        <f t="shared" ca="1" si="1"/>
        <v>15187.652524892617</v>
      </c>
      <c r="I15" s="249">
        <f t="shared" ca="1" si="1"/>
        <v>16723.185159375</v>
      </c>
      <c r="J15" s="249">
        <f t="shared" ca="1" si="1"/>
        <v>16655.144417343749</v>
      </c>
      <c r="K15" s="249">
        <f t="shared" ca="1" si="1"/>
        <v>23674.996406107199</v>
      </c>
      <c r="L15" s="249">
        <f t="shared" ca="1" si="1"/>
        <v>23987.228647176045</v>
      </c>
      <c r="M15" s="249">
        <f t="shared" ca="1" si="1"/>
        <v>23938.147893023557</v>
      </c>
      <c r="N15" s="249">
        <f t="shared" ca="1" si="1"/>
        <v>23780.556347882572</v>
      </c>
      <c r="O15" s="249">
        <f t="shared" ca="1" si="1"/>
        <v>23613.581242943492</v>
      </c>
      <c r="P15" s="249">
        <f t="shared" ca="1" si="1"/>
        <v>23461.958173149349</v>
      </c>
      <c r="Q15" s="249">
        <f t="shared" ca="1" si="1"/>
        <v>23322.332975743924</v>
      </c>
      <c r="R15" s="249">
        <f t="shared" ca="1" si="1"/>
        <v>23498.135245449361</v>
      </c>
      <c r="S15" s="249">
        <f t="shared" ca="1" si="1"/>
        <v>3467.9815509111709</v>
      </c>
      <c r="T15" s="249">
        <f t="shared" si="1"/>
        <v>0</v>
      </c>
      <c r="U15" s="249">
        <f t="shared" si="1"/>
        <v>0</v>
      </c>
      <c r="V15" s="249">
        <f t="shared" si="1"/>
        <v>0</v>
      </c>
      <c r="W15" s="249">
        <f t="shared" si="1"/>
        <v>0</v>
      </c>
      <c r="X15" s="249">
        <f t="shared" si="1"/>
        <v>0</v>
      </c>
      <c r="Y15" s="249">
        <f t="shared" si="1"/>
        <v>0</v>
      </c>
      <c r="Z15" s="249">
        <f t="shared" si="1"/>
        <v>0</v>
      </c>
      <c r="AA15" s="249">
        <f t="shared" si="1"/>
        <v>0</v>
      </c>
      <c r="AB15" s="249">
        <f t="shared" si="1"/>
        <v>0</v>
      </c>
      <c r="AC15" s="249">
        <f t="shared" si="1"/>
        <v>0</v>
      </c>
    </row>
    <row r="16" spans="1:29" x14ac:dyDescent="0.2">
      <c r="A16" t="s">
        <v>2153</v>
      </c>
      <c r="D16" s="247">
        <f ca="1">'AI - Compute'!D60</f>
        <v>0</v>
      </c>
      <c r="E16" s="247">
        <f ca="1">'AI - Compute'!E60</f>
        <v>0</v>
      </c>
      <c r="F16" s="247">
        <f ca="1">'AI - Compute'!F60</f>
        <v>0</v>
      </c>
      <c r="G16" s="247">
        <f ca="1">'AI - Compute'!G60</f>
        <v>1782.9161994358324</v>
      </c>
      <c r="H16" s="247">
        <f ca="1">'AI - Compute'!H60</f>
        <v>9126.2207723466436</v>
      </c>
      <c r="I16" s="247">
        <f ca="1">'AI - Compute'!I60</f>
        <v>33640.529437412719</v>
      </c>
      <c r="J16" s="247">
        <f ca="1">'AI - Compute'!J60</f>
        <v>86487.359710309203</v>
      </c>
      <c r="K16" s="247">
        <f ca="1">'AI - Compute'!K60</f>
        <v>132853.21395008452</v>
      </c>
      <c r="L16" s="247">
        <f ca="1">'AI - Compute'!L60</f>
        <v>154969.07186151631</v>
      </c>
      <c r="M16" s="247">
        <f ca="1">'AI - Compute'!M60</f>
        <v>193162.57322524671</v>
      </c>
      <c r="N16" s="247">
        <f ca="1">'AI - Compute'!N60</f>
        <v>258445.32063103848</v>
      </c>
      <c r="O16" s="247">
        <f ca="1">'AI - Compute'!O60</f>
        <v>367438.91992176417</v>
      </c>
      <c r="P16" s="247">
        <f ca="1">'AI - Compute'!P60</f>
        <v>495485.60505456431</v>
      </c>
      <c r="Q16" s="247">
        <f ca="1">'AI - Compute'!Q60</f>
        <v>608172.71173888037</v>
      </c>
      <c r="R16" s="247">
        <f ca="1">'AI - Compute'!R60</f>
        <v>766459.99958447088</v>
      </c>
      <c r="S16" s="247">
        <f ca="1">'AI - Compute'!S60</f>
        <v>974795.12052010186</v>
      </c>
      <c r="T16" s="247">
        <f>'AI - Compute'!T60</f>
        <v>0</v>
      </c>
      <c r="U16" s="247">
        <f>'AI - Compute'!U60</f>
        <v>0</v>
      </c>
      <c r="V16" s="247">
        <f>'AI - Compute'!V60</f>
        <v>0</v>
      </c>
      <c r="W16" s="247">
        <f>'AI - Compute'!W60</f>
        <v>0</v>
      </c>
      <c r="X16" s="247">
        <f>'AI - Compute'!X60</f>
        <v>0</v>
      </c>
      <c r="Y16" s="247">
        <f>'AI - Compute'!Y60</f>
        <v>0</v>
      </c>
      <c r="Z16" s="247">
        <f>'AI - Compute'!Z60</f>
        <v>0</v>
      </c>
      <c r="AA16" s="247">
        <f>'AI - Compute'!AA60</f>
        <v>0</v>
      </c>
      <c r="AB16" s="247">
        <f>'AI - Compute'!AB60</f>
        <v>0</v>
      </c>
      <c r="AC16" s="247">
        <f>'AI - Compute'!AC60</f>
        <v>0</v>
      </c>
    </row>
    <row r="17" spans="1:29" x14ac:dyDescent="0.2">
      <c r="A17" t="s">
        <v>2154</v>
      </c>
      <c r="D17" s="247">
        <f ca="1">'AI - Compute'!D96</f>
        <v>0</v>
      </c>
      <c r="E17" s="247">
        <f ca="1">'AI - Compute'!E96</f>
        <v>2599.9205854654019</v>
      </c>
      <c r="F17" s="247">
        <f ca="1">'AI - Compute'!F96</f>
        <v>7168.375849310115</v>
      </c>
      <c r="G17" s="247">
        <f ca="1">'AI - Compute'!G96</f>
        <v>7377.5376637375275</v>
      </c>
      <c r="H17" s="247">
        <f ca="1">'AI - Compute'!H96</f>
        <v>7852.830918723248</v>
      </c>
      <c r="I17" s="247">
        <f ca="1">'AI - Compute'!I96</f>
        <v>10070.422046163034</v>
      </c>
      <c r="J17" s="247">
        <f ca="1">'AI - Compute'!J96</f>
        <v>13558.615439626119</v>
      </c>
      <c r="K17" s="247">
        <f ca="1">'AI - Compute'!K96</f>
        <v>18584.376522884999</v>
      </c>
      <c r="L17" s="247">
        <f ca="1">'AI - Compute'!L96</f>
        <v>16440.287958897425</v>
      </c>
      <c r="M17" s="247">
        <f ca="1">'AI - Compute'!M96</f>
        <v>14710.960768836214</v>
      </c>
      <c r="N17" s="247">
        <f ca="1">'AI - Compute'!N96</f>
        <v>18677.311396955312</v>
      </c>
      <c r="O17" s="247">
        <f ca="1">'AI - Compute'!O96</f>
        <v>25333.058628218154</v>
      </c>
      <c r="P17" s="247">
        <f ca="1">'AI - Compute'!P96</f>
        <v>38385.258358683728</v>
      </c>
      <c r="Q17" s="247">
        <f ca="1">'AI - Compute'!Q96</f>
        <v>48661.657549540592</v>
      </c>
      <c r="R17" s="247">
        <f ca="1">'AI - Compute'!R96</f>
        <v>62144.903993023072</v>
      </c>
      <c r="S17" s="247">
        <f ca="1">'AI - Compute'!S96</f>
        <v>84644.721919776552</v>
      </c>
      <c r="T17" s="247">
        <f>'AI - Compute'!T96</f>
        <v>0</v>
      </c>
      <c r="U17" s="247">
        <f>'AI - Compute'!U96</f>
        <v>0</v>
      </c>
      <c r="V17" s="247">
        <f>'AI - Compute'!V96</f>
        <v>0</v>
      </c>
      <c r="W17" s="247">
        <f>'AI - Compute'!W96</f>
        <v>0</v>
      </c>
      <c r="X17" s="247">
        <f>'AI - Compute'!X96</f>
        <v>0</v>
      </c>
      <c r="Y17" s="247">
        <f>'AI - Compute'!Y96</f>
        <v>0</v>
      </c>
      <c r="Z17" s="247">
        <f>'AI - Compute'!Z96</f>
        <v>0</v>
      </c>
      <c r="AA17" s="247">
        <f>'AI - Compute'!AA96</f>
        <v>0</v>
      </c>
      <c r="AB17" s="247">
        <f>'AI - Compute'!AB96</f>
        <v>0</v>
      </c>
      <c r="AC17" s="247">
        <f>'AI - Compute'!AC96</f>
        <v>0</v>
      </c>
    </row>
    <row r="18" spans="1:29" x14ac:dyDescent="0.2">
      <c r="A18" t="s">
        <v>2155</v>
      </c>
      <c r="D18" s="247">
        <f>'AI - Compute'!D126</f>
        <v>483.065</v>
      </c>
      <c r="E18" s="247">
        <f>'AI - Compute'!E126</f>
        <v>724.62809221999998</v>
      </c>
      <c r="F18" s="247">
        <f>'AI - Compute'!F126</f>
        <v>1089.7173544822087</v>
      </c>
      <c r="G18" s="247">
        <f>'AI - Compute'!G126</f>
        <v>1643.3443176218582</v>
      </c>
      <c r="H18" s="247">
        <f>'AI - Compute'!H126</f>
        <v>2485.9660497527584</v>
      </c>
      <c r="I18" s="247">
        <f>'AI - Compute'!I126</f>
        <v>3773.6146812320112</v>
      </c>
      <c r="J18" s="247">
        <f>'AI - Compute'!J126</f>
        <v>5749.9705587368935</v>
      </c>
      <c r="K18" s="247">
        <f>'AI - Compute'!K126</f>
        <v>8797.782406614966</v>
      </c>
      <c r="L18" s="247">
        <f>'AI - Compute'!L126</f>
        <v>13521.817340419753</v>
      </c>
      <c r="M18" s="247">
        <f>'AI - Compute'!M126</f>
        <v>20883.500557444684</v>
      </c>
      <c r="N18" s="247">
        <f>'AI - Compute'!N126</f>
        <v>32420.783611139574</v>
      </c>
      <c r="O18" s="247">
        <f>'AI - Compute'!O126</f>
        <v>50609.324848202654</v>
      </c>
      <c r="P18" s="247">
        <f>'AI - Compute'!P126</f>
        <v>79459.224904290459</v>
      </c>
      <c r="Q18" s="247">
        <f>'AI - Compute'!Q126</f>
        <v>125506.42630330606</v>
      </c>
      <c r="R18" s="247">
        <f>'AI - Compute'!R126</f>
        <v>199468.60834757259</v>
      </c>
      <c r="S18" s="247">
        <f>'AI - Compute'!S126</f>
        <v>319025.16958873224</v>
      </c>
      <c r="T18" s="247">
        <f>'AI - Compute'!T126</f>
        <v>0</v>
      </c>
      <c r="U18" s="247">
        <f>'AI - Compute'!U126</f>
        <v>0</v>
      </c>
      <c r="V18" s="247">
        <f>'AI - Compute'!V126</f>
        <v>0</v>
      </c>
      <c r="W18" s="247">
        <f>'AI - Compute'!W126</f>
        <v>0</v>
      </c>
      <c r="X18" s="247">
        <f>'AI - Compute'!X126</f>
        <v>0</v>
      </c>
      <c r="Y18" s="247">
        <f>'AI - Compute'!Y126</f>
        <v>0</v>
      </c>
      <c r="Z18" s="247">
        <f>'AI - Compute'!Z126</f>
        <v>0</v>
      </c>
      <c r="AA18" s="247">
        <f>'AI - Compute'!AA126</f>
        <v>0</v>
      </c>
      <c r="AB18" s="247">
        <f>'AI - Compute'!AB126</f>
        <v>0</v>
      </c>
      <c r="AC18" s="247">
        <f>'AI - Compute'!AC126</f>
        <v>0</v>
      </c>
    </row>
    <row r="19" spans="1:29" x14ac:dyDescent="0.2">
      <c r="A19" s="235" t="s">
        <v>2156</v>
      </c>
      <c r="B19" s="235"/>
      <c r="C19" s="235"/>
      <c r="D19" s="249">
        <f ca="1">D16+D17+D18</f>
        <v>483.065</v>
      </c>
      <c r="E19" s="249">
        <f t="shared" ref="E19:AC19" ca="1" si="2">E16+E17+E18</f>
        <v>3324.5486776854018</v>
      </c>
      <c r="F19" s="249">
        <f t="shared" ca="1" si="2"/>
        <v>8258.093203792323</v>
      </c>
      <c r="G19" s="249">
        <f t="shared" ca="1" si="2"/>
        <v>10803.798180795218</v>
      </c>
      <c r="H19" s="249">
        <f t="shared" ca="1" si="2"/>
        <v>19465.017740822652</v>
      </c>
      <c r="I19" s="249">
        <f t="shared" ca="1" si="2"/>
        <v>47484.566164807766</v>
      </c>
      <c r="J19" s="249">
        <f t="shared" ca="1" si="2"/>
        <v>105795.94570867221</v>
      </c>
      <c r="K19" s="249">
        <f t="shared" ca="1" si="2"/>
        <v>160235.37287958449</v>
      </c>
      <c r="L19" s="249">
        <f t="shared" ca="1" si="2"/>
        <v>184931.17716083347</v>
      </c>
      <c r="M19" s="249">
        <f t="shared" ca="1" si="2"/>
        <v>228757.03455152758</v>
      </c>
      <c r="N19" s="249">
        <f t="shared" ca="1" si="2"/>
        <v>309543.41563913337</v>
      </c>
      <c r="O19" s="249">
        <f t="shared" ca="1" si="2"/>
        <v>443381.30339818494</v>
      </c>
      <c r="P19" s="249">
        <f t="shared" ca="1" si="2"/>
        <v>613330.08831753838</v>
      </c>
      <c r="Q19" s="249">
        <f t="shared" ca="1" si="2"/>
        <v>782340.79559172702</v>
      </c>
      <c r="R19" s="249">
        <f t="shared" ca="1" si="2"/>
        <v>1028073.5119250666</v>
      </c>
      <c r="S19" s="249">
        <f t="shared" ca="1" si="2"/>
        <v>1378465.0120286108</v>
      </c>
      <c r="T19" s="249">
        <f t="shared" si="2"/>
        <v>0</v>
      </c>
      <c r="U19" s="249">
        <f t="shared" si="2"/>
        <v>0</v>
      </c>
      <c r="V19" s="249">
        <f t="shared" si="2"/>
        <v>0</v>
      </c>
      <c r="W19" s="249">
        <f t="shared" si="2"/>
        <v>0</v>
      </c>
      <c r="X19" s="249">
        <f t="shared" si="2"/>
        <v>0</v>
      </c>
      <c r="Y19" s="249">
        <f t="shared" si="2"/>
        <v>0</v>
      </c>
      <c r="Z19" s="249">
        <f t="shared" si="2"/>
        <v>0</v>
      </c>
      <c r="AA19" s="249">
        <f t="shared" si="2"/>
        <v>0</v>
      </c>
      <c r="AB19" s="249">
        <f t="shared" si="2"/>
        <v>0</v>
      </c>
      <c r="AC19" s="249">
        <f t="shared" si="2"/>
        <v>0</v>
      </c>
    </row>
    <row r="20" spans="1:29" x14ac:dyDescent="0.2">
      <c r="A20" t="s">
        <v>1535</v>
      </c>
      <c r="D20" s="247">
        <f>'Lunar - Mars'!D81</f>
        <v>0</v>
      </c>
      <c r="E20" s="247">
        <f>'Lunar - Mars'!E81</f>
        <v>0</v>
      </c>
      <c r="F20" s="247">
        <f>'Lunar - Mars'!F81</f>
        <v>0</v>
      </c>
      <c r="G20" s="247">
        <f>'Lunar - Mars'!G81</f>
        <v>0</v>
      </c>
      <c r="H20" s="247">
        <f>'Lunar - Mars'!H81</f>
        <v>0</v>
      </c>
      <c r="I20" s="247">
        <f>'Lunar - Mars'!I81</f>
        <v>0</v>
      </c>
      <c r="J20" s="247">
        <f>'Lunar - Mars'!J81</f>
        <v>0</v>
      </c>
      <c r="K20" s="247">
        <f>'Lunar - Mars'!K81</f>
        <v>0</v>
      </c>
      <c r="L20" s="247">
        <f>'Lunar - Mars'!L81</f>
        <v>0</v>
      </c>
      <c r="M20" s="247">
        <f>'Lunar - Mars'!M81</f>
        <v>0</v>
      </c>
      <c r="N20" s="247">
        <f>'Lunar - Mars'!N81</f>
        <v>0</v>
      </c>
      <c r="O20" s="247">
        <f>'Lunar - Mars'!O81</f>
        <v>0</v>
      </c>
      <c r="P20" s="247">
        <f>'Lunar - Mars'!P81</f>
        <v>0</v>
      </c>
      <c r="Q20" s="247">
        <f>'Lunar - Mars'!Q81</f>
        <v>0</v>
      </c>
      <c r="R20" s="247">
        <f>'Lunar - Mars'!R81</f>
        <v>0</v>
      </c>
      <c r="S20" s="247">
        <f>'Lunar - Mars'!S81</f>
        <v>0</v>
      </c>
      <c r="T20" s="247">
        <f>'Lunar - Mars'!T81</f>
        <v>0</v>
      </c>
      <c r="U20" s="247">
        <f>'Lunar - Mars'!U81</f>
        <v>0</v>
      </c>
      <c r="V20" s="247">
        <f>'Lunar - Mars'!V81</f>
        <v>0</v>
      </c>
      <c r="W20" s="247">
        <f>'Lunar - Mars'!W81</f>
        <v>0</v>
      </c>
      <c r="X20" s="247">
        <f>'Lunar - Mars'!X81</f>
        <v>0</v>
      </c>
      <c r="Y20" s="247">
        <f>'Lunar - Mars'!Y81</f>
        <v>0</v>
      </c>
      <c r="Z20" s="247">
        <f>'Lunar - Mars'!Z81</f>
        <v>0</v>
      </c>
      <c r="AA20" s="247">
        <f>'Lunar - Mars'!AA81</f>
        <v>0</v>
      </c>
      <c r="AB20" s="247">
        <f>'Lunar - Mars'!AB81</f>
        <v>0</v>
      </c>
      <c r="AC20" s="247">
        <f>'Lunar - Mars'!AC81</f>
        <v>0</v>
      </c>
    </row>
    <row r="21" spans="1:29" x14ac:dyDescent="0.2">
      <c r="A21" s="235" t="s">
        <v>2157</v>
      </c>
      <c r="B21" s="235"/>
      <c r="C21" s="235"/>
      <c r="D21" s="249">
        <f>D20</f>
        <v>0</v>
      </c>
      <c r="E21" s="249">
        <f t="shared" ref="E21:AC21" si="3">E20</f>
        <v>0</v>
      </c>
      <c r="F21" s="249">
        <f t="shared" si="3"/>
        <v>0</v>
      </c>
      <c r="G21" s="249">
        <f t="shared" si="3"/>
        <v>0</v>
      </c>
      <c r="H21" s="249">
        <f t="shared" si="3"/>
        <v>0</v>
      </c>
      <c r="I21" s="249">
        <f t="shared" si="3"/>
        <v>0</v>
      </c>
      <c r="J21" s="249">
        <f t="shared" si="3"/>
        <v>0</v>
      </c>
      <c r="K21" s="249">
        <f t="shared" si="3"/>
        <v>0</v>
      </c>
      <c r="L21" s="249">
        <f t="shared" si="3"/>
        <v>0</v>
      </c>
      <c r="M21" s="249">
        <f t="shared" si="3"/>
        <v>0</v>
      </c>
      <c r="N21" s="249">
        <f t="shared" si="3"/>
        <v>0</v>
      </c>
      <c r="O21" s="249">
        <f t="shared" si="3"/>
        <v>0</v>
      </c>
      <c r="P21" s="249">
        <f t="shared" si="3"/>
        <v>0</v>
      </c>
      <c r="Q21" s="249">
        <f t="shared" si="3"/>
        <v>0</v>
      </c>
      <c r="R21" s="249">
        <f t="shared" si="3"/>
        <v>0</v>
      </c>
      <c r="S21" s="249">
        <f t="shared" si="3"/>
        <v>0</v>
      </c>
      <c r="T21" s="249">
        <f t="shared" si="3"/>
        <v>0</v>
      </c>
      <c r="U21" s="249">
        <f t="shared" si="3"/>
        <v>0</v>
      </c>
      <c r="V21" s="249">
        <f t="shared" si="3"/>
        <v>0</v>
      </c>
      <c r="W21" s="249">
        <f t="shared" si="3"/>
        <v>0</v>
      </c>
      <c r="X21" s="249">
        <f t="shared" si="3"/>
        <v>0</v>
      </c>
      <c r="Y21" s="249">
        <f t="shared" si="3"/>
        <v>0</v>
      </c>
      <c r="Z21" s="249">
        <f t="shared" si="3"/>
        <v>0</v>
      </c>
      <c r="AA21" s="249">
        <f t="shared" si="3"/>
        <v>0</v>
      </c>
      <c r="AB21" s="249">
        <f t="shared" si="3"/>
        <v>0</v>
      </c>
      <c r="AC21" s="249">
        <f t="shared" si="3"/>
        <v>0</v>
      </c>
    </row>
    <row r="22" spans="1:29" x14ac:dyDescent="0.2">
      <c r="A22" t="s">
        <v>833</v>
      </c>
      <c r="D22" s="247">
        <f>'Group P&amp;L'!D13</f>
        <v>0</v>
      </c>
      <c r="E22" s="247">
        <f>'Group P&amp;L'!E13</f>
        <v>0</v>
      </c>
      <c r="F22" s="247">
        <f>'Group P&amp;L'!F13</f>
        <v>0</v>
      </c>
      <c r="G22" s="247">
        <f>'Group P&amp;L'!G13</f>
        <v>0</v>
      </c>
      <c r="H22" s="247">
        <f>'Group P&amp;L'!H13</f>
        <v>0</v>
      </c>
      <c r="I22" s="247">
        <f>'Group P&amp;L'!I13</f>
        <v>0</v>
      </c>
      <c r="J22" s="247">
        <f>'Group P&amp;L'!J13</f>
        <v>0</v>
      </c>
      <c r="K22" s="247">
        <f>'Group P&amp;L'!K13</f>
        <v>0</v>
      </c>
      <c r="L22" s="247">
        <f>'Group P&amp;L'!L13</f>
        <v>0</v>
      </c>
      <c r="M22" s="247">
        <f>'Group P&amp;L'!M13</f>
        <v>0</v>
      </c>
      <c r="N22" s="247">
        <f>'Group P&amp;L'!N13</f>
        <v>0</v>
      </c>
      <c r="O22" s="247">
        <f>'Group P&amp;L'!O13</f>
        <v>0</v>
      </c>
      <c r="P22" s="247">
        <f>'Group P&amp;L'!P13</f>
        <v>0</v>
      </c>
      <c r="Q22" s="247">
        <f>'Group P&amp;L'!Q13</f>
        <v>0</v>
      </c>
      <c r="R22" s="247">
        <f>'Group P&amp;L'!R13</f>
        <v>0</v>
      </c>
      <c r="S22" s="247">
        <f>'Group P&amp;L'!S13</f>
        <v>0</v>
      </c>
      <c r="T22" s="247">
        <f>'Group P&amp;L'!T13</f>
        <v>0</v>
      </c>
      <c r="U22" s="247">
        <f>'Group P&amp;L'!U13</f>
        <v>0</v>
      </c>
      <c r="V22" s="247">
        <f>'Group P&amp;L'!V13</f>
        <v>0</v>
      </c>
      <c r="W22" s="247">
        <f>'Group P&amp;L'!W13</f>
        <v>0</v>
      </c>
      <c r="X22" s="247">
        <f>'Group P&amp;L'!X13</f>
        <v>0</v>
      </c>
      <c r="Y22" s="247">
        <f>'Group P&amp;L'!Y13</f>
        <v>0</v>
      </c>
      <c r="Z22" s="247">
        <f>'Group P&amp;L'!Z13</f>
        <v>0</v>
      </c>
      <c r="AA22" s="247">
        <f>'Group P&amp;L'!AA13</f>
        <v>0</v>
      </c>
      <c r="AB22" s="247">
        <f>'Group P&amp;L'!AB13</f>
        <v>0</v>
      </c>
      <c r="AC22" s="247">
        <f>'Group P&amp;L'!AC13</f>
        <v>0</v>
      </c>
    </row>
    <row r="23" spans="1:29" x14ac:dyDescent="0.2">
      <c r="A23" s="235" t="s">
        <v>834</v>
      </c>
      <c r="B23" s="235"/>
      <c r="C23" s="235"/>
      <c r="D23" s="249">
        <f ca="1">D12+D15+D19+D21+D22</f>
        <v>14461.389830359478</v>
      </c>
      <c r="E23" s="249">
        <f t="shared" ref="E23:AC23" ca="1" si="4">E12+E15+E19+E21+E22</f>
        <v>23765.238531318886</v>
      </c>
      <c r="F23" s="249">
        <f t="shared" ca="1" si="4"/>
        <v>76087.189602633283</v>
      </c>
      <c r="G23" s="249">
        <f t="shared" ca="1" si="4"/>
        <v>132955.85061999588</v>
      </c>
      <c r="H23" s="249">
        <f t="shared" ca="1" si="4"/>
        <v>210772.32801826874</v>
      </c>
      <c r="I23" s="249">
        <f t="shared" ca="1" si="4"/>
        <v>285043.56240807043</v>
      </c>
      <c r="J23" s="249">
        <f t="shared" ca="1" si="4"/>
        <v>389591.34862066183</v>
      </c>
      <c r="K23" s="249">
        <f t="shared" ca="1" si="4"/>
        <v>459225.75897234323</v>
      </c>
      <c r="L23" s="249">
        <f t="shared" ca="1" si="4"/>
        <v>496467.68253111665</v>
      </c>
      <c r="M23" s="249">
        <f t="shared" ca="1" si="4"/>
        <v>550400.6674966662</v>
      </c>
      <c r="N23" s="249">
        <f t="shared" ca="1" si="4"/>
        <v>654051.41670097481</v>
      </c>
      <c r="O23" s="249">
        <f t="shared" ca="1" si="4"/>
        <v>807850.81816132064</v>
      </c>
      <c r="P23" s="249">
        <f t="shared" ca="1" si="4"/>
        <v>996952.44438955234</v>
      </c>
      <c r="Q23" s="249">
        <f t="shared" ca="1" si="4"/>
        <v>1173797.1249223978</v>
      </c>
      <c r="R23" s="249">
        <f t="shared" ca="1" si="4"/>
        <v>1426058.1549557641</v>
      </c>
      <c r="S23" s="249">
        <f t="shared" ca="1" si="4"/>
        <v>1761968.5708536203</v>
      </c>
      <c r="T23" s="249">
        <f t="shared" si="4"/>
        <v>0</v>
      </c>
      <c r="U23" s="249">
        <f t="shared" si="4"/>
        <v>0</v>
      </c>
      <c r="V23" s="249">
        <f t="shared" si="4"/>
        <v>0</v>
      </c>
      <c r="W23" s="249">
        <f t="shared" si="4"/>
        <v>0</v>
      </c>
      <c r="X23" s="249">
        <f t="shared" si="4"/>
        <v>0</v>
      </c>
      <c r="Y23" s="249">
        <f t="shared" si="4"/>
        <v>0</v>
      </c>
      <c r="Z23" s="249">
        <f t="shared" si="4"/>
        <v>0</v>
      </c>
      <c r="AA23" s="249">
        <f t="shared" si="4"/>
        <v>0</v>
      </c>
      <c r="AB23" s="249">
        <f t="shared" si="4"/>
        <v>0</v>
      </c>
      <c r="AC23" s="249">
        <f t="shared" si="4"/>
        <v>0</v>
      </c>
    </row>
    <row r="24" spans="1:29" x14ac:dyDescent="0.2"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</row>
    <row r="25" spans="1:29" x14ac:dyDescent="0.2">
      <c r="A25" s="248" t="s">
        <v>835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</row>
    <row r="26" spans="1:29" x14ac:dyDescent="0.2">
      <c r="A26" t="s">
        <v>1536</v>
      </c>
      <c r="D26" s="247">
        <f>'Group P&amp;L'!D17</f>
        <v>4281.2917237996735</v>
      </c>
      <c r="E26" s="247">
        <f ca="1">'Group P&amp;L'!E17</f>
        <v>4360.8897489105148</v>
      </c>
      <c r="F26" s="247">
        <f ca="1">'Group P&amp;L'!F17</f>
        <v>19122.254191024942</v>
      </c>
      <c r="G26" s="247">
        <f ca="1">'Group P&amp;L'!G17</f>
        <v>33095.232783074687</v>
      </c>
      <c r="H26" s="247">
        <f ca="1">'Group P&amp;L'!H17</f>
        <v>47545.724733424337</v>
      </c>
      <c r="I26" s="247">
        <f ca="1">'Group P&amp;L'!I17</f>
        <v>38237.80704434686</v>
      </c>
      <c r="J26" s="247">
        <f ca="1">'Group P&amp;L'!J17</f>
        <v>40351.625069298592</v>
      </c>
      <c r="K26" s="247">
        <f ca="1">'Group P&amp;L'!K17</f>
        <v>23066.209928844946</v>
      </c>
      <c r="L26" s="247">
        <f ca="1">'Group P&amp;L'!L17</f>
        <v>21714.531731674935</v>
      </c>
      <c r="M26" s="247">
        <f ca="1">'Group P&amp;L'!M17</f>
        <v>21757.357904639583</v>
      </c>
      <c r="N26" s="247">
        <f ca="1">'Group P&amp;L'!N17</f>
        <v>29014.306227632245</v>
      </c>
      <c r="O26" s="247">
        <f ca="1">'Group P&amp;L'!O17</f>
        <v>30368.005497032849</v>
      </c>
      <c r="P26" s="247">
        <f ca="1">'Group P&amp;L'!P17</f>
        <v>30267.589467467722</v>
      </c>
      <c r="Q26" s="247">
        <f ca="1">'Group P&amp;L'!Q17</f>
        <v>23761.53228885723</v>
      </c>
      <c r="R26" s="247">
        <f ca="1">'Group P&amp;L'!R17</f>
        <v>20488.801037435605</v>
      </c>
      <c r="S26" s="247">
        <f ca="1">'Group P&amp;L'!S17</f>
        <v>19002.833645223971</v>
      </c>
      <c r="T26" s="247">
        <f>'Group P&amp;L'!T17</f>
        <v>0</v>
      </c>
      <c r="U26" s="247">
        <f>'Group P&amp;L'!U17</f>
        <v>0</v>
      </c>
      <c r="V26" s="247">
        <f>'Group P&amp;L'!V17</f>
        <v>0</v>
      </c>
      <c r="W26" s="247">
        <f>'Group P&amp;L'!W17</f>
        <v>0</v>
      </c>
      <c r="X26" s="247">
        <f>'Group P&amp;L'!X17</f>
        <v>0</v>
      </c>
      <c r="Y26" s="247">
        <f>'Group P&amp;L'!Y17</f>
        <v>0</v>
      </c>
      <c r="Z26" s="247">
        <f>'Group P&amp;L'!Z17</f>
        <v>0</v>
      </c>
      <c r="AA26" s="247">
        <f>'Group P&amp;L'!AA17</f>
        <v>0</v>
      </c>
      <c r="AB26" s="247">
        <f>'Group P&amp;L'!AB17</f>
        <v>0</v>
      </c>
      <c r="AC26" s="247">
        <f>'Group P&amp;L'!AC17</f>
        <v>0</v>
      </c>
    </row>
    <row r="27" spans="1:29" x14ac:dyDescent="0.2">
      <c r="A27" t="s">
        <v>1537</v>
      </c>
      <c r="D27" s="247">
        <f ca="1">'Group P&amp;L'!D18</f>
        <v>714.29399999999987</v>
      </c>
      <c r="E27" s="247">
        <f ca="1">'Group P&amp;L'!E18</f>
        <v>1873.8090000000002</v>
      </c>
      <c r="F27" s="247">
        <f ca="1">'Group P&amp;L'!F18</f>
        <v>4318.0486499167891</v>
      </c>
      <c r="G27" s="247">
        <f ca="1">'Group P&amp;L'!G18</f>
        <v>4722.9165513729513</v>
      </c>
      <c r="H27" s="247">
        <f ca="1">'Group P&amp;L'!H18</f>
        <v>5241.801428545099</v>
      </c>
      <c r="I27" s="247">
        <f ca="1">'Group P&amp;L'!I18</f>
        <v>5801.1229611562503</v>
      </c>
      <c r="J27" s="247">
        <f ca="1">'Group P&amp;L'!J18</f>
        <v>5744.9101092140627</v>
      </c>
      <c r="K27" s="247">
        <f ca="1">'Group P&amp;L'!K18</f>
        <v>9736.7018276220788</v>
      </c>
      <c r="L27" s="247">
        <f ca="1">'Group P&amp;L'!L18</f>
        <v>10655.647366638075</v>
      </c>
      <c r="M27" s="247">
        <f ca="1">'Group P&amp;L'!M18</f>
        <v>11444.730692240677</v>
      </c>
      <c r="N27" s="247">
        <f ca="1">'Group P&amp;L'!N18</f>
        <v>12199.518656187425</v>
      </c>
      <c r="O27" s="247">
        <f ca="1">'Group P&amp;L'!O18</f>
        <v>12975.867659483538</v>
      </c>
      <c r="P27" s="247">
        <f ca="1">'Group P&amp;L'!P18</f>
        <v>13797.035389427312</v>
      </c>
      <c r="Q27" s="247">
        <f ca="1">'Group P&amp;L'!Q18</f>
        <v>14677.013247163595</v>
      </c>
      <c r="R27" s="247">
        <f ca="1">'Group P&amp;L'!R18</f>
        <v>15513.974625062998</v>
      </c>
      <c r="S27" s="247">
        <f ca="1">'Group P&amp;L'!S18</f>
        <v>345.65870856378569</v>
      </c>
      <c r="T27" s="247">
        <f>'Group P&amp;L'!T18</f>
        <v>0</v>
      </c>
      <c r="U27" s="247">
        <f>'Group P&amp;L'!U18</f>
        <v>0</v>
      </c>
      <c r="V27" s="247">
        <f>'Group P&amp;L'!V18</f>
        <v>0</v>
      </c>
      <c r="W27" s="247">
        <f>'Group P&amp;L'!W18</f>
        <v>0</v>
      </c>
      <c r="X27" s="247">
        <f>'Group P&amp;L'!X18</f>
        <v>0</v>
      </c>
      <c r="Y27" s="247">
        <f>'Group P&amp;L'!Y18</f>
        <v>0</v>
      </c>
      <c r="Z27" s="247">
        <f>'Group P&amp;L'!Z18</f>
        <v>0</v>
      </c>
      <c r="AA27" s="247">
        <f>'Group P&amp;L'!AA18</f>
        <v>0</v>
      </c>
      <c r="AB27" s="247">
        <f>'Group P&amp;L'!AB18</f>
        <v>0</v>
      </c>
      <c r="AC27" s="247">
        <f>'Group P&amp;L'!AC18</f>
        <v>0</v>
      </c>
    </row>
    <row r="28" spans="1:29" x14ac:dyDescent="0.2">
      <c r="A28" t="s">
        <v>1538</v>
      </c>
      <c r="D28" s="247">
        <f ca="1">'Group P&amp;L'!D19</f>
        <v>0</v>
      </c>
      <c r="E28" s="247">
        <f ca="1">'Group P&amp;L'!E19</f>
        <v>137.2496886522043</v>
      </c>
      <c r="F28" s="247">
        <f ca="1">'Group P&amp;L'!F19</f>
        <v>391.89176034558415</v>
      </c>
      <c r="G28" s="247">
        <f ca="1">'Group P&amp;L'!G19</f>
        <v>648.89518188224861</v>
      </c>
      <c r="H28" s="247">
        <f ca="1">'Group P&amp;L'!H19</f>
        <v>1118.0997900925865</v>
      </c>
      <c r="I28" s="247">
        <f ca="1">'Group P&amp;L'!I19</f>
        <v>2218.9356411042932</v>
      </c>
      <c r="J28" s="247">
        <f ca="1">'Group P&amp;L'!J19</f>
        <v>4182.3495884036147</v>
      </c>
      <c r="K28" s="247">
        <f ca="1">'Group P&amp;L'!K19</f>
        <v>5713.640860755534</v>
      </c>
      <c r="L28" s="247">
        <f ca="1">'Group P&amp;L'!L19</f>
        <v>5732.5018478283346</v>
      </c>
      <c r="M28" s="247">
        <f ca="1">'Group P&amp;L'!M19</f>
        <v>6936.4617707655962</v>
      </c>
      <c r="N28" s="247">
        <f ca="1">'Group P&amp;L'!N19</f>
        <v>9190.2484438719639</v>
      </c>
      <c r="O28" s="247">
        <f ca="1">'Group P&amp;L'!O19</f>
        <v>12839.530556179601</v>
      </c>
      <c r="P28" s="247">
        <f ca="1">'Group P&amp;L'!P19</f>
        <v>17157.727136022244</v>
      </c>
      <c r="Q28" s="247">
        <f ca="1">'Group P&amp;L'!Q19</f>
        <v>20947.178005517002</v>
      </c>
      <c r="R28" s="247">
        <f ca="1">'Group P&amp;L'!R19</f>
        <v>27179.716773329215</v>
      </c>
      <c r="S28" s="247">
        <f ca="1">'Group P&amp;L'!S19</f>
        <v>36113.428749042512</v>
      </c>
      <c r="T28" s="247">
        <f>'Group P&amp;L'!T19</f>
        <v>0</v>
      </c>
      <c r="U28" s="247">
        <f>'Group P&amp;L'!U19</f>
        <v>0</v>
      </c>
      <c r="V28" s="247">
        <f>'Group P&amp;L'!V19</f>
        <v>0</v>
      </c>
      <c r="W28" s="247">
        <f>'Group P&amp;L'!W19</f>
        <v>0</v>
      </c>
      <c r="X28" s="247">
        <f>'Group P&amp;L'!X19</f>
        <v>0</v>
      </c>
      <c r="Y28" s="247">
        <f>'Group P&amp;L'!Y19</f>
        <v>0</v>
      </c>
      <c r="Z28" s="247">
        <f>'Group P&amp;L'!Z19</f>
        <v>0</v>
      </c>
      <c r="AA28" s="247">
        <f>'Group P&amp;L'!AA19</f>
        <v>0</v>
      </c>
      <c r="AB28" s="247">
        <f>'Group P&amp;L'!AB19</f>
        <v>0</v>
      </c>
      <c r="AC28" s="247">
        <f>'Group P&amp;L'!AC19</f>
        <v>0</v>
      </c>
    </row>
    <row r="29" spans="1:29" x14ac:dyDescent="0.2">
      <c r="A29" t="s">
        <v>1539</v>
      </c>
      <c r="D29" s="247">
        <f>'Group P&amp;L'!D20</f>
        <v>0</v>
      </c>
      <c r="E29" s="247">
        <f>'Group P&amp;L'!E20</f>
        <v>0</v>
      </c>
      <c r="F29" s="247">
        <f>'Group P&amp;L'!F20</f>
        <v>0</v>
      </c>
      <c r="G29" s="247">
        <f>'Group P&amp;L'!G20</f>
        <v>0</v>
      </c>
      <c r="H29" s="247">
        <f>'Group P&amp;L'!H20</f>
        <v>0</v>
      </c>
      <c r="I29" s="247">
        <f>'Group P&amp;L'!I20</f>
        <v>0</v>
      </c>
      <c r="J29" s="247">
        <f>'Group P&amp;L'!J20</f>
        <v>0</v>
      </c>
      <c r="K29" s="247">
        <f>'Group P&amp;L'!K20</f>
        <v>0</v>
      </c>
      <c r="L29" s="247">
        <f>'Group P&amp;L'!L20</f>
        <v>0</v>
      </c>
      <c r="M29" s="247">
        <f>'Group P&amp;L'!M20</f>
        <v>0</v>
      </c>
      <c r="N29" s="247">
        <f>'Group P&amp;L'!N20</f>
        <v>0</v>
      </c>
      <c r="O29" s="247">
        <f>'Group P&amp;L'!O20</f>
        <v>0</v>
      </c>
      <c r="P29" s="247">
        <f>'Group P&amp;L'!P20</f>
        <v>0</v>
      </c>
      <c r="Q29" s="247">
        <f>'Group P&amp;L'!Q20</f>
        <v>0</v>
      </c>
      <c r="R29" s="247">
        <f>'Group P&amp;L'!R20</f>
        <v>0</v>
      </c>
      <c r="S29" s="247">
        <f>'Group P&amp;L'!S20</f>
        <v>0</v>
      </c>
      <c r="T29" s="247">
        <f>'Group P&amp;L'!T20</f>
        <v>0</v>
      </c>
      <c r="U29" s="247">
        <f>'Group P&amp;L'!U20</f>
        <v>0</v>
      </c>
      <c r="V29" s="247">
        <f>'Group P&amp;L'!V20</f>
        <v>0</v>
      </c>
      <c r="W29" s="247">
        <f>'Group P&amp;L'!W20</f>
        <v>0</v>
      </c>
      <c r="X29" s="247">
        <f>'Group P&amp;L'!X20</f>
        <v>0</v>
      </c>
      <c r="Y29" s="247">
        <f>'Group P&amp;L'!Y20</f>
        <v>0</v>
      </c>
      <c r="Z29" s="247">
        <f>'Group P&amp;L'!Z20</f>
        <v>0</v>
      </c>
      <c r="AA29" s="247">
        <f>'Group P&amp;L'!AA20</f>
        <v>0</v>
      </c>
      <c r="AB29" s="247">
        <f>'Group P&amp;L'!AB20</f>
        <v>0</v>
      </c>
      <c r="AC29" s="247">
        <f>'Group P&amp;L'!AC20</f>
        <v>0</v>
      </c>
    </row>
    <row r="30" spans="1:29" x14ac:dyDescent="0.2">
      <c r="A30" t="s">
        <v>833</v>
      </c>
      <c r="D30" s="247">
        <f>'Group P&amp;L'!D21</f>
        <v>0</v>
      </c>
      <c r="E30" s="247">
        <f>'Group P&amp;L'!E21</f>
        <v>0</v>
      </c>
      <c r="F30" s="247">
        <f>'Group P&amp;L'!F21</f>
        <v>0</v>
      </c>
      <c r="G30" s="247">
        <f>'Group P&amp;L'!G21</f>
        <v>0</v>
      </c>
      <c r="H30" s="247">
        <f>'Group P&amp;L'!H21</f>
        <v>0</v>
      </c>
      <c r="I30" s="247">
        <f>'Group P&amp;L'!I21</f>
        <v>0</v>
      </c>
      <c r="J30" s="247">
        <f>'Group P&amp;L'!J21</f>
        <v>0</v>
      </c>
      <c r="K30" s="247">
        <f>'Group P&amp;L'!K21</f>
        <v>0</v>
      </c>
      <c r="L30" s="247">
        <f>'Group P&amp;L'!L21</f>
        <v>0</v>
      </c>
      <c r="M30" s="247">
        <f>'Group P&amp;L'!M21</f>
        <v>0</v>
      </c>
      <c r="N30" s="247">
        <f>'Group P&amp;L'!N21</f>
        <v>0</v>
      </c>
      <c r="O30" s="247">
        <f>'Group P&amp;L'!O21</f>
        <v>0</v>
      </c>
      <c r="P30" s="247">
        <f>'Group P&amp;L'!P21</f>
        <v>0</v>
      </c>
      <c r="Q30" s="247">
        <f>'Group P&amp;L'!Q21</f>
        <v>0</v>
      </c>
      <c r="R30" s="247">
        <f>'Group P&amp;L'!R21</f>
        <v>0</v>
      </c>
      <c r="S30" s="247">
        <f>'Group P&amp;L'!S21</f>
        <v>0</v>
      </c>
      <c r="T30" s="247">
        <f>'Group P&amp;L'!T21</f>
        <v>0</v>
      </c>
      <c r="U30" s="247">
        <f>'Group P&amp;L'!U21</f>
        <v>0</v>
      </c>
      <c r="V30" s="247">
        <f>'Group P&amp;L'!V21</f>
        <v>0</v>
      </c>
      <c r="W30" s="247">
        <f>'Group P&amp;L'!W21</f>
        <v>0</v>
      </c>
      <c r="X30" s="247">
        <f>'Group P&amp;L'!X21</f>
        <v>0</v>
      </c>
      <c r="Y30" s="247">
        <f>'Group P&amp;L'!Y21</f>
        <v>0</v>
      </c>
      <c r="Z30" s="247">
        <f>'Group P&amp;L'!Z21</f>
        <v>0</v>
      </c>
      <c r="AA30" s="247">
        <f>'Group P&amp;L'!AA21</f>
        <v>0</v>
      </c>
      <c r="AB30" s="247">
        <f>'Group P&amp;L'!AB21</f>
        <v>0</v>
      </c>
      <c r="AC30" s="247">
        <f>'Group P&amp;L'!AC21</f>
        <v>0</v>
      </c>
    </row>
    <row r="31" spans="1:29" x14ac:dyDescent="0.2">
      <c r="A31" s="235" t="s">
        <v>836</v>
      </c>
      <c r="B31" s="235"/>
      <c r="C31" s="235"/>
      <c r="D31" s="249">
        <f ca="1">'Group P&amp;L'!D22</f>
        <v>4995.5857237996734</v>
      </c>
      <c r="E31" s="249">
        <f ca="1">'Group P&amp;L'!E22</f>
        <v>6371.9484375627189</v>
      </c>
      <c r="F31" s="249">
        <f ca="1">'Group P&amp;L'!F22</f>
        <v>23832.194601287316</v>
      </c>
      <c r="G31" s="249">
        <f ca="1">'Group P&amp;L'!G22</f>
        <v>38467.044516329886</v>
      </c>
      <c r="H31" s="249">
        <f ca="1">'Group P&amp;L'!H22</f>
        <v>53905.625952062022</v>
      </c>
      <c r="I31" s="249">
        <f ca="1">'Group P&amp;L'!I22</f>
        <v>46257.865646607403</v>
      </c>
      <c r="J31" s="249">
        <f ca="1">'Group P&amp;L'!J22</f>
        <v>50278.884766916271</v>
      </c>
      <c r="K31" s="249">
        <f ca="1">'Group P&amp;L'!K22</f>
        <v>38516.552617222558</v>
      </c>
      <c r="L31" s="249">
        <f ca="1">'Group P&amp;L'!L22</f>
        <v>38102.68094614135</v>
      </c>
      <c r="M31" s="249">
        <f ca="1">'Group P&amp;L'!M22</f>
        <v>40138.550367645861</v>
      </c>
      <c r="N31" s="249">
        <f ca="1">'Group P&amp;L'!N22</f>
        <v>50404.073327691636</v>
      </c>
      <c r="O31" s="249">
        <f ca="1">'Group P&amp;L'!O22</f>
        <v>56183.403712695988</v>
      </c>
      <c r="P31" s="249">
        <f ca="1">'Group P&amp;L'!P22</f>
        <v>61222.351992917276</v>
      </c>
      <c r="Q31" s="249">
        <f ca="1">'Group P&amp;L'!Q22</f>
        <v>59385.723541537831</v>
      </c>
      <c r="R31" s="249">
        <f ca="1">'Group P&amp;L'!R22</f>
        <v>63182.492435827822</v>
      </c>
      <c r="S31" s="249">
        <f ca="1">'Group P&amp;L'!S22</f>
        <v>55461.921102830267</v>
      </c>
      <c r="T31" s="249">
        <f>'Group P&amp;L'!T22</f>
        <v>0</v>
      </c>
      <c r="U31" s="249">
        <f>'Group P&amp;L'!U22</f>
        <v>0</v>
      </c>
      <c r="V31" s="249">
        <f>'Group P&amp;L'!V22</f>
        <v>0</v>
      </c>
      <c r="W31" s="249">
        <f>'Group P&amp;L'!W22</f>
        <v>0</v>
      </c>
      <c r="X31" s="249">
        <f>'Group P&amp;L'!X22</f>
        <v>0</v>
      </c>
      <c r="Y31" s="249">
        <f>'Group P&amp;L'!Y22</f>
        <v>0</v>
      </c>
      <c r="Z31" s="249">
        <f>'Group P&amp;L'!Z22</f>
        <v>0</v>
      </c>
      <c r="AA31" s="249">
        <f>'Group P&amp;L'!AA22</f>
        <v>0</v>
      </c>
      <c r="AB31" s="249">
        <f>'Group P&amp;L'!AB22</f>
        <v>0</v>
      </c>
      <c r="AC31" s="249">
        <f>'Group P&amp;L'!AC22</f>
        <v>0</v>
      </c>
    </row>
    <row r="32" spans="1:29" x14ac:dyDescent="0.2"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</row>
    <row r="33" spans="1:29" x14ac:dyDescent="0.2">
      <c r="A33" s="248" t="s">
        <v>837</v>
      </c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247"/>
    </row>
    <row r="34" spans="1:29" x14ac:dyDescent="0.2">
      <c r="A34" t="s">
        <v>1540</v>
      </c>
      <c r="D34" s="247">
        <f>'Group P&amp;L'!D25</f>
        <v>6597.8331065598031</v>
      </c>
      <c r="E34" s="247">
        <f ca="1">'Group P&amp;L'!E25</f>
        <v>9891.1001047229693</v>
      </c>
      <c r="F34" s="247">
        <f ca="1">'Group P&amp;L'!F25</f>
        <v>36070.801167816018</v>
      </c>
      <c r="G34" s="247">
        <f ca="1">'Group P&amp;L'!G25</f>
        <v>75295.537714463047</v>
      </c>
      <c r="H34" s="247">
        <f ca="1">'Group P&amp;L'!H25</f>
        <v>128573.93301912912</v>
      </c>
      <c r="I34" s="247">
        <f ca="1">'Group P&amp;L'!I25</f>
        <v>182598.00403954083</v>
      </c>
      <c r="J34" s="247">
        <f ca="1">'Group P&amp;L'!J25</f>
        <v>226788.63342534727</v>
      </c>
      <c r="K34" s="247">
        <f ca="1">'Group P&amp;L'!K25</f>
        <v>252249.17975780659</v>
      </c>
      <c r="L34" s="247">
        <f ca="1">'Group P&amp;L'!L25</f>
        <v>265834.74499143224</v>
      </c>
      <c r="M34" s="247">
        <f ca="1">'Group P&amp;L'!M25</f>
        <v>275948.12714747549</v>
      </c>
      <c r="N34" s="247">
        <f ca="1">'Group P&amp;L'!N25</f>
        <v>291713.13848632656</v>
      </c>
      <c r="O34" s="247">
        <f ca="1">'Group P&amp;L'!O25</f>
        <v>310487.92802315939</v>
      </c>
      <c r="P34" s="247">
        <f ca="1">'Group P&amp;L'!P25</f>
        <v>329892.80843139696</v>
      </c>
      <c r="Q34" s="247">
        <f ca="1">'Group P&amp;L'!Q25</f>
        <v>344372.46406606963</v>
      </c>
      <c r="R34" s="247">
        <f ca="1">'Group P&amp;L'!R25</f>
        <v>353997.70674781251</v>
      </c>
      <c r="S34" s="247">
        <f ca="1">'Group P&amp;L'!S25</f>
        <v>361032.7436288743</v>
      </c>
      <c r="T34" s="247">
        <f>'Group P&amp;L'!T25</f>
        <v>0</v>
      </c>
      <c r="U34" s="247">
        <f>'Group P&amp;L'!U25</f>
        <v>0</v>
      </c>
      <c r="V34" s="247">
        <f>'Group P&amp;L'!V25</f>
        <v>0</v>
      </c>
      <c r="W34" s="247">
        <f>'Group P&amp;L'!W25</f>
        <v>0</v>
      </c>
      <c r="X34" s="247">
        <f>'Group P&amp;L'!X25</f>
        <v>0</v>
      </c>
      <c r="Y34" s="247">
        <f>'Group P&amp;L'!Y25</f>
        <v>0</v>
      </c>
      <c r="Z34" s="247">
        <f>'Group P&amp;L'!Z25</f>
        <v>0</v>
      </c>
      <c r="AA34" s="247">
        <f>'Group P&amp;L'!AA25</f>
        <v>0</v>
      </c>
      <c r="AB34" s="247">
        <f>'Group P&amp;L'!AB25</f>
        <v>0</v>
      </c>
      <c r="AC34" s="247">
        <f>'Group P&amp;L'!AC25</f>
        <v>0</v>
      </c>
    </row>
    <row r="35" spans="1:29" x14ac:dyDescent="0.2">
      <c r="A35" t="s">
        <v>1541</v>
      </c>
      <c r="D35" s="247">
        <f ca="1">'Group P&amp;L'!D26</f>
        <v>2384.9059999999999</v>
      </c>
      <c r="E35" s="247">
        <f ca="1">'Group P&amp;L'!E26</f>
        <v>4314.8909999999996</v>
      </c>
      <c r="F35" s="247">
        <f ca="1">'Group P&amp;L'!F26</f>
        <v>8317.9923900832109</v>
      </c>
      <c r="G35" s="247">
        <f ca="1">'Group P&amp;L'!G26</f>
        <v>9038.3653902899568</v>
      </c>
      <c r="H35" s="247">
        <f ca="1">'Group P&amp;L'!H26</f>
        <v>9945.8510963475183</v>
      </c>
      <c r="I35" s="247">
        <f ca="1">'Group P&amp;L'!I26</f>
        <v>10922.062198218749</v>
      </c>
      <c r="J35" s="247">
        <f ca="1">'Group P&amp;L'!J26</f>
        <v>10910.234308129686</v>
      </c>
      <c r="K35" s="247">
        <f ca="1">'Group P&amp;L'!K26</f>
        <v>13938.29457848512</v>
      </c>
      <c r="L35" s="247">
        <f ca="1">'Group P&amp;L'!L26</f>
        <v>13331.58128053797</v>
      </c>
      <c r="M35" s="247">
        <f ca="1">'Group P&amp;L'!M26</f>
        <v>12493.41720078288</v>
      </c>
      <c r="N35" s="247">
        <f ca="1">'Group P&amp;L'!N26</f>
        <v>11581.037691695146</v>
      </c>
      <c r="O35" s="247">
        <f ca="1">'Group P&amp;L'!O26</f>
        <v>10637.713583459954</v>
      </c>
      <c r="P35" s="247">
        <f ca="1">'Group P&amp;L'!P26</f>
        <v>9664.9227837220369</v>
      </c>
      <c r="Q35" s="247">
        <f ca="1">'Group P&amp;L'!Q26</f>
        <v>8645.319728580329</v>
      </c>
      <c r="R35" s="247">
        <f ca="1">'Group P&amp;L'!R26</f>
        <v>7984.160620386363</v>
      </c>
      <c r="S35" s="247">
        <f ca="1">'Group P&amp;L'!S26</f>
        <v>3122.3228423473852</v>
      </c>
      <c r="T35" s="247">
        <f>'Group P&amp;L'!T26</f>
        <v>0</v>
      </c>
      <c r="U35" s="247">
        <f>'Group P&amp;L'!U26</f>
        <v>0</v>
      </c>
      <c r="V35" s="247">
        <f>'Group P&amp;L'!V26</f>
        <v>0</v>
      </c>
      <c r="W35" s="247">
        <f>'Group P&amp;L'!W26</f>
        <v>0</v>
      </c>
      <c r="X35" s="247">
        <f>'Group P&amp;L'!X26</f>
        <v>0</v>
      </c>
      <c r="Y35" s="247">
        <f>'Group P&amp;L'!Y26</f>
        <v>0</v>
      </c>
      <c r="Z35" s="247">
        <f>'Group P&amp;L'!Z26</f>
        <v>0</v>
      </c>
      <c r="AA35" s="247">
        <f>'Group P&amp;L'!AA26</f>
        <v>0</v>
      </c>
      <c r="AB35" s="247">
        <f>'Group P&amp;L'!AB26</f>
        <v>0</v>
      </c>
      <c r="AC35" s="247">
        <f>'Group P&amp;L'!AC26</f>
        <v>0</v>
      </c>
    </row>
    <row r="36" spans="1:29" x14ac:dyDescent="0.2">
      <c r="A36" t="s">
        <v>1542</v>
      </c>
      <c r="D36" s="247">
        <f ca="1">'Group P&amp;L'!D27</f>
        <v>483.065</v>
      </c>
      <c r="E36" s="247">
        <f ca="1">'Group P&amp;L'!E27</f>
        <v>3187.2989890331974</v>
      </c>
      <c r="F36" s="247">
        <f ca="1">'Group P&amp;L'!F27</f>
        <v>7866.2014434467392</v>
      </c>
      <c r="G36" s="247">
        <f ca="1">'Group P&amp;L'!G27</f>
        <v>10154.90299891297</v>
      </c>
      <c r="H36" s="247">
        <f ca="1">'Group P&amp;L'!H27</f>
        <v>18346.917950730065</v>
      </c>
      <c r="I36" s="247">
        <f ca="1">'Group P&amp;L'!I27</f>
        <v>45265.630523703476</v>
      </c>
      <c r="J36" s="247">
        <f ca="1">'Group P&amp;L'!J27</f>
        <v>101613.5961202686</v>
      </c>
      <c r="K36" s="247">
        <f ca="1">'Group P&amp;L'!K27</f>
        <v>154521.73201882897</v>
      </c>
      <c r="L36" s="247">
        <f ca="1">'Group P&amp;L'!L27</f>
        <v>179198.67531300514</v>
      </c>
      <c r="M36" s="247">
        <f ca="1">'Group P&amp;L'!M27</f>
        <v>221820.57278076198</v>
      </c>
      <c r="N36" s="247">
        <f ca="1">'Group P&amp;L'!N27</f>
        <v>300353.1671952614</v>
      </c>
      <c r="O36" s="247">
        <f ca="1">'Group P&amp;L'!O27</f>
        <v>430541.77284200536</v>
      </c>
      <c r="P36" s="247">
        <f ca="1">'Group P&amp;L'!P27</f>
        <v>596172.36118151608</v>
      </c>
      <c r="Q36" s="247">
        <f ca="1">'Group P&amp;L'!Q27</f>
        <v>761393.61758621002</v>
      </c>
      <c r="R36" s="247">
        <f ca="1">'Group P&amp;L'!R27</f>
        <v>1000893.7951517374</v>
      </c>
      <c r="S36" s="247">
        <f ca="1">'Group P&amp;L'!S27</f>
        <v>1342351.5832795682</v>
      </c>
      <c r="T36" s="247">
        <f>'Group P&amp;L'!T27</f>
        <v>0</v>
      </c>
      <c r="U36" s="247">
        <f>'Group P&amp;L'!U27</f>
        <v>0</v>
      </c>
      <c r="V36" s="247">
        <f>'Group P&amp;L'!V27</f>
        <v>0</v>
      </c>
      <c r="W36" s="247">
        <f>'Group P&amp;L'!W27</f>
        <v>0</v>
      </c>
      <c r="X36" s="247">
        <f>'Group P&amp;L'!X27</f>
        <v>0</v>
      </c>
      <c r="Y36" s="247">
        <f>'Group P&amp;L'!Y27</f>
        <v>0</v>
      </c>
      <c r="Z36" s="247">
        <f>'Group P&amp;L'!Z27</f>
        <v>0</v>
      </c>
      <c r="AA36" s="247">
        <f>'Group P&amp;L'!AA27</f>
        <v>0</v>
      </c>
      <c r="AB36" s="247">
        <f>'Group P&amp;L'!AB27</f>
        <v>0</v>
      </c>
      <c r="AC36" s="247">
        <f>'Group P&amp;L'!AC27</f>
        <v>0</v>
      </c>
    </row>
    <row r="37" spans="1:29" x14ac:dyDescent="0.2">
      <c r="A37" t="s">
        <v>1543</v>
      </c>
      <c r="D37" s="247">
        <f>'Group P&amp;L'!D28</f>
        <v>0</v>
      </c>
      <c r="E37" s="247">
        <f>'Group P&amp;L'!E28</f>
        <v>0</v>
      </c>
      <c r="F37" s="247">
        <f>'Group P&amp;L'!F28</f>
        <v>0</v>
      </c>
      <c r="G37" s="247">
        <f>'Group P&amp;L'!G28</f>
        <v>0</v>
      </c>
      <c r="H37" s="247">
        <f>'Group P&amp;L'!H28</f>
        <v>0</v>
      </c>
      <c r="I37" s="247">
        <f>'Group P&amp;L'!I28</f>
        <v>0</v>
      </c>
      <c r="J37" s="247">
        <f>'Group P&amp;L'!J28</f>
        <v>0</v>
      </c>
      <c r="K37" s="247">
        <f>'Group P&amp;L'!K28</f>
        <v>0</v>
      </c>
      <c r="L37" s="247">
        <f>'Group P&amp;L'!L28</f>
        <v>0</v>
      </c>
      <c r="M37" s="247">
        <f>'Group P&amp;L'!M28</f>
        <v>0</v>
      </c>
      <c r="N37" s="247">
        <f>'Group P&amp;L'!N28</f>
        <v>0</v>
      </c>
      <c r="O37" s="247">
        <f>'Group P&amp;L'!O28</f>
        <v>0</v>
      </c>
      <c r="P37" s="247">
        <f>'Group P&amp;L'!P28</f>
        <v>0</v>
      </c>
      <c r="Q37" s="247">
        <f>'Group P&amp;L'!Q28</f>
        <v>0</v>
      </c>
      <c r="R37" s="247">
        <f>'Group P&amp;L'!R28</f>
        <v>0</v>
      </c>
      <c r="S37" s="247">
        <f>'Group P&amp;L'!S28</f>
        <v>0</v>
      </c>
      <c r="T37" s="247">
        <f>'Group P&amp;L'!T28</f>
        <v>0</v>
      </c>
      <c r="U37" s="247">
        <f>'Group P&amp;L'!U28</f>
        <v>0</v>
      </c>
      <c r="V37" s="247">
        <f>'Group P&amp;L'!V28</f>
        <v>0</v>
      </c>
      <c r="W37" s="247">
        <f>'Group P&amp;L'!W28</f>
        <v>0</v>
      </c>
      <c r="X37" s="247">
        <f>'Group P&amp;L'!X28</f>
        <v>0</v>
      </c>
      <c r="Y37" s="247">
        <f>'Group P&amp;L'!Y28</f>
        <v>0</v>
      </c>
      <c r="Z37" s="247">
        <f>'Group P&amp;L'!Z28</f>
        <v>0</v>
      </c>
      <c r="AA37" s="247">
        <f>'Group P&amp;L'!AA28</f>
        <v>0</v>
      </c>
      <c r="AB37" s="247">
        <f>'Group P&amp;L'!AB28</f>
        <v>0</v>
      </c>
      <c r="AC37" s="247">
        <f>'Group P&amp;L'!AC28</f>
        <v>0</v>
      </c>
    </row>
    <row r="38" spans="1:29" x14ac:dyDescent="0.2">
      <c r="A38" s="235" t="s">
        <v>838</v>
      </c>
      <c r="B38" s="235"/>
      <c r="C38" s="235"/>
      <c r="D38" s="249">
        <f ca="1">'Group P&amp;L'!D29</f>
        <v>9465.8041065598045</v>
      </c>
      <c r="E38" s="249">
        <f ca="1">'Group P&amp;L'!E29</f>
        <v>17393.290093756168</v>
      </c>
      <c r="F38" s="249">
        <f ca="1">'Group P&amp;L'!F29</f>
        <v>52254.995001345967</v>
      </c>
      <c r="G38" s="249">
        <f ca="1">'Group P&amp;L'!G29</f>
        <v>94488.806103665993</v>
      </c>
      <c r="H38" s="249">
        <f ca="1">'Group P&amp;L'!H29</f>
        <v>156866.70206620672</v>
      </c>
      <c r="I38" s="249">
        <f ca="1">'Group P&amp;L'!I29</f>
        <v>238785.69676146301</v>
      </c>
      <c r="J38" s="249">
        <f ca="1">'Group P&amp;L'!J29</f>
        <v>339312.46385374555</v>
      </c>
      <c r="K38" s="249">
        <f ca="1">'Group P&amp;L'!K29</f>
        <v>420709.2063551207</v>
      </c>
      <c r="L38" s="249">
        <f ca="1">'Group P&amp;L'!L29</f>
        <v>458365.00158497528</v>
      </c>
      <c r="M38" s="249">
        <f ca="1">'Group P&amp;L'!M29</f>
        <v>510262.11712902033</v>
      </c>
      <c r="N38" s="249">
        <f ca="1">'Group P&amp;L'!N29</f>
        <v>603647.34337328316</v>
      </c>
      <c r="O38" s="249">
        <f ca="1">'Group P&amp;L'!O29</f>
        <v>751667.41444862471</v>
      </c>
      <c r="P38" s="249">
        <f ca="1">'Group P&amp;L'!P29</f>
        <v>935730.0923966351</v>
      </c>
      <c r="Q38" s="249">
        <f ca="1">'Group P&amp;L'!Q29</f>
        <v>1114411.40138086</v>
      </c>
      <c r="R38" s="249">
        <f ca="1">'Group P&amp;L'!R29</f>
        <v>1362875.6625199362</v>
      </c>
      <c r="S38" s="249">
        <f ca="1">'Group P&amp;L'!S29</f>
        <v>1706506.6497507901</v>
      </c>
      <c r="T38" s="249">
        <f>'Group P&amp;L'!T29</f>
        <v>0</v>
      </c>
      <c r="U38" s="249">
        <f>'Group P&amp;L'!U29</f>
        <v>0</v>
      </c>
      <c r="V38" s="249">
        <f>'Group P&amp;L'!V29</f>
        <v>0</v>
      </c>
      <c r="W38" s="249">
        <f>'Group P&amp;L'!W29</f>
        <v>0</v>
      </c>
      <c r="X38" s="249">
        <f>'Group P&amp;L'!X29</f>
        <v>0</v>
      </c>
      <c r="Y38" s="249">
        <f>'Group P&amp;L'!Y29</f>
        <v>0</v>
      </c>
      <c r="Z38" s="249">
        <f>'Group P&amp;L'!Z29</f>
        <v>0</v>
      </c>
      <c r="AA38" s="249">
        <f>'Group P&amp;L'!AA29</f>
        <v>0</v>
      </c>
      <c r="AB38" s="249">
        <f>'Group P&amp;L'!AB29</f>
        <v>0</v>
      </c>
      <c r="AC38" s="249">
        <f>'Group P&amp;L'!AC29</f>
        <v>0</v>
      </c>
    </row>
    <row r="39" spans="1:29" x14ac:dyDescent="0.2"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247"/>
      <c r="AB39" s="247"/>
      <c r="AC39" s="247"/>
    </row>
    <row r="40" spans="1:29" x14ac:dyDescent="0.2">
      <c r="A40" s="248" t="s">
        <v>1544</v>
      </c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A40" s="247"/>
      <c r="AB40" s="247"/>
      <c r="AC40" s="247"/>
    </row>
    <row r="41" spans="1:29" x14ac:dyDescent="0.2">
      <c r="A41" t="s">
        <v>1545</v>
      </c>
      <c r="D41" s="247">
        <f>'Group P&amp;L'!D32</f>
        <v>1463.4400194184639</v>
      </c>
      <c r="E41" s="247">
        <f ca="1">'Group P&amp;L'!E32</f>
        <v>1817.5896411165193</v>
      </c>
      <c r="F41" s="247">
        <f ca="1">'Group P&amp;L'!F32</f>
        <v>6638.7296349937533</v>
      </c>
      <c r="G41" s="247">
        <f ca="1">'Group P&amp;L'!G32</f>
        <v>12475.00087094925</v>
      </c>
      <c r="H41" s="247">
        <f ca="1">'Group P&amp;L'!H32</f>
        <v>19397.444362113318</v>
      </c>
      <c r="I41" s="247">
        <f ca="1">'Group P&amp;L'!I32</f>
        <v>23578.474978135186</v>
      </c>
      <c r="J41" s="247">
        <f ca="1">'Group P&amp;L'!J32</f>
        <v>28285.811209642558</v>
      </c>
      <c r="K41" s="247">
        <f ca="1">'Group P&amp;L'!K32</f>
        <v>29431.713409690692</v>
      </c>
      <c r="L41" s="247">
        <f ca="1">'Group P&amp;L'!L32</f>
        <v>30775.962587128401</v>
      </c>
      <c r="M41" s="247">
        <f ca="1">'Group P&amp;L'!M32</f>
        <v>31877.19931197754</v>
      </c>
      <c r="N41" s="247">
        <f ca="1">'Group P&amp;L'!N32</f>
        <v>34253.187245349305</v>
      </c>
      <c r="O41" s="247">
        <f ca="1">'Group P&amp;L'!O32</f>
        <v>36415.941639084216</v>
      </c>
      <c r="P41" s="247">
        <f ca="1">'Group P&amp;L'!P32</f>
        <v>38494.28040445091</v>
      </c>
      <c r="Q41" s="247">
        <f ca="1">'Group P&amp;L'!Q32</f>
        <v>39435.95973817983</v>
      </c>
      <c r="R41" s="247">
        <f ca="1">'Group P&amp;L'!R32</f>
        <v>40159.859539684738</v>
      </c>
      <c r="S41" s="247">
        <f ca="1">'Group P&amp;L'!S32</f>
        <v>40773.032238825064</v>
      </c>
      <c r="T41" s="247">
        <f>'Group P&amp;L'!T32</f>
        <v>0</v>
      </c>
      <c r="U41" s="247">
        <f>'Group P&amp;L'!U32</f>
        <v>0</v>
      </c>
      <c r="V41" s="247">
        <f>'Group P&amp;L'!V32</f>
        <v>0</v>
      </c>
      <c r="W41" s="247">
        <f>'Group P&amp;L'!W32</f>
        <v>0</v>
      </c>
      <c r="X41" s="247">
        <f>'Group P&amp;L'!X32</f>
        <v>0</v>
      </c>
      <c r="Y41" s="247">
        <f>'Group P&amp;L'!Y32</f>
        <v>0</v>
      </c>
      <c r="Z41" s="247">
        <f>'Group P&amp;L'!Z32</f>
        <v>0</v>
      </c>
      <c r="AA41" s="247">
        <f>'Group P&amp;L'!AA32</f>
        <v>0</v>
      </c>
      <c r="AB41" s="247">
        <f>'Group P&amp;L'!AB32</f>
        <v>0</v>
      </c>
      <c r="AC41" s="247">
        <f>'Group P&amp;L'!AC32</f>
        <v>0</v>
      </c>
    </row>
    <row r="42" spans="1:29" x14ac:dyDescent="0.2">
      <c r="A42" t="s">
        <v>1546</v>
      </c>
      <c r="D42" s="247">
        <f ca="1">'Group P&amp;L'!D33</f>
        <v>263.43200000000002</v>
      </c>
      <c r="E42" s="247">
        <f ca="1">'Group P&amp;L'!E33</f>
        <v>526.03949999999998</v>
      </c>
      <c r="F42" s="247">
        <f ca="1">'Group P&amp;L'!F33</f>
        <v>1074.0634884000001</v>
      </c>
      <c r="G42" s="247">
        <f ca="1">'Group P&amp;L'!G33</f>
        <v>1169.7089650413473</v>
      </c>
      <c r="H42" s="247">
        <f ca="1">'Group P&amp;L'!H33</f>
        <v>1290.9504646158725</v>
      </c>
      <c r="I42" s="247">
        <f ca="1">'Group P&amp;L'!I33</f>
        <v>1421.4707385468751</v>
      </c>
      <c r="J42" s="247">
        <f ca="1">'Group P&amp;L'!J33</f>
        <v>1415.6872754742187</v>
      </c>
      <c r="K42" s="247">
        <f ca="1">'Group P&amp;L'!K33</f>
        <v>2012.3746945191119</v>
      </c>
      <c r="L42" s="247">
        <f ca="1">'Group P&amp;L'!L33</f>
        <v>2038.9144350099641</v>
      </c>
      <c r="M42" s="247">
        <f ca="1">'Group P&amp;L'!M33</f>
        <v>2034.7425709070026</v>
      </c>
      <c r="N42" s="247">
        <f ca="1">'Group P&amp;L'!N33</f>
        <v>2021.3472895700188</v>
      </c>
      <c r="O42" s="247">
        <f ca="1">'Group P&amp;L'!O33</f>
        <v>2007.1544056501968</v>
      </c>
      <c r="P42" s="247">
        <f ca="1">'Group P&amp;L'!P33</f>
        <v>1994.2664447176949</v>
      </c>
      <c r="Q42" s="247">
        <f ca="1">'Group P&amp;L'!Q33</f>
        <v>1982.3983029382337</v>
      </c>
      <c r="R42" s="247">
        <f ca="1">'Group P&amp;L'!R33</f>
        <v>1997.3414958631959</v>
      </c>
      <c r="S42" s="247">
        <f ca="1">'Group P&amp;L'!S33</f>
        <v>294.77843182744954</v>
      </c>
      <c r="T42" s="247">
        <f>'Group P&amp;L'!T33</f>
        <v>0</v>
      </c>
      <c r="U42" s="247">
        <f>'Group P&amp;L'!U33</f>
        <v>0</v>
      </c>
      <c r="V42" s="247">
        <f>'Group P&amp;L'!V33</f>
        <v>0</v>
      </c>
      <c r="W42" s="247">
        <f>'Group P&amp;L'!W33</f>
        <v>0</v>
      </c>
      <c r="X42" s="247">
        <f>'Group P&amp;L'!X33</f>
        <v>0</v>
      </c>
      <c r="Y42" s="247">
        <f>'Group P&amp;L'!Y33</f>
        <v>0</v>
      </c>
      <c r="Z42" s="247">
        <f>'Group P&amp;L'!Z33</f>
        <v>0</v>
      </c>
      <c r="AA42" s="247">
        <f>'Group P&amp;L'!AA33</f>
        <v>0</v>
      </c>
      <c r="AB42" s="247">
        <f>'Group P&amp;L'!AB33</f>
        <v>0</v>
      </c>
      <c r="AC42" s="247">
        <f>'Group P&amp;L'!AC33</f>
        <v>0</v>
      </c>
    </row>
    <row r="43" spans="1:29" x14ac:dyDescent="0.2">
      <c r="A43" t="s">
        <v>1547</v>
      </c>
      <c r="D43" s="247">
        <f ca="1">'Group P&amp;L'!D34</f>
        <v>51.872599999999998</v>
      </c>
      <c r="E43" s="247">
        <f ca="1">'Group P&amp;L'!E34</f>
        <v>157.82660930138101</v>
      </c>
      <c r="F43" s="247">
        <f ca="1">'Group P&amp;L'!F34</f>
        <v>366.97455246825928</v>
      </c>
      <c r="G43" s="247">
        <f ca="1">'Group P&amp;L'!G34</f>
        <v>487.39320758759447</v>
      </c>
      <c r="H43" s="247">
        <f ca="1">'Group P&amp;L'!H34</f>
        <v>862.74592429399331</v>
      </c>
      <c r="I43" s="247">
        <f ca="1">'Group P&amp;L'!I34</f>
        <v>2026.9481373488534</v>
      </c>
      <c r="J43" s="247">
        <f ca="1">'Group P&amp;L'!J34</f>
        <v>4426.6266304557394</v>
      </c>
      <c r="K43" s="247">
        <f ca="1">'Group P&amp;L'!K34</f>
        <v>6692.8413416025642</v>
      </c>
      <c r="L43" s="247">
        <f ca="1">'Group P&amp;L'!L34</f>
        <v>7822.1223327630823</v>
      </c>
      <c r="M43" s="247">
        <f ca="1">'Group P&amp;L'!M34</f>
        <v>9806.5226782044956</v>
      </c>
      <c r="N43" s="247">
        <f ca="1">'Group P&amp;L'!N34</f>
        <v>13433.898513647438</v>
      </c>
      <c r="O43" s="247">
        <f ca="1">'Group P&amp;L'!O34</f>
        <v>19494.495684530266</v>
      </c>
      <c r="P43" s="247">
        <f ca="1">'Group P&amp;L'!P34</f>
        <v>27447.237053845471</v>
      </c>
      <c r="Q43" s="247">
        <f ca="1">'Group P&amp;L'!Q34</f>
        <v>35961.244128740786</v>
      </c>
      <c r="R43" s="247">
        <f ca="1">'Group P&amp;L'!R34</f>
        <v>48786.778761890797</v>
      </c>
      <c r="S43" s="247">
        <f ca="1">'Group P&amp;L'!S34</f>
        <v>68064.115879561854</v>
      </c>
      <c r="T43" s="247">
        <f>'Group P&amp;L'!T34</f>
        <v>0</v>
      </c>
      <c r="U43" s="247">
        <f>'Group P&amp;L'!U34</f>
        <v>0</v>
      </c>
      <c r="V43" s="247">
        <f>'Group P&amp;L'!V34</f>
        <v>0</v>
      </c>
      <c r="W43" s="247">
        <f>'Group P&amp;L'!W34</f>
        <v>0</v>
      </c>
      <c r="X43" s="247">
        <f>'Group P&amp;L'!X34</f>
        <v>0</v>
      </c>
      <c r="Y43" s="247">
        <f>'Group P&amp;L'!Y34</f>
        <v>0</v>
      </c>
      <c r="Z43" s="247">
        <f>'Group P&amp;L'!Z34</f>
        <v>0</v>
      </c>
      <c r="AA43" s="247">
        <f>'Group P&amp;L'!AA34</f>
        <v>0</v>
      </c>
      <c r="AB43" s="247">
        <f>'Group P&amp;L'!AB34</f>
        <v>0</v>
      </c>
      <c r="AC43" s="247">
        <f>'Group P&amp;L'!AC34</f>
        <v>0</v>
      </c>
    </row>
    <row r="44" spans="1:29" x14ac:dyDescent="0.2">
      <c r="A44" t="s">
        <v>1548</v>
      </c>
      <c r="D44" s="247">
        <f>'Group P&amp;L'!D35</f>
        <v>0</v>
      </c>
      <c r="E44" s="247">
        <f>'Group P&amp;L'!E35</f>
        <v>0</v>
      </c>
      <c r="F44" s="247">
        <f>'Group P&amp;L'!F35</f>
        <v>0</v>
      </c>
      <c r="G44" s="247">
        <f>'Group P&amp;L'!G35</f>
        <v>0</v>
      </c>
      <c r="H44" s="247">
        <f>'Group P&amp;L'!H35</f>
        <v>0</v>
      </c>
      <c r="I44" s="247">
        <f ca="1">'Group P&amp;L'!I35</f>
        <v>743.15307810865397</v>
      </c>
      <c r="J44" s="247">
        <f ca="1">'Group P&amp;L'!J35</f>
        <v>781.85880443818155</v>
      </c>
      <c r="K44" s="247">
        <f ca="1">'Group P&amp;L'!K35</f>
        <v>924.19551765933829</v>
      </c>
      <c r="L44" s="247">
        <f ca="1">'Group P&amp;L'!L35</f>
        <v>693.94037340516968</v>
      </c>
      <c r="M44" s="247">
        <f ca="1">'Group P&amp;L'!M35</f>
        <v>1096.7694846076595</v>
      </c>
      <c r="N44" s="247">
        <f ca="1">'Group P&amp;L'!N35</f>
        <v>1000.4886496831796</v>
      </c>
      <c r="O44" s="247">
        <f ca="1">'Group P&amp;L'!O35</f>
        <v>1195.2250971914711</v>
      </c>
      <c r="P44" s="247">
        <f ca="1">'Group P&amp;L'!P35</f>
        <v>1329.3837504480282</v>
      </c>
      <c r="Q44" s="247">
        <f ca="1">'Group P&amp;L'!Q35</f>
        <v>2183.5781510787979</v>
      </c>
      <c r="R44" s="247">
        <f ca="1">'Group P&amp;L'!R35</f>
        <v>3414.2027769867668</v>
      </c>
      <c r="S44" s="247">
        <f ca="1">'Group P&amp;L'!S35</f>
        <v>4536.2831170412946</v>
      </c>
      <c r="T44" s="247">
        <f>'Group P&amp;L'!T35</f>
        <v>0</v>
      </c>
      <c r="U44" s="247">
        <f>'Group P&amp;L'!U35</f>
        <v>0</v>
      </c>
      <c r="V44" s="247">
        <f>'Group P&amp;L'!V35</f>
        <v>0</v>
      </c>
      <c r="W44" s="247">
        <f>'Group P&amp;L'!W35</f>
        <v>0</v>
      </c>
      <c r="X44" s="247">
        <f>'Group P&amp;L'!X35</f>
        <v>0</v>
      </c>
      <c r="Y44" s="247">
        <f>'Group P&amp;L'!Y35</f>
        <v>0</v>
      </c>
      <c r="Z44" s="247">
        <f>'Group P&amp;L'!Z35</f>
        <v>0</v>
      </c>
      <c r="AA44" s="247">
        <f>'Group P&amp;L'!AA35</f>
        <v>0</v>
      </c>
      <c r="AB44" s="247">
        <f>'Group P&amp;L'!AB35</f>
        <v>0</v>
      </c>
      <c r="AC44" s="247">
        <f>'Group P&amp;L'!AC35</f>
        <v>0</v>
      </c>
    </row>
    <row r="45" spans="1:29" x14ac:dyDescent="0.2">
      <c r="A45" s="235" t="s">
        <v>839</v>
      </c>
      <c r="B45" s="235"/>
      <c r="C45" s="235"/>
      <c r="D45" s="249">
        <f ca="1">'Group P&amp;L'!D36</f>
        <v>1778.7446194184638</v>
      </c>
      <c r="E45" s="249">
        <f ca="1">'Group P&amp;L'!E36</f>
        <v>2501.4557504179002</v>
      </c>
      <c r="F45" s="249">
        <f ca="1">'Group P&amp;L'!F36</f>
        <v>8079.7676758620128</v>
      </c>
      <c r="G45" s="249">
        <f ca="1">'Group P&amp;L'!G36</f>
        <v>14132.103043578192</v>
      </c>
      <c r="H45" s="249">
        <f ca="1">'Group P&amp;L'!H36</f>
        <v>21551.140751023184</v>
      </c>
      <c r="I45" s="249">
        <f ca="1">'Group P&amp;L'!I36</f>
        <v>27770.046932139569</v>
      </c>
      <c r="J45" s="249">
        <f ca="1">'Group P&amp;L'!J36</f>
        <v>34909.983920010702</v>
      </c>
      <c r="K45" s="249">
        <f ca="1">'Group P&amp;L'!K36</f>
        <v>39061.12496347171</v>
      </c>
      <c r="L45" s="249">
        <f ca="1">'Group P&amp;L'!L36</f>
        <v>41330.939728306614</v>
      </c>
      <c r="M45" s="249">
        <f ca="1">'Group P&amp;L'!M36</f>
        <v>44815.234045696707</v>
      </c>
      <c r="N45" s="249">
        <f ca="1">'Group P&amp;L'!N36</f>
        <v>50708.921698249942</v>
      </c>
      <c r="O45" s="249">
        <f ca="1">'Group P&amp;L'!O36</f>
        <v>59112.816826456146</v>
      </c>
      <c r="P45" s="249">
        <f ca="1">'Group P&amp;L'!P36</f>
        <v>69265.167653462107</v>
      </c>
      <c r="Q45" s="249">
        <f ca="1">'Group P&amp;L'!Q36</f>
        <v>79563.180320937638</v>
      </c>
      <c r="R45" s="249">
        <f ca="1">'Group P&amp;L'!R36</f>
        <v>94358.182574425504</v>
      </c>
      <c r="S45" s="249">
        <f ca="1">'Group P&amp;L'!S36</f>
        <v>113668.20966725567</v>
      </c>
      <c r="T45" s="249">
        <f>'Group P&amp;L'!T36</f>
        <v>0</v>
      </c>
      <c r="U45" s="249">
        <f>'Group P&amp;L'!U36</f>
        <v>0</v>
      </c>
      <c r="V45" s="249">
        <f>'Group P&amp;L'!V36</f>
        <v>0</v>
      </c>
      <c r="W45" s="249">
        <f>'Group P&amp;L'!W36</f>
        <v>0</v>
      </c>
      <c r="X45" s="249">
        <f>'Group P&amp;L'!X36</f>
        <v>0</v>
      </c>
      <c r="Y45" s="249">
        <f>'Group P&amp;L'!Y36</f>
        <v>0</v>
      </c>
      <c r="Z45" s="249">
        <f>'Group P&amp;L'!Z36</f>
        <v>0</v>
      </c>
      <c r="AA45" s="249">
        <f>'Group P&amp;L'!AA36</f>
        <v>0</v>
      </c>
      <c r="AB45" s="249">
        <f>'Group P&amp;L'!AB36</f>
        <v>0</v>
      </c>
      <c r="AC45" s="249">
        <f>'Group P&amp;L'!AC36</f>
        <v>0</v>
      </c>
    </row>
    <row r="46" spans="1:29" x14ac:dyDescent="0.2"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7"/>
      <c r="AB46" s="247"/>
      <c r="AC46" s="247"/>
    </row>
    <row r="47" spans="1:29" x14ac:dyDescent="0.2">
      <c r="A47" s="248" t="s">
        <v>840</v>
      </c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</row>
    <row r="48" spans="1:29" x14ac:dyDescent="0.2">
      <c r="A48" s="234" t="s">
        <v>2158</v>
      </c>
      <c r="D48" s="247">
        <f>'Group P&amp;L'!D39</f>
        <v>576.5936160090522</v>
      </c>
      <c r="E48" s="247">
        <f ca="1">'Group P&amp;L'!E39</f>
        <v>679.81991601831714</v>
      </c>
      <c r="F48" s="247">
        <f ca="1">'Group P&amp;L'!F39</f>
        <v>2369.4378665550425</v>
      </c>
      <c r="G48" s="247">
        <f ca="1">'Group P&amp;L'!G39</f>
        <v>4187.8941997133661</v>
      </c>
      <c r="H48" s="247">
        <f ca="1">'Group P&amp;L'!H39</f>
        <v>6124.2616949268686</v>
      </c>
      <c r="I48" s="247">
        <f ca="1">'Group P&amp;L'!I39</f>
        <v>6911.2709186070188</v>
      </c>
      <c r="J48" s="247">
        <f ca="1">'Group P&amp;L'!J39</f>
        <v>8014.2077548393763</v>
      </c>
      <c r="K48" s="247">
        <f ca="1">'Group P&amp;L'!K39</f>
        <v>8259.4616905995463</v>
      </c>
      <c r="L48" s="247">
        <f ca="1">'Group P&amp;L'!L39</f>
        <v>8626.4783016932142</v>
      </c>
      <c r="M48" s="247">
        <f ca="1">'Group P&amp;L'!M39</f>
        <v>8931.1645515634518</v>
      </c>
      <c r="N48" s="247">
        <f ca="1">'Group P&amp;L'!N39</f>
        <v>9621.8233414187653</v>
      </c>
      <c r="O48" s="247">
        <f ca="1">'Group P&amp;L'!O39</f>
        <v>10225.678005605767</v>
      </c>
      <c r="P48" s="247">
        <f ca="1">'Group P&amp;L'!P39</f>
        <v>10804.81193696594</v>
      </c>
      <c r="Q48" s="247">
        <f ca="1">'Group P&amp;L'!Q39</f>
        <v>11044.019890647805</v>
      </c>
      <c r="R48" s="247">
        <f ca="1">'Group P&amp;L'!R39</f>
        <v>11234.595233557442</v>
      </c>
      <c r="S48" s="247">
        <f ca="1">'Group P&amp;L'!S39</f>
        <v>11401.067318222948</v>
      </c>
      <c r="T48" s="247">
        <f>'Group P&amp;L'!T39</f>
        <v>0</v>
      </c>
      <c r="U48" s="247">
        <f>'Group P&amp;L'!U39</f>
        <v>0</v>
      </c>
      <c r="V48" s="247">
        <f>'Group P&amp;L'!V39</f>
        <v>0</v>
      </c>
      <c r="W48" s="247">
        <f>'Group P&amp;L'!W39</f>
        <v>0</v>
      </c>
      <c r="X48" s="247">
        <f>'Group P&amp;L'!X39</f>
        <v>0</v>
      </c>
      <c r="Y48" s="247">
        <f>'Group P&amp;L'!Y39</f>
        <v>0</v>
      </c>
      <c r="Z48" s="247">
        <f>'Group P&amp;L'!Z39</f>
        <v>0</v>
      </c>
      <c r="AA48" s="247">
        <f>'Group P&amp;L'!AA39</f>
        <v>0</v>
      </c>
      <c r="AB48" s="247">
        <f>'Group P&amp;L'!AB39</f>
        <v>0</v>
      </c>
      <c r="AC48" s="247">
        <f>'Group P&amp;L'!AC39</f>
        <v>0</v>
      </c>
    </row>
    <row r="49" spans="1:29" x14ac:dyDescent="0.2">
      <c r="A49" t="s">
        <v>2159</v>
      </c>
      <c r="D49" s="247">
        <f>'Group P&amp;L'!D40</f>
        <v>0</v>
      </c>
      <c r="E49" s="247">
        <f>'Group P&amp;L'!E40</f>
        <v>0</v>
      </c>
      <c r="F49" s="247">
        <f>'Group P&amp;L'!F40</f>
        <v>0</v>
      </c>
      <c r="G49" s="247">
        <f>'Group P&amp;L'!G40</f>
        <v>0</v>
      </c>
      <c r="H49" s="247">
        <f>'Group P&amp;L'!H40</f>
        <v>0</v>
      </c>
      <c r="I49" s="247">
        <f>'Group P&amp;L'!I40</f>
        <v>0</v>
      </c>
      <c r="J49" s="247">
        <f>'Group P&amp;L'!J40</f>
        <v>0</v>
      </c>
      <c r="K49" s="247">
        <f>'Group P&amp;L'!K40</f>
        <v>0</v>
      </c>
      <c r="L49" s="247">
        <f>'Group P&amp;L'!L40</f>
        <v>0</v>
      </c>
      <c r="M49" s="247">
        <f>'Group P&amp;L'!M40</f>
        <v>0</v>
      </c>
      <c r="N49" s="247">
        <f>'Group P&amp;L'!N40</f>
        <v>0</v>
      </c>
      <c r="O49" s="247">
        <f>'Group P&amp;L'!O40</f>
        <v>0</v>
      </c>
      <c r="P49" s="247">
        <f>'Group P&amp;L'!P40</f>
        <v>0</v>
      </c>
      <c r="Q49" s="247">
        <f>'Group P&amp;L'!Q40</f>
        <v>0</v>
      </c>
      <c r="R49" s="247">
        <f>'Group P&amp;L'!R40</f>
        <v>0</v>
      </c>
      <c r="S49" s="247">
        <f>'Group P&amp;L'!S40</f>
        <v>0</v>
      </c>
      <c r="T49" s="247">
        <f>'Group P&amp;L'!T40</f>
        <v>0</v>
      </c>
      <c r="U49" s="247">
        <f>'Group P&amp;L'!U40</f>
        <v>0</v>
      </c>
      <c r="V49" s="247">
        <f>'Group P&amp;L'!V40</f>
        <v>0</v>
      </c>
      <c r="W49" s="247">
        <f>'Group P&amp;L'!W40</f>
        <v>0</v>
      </c>
      <c r="X49" s="247">
        <f>'Group P&amp;L'!X40</f>
        <v>0</v>
      </c>
      <c r="Y49" s="247">
        <f>'Group P&amp;L'!Y40</f>
        <v>0</v>
      </c>
      <c r="Z49" s="247">
        <f>'Group P&amp;L'!Z40</f>
        <v>0</v>
      </c>
      <c r="AA49" s="247">
        <f>'Group P&amp;L'!AA40</f>
        <v>0</v>
      </c>
      <c r="AB49" s="247">
        <f>'Group P&amp;L'!AB40</f>
        <v>0</v>
      </c>
      <c r="AC49" s="247">
        <f>'Group P&amp;L'!AC40</f>
        <v>0</v>
      </c>
    </row>
    <row r="50" spans="1:29" x14ac:dyDescent="0.2">
      <c r="A50" t="s">
        <v>1549</v>
      </c>
      <c r="D50" s="247">
        <f ca="1">'Group P&amp;L'!D41</f>
        <v>2072.45975</v>
      </c>
      <c r="E50" s="247">
        <f ca="1">'Group P&amp;L'!E41</f>
        <v>3495.7074842913325</v>
      </c>
      <c r="F50" s="247">
        <f ca="1">'Group P&amp;L'!F41</f>
        <v>4828.693236416877</v>
      </c>
      <c r="G50" s="247">
        <f ca="1">'Group P&amp;L'!G41</f>
        <v>2727.85327398648</v>
      </c>
      <c r="H50" s="247">
        <f ca="1">'Group P&amp;L'!H41</f>
        <v>4397.218834518816</v>
      </c>
      <c r="I50" s="247">
        <f ca="1">'Group P&amp;L'!I41</f>
        <v>9432.5025759786786</v>
      </c>
      <c r="J50" s="247">
        <f ca="1">'Group P&amp;L'!J41</f>
        <v>17933.840668219113</v>
      </c>
      <c r="K50" s="247">
        <f ca="1">'Group P&amp;L'!K41</f>
        <v>22750.676525975181</v>
      </c>
      <c r="L50" s="247">
        <f ca="1">'Group P&amp;L'!L41</f>
        <v>21399.132781836004</v>
      </c>
      <c r="M50" s="247">
        <f ca="1">'Group P&amp;L'!M41</f>
        <v>25758.369554350011</v>
      </c>
      <c r="N50" s="247">
        <f ca="1">'Group P&amp;L'!N41</f>
        <v>34692.534563381872</v>
      </c>
      <c r="O50" s="247">
        <f ca="1">'Group P&amp;L'!O41</f>
        <v>49428.950639547111</v>
      </c>
      <c r="P50" s="247">
        <f ca="1">'Group P&amp;L'!P41</f>
        <v>67444.743213255395</v>
      </c>
      <c r="Q50" s="247">
        <f ca="1">'Group P&amp;L'!Q41</f>
        <v>83881.236732609672</v>
      </c>
      <c r="R50" s="247">
        <f ca="1">'Group P&amp;L'!R41</f>
        <v>108477.21344634217</v>
      </c>
      <c r="S50" s="247">
        <f ca="1">'Group P&amp;L'!S41</f>
        <v>142873.75146692892</v>
      </c>
      <c r="T50" s="247">
        <f>'Group P&amp;L'!T41</f>
        <v>0</v>
      </c>
      <c r="U50" s="247">
        <f>'Group P&amp;L'!U41</f>
        <v>0</v>
      </c>
      <c r="V50" s="247">
        <f>'Group P&amp;L'!V41</f>
        <v>0</v>
      </c>
      <c r="W50" s="247">
        <f>'Group P&amp;L'!W41</f>
        <v>0</v>
      </c>
      <c r="X50" s="247">
        <f>'Group P&amp;L'!X41</f>
        <v>0</v>
      </c>
      <c r="Y50" s="247">
        <f>'Group P&amp;L'!Y41</f>
        <v>0</v>
      </c>
      <c r="Z50" s="247">
        <f>'Group P&amp;L'!Z41</f>
        <v>0</v>
      </c>
      <c r="AA50" s="247">
        <f>'Group P&amp;L'!AA41</f>
        <v>0</v>
      </c>
      <c r="AB50" s="247">
        <f>'Group P&amp;L'!AB41</f>
        <v>0</v>
      </c>
      <c r="AC50" s="247">
        <f>'Group P&amp;L'!AC41</f>
        <v>0</v>
      </c>
    </row>
    <row r="51" spans="1:29" x14ac:dyDescent="0.2">
      <c r="A51" s="234" t="s">
        <v>1550</v>
      </c>
      <c r="D51" s="247">
        <f>'Group P&amp;L'!D42</f>
        <v>700</v>
      </c>
      <c r="E51" s="247">
        <f>'Group P&amp;L'!E42</f>
        <v>700</v>
      </c>
      <c r="F51" s="247">
        <f>'Group P&amp;L'!F42</f>
        <v>700</v>
      </c>
      <c r="G51" s="247">
        <f>'Group P&amp;L'!G42</f>
        <v>700</v>
      </c>
      <c r="H51" s="247">
        <f>'Group P&amp;L'!H42</f>
        <v>700</v>
      </c>
      <c r="I51" s="247">
        <f>'Group P&amp;L'!I42</f>
        <v>0</v>
      </c>
      <c r="J51" s="247">
        <f>'Group P&amp;L'!J42</f>
        <v>0</v>
      </c>
      <c r="K51" s="247">
        <f>'Group P&amp;L'!K42</f>
        <v>0</v>
      </c>
      <c r="L51" s="247">
        <f>'Group P&amp;L'!L42</f>
        <v>0</v>
      </c>
      <c r="M51" s="247">
        <f>'Group P&amp;L'!M42</f>
        <v>0</v>
      </c>
      <c r="N51" s="247">
        <f>'Group P&amp;L'!N42</f>
        <v>0</v>
      </c>
      <c r="O51" s="247">
        <f>'Group P&amp;L'!O42</f>
        <v>0</v>
      </c>
      <c r="P51" s="247">
        <f>'Group P&amp;L'!P42</f>
        <v>0</v>
      </c>
      <c r="Q51" s="247">
        <f>'Group P&amp;L'!Q42</f>
        <v>0</v>
      </c>
      <c r="R51" s="247">
        <f>'Group P&amp;L'!R42</f>
        <v>0</v>
      </c>
      <c r="S51" s="247">
        <f>'Group P&amp;L'!S42</f>
        <v>0</v>
      </c>
      <c r="T51" s="247">
        <f>'Group P&amp;L'!T42</f>
        <v>0</v>
      </c>
      <c r="U51" s="247">
        <f>'Group P&amp;L'!U42</f>
        <v>0</v>
      </c>
      <c r="V51" s="247">
        <f>'Group P&amp;L'!V42</f>
        <v>0</v>
      </c>
      <c r="W51" s="247">
        <f>'Group P&amp;L'!W42</f>
        <v>0</v>
      </c>
      <c r="X51" s="247">
        <f>'Group P&amp;L'!X42</f>
        <v>0</v>
      </c>
      <c r="Y51" s="247">
        <f>'Group P&amp;L'!Y42</f>
        <v>0</v>
      </c>
      <c r="Z51" s="247">
        <f>'Group P&amp;L'!Z42</f>
        <v>0</v>
      </c>
      <c r="AA51" s="247">
        <f>'Group P&amp;L'!AA42</f>
        <v>0</v>
      </c>
      <c r="AB51" s="247">
        <f>'Group P&amp;L'!AB42</f>
        <v>0</v>
      </c>
      <c r="AC51" s="247">
        <f>'Group P&amp;L'!AC42</f>
        <v>0</v>
      </c>
    </row>
    <row r="52" spans="1:29" x14ac:dyDescent="0.2">
      <c r="A52" s="234" t="s">
        <v>2160</v>
      </c>
      <c r="D52" s="247">
        <f>'Group P&amp;L'!D43</f>
        <v>3004</v>
      </c>
      <c r="E52" s="247">
        <f>'Group P&amp;L'!E43</f>
        <v>3610</v>
      </c>
      <c r="F52" s="247">
        <f>'Group P&amp;L'!F43</f>
        <v>3921</v>
      </c>
      <c r="G52" s="247">
        <f>'Group P&amp;L'!G43</f>
        <v>3633.1</v>
      </c>
      <c r="H52" s="247">
        <f>'Group P&amp;L'!H43</f>
        <v>3146.41</v>
      </c>
      <c r="I52" s="247">
        <f>'Group P&amp;L'!I43</f>
        <v>2661.05</v>
      </c>
      <c r="J52" s="247">
        <f>'Group P&amp;L'!J43</f>
        <v>2377.16</v>
      </c>
      <c r="K52" s="247">
        <f>'Group P&amp;L'!K43</f>
        <v>2094.87</v>
      </c>
      <c r="L52" s="247">
        <f>'Group P&amp;L'!L43</f>
        <v>1914.3600000000001</v>
      </c>
      <c r="M52" s="247">
        <f>'Group P&amp;L'!M43</f>
        <v>1735.79</v>
      </c>
      <c r="N52" s="247">
        <f>'Group P&amp;L'!N43</f>
        <v>1559.37</v>
      </c>
      <c r="O52" s="247">
        <f>'Group P&amp;L'!O43</f>
        <v>1485.31</v>
      </c>
      <c r="P52" s="247">
        <f>'Group P&amp;L'!P43</f>
        <v>1413.84</v>
      </c>
      <c r="Q52" s="247">
        <f>'Group P&amp;L'!Q43</f>
        <v>1345.23</v>
      </c>
      <c r="R52" s="247">
        <f>'Group P&amp;L'!R43</f>
        <v>1329.75</v>
      </c>
      <c r="S52" s="247">
        <f>'Group P&amp;L'!S43</f>
        <v>1317.72</v>
      </c>
      <c r="T52" s="247">
        <f>'Group P&amp;L'!T43</f>
        <v>0</v>
      </c>
      <c r="U52" s="247">
        <f>'Group P&amp;L'!U43</f>
        <v>0</v>
      </c>
      <c r="V52" s="247">
        <f>'Group P&amp;L'!V43</f>
        <v>0</v>
      </c>
      <c r="W52" s="247">
        <f>'Group P&amp;L'!W43</f>
        <v>0</v>
      </c>
      <c r="X52" s="247">
        <f>'Group P&amp;L'!X43</f>
        <v>0</v>
      </c>
      <c r="Y52" s="247">
        <f>'Group P&amp;L'!Y43</f>
        <v>0</v>
      </c>
      <c r="Z52" s="247">
        <f>'Group P&amp;L'!Z43</f>
        <v>0</v>
      </c>
      <c r="AA52" s="247">
        <f>'Group P&amp;L'!AA43</f>
        <v>0</v>
      </c>
      <c r="AB52" s="247">
        <f>'Group P&amp;L'!AB43</f>
        <v>0</v>
      </c>
      <c r="AC52" s="247">
        <f>'Group P&amp;L'!AC43</f>
        <v>0</v>
      </c>
    </row>
    <row r="53" spans="1:29" x14ac:dyDescent="0.2">
      <c r="A53" s="235" t="s">
        <v>841</v>
      </c>
      <c r="B53" s="235"/>
      <c r="C53" s="235"/>
      <c r="D53" s="249">
        <f ca="1">'Group P&amp;L'!D44</f>
        <v>5776.45975</v>
      </c>
      <c r="E53" s="249">
        <f ca="1">'Group P&amp;L'!E44</f>
        <v>7805.7074842913325</v>
      </c>
      <c r="F53" s="249">
        <f ca="1">'Group P&amp;L'!F44</f>
        <v>9449.693236416877</v>
      </c>
      <c r="G53" s="249">
        <f ca="1">'Group P&amp;L'!G44</f>
        <v>7060.9532739864799</v>
      </c>
      <c r="H53" s="249">
        <f ca="1">'Group P&amp;L'!H44</f>
        <v>8243.628834518815</v>
      </c>
      <c r="I53" s="249">
        <f ca="1">'Group P&amp;L'!I44</f>
        <v>12093.55257597868</v>
      </c>
      <c r="J53" s="249">
        <f ca="1">'Group P&amp;L'!J44</f>
        <v>20311.000668219112</v>
      </c>
      <c r="K53" s="249">
        <f ca="1">'Group P&amp;L'!K44</f>
        <v>24845.54652597518</v>
      </c>
      <c r="L53" s="249">
        <f ca="1">'Group P&amp;L'!L44</f>
        <v>23313.492781836005</v>
      </c>
      <c r="M53" s="249">
        <f ca="1">'Group P&amp;L'!M44</f>
        <v>27494.159554350012</v>
      </c>
      <c r="N53" s="249">
        <f ca="1">'Group P&amp;L'!N44</f>
        <v>36251.904563381875</v>
      </c>
      <c r="O53" s="249">
        <f ca="1">'Group P&amp;L'!O44</f>
        <v>50914.260639547108</v>
      </c>
      <c r="P53" s="249">
        <f ca="1">'Group P&amp;L'!P44</f>
        <v>68858.583213255391</v>
      </c>
      <c r="Q53" s="249">
        <f ca="1">'Group P&amp;L'!Q44</f>
        <v>85226.466732609668</v>
      </c>
      <c r="R53" s="249">
        <f ca="1">'Group P&amp;L'!R44</f>
        <v>109806.96344634217</v>
      </c>
      <c r="S53" s="249">
        <f ca="1">'Group P&amp;L'!S44</f>
        <v>144191.47146692892</v>
      </c>
      <c r="T53" s="249">
        <f>'Group P&amp;L'!T44</f>
        <v>0</v>
      </c>
      <c r="U53" s="249">
        <f>'Group P&amp;L'!U44</f>
        <v>0</v>
      </c>
      <c r="V53" s="249">
        <f>'Group P&amp;L'!V44</f>
        <v>0</v>
      </c>
      <c r="W53" s="249">
        <f>'Group P&amp;L'!W44</f>
        <v>0</v>
      </c>
      <c r="X53" s="249">
        <f>'Group P&amp;L'!X44</f>
        <v>0</v>
      </c>
      <c r="Y53" s="249">
        <f>'Group P&amp;L'!Y44</f>
        <v>0</v>
      </c>
      <c r="Z53" s="249">
        <f>'Group P&amp;L'!Z44</f>
        <v>0</v>
      </c>
      <c r="AA53" s="249">
        <f>'Group P&amp;L'!AA44</f>
        <v>0</v>
      </c>
      <c r="AB53" s="249">
        <f>'Group P&amp;L'!AB44</f>
        <v>0</v>
      </c>
      <c r="AC53" s="249">
        <f>'Group P&amp;L'!AC44</f>
        <v>0</v>
      </c>
    </row>
    <row r="54" spans="1:29" x14ac:dyDescent="0.2">
      <c r="A54" s="248" t="s">
        <v>842</v>
      </c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</row>
    <row r="55" spans="1:29" x14ac:dyDescent="0.2">
      <c r="A55" t="s">
        <v>843</v>
      </c>
      <c r="D55" s="247">
        <f ca="1">'Group P&amp;L'!D47</f>
        <v>506.14864406258175</v>
      </c>
      <c r="E55" s="247">
        <f ca="1">'Group P&amp;L'!E47</f>
        <v>480.11814236793464</v>
      </c>
      <c r="F55" s="247">
        <f ca="1">'Group P&amp;L'!F47</f>
        <v>748.79513564479544</v>
      </c>
      <c r="G55" s="247">
        <f ca="1">'Group P&amp;L'!G47</f>
        <v>2276.3400166805732</v>
      </c>
      <c r="H55" s="247">
        <f ca="1">'Group P&amp;L'!H47</f>
        <v>3778.9335160242936</v>
      </c>
      <c r="I55" s="247">
        <f ca="1">'Group P&amp;L'!I47</f>
        <v>5694.4614203879319</v>
      </c>
      <c r="J55" s="247">
        <f ca="1">'Group P&amp;L'!J47</f>
        <v>7324.5060117366857</v>
      </c>
      <c r="K55" s="247">
        <f ca="1">'Group P&amp;L'!K47</f>
        <v>9527.1945572570949</v>
      </c>
      <c r="L55" s="247">
        <f ca="1">'Group P&amp;L'!L47</f>
        <v>10694.021548286531</v>
      </c>
      <c r="M55" s="247">
        <f ca="1">'Group P&amp;L'!M47</f>
        <v>11016.540459600086</v>
      </c>
      <c r="N55" s="247">
        <f ca="1">'Group P&amp;L'!N47</f>
        <v>11645.626887132103</v>
      </c>
      <c r="O55" s="247">
        <f ca="1">'Group P&amp;L'!O47</f>
        <v>13204.608875240074</v>
      </c>
      <c r="P55" s="247">
        <f ca="1">'Group P&amp;L'!P47</f>
        <v>16157.016363226414</v>
      </c>
      <c r="Q55" s="247">
        <f ca="1">'Group P&amp;L'!Q47</f>
        <v>19939.048887791047</v>
      </c>
      <c r="R55" s="247">
        <f ca="1">'Group P&amp;L'!R47</f>
        <v>23475.942498447956</v>
      </c>
      <c r="S55" s="247">
        <f ca="1">'Group P&amp;L'!S47</f>
        <v>28521.163099115282</v>
      </c>
      <c r="T55" s="247">
        <f>'Group P&amp;L'!T47</f>
        <v>0</v>
      </c>
      <c r="U55" s="247">
        <f>'Group P&amp;L'!U47</f>
        <v>0</v>
      </c>
      <c r="V55" s="247">
        <f>'Group P&amp;L'!V47</f>
        <v>0</v>
      </c>
      <c r="W55" s="247">
        <f>'Group P&amp;L'!W47</f>
        <v>0</v>
      </c>
      <c r="X55" s="247">
        <f>'Group P&amp;L'!X47</f>
        <v>0</v>
      </c>
      <c r="Y55" s="247">
        <f>'Group P&amp;L'!Y47</f>
        <v>0</v>
      </c>
      <c r="Z55" s="247">
        <f>'Group P&amp;L'!Z47</f>
        <v>0</v>
      </c>
      <c r="AA55" s="247">
        <f>'Group P&amp;L'!AA47</f>
        <v>0</v>
      </c>
      <c r="AB55" s="247">
        <f>'Group P&amp;L'!AB47</f>
        <v>0</v>
      </c>
      <c r="AC55" s="247">
        <f>'Group P&amp;L'!AC47</f>
        <v>0</v>
      </c>
    </row>
    <row r="56" spans="1:29" x14ac:dyDescent="0.2">
      <c r="A56" t="s">
        <v>844</v>
      </c>
      <c r="D56" s="247">
        <f>'Group P&amp;L'!D48</f>
        <v>0</v>
      </c>
      <c r="E56" s="247">
        <f>'Group P&amp;L'!E48</f>
        <v>0</v>
      </c>
      <c r="F56" s="247">
        <f>'Group P&amp;L'!F48</f>
        <v>0</v>
      </c>
      <c r="G56" s="247">
        <f>'Group P&amp;L'!G48</f>
        <v>0</v>
      </c>
      <c r="H56" s="247">
        <f>'Group P&amp;L'!H48</f>
        <v>0</v>
      </c>
      <c r="I56" s="247">
        <f>'Group P&amp;L'!I48</f>
        <v>0</v>
      </c>
      <c r="J56" s="247">
        <f>'Group P&amp;L'!J48</f>
        <v>0</v>
      </c>
      <c r="K56" s="247">
        <f>'Group P&amp;L'!K48</f>
        <v>0</v>
      </c>
      <c r="L56" s="247">
        <f>'Group P&amp;L'!L48</f>
        <v>0</v>
      </c>
      <c r="M56" s="247">
        <f>'Group P&amp;L'!M48</f>
        <v>0</v>
      </c>
      <c r="N56" s="247">
        <f>'Group P&amp;L'!N48</f>
        <v>0</v>
      </c>
      <c r="O56" s="247">
        <f>'Group P&amp;L'!O48</f>
        <v>0</v>
      </c>
      <c r="P56" s="247">
        <f>'Group P&amp;L'!P48</f>
        <v>0</v>
      </c>
      <c r="Q56" s="247">
        <f>'Group P&amp;L'!Q48</f>
        <v>0</v>
      </c>
      <c r="R56" s="247">
        <f>'Group P&amp;L'!R48</f>
        <v>0</v>
      </c>
      <c r="S56" s="247">
        <f>'Group P&amp;L'!S48</f>
        <v>0</v>
      </c>
      <c r="T56" s="247">
        <f>'Group P&amp;L'!T48</f>
        <v>0</v>
      </c>
      <c r="U56" s="247">
        <f>'Group P&amp;L'!U48</f>
        <v>0</v>
      </c>
      <c r="V56" s="247">
        <f>'Group P&amp;L'!V48</f>
        <v>0</v>
      </c>
      <c r="W56" s="247">
        <f>'Group P&amp;L'!W48</f>
        <v>0</v>
      </c>
      <c r="X56" s="247">
        <f>'Group P&amp;L'!X48</f>
        <v>0</v>
      </c>
      <c r="Y56" s="247">
        <f>'Group P&amp;L'!Y48</f>
        <v>0</v>
      </c>
      <c r="Z56" s="247">
        <f>'Group P&amp;L'!Z48</f>
        <v>0</v>
      </c>
      <c r="AA56" s="247">
        <f>'Group P&amp;L'!AA48</f>
        <v>0</v>
      </c>
      <c r="AB56" s="247">
        <f>'Group P&amp;L'!AB48</f>
        <v>0</v>
      </c>
      <c r="AC56" s="247">
        <f>'Group P&amp;L'!AC48</f>
        <v>0</v>
      </c>
    </row>
    <row r="57" spans="1:29" x14ac:dyDescent="0.2">
      <c r="A57" s="235" t="s">
        <v>845</v>
      </c>
      <c r="B57" s="235"/>
      <c r="C57" s="235"/>
      <c r="D57" s="249">
        <f ca="1">'Group P&amp;L'!D49</f>
        <v>506.14864406258175</v>
      </c>
      <c r="E57" s="249">
        <f ca="1">'Group P&amp;L'!E49</f>
        <v>480.11814236793464</v>
      </c>
      <c r="F57" s="249">
        <f ca="1">'Group P&amp;L'!F49</f>
        <v>748.79513564479544</v>
      </c>
      <c r="G57" s="249">
        <f ca="1">'Group P&amp;L'!G49</f>
        <v>2276.3400166805732</v>
      </c>
      <c r="H57" s="249">
        <f ca="1">'Group P&amp;L'!H49</f>
        <v>3778.9335160242936</v>
      </c>
      <c r="I57" s="249">
        <f ca="1">'Group P&amp;L'!I49</f>
        <v>5694.4614203879319</v>
      </c>
      <c r="J57" s="249">
        <f ca="1">'Group P&amp;L'!J49</f>
        <v>7324.5060117366857</v>
      </c>
      <c r="K57" s="249">
        <f ca="1">'Group P&amp;L'!K49</f>
        <v>9527.1945572570949</v>
      </c>
      <c r="L57" s="249">
        <f ca="1">'Group P&amp;L'!L49</f>
        <v>10694.021548286531</v>
      </c>
      <c r="M57" s="249">
        <f ca="1">'Group P&amp;L'!M49</f>
        <v>11016.540459600086</v>
      </c>
      <c r="N57" s="249">
        <f ca="1">'Group P&amp;L'!N49</f>
        <v>11645.626887132103</v>
      </c>
      <c r="O57" s="249">
        <f ca="1">'Group P&amp;L'!O49</f>
        <v>13204.608875240074</v>
      </c>
      <c r="P57" s="249">
        <f ca="1">'Group P&amp;L'!P49</f>
        <v>16157.016363226414</v>
      </c>
      <c r="Q57" s="249">
        <f ca="1">'Group P&amp;L'!Q49</f>
        <v>19939.048887791047</v>
      </c>
      <c r="R57" s="249">
        <f ca="1">'Group P&amp;L'!R49</f>
        <v>23475.942498447956</v>
      </c>
      <c r="S57" s="249">
        <f ca="1">'Group P&amp;L'!S49</f>
        <v>28521.163099115282</v>
      </c>
      <c r="T57" s="249">
        <f>'Group P&amp;L'!T49</f>
        <v>0</v>
      </c>
      <c r="U57" s="249">
        <f>'Group P&amp;L'!U49</f>
        <v>0</v>
      </c>
      <c r="V57" s="249">
        <f>'Group P&amp;L'!V49</f>
        <v>0</v>
      </c>
      <c r="W57" s="249">
        <f>'Group P&amp;L'!W49</f>
        <v>0</v>
      </c>
      <c r="X57" s="249">
        <f>'Group P&amp;L'!X49</f>
        <v>0</v>
      </c>
      <c r="Y57" s="249">
        <f>'Group P&amp;L'!Y49</f>
        <v>0</v>
      </c>
      <c r="Z57" s="249">
        <f>'Group P&amp;L'!Z49</f>
        <v>0</v>
      </c>
      <c r="AA57" s="249">
        <f>'Group P&amp;L'!AA49</f>
        <v>0</v>
      </c>
      <c r="AB57" s="249">
        <f>'Group P&amp;L'!AB49</f>
        <v>0</v>
      </c>
      <c r="AC57" s="249">
        <f>'Group P&amp;L'!AC49</f>
        <v>0</v>
      </c>
    </row>
    <row r="58" spans="1:29" x14ac:dyDescent="0.2"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</row>
    <row r="59" spans="1:29" x14ac:dyDescent="0.2">
      <c r="A59" s="248" t="s">
        <v>1551</v>
      </c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</row>
    <row r="60" spans="1:29" x14ac:dyDescent="0.2">
      <c r="A60" s="234" t="s">
        <v>1552</v>
      </c>
      <c r="D60" s="247">
        <f>'Group P&amp;L'!D52</f>
        <v>5134.3930871413395</v>
      </c>
      <c r="E60" s="247">
        <f ca="1">'Group P&amp;L'!E52</f>
        <v>8073.5104636064498</v>
      </c>
      <c r="F60" s="247">
        <f ca="1">'Group P&amp;L'!F52</f>
        <v>29432.071532822265</v>
      </c>
      <c r="G60" s="247">
        <f ca="1">'Group P&amp;L'!G52</f>
        <v>62820.536843513793</v>
      </c>
      <c r="H60" s="247">
        <f ca="1">'Group P&amp;L'!H52</f>
        <v>109176.48865701581</v>
      </c>
      <c r="I60" s="247">
        <f ca="1">'Group P&amp;L'!I52</f>
        <v>159019.52906140563</v>
      </c>
      <c r="J60" s="247">
        <f ca="1">'Group P&amp;L'!J52</f>
        <v>198502.82221570471</v>
      </c>
      <c r="K60" s="247">
        <f ca="1">'Group P&amp;L'!K52</f>
        <v>222817.46634811591</v>
      </c>
      <c r="L60" s="247">
        <f ca="1">'Group P&amp;L'!L52</f>
        <v>235058.78240430384</v>
      </c>
      <c r="M60" s="247">
        <f ca="1">'Group P&amp;L'!M52</f>
        <v>244070.92783549795</v>
      </c>
      <c r="N60" s="247">
        <f ca="1">'Group P&amp;L'!N52</f>
        <v>257459.95124097724</v>
      </c>
      <c r="O60" s="247">
        <f ca="1">'Group P&amp;L'!O52</f>
        <v>274071.98638407519</v>
      </c>
      <c r="P60" s="247">
        <f ca="1">'Group P&amp;L'!P52</f>
        <v>291398.52802694606</v>
      </c>
      <c r="Q60" s="247">
        <f ca="1">'Group P&amp;L'!Q52</f>
        <v>304936.50432788982</v>
      </c>
      <c r="R60" s="247">
        <f ca="1">'Group P&amp;L'!R52</f>
        <v>313837.84720812779</v>
      </c>
      <c r="S60" s="247">
        <f ca="1">'Group P&amp;L'!S52</f>
        <v>320259.71139004925</v>
      </c>
      <c r="T60" s="247">
        <f>'Group P&amp;L'!T52</f>
        <v>0</v>
      </c>
      <c r="U60" s="247">
        <f>'Group P&amp;L'!U52</f>
        <v>0</v>
      </c>
      <c r="V60" s="247">
        <f>'Group P&amp;L'!V52</f>
        <v>0</v>
      </c>
      <c r="W60" s="247">
        <f>'Group P&amp;L'!W52</f>
        <v>0</v>
      </c>
      <c r="X60" s="247">
        <f>'Group P&amp;L'!X52</f>
        <v>0</v>
      </c>
      <c r="Y60" s="247">
        <f>'Group P&amp;L'!Y52</f>
        <v>0</v>
      </c>
      <c r="Z60" s="247">
        <f>'Group P&amp;L'!Z52</f>
        <v>0</v>
      </c>
      <c r="AA60" s="247">
        <f>'Group P&amp;L'!AA52</f>
        <v>0</v>
      </c>
      <c r="AB60" s="247">
        <f>'Group P&amp;L'!AB52</f>
        <v>0</v>
      </c>
      <c r="AC60" s="247">
        <f>'Group P&amp;L'!AC52</f>
        <v>0</v>
      </c>
    </row>
    <row r="61" spans="1:29" x14ac:dyDescent="0.2">
      <c r="A61" s="234" t="s">
        <v>1553</v>
      </c>
      <c r="D61" s="247">
        <f ca="1">'Group P&amp;L'!D53</f>
        <v>2121.4740000000002</v>
      </c>
      <c r="E61" s="247">
        <f ca="1">'Group P&amp;L'!E53</f>
        <v>3788.8514999999998</v>
      </c>
      <c r="F61" s="247">
        <f ca="1">'Group P&amp;L'!F53</f>
        <v>7243.9289016832108</v>
      </c>
      <c r="G61" s="247">
        <f ca="1">'Group P&amp;L'!G53</f>
        <v>7868.6564252486096</v>
      </c>
      <c r="H61" s="247">
        <f ca="1">'Group P&amp;L'!H53</f>
        <v>8654.9006317316453</v>
      </c>
      <c r="I61" s="247">
        <f ca="1">'Group P&amp;L'!I53</f>
        <v>9500.591459671874</v>
      </c>
      <c r="J61" s="247">
        <f ca="1">'Group P&amp;L'!J53</f>
        <v>9494.5470326554678</v>
      </c>
      <c r="K61" s="247">
        <f ca="1">'Group P&amp;L'!K53</f>
        <v>11925.919883966008</v>
      </c>
      <c r="L61" s="247">
        <f ca="1">'Group P&amp;L'!L53</f>
        <v>11292.666845528005</v>
      </c>
      <c r="M61" s="247">
        <f ca="1">'Group P&amp;L'!M53</f>
        <v>10458.674629875877</v>
      </c>
      <c r="N61" s="247">
        <f ca="1">'Group P&amp;L'!N53</f>
        <v>9559.6904021251285</v>
      </c>
      <c r="O61" s="247">
        <f ca="1">'Group P&amp;L'!O53</f>
        <v>8630.5591778097569</v>
      </c>
      <c r="P61" s="247">
        <f ca="1">'Group P&amp;L'!P53</f>
        <v>7670.656339004342</v>
      </c>
      <c r="Q61" s="247">
        <f ca="1">'Group P&amp;L'!Q53</f>
        <v>6662.9214256420955</v>
      </c>
      <c r="R61" s="247">
        <f ca="1">'Group P&amp;L'!R53</f>
        <v>5986.8191245231674</v>
      </c>
      <c r="S61" s="247">
        <f ca="1">'Group P&amp;L'!S53</f>
        <v>2827.5444105199358</v>
      </c>
      <c r="T61" s="247">
        <f>'Group P&amp;L'!T53</f>
        <v>0</v>
      </c>
      <c r="U61" s="247">
        <f>'Group P&amp;L'!U53</f>
        <v>0</v>
      </c>
      <c r="V61" s="247">
        <f>'Group P&amp;L'!V53</f>
        <v>0</v>
      </c>
      <c r="W61" s="247">
        <f>'Group P&amp;L'!W53</f>
        <v>0</v>
      </c>
      <c r="X61" s="247">
        <f>'Group P&amp;L'!X53</f>
        <v>0</v>
      </c>
      <c r="Y61" s="247">
        <f>'Group P&amp;L'!Y53</f>
        <v>0</v>
      </c>
      <c r="Z61" s="247">
        <f>'Group P&amp;L'!Z53</f>
        <v>0</v>
      </c>
      <c r="AA61" s="247">
        <f>'Group P&amp;L'!AA53</f>
        <v>0</v>
      </c>
      <c r="AB61" s="247">
        <f>'Group P&amp;L'!AB53</f>
        <v>0</v>
      </c>
      <c r="AC61" s="247">
        <f>'Group P&amp;L'!AC53</f>
        <v>0</v>
      </c>
    </row>
    <row r="62" spans="1:29" x14ac:dyDescent="0.2">
      <c r="A62" s="234" t="s">
        <v>1554</v>
      </c>
      <c r="D62" s="247">
        <f ca="1">'Group P&amp;L'!D54</f>
        <v>-1641.2673500000001</v>
      </c>
      <c r="E62" s="247">
        <f ca="1">'Group P&amp;L'!E54</f>
        <v>-466.235104559516</v>
      </c>
      <c r="F62" s="247">
        <f ca="1">'Group P&amp;L'!F54</f>
        <v>2670.5336545616028</v>
      </c>
      <c r="G62" s="247">
        <f ca="1">'Group P&amp;L'!G54</f>
        <v>6939.6565173388954</v>
      </c>
      <c r="H62" s="247">
        <f ca="1">'Group P&amp;L'!H54</f>
        <v>13086.953191917255</v>
      </c>
      <c r="I62" s="247">
        <f ca="1">'Group P&amp;L'!I54</f>
        <v>33806.179810375943</v>
      </c>
      <c r="J62" s="247">
        <f ca="1">'Group P&amp;L'!J54</f>
        <v>79253.128821593753</v>
      </c>
      <c r="K62" s="247">
        <f ca="1">'Group P&amp;L'!K54</f>
        <v>125078.21415125123</v>
      </c>
      <c r="L62" s="247">
        <f ca="1">'Group P&amp;L'!L54</f>
        <v>149977.42019840606</v>
      </c>
      <c r="M62" s="247">
        <f ca="1">'Group P&amp;L'!M54</f>
        <v>186255.68054820749</v>
      </c>
      <c r="N62" s="247">
        <f ca="1">'Group P&amp;L'!N54</f>
        <v>252226.7341182321</v>
      </c>
      <c r="O62" s="247">
        <f ca="1">'Group P&amp;L'!O54</f>
        <v>361618.32651792804</v>
      </c>
      <c r="P62" s="247">
        <f ca="1">'Group P&amp;L'!P54</f>
        <v>501280.38091441523</v>
      </c>
      <c r="Q62" s="247">
        <f ca="1">'Group P&amp;L'!Q54</f>
        <v>641551.13672485959</v>
      </c>
      <c r="R62" s="247">
        <f ca="1">'Group P&amp;L'!R54</f>
        <v>843629.80294350442</v>
      </c>
      <c r="S62" s="247">
        <f ca="1">'Group P&amp;L'!S54</f>
        <v>1131413.7159330775</v>
      </c>
      <c r="T62" s="247">
        <f>'Group P&amp;L'!T54</f>
        <v>0</v>
      </c>
      <c r="U62" s="247">
        <f>'Group P&amp;L'!U54</f>
        <v>0</v>
      </c>
      <c r="V62" s="247">
        <f>'Group P&amp;L'!V54</f>
        <v>0</v>
      </c>
      <c r="W62" s="247">
        <f>'Group P&amp;L'!W54</f>
        <v>0</v>
      </c>
      <c r="X62" s="247">
        <f>'Group P&amp;L'!X54</f>
        <v>0</v>
      </c>
      <c r="Y62" s="247">
        <f>'Group P&amp;L'!Y54</f>
        <v>0</v>
      </c>
      <c r="Z62" s="247">
        <f>'Group P&amp;L'!Z54</f>
        <v>0</v>
      </c>
      <c r="AA62" s="247">
        <f>'Group P&amp;L'!AA54</f>
        <v>0</v>
      </c>
      <c r="AB62" s="247">
        <f>'Group P&amp;L'!AB54</f>
        <v>0</v>
      </c>
      <c r="AC62" s="247">
        <f>'Group P&amp;L'!AC54</f>
        <v>0</v>
      </c>
    </row>
    <row r="63" spans="1:29" x14ac:dyDescent="0.2">
      <c r="A63" s="234" t="s">
        <v>1555</v>
      </c>
      <c r="D63" s="247">
        <f>'Group P&amp;L'!D55</f>
        <v>-700</v>
      </c>
      <c r="E63" s="247">
        <f>'Group P&amp;L'!E55</f>
        <v>-700</v>
      </c>
      <c r="F63" s="247">
        <f>'Group P&amp;L'!F55</f>
        <v>-700</v>
      </c>
      <c r="G63" s="247">
        <f>'Group P&amp;L'!G55</f>
        <v>-700</v>
      </c>
      <c r="H63" s="247">
        <f>'Group P&amp;L'!H55</f>
        <v>-700</v>
      </c>
      <c r="I63" s="247">
        <f ca="1">'Group P&amp;L'!I55</f>
        <v>-743.15307810865397</v>
      </c>
      <c r="J63" s="247">
        <f ca="1">'Group P&amp;L'!J55</f>
        <v>-781.85880443818155</v>
      </c>
      <c r="K63" s="247">
        <f ca="1">'Group P&amp;L'!K55</f>
        <v>-924.19551765933829</v>
      </c>
      <c r="L63" s="247">
        <f ca="1">'Group P&amp;L'!L55</f>
        <v>-693.94037340516968</v>
      </c>
      <c r="M63" s="247">
        <f ca="1">'Group P&amp;L'!M55</f>
        <v>-1096.7694846076595</v>
      </c>
      <c r="N63" s="247">
        <f ca="1">'Group P&amp;L'!N55</f>
        <v>-1000.4886496831796</v>
      </c>
      <c r="O63" s="247">
        <f ca="1">'Group P&amp;L'!O55</f>
        <v>-1195.2250971914711</v>
      </c>
      <c r="P63" s="247">
        <f ca="1">'Group P&amp;L'!P55</f>
        <v>-1329.3837504480282</v>
      </c>
      <c r="Q63" s="247">
        <f ca="1">'Group P&amp;L'!Q55</f>
        <v>-2183.5781510787979</v>
      </c>
      <c r="R63" s="247">
        <f ca="1">'Group P&amp;L'!R55</f>
        <v>-3414.2027769867668</v>
      </c>
      <c r="S63" s="247">
        <f ca="1">'Group P&amp;L'!S55</f>
        <v>-4536.2831170412946</v>
      </c>
      <c r="T63" s="247">
        <f>'Group P&amp;L'!T55</f>
        <v>0</v>
      </c>
      <c r="U63" s="247">
        <f>'Group P&amp;L'!U55</f>
        <v>0</v>
      </c>
      <c r="V63" s="247">
        <f>'Group P&amp;L'!V55</f>
        <v>0</v>
      </c>
      <c r="W63" s="247">
        <f>'Group P&amp;L'!W55</f>
        <v>0</v>
      </c>
      <c r="X63" s="247">
        <f>'Group P&amp;L'!X55</f>
        <v>0</v>
      </c>
      <c r="Y63" s="247">
        <f>'Group P&amp;L'!Y55</f>
        <v>0</v>
      </c>
      <c r="Z63" s="247">
        <f>'Group P&amp;L'!Z55</f>
        <v>0</v>
      </c>
      <c r="AA63" s="247">
        <f>'Group P&amp;L'!AA55</f>
        <v>0</v>
      </c>
      <c r="AB63" s="247">
        <f>'Group P&amp;L'!AB55</f>
        <v>0</v>
      </c>
      <c r="AC63" s="247">
        <f>'Group P&amp;L'!AC55</f>
        <v>0</v>
      </c>
    </row>
    <row r="64" spans="1:29" x14ac:dyDescent="0.2">
      <c r="A64" s="234" t="s">
        <v>1556</v>
      </c>
      <c r="D64" s="247">
        <f ca="1">'Group P&amp;L'!D56</f>
        <v>-3510.1486440625818</v>
      </c>
      <c r="E64" s="247">
        <f ca="1">'Group P&amp;L'!E56</f>
        <v>-4090.1181423679345</v>
      </c>
      <c r="F64" s="247">
        <f ca="1">'Group P&amp;L'!F56</f>
        <v>-4669.7951356447957</v>
      </c>
      <c r="G64" s="247">
        <f ca="1">'Group P&amp;L'!G56</f>
        <v>-5909.4400166805735</v>
      </c>
      <c r="H64" s="247">
        <f ca="1">'Group P&amp;L'!H56</f>
        <v>-6925.3435160242934</v>
      </c>
      <c r="I64" s="247">
        <f ca="1">'Group P&amp;L'!I56</f>
        <v>-8355.5114203879311</v>
      </c>
      <c r="J64" s="247">
        <f ca="1">'Group P&amp;L'!J56</f>
        <v>-9701.6660117366846</v>
      </c>
      <c r="K64" s="247">
        <f ca="1">'Group P&amp;L'!K56</f>
        <v>-11622.064557257094</v>
      </c>
      <c r="L64" s="247">
        <f ca="1">'Group P&amp;L'!L56</f>
        <v>-12608.381548286532</v>
      </c>
      <c r="M64" s="247">
        <f ca="1">'Group P&amp;L'!M56</f>
        <v>-12752.330459600085</v>
      </c>
      <c r="N64" s="247">
        <f ca="1">'Group P&amp;L'!N56</f>
        <v>-13204.996887132103</v>
      </c>
      <c r="O64" s="247">
        <f ca="1">'Group P&amp;L'!O56</f>
        <v>-14689.918875240073</v>
      </c>
      <c r="P64" s="247">
        <f ca="1">'Group P&amp;L'!P56</f>
        <v>-17570.856363226412</v>
      </c>
      <c r="Q64" s="247">
        <f ca="1">'Group P&amp;L'!Q56</f>
        <v>-21284.278887791046</v>
      </c>
      <c r="R64" s="247">
        <f ca="1">'Group P&amp;L'!R56</f>
        <v>-24805.692498447956</v>
      </c>
      <c r="S64" s="247">
        <f ca="1">'Group P&amp;L'!S56</f>
        <v>-29838.883099115283</v>
      </c>
      <c r="T64" s="247">
        <f>'Group P&amp;L'!T56</f>
        <v>0</v>
      </c>
      <c r="U64" s="247">
        <f>'Group P&amp;L'!U56</f>
        <v>0</v>
      </c>
      <c r="V64" s="247">
        <f>'Group P&amp;L'!V56</f>
        <v>0</v>
      </c>
      <c r="W64" s="247">
        <f>'Group P&amp;L'!W56</f>
        <v>0</v>
      </c>
      <c r="X64" s="247">
        <f>'Group P&amp;L'!X56</f>
        <v>0</v>
      </c>
      <c r="Y64" s="247">
        <f>'Group P&amp;L'!Y56</f>
        <v>0</v>
      </c>
      <c r="Z64" s="247">
        <f>'Group P&amp;L'!Z56</f>
        <v>0</v>
      </c>
      <c r="AA64" s="247">
        <f>'Group P&amp;L'!AA56</f>
        <v>0</v>
      </c>
      <c r="AB64" s="247">
        <f>'Group P&amp;L'!AB56</f>
        <v>0</v>
      </c>
      <c r="AC64" s="247">
        <f>'Group P&amp;L'!AC56</f>
        <v>0</v>
      </c>
    </row>
    <row r="65" spans="1:29" x14ac:dyDescent="0.2">
      <c r="A65" s="250" t="s">
        <v>846</v>
      </c>
      <c r="B65" s="235"/>
      <c r="C65" s="235"/>
      <c r="D65" s="249">
        <f ca="1">'Group P&amp;L'!D57</f>
        <v>1404.4510930787578</v>
      </c>
      <c r="E65" s="249">
        <f ca="1">'Group P&amp;L'!E57</f>
        <v>6606.008716678999</v>
      </c>
      <c r="F65" s="249">
        <f ca="1">'Group P&amp;L'!F57</f>
        <v>33976.738953422282</v>
      </c>
      <c r="G65" s="249">
        <f ca="1">'Group P&amp;L'!G57</f>
        <v>71019.40976942073</v>
      </c>
      <c r="H65" s="249">
        <f ca="1">'Group P&amp;L'!H57</f>
        <v>123292.99896464041</v>
      </c>
      <c r="I65" s="249">
        <f ca="1">'Group P&amp;L'!I57</f>
        <v>193227.63583295688</v>
      </c>
      <c r="J65" s="249">
        <f ca="1">'Group P&amp;L'!J57</f>
        <v>276766.97325377906</v>
      </c>
      <c r="K65" s="249">
        <f ca="1">'Group P&amp;L'!K57</f>
        <v>347275.34030841669</v>
      </c>
      <c r="L65" s="249">
        <f ca="1">'Group P&amp;L'!L57</f>
        <v>383026.54752654623</v>
      </c>
      <c r="M65" s="249">
        <f ca="1">'Group P&amp;L'!M57</f>
        <v>426936.18306937354</v>
      </c>
      <c r="N65" s="249">
        <f ca="1">'Group P&amp;L'!N57</f>
        <v>505040.89022451919</v>
      </c>
      <c r="O65" s="249">
        <f ca="1">'Group P&amp;L'!O57</f>
        <v>628435.72810738138</v>
      </c>
      <c r="P65" s="249">
        <f ca="1">'Group P&amp;L'!P57</f>
        <v>781449.32516669121</v>
      </c>
      <c r="Q65" s="249">
        <f ca="1">'Group P&amp;L'!Q57</f>
        <v>929682.70543952158</v>
      </c>
      <c r="R65" s="249">
        <f ca="1">'Group P&amp;L'!R57</f>
        <v>1135234.5740007204</v>
      </c>
      <c r="S65" s="249">
        <f ca="1">'Group P&amp;L'!S57</f>
        <v>1420125.8055174903</v>
      </c>
      <c r="T65" s="249">
        <f>'Group P&amp;L'!T57</f>
        <v>0</v>
      </c>
      <c r="U65" s="249">
        <f>'Group P&amp;L'!U57</f>
        <v>0</v>
      </c>
      <c r="V65" s="249">
        <f>'Group P&amp;L'!V57</f>
        <v>0</v>
      </c>
      <c r="W65" s="249">
        <f>'Group P&amp;L'!W57</f>
        <v>0</v>
      </c>
      <c r="X65" s="249">
        <f>'Group P&amp;L'!X57</f>
        <v>0</v>
      </c>
      <c r="Y65" s="249">
        <f>'Group P&amp;L'!Y57</f>
        <v>0</v>
      </c>
      <c r="Z65" s="249">
        <f>'Group P&amp;L'!Z57</f>
        <v>0</v>
      </c>
      <c r="AA65" s="249">
        <f>'Group P&amp;L'!AA57</f>
        <v>0</v>
      </c>
      <c r="AB65" s="249">
        <f>'Group P&amp;L'!AB57</f>
        <v>0</v>
      </c>
      <c r="AC65" s="249">
        <f>'Group P&amp;L'!AC57</f>
        <v>0</v>
      </c>
    </row>
    <row r="66" spans="1:29" x14ac:dyDescent="0.2"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</row>
    <row r="67" spans="1:29" x14ac:dyDescent="0.2">
      <c r="A67" s="248" t="s">
        <v>847</v>
      </c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</row>
    <row r="68" spans="1:29" x14ac:dyDescent="0.2">
      <c r="A68" s="234" t="s">
        <v>1557</v>
      </c>
      <c r="D68" s="247">
        <f ca="1">'Group P&amp;L'!D60</f>
        <v>602.38373869890108</v>
      </c>
      <c r="E68" s="247">
        <f ca="1">'Group P&amp;L'!E60</f>
        <v>804.39193779975778</v>
      </c>
      <c r="F68" s="247">
        <f ca="1">'Group P&amp;L'!F60</f>
        <v>1944.3951992811649</v>
      </c>
      <c r="G68" s="247">
        <f ca="1">'Group P&amp;L'!G60</f>
        <v>4524.0594409171481</v>
      </c>
      <c r="H68" s="247">
        <f ca="1">'Group P&amp;L'!H60</f>
        <v>10679.200916177455</v>
      </c>
      <c r="I68" s="247">
        <f ca="1">'Group P&amp;L'!I60</f>
        <v>19933.746382251295</v>
      </c>
      <c r="J68" s="247">
        <f ca="1">'Group P&amp;L'!J60</f>
        <v>34550.14633382461</v>
      </c>
      <c r="K68" s="247">
        <f ca="1">'Group P&amp;L'!K60</f>
        <v>43824.739353232057</v>
      </c>
      <c r="L68" s="247">
        <f ca="1">'Group P&amp;L'!L60</f>
        <v>53863.6089388869</v>
      </c>
      <c r="M68" s="247">
        <f ca="1">'Group P&amp;L'!M60</f>
        <v>65945.349637702631</v>
      </c>
      <c r="N68" s="247">
        <f ca="1">'Group P&amp;L'!N60</f>
        <v>78176.082769752073</v>
      </c>
      <c r="O68" s="247">
        <f ca="1">'Group P&amp;L'!O60</f>
        <v>93534.424735750363</v>
      </c>
      <c r="P68" s="247">
        <f ca="1">'Group P&amp;L'!P60</f>
        <v>109504.91689295201</v>
      </c>
      <c r="Q68" s="247">
        <f ca="1">'Group P&amp;L'!Q60</f>
        <v>111602.12478285661</v>
      </c>
      <c r="R68" s="247">
        <f ca="1">'Group P&amp;L'!R60</f>
        <v>103704.75975683627</v>
      </c>
      <c r="S68" s="247">
        <f ca="1">'Group P&amp;L'!S60</f>
        <v>93001.758872307546</v>
      </c>
      <c r="T68" s="247">
        <f>'Group P&amp;L'!T60</f>
        <v>0</v>
      </c>
      <c r="U68" s="247">
        <f>'Group P&amp;L'!U60</f>
        <v>0</v>
      </c>
      <c r="V68" s="247">
        <f>'Group P&amp;L'!V60</f>
        <v>0</v>
      </c>
      <c r="W68" s="247">
        <f>'Group P&amp;L'!W60</f>
        <v>0</v>
      </c>
      <c r="X68" s="247">
        <f>'Group P&amp;L'!X60</f>
        <v>0</v>
      </c>
      <c r="Y68" s="247">
        <f>'Group P&amp;L'!Y60</f>
        <v>0</v>
      </c>
      <c r="Z68" s="247">
        <f>'Group P&amp;L'!Z60</f>
        <v>0</v>
      </c>
      <c r="AA68" s="247">
        <f>'Group P&amp;L'!AA60</f>
        <v>0</v>
      </c>
      <c r="AB68" s="247">
        <f>'Group P&amp;L'!AB60</f>
        <v>0</v>
      </c>
      <c r="AC68" s="247">
        <f>'Group P&amp;L'!AC60</f>
        <v>0</v>
      </c>
    </row>
    <row r="69" spans="1:29" x14ac:dyDescent="0.2">
      <c r="A69" s="234" t="s">
        <v>1558</v>
      </c>
      <c r="D69" s="247">
        <f ca="1">'Group P&amp;L'!D61</f>
        <v>29.46153846153846</v>
      </c>
      <c r="E69" s="247">
        <f ca="1">'Group P&amp;L'!E61</f>
        <v>65.585862785862787</v>
      </c>
      <c r="F69" s="247">
        <f ca="1">'Group P&amp;L'!F61</f>
        <v>103.29636278586278</v>
      </c>
      <c r="G69" s="247">
        <f ca="1">'Group P&amp;L'!G61</f>
        <v>140.18651611919611</v>
      </c>
      <c r="H69" s="247">
        <f ca="1">'Group P&amp;L'!H61</f>
        <v>187.21425245252945</v>
      </c>
      <c r="I69" s="247">
        <f ca="1">'Group P&amp;L'!I61</f>
        <v>230.50639773786281</v>
      </c>
      <c r="J69" s="247">
        <f ca="1">'Group P&amp;L'!J61</f>
        <v>276.87212452258279</v>
      </c>
      <c r="K69" s="247">
        <f ca="1">'Group P&amp;L'!K61</f>
        <v>369.33355299961875</v>
      </c>
      <c r="L69" s="247">
        <f ca="1">'Group P&amp;L'!L61</f>
        <v>447.28133001832998</v>
      </c>
      <c r="M69" s="247">
        <f ca="1">'Group P&amp;L'!M61</f>
        <v>501.68836258325882</v>
      </c>
      <c r="N69" s="247">
        <f ca="1">'Group P&amp;L'!N61</f>
        <v>549.26995442364444</v>
      </c>
      <c r="O69" s="247">
        <f ca="1">'Group P&amp;L'!O61</f>
        <v>559.97510660840419</v>
      </c>
      <c r="P69" s="247">
        <f ca="1">'Group P&amp;L'!P61</f>
        <v>532.79875092540351</v>
      </c>
      <c r="Q69" s="247">
        <f ca="1">'Group P&amp;L'!Q61</f>
        <v>553.80200371370745</v>
      </c>
      <c r="R69" s="247">
        <f ca="1">'Group P&amp;L'!R61</f>
        <v>600.57394984109283</v>
      </c>
      <c r="S69" s="247">
        <f ca="1">'Group P&amp;L'!S61</f>
        <v>613.07394984109283</v>
      </c>
      <c r="T69" s="247">
        <f>'Group P&amp;L'!T61</f>
        <v>0</v>
      </c>
      <c r="U69" s="247">
        <f>'Group P&amp;L'!U61</f>
        <v>0</v>
      </c>
      <c r="V69" s="247">
        <f>'Group P&amp;L'!V61</f>
        <v>0</v>
      </c>
      <c r="W69" s="247">
        <f>'Group P&amp;L'!W61</f>
        <v>0</v>
      </c>
      <c r="X69" s="247">
        <f>'Group P&amp;L'!X61</f>
        <v>0</v>
      </c>
      <c r="Y69" s="247">
        <f>'Group P&amp;L'!Y61</f>
        <v>0</v>
      </c>
      <c r="Z69" s="247">
        <f>'Group P&amp;L'!Z61</f>
        <v>0</v>
      </c>
      <c r="AA69" s="247">
        <f>'Group P&amp;L'!AA61</f>
        <v>0</v>
      </c>
      <c r="AB69" s="247">
        <f>'Group P&amp;L'!AB61</f>
        <v>0</v>
      </c>
      <c r="AC69" s="247">
        <f>'Group P&amp;L'!AC61</f>
        <v>0</v>
      </c>
    </row>
    <row r="70" spans="1:29" x14ac:dyDescent="0.2">
      <c r="A70" s="234" t="s">
        <v>1559</v>
      </c>
      <c r="D70" s="247">
        <f ca="1">'Group P&amp;L'!D62</f>
        <v>0</v>
      </c>
      <c r="E70" s="247">
        <f ca="1">'Group P&amp;L'!E62</f>
        <v>3745.3155785258996</v>
      </c>
      <c r="F70" s="247">
        <f ca="1">'Group P&amp;L'!F62</f>
        <v>7815.5895861575</v>
      </c>
      <c r="G70" s="247">
        <f ca="1">'Group P&amp;L'!G62</f>
        <v>11729.221726165679</v>
      </c>
      <c r="H70" s="247">
        <f ca="1">'Group P&amp;L'!H62</f>
        <v>14468.413283077492</v>
      </c>
      <c r="I70" s="247">
        <f ca="1">'Group P&amp;L'!I62</f>
        <v>21434.257946246787</v>
      </c>
      <c r="J70" s="247">
        <f ca="1">'Group P&amp;L'!J62</f>
        <v>35146.793075266549</v>
      </c>
      <c r="K70" s="247">
        <f ca="1">'Group P&amp;L'!K62</f>
        <v>50850.339198647984</v>
      </c>
      <c r="L70" s="247">
        <f ca="1">'Group P&amp;L'!L62</f>
        <v>60035.565458905956</v>
      </c>
      <c r="M70" s="247">
        <f ca="1">'Group P&amp;L'!M62</f>
        <v>68223.748520766894</v>
      </c>
      <c r="N70" s="247">
        <f ca="1">'Group P&amp;L'!N62</f>
        <v>79304.6199581447</v>
      </c>
      <c r="O70" s="247">
        <f ca="1">'Group P&amp;L'!O62</f>
        <v>94145.234597139599</v>
      </c>
      <c r="P70" s="247">
        <f ca="1">'Group P&amp;L'!P62</f>
        <v>117994.57811137635</v>
      </c>
      <c r="Q70" s="247">
        <f ca="1">'Group P&amp;L'!Q62</f>
        <v>148139.06160388596</v>
      </c>
      <c r="R70" s="247">
        <f ca="1">'Group P&amp;L'!R62</f>
        <v>186748.25791454493</v>
      </c>
      <c r="S70" s="247">
        <f ca="1">'Group P&amp;L'!S62</f>
        <v>235821.01093345572</v>
      </c>
      <c r="T70" s="247">
        <f>'Group P&amp;L'!T62</f>
        <v>0</v>
      </c>
      <c r="U70" s="247">
        <f>'Group P&amp;L'!U62</f>
        <v>0</v>
      </c>
      <c r="V70" s="247">
        <f>'Group P&amp;L'!V62</f>
        <v>0</v>
      </c>
      <c r="W70" s="247">
        <f>'Group P&amp;L'!W62</f>
        <v>0</v>
      </c>
      <c r="X70" s="247">
        <f>'Group P&amp;L'!X62</f>
        <v>0</v>
      </c>
      <c r="Y70" s="247">
        <f>'Group P&amp;L'!Y62</f>
        <v>0</v>
      </c>
      <c r="Z70" s="247">
        <f>'Group P&amp;L'!Z62</f>
        <v>0</v>
      </c>
      <c r="AA70" s="247">
        <f>'Group P&amp;L'!AA62</f>
        <v>0</v>
      </c>
      <c r="AB70" s="247">
        <f>'Group P&amp;L'!AB62</f>
        <v>0</v>
      </c>
      <c r="AC70" s="247">
        <f>'Group P&amp;L'!AC62</f>
        <v>0</v>
      </c>
    </row>
    <row r="71" spans="1:29" x14ac:dyDescent="0.2">
      <c r="A71" s="234" t="s">
        <v>1560</v>
      </c>
      <c r="D71" s="247">
        <f>'Group P&amp;L'!D63</f>
        <v>0</v>
      </c>
      <c r="E71" s="247">
        <f>'Group P&amp;L'!E63</f>
        <v>0</v>
      </c>
      <c r="F71" s="247">
        <f>'Group P&amp;L'!F63</f>
        <v>0</v>
      </c>
      <c r="G71" s="247">
        <f>'Group P&amp;L'!G63</f>
        <v>0</v>
      </c>
      <c r="H71" s="247">
        <f>'Group P&amp;L'!H63</f>
        <v>0</v>
      </c>
      <c r="I71" s="247">
        <f ca="1">'Group P&amp;L'!I63</f>
        <v>1486.3061562173079</v>
      </c>
      <c r="J71" s="247">
        <f ca="1">'Group P&amp;L'!J63</f>
        <v>3050.023765093671</v>
      </c>
      <c r="K71" s="247">
        <f ca="1">'Group P&amp;L'!K63</f>
        <v>4898.4148004123472</v>
      </c>
      <c r="L71" s="247">
        <f ca="1">'Group P&amp;L'!L63</f>
        <v>6286.2955472226868</v>
      </c>
      <c r="M71" s="247">
        <f ca="1">'Group P&amp;L'!M63</f>
        <v>8479.8345164380044</v>
      </c>
      <c r="N71" s="247">
        <f ca="1">'Group P&amp;L'!N63</f>
        <v>10480.811815804364</v>
      </c>
      <c r="O71" s="247">
        <f ca="1">'Group P&amp;L'!O63</f>
        <v>12871.262010187307</v>
      </c>
      <c r="P71" s="247">
        <f ca="1">'Group P&amp;L'!P63</f>
        <v>15530.029511083363</v>
      </c>
      <c r="Q71" s="247">
        <f ca="1">'Group P&amp;L'!Q63</f>
        <v>19897.185813240958</v>
      </c>
      <c r="R71" s="247">
        <f ca="1">'Group P&amp;L'!R63</f>
        <v>26725.591367214489</v>
      </c>
      <c r="S71" s="247">
        <f ca="1">'Group P&amp;L'!S63</f>
        <v>35798.157601297076</v>
      </c>
      <c r="T71" s="247">
        <f>'Group P&amp;L'!T63</f>
        <v>0</v>
      </c>
      <c r="U71" s="247">
        <f>'Group P&amp;L'!U63</f>
        <v>0</v>
      </c>
      <c r="V71" s="247">
        <f>'Group P&amp;L'!V63</f>
        <v>0</v>
      </c>
      <c r="W71" s="247">
        <f>'Group P&amp;L'!W63</f>
        <v>0</v>
      </c>
      <c r="X71" s="247">
        <f>'Group P&amp;L'!X63</f>
        <v>0</v>
      </c>
      <c r="Y71" s="247">
        <f>'Group P&amp;L'!Y63</f>
        <v>0</v>
      </c>
      <c r="Z71" s="247">
        <f>'Group P&amp;L'!Z63</f>
        <v>0</v>
      </c>
      <c r="AA71" s="247">
        <f>'Group P&amp;L'!AA63</f>
        <v>0</v>
      </c>
      <c r="AB71" s="247">
        <f>'Group P&amp;L'!AB63</f>
        <v>0</v>
      </c>
      <c r="AC71" s="247">
        <f>'Group P&amp;L'!AC63</f>
        <v>0</v>
      </c>
    </row>
    <row r="72" spans="1:29" x14ac:dyDescent="0.2">
      <c r="A72" s="234" t="s">
        <v>1561</v>
      </c>
      <c r="D72" s="247">
        <f ca="1">'Group P&amp;L'!D64</f>
        <v>158.21568186384803</v>
      </c>
      <c r="E72" s="247">
        <f ca="1">'Group P&amp;L'!E64</f>
        <v>205.69557200309478</v>
      </c>
      <c r="F72" s="247">
        <f ca="1">'Group P&amp;L'!F64</f>
        <v>277.36417067941142</v>
      </c>
      <c r="G72" s="247">
        <f ca="1">'Group P&amp;L'!G64</f>
        <v>571.75862630628012</v>
      </c>
      <c r="H72" s="247">
        <f ca="1">'Group P&amp;L'!H64</f>
        <v>1085.1221827886122</v>
      </c>
      <c r="I72" s="247">
        <f ca="1">'Group P&amp;L'!I64</f>
        <v>1953.346138673274</v>
      </c>
      <c r="J72" s="247">
        <f ca="1">'Group P&amp;L'!J64</f>
        <v>3067.4296007375515</v>
      </c>
      <c r="K72" s="247">
        <f ca="1">'Group P&amp;L'!K64</f>
        <v>4555.0502490807503</v>
      </c>
      <c r="L72" s="247">
        <f ca="1">'Group P&amp;L'!L64</f>
        <v>6017.6847515248128</v>
      </c>
      <c r="M72" s="247">
        <f ca="1">'Group P&amp;L'!M64</f>
        <v>7539.7130722995689</v>
      </c>
      <c r="N72" s="247">
        <f ca="1">'Group P&amp;L'!N64</f>
        <v>9291.723838691838</v>
      </c>
      <c r="O72" s="247">
        <f ca="1">'Group P&amp;L'!O64</f>
        <v>11258.201987237229</v>
      </c>
      <c r="P72" s="247">
        <f ca="1">'Group P&amp;L'!P64</f>
        <v>13799.693776456295</v>
      </c>
      <c r="Q72" s="247">
        <f ca="1">'Group P&amp;L'!Q64</f>
        <v>16377.54134993574</v>
      </c>
      <c r="R72" s="247">
        <f ca="1">'Group P&amp;L'!R64</f>
        <v>19167.954311259789</v>
      </c>
      <c r="S72" s="247">
        <f ca="1">'Group P&amp;L'!S64</f>
        <v>22622.619098002873</v>
      </c>
      <c r="T72" s="247">
        <f>'Group P&amp;L'!T64</f>
        <v>0</v>
      </c>
      <c r="U72" s="247">
        <f>'Group P&amp;L'!U64</f>
        <v>0</v>
      </c>
      <c r="V72" s="247">
        <f>'Group P&amp;L'!V64</f>
        <v>0</v>
      </c>
      <c r="W72" s="247">
        <f>'Group P&amp;L'!W64</f>
        <v>0</v>
      </c>
      <c r="X72" s="247">
        <f>'Group P&amp;L'!X64</f>
        <v>0</v>
      </c>
      <c r="Y72" s="247">
        <f>'Group P&amp;L'!Y64</f>
        <v>0</v>
      </c>
      <c r="Z72" s="247">
        <f>'Group P&amp;L'!Z64</f>
        <v>0</v>
      </c>
      <c r="AA72" s="247">
        <f>'Group P&amp;L'!AA64</f>
        <v>0</v>
      </c>
      <c r="AB72" s="247">
        <f>'Group P&amp;L'!AB64</f>
        <v>0</v>
      </c>
      <c r="AC72" s="247">
        <f>'Group P&amp;L'!AC64</f>
        <v>0</v>
      </c>
    </row>
    <row r="73" spans="1:29" x14ac:dyDescent="0.2">
      <c r="A73" s="250" t="s">
        <v>848</v>
      </c>
      <c r="B73" s="235"/>
      <c r="C73" s="235"/>
      <c r="D73" s="249">
        <f ca="1">'Group P&amp;L'!D65</f>
        <v>790.06095902428751</v>
      </c>
      <c r="E73" s="249">
        <f ca="1">'Group P&amp;L'!E65</f>
        <v>4820.9889511146148</v>
      </c>
      <c r="F73" s="249">
        <f ca="1">'Group P&amp;L'!F65</f>
        <v>10140.645318903938</v>
      </c>
      <c r="G73" s="249">
        <f ca="1">'Group P&amp;L'!G65</f>
        <v>16965.226309508304</v>
      </c>
      <c r="H73" s="249">
        <f ca="1">'Group P&amp;L'!H65</f>
        <v>26419.95063449609</v>
      </c>
      <c r="I73" s="249">
        <f ca="1">'Group P&amp;L'!I65</f>
        <v>45038.163021126529</v>
      </c>
      <c r="J73" s="249">
        <f ca="1">'Group P&amp;L'!J65</f>
        <v>76091.26489944497</v>
      </c>
      <c r="K73" s="249">
        <f ca="1">'Group P&amp;L'!K65</f>
        <v>104497.87715437275</v>
      </c>
      <c r="L73" s="249">
        <f ca="1">'Group P&amp;L'!L65</f>
        <v>126650.43602655869</v>
      </c>
      <c r="M73" s="249">
        <f ca="1">'Group P&amp;L'!M65</f>
        <v>150690.33410979036</v>
      </c>
      <c r="N73" s="249">
        <f ca="1">'Group P&amp;L'!N65</f>
        <v>177802.50833681659</v>
      </c>
      <c r="O73" s="249">
        <f ca="1">'Group P&amp;L'!O65</f>
        <v>212369.09843692291</v>
      </c>
      <c r="P73" s="249">
        <f ca="1">'Group P&amp;L'!P65</f>
        <v>257362.01704279342</v>
      </c>
      <c r="Q73" s="249">
        <f ca="1">'Group P&amp;L'!Q65</f>
        <v>296569.715553633</v>
      </c>
      <c r="R73" s="249">
        <f ca="1">'Group P&amp;L'!R65</f>
        <v>336947.13729969662</v>
      </c>
      <c r="S73" s="249">
        <f ca="1">'Group P&amp;L'!S65</f>
        <v>387856.62045490427</v>
      </c>
      <c r="T73" s="249">
        <f>'Group P&amp;L'!T65</f>
        <v>0</v>
      </c>
      <c r="U73" s="249">
        <f>'Group P&amp;L'!U65</f>
        <v>0</v>
      </c>
      <c r="V73" s="249">
        <f>'Group P&amp;L'!V65</f>
        <v>0</v>
      </c>
      <c r="W73" s="249">
        <f>'Group P&amp;L'!W65</f>
        <v>0</v>
      </c>
      <c r="X73" s="249">
        <f>'Group P&amp;L'!X65</f>
        <v>0</v>
      </c>
      <c r="Y73" s="249">
        <f>'Group P&amp;L'!Y65</f>
        <v>0</v>
      </c>
      <c r="Z73" s="249">
        <f>'Group P&amp;L'!Z65</f>
        <v>0</v>
      </c>
      <c r="AA73" s="249">
        <f>'Group P&amp;L'!AA65</f>
        <v>0</v>
      </c>
      <c r="AB73" s="249">
        <f>'Group P&amp;L'!AB65</f>
        <v>0</v>
      </c>
      <c r="AC73" s="249">
        <f>'Group P&amp;L'!AC65</f>
        <v>0</v>
      </c>
    </row>
    <row r="74" spans="1:29" x14ac:dyDescent="0.2"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47"/>
      <c r="V74" s="247"/>
      <c r="W74" s="247"/>
      <c r="X74" s="247"/>
      <c r="Y74" s="247"/>
      <c r="Z74" s="247"/>
      <c r="AA74" s="247"/>
      <c r="AB74" s="247"/>
      <c r="AC74" s="247"/>
    </row>
    <row r="75" spans="1:29" x14ac:dyDescent="0.2">
      <c r="A75" s="248" t="s">
        <v>1562</v>
      </c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47"/>
      <c r="V75" s="247"/>
      <c r="W75" s="247"/>
      <c r="X75" s="247"/>
      <c r="Y75" s="247"/>
      <c r="Z75" s="247"/>
      <c r="AA75" s="247"/>
      <c r="AB75" s="247"/>
      <c r="AC75" s="247"/>
    </row>
    <row r="76" spans="1:29" x14ac:dyDescent="0.2">
      <c r="A76" s="234" t="s">
        <v>1563</v>
      </c>
      <c r="D76" s="247">
        <f ca="1">'Group P&amp;L'!D68</f>
        <v>4532.0093484424387</v>
      </c>
      <c r="E76" s="247">
        <f ca="1">'Group P&amp;L'!E68</f>
        <v>7269.1185258066917</v>
      </c>
      <c r="F76" s="247">
        <f ca="1">'Group P&amp;L'!F68</f>
        <v>27487.676333541101</v>
      </c>
      <c r="G76" s="247">
        <f ca="1">'Group P&amp;L'!G68</f>
        <v>58296.477402596647</v>
      </c>
      <c r="H76" s="247">
        <f ca="1">'Group P&amp;L'!H68</f>
        <v>98497.287740838365</v>
      </c>
      <c r="I76" s="247">
        <f ca="1">'Group P&amp;L'!I68</f>
        <v>139085.78267915433</v>
      </c>
      <c r="J76" s="247">
        <f ca="1">'Group P&amp;L'!J68</f>
        <v>163952.6758818801</v>
      </c>
      <c r="K76" s="247">
        <f ca="1">'Group P&amp;L'!K68</f>
        <v>178992.72699488385</v>
      </c>
      <c r="L76" s="247">
        <f ca="1">'Group P&amp;L'!L68</f>
        <v>181195.17346541694</v>
      </c>
      <c r="M76" s="247">
        <f ca="1">'Group P&amp;L'!M68</f>
        <v>178125.57819779532</v>
      </c>
      <c r="N76" s="247">
        <f ca="1">'Group P&amp;L'!N68</f>
        <v>179283.86847122517</v>
      </c>
      <c r="O76" s="247">
        <f ca="1">'Group P&amp;L'!O68</f>
        <v>180537.56164832483</v>
      </c>
      <c r="P76" s="247">
        <f ca="1">'Group P&amp;L'!P68</f>
        <v>181893.61113399407</v>
      </c>
      <c r="Q76" s="247">
        <f ca="1">'Group P&amp;L'!Q68</f>
        <v>193334.37954503321</v>
      </c>
      <c r="R76" s="247">
        <f ca="1">'Group P&amp;L'!R68</f>
        <v>210133.0874512915</v>
      </c>
      <c r="S76" s="247">
        <f ca="1">'Group P&amp;L'!S68</f>
        <v>227257.95251774171</v>
      </c>
      <c r="T76" s="247">
        <f>'Group P&amp;L'!T68</f>
        <v>0</v>
      </c>
      <c r="U76" s="247">
        <f>'Group P&amp;L'!U68</f>
        <v>0</v>
      </c>
      <c r="V76" s="247">
        <f>'Group P&amp;L'!V68</f>
        <v>0</v>
      </c>
      <c r="W76" s="247">
        <f>'Group P&amp;L'!W68</f>
        <v>0</v>
      </c>
      <c r="X76" s="247">
        <f>'Group P&amp;L'!X68</f>
        <v>0</v>
      </c>
      <c r="Y76" s="247">
        <f>'Group P&amp;L'!Y68</f>
        <v>0</v>
      </c>
      <c r="Z76" s="247">
        <f>'Group P&amp;L'!Z68</f>
        <v>0</v>
      </c>
      <c r="AA76" s="247">
        <f>'Group P&amp;L'!AA68</f>
        <v>0</v>
      </c>
      <c r="AB76" s="247">
        <f>'Group P&amp;L'!AB68</f>
        <v>0</v>
      </c>
      <c r="AC76" s="247">
        <f>'Group P&amp;L'!AC68</f>
        <v>0</v>
      </c>
    </row>
    <row r="77" spans="1:29" x14ac:dyDescent="0.2">
      <c r="A77" s="234" t="s">
        <v>1564</v>
      </c>
      <c r="D77" s="247">
        <f ca="1">'Group P&amp;L'!D69</f>
        <v>2092.0124615384616</v>
      </c>
      <c r="E77" s="247">
        <f ca="1">'Group P&amp;L'!E69</f>
        <v>3723.2656372141369</v>
      </c>
      <c r="F77" s="247">
        <f ca="1">'Group P&amp;L'!F69</f>
        <v>7140.6325388973482</v>
      </c>
      <c r="G77" s="247">
        <f ca="1">'Group P&amp;L'!G69</f>
        <v>7728.4699091294133</v>
      </c>
      <c r="H77" s="247">
        <f ca="1">'Group P&amp;L'!H69</f>
        <v>8467.6863792791155</v>
      </c>
      <c r="I77" s="247">
        <f ca="1">'Group P&amp;L'!I69</f>
        <v>9270.0850619340108</v>
      </c>
      <c r="J77" s="247">
        <f ca="1">'Group P&amp;L'!J69</f>
        <v>9217.6749081328853</v>
      </c>
      <c r="K77" s="247">
        <f ca="1">'Group P&amp;L'!K69</f>
        <v>11556.586330966389</v>
      </c>
      <c r="L77" s="247">
        <f ca="1">'Group P&amp;L'!L69</f>
        <v>10845.385515509675</v>
      </c>
      <c r="M77" s="247">
        <f ca="1">'Group P&amp;L'!M69</f>
        <v>9956.9862672926174</v>
      </c>
      <c r="N77" s="247">
        <f ca="1">'Group P&amp;L'!N69</f>
        <v>9010.4204477014846</v>
      </c>
      <c r="O77" s="247">
        <f ca="1">'Group P&amp;L'!O69</f>
        <v>8070.5840712013523</v>
      </c>
      <c r="P77" s="247">
        <f ca="1">'Group P&amp;L'!P69</f>
        <v>7137.8575880789385</v>
      </c>
      <c r="Q77" s="247">
        <f ca="1">'Group P&amp;L'!Q69</f>
        <v>6109.119421928388</v>
      </c>
      <c r="R77" s="247">
        <f ca="1">'Group P&amp;L'!R69</f>
        <v>5386.2451746820743</v>
      </c>
      <c r="S77" s="247">
        <f ca="1">'Group P&amp;L'!S69</f>
        <v>2214.4704606788428</v>
      </c>
      <c r="T77" s="247">
        <f>'Group P&amp;L'!T69</f>
        <v>0</v>
      </c>
      <c r="U77" s="247">
        <f>'Group P&amp;L'!U69</f>
        <v>0</v>
      </c>
      <c r="V77" s="247">
        <f>'Group P&amp;L'!V69</f>
        <v>0</v>
      </c>
      <c r="W77" s="247">
        <f>'Group P&amp;L'!W69</f>
        <v>0</v>
      </c>
      <c r="X77" s="247">
        <f>'Group P&amp;L'!X69</f>
        <v>0</v>
      </c>
      <c r="Y77" s="247">
        <f>'Group P&amp;L'!Y69</f>
        <v>0</v>
      </c>
      <c r="Z77" s="247">
        <f>'Group P&amp;L'!Z69</f>
        <v>0</v>
      </c>
      <c r="AA77" s="247">
        <f>'Group P&amp;L'!AA69</f>
        <v>0</v>
      </c>
      <c r="AB77" s="247">
        <f>'Group P&amp;L'!AB69</f>
        <v>0</v>
      </c>
      <c r="AC77" s="247">
        <f>'Group P&amp;L'!AC69</f>
        <v>0</v>
      </c>
    </row>
    <row r="78" spans="1:29" x14ac:dyDescent="0.2">
      <c r="A78" s="234" t="s">
        <v>1565</v>
      </c>
      <c r="D78" s="247">
        <f ca="1">'Group P&amp;L'!D70</f>
        <v>-1641.2673500000001</v>
      </c>
      <c r="E78" s="247">
        <f ca="1">'Group P&amp;L'!E70</f>
        <v>-4211.5506830854156</v>
      </c>
      <c r="F78" s="247">
        <f ca="1">'Group P&amp;L'!F70</f>
        <v>-5145.0559315958972</v>
      </c>
      <c r="G78" s="247">
        <f ca="1">'Group P&amp;L'!G70</f>
        <v>-4789.5652088267834</v>
      </c>
      <c r="H78" s="247">
        <f ca="1">'Group P&amp;L'!H70</f>
        <v>-1381.4600911602374</v>
      </c>
      <c r="I78" s="247">
        <f ca="1">'Group P&amp;L'!I70</f>
        <v>12371.921864129155</v>
      </c>
      <c r="J78" s="247">
        <f ca="1">'Group P&amp;L'!J70</f>
        <v>44106.335746327204</v>
      </c>
      <c r="K78" s="247">
        <f ca="1">'Group P&amp;L'!K70</f>
        <v>74227.874952603248</v>
      </c>
      <c r="L78" s="247">
        <f ca="1">'Group P&amp;L'!L70</f>
        <v>89941.854739500108</v>
      </c>
      <c r="M78" s="247">
        <f ca="1">'Group P&amp;L'!M70</f>
        <v>118031.93202744059</v>
      </c>
      <c r="N78" s="247">
        <f ca="1">'Group P&amp;L'!N70</f>
        <v>172922.1141600874</v>
      </c>
      <c r="O78" s="247">
        <f ca="1">'Group P&amp;L'!O70</f>
        <v>267473.09192078846</v>
      </c>
      <c r="P78" s="247">
        <f ca="1">'Group P&amp;L'!P70</f>
        <v>383285.80280303885</v>
      </c>
      <c r="Q78" s="247">
        <f ca="1">'Group P&amp;L'!Q70</f>
        <v>493412.07512097363</v>
      </c>
      <c r="R78" s="247">
        <f ca="1">'Group P&amp;L'!R70</f>
        <v>656881.54502895952</v>
      </c>
      <c r="S78" s="247">
        <f ca="1">'Group P&amp;L'!S70</f>
        <v>895592.70499962172</v>
      </c>
      <c r="T78" s="247">
        <f>'Group P&amp;L'!T70</f>
        <v>0</v>
      </c>
      <c r="U78" s="247">
        <f>'Group P&amp;L'!U70</f>
        <v>0</v>
      </c>
      <c r="V78" s="247">
        <f>'Group P&amp;L'!V70</f>
        <v>0</v>
      </c>
      <c r="W78" s="247">
        <f>'Group P&amp;L'!W70</f>
        <v>0</v>
      </c>
      <c r="X78" s="247">
        <f>'Group P&amp;L'!X70</f>
        <v>0</v>
      </c>
      <c r="Y78" s="247">
        <f>'Group P&amp;L'!Y70</f>
        <v>0</v>
      </c>
      <c r="Z78" s="247">
        <f>'Group P&amp;L'!Z70</f>
        <v>0</v>
      </c>
      <c r="AA78" s="247">
        <f>'Group P&amp;L'!AA70</f>
        <v>0</v>
      </c>
      <c r="AB78" s="247">
        <f>'Group P&amp;L'!AB70</f>
        <v>0</v>
      </c>
      <c r="AC78" s="247">
        <f>'Group P&amp;L'!AC70</f>
        <v>0</v>
      </c>
    </row>
    <row r="79" spans="1:29" x14ac:dyDescent="0.2">
      <c r="A79" s="234" t="s">
        <v>1566</v>
      </c>
      <c r="D79" s="247">
        <f>'Group P&amp;L'!D71</f>
        <v>-700</v>
      </c>
      <c r="E79" s="247">
        <f>'Group P&amp;L'!E71</f>
        <v>-700</v>
      </c>
      <c r="F79" s="247">
        <f>'Group P&amp;L'!F71</f>
        <v>-700</v>
      </c>
      <c r="G79" s="247">
        <f>'Group P&amp;L'!G71</f>
        <v>-700</v>
      </c>
      <c r="H79" s="247">
        <f>'Group P&amp;L'!H71</f>
        <v>-700</v>
      </c>
      <c r="I79" s="247">
        <f ca="1">'Group P&amp;L'!I71</f>
        <v>-2229.4592343259619</v>
      </c>
      <c r="J79" s="247">
        <f ca="1">'Group P&amp;L'!J71</f>
        <v>-3831.8825695318528</v>
      </c>
      <c r="K79" s="247">
        <f ca="1">'Group P&amp;L'!K71</f>
        <v>-5822.6103180716855</v>
      </c>
      <c r="L79" s="247">
        <f ca="1">'Group P&amp;L'!L71</f>
        <v>-6980.2359206278561</v>
      </c>
      <c r="M79" s="247">
        <f ca="1">'Group P&amp;L'!M71</f>
        <v>-9576.6040010456636</v>
      </c>
      <c r="N79" s="247">
        <f ca="1">'Group P&amp;L'!N71</f>
        <v>-11481.300465487544</v>
      </c>
      <c r="O79" s="247">
        <f ca="1">'Group P&amp;L'!O71</f>
        <v>-14066.487107378778</v>
      </c>
      <c r="P79" s="247">
        <f ca="1">'Group P&amp;L'!P71</f>
        <v>-16859.41326153139</v>
      </c>
      <c r="Q79" s="247">
        <f ca="1">'Group P&amp;L'!Q71</f>
        <v>-22080.763964319754</v>
      </c>
      <c r="R79" s="247">
        <f ca="1">'Group P&amp;L'!R71</f>
        <v>-30139.794144201256</v>
      </c>
      <c r="S79" s="247">
        <f ca="1">'Group P&amp;L'!S71</f>
        <v>-40334.440718338374</v>
      </c>
      <c r="T79" s="247">
        <f>'Group P&amp;L'!T71</f>
        <v>0</v>
      </c>
      <c r="U79" s="247">
        <f>'Group P&amp;L'!U71</f>
        <v>0</v>
      </c>
      <c r="V79" s="247">
        <f>'Group P&amp;L'!V71</f>
        <v>0</v>
      </c>
      <c r="W79" s="247">
        <f>'Group P&amp;L'!W71</f>
        <v>0</v>
      </c>
      <c r="X79" s="247">
        <f>'Group P&amp;L'!X71</f>
        <v>0</v>
      </c>
      <c r="Y79" s="247">
        <f>'Group P&amp;L'!Y71</f>
        <v>0</v>
      </c>
      <c r="Z79" s="247">
        <f>'Group P&amp;L'!Z71</f>
        <v>0</v>
      </c>
      <c r="AA79" s="247">
        <f>'Group P&amp;L'!AA71</f>
        <v>0</v>
      </c>
      <c r="AB79" s="247">
        <f>'Group P&amp;L'!AB71</f>
        <v>0</v>
      </c>
      <c r="AC79" s="247">
        <f>'Group P&amp;L'!AC71</f>
        <v>0</v>
      </c>
    </row>
    <row r="80" spans="1:29" x14ac:dyDescent="0.2">
      <c r="A80" s="234" t="s">
        <v>1567</v>
      </c>
      <c r="D80" s="247">
        <f ca="1">'Group P&amp;L'!D72</f>
        <v>-3668.36432592643</v>
      </c>
      <c r="E80" s="247">
        <f ca="1">'Group P&amp;L'!E72</f>
        <v>-4295.8137143710292</v>
      </c>
      <c r="F80" s="247">
        <f ca="1">'Group P&amp;L'!F72</f>
        <v>-4947.1593063242071</v>
      </c>
      <c r="G80" s="247">
        <f ca="1">'Group P&amp;L'!G72</f>
        <v>-6481.1986429868539</v>
      </c>
      <c r="H80" s="247">
        <f ca="1">'Group P&amp;L'!H72</f>
        <v>-8010.4656988129054</v>
      </c>
      <c r="I80" s="247">
        <f ca="1">'Group P&amp;L'!I72</f>
        <v>-10308.857559061205</v>
      </c>
      <c r="J80" s="247">
        <f ca="1">'Group P&amp;L'!J72</f>
        <v>-12769.095612474237</v>
      </c>
      <c r="K80" s="247">
        <f ca="1">'Group P&amp;L'!K72</f>
        <v>-16177.114806337844</v>
      </c>
      <c r="L80" s="247">
        <f ca="1">'Group P&amp;L'!L72</f>
        <v>-18626.066299811344</v>
      </c>
      <c r="M80" s="247">
        <f ca="1">'Group P&amp;L'!M72</f>
        <v>-20292.043531899653</v>
      </c>
      <c r="N80" s="247">
        <f ca="1">'Group P&amp;L'!N72</f>
        <v>-22496.720725823943</v>
      </c>
      <c r="O80" s="247">
        <f ca="1">'Group P&amp;L'!O72</f>
        <v>-25948.120862477303</v>
      </c>
      <c r="P80" s="247">
        <f ca="1">'Group P&amp;L'!P72</f>
        <v>-31370.550139682709</v>
      </c>
      <c r="Q80" s="247">
        <f ca="1">'Group P&amp;L'!Q72</f>
        <v>-37661.820237726788</v>
      </c>
      <c r="R80" s="247">
        <f ca="1">'Group P&amp;L'!R72</f>
        <v>-43973.646809707745</v>
      </c>
      <c r="S80" s="247">
        <f ca="1">'Group P&amp;L'!S72</f>
        <v>-52461.502197118156</v>
      </c>
      <c r="T80" s="247">
        <f>'Group P&amp;L'!T72</f>
        <v>0</v>
      </c>
      <c r="U80" s="247">
        <f>'Group P&amp;L'!U72</f>
        <v>0</v>
      </c>
      <c r="V80" s="247">
        <f>'Group P&amp;L'!V72</f>
        <v>0</v>
      </c>
      <c r="W80" s="247">
        <f>'Group P&amp;L'!W72</f>
        <v>0</v>
      </c>
      <c r="X80" s="247">
        <f>'Group P&amp;L'!X72</f>
        <v>0</v>
      </c>
      <c r="Y80" s="247">
        <f>'Group P&amp;L'!Y72</f>
        <v>0</v>
      </c>
      <c r="Z80" s="247">
        <f>'Group P&amp;L'!Z72</f>
        <v>0</v>
      </c>
      <c r="AA80" s="247">
        <f>'Group P&amp;L'!AA72</f>
        <v>0</v>
      </c>
      <c r="AB80" s="247">
        <f>'Group P&amp;L'!AB72</f>
        <v>0</v>
      </c>
      <c r="AC80" s="247">
        <f>'Group P&amp;L'!AC72</f>
        <v>0</v>
      </c>
    </row>
    <row r="81" spans="1:29" x14ac:dyDescent="0.2">
      <c r="A81" s="250" t="s">
        <v>849</v>
      </c>
      <c r="B81" s="235"/>
      <c r="C81" s="235"/>
      <c r="D81" s="249">
        <f ca="1">'Group P&amp;L'!D73</f>
        <v>614.39013405447076</v>
      </c>
      <c r="E81" s="249">
        <f ca="1">'Group P&amp;L'!E73</f>
        <v>1785.0197655643833</v>
      </c>
      <c r="F81" s="249">
        <f ca="1">'Group P&amp;L'!F73</f>
        <v>23836.093634518347</v>
      </c>
      <c r="G81" s="249">
        <f ca="1">'Group P&amp;L'!G73</f>
        <v>54054.183459912427</v>
      </c>
      <c r="H81" s="249">
        <f ca="1">'Group P&amp;L'!H73</f>
        <v>96873.048330144346</v>
      </c>
      <c r="I81" s="249">
        <f ca="1">'Group P&amp;L'!I73</f>
        <v>148189.47281183035</v>
      </c>
      <c r="J81" s="249">
        <f ca="1">'Group P&amp;L'!J73</f>
        <v>200675.70835433411</v>
      </c>
      <c r="K81" s="249">
        <f ca="1">'Group P&amp;L'!K73</f>
        <v>242777.46315404397</v>
      </c>
      <c r="L81" s="249">
        <f ca="1">'Group P&amp;L'!L73</f>
        <v>256376.11149998754</v>
      </c>
      <c r="M81" s="249">
        <f ca="1">'Group P&amp;L'!M73</f>
        <v>276245.84895958327</v>
      </c>
      <c r="N81" s="249">
        <f ca="1">'Group P&amp;L'!N73</f>
        <v>327238.38188770256</v>
      </c>
      <c r="O81" s="249">
        <f ca="1">'Group P&amp;L'!O73</f>
        <v>416066.62967045855</v>
      </c>
      <c r="P81" s="249">
        <f ca="1">'Group P&amp;L'!P73</f>
        <v>524087.30812389776</v>
      </c>
      <c r="Q81" s="249">
        <f ca="1">'Group P&amp;L'!Q73</f>
        <v>633112.98988588876</v>
      </c>
      <c r="R81" s="249">
        <f ca="1">'Group P&amp;L'!R73</f>
        <v>798287.43670102418</v>
      </c>
      <c r="S81" s="249">
        <f ca="1">'Group P&amp;L'!S73</f>
        <v>1032269.1850625857</v>
      </c>
      <c r="T81" s="249">
        <f>'Group P&amp;L'!T73</f>
        <v>0</v>
      </c>
      <c r="U81" s="249">
        <f>'Group P&amp;L'!U73</f>
        <v>0</v>
      </c>
      <c r="V81" s="249">
        <f>'Group P&amp;L'!V73</f>
        <v>0</v>
      </c>
      <c r="W81" s="249">
        <f>'Group P&amp;L'!W73</f>
        <v>0</v>
      </c>
      <c r="X81" s="249">
        <f>'Group P&amp;L'!X73</f>
        <v>0</v>
      </c>
      <c r="Y81" s="249">
        <f>'Group P&amp;L'!Y73</f>
        <v>0</v>
      </c>
      <c r="Z81" s="249">
        <f>'Group P&amp;L'!Z73</f>
        <v>0</v>
      </c>
      <c r="AA81" s="249">
        <f>'Group P&amp;L'!AA73</f>
        <v>0</v>
      </c>
      <c r="AB81" s="249">
        <f>'Group P&amp;L'!AB73</f>
        <v>0</v>
      </c>
      <c r="AC81" s="249">
        <f>'Group P&amp;L'!AC73</f>
        <v>0</v>
      </c>
    </row>
    <row r="82" spans="1:29" x14ac:dyDescent="0.2"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</row>
    <row r="83" spans="1:29" x14ac:dyDescent="0.2">
      <c r="A83" s="248" t="s">
        <v>850</v>
      </c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47"/>
      <c r="V83" s="247"/>
      <c r="W83" s="247"/>
      <c r="X83" s="247"/>
      <c r="Y83" s="247"/>
      <c r="Z83" s="247"/>
      <c r="AA83" s="247"/>
      <c r="AB83" s="247"/>
      <c r="AC83" s="247"/>
    </row>
    <row r="84" spans="1:29" x14ac:dyDescent="0.2">
      <c r="A84" t="s">
        <v>851</v>
      </c>
      <c r="D84" s="247">
        <f>'Group P&amp;L'!D76</f>
        <v>0</v>
      </c>
      <c r="E84" s="247">
        <f ca="1">'Group P&amp;L'!E76</f>
        <v>40.4536266987229</v>
      </c>
      <c r="F84" s="247">
        <f ca="1">'Group P&amp;L'!F76</f>
        <v>296.31805230102952</v>
      </c>
      <c r="G84" s="247">
        <f ca="1">'Group P&amp;L'!G76</f>
        <v>4803.5007140740163</v>
      </c>
      <c r="H84" s="247">
        <f ca="1">'Group P&amp;L'!H76</f>
        <v>11258.108103243747</v>
      </c>
      <c r="I84" s="247">
        <f ca="1">'Group P&amp;L'!I76</f>
        <v>20270.880547799556</v>
      </c>
      <c r="J84" s="247">
        <f ca="1">'Group P&amp;L'!J76</f>
        <v>31247.299515422517</v>
      </c>
      <c r="K84" s="247">
        <f ca="1">'Group P&amp;L'!K76</f>
        <v>42382.775276005763</v>
      </c>
      <c r="L84" s="247">
        <f ca="1">'Group P&amp;L'!L76</f>
        <v>51732.701246540004</v>
      </c>
      <c r="M84" s="247">
        <f ca="1">'Group P&amp;L'!M76</f>
        <v>55072.467941441748</v>
      </c>
      <c r="N84" s="247">
        <f ca="1">'Group P&amp;L'!N76</f>
        <v>59499.908076913664</v>
      </c>
      <c r="O84" s="247">
        <f ca="1">'Group P&amp;L'!O76</f>
        <v>70359.488585040148</v>
      </c>
      <c r="P84" s="247">
        <f ca="1">'Group P&amp;L'!P76</f>
        <v>89133.217775638972</v>
      </c>
      <c r="Q84" s="247">
        <f ca="1">'Group P&amp;L'!Q76</f>
        <v>112176.45166891579</v>
      </c>
      <c r="R84" s="247">
        <f ca="1">'Group P&amp;L'!R76</f>
        <v>135653.5147012852</v>
      </c>
      <c r="S84" s="247">
        <f ca="1">'Group P&amp;L'!S76</f>
        <v>170608.66208643949</v>
      </c>
      <c r="T84" s="247">
        <f>'Group P&amp;L'!T76</f>
        <v>0</v>
      </c>
      <c r="U84" s="247">
        <f>'Group P&amp;L'!U76</f>
        <v>0</v>
      </c>
      <c r="V84" s="247">
        <f>'Group P&amp;L'!V76</f>
        <v>0</v>
      </c>
      <c r="W84" s="247">
        <f>'Group P&amp;L'!W76</f>
        <v>0</v>
      </c>
      <c r="X84" s="247">
        <f>'Group P&amp;L'!X76</f>
        <v>0</v>
      </c>
      <c r="Y84" s="247">
        <f>'Group P&amp;L'!Y76</f>
        <v>0</v>
      </c>
      <c r="Z84" s="247">
        <f>'Group P&amp;L'!Z76</f>
        <v>0</v>
      </c>
      <c r="AA84" s="247">
        <f>'Group P&amp;L'!AA76</f>
        <v>0</v>
      </c>
      <c r="AB84" s="247">
        <f>'Group P&amp;L'!AB76</f>
        <v>0</v>
      </c>
      <c r="AC84" s="247">
        <f>'Group P&amp;L'!AC76</f>
        <v>0</v>
      </c>
    </row>
    <row r="85" spans="1:29" x14ac:dyDescent="0.2">
      <c r="A85" s="250" t="s">
        <v>852</v>
      </c>
      <c r="B85" s="235"/>
      <c r="C85" s="235"/>
      <c r="D85" s="249">
        <f ca="1">'Group P&amp;L'!D77</f>
        <v>614.39013405447076</v>
      </c>
      <c r="E85" s="249">
        <f ca="1">'Group P&amp;L'!E77</f>
        <v>1744.5661388656604</v>
      </c>
      <c r="F85" s="249">
        <f ca="1">'Group P&amp;L'!F77</f>
        <v>23539.775582217317</v>
      </c>
      <c r="G85" s="249">
        <f ca="1">'Group P&amp;L'!G77</f>
        <v>49250.682745838407</v>
      </c>
      <c r="H85" s="249">
        <f ca="1">'Group P&amp;L'!H77</f>
        <v>85614.940226900595</v>
      </c>
      <c r="I85" s="249">
        <f ca="1">'Group P&amp;L'!I77</f>
        <v>127918.5922640308</v>
      </c>
      <c r="J85" s="249">
        <f ca="1">'Group P&amp;L'!J77</f>
        <v>169428.40883891159</v>
      </c>
      <c r="K85" s="249">
        <f ca="1">'Group P&amp;L'!K77</f>
        <v>200394.68787803821</v>
      </c>
      <c r="L85" s="249">
        <f ca="1">'Group P&amp;L'!L77</f>
        <v>204643.41025344754</v>
      </c>
      <c r="M85" s="249">
        <f ca="1">'Group P&amp;L'!M77</f>
        <v>221173.38101814152</v>
      </c>
      <c r="N85" s="249">
        <f ca="1">'Group P&amp;L'!N77</f>
        <v>267738.47381078888</v>
      </c>
      <c r="O85" s="249">
        <f ca="1">'Group P&amp;L'!O77</f>
        <v>345707.14108541841</v>
      </c>
      <c r="P85" s="249">
        <f ca="1">'Group P&amp;L'!P77</f>
        <v>434954.09034825879</v>
      </c>
      <c r="Q85" s="249">
        <f ca="1">'Group P&amp;L'!Q77</f>
        <v>520936.53821697296</v>
      </c>
      <c r="R85" s="249">
        <f ca="1">'Group P&amp;L'!R77</f>
        <v>662633.92199973902</v>
      </c>
      <c r="S85" s="249">
        <f ca="1">'Group P&amp;L'!S77</f>
        <v>861660.52297614631</v>
      </c>
      <c r="T85" s="249">
        <f>'Group P&amp;L'!T77</f>
        <v>0</v>
      </c>
      <c r="U85" s="249">
        <f>'Group P&amp;L'!U77</f>
        <v>0</v>
      </c>
      <c r="V85" s="249">
        <f>'Group P&amp;L'!V77</f>
        <v>0</v>
      </c>
      <c r="W85" s="249">
        <f>'Group P&amp;L'!W77</f>
        <v>0</v>
      </c>
      <c r="X85" s="249">
        <f>'Group P&amp;L'!X77</f>
        <v>0</v>
      </c>
      <c r="Y85" s="249">
        <f>'Group P&amp;L'!Y77</f>
        <v>0</v>
      </c>
      <c r="Z85" s="249">
        <f>'Group P&amp;L'!Z77</f>
        <v>0</v>
      </c>
      <c r="AA85" s="249">
        <f>'Group P&amp;L'!AA77</f>
        <v>0</v>
      </c>
      <c r="AB85" s="249">
        <f>'Group P&amp;L'!AB77</f>
        <v>0</v>
      </c>
      <c r="AC85" s="249">
        <f>'Group P&amp;L'!AC77</f>
        <v>0</v>
      </c>
    </row>
    <row r="86" spans="1:29" x14ac:dyDescent="0.2"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47"/>
      <c r="V86" s="247"/>
      <c r="W86" s="247"/>
      <c r="X86" s="247"/>
      <c r="Y86" s="247"/>
      <c r="Z86" s="247"/>
      <c r="AA86" s="247"/>
      <c r="AB86" s="247"/>
      <c r="AC86" s="247"/>
    </row>
    <row r="87" spans="1:29" x14ac:dyDescent="0.2">
      <c r="A87" s="248" t="s">
        <v>853</v>
      </c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</row>
    <row r="88" spans="1:29" x14ac:dyDescent="0.2">
      <c r="A88" s="234" t="s">
        <v>1568</v>
      </c>
      <c r="D88" s="247">
        <f ca="1">'Group P&amp;L'!D80</f>
        <v>2007.9793406593408</v>
      </c>
      <c r="E88" s="247">
        <f ca="1">'Group P&amp;L'!E80</f>
        <v>1714.4918219284275</v>
      </c>
      <c r="F88" s="247">
        <f ca="1">'Group P&amp;L'!F80</f>
        <v>6918.8609654023821</v>
      </c>
      <c r="G88" s="247">
        <f ca="1">'Group P&amp;L'!G80</f>
        <v>14418.86235570158</v>
      </c>
      <c r="H88" s="247">
        <f ca="1">'Group P&amp;L'!H80</f>
        <v>30747.468886813833</v>
      </c>
      <c r="I88" s="247">
        <f ca="1">'Group P&amp;L'!I80</f>
        <v>42228.726511789231</v>
      </c>
      <c r="J88" s="247">
        <f ca="1">'Group P&amp;L'!J80</f>
        <v>63773.209930108671</v>
      </c>
      <c r="K88" s="247">
        <f ca="1">'Group P&amp;L'!K80</f>
        <v>40751.195188369697</v>
      </c>
      <c r="L88" s="247">
        <f ca="1">'Group P&amp;L'!L80</f>
        <v>48285.677359015157</v>
      </c>
      <c r="M88" s="247">
        <f ca="1">'Group P&amp;L'!M80</f>
        <v>69200.798159128593</v>
      </c>
      <c r="N88" s="247">
        <f ca="1">'Group P&amp;L'!N80</f>
        <v>79978.278086621649</v>
      </c>
      <c r="O88" s="247">
        <f ca="1">'Group P&amp;L'!O80</f>
        <v>111234.77078136329</v>
      </c>
      <c r="P88" s="247">
        <f ca="1">'Group P&amp;L'!P80</f>
        <v>93224.082515170536</v>
      </c>
      <c r="Q88" s="247">
        <f ca="1">'Group P&amp;L'!Q80</f>
        <v>51083.432228630241</v>
      </c>
      <c r="R88" s="247">
        <f ca="1">'Group P&amp;L'!R80</f>
        <v>35092.623804714014</v>
      </c>
      <c r="S88" s="247">
        <f ca="1">'Group P&amp;L'!S80</f>
        <v>35814.144100924284</v>
      </c>
      <c r="T88" s="247">
        <f>'Group P&amp;L'!T80</f>
        <v>0</v>
      </c>
      <c r="U88" s="247">
        <f>'Group P&amp;L'!U80</f>
        <v>0</v>
      </c>
      <c r="V88" s="247">
        <f>'Group P&amp;L'!V80</f>
        <v>0</v>
      </c>
      <c r="W88" s="247">
        <f>'Group P&amp;L'!W80</f>
        <v>0</v>
      </c>
      <c r="X88" s="247">
        <f>'Group P&amp;L'!X80</f>
        <v>0</v>
      </c>
      <c r="Y88" s="247">
        <f>'Group P&amp;L'!Y80</f>
        <v>0</v>
      </c>
      <c r="Z88" s="247">
        <f>'Group P&amp;L'!Z80</f>
        <v>0</v>
      </c>
      <c r="AA88" s="247">
        <f>'Group P&amp;L'!AA80</f>
        <v>0</v>
      </c>
      <c r="AB88" s="247">
        <f>'Group P&amp;L'!AB80</f>
        <v>0</v>
      </c>
      <c r="AC88" s="247">
        <f>'Group P&amp;L'!AC80</f>
        <v>0</v>
      </c>
    </row>
    <row r="89" spans="1:29" x14ac:dyDescent="0.2">
      <c r="A89" s="234" t="s">
        <v>1569</v>
      </c>
      <c r="D89" s="247">
        <f ca="1">'Group P&amp;L'!D81</f>
        <v>847.67630769230777</v>
      </c>
      <c r="E89" s="247">
        <f ca="1">'Group P&amp;L'!E81</f>
        <v>900.78459459459452</v>
      </c>
      <c r="F89" s="247">
        <f ca="1">'Group P&amp;L'!F81</f>
        <v>705.63082080000004</v>
      </c>
      <c r="G89" s="247">
        <f ca="1">'Group P&amp;L'!G81</f>
        <v>663.3193780332582</v>
      </c>
      <c r="H89" s="247">
        <f ca="1">'Group P&amp;L'!H81</f>
        <v>1058.8826356645943</v>
      </c>
      <c r="I89" s="247">
        <f ca="1">'Group P&amp;L'!I81</f>
        <v>1031.1811483056476</v>
      </c>
      <c r="J89" s="247">
        <f ca="1">'Group P&amp;L'!J81</f>
        <v>1170.3649994371351</v>
      </c>
      <c r="K89" s="247">
        <f ca="1">'Group P&amp;L'!K81</f>
        <v>1448.4218009248896</v>
      </c>
      <c r="L89" s="247">
        <f ca="1">'Group P&amp;L'!L81</f>
        <v>1051.4935276377337</v>
      </c>
      <c r="M89" s="247">
        <f ca="1">'Group P&amp;L'!M81</f>
        <v>1295.9413121030477</v>
      </c>
      <c r="N89" s="247">
        <f ca="1">'Group P&amp;L'!N81</f>
        <v>945.83423715359845</v>
      </c>
      <c r="O89" s="247">
        <f ca="1">'Group P&amp;L'!O81</f>
        <v>1546.8943403999017</v>
      </c>
      <c r="P89" s="247">
        <f ca="1">'Group P&amp;L'!P81</f>
        <v>498.24482030575888</v>
      </c>
      <c r="Q89" s="247">
        <f ca="1">'Group P&amp;L'!Q81</f>
        <v>440.23351835832335</v>
      </c>
      <c r="R89" s="247">
        <f ca="1">'Group P&amp;L'!R81</f>
        <v>652.6916144131917</v>
      </c>
      <c r="S89" s="247">
        <f ca="1">'Group P&amp;L'!S81</f>
        <v>-25.603073890763596</v>
      </c>
      <c r="T89" s="247">
        <f>'Group P&amp;L'!T81</f>
        <v>0</v>
      </c>
      <c r="U89" s="247">
        <f>'Group P&amp;L'!U81</f>
        <v>0</v>
      </c>
      <c r="V89" s="247">
        <f>'Group P&amp;L'!V81</f>
        <v>0</v>
      </c>
      <c r="W89" s="247">
        <f>'Group P&amp;L'!W81</f>
        <v>0</v>
      </c>
      <c r="X89" s="247">
        <f>'Group P&amp;L'!X81</f>
        <v>0</v>
      </c>
      <c r="Y89" s="247">
        <f>'Group P&amp;L'!Y81</f>
        <v>0</v>
      </c>
      <c r="Z89" s="247">
        <f>'Group P&amp;L'!Z81</f>
        <v>0</v>
      </c>
      <c r="AA89" s="247">
        <f>'Group P&amp;L'!AA81</f>
        <v>0</v>
      </c>
      <c r="AB89" s="247">
        <f>'Group P&amp;L'!AB81</f>
        <v>0</v>
      </c>
      <c r="AC89" s="247">
        <f>'Group P&amp;L'!AC81</f>
        <v>0</v>
      </c>
    </row>
    <row r="90" spans="1:29" x14ac:dyDescent="0.2">
      <c r="A90" s="234" t="s">
        <v>1570</v>
      </c>
      <c r="D90" s="247">
        <f ca="1">'Group P&amp;L'!D82</f>
        <v>0</v>
      </c>
      <c r="E90" s="247">
        <f ca="1">'Group P&amp;L'!E82</f>
        <v>35856.181594555157</v>
      </c>
      <c r="F90" s="247">
        <f ca="1">'Group P&amp;L'!F82</f>
        <v>40694.377327911105</v>
      </c>
      <c r="G90" s="247">
        <f ca="1">'Group P&amp;L'!G82</f>
        <v>30738.506805856676</v>
      </c>
      <c r="H90" s="247">
        <f ca="1">'Group P&amp;L'!H82</f>
        <v>17343.281305165438</v>
      </c>
      <c r="I90" s="247">
        <f ca="1">'Group P&amp;L'!I82</f>
        <v>43531.354333796844</v>
      </c>
      <c r="J90" s="247">
        <f ca="1">'Group P&amp;L'!J82</f>
        <v>88640.492674853842</v>
      </c>
      <c r="K90" s="247">
        <f ca="1">'Group P&amp;L'!K82</f>
        <v>121931.24160237634</v>
      </c>
      <c r="L90" s="247">
        <f ca="1">'Group P&amp;L'!L82</f>
        <v>92589.246595347387</v>
      </c>
      <c r="M90" s="247">
        <f ca="1">'Group P&amp;L'!M82</f>
        <v>115592.53292462794</v>
      </c>
      <c r="N90" s="247">
        <f ca="1">'Group P&amp;L'!N82</f>
        <v>165162.5702902159</v>
      </c>
      <c r="O90" s="247">
        <f ca="1">'Group P&amp;L'!O82</f>
        <v>234102.63374422595</v>
      </c>
      <c r="P90" s="247">
        <f ca="1">'Group P&amp;L'!P82</f>
        <v>311172.86519086419</v>
      </c>
      <c r="Q90" s="247">
        <f ca="1">'Group P&amp;L'!Q82</f>
        <v>360340.35804876371</v>
      </c>
      <c r="R90" s="247">
        <f ca="1">'Group P&amp;L'!R82</f>
        <v>461944.26316063129</v>
      </c>
      <c r="S90" s="247">
        <f ca="1">'Group P&amp;L'!S82</f>
        <v>609672.66684936837</v>
      </c>
      <c r="T90" s="247">
        <f>'Group P&amp;L'!T82</f>
        <v>0</v>
      </c>
      <c r="U90" s="247">
        <f>'Group P&amp;L'!U82</f>
        <v>0</v>
      </c>
      <c r="V90" s="247">
        <f>'Group P&amp;L'!V82</f>
        <v>0</v>
      </c>
      <c r="W90" s="247">
        <f>'Group P&amp;L'!W82</f>
        <v>0</v>
      </c>
      <c r="X90" s="247">
        <f>'Group P&amp;L'!X82</f>
        <v>0</v>
      </c>
      <c r="Y90" s="247">
        <f>'Group P&amp;L'!Y82</f>
        <v>0</v>
      </c>
      <c r="Z90" s="247">
        <f>'Group P&amp;L'!Z82</f>
        <v>0</v>
      </c>
      <c r="AA90" s="247">
        <f>'Group P&amp;L'!AA82</f>
        <v>0</v>
      </c>
      <c r="AB90" s="247">
        <f>'Group P&amp;L'!AB82</f>
        <v>0</v>
      </c>
      <c r="AC90" s="247">
        <f>'Group P&amp;L'!AC82</f>
        <v>0</v>
      </c>
    </row>
    <row r="91" spans="1:29" x14ac:dyDescent="0.2">
      <c r="A91" s="234" t="s">
        <v>1571</v>
      </c>
      <c r="D91" s="247">
        <f>'Group P&amp;L'!D83</f>
        <v>0</v>
      </c>
      <c r="E91" s="247">
        <f>'Group P&amp;L'!E83</f>
        <v>0</v>
      </c>
      <c r="F91" s="247">
        <f>'Group P&amp;L'!F83</f>
        <v>0</v>
      </c>
      <c r="G91" s="247">
        <f>'Group P&amp;L'!G83</f>
        <v>0</v>
      </c>
      <c r="H91" s="247">
        <f>'Group P&amp;L'!H83</f>
        <v>0</v>
      </c>
      <c r="I91" s="247">
        <f ca="1">'Group P&amp;L'!I83</f>
        <v>14863.061562173079</v>
      </c>
      <c r="J91" s="247">
        <f ca="1">'Group P&amp;L'!J83</f>
        <v>15637.176088763632</v>
      </c>
      <c r="K91" s="247">
        <f ca="1">'Group P&amp;L'!K83</f>
        <v>18483.910353186766</v>
      </c>
      <c r="L91" s="247">
        <f ca="1">'Group P&amp;L'!L83</f>
        <v>13878.807468103394</v>
      </c>
      <c r="M91" s="247">
        <f ca="1">'Group P&amp;L'!M83</f>
        <v>21935.389692153185</v>
      </c>
      <c r="N91" s="247">
        <f ca="1">'Group P&amp;L'!N83</f>
        <v>20009.772993663591</v>
      </c>
      <c r="O91" s="247">
        <f ca="1">'Group P&amp;L'!O83</f>
        <v>23904.501943829422</v>
      </c>
      <c r="P91" s="247">
        <f ca="1">'Group P&amp;L'!P83</f>
        <v>26587.675008960563</v>
      </c>
      <c r="Q91" s="247">
        <f ca="1">'Group P&amp;L'!Q83</f>
        <v>43671.563021575959</v>
      </c>
      <c r="R91" s="247">
        <f ca="1">'Group P&amp;L'!R83</f>
        <v>68284.055539735331</v>
      </c>
      <c r="S91" s="247">
        <f ca="1">'Group P&amp;L'!S83</f>
        <v>90725.662340825889</v>
      </c>
      <c r="T91" s="247">
        <f>'Group P&amp;L'!T83</f>
        <v>0</v>
      </c>
      <c r="U91" s="247">
        <f>'Group P&amp;L'!U83</f>
        <v>0</v>
      </c>
      <c r="V91" s="247">
        <f>'Group P&amp;L'!V83</f>
        <v>0</v>
      </c>
      <c r="W91" s="247">
        <f>'Group P&amp;L'!W83</f>
        <v>0</v>
      </c>
      <c r="X91" s="247">
        <f>'Group P&amp;L'!X83</f>
        <v>0</v>
      </c>
      <c r="Y91" s="247">
        <f>'Group P&amp;L'!Y83</f>
        <v>0</v>
      </c>
      <c r="Z91" s="247">
        <f>'Group P&amp;L'!Z83</f>
        <v>0</v>
      </c>
      <c r="AA91" s="247">
        <f>'Group P&amp;L'!AA83</f>
        <v>0</v>
      </c>
      <c r="AB91" s="247">
        <f>'Group P&amp;L'!AB83</f>
        <v>0</v>
      </c>
      <c r="AC91" s="247">
        <f>'Group P&amp;L'!AC83</f>
        <v>0</v>
      </c>
    </row>
    <row r="92" spans="1:29" x14ac:dyDescent="0.2">
      <c r="A92" s="234" t="s">
        <v>1572</v>
      </c>
      <c r="D92" s="247">
        <f ca="1">'Group P&amp;L'!D84</f>
        <v>3164.3136372769609</v>
      </c>
      <c r="E92" s="247">
        <f ca="1">'Group P&amp;L'!E84</f>
        <v>949.59780278493474</v>
      </c>
      <c r="F92" s="247">
        <f ca="1">'Group P&amp;L'!F84</f>
        <v>1433.3719735263319</v>
      </c>
      <c r="G92" s="247">
        <f ca="1">'Group P&amp;L'!G84</f>
        <v>5887.8891125373757</v>
      </c>
      <c r="H92" s="247">
        <f ca="1">'Group P&amp;L'!H84</f>
        <v>10267.271129646642</v>
      </c>
      <c r="I92" s="247">
        <f ca="1">'Group P&amp;L'!I84</f>
        <v>17364.479117693238</v>
      </c>
      <c r="J92" s="247">
        <f ca="1">'Group P&amp;L'!J84</f>
        <v>22281.669241285545</v>
      </c>
      <c r="K92" s="247">
        <f ca="1">'Group P&amp;L'!K84</f>
        <v>29752.412966863987</v>
      </c>
      <c r="L92" s="247">
        <f ca="1">'Group P&amp;L'!L84</f>
        <v>29252.690048881257</v>
      </c>
      <c r="M92" s="247">
        <f ca="1">'Group P&amp;L'!M84</f>
        <v>30440.566415495108</v>
      </c>
      <c r="N92" s="247">
        <f ca="1">'Group P&amp;L'!N84</f>
        <v>35040.215327845362</v>
      </c>
      <c r="O92" s="247">
        <f ca="1">'Group P&amp;L'!O84</f>
        <v>39329.56297090782</v>
      </c>
      <c r="P92" s="247">
        <f ca="1">'Group P&amp;L'!P84</f>
        <v>50829.835784381336</v>
      </c>
      <c r="Q92" s="247">
        <f ca="1">'Group P&amp;L'!Q84</f>
        <v>51556.951469588923</v>
      </c>
      <c r="R92" s="247">
        <f ca="1">'Group P&amp;L'!R84</f>
        <v>55808.259226481001</v>
      </c>
      <c r="S92" s="247">
        <f ca="1">'Group P&amp;L'!S84</f>
        <v>69093.295734861662</v>
      </c>
      <c r="T92" s="247">
        <f>'Group P&amp;L'!T84</f>
        <v>0</v>
      </c>
      <c r="U92" s="247">
        <f>'Group P&amp;L'!U84</f>
        <v>0</v>
      </c>
      <c r="V92" s="247">
        <f>'Group P&amp;L'!V84</f>
        <v>0</v>
      </c>
      <c r="W92" s="247">
        <f>'Group P&amp;L'!W84</f>
        <v>0</v>
      </c>
      <c r="X92" s="247">
        <f>'Group P&amp;L'!X84</f>
        <v>0</v>
      </c>
      <c r="Y92" s="247">
        <f>'Group P&amp;L'!Y84</f>
        <v>0</v>
      </c>
      <c r="Z92" s="247">
        <f>'Group P&amp;L'!Z84</f>
        <v>0</v>
      </c>
      <c r="AA92" s="247">
        <f>'Group P&amp;L'!AA84</f>
        <v>0</v>
      </c>
      <c r="AB92" s="247">
        <f>'Group P&amp;L'!AB84</f>
        <v>0</v>
      </c>
      <c r="AC92" s="247">
        <f>'Group P&amp;L'!AC84</f>
        <v>0</v>
      </c>
    </row>
    <row r="93" spans="1:29" x14ac:dyDescent="0.2">
      <c r="A93" s="250" t="s">
        <v>1573</v>
      </c>
      <c r="B93" s="235"/>
      <c r="C93" s="235"/>
      <c r="D93" s="249">
        <f ca="1">'Group P&amp;L'!D85</f>
        <v>6019.9692856286092</v>
      </c>
      <c r="E93" s="249">
        <f ca="1">'Group P&amp;L'!E85</f>
        <v>39421.055813863117</v>
      </c>
      <c r="F93" s="249">
        <f ca="1">'Group P&amp;L'!F85</f>
        <v>49752.241087639813</v>
      </c>
      <c r="G93" s="249">
        <f ca="1">'Group P&amp;L'!G85</f>
        <v>51708.577652128894</v>
      </c>
      <c r="H93" s="249">
        <f ca="1">'Group P&amp;L'!H85</f>
        <v>59416.903957290509</v>
      </c>
      <c r="I93" s="249">
        <f ca="1">'Group P&amp;L'!I85</f>
        <v>119018.80267375804</v>
      </c>
      <c r="J93" s="249">
        <f ca="1">'Group P&amp;L'!J85</f>
        <v>191502.9129344488</v>
      </c>
      <c r="K93" s="249">
        <f ca="1">'Group P&amp;L'!K85</f>
        <v>212367.18191172168</v>
      </c>
      <c r="L93" s="249">
        <f ca="1">'Group P&amp;L'!L85</f>
        <v>185057.91499898492</v>
      </c>
      <c r="M93" s="249">
        <f ca="1">'Group P&amp;L'!M85</f>
        <v>238465.22850350791</v>
      </c>
      <c r="N93" s="249">
        <f ca="1">'Group P&amp;L'!N85</f>
        <v>301136.67093550012</v>
      </c>
      <c r="O93" s="249">
        <f ca="1">'Group P&amp;L'!O85</f>
        <v>410118.36378072639</v>
      </c>
      <c r="P93" s="249">
        <f ca="1">'Group P&amp;L'!P85</f>
        <v>482312.70331968233</v>
      </c>
      <c r="Q93" s="249">
        <f ca="1">'Group P&amp;L'!Q85</f>
        <v>507092.53828691714</v>
      </c>
      <c r="R93" s="249">
        <f ca="1">'Group P&amp;L'!R85</f>
        <v>621781.89334597485</v>
      </c>
      <c r="S93" s="249">
        <f ca="1">'Group P&amp;L'!S85</f>
        <v>805280.16595208936</v>
      </c>
      <c r="T93" s="249">
        <f>'Group P&amp;L'!T85</f>
        <v>0</v>
      </c>
      <c r="U93" s="249">
        <f>'Group P&amp;L'!U85</f>
        <v>0</v>
      </c>
      <c r="V93" s="249">
        <f>'Group P&amp;L'!V85</f>
        <v>0</v>
      </c>
      <c r="W93" s="249">
        <f>'Group P&amp;L'!W85</f>
        <v>0</v>
      </c>
      <c r="X93" s="249">
        <f>'Group P&amp;L'!X85</f>
        <v>0</v>
      </c>
      <c r="Y93" s="249">
        <f>'Group P&amp;L'!Y85</f>
        <v>0</v>
      </c>
      <c r="Z93" s="249">
        <f>'Group P&amp;L'!Z85</f>
        <v>0</v>
      </c>
      <c r="AA93" s="249">
        <f>'Group P&amp;L'!AA85</f>
        <v>0</v>
      </c>
      <c r="AB93" s="249">
        <f>'Group P&amp;L'!AB85</f>
        <v>0</v>
      </c>
      <c r="AC93" s="249">
        <f>'Group P&amp;L'!AC85</f>
        <v>0</v>
      </c>
    </row>
    <row r="94" spans="1:29" x14ac:dyDescent="0.2"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  <c r="AA94" s="247"/>
      <c r="AB94" s="247"/>
      <c r="AC94" s="247"/>
    </row>
    <row r="95" spans="1:29" x14ac:dyDescent="0.2">
      <c r="A95" s="248" t="s">
        <v>1574</v>
      </c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  <c r="AA95" s="247"/>
      <c r="AB95" s="247"/>
      <c r="AC95" s="247"/>
    </row>
    <row r="96" spans="1:29" x14ac:dyDescent="0.2">
      <c r="A96" s="234" t="s">
        <v>1575</v>
      </c>
      <c r="D96" s="247">
        <f ca="1">'Group P&amp;L'!D88</f>
        <v>3126.4137464819987</v>
      </c>
      <c r="E96" s="247">
        <f ca="1">'Group P&amp;L'!E88</f>
        <v>6359.0186416780225</v>
      </c>
      <c r="F96" s="247">
        <f ca="1">'Group P&amp;L'!F88</f>
        <v>22513.210567419883</v>
      </c>
      <c r="G96" s="247">
        <f ca="1">'Group P&amp;L'!G88</f>
        <v>48401.674487812212</v>
      </c>
      <c r="H96" s="247">
        <f ca="1">'Group P&amp;L'!H88</f>
        <v>78429.01977020198</v>
      </c>
      <c r="I96" s="247">
        <f ca="1">'Group P&amp;L'!I88</f>
        <v>116790.8025496164</v>
      </c>
      <c r="J96" s="247">
        <f ca="1">'Group P&amp;L'!J88</f>
        <v>134729.61228559603</v>
      </c>
      <c r="K96" s="247">
        <f ca="1">'Group P&amp;L'!K88</f>
        <v>182066.27115974622</v>
      </c>
      <c r="L96" s="247">
        <f ca="1">'Group P&amp;L'!L88</f>
        <v>186773.10504528868</v>
      </c>
      <c r="M96" s="247">
        <f ca="1">'Group P&amp;L'!M88</f>
        <v>174870.12967636937</v>
      </c>
      <c r="N96" s="247">
        <f ca="1">'Group P&amp;L'!N88</f>
        <v>177481.67315435561</v>
      </c>
      <c r="O96" s="247">
        <f ca="1">'Group P&amp;L'!O88</f>
        <v>162837.21560271189</v>
      </c>
      <c r="P96" s="247">
        <f ca="1">'Group P&amp;L'!P88</f>
        <v>198174.44551177553</v>
      </c>
      <c r="Q96" s="247">
        <f ca="1">'Group P&amp;L'!Q88</f>
        <v>253853.07209925959</v>
      </c>
      <c r="R96" s="247">
        <f ca="1">'Group P&amp;L'!R88</f>
        <v>278745.22340341378</v>
      </c>
      <c r="S96" s="247">
        <f ca="1">'Group P&amp;L'!S88</f>
        <v>284445.56728912494</v>
      </c>
      <c r="T96" s="247">
        <f>'Group P&amp;L'!T88</f>
        <v>0</v>
      </c>
      <c r="U96" s="247">
        <f>'Group P&amp;L'!U88</f>
        <v>0</v>
      </c>
      <c r="V96" s="247">
        <f>'Group P&amp;L'!V88</f>
        <v>0</v>
      </c>
      <c r="W96" s="247">
        <f>'Group P&amp;L'!W88</f>
        <v>0</v>
      </c>
      <c r="X96" s="247">
        <f>'Group P&amp;L'!X88</f>
        <v>0</v>
      </c>
      <c r="Y96" s="247">
        <f>'Group P&amp;L'!Y88</f>
        <v>0</v>
      </c>
      <c r="Z96" s="247">
        <f>'Group P&amp;L'!Z88</f>
        <v>0</v>
      </c>
      <c r="AA96" s="247">
        <f>'Group P&amp;L'!AA88</f>
        <v>0</v>
      </c>
      <c r="AB96" s="247">
        <f>'Group P&amp;L'!AB88</f>
        <v>0</v>
      </c>
      <c r="AC96" s="247">
        <f>'Group P&amp;L'!AC88</f>
        <v>0</v>
      </c>
    </row>
    <row r="97" spans="1:29" x14ac:dyDescent="0.2">
      <c r="A97" s="234" t="s">
        <v>1579</v>
      </c>
      <c r="D97" s="247">
        <f ca="1">'Group P&amp;L'!D89</f>
        <v>1273.7976923076924</v>
      </c>
      <c r="E97" s="247">
        <f ca="1">'Group P&amp;L'!E89</f>
        <v>2888.0669054054051</v>
      </c>
      <c r="F97" s="247">
        <f ca="1">'Group P&amp;L'!F89</f>
        <v>6538.2980808832108</v>
      </c>
      <c r="G97" s="247">
        <f ca="1">'Group P&amp;L'!G89</f>
        <v>7205.337047215351</v>
      </c>
      <c r="H97" s="247">
        <f ca="1">'Group P&amp;L'!H89</f>
        <v>7596.0179960670512</v>
      </c>
      <c r="I97" s="247">
        <f ca="1">'Group P&amp;L'!I89</f>
        <v>8469.4103113662259</v>
      </c>
      <c r="J97" s="247">
        <f ca="1">'Group P&amp;L'!J89</f>
        <v>8324.1820332183324</v>
      </c>
      <c r="K97" s="247">
        <f ca="1">'Group P&amp;L'!K89</f>
        <v>10477.498083041119</v>
      </c>
      <c r="L97" s="247">
        <f ca="1">'Group P&amp;L'!L89</f>
        <v>10241.173317890272</v>
      </c>
      <c r="M97" s="247">
        <f ca="1">'Group P&amp;L'!M89</f>
        <v>9162.7333177728287</v>
      </c>
      <c r="N97" s="247">
        <f ca="1">'Group P&amp;L'!N89</f>
        <v>8613.8561649715302</v>
      </c>
      <c r="O97" s="247">
        <f ca="1">'Group P&amp;L'!O89</f>
        <v>7083.664837409854</v>
      </c>
      <c r="P97" s="247">
        <f ca="1">'Group P&amp;L'!P89</f>
        <v>7172.4115186985828</v>
      </c>
      <c r="Q97" s="247">
        <f ca="1">'Group P&amp;L'!Q89</f>
        <v>6222.6879072837719</v>
      </c>
      <c r="R97" s="247">
        <f ca="1">'Group P&amp;L'!R89</f>
        <v>5334.1275101099754</v>
      </c>
      <c r="S97" s="247">
        <f ca="1">'Group P&amp;L'!S89</f>
        <v>2853.1474844106992</v>
      </c>
      <c r="T97" s="247">
        <f>'Group P&amp;L'!T89</f>
        <v>0</v>
      </c>
      <c r="U97" s="247">
        <f>'Group P&amp;L'!U89</f>
        <v>0</v>
      </c>
      <c r="V97" s="247">
        <f>'Group P&amp;L'!V89</f>
        <v>0</v>
      </c>
      <c r="W97" s="247">
        <f>'Group P&amp;L'!W89</f>
        <v>0</v>
      </c>
      <c r="X97" s="247">
        <f>'Group P&amp;L'!X89</f>
        <v>0</v>
      </c>
      <c r="Y97" s="247">
        <f>'Group P&amp;L'!Y89</f>
        <v>0</v>
      </c>
      <c r="Z97" s="247">
        <f>'Group P&amp;L'!Z89</f>
        <v>0</v>
      </c>
      <c r="AA97" s="247">
        <f>'Group P&amp;L'!AA89</f>
        <v>0</v>
      </c>
      <c r="AB97" s="247">
        <f>'Group P&amp;L'!AB89</f>
        <v>0</v>
      </c>
      <c r="AC97" s="247">
        <f>'Group P&amp;L'!AC89</f>
        <v>0</v>
      </c>
    </row>
    <row r="98" spans="1:29" x14ac:dyDescent="0.2">
      <c r="A98" s="234" t="s">
        <v>1576</v>
      </c>
      <c r="D98" s="247">
        <f ca="1">'Group P&amp;L'!D90</f>
        <v>-1641.2673500000001</v>
      </c>
      <c r="E98" s="247">
        <f ca="1">'Group P&amp;L'!E90</f>
        <v>-36322.41669911467</v>
      </c>
      <c r="F98" s="247">
        <f ca="1">'Group P&amp;L'!F90</f>
        <v>-38023.843673349504</v>
      </c>
      <c r="G98" s="247">
        <f ca="1">'Group P&amp;L'!G90</f>
        <v>-23798.85028851778</v>
      </c>
      <c r="H98" s="247">
        <f ca="1">'Group P&amp;L'!H90</f>
        <v>-4256.3281132481825</v>
      </c>
      <c r="I98" s="247">
        <f ca="1">'Group P&amp;L'!I90</f>
        <v>-9725.1745234209011</v>
      </c>
      <c r="J98" s="247">
        <f ca="1">'Group P&amp;L'!J90</f>
        <v>-9387.3638532600889</v>
      </c>
      <c r="K98" s="247">
        <f ca="1">'Group P&amp;L'!K90</f>
        <v>3146.9725488748954</v>
      </c>
      <c r="L98" s="247">
        <f ca="1">'Group P&amp;L'!L90</f>
        <v>57388.173603058676</v>
      </c>
      <c r="M98" s="247">
        <f ca="1">'Group P&amp;L'!M90</f>
        <v>70663.147623579542</v>
      </c>
      <c r="N98" s="247">
        <f ca="1">'Group P&amp;L'!N90</f>
        <v>87064.163828016201</v>
      </c>
      <c r="O98" s="247">
        <f ca="1">'Group P&amp;L'!O90</f>
        <v>127515.69277370209</v>
      </c>
      <c r="P98" s="247">
        <f ca="1">'Group P&amp;L'!P90</f>
        <v>190107.51572355104</v>
      </c>
      <c r="Q98" s="247">
        <f ca="1">'Group P&amp;L'!Q90</f>
        <v>281210.77867609588</v>
      </c>
      <c r="R98" s="247">
        <f ca="1">'Group P&amp;L'!R90</f>
        <v>381685.53978287312</v>
      </c>
      <c r="S98" s="247">
        <f ca="1">'Group P&amp;L'!S90</f>
        <v>521741.04908370913</v>
      </c>
      <c r="T98" s="247">
        <f>'Group P&amp;L'!T90</f>
        <v>0</v>
      </c>
      <c r="U98" s="247">
        <f>'Group P&amp;L'!U90</f>
        <v>0</v>
      </c>
      <c r="V98" s="247">
        <f>'Group P&amp;L'!V90</f>
        <v>0</v>
      </c>
      <c r="W98" s="247">
        <f>'Group P&amp;L'!W90</f>
        <v>0</v>
      </c>
      <c r="X98" s="247">
        <f>'Group P&amp;L'!X90</f>
        <v>0</v>
      </c>
      <c r="Y98" s="247">
        <f>'Group P&amp;L'!Y90</f>
        <v>0</v>
      </c>
      <c r="Z98" s="247">
        <f>'Group P&amp;L'!Z90</f>
        <v>0</v>
      </c>
      <c r="AA98" s="247">
        <f>'Group P&amp;L'!AA90</f>
        <v>0</v>
      </c>
      <c r="AB98" s="247">
        <f>'Group P&amp;L'!AB90</f>
        <v>0</v>
      </c>
      <c r="AC98" s="247">
        <f>'Group P&amp;L'!AC90</f>
        <v>0</v>
      </c>
    </row>
    <row r="99" spans="1:29" x14ac:dyDescent="0.2">
      <c r="A99" s="234" t="s">
        <v>1577</v>
      </c>
      <c r="D99" s="247">
        <f>'Group P&amp;L'!D91</f>
        <v>-700</v>
      </c>
      <c r="E99" s="247">
        <f>'Group P&amp;L'!E91</f>
        <v>-700</v>
      </c>
      <c r="F99" s="247">
        <f>'Group P&amp;L'!F91</f>
        <v>-700</v>
      </c>
      <c r="G99" s="247">
        <f>'Group P&amp;L'!G91</f>
        <v>-700</v>
      </c>
      <c r="H99" s="247">
        <f>'Group P&amp;L'!H91</f>
        <v>-700</v>
      </c>
      <c r="I99" s="247">
        <f ca="1">'Group P&amp;L'!I91</f>
        <v>-15606.214640281734</v>
      </c>
      <c r="J99" s="247">
        <f ca="1">'Group P&amp;L'!J91</f>
        <v>-16419.034893201813</v>
      </c>
      <c r="K99" s="247">
        <f ca="1">'Group P&amp;L'!K91</f>
        <v>-19408.105870846106</v>
      </c>
      <c r="L99" s="247">
        <f ca="1">'Group P&amp;L'!L91</f>
        <v>-14572.747841508564</v>
      </c>
      <c r="M99" s="247">
        <f ca="1">'Group P&amp;L'!M91</f>
        <v>-23032.159176760844</v>
      </c>
      <c r="N99" s="247">
        <f ca="1">'Group P&amp;L'!N91</f>
        <v>-21010.26164334677</v>
      </c>
      <c r="O99" s="247">
        <f ca="1">'Group P&amp;L'!O91</f>
        <v>-25099.727041020895</v>
      </c>
      <c r="P99" s="247">
        <f ca="1">'Group P&amp;L'!P91</f>
        <v>-27917.058759408588</v>
      </c>
      <c r="Q99" s="247">
        <f ca="1">'Group P&amp;L'!Q91</f>
        <v>-45855.141172654752</v>
      </c>
      <c r="R99" s="247">
        <f ca="1">'Group P&amp;L'!R91</f>
        <v>-71698.258316722102</v>
      </c>
      <c r="S99" s="247">
        <f ca="1">'Group P&amp;L'!S91</f>
        <v>-95261.945457867187</v>
      </c>
      <c r="T99" s="247">
        <f>'Group P&amp;L'!T91</f>
        <v>0</v>
      </c>
      <c r="U99" s="247">
        <f>'Group P&amp;L'!U91</f>
        <v>0</v>
      </c>
      <c r="V99" s="247">
        <f>'Group P&amp;L'!V91</f>
        <v>0</v>
      </c>
      <c r="W99" s="247">
        <f>'Group P&amp;L'!W91</f>
        <v>0</v>
      </c>
      <c r="X99" s="247">
        <f>'Group P&amp;L'!X91</f>
        <v>0</v>
      </c>
      <c r="Y99" s="247">
        <f>'Group P&amp;L'!Y91</f>
        <v>0</v>
      </c>
      <c r="Z99" s="247">
        <f>'Group P&amp;L'!Z91</f>
        <v>0</v>
      </c>
      <c r="AA99" s="247">
        <f>'Group P&amp;L'!AA91</f>
        <v>0</v>
      </c>
      <c r="AB99" s="247">
        <f>'Group P&amp;L'!AB91</f>
        <v>0</v>
      </c>
      <c r="AC99" s="247">
        <f>'Group P&amp;L'!AC91</f>
        <v>0</v>
      </c>
    </row>
    <row r="100" spans="1:29" x14ac:dyDescent="0.2">
      <c r="A100" s="234" t="s">
        <v>2161</v>
      </c>
      <c r="D100" s="247">
        <f ca="1">'Group P&amp;L'!D92</f>
        <v>-6674.4622813395426</v>
      </c>
      <c r="E100" s="247">
        <f ca="1">'Group P&amp;L'!E92</f>
        <v>-5080.1695718515921</v>
      </c>
      <c r="F100" s="247">
        <f ca="1">'Group P&amp;L'!F92</f>
        <v>-6399.4851614721574</v>
      </c>
      <c r="G100" s="247">
        <f ca="1">'Group P&amp;L'!G92</f>
        <v>-16600.829843291966</v>
      </c>
      <c r="H100" s="247">
        <f ca="1">'Group P&amp;L'!H92</f>
        <v>-28450.722748914683</v>
      </c>
      <c r="I100" s="247">
        <f ca="1">'Group P&amp;L'!I92</f>
        <v>-45990.871085880724</v>
      </c>
      <c r="J100" s="247">
        <f ca="1">'Group P&amp;L'!J92</f>
        <v>-63230.634768444754</v>
      </c>
      <c r="K100" s="247">
        <f ca="1">'Group P&amp;L'!K92</f>
        <v>-83757.252800126851</v>
      </c>
      <c r="L100" s="247">
        <f ca="1">'Group P&amp;L'!L92</f>
        <v>-93593.772843707789</v>
      </c>
      <c r="M100" s="247">
        <f ca="1">'Group P&amp;L'!M92</f>
        <v>-98265.364816536938</v>
      </c>
      <c r="N100" s="247">
        <f ca="1">'Group P&amp;L'!N92</f>
        <v>-107745.12029189113</v>
      </c>
      <c r="O100" s="247">
        <f ca="1">'Group P&amp;L'!O92</f>
        <v>-124378.97043118805</v>
      </c>
      <c r="P100" s="247">
        <f ca="1">'Group P&amp;L'!P92</f>
        <v>-157533.90992324671</v>
      </c>
      <c r="Q100" s="247">
        <f ca="1">'Group P&amp;L'!Q92</f>
        <v>-185017.68202629575</v>
      </c>
      <c r="R100" s="247">
        <f ca="1">'Group P&amp;L'!R92</f>
        <v>-216267.46642621415</v>
      </c>
      <c r="S100" s="247">
        <f ca="1">'Group P&amp;L'!S92</f>
        <v>-269540.84092041641</v>
      </c>
      <c r="T100" s="247">
        <f>'Group P&amp;L'!T92</f>
        <v>0</v>
      </c>
      <c r="U100" s="247">
        <f>'Group P&amp;L'!U92</f>
        <v>0</v>
      </c>
      <c r="V100" s="247">
        <f>'Group P&amp;L'!V92</f>
        <v>0</v>
      </c>
      <c r="W100" s="247">
        <f>'Group P&amp;L'!W92</f>
        <v>0</v>
      </c>
      <c r="X100" s="247">
        <f>'Group P&amp;L'!X92</f>
        <v>0</v>
      </c>
      <c r="Y100" s="247">
        <f>'Group P&amp;L'!Y92</f>
        <v>0</v>
      </c>
      <c r="Z100" s="247">
        <f>'Group P&amp;L'!Z92</f>
        <v>0</v>
      </c>
      <c r="AA100" s="247">
        <f>'Group P&amp;L'!AA92</f>
        <v>0</v>
      </c>
      <c r="AB100" s="247">
        <f>'Group P&amp;L'!AB92</f>
        <v>0</v>
      </c>
      <c r="AC100" s="247">
        <f>'Group P&amp;L'!AC92</f>
        <v>0</v>
      </c>
    </row>
    <row r="101" spans="1:29" x14ac:dyDescent="0.2">
      <c r="A101" s="250" t="s">
        <v>1578</v>
      </c>
      <c r="B101" s="235"/>
      <c r="C101" s="235"/>
      <c r="D101" s="249">
        <f ca="1">'Group P&amp;L'!D93</f>
        <v>-4615.5181925498518</v>
      </c>
      <c r="E101" s="249">
        <f ca="1">'Group P&amp;L'!E93</f>
        <v>-32855.500723882833</v>
      </c>
      <c r="F101" s="249">
        <f ca="1">'Group P&amp;L'!F93</f>
        <v>-16071.820186518567</v>
      </c>
      <c r="G101" s="249">
        <f ca="1">'Group P&amp;L'!G93</f>
        <v>14507.331403217813</v>
      </c>
      <c r="H101" s="249">
        <f ca="1">'Group P&amp;L'!H93</f>
        <v>52617.986904106168</v>
      </c>
      <c r="I101" s="249">
        <f ca="1">'Group P&amp;L'!I93</f>
        <v>53937.952611399283</v>
      </c>
      <c r="J101" s="249">
        <f ca="1">'Group P&amp;L'!J93</f>
        <v>54016.760803907702</v>
      </c>
      <c r="K101" s="249">
        <f ca="1">'Group P&amp;L'!K93</f>
        <v>92525.383120689279</v>
      </c>
      <c r="L101" s="249">
        <f ca="1">'Group P&amp;L'!L93</f>
        <v>146235.93128102127</v>
      </c>
      <c r="M101" s="249">
        <f ca="1">'Group P&amp;L'!M93</f>
        <v>133398.48662442394</v>
      </c>
      <c r="N101" s="249">
        <f ca="1">'Group P&amp;L'!N93</f>
        <v>144404.31121210544</v>
      </c>
      <c r="O101" s="249">
        <f ca="1">'Group P&amp;L'!O93</f>
        <v>147957.8757416149</v>
      </c>
      <c r="P101" s="249">
        <f ca="1">'Group P&amp;L'!P93</f>
        <v>210003.40407136985</v>
      </c>
      <c r="Q101" s="249">
        <f ca="1">'Group P&amp;L'!Q93</f>
        <v>310413.71548368875</v>
      </c>
      <c r="R101" s="249">
        <f ca="1">'Group P&amp;L'!R93</f>
        <v>377799.16595346056</v>
      </c>
      <c r="S101" s="249">
        <f ca="1">'Group P&amp;L'!S93</f>
        <v>444236.97747896111</v>
      </c>
      <c r="T101" s="249">
        <f>'Group P&amp;L'!T93</f>
        <v>0</v>
      </c>
      <c r="U101" s="249">
        <f>'Group P&amp;L'!U93</f>
        <v>0</v>
      </c>
      <c r="V101" s="249">
        <f>'Group P&amp;L'!V93</f>
        <v>0</v>
      </c>
      <c r="W101" s="249">
        <f>'Group P&amp;L'!W93</f>
        <v>0</v>
      </c>
      <c r="X101" s="249">
        <f>'Group P&amp;L'!X93</f>
        <v>0</v>
      </c>
      <c r="Y101" s="249">
        <f>'Group P&amp;L'!Y93</f>
        <v>0</v>
      </c>
      <c r="Z101" s="249">
        <f>'Group P&amp;L'!Z93</f>
        <v>0</v>
      </c>
      <c r="AA101" s="249">
        <f>'Group P&amp;L'!AA93</f>
        <v>0</v>
      </c>
      <c r="AB101" s="249">
        <f>'Group P&amp;L'!AB93</f>
        <v>0</v>
      </c>
      <c r="AC101" s="249">
        <f>'Group P&amp;L'!AC93</f>
        <v>0</v>
      </c>
    </row>
    <row r="103" spans="1:29" x14ac:dyDescent="0.2">
      <c r="A103" s="248" t="s">
        <v>2162</v>
      </c>
    </row>
    <row r="104" spans="1:29" x14ac:dyDescent="0.2">
      <c r="A104" s="234" t="s">
        <v>2163</v>
      </c>
      <c r="D104" s="247">
        <f>D12-Starlink!D145</f>
        <v>0</v>
      </c>
      <c r="E104" s="247">
        <f ca="1">E12-Starlink!E145</f>
        <v>0</v>
      </c>
      <c r="F104" s="247">
        <f ca="1">F12-Starlink!F145</f>
        <v>0</v>
      </c>
      <c r="G104" s="247">
        <f ca="1">G12-Starlink!G145</f>
        <v>0</v>
      </c>
      <c r="H104" s="247">
        <f ca="1">H12-Starlink!H145</f>
        <v>0</v>
      </c>
      <c r="I104" s="247">
        <f ca="1">I12-Starlink!I145</f>
        <v>0</v>
      </c>
      <c r="J104" s="247">
        <f ca="1">J12-Starlink!J145</f>
        <v>0</v>
      </c>
      <c r="K104" s="247">
        <f ca="1">K12-Starlink!K145</f>
        <v>0</v>
      </c>
      <c r="L104" s="247">
        <f ca="1">L12-Starlink!L145</f>
        <v>0</v>
      </c>
      <c r="M104" s="247">
        <f ca="1">M12-Starlink!M145</f>
        <v>0</v>
      </c>
      <c r="N104" s="247">
        <f ca="1">N12-Starlink!N145</f>
        <v>0</v>
      </c>
      <c r="O104" s="247">
        <f ca="1">O12-Starlink!O145</f>
        <v>0</v>
      </c>
      <c r="P104" s="247">
        <f ca="1">P12-Starlink!P145</f>
        <v>0</v>
      </c>
      <c r="Q104" s="247">
        <f ca="1">Q12-Starlink!Q145</f>
        <v>0</v>
      </c>
      <c r="R104" s="247">
        <f ca="1">R12-Starlink!R145</f>
        <v>0</v>
      </c>
      <c r="S104" s="247">
        <f ca="1">S12-Starlink!S145</f>
        <v>0</v>
      </c>
      <c r="T104" s="247">
        <f>T12-Starlink!T145</f>
        <v>0</v>
      </c>
      <c r="U104" s="247">
        <f>U12-Starlink!U145</f>
        <v>0</v>
      </c>
      <c r="V104" s="247">
        <f>V12-Starlink!V145</f>
        <v>0</v>
      </c>
      <c r="W104" s="247">
        <f>W12-Starlink!W145</f>
        <v>0</v>
      </c>
      <c r="X104" s="247">
        <f>X12-Starlink!X145</f>
        <v>0</v>
      </c>
      <c r="Y104" s="247">
        <f>Y12-Starlink!Y145</f>
        <v>0</v>
      </c>
      <c r="Z104" s="247">
        <f>Z12-Starlink!Z145</f>
        <v>0</v>
      </c>
      <c r="AA104" s="247">
        <f>AA12-Starlink!AA145</f>
        <v>0</v>
      </c>
      <c r="AB104" s="247">
        <f>AB12-Starlink!AB145</f>
        <v>0</v>
      </c>
      <c r="AC104" s="247">
        <f>AC12-Starlink!AC145</f>
        <v>0</v>
      </c>
    </row>
    <row r="105" spans="1:29" x14ac:dyDescent="0.2">
      <c r="A105" s="234" t="s">
        <v>2164</v>
      </c>
      <c r="D105" s="247">
        <f ca="1">D15-'Customer Launch'!D101</f>
        <v>0</v>
      </c>
      <c r="E105" s="247">
        <f ca="1">E15-'Customer Launch'!E101</f>
        <v>0</v>
      </c>
      <c r="F105" s="247">
        <f ca="1">F15-'Customer Launch'!F101</f>
        <v>0</v>
      </c>
      <c r="G105" s="247">
        <f ca="1">G15-'Customer Launch'!G101</f>
        <v>0</v>
      </c>
      <c r="H105" s="247">
        <f ca="1">H15-'Customer Launch'!H101</f>
        <v>0</v>
      </c>
      <c r="I105" s="247">
        <f ca="1">I15-'Customer Launch'!I101</f>
        <v>0</v>
      </c>
      <c r="J105" s="247">
        <f ca="1">J15-'Customer Launch'!J101</f>
        <v>0</v>
      </c>
      <c r="K105" s="247">
        <f ca="1">K15-'Customer Launch'!K101</f>
        <v>0</v>
      </c>
      <c r="L105" s="247">
        <f ca="1">L15-'Customer Launch'!L101</f>
        <v>0</v>
      </c>
      <c r="M105" s="247">
        <f ca="1">M15-'Customer Launch'!M101</f>
        <v>0</v>
      </c>
      <c r="N105" s="247">
        <f ca="1">N15-'Customer Launch'!N101</f>
        <v>0</v>
      </c>
      <c r="O105" s="247">
        <f ca="1">O15-'Customer Launch'!O101</f>
        <v>0</v>
      </c>
      <c r="P105" s="247">
        <f ca="1">P15-'Customer Launch'!P101</f>
        <v>0</v>
      </c>
      <c r="Q105" s="247">
        <f ca="1">Q15-'Customer Launch'!Q101</f>
        <v>0</v>
      </c>
      <c r="R105" s="247">
        <f ca="1">R15-'Customer Launch'!R101</f>
        <v>0</v>
      </c>
      <c r="S105" s="247">
        <f ca="1">S15-'Customer Launch'!S101</f>
        <v>0</v>
      </c>
      <c r="T105" s="247">
        <f>T15-'Customer Launch'!T101</f>
        <v>0</v>
      </c>
      <c r="U105" s="247">
        <f>U15-'Customer Launch'!U101</f>
        <v>0</v>
      </c>
      <c r="V105" s="247">
        <f>V15-'Customer Launch'!V101</f>
        <v>0</v>
      </c>
      <c r="W105" s="247">
        <f>W15-'Customer Launch'!W101</f>
        <v>0</v>
      </c>
      <c r="X105" s="247">
        <f>X15-'Customer Launch'!X101</f>
        <v>0</v>
      </c>
      <c r="Y105" s="247">
        <f>Y15-'Customer Launch'!Y101</f>
        <v>0</v>
      </c>
      <c r="Z105" s="247">
        <f>Z15-'Customer Launch'!Z101</f>
        <v>0</v>
      </c>
      <c r="AA105" s="247">
        <f>AA15-'Customer Launch'!AA101</f>
        <v>0</v>
      </c>
      <c r="AB105" s="247">
        <f>AB15-'Customer Launch'!AB101</f>
        <v>0</v>
      </c>
      <c r="AC105" s="247">
        <f>AC15-'Customer Launch'!AC101</f>
        <v>0</v>
      </c>
    </row>
    <row r="106" spans="1:29" x14ac:dyDescent="0.2">
      <c r="A106" s="234" t="s">
        <v>2165</v>
      </c>
      <c r="D106" s="247">
        <f ca="1">D19-'AI - Compute'!D8</f>
        <v>0</v>
      </c>
      <c r="E106" s="247">
        <f ca="1">E19-'AI - Compute'!E8</f>
        <v>0</v>
      </c>
      <c r="F106" s="247">
        <f ca="1">F19-'AI - Compute'!F8</f>
        <v>0</v>
      </c>
      <c r="G106" s="247">
        <f ca="1">G19-'AI - Compute'!G8</f>
        <v>0</v>
      </c>
      <c r="H106" s="247">
        <f ca="1">H19-'AI - Compute'!H8</f>
        <v>0</v>
      </c>
      <c r="I106" s="247">
        <f ca="1">I19-'AI - Compute'!I8</f>
        <v>0</v>
      </c>
      <c r="J106" s="247">
        <f ca="1">J19-'AI - Compute'!J8</f>
        <v>0</v>
      </c>
      <c r="K106" s="247">
        <f ca="1">K19-'AI - Compute'!K8</f>
        <v>0</v>
      </c>
      <c r="L106" s="247">
        <f ca="1">L19-'AI - Compute'!L8</f>
        <v>0</v>
      </c>
      <c r="M106" s="247">
        <f ca="1">M19-'AI - Compute'!M8</f>
        <v>0</v>
      </c>
      <c r="N106" s="247">
        <f ca="1">N19-'AI - Compute'!N8</f>
        <v>0</v>
      </c>
      <c r="O106" s="247">
        <f ca="1">O19-'AI - Compute'!O8</f>
        <v>0</v>
      </c>
      <c r="P106" s="247">
        <f ca="1">P19-'AI - Compute'!P8</f>
        <v>0</v>
      </c>
      <c r="Q106" s="247">
        <f ca="1">Q19-'AI - Compute'!Q8</f>
        <v>0</v>
      </c>
      <c r="R106" s="247">
        <f ca="1">R19-'AI - Compute'!R8</f>
        <v>0</v>
      </c>
      <c r="S106" s="247">
        <f ca="1">S19-'AI - Compute'!S8</f>
        <v>0</v>
      </c>
      <c r="T106" s="247">
        <f>T19-'AI - Compute'!T8</f>
        <v>0</v>
      </c>
      <c r="U106" s="247">
        <f>U19-'AI - Compute'!U8</f>
        <v>0</v>
      </c>
      <c r="V106" s="247">
        <f>V19-'AI - Compute'!V8</f>
        <v>0</v>
      </c>
      <c r="W106" s="247">
        <f>W19-'AI - Compute'!W8</f>
        <v>0</v>
      </c>
      <c r="X106" s="247">
        <f>X19-'AI - Compute'!X8</f>
        <v>0</v>
      </c>
      <c r="Y106" s="247">
        <f>Y19-'AI - Compute'!Y8</f>
        <v>0</v>
      </c>
      <c r="Z106" s="247">
        <f>Z19-'AI - Compute'!Z8</f>
        <v>0</v>
      </c>
      <c r="AA106" s="247">
        <f>AA19-'AI - Compute'!AA8</f>
        <v>0</v>
      </c>
      <c r="AB106" s="247">
        <f>AB19-'AI - Compute'!AB8</f>
        <v>0</v>
      </c>
      <c r="AC106" s="247">
        <f>AC19-'AI - Compute'!AC8</f>
        <v>0</v>
      </c>
    </row>
    <row r="107" spans="1:29" x14ac:dyDescent="0.2">
      <c r="A107" s="234" t="s">
        <v>2166</v>
      </c>
      <c r="D107" s="247">
        <f>D21-'Lunar - Mars'!D81</f>
        <v>0</v>
      </c>
      <c r="E107" s="247">
        <f>E21-'Lunar - Mars'!E81</f>
        <v>0</v>
      </c>
      <c r="F107" s="247">
        <f>F21-'Lunar - Mars'!F81</f>
        <v>0</v>
      </c>
      <c r="G107" s="247">
        <f>G21-'Lunar - Mars'!G81</f>
        <v>0</v>
      </c>
      <c r="H107" s="247">
        <f>H21-'Lunar - Mars'!H81</f>
        <v>0</v>
      </c>
      <c r="I107" s="247">
        <f>I21-'Lunar - Mars'!I81</f>
        <v>0</v>
      </c>
      <c r="J107" s="247">
        <f>J21-'Lunar - Mars'!J81</f>
        <v>0</v>
      </c>
      <c r="K107" s="247">
        <f>K21-'Lunar - Mars'!K81</f>
        <v>0</v>
      </c>
      <c r="L107" s="247">
        <f>L21-'Lunar - Mars'!L81</f>
        <v>0</v>
      </c>
      <c r="M107" s="247">
        <f>M21-'Lunar - Mars'!M81</f>
        <v>0</v>
      </c>
      <c r="N107" s="247">
        <f>N21-'Lunar - Mars'!N81</f>
        <v>0</v>
      </c>
      <c r="O107" s="247">
        <f>O21-'Lunar - Mars'!O81</f>
        <v>0</v>
      </c>
      <c r="P107" s="247">
        <f>P21-'Lunar - Mars'!P81</f>
        <v>0</v>
      </c>
      <c r="Q107" s="247">
        <f>Q21-'Lunar - Mars'!Q81</f>
        <v>0</v>
      </c>
      <c r="R107" s="247">
        <f>R21-'Lunar - Mars'!R81</f>
        <v>0</v>
      </c>
      <c r="S107" s="247">
        <f>S21-'Lunar - Mars'!S81</f>
        <v>0</v>
      </c>
      <c r="T107" s="247">
        <f>T21-'Lunar - Mars'!T81</f>
        <v>0</v>
      </c>
      <c r="U107" s="247">
        <f>U21-'Lunar - Mars'!U81</f>
        <v>0</v>
      </c>
      <c r="V107" s="247">
        <f>V21-'Lunar - Mars'!V81</f>
        <v>0</v>
      </c>
      <c r="W107" s="247">
        <f>W21-'Lunar - Mars'!W81</f>
        <v>0</v>
      </c>
      <c r="X107" s="247">
        <f>X21-'Lunar - Mars'!X81</f>
        <v>0</v>
      </c>
      <c r="Y107" s="247">
        <f>Y21-'Lunar - Mars'!Y81</f>
        <v>0</v>
      </c>
      <c r="Z107" s="247">
        <f>Z21-'Lunar - Mars'!Z81</f>
        <v>0</v>
      </c>
      <c r="AA107" s="247">
        <f>AA21-'Lunar - Mars'!AA81</f>
        <v>0</v>
      </c>
      <c r="AB107" s="247">
        <f>AB21-'Lunar - Mars'!AB81</f>
        <v>0</v>
      </c>
      <c r="AC107" s="247">
        <f>AC21-'Lunar - Mars'!AC81</f>
        <v>0</v>
      </c>
    </row>
    <row r="108" spans="1:29" x14ac:dyDescent="0.2">
      <c r="A108" s="234" t="s">
        <v>2167</v>
      </c>
      <c r="D108" s="247">
        <f ca="1">D23-'Group P&amp;L'!D14</f>
        <v>0</v>
      </c>
      <c r="E108" s="247">
        <f ca="1">E23-'Group P&amp;L'!E14</f>
        <v>0</v>
      </c>
      <c r="F108" s="247">
        <f ca="1">F23-'Group P&amp;L'!F14</f>
        <v>0</v>
      </c>
      <c r="G108" s="247">
        <f ca="1">G23-'Group P&amp;L'!G14</f>
        <v>0</v>
      </c>
      <c r="H108" s="247">
        <f ca="1">H23-'Group P&amp;L'!H14</f>
        <v>0</v>
      </c>
      <c r="I108" s="247">
        <f ca="1">I23-'Group P&amp;L'!I14</f>
        <v>0</v>
      </c>
      <c r="J108" s="247">
        <f ca="1">J23-'Group P&amp;L'!J14</f>
        <v>0</v>
      </c>
      <c r="K108" s="247">
        <f ca="1">K23-'Group P&amp;L'!K14</f>
        <v>0</v>
      </c>
      <c r="L108" s="247">
        <f ca="1">L23-'Group P&amp;L'!L14</f>
        <v>0</v>
      </c>
      <c r="M108" s="247">
        <f ca="1">M23-'Group P&amp;L'!M14</f>
        <v>0</v>
      </c>
      <c r="N108" s="247">
        <f ca="1">N23-'Group P&amp;L'!N14</f>
        <v>0</v>
      </c>
      <c r="O108" s="247">
        <f ca="1">O23-'Group P&amp;L'!O14</f>
        <v>0</v>
      </c>
      <c r="P108" s="247">
        <f ca="1">P23-'Group P&amp;L'!P14</f>
        <v>0</v>
      </c>
      <c r="Q108" s="247">
        <f ca="1">Q23-'Group P&amp;L'!Q14</f>
        <v>0</v>
      </c>
      <c r="R108" s="247">
        <f ca="1">R23-'Group P&amp;L'!R14</f>
        <v>0</v>
      </c>
      <c r="S108" s="247">
        <f ca="1">S23-'Group P&amp;L'!S14</f>
        <v>0</v>
      </c>
      <c r="T108" s="247">
        <f>T23-'Group P&amp;L'!T14</f>
        <v>0</v>
      </c>
      <c r="U108" s="247">
        <f>U23-'Group P&amp;L'!U14</f>
        <v>0</v>
      </c>
      <c r="V108" s="247">
        <f>V23-'Group P&amp;L'!V14</f>
        <v>0</v>
      </c>
      <c r="W108" s="247">
        <f>W23-'Group P&amp;L'!W14</f>
        <v>0</v>
      </c>
      <c r="X108" s="247">
        <f>X23-'Group P&amp;L'!X14</f>
        <v>0</v>
      </c>
      <c r="Y108" s="247">
        <f>Y23-'Group P&amp;L'!Y14</f>
        <v>0</v>
      </c>
      <c r="Z108" s="247">
        <f>Z23-'Group P&amp;L'!Z14</f>
        <v>0</v>
      </c>
      <c r="AA108" s="247">
        <f>AA23-'Group P&amp;L'!AA14</f>
        <v>0</v>
      </c>
      <c r="AB108" s="247">
        <f>AB23-'Group P&amp;L'!AB14</f>
        <v>0</v>
      </c>
      <c r="AC108" s="247">
        <f>AC23-'Group P&amp;L'!AC14</f>
        <v>0</v>
      </c>
    </row>
    <row r="110" spans="1:29" x14ac:dyDescent="0.2">
      <c r="A110" s="248" t="s">
        <v>2185</v>
      </c>
    </row>
    <row r="111" spans="1:29" x14ac:dyDescent="0.2">
      <c r="A111" s="243" t="s">
        <v>2172</v>
      </c>
      <c r="D111" s="232">
        <f>IF(D$12=0,"",D8/D$12)</f>
        <v>0.61780893737000275</v>
      </c>
      <c r="E111" s="232">
        <f t="shared" ref="E111:AC111" ca="1" si="5">IF(E$12=0,"",E8/E$12)</f>
        <v>0.65587869160316548</v>
      </c>
      <c r="F111" s="232">
        <f t="shared" ca="1" si="5"/>
        <v>0.6804417965402676</v>
      </c>
      <c r="G111" s="232">
        <f t="shared" ca="1" si="5"/>
        <v>0.74284588245050809</v>
      </c>
      <c r="H111" s="232">
        <f t="shared" ca="1" si="5"/>
        <v>0.75841965694114133</v>
      </c>
      <c r="I111" s="232">
        <f t="shared" ca="1" si="5"/>
        <v>0.73523608923485639</v>
      </c>
      <c r="J111" s="232">
        <f t="shared" ca="1" si="5"/>
        <v>0.74391119517802451</v>
      </c>
      <c r="K111" s="232">
        <f t="shared" ca="1" si="5"/>
        <v>0.77081969541214079</v>
      </c>
      <c r="L111" s="232">
        <f t="shared" ca="1" si="5"/>
        <v>0.7745745590957458</v>
      </c>
      <c r="M111" s="232">
        <f t="shared" ca="1" si="5"/>
        <v>0.77853804596757692</v>
      </c>
      <c r="N111" s="232">
        <f t="shared" ca="1" si="5"/>
        <v>0.77315897105360865</v>
      </c>
      <c r="O111" s="232">
        <f t="shared" ca="1" si="5"/>
        <v>0.78100015664737443</v>
      </c>
      <c r="P111" s="232">
        <f t="shared" ca="1" si="5"/>
        <v>0.7880246501463839</v>
      </c>
      <c r="Q111" s="232">
        <f t="shared" ca="1" si="5"/>
        <v>0.79973754936461239</v>
      </c>
      <c r="R111" s="232">
        <f t="shared" ca="1" si="5"/>
        <v>0.80434025800908238</v>
      </c>
      <c r="S111" s="232">
        <f t="shared" ca="1" si="5"/>
        <v>0.80513872275539344</v>
      </c>
      <c r="T111" s="232" t="str">
        <f t="shared" si="5"/>
        <v/>
      </c>
      <c r="U111" s="232" t="str">
        <f t="shared" si="5"/>
        <v/>
      </c>
      <c r="V111" s="232" t="str">
        <f t="shared" si="5"/>
        <v/>
      </c>
      <c r="W111" s="232" t="str">
        <f t="shared" si="5"/>
        <v/>
      </c>
      <c r="X111" s="232" t="str">
        <f t="shared" si="5"/>
        <v/>
      </c>
      <c r="Y111" s="232" t="str">
        <f t="shared" si="5"/>
        <v/>
      </c>
      <c r="Z111" s="232" t="str">
        <f t="shared" si="5"/>
        <v/>
      </c>
      <c r="AA111" s="232" t="str">
        <f t="shared" si="5"/>
        <v/>
      </c>
      <c r="AB111" s="232" t="str">
        <f t="shared" si="5"/>
        <v/>
      </c>
      <c r="AC111" s="232" t="str">
        <f t="shared" si="5"/>
        <v/>
      </c>
    </row>
    <row r="112" spans="1:29" x14ac:dyDescent="0.2">
      <c r="A112" s="243" t="s">
        <v>2173</v>
      </c>
      <c r="D112" s="232">
        <f>IF(D$12=0,"",D9/D$12)</f>
        <v>5.8099820173446802E-2</v>
      </c>
      <c r="E112" s="232">
        <f t="shared" ref="E112:AC112" ca="1" si="6">IF(E$12=0,"",E9/E$12)</f>
        <v>5.5738397599759154E-2</v>
      </c>
      <c r="F112" s="232">
        <f t="shared" ca="1" si="6"/>
        <v>1.7556890180057422E-2</v>
      </c>
      <c r="G112" s="232">
        <f t="shared" ca="1" si="6"/>
        <v>1.1913778313698064E-2</v>
      </c>
      <c r="H112" s="232">
        <f t="shared" ca="1" si="6"/>
        <v>3.5219514380359009E-2</v>
      </c>
      <c r="I112" s="232">
        <f t="shared" ca="1" si="6"/>
        <v>0.13842814975872025</v>
      </c>
      <c r="J112" s="232">
        <f t="shared" ca="1" si="6"/>
        <v>0.15027609224826741</v>
      </c>
      <c r="K112" s="232">
        <f t="shared" ca="1" si="6"/>
        <v>0.1742707921171272</v>
      </c>
      <c r="L112" s="232">
        <f t="shared" ca="1" si="6"/>
        <v>0.17684954077493814</v>
      </c>
      <c r="M112" s="232">
        <f t="shared" ca="1" si="6"/>
        <v>0.17527653128101689</v>
      </c>
      <c r="N112" s="232">
        <f t="shared" ca="1" si="6"/>
        <v>0.16676248092847173</v>
      </c>
      <c r="O112" s="232">
        <f t="shared" ca="1" si="6"/>
        <v>0.16083756097694596</v>
      </c>
      <c r="P112" s="232">
        <f t="shared" ca="1" si="6"/>
        <v>0.15602214525674968</v>
      </c>
      <c r="Q112" s="232">
        <f t="shared" ca="1" si="6"/>
        <v>0.15645885312121954</v>
      </c>
      <c r="R112" s="232">
        <f t="shared" ca="1" si="6"/>
        <v>0.15764992118245888</v>
      </c>
      <c r="S112" s="232">
        <f t="shared" ca="1" si="6"/>
        <v>0.15923170425567673</v>
      </c>
      <c r="T112" s="232" t="str">
        <f t="shared" si="6"/>
        <v/>
      </c>
      <c r="U112" s="232" t="str">
        <f t="shared" si="6"/>
        <v/>
      </c>
      <c r="V112" s="232" t="str">
        <f t="shared" si="6"/>
        <v/>
      </c>
      <c r="W112" s="232" t="str">
        <f t="shared" si="6"/>
        <v/>
      </c>
      <c r="X112" s="232" t="str">
        <f t="shared" si="6"/>
        <v/>
      </c>
      <c r="Y112" s="232" t="str">
        <f t="shared" si="6"/>
        <v/>
      </c>
      <c r="Z112" s="232" t="str">
        <f t="shared" si="6"/>
        <v/>
      </c>
      <c r="AA112" s="232" t="str">
        <f t="shared" si="6"/>
        <v/>
      </c>
      <c r="AB112" s="232" t="str">
        <f t="shared" si="6"/>
        <v/>
      </c>
      <c r="AC112" s="232" t="str">
        <f t="shared" si="6"/>
        <v/>
      </c>
    </row>
    <row r="113" spans="1:29" x14ac:dyDescent="0.2">
      <c r="A113" s="243" t="s">
        <v>2174</v>
      </c>
      <c r="D113" s="232">
        <f>IF(D$12=0,"",D10/D$12)</f>
        <v>0.23162660041991037</v>
      </c>
      <c r="E113" s="232">
        <f t="shared" ref="E113:AC113" ca="1" si="7">IF(E$12=0,"",E10/E$12)</f>
        <v>0.19095482833971908</v>
      </c>
      <c r="F113" s="232">
        <f t="shared" ca="1" si="7"/>
        <v>5.3253170330408085E-2</v>
      </c>
      <c r="G113" s="232">
        <f t="shared" ca="1" si="7"/>
        <v>2.9286087530842955E-2</v>
      </c>
      <c r="H113" s="232">
        <f t="shared" ca="1" si="7"/>
        <v>1.946568011464812E-2</v>
      </c>
      <c r="I113" s="232">
        <f t="shared" ca="1" si="7"/>
        <v>1.6766085242773624E-2</v>
      </c>
      <c r="J113" s="232">
        <f t="shared" ca="1" si="7"/>
        <v>1.4968751690538698E-2</v>
      </c>
      <c r="K113" s="232">
        <f t="shared" ca="1" si="7"/>
        <v>1.5686216075839938E-2</v>
      </c>
      <c r="L113" s="232">
        <f t="shared" ca="1" si="7"/>
        <v>1.622034762219381E-2</v>
      </c>
      <c r="M113" s="232">
        <f t="shared" ca="1" si="7"/>
        <v>1.6920350541187148E-2</v>
      </c>
      <c r="N113" s="232">
        <f t="shared" ca="1" si="7"/>
        <v>1.6962264215265765E-2</v>
      </c>
      <c r="O113" s="232">
        <f t="shared" ca="1" si="7"/>
        <v>1.7237443075472141E-2</v>
      </c>
      <c r="P113" s="232">
        <f t="shared" ca="1" si="7"/>
        <v>1.7618604288782442E-2</v>
      </c>
      <c r="Q113" s="232">
        <f t="shared" ca="1" si="7"/>
        <v>1.8615953651150624E-2</v>
      </c>
      <c r="R113" s="232">
        <f t="shared" ca="1" si="7"/>
        <v>1.9764179730835753E-2</v>
      </c>
      <c r="S113" s="232">
        <f t="shared" ca="1" si="7"/>
        <v>2.1033641628259013E-2</v>
      </c>
      <c r="T113" s="232" t="str">
        <f t="shared" si="7"/>
        <v/>
      </c>
      <c r="U113" s="232" t="str">
        <f t="shared" si="7"/>
        <v/>
      </c>
      <c r="V113" s="232" t="str">
        <f t="shared" si="7"/>
        <v/>
      </c>
      <c r="W113" s="232" t="str">
        <f t="shared" si="7"/>
        <v/>
      </c>
      <c r="X113" s="232" t="str">
        <f t="shared" si="7"/>
        <v/>
      </c>
      <c r="Y113" s="232" t="str">
        <f t="shared" si="7"/>
        <v/>
      </c>
      <c r="Z113" s="232" t="str">
        <f t="shared" si="7"/>
        <v/>
      </c>
      <c r="AA113" s="232" t="str">
        <f t="shared" si="7"/>
        <v/>
      </c>
      <c r="AB113" s="232" t="str">
        <f t="shared" si="7"/>
        <v/>
      </c>
      <c r="AC113" s="232" t="str">
        <f t="shared" si="7"/>
        <v/>
      </c>
    </row>
    <row r="114" spans="1:29" x14ac:dyDescent="0.2">
      <c r="A114" s="243" t="s">
        <v>2175</v>
      </c>
      <c r="D114" s="232">
        <f>IF(D$12=0,"",D11/D$12)</f>
        <v>9.2464642036640024E-2</v>
      </c>
      <c r="E114" s="232">
        <f t="shared" ref="E114:AC114" ca="1" si="8">IF(E$12=0,"",E11/E$12)</f>
        <v>9.7428082457356305E-2</v>
      </c>
      <c r="F114" s="232">
        <f t="shared" ca="1" si="8"/>
        <v>0.24874814294926684</v>
      </c>
      <c r="G114" s="232">
        <f t="shared" ca="1" si="8"/>
        <v>0.215954251704951</v>
      </c>
      <c r="H114" s="232">
        <f t="shared" ca="1" si="8"/>
        <v>0.18689514856385164</v>
      </c>
      <c r="I114" s="232">
        <f t="shared" ca="1" si="8"/>
        <v>0.10956967576364973</v>
      </c>
      <c r="J114" s="232">
        <f t="shared" ca="1" si="8"/>
        <v>9.08439608831694E-2</v>
      </c>
      <c r="K114" s="232">
        <f t="shared" ca="1" si="8"/>
        <v>3.9223296394891978E-2</v>
      </c>
      <c r="L114" s="232">
        <f t="shared" ca="1" si="8"/>
        <v>3.235555250712225E-2</v>
      </c>
      <c r="M114" s="232">
        <f t="shared" ca="1" si="8"/>
        <v>2.9265072210219047E-2</v>
      </c>
      <c r="N114" s="232">
        <f t="shared" ca="1" si="8"/>
        <v>4.3116283802653886E-2</v>
      </c>
      <c r="O114" s="232">
        <f t="shared" ca="1" si="8"/>
        <v>4.0924839300207523E-2</v>
      </c>
      <c r="P114" s="232">
        <f t="shared" ca="1" si="8"/>
        <v>3.8334600308084013E-2</v>
      </c>
      <c r="Q114" s="232">
        <f t="shared" ca="1" si="8"/>
        <v>2.5187643863017573E-2</v>
      </c>
      <c r="R114" s="232">
        <f t="shared" ca="1" si="8"/>
        <v>1.8245641077623116E-2</v>
      </c>
      <c r="S114" s="232">
        <f t="shared" ca="1" si="8"/>
        <v>1.4595931360670902E-2</v>
      </c>
      <c r="T114" s="232" t="str">
        <f t="shared" si="8"/>
        <v/>
      </c>
      <c r="U114" s="232" t="str">
        <f t="shared" si="8"/>
        <v/>
      </c>
      <c r="V114" s="232" t="str">
        <f t="shared" si="8"/>
        <v/>
      </c>
      <c r="W114" s="232" t="str">
        <f t="shared" si="8"/>
        <v/>
      </c>
      <c r="X114" s="232" t="str">
        <f t="shared" si="8"/>
        <v/>
      </c>
      <c r="Y114" s="232" t="str">
        <f t="shared" si="8"/>
        <v/>
      </c>
      <c r="Z114" s="232" t="str">
        <f t="shared" si="8"/>
        <v/>
      </c>
      <c r="AA114" s="232" t="str">
        <f t="shared" si="8"/>
        <v/>
      </c>
      <c r="AB114" s="232" t="str">
        <f t="shared" si="8"/>
        <v/>
      </c>
      <c r="AC114" s="232" t="str">
        <f t="shared" si="8"/>
        <v/>
      </c>
    </row>
    <row r="115" spans="1:29" x14ac:dyDescent="0.2">
      <c r="A115" s="250" t="s">
        <v>2176</v>
      </c>
      <c r="B115" s="235"/>
      <c r="C115" s="235"/>
      <c r="D115" s="251">
        <f>IF(D$12=0,"",D12/D$12)</f>
        <v>1</v>
      </c>
      <c r="E115" s="251">
        <f t="shared" ref="E115:AC115" ca="1" si="9">IF(E$12=0,"",E12/E$12)</f>
        <v>1</v>
      </c>
      <c r="F115" s="251">
        <f t="shared" ca="1" si="9"/>
        <v>1</v>
      </c>
      <c r="G115" s="251">
        <f t="shared" ca="1" si="9"/>
        <v>1</v>
      </c>
      <c r="H115" s="251">
        <f t="shared" ca="1" si="9"/>
        <v>1</v>
      </c>
      <c r="I115" s="251">
        <f t="shared" ca="1" si="9"/>
        <v>1</v>
      </c>
      <c r="J115" s="251">
        <f t="shared" ca="1" si="9"/>
        <v>1</v>
      </c>
      <c r="K115" s="251">
        <f t="shared" ca="1" si="9"/>
        <v>1</v>
      </c>
      <c r="L115" s="251">
        <f t="shared" ca="1" si="9"/>
        <v>1</v>
      </c>
      <c r="M115" s="251">
        <f t="shared" ca="1" si="9"/>
        <v>1</v>
      </c>
      <c r="N115" s="251">
        <f t="shared" ca="1" si="9"/>
        <v>1</v>
      </c>
      <c r="O115" s="251">
        <f t="shared" ca="1" si="9"/>
        <v>1</v>
      </c>
      <c r="P115" s="251">
        <f t="shared" ca="1" si="9"/>
        <v>1</v>
      </c>
      <c r="Q115" s="251">
        <f t="shared" ca="1" si="9"/>
        <v>1</v>
      </c>
      <c r="R115" s="251">
        <f t="shared" ca="1" si="9"/>
        <v>1</v>
      </c>
      <c r="S115" s="251">
        <f t="shared" ca="1" si="9"/>
        <v>1</v>
      </c>
      <c r="T115" s="251" t="str">
        <f t="shared" si="9"/>
        <v/>
      </c>
      <c r="U115" s="251" t="str">
        <f t="shared" si="9"/>
        <v/>
      </c>
      <c r="V115" s="251" t="str">
        <f t="shared" si="9"/>
        <v/>
      </c>
      <c r="W115" s="251" t="str">
        <f t="shared" si="9"/>
        <v/>
      </c>
      <c r="X115" s="251" t="str">
        <f t="shared" si="9"/>
        <v/>
      </c>
      <c r="Y115" s="251" t="str">
        <f t="shared" si="9"/>
        <v/>
      </c>
      <c r="Z115" s="251" t="str">
        <f t="shared" si="9"/>
        <v/>
      </c>
      <c r="AA115" s="251" t="str">
        <f t="shared" si="9"/>
        <v/>
      </c>
      <c r="AB115" s="251" t="str">
        <f t="shared" si="9"/>
        <v/>
      </c>
      <c r="AC115" s="251" t="str">
        <f t="shared" si="9"/>
        <v/>
      </c>
    </row>
    <row r="116" spans="1:29" x14ac:dyDescent="0.2">
      <c r="A116" s="243" t="s">
        <v>2177</v>
      </c>
      <c r="D116" s="232">
        <f ca="1">IF(D$15=0,"",D13/D$15)</f>
        <v>0.51277749096541037</v>
      </c>
      <c r="E116" s="232">
        <f t="shared" ref="E116:AC116" ca="1" si="10">IF(E$15=0,"",E13/E$15)</f>
        <v>0.7438072616219884</v>
      </c>
      <c r="F116" s="232">
        <f t="shared" ca="1" si="10"/>
        <v>0.86825185240139113</v>
      </c>
      <c r="G116" s="232">
        <f t="shared" ca="1" si="10"/>
        <v>0.87297595112067217</v>
      </c>
      <c r="H116" s="232">
        <f t="shared" ca="1" si="10"/>
        <v>0.87915088032915234</v>
      </c>
      <c r="I116" s="232">
        <f t="shared" ca="1" si="10"/>
        <v>0.88475968297853702</v>
      </c>
      <c r="J116" s="232">
        <f t="shared" ca="1" si="10"/>
        <v>0.87850334007091868</v>
      </c>
      <c r="K116" s="232">
        <f t="shared" ca="1" si="10"/>
        <v>0.91025461623036008</v>
      </c>
      <c r="L116" s="232">
        <f t="shared" ca="1" si="10"/>
        <v>0.90699393610924162</v>
      </c>
      <c r="M116" s="232">
        <f t="shared" ca="1" si="10"/>
        <v>0.90214340655777103</v>
      </c>
      <c r="N116" s="232">
        <f t="shared" ca="1" si="10"/>
        <v>0.89656966597196774</v>
      </c>
      <c r="O116" s="232">
        <f t="shared" ca="1" si="10"/>
        <v>0.89063020961602746</v>
      </c>
      <c r="P116" s="232">
        <f t="shared" ca="1" si="10"/>
        <v>0.88441957690484574</v>
      </c>
      <c r="Q116" s="232">
        <f t="shared" ca="1" si="10"/>
        <v>0.87791400595003033</v>
      </c>
      <c r="R116" s="232">
        <f t="shared" ca="1" si="10"/>
        <v>0.87276876722664731</v>
      </c>
      <c r="S116" s="232">
        <f t="shared" ca="1" si="10"/>
        <v>9.4810192953193984E-2</v>
      </c>
      <c r="T116" s="232" t="str">
        <f t="shared" si="10"/>
        <v/>
      </c>
      <c r="U116" s="232" t="str">
        <f t="shared" si="10"/>
        <v/>
      </c>
      <c r="V116" s="232" t="str">
        <f t="shared" si="10"/>
        <v/>
      </c>
      <c r="W116" s="232" t="str">
        <f t="shared" si="10"/>
        <v/>
      </c>
      <c r="X116" s="232" t="str">
        <f t="shared" si="10"/>
        <v/>
      </c>
      <c r="Y116" s="232" t="str">
        <f t="shared" si="10"/>
        <v/>
      </c>
      <c r="Z116" s="232" t="str">
        <f t="shared" si="10"/>
        <v/>
      </c>
      <c r="AA116" s="232" t="str">
        <f t="shared" si="10"/>
        <v/>
      </c>
      <c r="AB116" s="232" t="str">
        <f t="shared" si="10"/>
        <v/>
      </c>
      <c r="AC116" s="232" t="str">
        <f t="shared" si="10"/>
        <v/>
      </c>
    </row>
    <row r="117" spans="1:29" x14ac:dyDescent="0.2">
      <c r="A117" s="243" t="s">
        <v>2178</v>
      </c>
      <c r="D117" s="232">
        <f ca="1">IF(D$15=0,"",D14/D$15)</f>
        <v>0.48722250903458958</v>
      </c>
      <c r="E117" s="232">
        <f t="shared" ref="E117:AC117" ca="1" si="11">IF(E$15=0,"",E14/E$15)</f>
        <v>0.25619273837801154</v>
      </c>
      <c r="F117" s="232">
        <f t="shared" ca="1" si="11"/>
        <v>0.13174814759860895</v>
      </c>
      <c r="G117" s="232">
        <f t="shared" ca="1" si="11"/>
        <v>0.12702404887932781</v>
      </c>
      <c r="H117" s="232">
        <f t="shared" ca="1" si="11"/>
        <v>0.1208491196708477</v>
      </c>
      <c r="I117" s="232">
        <f t="shared" ca="1" si="11"/>
        <v>0.11524031702146301</v>
      </c>
      <c r="J117" s="232">
        <f t="shared" ca="1" si="11"/>
        <v>0.12149665992908128</v>
      </c>
      <c r="K117" s="232">
        <f t="shared" ca="1" si="11"/>
        <v>8.9745383769639975E-2</v>
      </c>
      <c r="L117" s="232">
        <f t="shared" ca="1" si="11"/>
        <v>9.3006063890758356E-2</v>
      </c>
      <c r="M117" s="232">
        <f t="shared" ca="1" si="11"/>
        <v>9.7856593442229065E-2</v>
      </c>
      <c r="N117" s="232">
        <f t="shared" ca="1" si="11"/>
        <v>0.10343033402803223</v>
      </c>
      <c r="O117" s="232">
        <f t="shared" ca="1" si="11"/>
        <v>0.10936979038397247</v>
      </c>
      <c r="P117" s="232">
        <f t="shared" ca="1" si="11"/>
        <v>0.11558042309515429</v>
      </c>
      <c r="Q117" s="232">
        <f t="shared" ca="1" si="11"/>
        <v>0.12208599404996975</v>
      </c>
      <c r="R117" s="232">
        <f t="shared" ca="1" si="11"/>
        <v>0.12723123277335266</v>
      </c>
      <c r="S117" s="232">
        <f t="shared" ca="1" si="11"/>
        <v>0.90518980704680596</v>
      </c>
      <c r="T117" s="232" t="str">
        <f t="shared" si="11"/>
        <v/>
      </c>
      <c r="U117" s="232" t="str">
        <f t="shared" si="11"/>
        <v/>
      </c>
      <c r="V117" s="232" t="str">
        <f t="shared" si="11"/>
        <v/>
      </c>
      <c r="W117" s="232" t="str">
        <f t="shared" si="11"/>
        <v/>
      </c>
      <c r="X117" s="232" t="str">
        <f t="shared" si="11"/>
        <v/>
      </c>
      <c r="Y117" s="232" t="str">
        <f t="shared" si="11"/>
        <v/>
      </c>
      <c r="Z117" s="232" t="str">
        <f t="shared" si="11"/>
        <v/>
      </c>
      <c r="AA117" s="232" t="str">
        <f t="shared" si="11"/>
        <v/>
      </c>
      <c r="AB117" s="232" t="str">
        <f t="shared" si="11"/>
        <v/>
      </c>
      <c r="AC117" s="232" t="str">
        <f t="shared" si="11"/>
        <v/>
      </c>
    </row>
    <row r="118" spans="1:29" x14ac:dyDescent="0.2">
      <c r="A118" s="250" t="s">
        <v>2179</v>
      </c>
      <c r="B118" s="235"/>
      <c r="C118" s="235"/>
      <c r="D118" s="251">
        <f ca="1">IF(D$15=0,"",D15/D$15)</f>
        <v>1</v>
      </c>
      <c r="E118" s="251">
        <f t="shared" ref="E118:AC118" ca="1" si="12">IF(E$15=0,"",E15/E$15)</f>
        <v>1</v>
      </c>
      <c r="F118" s="251">
        <f t="shared" ca="1" si="12"/>
        <v>1</v>
      </c>
      <c r="G118" s="251">
        <f t="shared" ca="1" si="12"/>
        <v>1</v>
      </c>
      <c r="H118" s="251">
        <f t="shared" ca="1" si="12"/>
        <v>1</v>
      </c>
      <c r="I118" s="251">
        <f t="shared" ca="1" si="12"/>
        <v>1</v>
      </c>
      <c r="J118" s="251">
        <f t="shared" ca="1" si="12"/>
        <v>1</v>
      </c>
      <c r="K118" s="251">
        <f t="shared" ca="1" si="12"/>
        <v>1</v>
      </c>
      <c r="L118" s="251">
        <f t="shared" ca="1" si="12"/>
        <v>1</v>
      </c>
      <c r="M118" s="251">
        <f t="shared" ca="1" si="12"/>
        <v>1</v>
      </c>
      <c r="N118" s="251">
        <f t="shared" ca="1" si="12"/>
        <v>1</v>
      </c>
      <c r="O118" s="251">
        <f t="shared" ca="1" si="12"/>
        <v>1</v>
      </c>
      <c r="P118" s="251">
        <f t="shared" ca="1" si="12"/>
        <v>1</v>
      </c>
      <c r="Q118" s="251">
        <f t="shared" ca="1" si="12"/>
        <v>1</v>
      </c>
      <c r="R118" s="251">
        <f t="shared" ca="1" si="12"/>
        <v>1</v>
      </c>
      <c r="S118" s="251">
        <f t="shared" ca="1" si="12"/>
        <v>1</v>
      </c>
      <c r="T118" s="251" t="str">
        <f t="shared" si="12"/>
        <v/>
      </c>
      <c r="U118" s="251" t="str">
        <f t="shared" si="12"/>
        <v/>
      </c>
      <c r="V118" s="251" t="str">
        <f t="shared" si="12"/>
        <v/>
      </c>
      <c r="W118" s="251" t="str">
        <f t="shared" si="12"/>
        <v/>
      </c>
      <c r="X118" s="251" t="str">
        <f t="shared" si="12"/>
        <v/>
      </c>
      <c r="Y118" s="251" t="str">
        <f t="shared" si="12"/>
        <v/>
      </c>
      <c r="Z118" s="251" t="str">
        <f t="shared" si="12"/>
        <v/>
      </c>
      <c r="AA118" s="251" t="str">
        <f t="shared" si="12"/>
        <v/>
      </c>
      <c r="AB118" s="251" t="str">
        <f t="shared" si="12"/>
        <v/>
      </c>
      <c r="AC118" s="251" t="str">
        <f t="shared" si="12"/>
        <v/>
      </c>
    </row>
    <row r="119" spans="1:29" x14ac:dyDescent="0.2">
      <c r="A119" s="243" t="s">
        <v>2180</v>
      </c>
      <c r="D119" s="232">
        <f ca="1">IF(D$19=0,"",D16/D$19)</f>
        <v>0</v>
      </c>
      <c r="E119" s="232">
        <f t="shared" ref="E119:AC119" ca="1" si="13">IF(E$19=0,"",E16/E$19)</f>
        <v>0</v>
      </c>
      <c r="F119" s="232">
        <f t="shared" ca="1" si="13"/>
        <v>0</v>
      </c>
      <c r="G119" s="232">
        <f t="shared" ca="1" si="13"/>
        <v>0.16502679609520438</v>
      </c>
      <c r="H119" s="232">
        <f t="shared" ca="1" si="13"/>
        <v>0.46885242509729874</v>
      </c>
      <c r="I119" s="232">
        <f t="shared" ca="1" si="13"/>
        <v>0.7084518645627792</v>
      </c>
      <c r="J119" s="232">
        <f t="shared" ca="1" si="13"/>
        <v>0.81749219340093993</v>
      </c>
      <c r="K119" s="232">
        <f t="shared" ca="1" si="13"/>
        <v>0.829112895377493</v>
      </c>
      <c r="L119" s="232">
        <f t="shared" ca="1" si="13"/>
        <v>0.83798240102446697</v>
      </c>
      <c r="M119" s="232">
        <f t="shared" ca="1" si="13"/>
        <v>0.84440058249547201</v>
      </c>
      <c r="N119" s="232">
        <f t="shared" ca="1" si="13"/>
        <v>0.83492430325940059</v>
      </c>
      <c r="O119" s="232">
        <f t="shared" ca="1" si="13"/>
        <v>0.82871992369912895</v>
      </c>
      <c r="P119" s="232">
        <f t="shared" ca="1" si="13"/>
        <v>0.80786123898431239</v>
      </c>
      <c r="Q119" s="232">
        <f t="shared" ca="1" si="13"/>
        <v>0.77737568482401098</v>
      </c>
      <c r="R119" s="232">
        <f t="shared" ca="1" si="13"/>
        <v>0.7455303445658038</v>
      </c>
      <c r="S119" s="232">
        <f t="shared" ca="1" si="13"/>
        <v>0.70715985680735538</v>
      </c>
      <c r="T119" s="232" t="str">
        <f t="shared" si="13"/>
        <v/>
      </c>
      <c r="U119" s="232" t="str">
        <f t="shared" si="13"/>
        <v/>
      </c>
      <c r="V119" s="232" t="str">
        <f t="shared" si="13"/>
        <v/>
      </c>
      <c r="W119" s="232" t="str">
        <f t="shared" si="13"/>
        <v/>
      </c>
      <c r="X119" s="232" t="str">
        <f t="shared" si="13"/>
        <v/>
      </c>
      <c r="Y119" s="232" t="str">
        <f t="shared" si="13"/>
        <v/>
      </c>
      <c r="Z119" s="232" t="str">
        <f t="shared" si="13"/>
        <v/>
      </c>
      <c r="AA119" s="232" t="str">
        <f t="shared" si="13"/>
        <v/>
      </c>
      <c r="AB119" s="232" t="str">
        <f t="shared" si="13"/>
        <v/>
      </c>
      <c r="AC119" s="232" t="str">
        <f t="shared" si="13"/>
        <v/>
      </c>
    </row>
    <row r="120" spans="1:29" x14ac:dyDescent="0.2">
      <c r="A120" s="243" t="s">
        <v>2181</v>
      </c>
      <c r="D120" s="232">
        <f ca="1">IF(D$19=0,"",D17/D$19)</f>
        <v>0</v>
      </c>
      <c r="E120" s="232">
        <f t="shared" ref="E120:AC120" ca="1" si="14">IF(E$19=0,"",E17/E$19)</f>
        <v>0.78203715376954674</v>
      </c>
      <c r="F120" s="232">
        <f t="shared" ca="1" si="14"/>
        <v>0.86804249751240603</v>
      </c>
      <c r="G120" s="232">
        <f t="shared" ca="1" si="14"/>
        <v>0.6828651868795369</v>
      </c>
      <c r="H120" s="232">
        <f t="shared" ca="1" si="14"/>
        <v>0.40343302139684373</v>
      </c>
      <c r="I120" s="232">
        <f t="shared" ca="1" si="14"/>
        <v>0.21207779410284525</v>
      </c>
      <c r="J120" s="232">
        <f t="shared" ca="1" si="14"/>
        <v>0.12815817608892269</v>
      </c>
      <c r="K120" s="232">
        <f t="shared" ca="1" si="14"/>
        <v>0.11598173479991211</v>
      </c>
      <c r="L120" s="232">
        <f t="shared" ca="1" si="14"/>
        <v>8.8899493375308003E-2</v>
      </c>
      <c r="M120" s="232">
        <f t="shared" ca="1" si="14"/>
        <v>6.4308233395649159E-2</v>
      </c>
      <c r="N120" s="232">
        <f t="shared" ca="1" si="14"/>
        <v>6.0338260978322268E-2</v>
      </c>
      <c r="O120" s="232">
        <f t="shared" ca="1" si="14"/>
        <v>5.7136055205889991E-2</v>
      </c>
      <c r="P120" s="232">
        <f t="shared" ca="1" si="14"/>
        <v>6.2584991491254849E-2</v>
      </c>
      <c r="Q120" s="232">
        <f t="shared" ca="1" si="14"/>
        <v>6.2200076774387214E-2</v>
      </c>
      <c r="R120" s="232">
        <f t="shared" ca="1" si="14"/>
        <v>6.0447918628558771E-2</v>
      </c>
      <c r="S120" s="232">
        <f t="shared" ca="1" si="14"/>
        <v>6.1405056480330678E-2</v>
      </c>
      <c r="T120" s="232" t="str">
        <f t="shared" si="14"/>
        <v/>
      </c>
      <c r="U120" s="232" t="str">
        <f t="shared" si="14"/>
        <v/>
      </c>
      <c r="V120" s="232" t="str">
        <f t="shared" si="14"/>
        <v/>
      </c>
      <c r="W120" s="232" t="str">
        <f t="shared" si="14"/>
        <v/>
      </c>
      <c r="X120" s="232" t="str">
        <f t="shared" si="14"/>
        <v/>
      </c>
      <c r="Y120" s="232" t="str">
        <f t="shared" si="14"/>
        <v/>
      </c>
      <c r="Z120" s="232" t="str">
        <f t="shared" si="14"/>
        <v/>
      </c>
      <c r="AA120" s="232" t="str">
        <f t="shared" si="14"/>
        <v/>
      </c>
      <c r="AB120" s="232" t="str">
        <f t="shared" si="14"/>
        <v/>
      </c>
      <c r="AC120" s="232" t="str">
        <f t="shared" si="14"/>
        <v/>
      </c>
    </row>
    <row r="121" spans="1:29" x14ac:dyDescent="0.2">
      <c r="A121" s="243" t="s">
        <v>2182</v>
      </c>
      <c r="D121" s="232">
        <f ca="1">IF(D$19=0,"",D18/D$19)</f>
        <v>1</v>
      </c>
      <c r="E121" s="232">
        <f t="shared" ref="E121:AC121" ca="1" si="15">IF(E$19=0,"",E18/E$19)</f>
        <v>0.21796284623045328</v>
      </c>
      <c r="F121" s="232">
        <f t="shared" ca="1" si="15"/>
        <v>0.13195750248759403</v>
      </c>
      <c r="G121" s="232">
        <f t="shared" ca="1" si="15"/>
        <v>0.15210801702525872</v>
      </c>
      <c r="H121" s="232">
        <f t="shared" ca="1" si="15"/>
        <v>0.12771455350585742</v>
      </c>
      <c r="I121" s="232">
        <f t="shared" ca="1" si="15"/>
        <v>7.9470341334375513E-2</v>
      </c>
      <c r="J121" s="232">
        <f t="shared" ca="1" si="15"/>
        <v>5.4349630510137421E-2</v>
      </c>
      <c r="K121" s="232">
        <f t="shared" ca="1" si="15"/>
        <v>5.4905369822594814E-2</v>
      </c>
      <c r="L121" s="232">
        <f t="shared" ca="1" si="15"/>
        <v>7.3118105600225081E-2</v>
      </c>
      <c r="M121" s="232">
        <f t="shared" ca="1" si="15"/>
        <v>9.1291184108878931E-2</v>
      </c>
      <c r="N121" s="232">
        <f t="shared" ca="1" si="15"/>
        <v>0.10473743576227711</v>
      </c>
      <c r="O121" s="232">
        <f t="shared" ca="1" si="15"/>
        <v>0.11414402109498113</v>
      </c>
      <c r="P121" s="232">
        <f t="shared" ca="1" si="15"/>
        <v>0.12955376952443293</v>
      </c>
      <c r="Q121" s="232">
        <f t="shared" ca="1" si="15"/>
        <v>0.16042423840160183</v>
      </c>
      <c r="R121" s="232">
        <f t="shared" ca="1" si="15"/>
        <v>0.19402173680563739</v>
      </c>
      <c r="S121" s="232">
        <f t="shared" ca="1" si="15"/>
        <v>0.2314350867123138</v>
      </c>
      <c r="T121" s="232" t="str">
        <f t="shared" si="15"/>
        <v/>
      </c>
      <c r="U121" s="232" t="str">
        <f t="shared" si="15"/>
        <v/>
      </c>
      <c r="V121" s="232" t="str">
        <f t="shared" si="15"/>
        <v/>
      </c>
      <c r="W121" s="232" t="str">
        <f t="shared" si="15"/>
        <v/>
      </c>
      <c r="X121" s="232" t="str">
        <f t="shared" si="15"/>
        <v/>
      </c>
      <c r="Y121" s="232" t="str">
        <f t="shared" si="15"/>
        <v/>
      </c>
      <c r="Z121" s="232" t="str">
        <f t="shared" si="15"/>
        <v/>
      </c>
      <c r="AA121" s="232" t="str">
        <f t="shared" si="15"/>
        <v/>
      </c>
      <c r="AB121" s="232" t="str">
        <f t="shared" si="15"/>
        <v/>
      </c>
      <c r="AC121" s="232" t="str">
        <f t="shared" si="15"/>
        <v/>
      </c>
    </row>
    <row r="122" spans="1:29" x14ac:dyDescent="0.2">
      <c r="A122" s="250" t="s">
        <v>2183</v>
      </c>
      <c r="B122" s="235"/>
      <c r="C122" s="235"/>
      <c r="D122" s="251">
        <f ca="1">IF(D$19=0,"",D19/D$19)</f>
        <v>1</v>
      </c>
      <c r="E122" s="251">
        <f t="shared" ref="E122:AC122" ca="1" si="16">IF(E$19=0,"",E19/E$19)</f>
        <v>1</v>
      </c>
      <c r="F122" s="251">
        <f t="shared" ca="1" si="16"/>
        <v>1</v>
      </c>
      <c r="G122" s="251">
        <f t="shared" ca="1" si="16"/>
        <v>1</v>
      </c>
      <c r="H122" s="251">
        <f t="shared" ca="1" si="16"/>
        <v>1</v>
      </c>
      <c r="I122" s="251">
        <f t="shared" ca="1" si="16"/>
        <v>1</v>
      </c>
      <c r="J122" s="251">
        <f t="shared" ca="1" si="16"/>
        <v>1</v>
      </c>
      <c r="K122" s="251">
        <f t="shared" ca="1" si="16"/>
        <v>1</v>
      </c>
      <c r="L122" s="251">
        <f t="shared" ca="1" si="16"/>
        <v>1</v>
      </c>
      <c r="M122" s="251">
        <f t="shared" ca="1" si="16"/>
        <v>1</v>
      </c>
      <c r="N122" s="251">
        <f t="shared" ca="1" si="16"/>
        <v>1</v>
      </c>
      <c r="O122" s="251">
        <f t="shared" ca="1" si="16"/>
        <v>1</v>
      </c>
      <c r="P122" s="251">
        <f t="shared" ca="1" si="16"/>
        <v>1</v>
      </c>
      <c r="Q122" s="251">
        <f t="shared" ca="1" si="16"/>
        <v>1</v>
      </c>
      <c r="R122" s="251">
        <f t="shared" ca="1" si="16"/>
        <v>1</v>
      </c>
      <c r="S122" s="251">
        <f t="shared" ca="1" si="16"/>
        <v>1</v>
      </c>
      <c r="T122" s="251" t="str">
        <f t="shared" si="16"/>
        <v/>
      </c>
      <c r="U122" s="251" t="str">
        <f t="shared" si="16"/>
        <v/>
      </c>
      <c r="V122" s="251" t="str">
        <f t="shared" si="16"/>
        <v/>
      </c>
      <c r="W122" s="251" t="str">
        <f t="shared" si="16"/>
        <v/>
      </c>
      <c r="X122" s="251" t="str">
        <f t="shared" si="16"/>
        <v/>
      </c>
      <c r="Y122" s="251" t="str">
        <f t="shared" si="16"/>
        <v/>
      </c>
      <c r="Z122" s="251" t="str">
        <f t="shared" si="16"/>
        <v/>
      </c>
      <c r="AA122" s="251" t="str">
        <f t="shared" si="16"/>
        <v/>
      </c>
      <c r="AB122" s="251" t="str">
        <f t="shared" si="16"/>
        <v/>
      </c>
      <c r="AC122" s="251" t="str">
        <f t="shared" si="16"/>
        <v/>
      </c>
    </row>
    <row r="124" spans="1:29" x14ac:dyDescent="0.2">
      <c r="A124" s="248" t="s">
        <v>2186</v>
      </c>
    </row>
    <row r="125" spans="1:29" x14ac:dyDescent="0.2">
      <c r="A125" s="243" t="s">
        <v>831</v>
      </c>
      <c r="D125" s="232">
        <f ca="1">IF(D$23=0,"",D12/D$23)</f>
        <v>0.75228764025988826</v>
      </c>
      <c r="E125" s="232">
        <f t="shared" ref="E125:AC125" ca="1" si="17">IF(E$23=0,"",E12/E$23)</f>
        <v>0.5996990030144902</v>
      </c>
      <c r="F125" s="232">
        <f t="shared" ca="1" si="17"/>
        <v>0.72539221972959822</v>
      </c>
      <c r="G125" s="232">
        <f t="shared" ca="1" si="17"/>
        <v>0.81523881793913566</v>
      </c>
      <c r="H125" s="232">
        <f t="shared" ca="1" si="17"/>
        <v>0.8355919366098582</v>
      </c>
      <c r="I125" s="232">
        <f t="shared" ca="1" si="17"/>
        <v>0.77474407496962716</v>
      </c>
      <c r="J125" s="232">
        <f t="shared" ca="1" si="17"/>
        <v>0.6856935079293961</v>
      </c>
      <c r="K125" s="232">
        <f t="shared" ca="1" si="17"/>
        <v>0.59952078973695444</v>
      </c>
      <c r="L125" s="232">
        <f t="shared" ca="1" si="17"/>
        <v>0.57919032162800388</v>
      </c>
      <c r="M125" s="232">
        <f t="shared" ca="1" si="17"/>
        <v>0.5408886700776363</v>
      </c>
      <c r="N125" s="232">
        <f t="shared" ca="1" si="17"/>
        <v>0.49037038453597898</v>
      </c>
      <c r="O125" s="232">
        <f t="shared" ca="1" si="17"/>
        <v>0.42192930409600243</v>
      </c>
      <c r="P125" s="232">
        <f t="shared" ca="1" si="17"/>
        <v>0.36126136198943354</v>
      </c>
      <c r="Q125" s="232">
        <f t="shared" ca="1" si="17"/>
        <v>0.31362659571965212</v>
      </c>
      <c r="R125" s="232">
        <f t="shared" ca="1" si="17"/>
        <v>0.262602549891708</v>
      </c>
      <c r="S125" s="232">
        <f t="shared" ca="1" si="17"/>
        <v>0.21568805684767839</v>
      </c>
      <c r="T125" s="232" t="str">
        <f t="shared" si="17"/>
        <v/>
      </c>
      <c r="U125" s="232" t="str">
        <f t="shared" si="17"/>
        <v/>
      </c>
      <c r="V125" s="232" t="str">
        <f t="shared" si="17"/>
        <v/>
      </c>
      <c r="W125" s="232" t="str">
        <f t="shared" si="17"/>
        <v/>
      </c>
      <c r="X125" s="232" t="str">
        <f t="shared" si="17"/>
        <v/>
      </c>
      <c r="Y125" s="232" t="str">
        <f t="shared" si="17"/>
        <v/>
      </c>
      <c r="Z125" s="232" t="str">
        <f t="shared" si="17"/>
        <v/>
      </c>
      <c r="AA125" s="232" t="str">
        <f t="shared" si="17"/>
        <v/>
      </c>
      <c r="AB125" s="232" t="str">
        <f t="shared" si="17"/>
        <v/>
      </c>
      <c r="AC125" s="232" t="str">
        <f t="shared" si="17"/>
        <v/>
      </c>
    </row>
    <row r="126" spans="1:29" x14ac:dyDescent="0.2">
      <c r="A126" s="243" t="s">
        <v>1111</v>
      </c>
      <c r="D126" s="232">
        <f ca="1">IF(D$23=0,"",D15/D$23)</f>
        <v>0.21430858557548205</v>
      </c>
      <c r="E126" s="232">
        <f t="shared" ref="E126:AC126" ca="1" si="18">IF(E$23=0,"",E15/E$23)</f>
        <v>0.26040975737921823</v>
      </c>
      <c r="F126" s="232">
        <f t="shared" ca="1" si="18"/>
        <v>0.16607317349992753</v>
      </c>
      <c r="G126" s="232">
        <f t="shared" ca="1" si="18"/>
        <v>0.10350264300135494</v>
      </c>
      <c r="H126" s="232">
        <f t="shared" ca="1" si="18"/>
        <v>7.2057146531949987E-2</v>
      </c>
      <c r="I126" s="232">
        <f t="shared" ca="1" si="18"/>
        <v>5.8668875094375808E-2</v>
      </c>
      <c r="J126" s="232">
        <f t="shared" ca="1" si="18"/>
        <v>4.2750293291447208E-2</v>
      </c>
      <c r="K126" s="232">
        <f t="shared" ca="1" si="18"/>
        <v>5.1554155975673435E-2</v>
      </c>
      <c r="L126" s="232">
        <f t="shared" ca="1" si="18"/>
        <v>4.8315790717500771E-2</v>
      </c>
      <c r="M126" s="232">
        <f t="shared" ca="1" si="18"/>
        <v>4.3492221769822891E-2</v>
      </c>
      <c r="N126" s="232">
        <f t="shared" ca="1" si="18"/>
        <v>3.6358848464592169E-2</v>
      </c>
      <c r="O126" s="232">
        <f t="shared" ca="1" si="18"/>
        <v>2.9230126048133888E-2</v>
      </c>
      <c r="P126" s="232">
        <f t="shared" ca="1" si="18"/>
        <v>2.3533678366690226E-2</v>
      </c>
      <c r="Q126" s="232">
        <f t="shared" ca="1" si="18"/>
        <v>1.9869134521253672E-2</v>
      </c>
      <c r="R126" s="232">
        <f t="shared" ca="1" si="18"/>
        <v>1.6477683721235245E-2</v>
      </c>
      <c r="S126" s="232">
        <f t="shared" ca="1" si="18"/>
        <v>1.9682425715636001E-3</v>
      </c>
      <c r="T126" s="232" t="str">
        <f t="shared" si="18"/>
        <v/>
      </c>
      <c r="U126" s="232" t="str">
        <f t="shared" si="18"/>
        <v/>
      </c>
      <c r="V126" s="232" t="str">
        <f t="shared" si="18"/>
        <v/>
      </c>
      <c r="W126" s="232" t="str">
        <f t="shared" si="18"/>
        <v/>
      </c>
      <c r="X126" s="232" t="str">
        <f t="shared" si="18"/>
        <v/>
      </c>
      <c r="Y126" s="232" t="str">
        <f t="shared" si="18"/>
        <v/>
      </c>
      <c r="Z126" s="232" t="str">
        <f t="shared" si="18"/>
        <v/>
      </c>
      <c r="AA126" s="232" t="str">
        <f t="shared" si="18"/>
        <v/>
      </c>
      <c r="AB126" s="232" t="str">
        <f t="shared" si="18"/>
        <v/>
      </c>
      <c r="AC126" s="232" t="str">
        <f t="shared" si="18"/>
        <v/>
      </c>
    </row>
    <row r="127" spans="1:29" x14ac:dyDescent="0.2">
      <c r="A127" s="243" t="s">
        <v>1021</v>
      </c>
      <c r="D127" s="232">
        <f ca="1">IF(D$23=0,"",D19/D$23)</f>
        <v>3.3403774164629661E-2</v>
      </c>
      <c r="E127" s="232">
        <f t="shared" ref="E127:AC127" ca="1" si="19">IF(E$23=0,"",E19/E$23)</f>
        <v>0.13989123960629152</v>
      </c>
      <c r="F127" s="232">
        <f t="shared" ca="1" si="19"/>
        <v>0.10853460677047429</v>
      </c>
      <c r="G127" s="232">
        <f t="shared" ca="1" si="19"/>
        <v>8.1258539059509291E-2</v>
      </c>
      <c r="H127" s="232">
        <f t="shared" ca="1" si="19"/>
        <v>9.2350916858191731E-2</v>
      </c>
      <c r="I127" s="232">
        <f t="shared" ca="1" si="19"/>
        <v>0.16658704993599721</v>
      </c>
      <c r="J127" s="232">
        <f t="shared" ca="1" si="19"/>
        <v>0.27155619877915677</v>
      </c>
      <c r="K127" s="232">
        <f t="shared" ca="1" si="19"/>
        <v>0.34892505428737203</v>
      </c>
      <c r="L127" s="232">
        <f t="shared" ca="1" si="19"/>
        <v>0.37249388765449543</v>
      </c>
      <c r="M127" s="232">
        <f t="shared" ca="1" si="19"/>
        <v>0.41561910815254083</v>
      </c>
      <c r="N127" s="232">
        <f t="shared" ca="1" si="19"/>
        <v>0.47327076699942883</v>
      </c>
      <c r="O127" s="232">
        <f t="shared" ca="1" si="19"/>
        <v>0.54884056985586371</v>
      </c>
      <c r="P127" s="232">
        <f t="shared" ca="1" si="19"/>
        <v>0.61520495964387634</v>
      </c>
      <c r="Q127" s="232">
        <f t="shared" ca="1" si="19"/>
        <v>0.66650426975909416</v>
      </c>
      <c r="R127" s="232">
        <f t="shared" ca="1" si="19"/>
        <v>0.72091976638705668</v>
      </c>
      <c r="S127" s="232">
        <f t="shared" ca="1" si="19"/>
        <v>0.78234370058075797</v>
      </c>
      <c r="T127" s="232" t="str">
        <f t="shared" si="19"/>
        <v/>
      </c>
      <c r="U127" s="232" t="str">
        <f t="shared" si="19"/>
        <v/>
      </c>
      <c r="V127" s="232" t="str">
        <f t="shared" si="19"/>
        <v/>
      </c>
      <c r="W127" s="232" t="str">
        <f t="shared" si="19"/>
        <v/>
      </c>
      <c r="X127" s="232" t="str">
        <f t="shared" si="19"/>
        <v/>
      </c>
      <c r="Y127" s="232" t="str">
        <f t="shared" si="19"/>
        <v/>
      </c>
      <c r="Z127" s="232" t="str">
        <f t="shared" si="19"/>
        <v/>
      </c>
      <c r="AA127" s="232" t="str">
        <f t="shared" si="19"/>
        <v/>
      </c>
      <c r="AB127" s="232" t="str">
        <f t="shared" si="19"/>
        <v/>
      </c>
      <c r="AC127" s="232" t="str">
        <f t="shared" si="19"/>
        <v/>
      </c>
    </row>
    <row r="128" spans="1:29" x14ac:dyDescent="0.2">
      <c r="A128" s="243" t="s">
        <v>2184</v>
      </c>
      <c r="D128" s="232">
        <f ca="1">IF(D$23=0,"",D21/D$23)</f>
        <v>0</v>
      </c>
      <c r="E128" s="232">
        <f t="shared" ref="E128:AC128" ca="1" si="20">IF(E$23=0,"",E21/E$23)</f>
        <v>0</v>
      </c>
      <c r="F128" s="232">
        <f t="shared" ca="1" si="20"/>
        <v>0</v>
      </c>
      <c r="G128" s="232">
        <f t="shared" ca="1" si="20"/>
        <v>0</v>
      </c>
      <c r="H128" s="232">
        <f t="shared" ca="1" si="20"/>
        <v>0</v>
      </c>
      <c r="I128" s="232">
        <f t="shared" ca="1" si="20"/>
        <v>0</v>
      </c>
      <c r="J128" s="232">
        <f t="shared" ca="1" si="20"/>
        <v>0</v>
      </c>
      <c r="K128" s="232">
        <f t="shared" ca="1" si="20"/>
        <v>0</v>
      </c>
      <c r="L128" s="232">
        <f t="shared" ca="1" si="20"/>
        <v>0</v>
      </c>
      <c r="M128" s="232">
        <f t="shared" ca="1" si="20"/>
        <v>0</v>
      </c>
      <c r="N128" s="232">
        <f t="shared" ca="1" si="20"/>
        <v>0</v>
      </c>
      <c r="O128" s="232">
        <f t="shared" ca="1" si="20"/>
        <v>0</v>
      </c>
      <c r="P128" s="232">
        <f t="shared" ca="1" si="20"/>
        <v>0</v>
      </c>
      <c r="Q128" s="232">
        <f t="shared" ca="1" si="20"/>
        <v>0</v>
      </c>
      <c r="R128" s="232">
        <f t="shared" ca="1" si="20"/>
        <v>0</v>
      </c>
      <c r="S128" s="232">
        <f t="shared" ca="1" si="20"/>
        <v>0</v>
      </c>
      <c r="T128" s="232" t="str">
        <f t="shared" si="20"/>
        <v/>
      </c>
      <c r="U128" s="232" t="str">
        <f t="shared" si="20"/>
        <v/>
      </c>
      <c r="V128" s="232" t="str">
        <f t="shared" si="20"/>
        <v/>
      </c>
      <c r="W128" s="232" t="str">
        <f t="shared" si="20"/>
        <v/>
      </c>
      <c r="X128" s="232" t="str">
        <f t="shared" si="20"/>
        <v/>
      </c>
      <c r="Y128" s="232" t="str">
        <f t="shared" si="20"/>
        <v/>
      </c>
      <c r="Z128" s="232" t="str">
        <f t="shared" si="20"/>
        <v/>
      </c>
      <c r="AA128" s="232" t="str">
        <f t="shared" si="20"/>
        <v/>
      </c>
      <c r="AB128" s="232" t="str">
        <f t="shared" si="20"/>
        <v/>
      </c>
      <c r="AC128" s="232" t="str">
        <f t="shared" si="20"/>
        <v/>
      </c>
    </row>
    <row r="129" spans="1:29" x14ac:dyDescent="0.2">
      <c r="A129" s="250" t="s">
        <v>2187</v>
      </c>
      <c r="B129" s="235"/>
      <c r="C129" s="235"/>
      <c r="D129" s="251">
        <f ca="1">IF(D$23=0,"",(D12+D15+D19+D21)/D$23)</f>
        <v>1</v>
      </c>
      <c r="E129" s="251">
        <f t="shared" ref="E129:AC129" ca="1" si="21">IF(E$23=0,"",(E12+E15+E19+E21)/E$23)</f>
        <v>1</v>
      </c>
      <c r="F129" s="251">
        <f t="shared" ca="1" si="21"/>
        <v>1</v>
      </c>
      <c r="G129" s="251">
        <f t="shared" ca="1" si="21"/>
        <v>1</v>
      </c>
      <c r="H129" s="251">
        <f t="shared" ca="1" si="21"/>
        <v>1</v>
      </c>
      <c r="I129" s="251">
        <f t="shared" ca="1" si="21"/>
        <v>1</v>
      </c>
      <c r="J129" s="251">
        <f t="shared" ca="1" si="21"/>
        <v>1</v>
      </c>
      <c r="K129" s="251">
        <f t="shared" ca="1" si="21"/>
        <v>1</v>
      </c>
      <c r="L129" s="251">
        <f t="shared" ca="1" si="21"/>
        <v>1</v>
      </c>
      <c r="M129" s="251">
        <f t="shared" ca="1" si="21"/>
        <v>1</v>
      </c>
      <c r="N129" s="251">
        <f t="shared" ca="1" si="21"/>
        <v>1</v>
      </c>
      <c r="O129" s="251">
        <f t="shared" ca="1" si="21"/>
        <v>1</v>
      </c>
      <c r="P129" s="251">
        <f t="shared" ca="1" si="21"/>
        <v>1</v>
      </c>
      <c r="Q129" s="251">
        <f t="shared" ca="1" si="21"/>
        <v>1</v>
      </c>
      <c r="R129" s="251">
        <f t="shared" ca="1" si="21"/>
        <v>1</v>
      </c>
      <c r="S129" s="251">
        <f t="shared" ca="1" si="21"/>
        <v>1</v>
      </c>
      <c r="T129" s="251" t="str">
        <f t="shared" si="21"/>
        <v/>
      </c>
      <c r="U129" s="251" t="str">
        <f t="shared" si="21"/>
        <v/>
      </c>
      <c r="V129" s="251" t="str">
        <f t="shared" si="21"/>
        <v/>
      </c>
      <c r="W129" s="251" t="str">
        <f t="shared" si="21"/>
        <v/>
      </c>
      <c r="X129" s="251" t="str">
        <f t="shared" si="21"/>
        <v/>
      </c>
      <c r="Y129" s="251" t="str">
        <f t="shared" si="21"/>
        <v/>
      </c>
      <c r="Z129" s="251" t="str">
        <f t="shared" si="21"/>
        <v/>
      </c>
      <c r="AA129" s="251" t="str">
        <f t="shared" si="21"/>
        <v/>
      </c>
      <c r="AB129" s="251" t="str">
        <f t="shared" si="21"/>
        <v/>
      </c>
      <c r="AC129" s="251" t="str">
        <f t="shared" si="21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S19"/>
  <sheetViews>
    <sheetView showGridLines="0" workbookViewId="0">
      <selection activeCell="Q51" sqref="Q51"/>
    </sheetView>
  </sheetViews>
  <sheetFormatPr baseColWidth="10" defaultColWidth="10.6640625" defaultRowHeight="16" x14ac:dyDescent="0.2"/>
  <cols>
    <col min="1" max="1" width="56.6640625" customWidth="1"/>
  </cols>
  <sheetData>
    <row r="4" spans="1:19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</row>
    <row r="5" spans="1:19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</row>
    <row r="6" spans="1:19" x14ac:dyDescent="0.2">
      <c r="A6" s="23" t="s">
        <v>1643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">
      <c r="A8" s="22" t="s">
        <v>860</v>
      </c>
      <c r="B8" s="8"/>
      <c r="C8" s="8"/>
      <c r="D8" s="63" t="str">
        <f ca="1">IF(ABS('Group P&amp;L'!D14-'Cash Allocation Engine'!E14)&lt;1,"OK","FAIL")</f>
        <v>OK</v>
      </c>
      <c r="E8" s="63" t="str">
        <f ca="1">IF(ABS('Group P&amp;L'!E14-'Cash Allocation Engine'!F14)&lt;1,"OK","FAIL")</f>
        <v>OK</v>
      </c>
      <c r="F8" s="63" t="str">
        <f ca="1">IF(ABS('Group P&amp;L'!F14-'Cash Allocation Engine'!G14)&lt;1,"OK","FAIL")</f>
        <v>OK</v>
      </c>
      <c r="G8" s="63" t="str">
        <f ca="1">IF(ABS('Group P&amp;L'!G14-'Cash Allocation Engine'!H14)&lt;1,"OK","FAIL")</f>
        <v>OK</v>
      </c>
      <c r="H8" s="63" t="str">
        <f ca="1">IF(ABS('Group P&amp;L'!H14-'Cash Allocation Engine'!I14)&lt;1,"OK","FAIL")</f>
        <v>OK</v>
      </c>
      <c r="I8" s="63" t="str">
        <f ca="1">IF(ABS('Group P&amp;L'!I14-'Cash Allocation Engine'!J14)&lt;1,"OK","FAIL")</f>
        <v>OK</v>
      </c>
      <c r="J8" s="63" t="str">
        <f ca="1">IF(ABS('Group P&amp;L'!J14-'Cash Allocation Engine'!K14)&lt;1,"OK","FAIL")</f>
        <v>OK</v>
      </c>
      <c r="K8" s="63" t="str">
        <f ca="1">IF(ABS('Group P&amp;L'!K14-'Cash Allocation Engine'!L14)&lt;1,"OK","FAIL")</f>
        <v>OK</v>
      </c>
      <c r="L8" s="63" t="str">
        <f ca="1">IF(ABS('Group P&amp;L'!L14-'Cash Allocation Engine'!M14)&lt;1,"OK","FAIL")</f>
        <v>OK</v>
      </c>
      <c r="M8" s="63" t="str">
        <f ca="1">IF(ABS('Group P&amp;L'!M14-'Cash Allocation Engine'!N14)&lt;1,"OK","FAIL")</f>
        <v>OK</v>
      </c>
      <c r="N8" s="63" t="str">
        <f ca="1">IF(ABS('Group P&amp;L'!N14-'Cash Allocation Engine'!O14)&lt;1,"OK","FAIL")</f>
        <v>OK</v>
      </c>
      <c r="O8" s="63" t="str">
        <f ca="1">IF(ABS('Group P&amp;L'!O14-'Cash Allocation Engine'!P14)&lt;1,"OK","FAIL")</f>
        <v>OK</v>
      </c>
      <c r="P8" s="63" t="str">
        <f ca="1">IF(ABS('Group P&amp;L'!P14-'Cash Allocation Engine'!Q14)&lt;1,"OK","FAIL")</f>
        <v>OK</v>
      </c>
      <c r="Q8" s="63" t="str">
        <f ca="1">IF(ABS('Group P&amp;L'!Q14-'Cash Allocation Engine'!R14)&lt;1,"OK","FAIL")</f>
        <v>OK</v>
      </c>
      <c r="R8" s="63" t="str">
        <f ca="1">IF(ABS('Group P&amp;L'!R14-'Cash Allocation Engine'!S14)&lt;1,"OK","FAIL")</f>
        <v>OK</v>
      </c>
      <c r="S8" s="8" t="s">
        <v>1199</v>
      </c>
    </row>
    <row r="9" spans="1:19" x14ac:dyDescent="0.2">
      <c r="A9" s="20" t="s">
        <v>861</v>
      </c>
      <c r="B9" s="20"/>
      <c r="C9" s="20"/>
      <c r="D9" s="84" t="str">
        <f ca="1">IF(ABS('Group P&amp;L'!D57-('Group P&amp;L'!D29-'Group P&amp;L'!D36-'Group P&amp;L'!D44-'Group P&amp;L'!D49))&lt;1,"OK","FAIL")</f>
        <v>OK</v>
      </c>
      <c r="E9" s="84" t="str">
        <f ca="1">IF(ABS('Group P&amp;L'!E57-('Group P&amp;L'!E29-'Group P&amp;L'!E36-'Group P&amp;L'!E44-'Group P&amp;L'!E49))&lt;1,"OK","FAIL")</f>
        <v>OK</v>
      </c>
      <c r="F9" s="84" t="str">
        <f ca="1">IF(ABS('Group P&amp;L'!F57-('Group P&amp;L'!F29-'Group P&amp;L'!F36-'Group P&amp;L'!F44-'Group P&amp;L'!F49))&lt;1,"OK","FAIL")</f>
        <v>OK</v>
      </c>
      <c r="G9" s="84" t="str">
        <f ca="1">IF(ABS('Group P&amp;L'!G57-('Group P&amp;L'!G29-'Group P&amp;L'!G36-'Group P&amp;L'!G44-'Group P&amp;L'!G49))&lt;1,"OK","FAIL")</f>
        <v>OK</v>
      </c>
      <c r="H9" s="84" t="str">
        <f ca="1">IF(ABS('Group P&amp;L'!H57-('Group P&amp;L'!H29-'Group P&amp;L'!H36-'Group P&amp;L'!H44-'Group P&amp;L'!H49))&lt;1,"OK","FAIL")</f>
        <v>OK</v>
      </c>
      <c r="I9" s="84" t="str">
        <f ca="1">IF(ABS('Group P&amp;L'!I57-('Group P&amp;L'!I29-'Group P&amp;L'!I36-'Group P&amp;L'!I44-'Group P&amp;L'!I49))&lt;1,"OK","FAIL")</f>
        <v>OK</v>
      </c>
      <c r="J9" s="84" t="str">
        <f ca="1">IF(ABS('Group P&amp;L'!J57-('Group P&amp;L'!J29-'Group P&amp;L'!J36-'Group P&amp;L'!J44-'Group P&amp;L'!J49))&lt;1,"OK","FAIL")</f>
        <v>OK</v>
      </c>
      <c r="K9" s="84" t="str">
        <f ca="1">IF(ABS('Group P&amp;L'!K57-('Group P&amp;L'!K29-'Group P&amp;L'!K36-'Group P&amp;L'!K44-'Group P&amp;L'!K49))&lt;1,"OK","FAIL")</f>
        <v>OK</v>
      </c>
      <c r="L9" s="84" t="str">
        <f ca="1">IF(ABS('Group P&amp;L'!L57-('Group P&amp;L'!L29-'Group P&amp;L'!L36-'Group P&amp;L'!L44-'Group P&amp;L'!L49))&lt;1,"OK","FAIL")</f>
        <v>OK</v>
      </c>
      <c r="M9" s="84" t="str">
        <f ca="1">IF(ABS('Group P&amp;L'!M57-('Group P&amp;L'!M29-'Group P&amp;L'!M36-'Group P&amp;L'!M44-'Group P&amp;L'!M49))&lt;1,"OK","FAIL")</f>
        <v>OK</v>
      </c>
      <c r="N9" s="84" t="str">
        <f ca="1">IF(ABS('Group P&amp;L'!N57-('Group P&amp;L'!N29-'Group P&amp;L'!N36-'Group P&amp;L'!N44-'Group P&amp;L'!N49))&lt;1,"OK","FAIL")</f>
        <v>OK</v>
      </c>
      <c r="O9" s="84" t="str">
        <f ca="1">IF(ABS('Group P&amp;L'!O57-('Group P&amp;L'!O29-'Group P&amp;L'!O36-'Group P&amp;L'!O44-'Group P&amp;L'!O49))&lt;1,"OK","FAIL")</f>
        <v>OK</v>
      </c>
      <c r="P9" s="84" t="str">
        <f ca="1">IF(ABS('Group P&amp;L'!P57-('Group P&amp;L'!P29-'Group P&amp;L'!P36-'Group P&amp;L'!P44-'Group P&amp;L'!P49))&lt;1,"OK","FAIL")</f>
        <v>OK</v>
      </c>
      <c r="Q9" s="84" t="str">
        <f ca="1">IF(ABS('Group P&amp;L'!Q57-('Group P&amp;L'!Q29-'Group P&amp;L'!Q36-'Group P&amp;L'!Q44-'Group P&amp;L'!Q49))&lt;1,"OK","FAIL")</f>
        <v>OK</v>
      </c>
      <c r="R9" s="84" t="str">
        <f ca="1">IF(ABS('Group P&amp;L'!R57-('Group P&amp;L'!R29-'Group P&amp;L'!R36-'Group P&amp;L'!R44-'Group P&amp;L'!R49))&lt;1,"OK","FAIL")</f>
        <v>OK</v>
      </c>
      <c r="S9" s="84" t="str">
        <f ca="1">IF(ABS('Group P&amp;L'!S57-('Group P&amp;L'!S29-'Group P&amp;L'!S36-'Group P&amp;L'!S44-'Group P&amp;L'!S49))&lt;1,"OK","FAIL")</f>
        <v>OK</v>
      </c>
    </row>
    <row r="10" spans="1:19" x14ac:dyDescent="0.2">
      <c r="A10" s="22" t="s">
        <v>1756</v>
      </c>
      <c r="B10" s="8"/>
      <c r="C10" s="8"/>
      <c r="D10" s="63" t="str">
        <f ca="1">IF(ABS('Group P&amp;L'!D65-(Starlink!D151+'Customer Launch'!D107+'AI - Compute'!D11+'Lunar - Mars'!D109+'Group P&amp;L'!D64))&lt;1,"OK","FAIL: BV leak?")</f>
        <v>OK</v>
      </c>
      <c r="E10" s="63" t="str">
        <f ca="1">IF(ABS('Group P&amp;L'!E65-(Starlink!E151+'Customer Launch'!E107+'AI - Compute'!E11+'Lunar - Mars'!E109+'Group P&amp;L'!E64))&lt;1,"OK","FAIL: BV leak?")</f>
        <v>OK</v>
      </c>
      <c r="F10" s="63" t="str">
        <f ca="1">IF(ABS('Group P&amp;L'!F65-(Starlink!F151+'Customer Launch'!F107+'AI - Compute'!F11+'Lunar - Mars'!F109+'Group P&amp;L'!F64))&lt;1,"OK","FAIL: BV leak?")</f>
        <v>OK</v>
      </c>
      <c r="G10" s="63" t="str">
        <f ca="1">IF(ABS('Group P&amp;L'!G65-(Starlink!G151+'Customer Launch'!G107+'AI - Compute'!G11+'Lunar - Mars'!G109+'Group P&amp;L'!G64))&lt;1,"OK","FAIL: BV leak?")</f>
        <v>OK</v>
      </c>
      <c r="H10" s="63" t="str">
        <f ca="1">IF(ABS('Group P&amp;L'!H65-(Starlink!H151+'Customer Launch'!H107+'AI - Compute'!H11+'Lunar - Mars'!H109+'Group P&amp;L'!H64))&lt;1,"OK","FAIL: BV leak?")</f>
        <v>OK</v>
      </c>
      <c r="I10" s="63" t="str">
        <f ca="1">IF(ABS('Group P&amp;L'!I65-(Starlink!I151+'Customer Launch'!I107+'AI - Compute'!I11+'Lunar - Mars'!I109+'Group P&amp;L'!I64))&lt;1,"OK","FAIL: BV leak?")</f>
        <v>OK</v>
      </c>
      <c r="J10" s="63" t="str">
        <f ca="1">IF(ABS('Group P&amp;L'!J65-(Starlink!J151+'Customer Launch'!J107+'AI - Compute'!J11+'Lunar - Mars'!J109+'Group P&amp;L'!J64))&lt;1,"OK","FAIL: BV leak?")</f>
        <v>OK</v>
      </c>
      <c r="K10" s="63" t="str">
        <f ca="1">IF(ABS('Group P&amp;L'!K65-(Starlink!K151+'Customer Launch'!K107+'AI - Compute'!K11+'Lunar - Mars'!K109+'Group P&amp;L'!K64))&lt;1,"OK","FAIL: BV leak?")</f>
        <v>OK</v>
      </c>
      <c r="L10" s="63" t="str">
        <f ca="1">IF(ABS('Group P&amp;L'!L65-(Starlink!L151+'Customer Launch'!L107+'AI - Compute'!L11+'Lunar - Mars'!L109+'Group P&amp;L'!L64))&lt;1,"OK","FAIL: BV leak?")</f>
        <v>OK</v>
      </c>
      <c r="M10" s="63" t="str">
        <f ca="1">IF(ABS('Group P&amp;L'!M65-(Starlink!M151+'Customer Launch'!M107+'AI - Compute'!M11+'Lunar - Mars'!M109+'Group P&amp;L'!M64))&lt;1,"OK","FAIL: BV leak?")</f>
        <v>OK</v>
      </c>
      <c r="N10" s="63" t="str">
        <f ca="1">IF(ABS('Group P&amp;L'!N65-(Starlink!N151+'Customer Launch'!N107+'AI - Compute'!N11+'Lunar - Mars'!N109+'Group P&amp;L'!N64))&lt;1,"OK","FAIL: BV leak?")</f>
        <v>OK</v>
      </c>
      <c r="O10" s="63" t="str">
        <f ca="1">IF(ABS('Group P&amp;L'!O65-(Starlink!O151+'Customer Launch'!O107+'AI - Compute'!O11+'Lunar - Mars'!O109+'Group P&amp;L'!O64))&lt;1,"OK","FAIL: BV leak?")</f>
        <v>OK</v>
      </c>
      <c r="P10" s="63" t="str">
        <f ca="1">IF(ABS('Group P&amp;L'!P65-(Starlink!P151+'Customer Launch'!P107+'AI - Compute'!P11+'Lunar - Mars'!P109+'Group P&amp;L'!P64))&lt;1,"OK","FAIL: BV leak?")</f>
        <v>OK</v>
      </c>
      <c r="Q10" s="63" t="str">
        <f ca="1">IF(ABS('Group P&amp;L'!Q65-(Starlink!Q151+'Customer Launch'!Q107+'AI - Compute'!Q11+'Lunar - Mars'!Q109+'Group P&amp;L'!Q64))&lt;1,"OK","FAIL: BV leak?")</f>
        <v>OK</v>
      </c>
      <c r="R10" s="63" t="str">
        <f ca="1">IF(ABS('Group P&amp;L'!R65-(Starlink!R151+'Customer Launch'!R107+'AI - Compute'!R11+'Lunar - Mars'!R109+'Group P&amp;L'!R64))&lt;1,"OK","FAIL: BV leak?")</f>
        <v>OK</v>
      </c>
      <c r="S10" s="63" t="str">
        <f ca="1">IF(ABS('Group P&amp;L'!S65-(Starlink!S151+'Customer Launch'!S107+'AI - Compute'!S11+'Lunar - Mars'!S109+'Group P&amp;L'!S64))&lt;1,"OK","FAIL: BV leak?")</f>
        <v>OK</v>
      </c>
    </row>
    <row r="11" spans="1:19" x14ac:dyDescent="0.2">
      <c r="A11" s="20" t="s">
        <v>1757</v>
      </c>
      <c r="B11" s="20"/>
      <c r="C11" s="20"/>
      <c r="D11" s="84" t="str">
        <f ca="1">IF(ABS('Group P&amp;L'!D73-('Group P&amp;L'!D57-'Group P&amp;L'!D65))&lt;1,"OK","FAIL")</f>
        <v>OK</v>
      </c>
      <c r="E11" s="84" t="str">
        <f ca="1">IF(ABS('Group P&amp;L'!E73-('Group P&amp;L'!E57-'Group P&amp;L'!E65))&lt;1,"OK","FAIL")</f>
        <v>OK</v>
      </c>
      <c r="F11" s="84" t="str">
        <f ca="1">IF(ABS('Group P&amp;L'!F73-('Group P&amp;L'!F57-'Group P&amp;L'!F65))&lt;1,"OK","FAIL")</f>
        <v>OK</v>
      </c>
      <c r="G11" s="84" t="str">
        <f ca="1">IF(ABS('Group P&amp;L'!G73-('Group P&amp;L'!G57-'Group P&amp;L'!G65))&lt;1,"OK","FAIL")</f>
        <v>OK</v>
      </c>
      <c r="H11" s="84" t="str">
        <f ca="1">IF(ABS('Group P&amp;L'!H73-('Group P&amp;L'!H57-'Group P&amp;L'!H65))&lt;1,"OK","FAIL")</f>
        <v>OK</v>
      </c>
      <c r="I11" s="84" t="str">
        <f ca="1">IF(ABS('Group P&amp;L'!I73-('Group P&amp;L'!I57-'Group P&amp;L'!I65))&lt;1,"OK","FAIL")</f>
        <v>OK</v>
      </c>
      <c r="J11" s="84" t="str">
        <f ca="1">IF(ABS('Group P&amp;L'!J73-('Group P&amp;L'!J57-'Group P&amp;L'!J65))&lt;1,"OK","FAIL")</f>
        <v>OK</v>
      </c>
      <c r="K11" s="84" t="str">
        <f ca="1">IF(ABS('Group P&amp;L'!K73-('Group P&amp;L'!K57-'Group P&amp;L'!K65))&lt;1,"OK","FAIL")</f>
        <v>OK</v>
      </c>
      <c r="L11" s="84" t="str">
        <f ca="1">IF(ABS('Group P&amp;L'!L73-('Group P&amp;L'!L57-'Group P&amp;L'!L65))&lt;1,"OK","FAIL")</f>
        <v>OK</v>
      </c>
      <c r="M11" s="84" t="str">
        <f ca="1">IF(ABS('Group P&amp;L'!M73-('Group P&amp;L'!M57-'Group P&amp;L'!M65))&lt;1,"OK","FAIL")</f>
        <v>OK</v>
      </c>
      <c r="N11" s="84" t="str">
        <f ca="1">IF(ABS('Group P&amp;L'!N73-('Group P&amp;L'!N57-'Group P&amp;L'!N65))&lt;1,"OK","FAIL")</f>
        <v>OK</v>
      </c>
      <c r="O11" s="84" t="str">
        <f ca="1">IF(ABS('Group P&amp;L'!O73-('Group P&amp;L'!O57-'Group P&amp;L'!O65))&lt;1,"OK","FAIL")</f>
        <v>OK</v>
      </c>
      <c r="P11" s="84" t="str">
        <f ca="1">IF(ABS('Group P&amp;L'!P73-('Group P&amp;L'!P57-'Group P&amp;L'!P65))&lt;1,"OK","FAIL")</f>
        <v>OK</v>
      </c>
      <c r="Q11" s="84" t="str">
        <f ca="1">IF(ABS('Group P&amp;L'!Q73-('Group P&amp;L'!Q57-'Group P&amp;L'!Q65))&lt;1,"OK","FAIL")</f>
        <v>OK</v>
      </c>
      <c r="R11" s="84" t="str">
        <f ca="1">IF(ABS('Group P&amp;L'!R73-('Group P&amp;L'!R57-'Group P&amp;L'!R65))&lt;1,"OK","FAIL")</f>
        <v>OK</v>
      </c>
      <c r="S11" s="84" t="str">
        <f ca="1">IF(ABS('Group P&amp;L'!S73-('Group P&amp;L'!S57-'Group P&amp;L'!S65))&lt;1,"OK","FAIL")</f>
        <v>OK</v>
      </c>
    </row>
    <row r="12" spans="1:19" x14ac:dyDescent="0.2">
      <c r="A12" s="22" t="s">
        <v>862</v>
      </c>
      <c r="B12" s="8"/>
      <c r="C12" s="8"/>
      <c r="D12" s="63" t="str">
        <f>IF('Cash Allocation Engine'!D55="","OK (seed)",IF(ABS('Group P&amp;L'!D93-'Group P&amp;L'!D94-'Group P&amp;L'!D95)&lt;1,"OK","FAIL"))</f>
        <v>OK (seed)</v>
      </c>
      <c r="E12" s="63" t="str">
        <f ca="1">IF(ABS('Group P&amp;L'!E93-'Group P&amp;L'!E94-'Group P&amp;L'!E95)&lt;1,"OK","FAIL")</f>
        <v>OK</v>
      </c>
      <c r="F12" s="63" t="str">
        <f ca="1">IF(ABS('Group P&amp;L'!F93-'Group P&amp;L'!F94-'Group P&amp;L'!F95)&lt;1,"OK","FAIL")</f>
        <v>OK</v>
      </c>
      <c r="G12" s="63" t="str">
        <f ca="1">IF(ABS('Group P&amp;L'!G93-'Group P&amp;L'!G94-'Group P&amp;L'!G95)&lt;1,"OK","FAIL")</f>
        <v>OK</v>
      </c>
      <c r="H12" s="63" t="str">
        <f ca="1">IF(ABS('Group P&amp;L'!H93-'Group P&amp;L'!H94-'Group P&amp;L'!H95)&lt;1,"OK","FAIL")</f>
        <v>OK</v>
      </c>
      <c r="I12" s="63" t="str">
        <f ca="1">IF(ABS('Group P&amp;L'!I93-'Group P&amp;L'!I94-'Group P&amp;L'!I95)&lt;1,"OK","FAIL")</f>
        <v>OK</v>
      </c>
      <c r="J12" s="63" t="str">
        <f ca="1">IF(ABS('Group P&amp;L'!J93-'Group P&amp;L'!J94-'Group P&amp;L'!J95)&lt;1,"OK","FAIL")</f>
        <v>OK</v>
      </c>
      <c r="K12" s="63" t="str">
        <f ca="1">IF(ABS('Group P&amp;L'!K93-'Group P&amp;L'!K94-'Group P&amp;L'!K95)&lt;1,"OK","FAIL")</f>
        <v>OK</v>
      </c>
      <c r="L12" s="63" t="str">
        <f ca="1">IF(ABS('Group P&amp;L'!L93-'Group P&amp;L'!L94-'Group P&amp;L'!L95)&lt;1,"OK","FAIL")</f>
        <v>OK</v>
      </c>
      <c r="M12" s="63" t="str">
        <f ca="1">IF(ABS('Group P&amp;L'!M93-'Group P&amp;L'!M94-'Group P&amp;L'!M95)&lt;1,"OK","FAIL")</f>
        <v>OK</v>
      </c>
      <c r="N12" s="63" t="str">
        <f ca="1">IF(ABS('Group P&amp;L'!N93-'Group P&amp;L'!N94-'Group P&amp;L'!N95)&lt;1,"OK","FAIL")</f>
        <v>OK</v>
      </c>
      <c r="O12" s="63" t="str">
        <f ca="1">IF(ABS('Group P&amp;L'!O93-'Group P&amp;L'!O94-'Group P&amp;L'!O95)&lt;1,"OK","FAIL")</f>
        <v>OK</v>
      </c>
      <c r="P12" s="63" t="str">
        <f ca="1">IF(ABS('Group P&amp;L'!P93-'Group P&amp;L'!P94-'Group P&amp;L'!P95)&lt;1,"OK","FAIL")</f>
        <v>OK</v>
      </c>
      <c r="Q12" s="63" t="str">
        <f ca="1">IF(ABS('Group P&amp;L'!Q93-'Group P&amp;L'!Q94-'Group P&amp;L'!Q95)&lt;1,"OK","FAIL")</f>
        <v>OK</v>
      </c>
      <c r="R12" s="63" t="str">
        <f ca="1">IF(ABS('Group P&amp;L'!R93-'Group P&amp;L'!R94-'Group P&amp;L'!R95)&lt;1,"OK","FAIL")</f>
        <v>OK</v>
      </c>
      <c r="S12" s="63" t="str">
        <f ca="1">IF(ABS('Group P&amp;L'!S93-'Group P&amp;L'!S94-'Group P&amp;L'!S95)&lt;1,"OK","FAIL")</f>
        <v>OK</v>
      </c>
    </row>
    <row r="13" spans="1:19" x14ac:dyDescent="0.2">
      <c r="A13" s="20" t="s">
        <v>863</v>
      </c>
      <c r="B13" s="20"/>
      <c r="C13" s="20"/>
      <c r="D13" s="84" t="str">
        <f ca="1">IF(ABS('Group P&amp;L'!D96-('Group P&amp;L'!D77+'Group P&amp;L'!D65-'Group P&amp;L'!D85))&lt;1,"OK","FAIL")</f>
        <v>OK</v>
      </c>
      <c r="E13" s="84" t="str">
        <f ca="1">IF(ABS('Group P&amp;L'!E96-('Group P&amp;L'!E77+'Group P&amp;L'!E65-'Group P&amp;L'!E85))&lt;1,"OK","FAIL")</f>
        <v>OK</v>
      </c>
      <c r="F13" s="84" t="str">
        <f ca="1">IF(ABS('Group P&amp;L'!F96-('Group P&amp;L'!F77+'Group P&amp;L'!F65-'Group P&amp;L'!F85))&lt;1,"OK","FAIL")</f>
        <v>OK</v>
      </c>
      <c r="G13" s="84" t="str">
        <f ca="1">IF(ABS('Group P&amp;L'!G96-('Group P&amp;L'!G77+'Group P&amp;L'!G65-'Group P&amp;L'!G85))&lt;1,"OK","FAIL")</f>
        <v>OK</v>
      </c>
      <c r="H13" s="84" t="str">
        <f ca="1">IF(ABS('Group P&amp;L'!H96-('Group P&amp;L'!H77+'Group P&amp;L'!H65-'Group P&amp;L'!H85))&lt;1,"OK","FAIL")</f>
        <v>OK</v>
      </c>
      <c r="I13" s="84" t="str">
        <f ca="1">IF(ABS('Group P&amp;L'!I96-('Group P&amp;L'!I77+'Group P&amp;L'!I65-'Group P&amp;L'!I85))&lt;1,"OK","FAIL")</f>
        <v>OK</v>
      </c>
      <c r="J13" s="84" t="str">
        <f ca="1">IF(ABS('Group P&amp;L'!J96-('Group P&amp;L'!J77+'Group P&amp;L'!J65-'Group P&amp;L'!J85))&lt;1,"OK","FAIL")</f>
        <v>OK</v>
      </c>
      <c r="K13" s="84" t="str">
        <f ca="1">IF(ABS('Group P&amp;L'!K96-('Group P&amp;L'!K77+'Group P&amp;L'!K65-'Group P&amp;L'!K85))&lt;1,"OK","FAIL")</f>
        <v>OK</v>
      </c>
      <c r="L13" s="84" t="str">
        <f ca="1">IF(ABS('Group P&amp;L'!L96-('Group P&amp;L'!L77+'Group P&amp;L'!L65-'Group P&amp;L'!L85))&lt;1,"OK","FAIL")</f>
        <v>OK</v>
      </c>
      <c r="M13" s="84" t="str">
        <f ca="1">IF(ABS('Group P&amp;L'!M96-('Group P&amp;L'!M77+'Group P&amp;L'!M65-'Group P&amp;L'!M85))&lt;1,"OK","FAIL")</f>
        <v>OK</v>
      </c>
      <c r="N13" s="84" t="str">
        <f ca="1">IF(ABS('Group P&amp;L'!N96-('Group P&amp;L'!N77+'Group P&amp;L'!N65-'Group P&amp;L'!N85))&lt;1,"OK","FAIL")</f>
        <v>OK</v>
      </c>
      <c r="O13" s="84" t="str">
        <f ca="1">IF(ABS('Group P&amp;L'!O96-('Group P&amp;L'!O77+'Group P&amp;L'!O65-'Group P&amp;L'!O85))&lt;1,"OK","FAIL")</f>
        <v>OK</v>
      </c>
      <c r="P13" s="84" t="str">
        <f ca="1">IF(ABS('Group P&amp;L'!P96-('Group P&amp;L'!P77+'Group P&amp;L'!P65-'Group P&amp;L'!P85))&lt;1,"OK","FAIL")</f>
        <v>OK</v>
      </c>
      <c r="Q13" s="84" t="str">
        <f ca="1">IF(ABS('Group P&amp;L'!Q96-('Group P&amp;L'!Q77+'Group P&amp;L'!Q65-'Group P&amp;L'!Q85))&lt;1,"OK","FAIL")</f>
        <v>OK</v>
      </c>
      <c r="R13" s="84" t="str">
        <f ca="1">IF(ABS('Group P&amp;L'!R96-('Group P&amp;L'!R77+'Group P&amp;L'!R65-'Group P&amp;L'!R85))&lt;1,"OK","FAIL")</f>
        <v>OK</v>
      </c>
      <c r="S13" s="84" t="str">
        <f ca="1">IF(ABS('Group P&amp;L'!S96-('Group P&amp;L'!S77+'Group P&amp;L'!S65-'Group P&amp;L'!S85))&lt;1,"OK","FAIL")</f>
        <v>OK</v>
      </c>
    </row>
    <row r="14" spans="1:19" x14ac:dyDescent="0.2">
      <c r="A14" s="22" t="s">
        <v>1758</v>
      </c>
      <c r="B14" s="8"/>
      <c r="C14" s="8"/>
      <c r="D14" s="63" t="str">
        <f>IF('Cash Allocation Engine'!D55="","OK",IF(ABS('Cash Allocation Engine'!D56-'Cash Allocation Engine'!D11-'Cash Allocation Engine'!D55+'Cash Allocation Engine'!D106+'Cash Allocation Engine'!D107)&lt;1,"OK","FAIL"))</f>
        <v>OK</v>
      </c>
      <c r="E14" s="63" t="str">
        <f ca="1">IF(ABS('Cash Allocation Engine'!E56-'Cash Allocation Engine'!E11-'Cash Allocation Engine'!E55+'Cash Allocation Engine'!E106+'Cash Allocation Engine'!E107)&lt;1,"OK","FAIL")</f>
        <v>OK</v>
      </c>
      <c r="F14" s="63" t="str">
        <f ca="1">IF(ABS('Cash Allocation Engine'!F56-'Cash Allocation Engine'!F11-'Cash Allocation Engine'!F55+'Cash Allocation Engine'!F106+'Cash Allocation Engine'!F107)&lt;1,"OK","FAIL")</f>
        <v>OK</v>
      </c>
      <c r="G14" s="63" t="str">
        <f ca="1">IF(ABS('Cash Allocation Engine'!G56-'Cash Allocation Engine'!G11-'Cash Allocation Engine'!G55+'Cash Allocation Engine'!G106+'Cash Allocation Engine'!G107)&lt;1,"OK","FAIL")</f>
        <v>FAIL</v>
      </c>
      <c r="H14" s="63" t="str">
        <f ca="1">IF(ABS('Cash Allocation Engine'!H56-'Cash Allocation Engine'!H11-'Cash Allocation Engine'!H55+'Cash Allocation Engine'!H106+'Cash Allocation Engine'!H107)&lt;1,"OK","FAIL")</f>
        <v>FAIL</v>
      </c>
      <c r="I14" s="63" t="str">
        <f ca="1">IF(ABS('Cash Allocation Engine'!I56-'Cash Allocation Engine'!I11-'Cash Allocation Engine'!I55+'Cash Allocation Engine'!I106+'Cash Allocation Engine'!I107)&lt;1,"OK","FAIL")</f>
        <v>FAIL</v>
      </c>
      <c r="J14" s="63" t="str">
        <f ca="1">IF(ABS('Cash Allocation Engine'!J56-'Cash Allocation Engine'!J11-'Cash Allocation Engine'!J55+'Cash Allocation Engine'!J106+'Cash Allocation Engine'!J107)&lt;1,"OK","FAIL")</f>
        <v>FAIL</v>
      </c>
      <c r="K14" s="63" t="str">
        <f ca="1">IF(ABS('Cash Allocation Engine'!K56-'Cash Allocation Engine'!K11-'Cash Allocation Engine'!K55+'Cash Allocation Engine'!K106+'Cash Allocation Engine'!K107)&lt;1,"OK","FAIL")</f>
        <v>FAIL</v>
      </c>
      <c r="L14" s="63" t="str">
        <f ca="1">IF(ABS('Cash Allocation Engine'!L56-'Cash Allocation Engine'!L11-'Cash Allocation Engine'!L55+'Cash Allocation Engine'!L106+'Cash Allocation Engine'!L107)&lt;1,"OK","FAIL")</f>
        <v>FAIL</v>
      </c>
      <c r="M14" s="63" t="str">
        <f ca="1">IF(ABS('Cash Allocation Engine'!M56-'Cash Allocation Engine'!M11-'Cash Allocation Engine'!M55+'Cash Allocation Engine'!M106+'Cash Allocation Engine'!M107)&lt;1,"OK","FAIL")</f>
        <v>FAIL</v>
      </c>
      <c r="N14" s="63" t="str">
        <f ca="1">IF(ABS('Cash Allocation Engine'!N56-'Cash Allocation Engine'!N11-'Cash Allocation Engine'!N55+'Cash Allocation Engine'!N106+'Cash Allocation Engine'!N107)&lt;1,"OK","FAIL")</f>
        <v>FAIL</v>
      </c>
      <c r="O14" s="63" t="str">
        <f ca="1">IF(ABS('Cash Allocation Engine'!O56-'Cash Allocation Engine'!O11-'Cash Allocation Engine'!O55+'Cash Allocation Engine'!O106+'Cash Allocation Engine'!O107)&lt;1,"OK","FAIL")</f>
        <v>FAIL</v>
      </c>
      <c r="P14" s="63" t="str">
        <f ca="1">IF(ABS('Cash Allocation Engine'!P56-'Cash Allocation Engine'!P11-'Cash Allocation Engine'!P55+'Cash Allocation Engine'!P106+'Cash Allocation Engine'!P107)&lt;1,"OK","FAIL")</f>
        <v>OK</v>
      </c>
      <c r="Q14" s="63" t="str">
        <f ca="1">IF(ABS('Cash Allocation Engine'!Q56-'Cash Allocation Engine'!Q11-'Cash Allocation Engine'!Q55+'Cash Allocation Engine'!Q106+'Cash Allocation Engine'!Q107)&lt;1,"OK","FAIL")</f>
        <v>OK</v>
      </c>
      <c r="R14" s="63" t="str">
        <f ca="1">IF(ABS('Cash Allocation Engine'!R56-'Cash Allocation Engine'!R11-'Cash Allocation Engine'!R55+'Cash Allocation Engine'!R106+'Cash Allocation Engine'!R107)&lt;1,"OK","FAIL")</f>
        <v>OK</v>
      </c>
      <c r="S14" s="63" t="str">
        <f ca="1">IF(ABS('Cash Allocation Engine'!S56-'Cash Allocation Engine'!S11-'Cash Allocation Engine'!S55+'Cash Allocation Engine'!S106+'Cash Allocation Engine'!S107)&lt;1,"OK","FAIL")</f>
        <v>OK</v>
      </c>
    </row>
    <row r="15" spans="1:19" x14ac:dyDescent="0.2">
      <c r="A15" s="22" t="s">
        <v>864</v>
      </c>
      <c r="B15" s="8"/>
      <c r="C15" s="8"/>
      <c r="D15" s="63" t="str">
        <f>IF(ABS('Group P&amp;L'!D101)&lt;1,"OK","FAIL")</f>
        <v>OK</v>
      </c>
      <c r="E15" s="63" t="str">
        <f>IF(ABS('Group P&amp;L'!E101)&lt;1,"OK","FAIL")</f>
        <v>OK</v>
      </c>
      <c r="F15" s="63" t="str">
        <f>IF(ABS('Group P&amp;L'!F101)&lt;1,"OK","FAIL")</f>
        <v>OK</v>
      </c>
      <c r="G15" s="63" t="str">
        <f>IF(ABS('Group P&amp;L'!G101)&lt;1,"OK","FAIL")</f>
        <v>OK</v>
      </c>
      <c r="H15" s="63" t="str">
        <f>IF(ABS('Group P&amp;L'!H101)&lt;1,"OK","FAIL")</f>
        <v>OK</v>
      </c>
      <c r="I15" s="63" t="str">
        <f>IF(ABS('Group P&amp;L'!I101)&lt;1,"OK","FAIL")</f>
        <v>OK</v>
      </c>
      <c r="J15" s="63" t="str">
        <f>IF(ABS('Group P&amp;L'!J101)&lt;1,"OK","FAIL")</f>
        <v>OK</v>
      </c>
      <c r="K15" s="63" t="str">
        <f>IF(ABS('Group P&amp;L'!K101)&lt;1,"OK","FAIL")</f>
        <v>OK</v>
      </c>
      <c r="L15" s="63" t="str">
        <f>IF(ABS('Group P&amp;L'!L101)&lt;1,"OK","FAIL")</f>
        <v>OK</v>
      </c>
      <c r="M15" s="63" t="str">
        <f>IF(ABS('Group P&amp;L'!M101)&lt;1,"OK","FAIL")</f>
        <v>OK</v>
      </c>
      <c r="N15" s="63" t="str">
        <f>IF(ABS('Group P&amp;L'!N101)&lt;1,"OK","FAIL")</f>
        <v>OK</v>
      </c>
      <c r="O15" s="63" t="str">
        <f>IF(ABS('Group P&amp;L'!O101)&lt;1,"OK","FAIL")</f>
        <v>OK</v>
      </c>
      <c r="P15" s="63" t="str">
        <f>IF(ABS('Group P&amp;L'!P101)&lt;1,"OK","FAIL")</f>
        <v>OK</v>
      </c>
      <c r="Q15" s="63" t="str">
        <f>IF(ABS('Group P&amp;L'!Q101)&lt;1,"OK","FAIL")</f>
        <v>OK</v>
      </c>
      <c r="R15" s="63" t="str">
        <f>IF(ABS('Group P&amp;L'!R101)&lt;1,"OK","FAIL")</f>
        <v>OK</v>
      </c>
      <c r="S15" s="63" t="str">
        <f>IF(ABS('Group P&amp;L'!S101)&lt;1,"OK","FAIL")</f>
        <v>OK</v>
      </c>
    </row>
    <row r="16" spans="1:19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2">
      <c r="A17" s="23" t="s">
        <v>865</v>
      </c>
      <c r="B17" s="9"/>
      <c r="C17" s="9"/>
      <c r="D17" s="45" t="str">
        <f t="shared" ref="D17:S17" ca="1" si="0">IF(AND(LEFT(D8,2)="OK",LEFT(D9,2)="OK",LEFT(D10,2)="OK",LEFT(D11,2)="OK",LEFT(D12,2)="OK",LEFT(D13,2)="OK",LEFT(D14,2)="OK",LEFT(D15,2)="OK"),"OK","FAIL")</f>
        <v>OK</v>
      </c>
      <c r="E17" s="45" t="str">
        <f t="shared" ca="1" si="0"/>
        <v>OK</v>
      </c>
      <c r="F17" s="45" t="str">
        <f t="shared" ca="1" si="0"/>
        <v>OK</v>
      </c>
      <c r="G17" s="45" t="str">
        <f t="shared" ca="1" si="0"/>
        <v>FAIL</v>
      </c>
      <c r="H17" s="45" t="str">
        <f t="shared" ca="1" si="0"/>
        <v>FAIL</v>
      </c>
      <c r="I17" s="45" t="str">
        <f t="shared" ca="1" si="0"/>
        <v>FAIL</v>
      </c>
      <c r="J17" s="45" t="str">
        <f t="shared" ca="1" si="0"/>
        <v>FAIL</v>
      </c>
      <c r="K17" s="45" t="str">
        <f t="shared" ca="1" si="0"/>
        <v>FAIL</v>
      </c>
      <c r="L17" s="45" t="str">
        <f t="shared" ca="1" si="0"/>
        <v>FAIL</v>
      </c>
      <c r="M17" s="45" t="str">
        <f t="shared" ca="1" si="0"/>
        <v>FAIL</v>
      </c>
      <c r="N17" s="45" t="str">
        <f t="shared" ca="1" si="0"/>
        <v>FAIL</v>
      </c>
      <c r="O17" s="45" t="str">
        <f t="shared" ca="1" si="0"/>
        <v>FAIL</v>
      </c>
      <c r="P17" s="45" t="str">
        <f t="shared" ca="1" si="0"/>
        <v>OK</v>
      </c>
      <c r="Q17" s="45" t="str">
        <f t="shared" ca="1" si="0"/>
        <v>OK</v>
      </c>
      <c r="R17" s="45" t="str">
        <f t="shared" ca="1" si="0"/>
        <v>OK</v>
      </c>
      <c r="S17" s="45" t="str">
        <f t="shared" ca="1" si="0"/>
        <v>FAIL</v>
      </c>
    </row>
    <row r="18" spans="1:19" x14ac:dyDescent="0.2">
      <c r="A18" s="21" t="s">
        <v>866</v>
      </c>
      <c r="B18" s="21"/>
      <c r="C18" s="21"/>
      <c r="D18" s="140">
        <f>'Cash Allocation Engine'!D55</f>
        <v>0</v>
      </c>
      <c r="E18" s="140">
        <f ca="1">D18+'Cash Allocation Engine'!E55</f>
        <v>-32855.500723882833</v>
      </c>
      <c r="F18" s="140">
        <f ca="1">E18+'Cash Allocation Engine'!F55</f>
        <v>-48927.320910401402</v>
      </c>
      <c r="G18" s="140">
        <f ca="1">F18+'Cash Allocation Engine'!G55</f>
        <v>-34419.989507183593</v>
      </c>
      <c r="H18" s="140">
        <f ca="1">G18+'Cash Allocation Engine'!H55</f>
        <v>18197.997396922576</v>
      </c>
      <c r="I18" s="140">
        <f ca="1">H18+'Cash Allocation Engine'!I55</f>
        <v>72135.950008321859</v>
      </c>
      <c r="J18" s="140">
        <f ca="1">I18+'Cash Allocation Engine'!J55</f>
        <v>126152.71081222958</v>
      </c>
      <c r="K18" s="140">
        <f ca="1">J18+'Cash Allocation Engine'!K55</f>
        <v>218678.09393291885</v>
      </c>
      <c r="L18" s="140">
        <f ca="1">K18+'Cash Allocation Engine'!L55</f>
        <v>364914.02521394013</v>
      </c>
      <c r="M18" s="140">
        <f ca="1">L18+'Cash Allocation Engine'!M55</f>
        <v>498312.51183836407</v>
      </c>
      <c r="N18" s="140">
        <f ca="1">M18+'Cash Allocation Engine'!N55</f>
        <v>642716.82305046951</v>
      </c>
      <c r="O18" s="140">
        <f ca="1">N18+'Cash Allocation Engine'!O55</f>
        <v>790674.69879208447</v>
      </c>
      <c r="P18" s="140">
        <f ca="1">O18+'Cash Allocation Engine'!P55</f>
        <v>1000678.1028634543</v>
      </c>
      <c r="Q18" s="140">
        <f ca="1">P18+'Cash Allocation Engine'!Q55</f>
        <v>1311091.818347143</v>
      </c>
      <c r="R18" s="140">
        <f ca="1">Q18+'Cash Allocation Engine'!R55</f>
        <v>1688890.9843006036</v>
      </c>
      <c r="S18" s="140">
        <f ca="1">R18+'Cash Allocation Engine'!S55</f>
        <v>2133127.9617795646</v>
      </c>
    </row>
    <row r="19" spans="1:19" x14ac:dyDescent="0.2">
      <c r="A19" s="24" t="s">
        <v>1759</v>
      </c>
      <c r="B19" s="11"/>
      <c r="C19" s="11"/>
      <c r="D19" s="138">
        <f ca="1">'Group P&amp;L'!D93-'Group P&amp;L'!D96</f>
        <v>0</v>
      </c>
      <c r="E19" s="138">
        <f ca="1">'Group P&amp;L'!E93-'Group P&amp;L'!E96</f>
        <v>0</v>
      </c>
      <c r="F19" s="138">
        <f ca="1">'Group P&amp;L'!F93-'Group P&amp;L'!F96</f>
        <v>0</v>
      </c>
      <c r="G19" s="138">
        <f ca="1">'Group P&amp;L'!G93-'Group P&amp;L'!G96</f>
        <v>0</v>
      </c>
      <c r="H19" s="138">
        <f ca="1">'Group P&amp;L'!H93-'Group P&amp;L'!H96</f>
        <v>0</v>
      </c>
      <c r="I19" s="138">
        <f ca="1">'Group P&amp;L'!I93-'Group P&amp;L'!I96</f>
        <v>0</v>
      </c>
      <c r="J19" s="138">
        <f ca="1">'Group P&amp;L'!J93-'Group P&amp;L'!J96</f>
        <v>-5.8207660913467407E-11</v>
      </c>
      <c r="K19" s="138">
        <f ca="1">'Group P&amp;L'!K93-'Group P&amp;L'!K96</f>
        <v>0</v>
      </c>
      <c r="L19" s="138">
        <f ca="1">'Group P&amp;L'!L93-'Group P&amp;L'!L96</f>
        <v>0</v>
      </c>
      <c r="M19" s="138">
        <f ca="1">'Group P&amp;L'!M93-'Group P&amp;L'!M96</f>
        <v>0</v>
      </c>
      <c r="N19" s="138">
        <f ca="1">'Group P&amp;L'!N93-'Group P&amp;L'!N96</f>
        <v>0</v>
      </c>
      <c r="O19" s="138">
        <f ca="1">'Group P&amp;L'!O93-'Group P&amp;L'!O96</f>
        <v>0</v>
      </c>
      <c r="P19" s="138">
        <f ca="1">'Group P&amp;L'!P93-'Group P&amp;L'!P96</f>
        <v>0</v>
      </c>
      <c r="Q19" s="138">
        <f ca="1">'Group P&amp;L'!Q93-'Group P&amp;L'!Q96</f>
        <v>0</v>
      </c>
      <c r="R19" s="138">
        <f ca="1">'Group P&amp;L'!R93-'Group P&amp;L'!R96</f>
        <v>0</v>
      </c>
      <c r="S19" s="138">
        <f ca="1">'Group P&amp;L'!S93-'Group P&amp;L'!S96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S114"/>
  <sheetViews>
    <sheetView showGridLines="0" topLeftCell="A61" workbookViewId="0">
      <selection activeCell="X113" sqref="X113"/>
    </sheetView>
  </sheetViews>
  <sheetFormatPr baseColWidth="10" defaultColWidth="10.6640625" defaultRowHeight="16" x14ac:dyDescent="0.2"/>
  <cols>
    <col min="1" max="1" width="72.83203125" customWidth="1"/>
    <col min="2" max="2" width="26.83203125" customWidth="1"/>
  </cols>
  <sheetData>
    <row r="4" spans="1:19" x14ac:dyDescent="0.2">
      <c r="A4" s="153"/>
      <c r="B4" s="153"/>
      <c r="C4" s="153"/>
      <c r="D4" s="151">
        <v>2025</v>
      </c>
      <c r="E4" s="151">
        <v>2026</v>
      </c>
      <c r="F4" s="151">
        <v>2027</v>
      </c>
      <c r="G4" s="151">
        <v>2028</v>
      </c>
      <c r="H4" s="151">
        <v>2029</v>
      </c>
      <c r="I4" s="151">
        <v>2030</v>
      </c>
      <c r="J4" s="151">
        <v>2031</v>
      </c>
      <c r="K4" s="151">
        <v>2032</v>
      </c>
      <c r="L4" s="151">
        <v>2033</v>
      </c>
      <c r="M4" s="151">
        <v>2034</v>
      </c>
      <c r="N4" s="151">
        <v>2035</v>
      </c>
      <c r="O4" s="151">
        <v>2036</v>
      </c>
      <c r="P4" s="151">
        <v>2037</v>
      </c>
      <c r="Q4" s="151">
        <v>2038</v>
      </c>
      <c r="R4" s="151">
        <v>2039</v>
      </c>
      <c r="S4" s="151">
        <v>2040</v>
      </c>
    </row>
    <row r="5" spans="1:19" x14ac:dyDescent="0.2">
      <c r="A5" s="154"/>
      <c r="B5" s="154"/>
      <c r="C5" s="154"/>
      <c r="D5" s="152">
        <v>0</v>
      </c>
      <c r="E5" s="152">
        <v>1</v>
      </c>
      <c r="F5" s="152">
        <v>2</v>
      </c>
      <c r="G5" s="152">
        <v>3</v>
      </c>
      <c r="H5" s="152">
        <v>4</v>
      </c>
      <c r="I5" s="152">
        <v>5</v>
      </c>
      <c r="J5" s="152">
        <v>6</v>
      </c>
      <c r="K5" s="152">
        <v>7</v>
      </c>
      <c r="L5" s="152">
        <v>8</v>
      </c>
      <c r="M5" s="152">
        <v>9</v>
      </c>
      <c r="N5" s="152">
        <v>10</v>
      </c>
      <c r="O5" s="152">
        <v>11</v>
      </c>
      <c r="P5" s="152">
        <v>12</v>
      </c>
      <c r="Q5" s="152">
        <v>13</v>
      </c>
      <c r="R5" s="152">
        <v>14</v>
      </c>
      <c r="S5" s="152">
        <v>15</v>
      </c>
    </row>
    <row r="6" spans="1:19" x14ac:dyDescent="0.2">
      <c r="A6" s="23" t="s">
        <v>1644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22" t="s">
        <v>1101</v>
      </c>
      <c r="B7" s="8"/>
      <c r="C7" s="161">
        <v>2026</v>
      </c>
      <c r="D7" s="161">
        <v>2030</v>
      </c>
      <c r="E7" s="161">
        <v>2035</v>
      </c>
      <c r="F7" s="161">
        <v>2040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">
      <c r="A8" s="20" t="s">
        <v>1102</v>
      </c>
      <c r="B8" s="100">
        <f>Assumptions!B185</f>
        <v>0.1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x14ac:dyDescent="0.2">
      <c r="A9" s="22" t="s">
        <v>1103</v>
      </c>
      <c r="B9" s="92">
        <f>Assumptions!B188</f>
        <v>2.5000000000000001E-2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">
      <c r="A10" s="22" t="s">
        <v>1104</v>
      </c>
      <c r="B10" s="93">
        <f>Assumptions!B190</f>
        <v>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">
      <c r="A11" s="22" t="s">
        <v>1105</v>
      </c>
      <c r="B11" s="141">
        <f>Assumptions!B189</f>
        <v>1.5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">
      <c r="A13" s="18" t="s">
        <v>1413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x14ac:dyDescent="0.2">
      <c r="A14" s="22" t="s">
        <v>1575</v>
      </c>
      <c r="B14" s="8"/>
      <c r="C14" s="8"/>
      <c r="D14" s="142">
        <f ca="1">'Group P&amp;L'!D88</f>
        <v>3126.4137464819987</v>
      </c>
      <c r="E14" s="142">
        <f ca="1">'Group P&amp;L'!E88</f>
        <v>6359.0186416780225</v>
      </c>
      <c r="F14" s="142">
        <f ca="1">'Group P&amp;L'!F88</f>
        <v>22513.210567419883</v>
      </c>
      <c r="G14" s="142">
        <f ca="1">'Group P&amp;L'!G88</f>
        <v>48401.674487812212</v>
      </c>
      <c r="H14" s="142">
        <f ca="1">'Group P&amp;L'!H88</f>
        <v>78429.01977020198</v>
      </c>
      <c r="I14" s="142">
        <f ca="1">'Group P&amp;L'!I88</f>
        <v>116790.8025496164</v>
      </c>
      <c r="J14" s="142">
        <f ca="1">'Group P&amp;L'!J88</f>
        <v>134729.61228559603</v>
      </c>
      <c r="K14" s="142">
        <f ca="1">'Group P&amp;L'!K88</f>
        <v>182066.27115974622</v>
      </c>
      <c r="L14" s="142">
        <f ca="1">'Group P&amp;L'!L88</f>
        <v>186773.10504528868</v>
      </c>
      <c r="M14" s="142">
        <f ca="1">'Group P&amp;L'!M88</f>
        <v>174870.12967636937</v>
      </c>
      <c r="N14" s="142">
        <f ca="1">'Group P&amp;L'!N88</f>
        <v>177481.67315435561</v>
      </c>
      <c r="O14" s="142">
        <f ca="1">'Group P&amp;L'!O88</f>
        <v>162837.21560271189</v>
      </c>
      <c r="P14" s="142">
        <f ca="1">'Group P&amp;L'!P88</f>
        <v>198174.44551177553</v>
      </c>
      <c r="Q14" s="142">
        <f ca="1">'Group P&amp;L'!Q88</f>
        <v>253853.07209925959</v>
      </c>
      <c r="R14" s="142">
        <f ca="1">'Group P&amp;L'!R88</f>
        <v>278745.22340341378</v>
      </c>
      <c r="S14" s="142">
        <f ca="1">'Group P&amp;L'!S88</f>
        <v>284445.56728912494</v>
      </c>
    </row>
    <row r="15" spans="1:19" x14ac:dyDescent="0.2">
      <c r="A15" s="22" t="s">
        <v>1579</v>
      </c>
      <c r="B15" s="8"/>
      <c r="C15" s="8"/>
      <c r="D15" s="142">
        <f ca="1">'Group P&amp;L'!D89</f>
        <v>1273.7976923076924</v>
      </c>
      <c r="E15" s="142">
        <f ca="1">'Group P&amp;L'!E89</f>
        <v>2888.0669054054051</v>
      </c>
      <c r="F15" s="142">
        <f ca="1">'Group P&amp;L'!F89</f>
        <v>6538.2980808832108</v>
      </c>
      <c r="G15" s="142">
        <f ca="1">'Group P&amp;L'!G89</f>
        <v>7205.337047215351</v>
      </c>
      <c r="H15" s="142">
        <f ca="1">'Group P&amp;L'!H89</f>
        <v>7596.0179960670512</v>
      </c>
      <c r="I15" s="142">
        <f ca="1">'Group P&amp;L'!I89</f>
        <v>8469.4103113662259</v>
      </c>
      <c r="J15" s="142">
        <f ca="1">'Group P&amp;L'!J89</f>
        <v>8324.1820332183324</v>
      </c>
      <c r="K15" s="142">
        <f ca="1">'Group P&amp;L'!K89</f>
        <v>10477.498083041119</v>
      </c>
      <c r="L15" s="142">
        <f ca="1">'Group P&amp;L'!L89</f>
        <v>10241.173317890272</v>
      </c>
      <c r="M15" s="142">
        <f ca="1">'Group P&amp;L'!M89</f>
        <v>9162.7333177728287</v>
      </c>
      <c r="N15" s="142">
        <f ca="1">'Group P&amp;L'!N89</f>
        <v>8613.8561649715302</v>
      </c>
      <c r="O15" s="142">
        <f ca="1">'Group P&amp;L'!O89</f>
        <v>7083.664837409854</v>
      </c>
      <c r="P15" s="142">
        <f ca="1">'Group P&amp;L'!P89</f>
        <v>7172.4115186985828</v>
      </c>
      <c r="Q15" s="142">
        <f ca="1">'Group P&amp;L'!Q89</f>
        <v>6222.6879072837719</v>
      </c>
      <c r="R15" s="142">
        <f ca="1">'Group P&amp;L'!R89</f>
        <v>5334.1275101099754</v>
      </c>
      <c r="S15" s="142">
        <f ca="1">'Group P&amp;L'!S89</f>
        <v>2853.1474844106992</v>
      </c>
    </row>
    <row r="16" spans="1:19" x14ac:dyDescent="0.2">
      <c r="A16" s="22" t="s">
        <v>1576</v>
      </c>
      <c r="B16" s="8"/>
      <c r="C16" s="8"/>
      <c r="D16" s="142">
        <f ca="1">'Group P&amp;L'!D90</f>
        <v>-1641.2673500000001</v>
      </c>
      <c r="E16" s="142">
        <f ca="1">'Group P&amp;L'!E90</f>
        <v>-36322.41669911467</v>
      </c>
      <c r="F16" s="142">
        <f ca="1">'Group P&amp;L'!F90</f>
        <v>-38023.843673349504</v>
      </c>
      <c r="G16" s="142">
        <f ca="1">'Group P&amp;L'!G90</f>
        <v>-23798.85028851778</v>
      </c>
      <c r="H16" s="142">
        <f ca="1">'Group P&amp;L'!H90</f>
        <v>-4256.3281132481825</v>
      </c>
      <c r="I16" s="142">
        <f ca="1">'Group P&amp;L'!I90</f>
        <v>-9725.1745234209011</v>
      </c>
      <c r="J16" s="142">
        <f ca="1">'Group P&amp;L'!J90</f>
        <v>-9387.3638532600889</v>
      </c>
      <c r="K16" s="142">
        <f ca="1">'Group P&amp;L'!K90</f>
        <v>3146.9725488748954</v>
      </c>
      <c r="L16" s="142">
        <f ca="1">'Group P&amp;L'!L90</f>
        <v>57388.173603058676</v>
      </c>
      <c r="M16" s="142">
        <f ca="1">'Group P&amp;L'!M90</f>
        <v>70663.147623579542</v>
      </c>
      <c r="N16" s="142">
        <f ca="1">'Group P&amp;L'!N90</f>
        <v>87064.163828016201</v>
      </c>
      <c r="O16" s="142">
        <f ca="1">'Group P&amp;L'!O90</f>
        <v>127515.69277370209</v>
      </c>
      <c r="P16" s="142">
        <f ca="1">'Group P&amp;L'!P90</f>
        <v>190107.51572355104</v>
      </c>
      <c r="Q16" s="142">
        <f ca="1">'Group P&amp;L'!Q90</f>
        <v>281210.77867609588</v>
      </c>
      <c r="R16" s="142">
        <f ca="1">'Group P&amp;L'!R90</f>
        <v>381685.53978287312</v>
      </c>
      <c r="S16" s="142">
        <f ca="1">'Group P&amp;L'!S90</f>
        <v>521741.04908370913</v>
      </c>
    </row>
    <row r="17" spans="1:19" x14ac:dyDescent="0.2">
      <c r="A17" s="22" t="s">
        <v>1580</v>
      </c>
      <c r="B17" s="8"/>
      <c r="C17" s="8"/>
      <c r="D17" s="142">
        <f ca="1">'Group P&amp;L'!D92</f>
        <v>-6674.4622813395426</v>
      </c>
      <c r="E17" s="142">
        <f ca="1">'Group P&amp;L'!E92</f>
        <v>-5080.1695718515921</v>
      </c>
      <c r="F17" s="142">
        <f ca="1">'Group P&amp;L'!F92</f>
        <v>-6399.4851614721574</v>
      </c>
      <c r="G17" s="142">
        <f ca="1">'Group P&amp;L'!G92</f>
        <v>-16600.829843291966</v>
      </c>
      <c r="H17" s="142">
        <f ca="1">'Group P&amp;L'!H92</f>
        <v>-28450.722748914683</v>
      </c>
      <c r="I17" s="142">
        <f ca="1">'Group P&amp;L'!I92</f>
        <v>-45990.871085880724</v>
      </c>
      <c r="J17" s="142">
        <f ca="1">'Group P&amp;L'!J92</f>
        <v>-63230.634768444754</v>
      </c>
      <c r="K17" s="142">
        <f ca="1">'Group P&amp;L'!K92</f>
        <v>-83757.252800126851</v>
      </c>
      <c r="L17" s="142">
        <f ca="1">'Group P&amp;L'!L92</f>
        <v>-93593.772843707789</v>
      </c>
      <c r="M17" s="142">
        <f ca="1">'Group P&amp;L'!M92</f>
        <v>-98265.364816536938</v>
      </c>
      <c r="N17" s="142">
        <f ca="1">'Group P&amp;L'!N92</f>
        <v>-107745.12029189113</v>
      </c>
      <c r="O17" s="142">
        <f ca="1">'Group P&amp;L'!O92</f>
        <v>-124378.97043118805</v>
      </c>
      <c r="P17" s="142">
        <f ca="1">'Group P&amp;L'!P92</f>
        <v>-157533.90992324671</v>
      </c>
      <c r="Q17" s="142">
        <f ca="1">'Group P&amp;L'!Q92</f>
        <v>-185017.68202629575</v>
      </c>
      <c r="R17" s="142">
        <f ca="1">'Group P&amp;L'!R92</f>
        <v>-216267.46642621415</v>
      </c>
      <c r="S17" s="142">
        <f ca="1">'Group P&amp;L'!S92</f>
        <v>-269540.84092041641</v>
      </c>
    </row>
    <row r="18" spans="1:19" x14ac:dyDescent="0.2">
      <c r="A18" s="20" t="s">
        <v>1414</v>
      </c>
      <c r="B18" s="20"/>
      <c r="C18" s="20"/>
      <c r="D18" s="146">
        <f t="shared" ref="D18:S18" ca="1" si="0">D14+D15+D16+D17</f>
        <v>-3915.5181925498518</v>
      </c>
      <c r="E18" s="146">
        <f t="shared" ca="1" si="0"/>
        <v>-32155.500723882833</v>
      </c>
      <c r="F18" s="146">
        <f t="shared" ca="1" si="0"/>
        <v>-15371.820186518567</v>
      </c>
      <c r="G18" s="146">
        <f t="shared" ca="1" si="0"/>
        <v>15207.331403217813</v>
      </c>
      <c r="H18" s="146">
        <f t="shared" ca="1" si="0"/>
        <v>53317.986904106168</v>
      </c>
      <c r="I18" s="146">
        <f t="shared" ca="1" si="0"/>
        <v>69544.167251681007</v>
      </c>
      <c r="J18" s="146">
        <f t="shared" ca="1" si="0"/>
        <v>70435.795697109512</v>
      </c>
      <c r="K18" s="146">
        <f t="shared" ca="1" si="0"/>
        <v>111933.48899153539</v>
      </c>
      <c r="L18" s="146">
        <f t="shared" ca="1" si="0"/>
        <v>160808.67912252984</v>
      </c>
      <c r="M18" s="146">
        <f t="shared" ca="1" si="0"/>
        <v>156430.64580118482</v>
      </c>
      <c r="N18" s="146">
        <f t="shared" ca="1" si="0"/>
        <v>165414.57285545222</v>
      </c>
      <c r="O18" s="146">
        <f t="shared" ca="1" si="0"/>
        <v>173057.60278263577</v>
      </c>
      <c r="P18" s="146">
        <f t="shared" ca="1" si="0"/>
        <v>237920.46283077844</v>
      </c>
      <c r="Q18" s="146">
        <f t="shared" ca="1" si="0"/>
        <v>356268.8566563435</v>
      </c>
      <c r="R18" s="146">
        <f t="shared" ca="1" si="0"/>
        <v>449497.42427018267</v>
      </c>
      <c r="S18" s="146">
        <f t="shared" ca="1" si="0"/>
        <v>539498.92293682834</v>
      </c>
    </row>
    <row r="19" spans="1:19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x14ac:dyDescent="0.2">
      <c r="A20" s="18" t="s">
        <v>1415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x14ac:dyDescent="0.2">
      <c r="A21" s="22" t="s">
        <v>1581</v>
      </c>
      <c r="B21" s="8"/>
      <c r="C21" s="8"/>
      <c r="D21" s="44">
        <f>IF(AND(D$4&gt;=$C$7,D$4&lt;=$S$4),1/(1+$B$8)^(D$4-$C$7),0)</f>
        <v>0</v>
      </c>
      <c r="E21" s="44">
        <f t="shared" ref="E21:S21" si="1">IF(AND(E$4&gt;=$C$7,E$4&lt;=$S$4),1/(1+$B$8)^(E$4-$C$7),0)</f>
        <v>1</v>
      </c>
      <c r="F21" s="44">
        <f t="shared" si="1"/>
        <v>0.90909090909090906</v>
      </c>
      <c r="G21" s="44">
        <f t="shared" si="1"/>
        <v>0.82644628099173545</v>
      </c>
      <c r="H21" s="44">
        <f t="shared" si="1"/>
        <v>0.75131480090157754</v>
      </c>
      <c r="I21" s="44">
        <f t="shared" si="1"/>
        <v>0.68301345536507052</v>
      </c>
      <c r="J21" s="44">
        <f t="shared" si="1"/>
        <v>0.62092132305915493</v>
      </c>
      <c r="K21" s="44">
        <f t="shared" si="1"/>
        <v>0.56447393005377722</v>
      </c>
      <c r="L21" s="44">
        <f t="shared" si="1"/>
        <v>0.51315811823070645</v>
      </c>
      <c r="M21" s="44">
        <f t="shared" si="1"/>
        <v>0.46650738020973315</v>
      </c>
      <c r="N21" s="44">
        <f t="shared" si="1"/>
        <v>0.42409761837248466</v>
      </c>
      <c r="O21" s="44">
        <f t="shared" si="1"/>
        <v>0.38554328942953148</v>
      </c>
      <c r="P21" s="44">
        <f t="shared" si="1"/>
        <v>0.3504938994813922</v>
      </c>
      <c r="Q21" s="44">
        <f t="shared" si="1"/>
        <v>0.31863081771035656</v>
      </c>
      <c r="R21" s="44">
        <f t="shared" si="1"/>
        <v>0.28966437973668779</v>
      </c>
      <c r="S21" s="44">
        <f t="shared" si="1"/>
        <v>0.26333125430607973</v>
      </c>
    </row>
    <row r="22" spans="1:19" x14ac:dyDescent="0.2">
      <c r="A22" s="22" t="s">
        <v>1582</v>
      </c>
      <c r="B22" s="8"/>
      <c r="C22" s="8"/>
      <c r="D22" s="44">
        <f>IF(AND(D$4&gt;=$D$7,D$4&lt;=$S$4),1/(1+$B$8)^(D$4-$D$7),0)</f>
        <v>0</v>
      </c>
      <c r="E22" s="44">
        <f t="shared" ref="E22:S22" si="2">IF(AND(E$4&gt;=$D$7,E$4&lt;=$S$4),1/(1+$B$8)^(E$4-$D$7),0)</f>
        <v>0</v>
      </c>
      <c r="F22" s="44">
        <f t="shared" si="2"/>
        <v>0</v>
      </c>
      <c r="G22" s="44">
        <f t="shared" si="2"/>
        <v>0</v>
      </c>
      <c r="H22" s="44">
        <f t="shared" si="2"/>
        <v>0</v>
      </c>
      <c r="I22" s="44">
        <f t="shared" si="2"/>
        <v>1</v>
      </c>
      <c r="J22" s="44">
        <f t="shared" si="2"/>
        <v>0.90909090909090906</v>
      </c>
      <c r="K22" s="44">
        <f t="shared" si="2"/>
        <v>0.82644628099173545</v>
      </c>
      <c r="L22" s="44">
        <f t="shared" si="2"/>
        <v>0.75131480090157754</v>
      </c>
      <c r="M22" s="44">
        <f t="shared" si="2"/>
        <v>0.68301345536507052</v>
      </c>
      <c r="N22" s="44">
        <f t="shared" si="2"/>
        <v>0.62092132305915493</v>
      </c>
      <c r="O22" s="44">
        <f t="shared" si="2"/>
        <v>0.56447393005377722</v>
      </c>
      <c r="P22" s="44">
        <f t="shared" si="2"/>
        <v>0.51315811823070645</v>
      </c>
      <c r="Q22" s="44">
        <f t="shared" si="2"/>
        <v>0.46650738020973315</v>
      </c>
      <c r="R22" s="44">
        <f t="shared" si="2"/>
        <v>0.42409761837248466</v>
      </c>
      <c r="S22" s="44">
        <f t="shared" si="2"/>
        <v>0.38554328942953148</v>
      </c>
    </row>
    <row r="23" spans="1:19" x14ac:dyDescent="0.2">
      <c r="A23" s="22" t="s">
        <v>1583</v>
      </c>
      <c r="B23" s="8"/>
      <c r="C23" s="8"/>
      <c r="D23" s="44">
        <f>IF(AND(D$4&gt;=$E$7,D$4&lt;=$S$4),1/(1+$B$8)^(D$4-$E$7),0)</f>
        <v>0</v>
      </c>
      <c r="E23" s="44">
        <f t="shared" ref="E23:S23" si="3">IF(AND(E$4&gt;=$E$7,E$4&lt;=$S$4),1/(1+$B$8)^(E$4-$E$7),0)</f>
        <v>0</v>
      </c>
      <c r="F23" s="44">
        <f t="shared" si="3"/>
        <v>0</v>
      </c>
      <c r="G23" s="44">
        <f t="shared" si="3"/>
        <v>0</v>
      </c>
      <c r="H23" s="44">
        <f t="shared" si="3"/>
        <v>0</v>
      </c>
      <c r="I23" s="44">
        <f t="shared" si="3"/>
        <v>0</v>
      </c>
      <c r="J23" s="44">
        <f t="shared" si="3"/>
        <v>0</v>
      </c>
      <c r="K23" s="44">
        <f t="shared" si="3"/>
        <v>0</v>
      </c>
      <c r="L23" s="44">
        <f t="shared" si="3"/>
        <v>0</v>
      </c>
      <c r="M23" s="44">
        <f t="shared" si="3"/>
        <v>0</v>
      </c>
      <c r="N23" s="44">
        <f t="shared" si="3"/>
        <v>1</v>
      </c>
      <c r="O23" s="44">
        <f t="shared" si="3"/>
        <v>0.90909090909090906</v>
      </c>
      <c r="P23" s="44">
        <f t="shared" si="3"/>
        <v>0.82644628099173545</v>
      </c>
      <c r="Q23" s="44">
        <f t="shared" si="3"/>
        <v>0.75131480090157754</v>
      </c>
      <c r="R23" s="44">
        <f t="shared" si="3"/>
        <v>0.68301345536507052</v>
      </c>
      <c r="S23" s="44">
        <f t="shared" si="3"/>
        <v>0.62092132305915493</v>
      </c>
    </row>
    <row r="24" spans="1:19" x14ac:dyDescent="0.2">
      <c r="A24" s="22" t="s">
        <v>1584</v>
      </c>
      <c r="B24" s="8"/>
      <c r="C24" s="8"/>
      <c r="D24" s="44">
        <f>IF(AND(D$4&gt;=$F$7,D$4&lt;=$S$4),1/(1+$B$8)^(D$4-$F$7),0)</f>
        <v>0</v>
      </c>
      <c r="E24" s="44">
        <f t="shared" ref="E24:S24" si="4">IF(AND(E$4&gt;=$F$7,E$4&lt;=$S$4),1/(1+$B$8)^(E$4-$F$7),0)</f>
        <v>0</v>
      </c>
      <c r="F24" s="44">
        <f t="shared" si="4"/>
        <v>0</v>
      </c>
      <c r="G24" s="44">
        <f t="shared" si="4"/>
        <v>0</v>
      </c>
      <c r="H24" s="44">
        <f t="shared" si="4"/>
        <v>0</v>
      </c>
      <c r="I24" s="44">
        <f t="shared" si="4"/>
        <v>0</v>
      </c>
      <c r="J24" s="44">
        <f t="shared" si="4"/>
        <v>0</v>
      </c>
      <c r="K24" s="44">
        <f t="shared" si="4"/>
        <v>0</v>
      </c>
      <c r="L24" s="44">
        <f t="shared" si="4"/>
        <v>0</v>
      </c>
      <c r="M24" s="44">
        <f t="shared" si="4"/>
        <v>0</v>
      </c>
      <c r="N24" s="44">
        <f t="shared" si="4"/>
        <v>0</v>
      </c>
      <c r="O24" s="44">
        <f t="shared" si="4"/>
        <v>0</v>
      </c>
      <c r="P24" s="44">
        <f t="shared" si="4"/>
        <v>0</v>
      </c>
      <c r="Q24" s="44">
        <f t="shared" si="4"/>
        <v>0</v>
      </c>
      <c r="R24" s="44">
        <f t="shared" si="4"/>
        <v>0</v>
      </c>
      <c r="S24" s="44">
        <f t="shared" si="4"/>
        <v>1</v>
      </c>
    </row>
    <row r="25" spans="1:19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x14ac:dyDescent="0.2">
      <c r="A26" s="18" t="s">
        <v>1194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x14ac:dyDescent="0.2">
      <c r="A27" s="23" t="s">
        <v>1106</v>
      </c>
      <c r="B27" s="9" t="s">
        <v>1107</v>
      </c>
      <c r="C27" s="9" t="s">
        <v>1108</v>
      </c>
      <c r="D27" s="9" t="s">
        <v>1109</v>
      </c>
      <c r="E27" s="9" t="s">
        <v>1110</v>
      </c>
      <c r="F27" s="45" t="s">
        <v>1212</v>
      </c>
      <c r="G27" s="45" t="s">
        <v>1213</v>
      </c>
      <c r="H27" s="45" t="s">
        <v>1214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22" t="s">
        <v>831</v>
      </c>
      <c r="B28" s="143">
        <f ca="1">AVERAGE(O14:S14)</f>
        <v>235611.10478125716</v>
      </c>
      <c r="C28" s="143">
        <f ca="1">B28*(1+$B$9)/($B$8-$B$9)</f>
        <v>3220018.4320105137</v>
      </c>
      <c r="D28" s="141">
        <f>Assumptions!B201</f>
        <v>10</v>
      </c>
      <c r="E28" s="142">
        <f ca="1">'Group P&amp;L'!S9*D28</f>
        <v>3800355.7727409829</v>
      </c>
      <c r="F28" s="141">
        <f>Assumptions!B460</f>
        <v>13</v>
      </c>
      <c r="G28" s="142">
        <f ca="1">'Group P&amp;L'!S52</f>
        <v>320259.71139004925</v>
      </c>
      <c r="H28" s="143">
        <f ca="1">G28*F28</f>
        <v>4163376.2480706405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2">
      <c r="A29" s="22" t="s">
        <v>1111</v>
      </c>
      <c r="B29" s="143">
        <f ca="1">AVERAGE(O15:S15)</f>
        <v>5733.207851582576</v>
      </c>
      <c r="C29" s="143">
        <f ca="1">B29*(1+$B$9)/($B$8-$B$9)</f>
        <v>78353.840638295194</v>
      </c>
      <c r="D29" s="141">
        <f>Assumptions!B200</f>
        <v>5</v>
      </c>
      <c r="E29" s="142">
        <f ca="1">'Group P&amp;L'!S10*D29</f>
        <v>17339.907754555854</v>
      </c>
      <c r="F29" s="141">
        <f>Assumptions!B461</f>
        <v>11</v>
      </c>
      <c r="G29" s="142">
        <f ca="1">'Group P&amp;L'!S53</f>
        <v>2827.5444105199358</v>
      </c>
      <c r="H29" s="143">
        <f ca="1">G29*F29</f>
        <v>31102.988515719295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2">
      <c r="A30" s="22" t="s">
        <v>1021</v>
      </c>
      <c r="B30" s="143">
        <f ca="1">AVERAGE(O16:S16)</f>
        <v>300452.11520798627</v>
      </c>
      <c r="C30" s="143">
        <f ca="1">B30*(1+$B$9)/($B$8-$B$9)</f>
        <v>4106178.9078424778</v>
      </c>
      <c r="D30" s="141">
        <f>Assumptions!B202</f>
        <v>6</v>
      </c>
      <c r="E30" s="142">
        <f ca="1">'Group P&amp;L'!S11*D30</f>
        <v>8270790.0721716648</v>
      </c>
      <c r="F30" s="141">
        <f>Assumptions!B462</f>
        <v>13</v>
      </c>
      <c r="G30" s="142">
        <f ca="1">'Group P&amp;L'!S54</f>
        <v>1131413.7159330775</v>
      </c>
      <c r="H30" s="143">
        <f ca="1">G30*F30</f>
        <v>14708378.307130007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22" t="s">
        <v>1112</v>
      </c>
      <c r="B31" s="143">
        <f ca="1">AVERAGE(O17:S17)</f>
        <v>-190547.7739454722</v>
      </c>
      <c r="C31" s="143">
        <f ca="1">B31*(1+$B$9)/($B$8-$B$9)</f>
        <v>-2604152.9105881196</v>
      </c>
      <c r="D31" s="8" t="s">
        <v>1113</v>
      </c>
      <c r="E31" s="143">
        <f ca="1">C31</f>
        <v>-2604152.9105881196</v>
      </c>
      <c r="F31" s="175" t="s">
        <v>1113</v>
      </c>
      <c r="G31" s="175" t="s">
        <v>1215</v>
      </c>
      <c r="H31" s="143">
        <f ca="1">C31</f>
        <v>-2604152.9105881196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2">
      <c r="A33" s="18" t="s">
        <v>1416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x14ac:dyDescent="0.2">
      <c r="A34" s="22" t="s">
        <v>1114</v>
      </c>
      <c r="B34" s="8"/>
      <c r="C34" s="219">
        <v>2026</v>
      </c>
      <c r="D34" s="219">
        <v>2030</v>
      </c>
      <c r="E34" s="219">
        <v>2035</v>
      </c>
      <c r="F34" s="219">
        <v>2040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2">
      <c r="A35" s="22" t="s">
        <v>831</v>
      </c>
      <c r="B35" s="8"/>
      <c r="C35" s="143">
        <f ca="1">SUMPRODUCT($D14:$AC14,$D$21:$AC$21)+$C$28/(1+$B$8)^($S$4-C$34)</f>
        <v>1861344.184084414</v>
      </c>
      <c r="D35" s="143">
        <f ca="1">SUMPRODUCT($D14:$AC14,$D$22:$AC$22)+$C$28/(1+$B$8)^($S$4-D$34)</f>
        <v>2541080.7495819996</v>
      </c>
      <c r="E35" s="143">
        <f ca="1">SUMPRODUCT($D14:$AC14,$D$23:$AC$23)+$C$28/(1+$B$8)^($S$4-E$34)</f>
        <v>3046402.7705853563</v>
      </c>
      <c r="F35" s="143">
        <f ca="1">SUMPRODUCT($D14:$AC14,$D$24:$AC$24)+$C$28/(1+$B$8)^($S$4-F$34)</f>
        <v>3504463.9992996389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2">
      <c r="A36" s="22" t="s">
        <v>1111</v>
      </c>
      <c r="B36" s="8"/>
      <c r="C36" s="143">
        <f ca="1">SUMPRODUCT($D15:$AC15,$D$21:$AC$21)+$C$29/(1+$B$8)^($S$4-C$34)</f>
        <v>80701.527515841168</v>
      </c>
      <c r="D36" s="143">
        <f ca="1">SUMPRODUCT($D15:$AC15,$D$22:$AC$22)+$C$29/(1+$B$8)^($S$4-D$34)</f>
        <v>88150.135311279155</v>
      </c>
      <c r="E36" s="143">
        <f ca="1">SUMPRODUCT($D15:$AC15,$D$23:$AC$23)+$C$29/(1+$B$8)^($S$4-E$34)</f>
        <v>79722.793192049779</v>
      </c>
      <c r="F36" s="143">
        <f ca="1">SUMPRODUCT($D15:$AC15,$D$24:$AC$24)+$C$29/(1+$B$8)^($S$4-F$34)</f>
        <v>81206.988122705894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">
      <c r="A37" s="22" t="s">
        <v>1021</v>
      </c>
      <c r="B37" s="8"/>
      <c r="C37" s="143">
        <f ca="1">SUMPRODUCT($D16:$AC16,$D$21:$AC$21)+$C$30/(1+$B$8)^($S$4-C$34)</f>
        <v>1529520.5118976915</v>
      </c>
      <c r="D37" s="143">
        <f ca="1">SUMPRODUCT($D16:$AC16,$D$22:$AC$22)+$C$30/(1+$B$8)^($S$4-D$34)</f>
        <v>2376638.9374614926</v>
      </c>
      <c r="E37" s="143">
        <f ca="1">SUMPRODUCT($D16:$AC16,$D$23:$AC$23)+$C$30/(1+$B$8)^($S$4-E$34)</f>
        <v>3705649.5325021911</v>
      </c>
      <c r="F37" s="143">
        <f ca="1">SUMPRODUCT($D16:$AC16,$D$24:$AC$24)+$C$30/(1+$B$8)^($S$4-F$34)</f>
        <v>4627919.9569261866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2">
      <c r="A38" s="22" t="s">
        <v>1112</v>
      </c>
      <c r="B38" s="8"/>
      <c r="C38" s="143">
        <f ca="1">SUMPRODUCT($D17:$AC17,$D$21:$AC$21)+$C$31/(1+$B$8)^($S$4-C$34)</f>
        <v>-1285008.6652302609</v>
      </c>
      <c r="D38" s="143">
        <f ca="1">SUMPRODUCT($D17:$AC17,$D$22:$AC$22)+$C$31/(1+$B$8)^($S$4-D$34)</f>
        <v>-1814042.7966093686</v>
      </c>
      <c r="E38" s="143">
        <f ca="1">SUMPRODUCT($D17:$AC17,$D$23:$AC$23)+$C$31/(1+$B$8)^($S$4-E$34)</f>
        <v>-2422068.064294308</v>
      </c>
      <c r="F38" s="143">
        <f ca="1">SUMPRODUCT($D17:$AC17,$D$24:$AC$24)+$C$31/(1+$B$8)^($S$4-F$34)</f>
        <v>-2873693.7515085358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2">
      <c r="A39" s="22" t="s">
        <v>1115</v>
      </c>
      <c r="B39" s="8"/>
      <c r="C39" s="142">
        <f ca="1">$B$11*('Group P&amp;L'!$S$104+'Group P&amp;L'!$S$105)/(1+$B$8)^($S$4-C$34)</f>
        <v>83928.014307681296</v>
      </c>
      <c r="D39" s="142">
        <f ca="1">$B$11*('Group P&amp;L'!$S$104+'Group P&amp;L'!$S$105)/(1+$B$8)^($S$4-D$34)</f>
        <v>122879.00574787623</v>
      </c>
      <c r="E39" s="142">
        <f ca="1">$B$11*('Group P&amp;L'!$S$104+'Group P&amp;L'!$S$105)/(1+$B$8)^($S$4-E$34)</f>
        <v>197897.86754701223</v>
      </c>
      <c r="F39" s="142">
        <f ca="1">$B$11*('Group P&amp;L'!$S$104+'Group P&amp;L'!$S$105)/(1+$B$8)^($S$4-F$34)</f>
        <v>318716.49466313876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20" t="s">
        <v>1585</v>
      </c>
      <c r="B40" s="20"/>
      <c r="C40" s="146">
        <f ca="1">SUM(C35:C39)</f>
        <v>2270485.5725753671</v>
      </c>
      <c r="D40" s="146">
        <f ca="1">SUM(D35:D39)</f>
        <v>3314706.0314932787</v>
      </c>
      <c r="E40" s="146">
        <f ca="1">SUM(E35:E39)</f>
        <v>4607604.8995323004</v>
      </c>
      <c r="F40" s="146">
        <f ca="1">SUM(F35:F39)</f>
        <v>5658613.6875031339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x14ac:dyDescent="0.2">
      <c r="A41" s="20" t="s">
        <v>1586</v>
      </c>
      <c r="B41" s="20"/>
      <c r="C41" s="193">
        <f ca="1">C40/1000</f>
        <v>2270.4855725753669</v>
      </c>
      <c r="D41" s="193">
        <f ca="1">D40/1000</f>
        <v>3314.7060314932787</v>
      </c>
      <c r="E41" s="193">
        <f ca="1">E40/1000</f>
        <v>4607.6048995323008</v>
      </c>
      <c r="F41" s="193">
        <f ca="1">F40/1000</f>
        <v>5658.6136875031343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 spans="1:19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">
      <c r="A43" s="18" t="s">
        <v>1417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x14ac:dyDescent="0.2">
      <c r="A44" s="22" t="s">
        <v>1114</v>
      </c>
      <c r="B44" s="8"/>
      <c r="C44" s="219">
        <v>2026</v>
      </c>
      <c r="D44" s="219">
        <v>2030</v>
      </c>
      <c r="E44" s="219">
        <v>2035</v>
      </c>
      <c r="F44" s="219">
        <v>2040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">
      <c r="A45" s="22" t="s">
        <v>831</v>
      </c>
      <c r="B45" s="8"/>
      <c r="C45" s="143">
        <f ca="1">SUMPRODUCT($D14:$AC14,$D$21:$AC$21)+$E$28/(1+$B$8)^($S$4-C$44)</f>
        <v>2014165.1439396231</v>
      </c>
      <c r="D45" s="143">
        <f ca="1">SUMPRODUCT($D14:$AC14,$D$22:$AC$22)+$E$28/(1+$B$8)^($S$4-D$44)</f>
        <v>2764825.9169060113</v>
      </c>
      <c r="E45" s="143">
        <f ca="1">SUMPRODUCT($D14:$AC14,$D$23:$AC$23)+$E$28/(1+$B$8)^($S$4-E$44)</f>
        <v>3406746.6000123504</v>
      </c>
      <c r="F45" s="143">
        <f ca="1">SUMPRODUCT($D14:$AC14,$D$24:$AC$24)+$E$28/(1+$B$8)^($S$4-F$44)</f>
        <v>4084801.3400301076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">
      <c r="A46" s="22" t="s">
        <v>1111</v>
      </c>
      <c r="B46" s="8"/>
      <c r="C46" s="143">
        <f ca="1">SUMPRODUCT($D15:$AC15,$D$21:$AC$21)+$E$29/(1+$B$8)^($S$4-C$44)</f>
        <v>64634.652039419125</v>
      </c>
      <c r="D46" s="143">
        <f ca="1">SUMPRODUCT($D15:$AC15,$D$22:$AC$22)+$E$29/(1+$B$8)^($S$4-D$44)</f>
        <v>64626.622926249627</v>
      </c>
      <c r="E46" s="143">
        <f ca="1">SUMPRODUCT($D15:$AC15,$D$23:$AC$23)+$E$29/(1+$B$8)^($S$4-E$44)</f>
        <v>41837.941260835854</v>
      </c>
      <c r="F46" s="143">
        <f ca="1">SUMPRODUCT($D15:$AC15,$D$24:$AC$24)+$E$29/(1+$B$8)^($S$4-F$44)</f>
        <v>20193.055238966554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">
      <c r="A47" s="22" t="s">
        <v>1021</v>
      </c>
      <c r="B47" s="8"/>
      <c r="C47" s="143">
        <f ca="1">SUMPRODUCT($D16:$AC16,$D$21:$AC$21)+$E$30/(1+$B$8)^($S$4-C$44)</f>
        <v>2626192.7934975997</v>
      </c>
      <c r="D47" s="143">
        <f ca="1">SUMPRODUCT($D16:$AC16,$D$22:$AC$22)+$E$30/(1+$B$8)^($S$4-D$44)</f>
        <v>3982276.8249519183</v>
      </c>
      <c r="E47" s="143">
        <f ca="1">SUMPRODUCT($D16:$AC16,$D$23:$AC$23)+$E$30/(1+$B$8)^($S$4-E$44)</f>
        <v>6291545.4066843977</v>
      </c>
      <c r="F47" s="143">
        <f ca="1">SUMPRODUCT($D16:$AC16,$D$24:$AC$24)+$E$30/(1+$B$8)^($S$4-F$44)</f>
        <v>8792531.1212553736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">
      <c r="A48" s="22" t="s">
        <v>1112</v>
      </c>
      <c r="B48" s="8"/>
      <c r="C48" s="143">
        <f ca="1">SUMPRODUCT($D17:$AC17,$D$21:$AC$21)+$E$31/(1+$B$8)^($S$4-C$44)</f>
        <v>-1285008.6652302609</v>
      </c>
      <c r="D48" s="143">
        <f ca="1">SUMPRODUCT($D17:$AC17,$D$22:$AC$22)+$E$31/(1+$B$8)^($S$4-D$44)</f>
        <v>-1814042.7966093686</v>
      </c>
      <c r="E48" s="143">
        <f ca="1">SUMPRODUCT($D17:$AC17,$D$23:$AC$23)+$E$31/(1+$B$8)^($S$4-E$44)</f>
        <v>-2422068.064294308</v>
      </c>
      <c r="F48" s="143">
        <f ca="1">SUMPRODUCT($D17:$AC17,$D$24:$AC$24)+$E$31/(1+$B$8)^($S$4-F$44)</f>
        <v>-2873693.7515085358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">
      <c r="A49" s="22" t="s">
        <v>1115</v>
      </c>
      <c r="B49" s="8"/>
      <c r="C49" s="143">
        <f ca="1">C39</f>
        <v>83928.014307681296</v>
      </c>
      <c r="D49" s="143">
        <f ca="1">D39</f>
        <v>122879.00574787623</v>
      </c>
      <c r="E49" s="143">
        <f ca="1">E39</f>
        <v>197897.86754701223</v>
      </c>
      <c r="F49" s="143">
        <f ca="1">F39</f>
        <v>318716.49466313876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">
      <c r="A50" s="20" t="s">
        <v>1587</v>
      </c>
      <c r="B50" s="20"/>
      <c r="C50" s="146">
        <f ca="1">SUM(C45:C49)</f>
        <v>3503911.9385540625</v>
      </c>
      <c r="D50" s="146">
        <f ca="1">SUM(D45:D49)</f>
        <v>5120565.5739226872</v>
      </c>
      <c r="E50" s="146">
        <f ca="1">SUM(E45:E49)</f>
        <v>7515959.7512102863</v>
      </c>
      <c r="F50" s="146">
        <f ca="1">SUM(F45:F49)</f>
        <v>10342548.259679049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x14ac:dyDescent="0.2">
      <c r="A51" s="20" t="s">
        <v>1588</v>
      </c>
      <c r="B51" s="20"/>
      <c r="C51" s="193">
        <f ca="1">C50/1000</f>
        <v>3503.9119385540625</v>
      </c>
      <c r="D51" s="193">
        <f ca="1">D50/1000</f>
        <v>5120.5655739226868</v>
      </c>
      <c r="E51" s="193">
        <f ca="1">E50/1000</f>
        <v>7515.9597512102864</v>
      </c>
      <c r="F51" s="193">
        <f ca="1">F50/1000</f>
        <v>10342.54825967905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 spans="1:19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">
      <c r="A53" s="18" t="s">
        <v>1418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x14ac:dyDescent="0.2">
      <c r="A54" s="8"/>
      <c r="B54" s="8"/>
      <c r="C54" s="9">
        <v>2026</v>
      </c>
      <c r="D54" s="9">
        <v>2030</v>
      </c>
      <c r="E54" s="9">
        <v>2035</v>
      </c>
      <c r="F54" s="9">
        <v>2040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2">
      <c r="A55" s="20" t="s">
        <v>1589</v>
      </c>
      <c r="B55" s="20"/>
      <c r="C55" s="193">
        <f ca="1">C41</f>
        <v>2270.4855725753669</v>
      </c>
      <c r="D55" s="193">
        <f ca="1">D41</f>
        <v>3314.7060314932787</v>
      </c>
      <c r="E55" s="193">
        <f ca="1">E41</f>
        <v>4607.6048995323008</v>
      </c>
      <c r="F55" s="193">
        <f ca="1">F41</f>
        <v>5658.6136875031343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x14ac:dyDescent="0.2">
      <c r="A56" s="20" t="s">
        <v>1590</v>
      </c>
      <c r="B56" s="20"/>
      <c r="C56" s="193">
        <f ca="1">C51</f>
        <v>3503.9119385540625</v>
      </c>
      <c r="D56" s="193">
        <f ca="1">D51</f>
        <v>5120.5655739226868</v>
      </c>
      <c r="E56" s="193">
        <f ca="1">E51</f>
        <v>7515.9597512102864</v>
      </c>
      <c r="F56" s="193">
        <f ca="1">F51</f>
        <v>10342.54825967905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x14ac:dyDescent="0.2">
      <c r="A57" s="22" t="s">
        <v>1116</v>
      </c>
      <c r="B57" s="8"/>
      <c r="C57" s="82">
        <f ca="1">C56-C55</f>
        <v>1233.4263659786957</v>
      </c>
      <c r="D57" s="82">
        <f ca="1">D56-D55</f>
        <v>1805.8595424294081</v>
      </c>
      <c r="E57" s="82">
        <f ca="1">E56-E55</f>
        <v>2908.3548516779856</v>
      </c>
      <c r="F57" s="82">
        <f ca="1">F56-F55</f>
        <v>4683.9345721759155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x14ac:dyDescent="0.2">
      <c r="A58" s="22" t="s">
        <v>1117</v>
      </c>
      <c r="B58" s="8"/>
      <c r="C58" s="97">
        <f ca="1">IFERROR(C57/C55,0)</f>
        <v>0.54324342813579063</v>
      </c>
      <c r="D58" s="97">
        <f t="shared" ref="D58:F58" ca="1" si="5">IFERROR(D57/D55,0)</f>
        <v>0.54480232191687494</v>
      </c>
      <c r="E58" s="97">
        <f t="shared" ca="1" si="5"/>
        <v>0.63120751780891649</v>
      </c>
      <c r="F58" s="97">
        <f t="shared" ca="1" si="5"/>
        <v>0.82775302058881206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x14ac:dyDescent="0.2">
      <c r="A60" s="18" t="s">
        <v>1152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x14ac:dyDescent="0.2">
      <c r="A61" s="21" t="s">
        <v>1118</v>
      </c>
      <c r="B61" s="147">
        <f ca="1">SUMPRODUCT('Group P&amp;L'!$D93:$AC93,$D$21:$AC$21)</f>
        <v>781152.58266727231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 spans="1:19" x14ac:dyDescent="0.2">
      <c r="A62" s="21" t="s">
        <v>1119</v>
      </c>
      <c r="B62" s="148">
        <f ca="1">SUMPRODUCT($D18:$AC18,$D$21:$AC$21)</f>
        <v>922462.66068534949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x14ac:dyDescent="0.2">
      <c r="A63" s="21" t="s">
        <v>1120</v>
      </c>
      <c r="B63" s="148">
        <f ca="1">B61-B62</f>
        <v>-141310.07801807718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x14ac:dyDescent="0.2">
      <c r="A64" s="21" t="s">
        <v>1153</v>
      </c>
      <c r="B64" s="148">
        <f ca="1">C39</f>
        <v>83928.014307681296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 spans="1:19" x14ac:dyDescent="0.2">
      <c r="A65" s="24" t="s">
        <v>1121</v>
      </c>
      <c r="B65" s="145">
        <f ca="1">B64-B63</f>
        <v>225238.09232575848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x14ac:dyDescent="0.2">
      <c r="A67" s="18" t="s">
        <v>1122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</row>
    <row r="68" spans="1:19" x14ac:dyDescent="0.2">
      <c r="A68" s="22" t="s">
        <v>1123</v>
      </c>
      <c r="B68" s="74">
        <f>Assumptions!B194+Assumptions!B195+Assumptions!B196+Assumptions!B197+Assumptions!B198</f>
        <v>290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">
      <c r="A69" s="20" t="s">
        <v>1419</v>
      </c>
      <c r="B69" s="220">
        <f>Assumptions!B192</f>
        <v>350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1:19" x14ac:dyDescent="0.2">
      <c r="A70" s="20" t="s">
        <v>1591</v>
      </c>
      <c r="B70" s="220">
        <f>Assumptions!B193</f>
        <v>2500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x14ac:dyDescent="0.2">
      <c r="A71" s="22" t="s">
        <v>1592</v>
      </c>
      <c r="B71" s="82">
        <f ca="1">C41</f>
        <v>2270.4855725753669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x14ac:dyDescent="0.2">
      <c r="A72" s="22" t="s">
        <v>1593</v>
      </c>
      <c r="B72" s="82">
        <f ca="1">C51</f>
        <v>3503.9119385540625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2">
      <c r="A73" s="22" t="s">
        <v>1124</v>
      </c>
      <c r="B73" s="97">
        <f ca="1">IFERROR(B71/B69-1,0)</f>
        <v>5.4871016359296192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x14ac:dyDescent="0.2">
      <c r="A74" s="22" t="s">
        <v>1125</v>
      </c>
      <c r="B74" s="97">
        <f ca="1">IFERROR(B71/B70-1,0)</f>
        <v>-9.1805770969853207E-2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x14ac:dyDescent="0.2">
      <c r="A76" s="18" t="s">
        <v>1420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</row>
    <row r="77" spans="1:19" x14ac:dyDescent="0.2">
      <c r="A77" s="22" t="s">
        <v>1126</v>
      </c>
      <c r="B77" s="143">
        <f ca="1">B28+B29+B30+B31</f>
        <v>351248.65389535378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x14ac:dyDescent="0.2">
      <c r="A78" s="22" t="s">
        <v>1195</v>
      </c>
      <c r="B78" s="142">
        <f ca="1">$B$11*('Group P&amp;L'!$S$104+'Group P&amp;L'!$S$105)</f>
        <v>318716.49466313876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x14ac:dyDescent="0.2">
      <c r="A79" s="22" t="s">
        <v>1127</v>
      </c>
      <c r="B79" s="8"/>
      <c r="C79" s="144">
        <v>0.08</v>
      </c>
      <c r="D79" s="144">
        <v>0.09</v>
      </c>
      <c r="E79" s="144">
        <v>0.1</v>
      </c>
      <c r="F79" s="144">
        <v>0.11</v>
      </c>
      <c r="G79" s="144">
        <v>0.12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x14ac:dyDescent="0.2">
      <c r="A80" s="150">
        <v>1.4999999999999999E-2</v>
      </c>
      <c r="B80" s="8"/>
      <c r="C80" s="82" cm="1">
        <f t="array" aca="1" ref="C80" ca="1">(SUMPRODUCT($D$18:$S$18,1/(1+C$79)^($D$4:$S$4-$C$7))+$B$77*(1+$A80)/(C$79-$A80)/(1+C$79)^($S$4-$C$7)+$B$78/(1+C$79)^($S$4-$C$7))/1000</f>
        <v>3083.9664193167296</v>
      </c>
      <c r="D80" s="82" cm="1">
        <f t="array" aca="1" ref="D80" ca="1">(SUMPRODUCT($D$18:$S$18,1/(1+D$79)^($D$4:$S$4-$C$7))+$B$77*(1+$A80)/(D$79-$A80)/(1+D$79)^($S$4-$C$7)+$B$78/(1+D$79)^($S$4-$C$7))/1000</f>
        <v>2525.7604110459201</v>
      </c>
      <c r="E80" s="82" cm="1">
        <f t="array" aca="1" ref="E80" ca="1">(SUMPRODUCT($D$18:$S$18,1/(1+E$79)^($D$4:$S$4-$C$7))+$B$77*(1+$A80)/(E$79-$A80)/(1+E$79)^($S$4-$C$7)+$B$78/(1+E$79)^($S$4-$C$7))/1000</f>
        <v>2106.5797206593361</v>
      </c>
      <c r="F80" s="82" cm="1">
        <f t="array" aca="1" ref="F80" ca="1">(SUMPRODUCT($D$18:$S$18,1/(1+F$79)^($D$4:$S$4-$C$7))+$B$77*(1+$A80)/(F$79-$A80)/(1+F$79)^($S$4-$C$7)+$B$78/(1+F$79)^($S$4-$C$7))/1000</f>
        <v>1782.1919534182653</v>
      </c>
      <c r="G80" s="82" cm="1">
        <f t="array" aca="1" ref="G80" ca="1">(SUMPRODUCT($D$18:$S$18,1/(1+G$79)^($D$4:$S$4-$C$7))+$B$77*(1+$A80)/(G$79-$A80)/(1+G$79)^($S$4-$C$7)+$B$78/(1+G$79)^($S$4-$C$7))/1000</f>
        <v>1525.2020864920369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x14ac:dyDescent="0.2">
      <c r="A81" s="150">
        <v>0.02</v>
      </c>
      <c r="B81" s="8"/>
      <c r="C81" s="82" cm="1">
        <f t="array" aca="1" ref="C81" ca="1">(SUMPRODUCT($D$18:$S$18,1/(1+C$79)^($D$4:$S$4-$C$7))+$B$77*(1+$A81)/(C$79-$A81)/(1+C$79)^($S$4-$C$7)+$B$78/(1+C$79)^($S$4-$C$7))/1000</f>
        <v>3249.5477027542051</v>
      </c>
      <c r="D81" s="82" cm="1">
        <f t="array" aca="1" ref="D81" ca="1">(SUMPRODUCT($D$18:$S$18,1/(1+D$79)^($D$4:$S$4-$C$7))+$B$77*(1+$A81)/(D$79-$A81)/(1+D$79)^($S$4-$C$7)+$B$78/(1+D$79)^($S$4-$C$7))/1000</f>
        <v>2634.8745164244478</v>
      </c>
      <c r="E81" s="82" cm="1">
        <f t="array" aca="1" ref="E81" ca="1">(SUMPRODUCT($D$18:$S$18,1/(1+E$79)^($D$4:$S$4-$C$7))+$B$77*(1+$A81)/(E$79-$A81)/(1+E$79)^($S$4-$C$7)+$B$78/(1+E$79)^($S$4-$C$7))/1000</f>
        <v>2181.3916496769421</v>
      </c>
      <c r="F81" s="82" cm="1">
        <f t="array" aca="1" ref="F81" ca="1">(SUMPRODUCT($D$18:$S$18,1/(1+F$79)^($D$4:$S$4-$C$7))+$B$77*(1+$A81)/(F$79-$A81)/(1+F$79)^($S$4-$C$7)+$B$78/(1+F$79)^($S$4-$C$7))/1000</f>
        <v>1835.0875882755749</v>
      </c>
      <c r="G81" s="82" cm="1">
        <f t="array" aca="1" ref="G81" ca="1">(SUMPRODUCT($D$18:$S$18,1/(1+G$79)^($D$4:$S$4-$C$7))+$B$77*(1+$A81)/(G$79-$A81)/(1+G$79)^($S$4-$C$7)+$B$78/(1+G$79)^($S$4-$C$7))/1000</f>
        <v>1563.5340511542536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150">
        <v>2.5000000000000001E-2</v>
      </c>
      <c r="B82" s="8"/>
      <c r="C82" s="82" cm="1">
        <f t="array" aca="1" ref="C82" ca="1">(SUMPRODUCT($D$18:$S$18,1/(1+C$79)^($D$4:$S$4-$C$7))+$B$77*(1+$A82)/(C$79-$A82)/(1+C$79)^($S$4-$C$7)+$B$78/(1+C$79)^($S$4-$C$7))/1000</f>
        <v>3445.2346740894018</v>
      </c>
      <c r="D82" s="82" cm="1">
        <f t="array" aca="1" ref="D82" ca="1">(SUMPRODUCT($D$18:$S$18,1/(1+D$79)^($D$4:$S$4-$C$7))+$B$77*(1+$A82)/(D$79-$A82)/(1+D$79)^($S$4-$C$7)+$B$78/(1+D$79)^($S$4-$C$7))/1000</f>
        <v>2760.7754072458242</v>
      </c>
      <c r="E82" s="82" cm="1">
        <f t="array" aca="1" ref="E82" ca="1">(SUMPRODUCT($D$18:$S$18,1/(1+E$79)^($D$4:$S$4-$C$7))+$B$77*(1+$A82)/(E$79-$A82)/(1+E$79)^($S$4-$C$7)+$B$78/(1+E$79)^($S$4-$C$7))/1000</f>
        <v>2266.1785025635622</v>
      </c>
      <c r="F82" s="82" cm="1">
        <f t="array" aca="1" ref="F82" ca="1">(SUMPRODUCT($D$18:$S$18,1/(1+F$79)^($D$4:$S$4-$C$7))+$B$77*(1+$A82)/(F$79-$A82)/(1+F$79)^($S$4-$C$7)+$B$78/(1+F$79)^($S$4-$C$7))/1000</f>
        <v>1894.2062389984501</v>
      </c>
      <c r="G82" s="82" cm="1">
        <f t="array" aca="1" ref="G82" ca="1">(SUMPRODUCT($D$18:$S$18,1/(1+G$79)^($D$4:$S$4-$C$7))+$B$77*(1+$A82)/(G$79-$A82)/(1+G$79)^($S$4-$C$7)+$B$78/(1+G$79)^($S$4-$C$7))/1000</f>
        <v>1605.9009594651236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x14ac:dyDescent="0.2">
      <c r="A83" s="150">
        <v>0.03</v>
      </c>
      <c r="B83" s="8"/>
      <c r="C83" s="82" cm="1">
        <f t="array" aca="1" ref="C83" ca="1">(SUMPRODUCT($D$18:$S$18,1/(1+C$79)^($D$4:$S$4-$C$7))+$B$77*(1+$A83)/(C$79-$A83)/(1+C$79)^($S$4-$C$7)+$B$78/(1+C$79)^($S$4-$C$7))/1000</f>
        <v>3680.0590396916391</v>
      </c>
      <c r="D83" s="82" cm="1">
        <f t="array" aca="1" ref="D83" ca="1">(SUMPRODUCT($D$18:$S$18,1/(1+D$79)^($D$4:$S$4-$C$7))+$B$77*(1+$A83)/(D$79-$A83)/(1+D$79)^($S$4-$C$7)+$B$78/(1+D$79)^($S$4-$C$7))/1000</f>
        <v>2907.6597798707649</v>
      </c>
      <c r="E83" s="82" cm="1">
        <f t="array" aca="1" ref="E83" ca="1">(SUMPRODUCT($D$18:$S$18,1/(1+E$79)^($D$4:$S$4-$C$7))+$B$77*(1+$A83)/(E$79-$A83)/(1+E$79)^($S$4-$C$7)+$B$78/(1+E$79)^($S$4-$C$7))/1000</f>
        <v>2363.077763005414</v>
      </c>
      <c r="F83" s="82" cm="1">
        <f t="array" aca="1" ref="F83" ca="1">(SUMPRODUCT($D$18:$S$18,1/(1+F$79)^($D$4:$S$4-$C$7))+$B$77*(1+$A83)/(F$79-$A83)/(1+F$79)^($S$4-$C$7)+$B$78/(1+F$79)^($S$4-$C$7))/1000</f>
        <v>1960.7147210616849</v>
      </c>
      <c r="G83" s="82" cm="1">
        <f t="array" aca="1" ref="G83" ca="1">(SUMPRODUCT($D$18:$S$18,1/(1+G$79)^($D$4:$S$4-$C$7))+$B$77*(1+$A83)/(G$79-$A83)/(1+G$79)^($S$4-$C$7)+$B$78/(1+G$79)^($S$4-$C$7))/1000</f>
        <v>1652.975302032758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150">
        <v>3.5000000000000003E-2</v>
      </c>
      <c r="B84" s="8"/>
      <c r="C84" s="82" cm="1">
        <f t="array" aca="1" ref="C84" ca="1">(SUMPRODUCT($D$18:$S$18,1/(1+C$79)^($D$4:$S$4-$C$7))+$B$77*(1+$A84)/(C$79-$A84)/(1+C$79)^($S$4-$C$7)+$B$78/(1+C$79)^($S$4-$C$7))/1000</f>
        <v>3967.066597649929</v>
      </c>
      <c r="D84" s="82" cm="1">
        <f t="array" aca="1" ref="D84" ca="1">(SUMPRODUCT($D$18:$S$18,1/(1+D$79)^($D$4:$S$4-$C$7))+$B$77*(1+$A84)/(D$79-$A84)/(1+D$79)^($S$4-$C$7)+$B$78/(1+D$79)^($S$4-$C$7))/1000</f>
        <v>3081.2504020638762</v>
      </c>
      <c r="E84" s="82" cm="1">
        <f t="array" aca="1" ref="E84" ca="1">(SUMPRODUCT($D$18:$S$18,1/(1+E$79)^($D$4:$S$4-$C$7))+$B$77*(1+$A84)/(E$79-$A84)/(1+E$79)^($S$4-$C$7)+$B$78/(1+E$79)^($S$4-$C$7))/1000</f>
        <v>2474.8846019767811</v>
      </c>
      <c r="F84" s="82" cm="1">
        <f t="array" aca="1" ref="F84" ca="1">(SUMPRODUCT($D$18:$S$18,1/(1+F$79)^($D$4:$S$4-$C$7))+$B$77*(1+$A84)/(F$79-$A84)/(1+F$79)^($S$4-$C$7)+$B$78/(1+F$79)^($S$4-$C$7))/1000</f>
        <v>2036.0910007333507</v>
      </c>
      <c r="G84" s="82" cm="1">
        <f t="array" aca="1" ref="G84" ca="1">(SUMPRODUCT($D$18:$S$18,1/(1+G$79)^($D$4:$S$4-$C$7))+$B$77*(1+$A84)/(G$79-$A84)/(1+G$79)^($S$4-$C$7)+$B$78/(1+G$79)^($S$4-$C$7))/1000</f>
        <v>1705.5878025495253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x14ac:dyDescent="0.2">
      <c r="A86" s="18" t="s">
        <v>1128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</row>
    <row r="87" spans="1:19" x14ac:dyDescent="0.2">
      <c r="A87" s="22" t="s">
        <v>1129</v>
      </c>
      <c r="B87" s="47">
        <f>IF($B$8&gt;$B$9,1,0)</f>
        <v>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x14ac:dyDescent="0.2">
      <c r="A88" s="22" t="s">
        <v>1154</v>
      </c>
      <c r="B88" s="44">
        <f>E21</f>
        <v>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x14ac:dyDescent="0.2">
      <c r="A89" s="22" t="s">
        <v>1196</v>
      </c>
      <c r="B89" s="44">
        <f>S24</f>
        <v>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x14ac:dyDescent="0.2">
      <c r="A90" s="20" t="s">
        <v>1130</v>
      </c>
      <c r="B90" s="146">
        <f ca="1">B62-SUMPRODUCT($D14:$AC14,$D$21:$AC$21)-SUMPRODUCT($D15:$AC15,$D$21:$AC$21)-SUMPRODUCT($D16:$AC16,$D$21:$AC$21)-SUMPRODUCT($D17:$AC17,$D$21:$AC$21)</f>
        <v>0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x14ac:dyDescent="0.2">
      <c r="A91" s="20" t="s">
        <v>1155</v>
      </c>
      <c r="B91" s="149" cm="1">
        <f t="array" aca="1" ref="B91" ca="1">SUMPRODUCT(--(C35:C37&lt;0))</f>
        <v>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1:19" x14ac:dyDescent="0.2">
      <c r="A92" s="20" t="s">
        <v>1156</v>
      </c>
      <c r="B92" s="149" cm="1">
        <f t="array" aca="1" ref="B92" ca="1">SUMPRODUCT(--(C45:C47&lt;0))</f>
        <v>0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1:19" x14ac:dyDescent="0.2">
      <c r="A93" s="21" t="s">
        <v>1157</v>
      </c>
      <c r="B93" s="91">
        <f ca="1">C41</f>
        <v>2270.4855725753669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1:19" x14ac:dyDescent="0.2">
      <c r="A94" s="21" t="s">
        <v>1158</v>
      </c>
      <c r="B94" s="91">
        <f ca="1">C51</f>
        <v>3503.9119385540625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x14ac:dyDescent="0.2">
      <c r="A96" s="18" t="s">
        <v>1421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</row>
    <row r="97" spans="1:19" x14ac:dyDescent="0.2">
      <c r="A97" s="177" t="s">
        <v>1114</v>
      </c>
      <c r="B97" s="8"/>
      <c r="C97" s="45">
        <f>C7</f>
        <v>2026</v>
      </c>
      <c r="D97" s="45">
        <f>D7</f>
        <v>2030</v>
      </c>
      <c r="E97" s="45">
        <f>E7</f>
        <v>2035</v>
      </c>
      <c r="F97" s="45">
        <f>F7</f>
        <v>2040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x14ac:dyDescent="0.2">
      <c r="A98" s="177" t="s">
        <v>831</v>
      </c>
      <c r="B98" s="8"/>
      <c r="C98" s="143">
        <f ca="1">SUMPRODUCT($D14:$AC14,$D$21:$AC$21)+$H$28/(1+$B$8)^($S$4-C$97)</f>
        <v>2109759.7810469712</v>
      </c>
      <c r="D98" s="143">
        <f ca="1">SUMPRODUCT($D14:$AC14,$D$22:$AC$22)+$H$28/(1+$B$8)^($S$4-D$97)</f>
        <v>2904786.0250948798</v>
      </c>
      <c r="E98" s="143">
        <f ca="1">SUMPRODUCT($D14:$AC14,$D$23:$AC$23)+$H$28/(1+$B$8)^($S$4-E$97)</f>
        <v>3632153.7538516046</v>
      </c>
      <c r="F98" s="143">
        <f ca="1">SUMPRODUCT($D14:$AC14,$D$24:$AC$24)+$H$28/(1+$B$8)^($S$4-F$97)</f>
        <v>4447821.8153597657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x14ac:dyDescent="0.2">
      <c r="A99" s="177" t="s">
        <v>1111</v>
      </c>
      <c r="B99" s="8"/>
      <c r="C99" s="143">
        <f ca="1">SUMPRODUCT($D15:$AC15,$D$21:$AC$21)+$H$29/(1+$B$8)^($S$4-C$97)</f>
        <v>68258.901359372176</v>
      </c>
      <c r="D99" s="143">
        <f ca="1">SUMPRODUCT($D15:$AC15,$D$22:$AC$22)+$H$29/(1+$B$8)^($S$4-D$97)</f>
        <v>69932.886355592869</v>
      </c>
      <c r="E99" s="143">
        <f ca="1">SUMPRODUCT($D15:$AC15,$D$23:$AC$23)+$H$29/(1+$B$8)^($S$4-E$97)</f>
        <v>50383.731576427461</v>
      </c>
      <c r="F99" s="143">
        <f ca="1">SUMPRODUCT($D15:$AC15,$D$24:$AC$24)+$H$29/(1+$B$8)^($S$4-F$97)</f>
        <v>33956.136000129991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x14ac:dyDescent="0.2">
      <c r="A100" s="177" t="s">
        <v>1021</v>
      </c>
      <c r="B100" s="8"/>
      <c r="C100" s="143">
        <f ca="1">SUMPRODUCT($D16:$AC16,$D$21:$AC$21)+$H$30/(1+$B$8)^($S$4-C$97)</f>
        <v>4321410.978115241</v>
      </c>
      <c r="D100" s="143">
        <f ca="1">SUMPRODUCT($D16:$AC16,$D$22:$AC$22)+$H$30/(1+$B$8)^($S$4-D$97)</f>
        <v>6464245.7690506093</v>
      </c>
      <c r="E100" s="143">
        <f ca="1">SUMPRODUCT($D16:$AC16,$D$23:$AC$23)+$H$30/(1+$B$8)^($S$4-E$97)</f>
        <v>10288781.210844781</v>
      </c>
      <c r="F100" s="143">
        <f ca="1">SUMPRODUCT($D16:$AC16,$D$24:$AC$24)+$H$30/(1+$B$8)^($S$4-F$97)</f>
        <v>15230119.356213717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x14ac:dyDescent="0.2">
      <c r="A101" s="177" t="s">
        <v>1112</v>
      </c>
      <c r="B101" s="8"/>
      <c r="C101" s="143">
        <f ca="1">SUMPRODUCT($D17:$AC17,$D$21:$AC$21)+$H$31/(1+$B$8)^($S$4-C$97)</f>
        <v>-1285008.6652302609</v>
      </c>
      <c r="D101" s="143">
        <f ca="1">SUMPRODUCT($D17:$AC17,$D$22:$AC$22)+$H$31/(1+$B$8)^($S$4-D$97)</f>
        <v>-1814042.7966093686</v>
      </c>
      <c r="E101" s="143">
        <f ca="1">SUMPRODUCT($D17:$AC17,$D$23:$AC$23)+$H$31/(1+$B$8)^($S$4-E$97)</f>
        <v>-2422068.064294308</v>
      </c>
      <c r="F101" s="143">
        <f ca="1">SUMPRODUCT($D17:$AC17,$D$24:$AC$24)+$H$31/(1+$B$8)^($S$4-F$97)</f>
        <v>-2873693.7515085358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x14ac:dyDescent="0.2">
      <c r="A102" s="177" t="s">
        <v>1115</v>
      </c>
      <c r="B102" s="8"/>
      <c r="C102" s="143">
        <f ca="1">C39</f>
        <v>83928.014307681296</v>
      </c>
      <c r="D102" s="143">
        <f ca="1">D39</f>
        <v>122879.00574787623</v>
      </c>
      <c r="E102" s="143">
        <f ca="1">E39</f>
        <v>197897.86754701223</v>
      </c>
      <c r="F102" s="143">
        <f ca="1">F39</f>
        <v>318716.49466313876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x14ac:dyDescent="0.2">
      <c r="A103" s="210" t="s">
        <v>1594</v>
      </c>
      <c r="B103" s="20"/>
      <c r="C103" s="146">
        <f ca="1">SUM(C98:C102)</f>
        <v>5298349.0095990049</v>
      </c>
      <c r="D103" s="146">
        <f ca="1">SUM(D98:D102)</f>
        <v>7747800.889639589</v>
      </c>
      <c r="E103" s="146">
        <f ca="1">SUM(E98:E102)</f>
        <v>11747148.499525517</v>
      </c>
      <c r="F103" s="146">
        <f ca="1">SUM(F98:F102)</f>
        <v>17156920.050728213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 x14ac:dyDescent="0.2">
      <c r="A104" s="210" t="s">
        <v>1595</v>
      </c>
      <c r="B104" s="20"/>
      <c r="C104" s="193">
        <f ca="1">C103/1000</f>
        <v>5298.3490095990046</v>
      </c>
      <c r="D104" s="193">
        <f ca="1">D103/1000</f>
        <v>7747.8008896395886</v>
      </c>
      <c r="E104" s="193">
        <f ca="1">E103/1000</f>
        <v>11747.148499525518</v>
      </c>
      <c r="F104" s="193">
        <f ca="1">F103/1000</f>
        <v>17156.920050728215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x14ac:dyDescent="0.2">
      <c r="A106" s="18" t="s">
        <v>1422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</row>
    <row r="107" spans="1:19" x14ac:dyDescent="0.2">
      <c r="A107" s="8"/>
      <c r="B107" s="8"/>
      <c r="C107" s="45">
        <f>C7</f>
        <v>2026</v>
      </c>
      <c r="D107" s="45">
        <f>D7</f>
        <v>2030</v>
      </c>
      <c r="E107" s="45">
        <f>E7</f>
        <v>2035</v>
      </c>
      <c r="F107" s="45">
        <f>F7</f>
        <v>2040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x14ac:dyDescent="0.2">
      <c r="A108" s="210" t="s">
        <v>1596</v>
      </c>
      <c r="B108" s="20"/>
      <c r="C108" s="193">
        <f ca="1">C41</f>
        <v>2270.4855725753669</v>
      </c>
      <c r="D108" s="193">
        <f ca="1">D41</f>
        <v>3314.7060314932787</v>
      </c>
      <c r="E108" s="193">
        <f ca="1">E41</f>
        <v>4607.6048995323008</v>
      </c>
      <c r="F108" s="193">
        <f ca="1">F41</f>
        <v>5658.6136875031343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1:19" x14ac:dyDescent="0.2">
      <c r="A109" s="210" t="s">
        <v>1597</v>
      </c>
      <c r="B109" s="20"/>
      <c r="C109" s="193">
        <f ca="1">C51</f>
        <v>3503.9119385540625</v>
      </c>
      <c r="D109" s="193">
        <f ca="1">D51</f>
        <v>5120.5655739226868</v>
      </c>
      <c r="E109" s="193">
        <f ca="1">E51</f>
        <v>7515.9597512102864</v>
      </c>
      <c r="F109" s="193">
        <f ca="1">F51</f>
        <v>10342.54825967905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1:19" x14ac:dyDescent="0.2">
      <c r="A110" s="210" t="s">
        <v>1598</v>
      </c>
      <c r="B110" s="20"/>
      <c r="C110" s="193">
        <f ca="1">C104</f>
        <v>5298.3490095990046</v>
      </c>
      <c r="D110" s="193">
        <f ca="1">D104</f>
        <v>7747.8008896395886</v>
      </c>
      <c r="E110" s="193">
        <f ca="1">E104</f>
        <v>11747.148499525518</v>
      </c>
      <c r="F110" s="193">
        <f ca="1">F104</f>
        <v>17156.920050728215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x14ac:dyDescent="0.2">
      <c r="A111" s="177" t="s">
        <v>1216</v>
      </c>
      <c r="B111" s="8"/>
      <c r="C111" s="82">
        <f ca="1">MAX(C108:C110)-MIN(C108:C110)</f>
        <v>3027.8634370236377</v>
      </c>
      <c r="D111" s="82">
        <f ca="1">MAX(D108:D110)-MIN(D108:D110)</f>
        <v>4433.0948581463099</v>
      </c>
      <c r="E111" s="82">
        <f ca="1">MAX(E108:E110)-MIN(E108:E110)</f>
        <v>7139.543599993217</v>
      </c>
      <c r="F111" s="82">
        <f ca="1">MAX(F108:F110)-MIN(F108:F110)</f>
        <v>11498.306363225081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x14ac:dyDescent="0.2">
      <c r="A112" s="177" t="s">
        <v>1217</v>
      </c>
      <c r="B112" s="8"/>
      <c r="C112" s="221">
        <f ca="1">AVERAGE(C108:C110)</f>
        <v>3690.9155069094777</v>
      </c>
      <c r="D112" s="221">
        <f ca="1">AVERAGE(D108:D110)</f>
        <v>5394.3574983518511</v>
      </c>
      <c r="E112" s="221">
        <f ca="1">AVERAGE(E108:E110)</f>
        <v>7956.9043834227023</v>
      </c>
      <c r="F112" s="221">
        <f ca="1">AVERAGE(F108:F110)</f>
        <v>11052.693999303467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x14ac:dyDescent="0.2">
      <c r="A114" s="210" t="s">
        <v>1218</v>
      </c>
      <c r="B114" s="149" cm="1">
        <f t="array" aca="1" ref="B114" ca="1">SUMPRODUCT(--(C98:C100&lt;0))</f>
        <v>0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2818-8BF2-DD46-9CB9-7E8B26FDD453}">
  <dimension ref="A1:F9"/>
  <sheetViews>
    <sheetView workbookViewId="0"/>
  </sheetViews>
  <sheetFormatPr baseColWidth="10" defaultRowHeight="16" x14ac:dyDescent="0.2"/>
  <sheetData>
    <row r="1" spans="1:6" x14ac:dyDescent="0.2">
      <c r="A1" s="235" t="s">
        <v>1975</v>
      </c>
      <c r="B1" s="235" t="s">
        <v>1976</v>
      </c>
      <c r="C1" s="235" t="s">
        <v>1977</v>
      </c>
      <c r="D1" s="235" t="s">
        <v>1978</v>
      </c>
      <c r="E1" s="235" t="s">
        <v>1979</v>
      </c>
      <c r="F1" s="235" t="s">
        <v>1980</v>
      </c>
    </row>
    <row r="2" spans="1:6" x14ac:dyDescent="0.2">
      <c r="A2" s="236">
        <v>46177</v>
      </c>
      <c r="B2" t="s">
        <v>1981</v>
      </c>
      <c r="C2" t="s">
        <v>1982</v>
      </c>
      <c r="D2" t="s">
        <v>1983</v>
      </c>
      <c r="E2" t="s">
        <v>1984</v>
      </c>
      <c r="F2" t="s">
        <v>1215</v>
      </c>
    </row>
    <row r="3" spans="1:6" x14ac:dyDescent="0.2">
      <c r="A3" s="237">
        <v>46177</v>
      </c>
      <c r="B3" s="3" t="s">
        <v>1989</v>
      </c>
      <c r="C3" s="3" t="s">
        <v>1990</v>
      </c>
      <c r="D3" s="3" t="s">
        <v>1991</v>
      </c>
      <c r="E3" s="3" t="s">
        <v>1992</v>
      </c>
      <c r="F3" s="3" t="s">
        <v>1215</v>
      </c>
    </row>
    <row r="4" spans="1:6" x14ac:dyDescent="0.2">
      <c r="A4" s="238">
        <f>DATE(2026,6,4)</f>
        <v>46177</v>
      </c>
      <c r="B4" t="s">
        <v>2013</v>
      </c>
      <c r="C4" t="s">
        <v>2014</v>
      </c>
      <c r="D4" t="s">
        <v>2015</v>
      </c>
      <c r="E4" t="s">
        <v>2016</v>
      </c>
      <c r="F4" t="s">
        <v>2017</v>
      </c>
    </row>
    <row r="5" spans="1:6" x14ac:dyDescent="0.2">
      <c r="A5" s="238">
        <f>DATE(2026,6,4)</f>
        <v>46177</v>
      </c>
      <c r="B5" t="s">
        <v>2019</v>
      </c>
      <c r="C5" t="s">
        <v>2020</v>
      </c>
      <c r="D5" t="s">
        <v>2021</v>
      </c>
      <c r="E5" t="s">
        <v>2022</v>
      </c>
      <c r="F5" t="s">
        <v>2023</v>
      </c>
    </row>
    <row r="6" spans="1:6" x14ac:dyDescent="0.2">
      <c r="A6" s="238">
        <f>DATE(2026,6,4)</f>
        <v>46177</v>
      </c>
      <c r="B6" t="s">
        <v>2114</v>
      </c>
      <c r="C6" t="s">
        <v>2115</v>
      </c>
      <c r="D6" t="s">
        <v>2116</v>
      </c>
      <c r="E6" t="s">
        <v>2117</v>
      </c>
      <c r="F6" t="s">
        <v>2118</v>
      </c>
    </row>
    <row r="7" spans="1:6" x14ac:dyDescent="0.2">
      <c r="A7" s="244">
        <f>DATE(2026,6,4)</f>
        <v>46177</v>
      </c>
      <c r="B7" s="3" t="s">
        <v>2130</v>
      </c>
      <c r="C7" s="3" t="s">
        <v>2115</v>
      </c>
      <c r="D7" s="3" t="s">
        <v>2131</v>
      </c>
      <c r="E7" s="3" t="s">
        <v>2132</v>
      </c>
      <c r="F7" s="3" t="s">
        <v>2133</v>
      </c>
    </row>
    <row r="8" spans="1:6" x14ac:dyDescent="0.2">
      <c r="A8" s="244">
        <f>DATE(2026,6,4)</f>
        <v>46177</v>
      </c>
      <c r="B8" s="3" t="s">
        <v>2140</v>
      </c>
      <c r="C8" s="3" t="s">
        <v>2115</v>
      </c>
      <c r="D8" s="3" t="s">
        <v>2141</v>
      </c>
      <c r="E8" s="3" t="s">
        <v>2142</v>
      </c>
      <c r="F8" s="3" t="s">
        <v>2118</v>
      </c>
    </row>
    <row r="9" spans="1:6" x14ac:dyDescent="0.2">
      <c r="A9" s="244">
        <f>DATE(2026,6,4)</f>
        <v>46177</v>
      </c>
      <c r="B9" s="3" t="s">
        <v>2168</v>
      </c>
      <c r="C9" s="3" t="s">
        <v>2169</v>
      </c>
      <c r="D9" s="3" t="s">
        <v>2170</v>
      </c>
      <c r="E9" s="3" t="s">
        <v>2171</v>
      </c>
      <c r="F9" s="3" t="s">
        <v>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Assumptions</vt:lpstr>
      <vt:lpstr>Demand Curves</vt:lpstr>
      <vt:lpstr>Starlink</vt:lpstr>
      <vt:lpstr>Customer Launch</vt:lpstr>
      <vt:lpstr>Cash Allocation Engine</vt:lpstr>
      <vt:lpstr>AI - Compute</vt:lpstr>
      <vt:lpstr>Lunar - Mars</vt:lpstr>
      <vt:lpstr>Vehicle Build</vt:lpstr>
      <vt:lpstr>Launch Dashboard</vt:lpstr>
      <vt:lpstr>Facilities Build</vt:lpstr>
      <vt:lpstr>Group P&amp;L</vt:lpstr>
      <vt:lpstr>Segment P&amp;L</vt:lpstr>
      <vt:lpstr>Conservation</vt:lpstr>
      <vt:lpstr>SoTP - Valuation</vt:lpstr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Saigau</dc:creator>
  <cp:lastModifiedBy>Vlad Saigau</cp:lastModifiedBy>
  <dcterms:created xsi:type="dcterms:W3CDTF">2026-05-28T15:46:57Z</dcterms:created>
  <dcterms:modified xsi:type="dcterms:W3CDTF">2026-06-04T22:51:16Z</dcterms:modified>
</cp:coreProperties>
</file>